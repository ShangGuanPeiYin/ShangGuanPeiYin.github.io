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<sst xmlns="http://schemas.openxmlformats.org/spreadsheetml/2006/main" count="4893" uniqueCount="255">
  <si>
    <t>最小攻击</t>
  </si>
  <si>
    <t>最大攻击</t>
  </si>
  <si>
    <t>穿透</t>
  </si>
  <si>
    <t>伤害加成</t>
  </si>
  <si>
    <t>武学属性</t>
  </si>
  <si>
    <t>破竹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</si>
  <si>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</si>
  <si>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</si>
  <si>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</si>
  <si>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</si>
  <si>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</si>
  <si>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</si>
  <si>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</si>
  <si>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</si>
  <si>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</si>
  <si>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</si>
  <si>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</si>
  <si>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</si>
  <si>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</si>
  <si>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</si>
  <si>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</si>
  <si>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</si>
  <si>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</si>
  <si>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</si>
  <si>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</si>
  <si>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</si>
  <si>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</si>
  <si>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</si>
  <si>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</si>
  <si>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</si>
  <si>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</si>
  <si>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</si>
  <si>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</si>
  <si>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</si>
  <si>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</si>
  <si>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</si>
  <si>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</si>
  <si>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</si>
  <si>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</si>
  <si>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</si>
  <si>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</si>
  <si>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</si>
  <si>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</si>
  <si>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</si>
  <si>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</si>
  <si>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</si>
  <si>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</si>
  <si>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</si>
  <si>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</si>
  <si>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</si>
  <si>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</si>
  <si>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</si>
  <si>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</si>
  <si>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</si>
  <si>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</si>
  <si>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</si>
  <si>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</si>
  <si>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</si>
  <si>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</si>
  <si>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</si>
  <si>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</si>
  <si>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</si>
  <si>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</si>
  <si>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</si>
  <si>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</si>
  <si>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</si>
  <si>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</si>
  <si>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</si>
  <si>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撼天</t>
  </si>
  <si>
    <t>防御</t>
  </si>
  <si>
    <t>萧呤千浪流星</t>
  </si>
  <si>
    <t>易水歌1层</t>
  </si>
  <si>
    <t>N/a</t>
  </si>
  <si>
    <t>近战笛</t>
  </si>
  <si>
    <t>沧海帖1层</t>
  </si>
  <si>
    <t>无惧</t>
  </si>
  <si>
    <t>天志增伤</t>
  </si>
  <si>
    <t>鸣金</t>
  </si>
  <si>
    <t>外抗</t>
  </si>
  <si>
    <t>易水歌2层</t>
  </si>
  <si>
    <t>沧海帖2层</t>
  </si>
  <si>
    <t>惧刃(拐)</t>
  </si>
  <si>
    <t>裂石</t>
  </si>
  <si>
    <t>拳甲</t>
  </si>
  <si>
    <t>属抗</t>
  </si>
  <si>
    <t>易水歌3层</t>
  </si>
  <si>
    <t>沧海帖3层</t>
  </si>
  <si>
    <t>牵丝</t>
  </si>
  <si>
    <t>绳镖</t>
  </si>
  <si>
    <t>副本天赋</t>
  </si>
  <si>
    <t>易水歌4层</t>
  </si>
  <si>
    <t>沧海帖4层</t>
  </si>
  <si>
    <t>单体奇术</t>
  </si>
  <si>
    <t>易水歌5层</t>
  </si>
  <si>
    <t>无相</t>
  </si>
  <si>
    <t>群体奇术</t>
  </si>
  <si>
    <t>绳标Q卸</t>
  </si>
  <si>
    <t>精准率</t>
  </si>
  <si>
    <t>实际属性</t>
  </si>
  <si>
    <t>战斗时间</t>
  </si>
  <si>
    <t>鹰隼追击(绳标)</t>
  </si>
  <si>
    <t>三穷</t>
  </si>
  <si>
    <t>会心率</t>
  </si>
  <si>
    <t>拳甲Q2</t>
  </si>
  <si>
    <t>会意率</t>
  </si>
  <si>
    <t>总伤</t>
  </si>
  <si>
    <t>拳甲轻击56</t>
  </si>
  <si>
    <t>直接会心率</t>
  </si>
  <si>
    <t>鹰隼追击(拳甲)</t>
  </si>
  <si>
    <t>直接会意率</t>
  </si>
  <si>
    <t>ADPS</t>
  </si>
  <si>
    <t>拳甲～</t>
  </si>
  <si>
    <t>会心伤害加成</t>
  </si>
  <si>
    <t>会意伤害加成</t>
  </si>
  <si>
    <t>RDPS</t>
  </si>
  <si>
    <t>全武增</t>
  </si>
  <si>
    <t>团队增益</t>
  </si>
  <si>
    <t>拳甲轻击34</t>
  </si>
  <si>
    <t>断石5层</t>
  </si>
  <si>
    <t>阴阳</t>
  </si>
  <si>
    <t>首领增</t>
  </si>
  <si>
    <t>威</t>
  </si>
  <si>
    <t>√</t>
  </si>
  <si>
    <t>沧海帖</t>
  </si>
  <si>
    <t>毕业率</t>
  </si>
  <si>
    <t>拳甲R蓄4直伤</t>
  </si>
  <si>
    <t>拳甲增</t>
  </si>
  <si>
    <t>尘</t>
  </si>
  <si>
    <t>所恨年年</t>
  </si>
  <si>
    <t>拳甲R蓄4天志</t>
  </si>
  <si>
    <t>绳镖增</t>
  </si>
  <si>
    <t>虹</t>
  </si>
  <si>
    <t>高伤取值</t>
  </si>
  <si>
    <t>机制时间</t>
  </si>
  <si>
    <t>单体奇术增</t>
  </si>
  <si>
    <t>钧</t>
  </si>
  <si>
    <t>群体奇术增</t>
  </si>
  <si>
    <t>影</t>
  </si>
  <si>
    <t>蓄力技定音</t>
  </si>
  <si>
    <t>第三心法</t>
  </si>
  <si>
    <t>拳甲Q1</t>
  </si>
  <si>
    <t>沧海帖5层</t>
  </si>
  <si>
    <t>固伤加成</t>
  </si>
  <si>
    <t>断石之构</t>
  </si>
  <si>
    <t>食物加成</t>
  </si>
  <si>
    <t>第四心法</t>
  </si>
  <si>
    <t>沧海帖6层</t>
  </si>
  <si>
    <t>易水歌</t>
  </si>
  <si>
    <t>绳标～</t>
  </si>
  <si>
    <t>鹰隼追击(绳特殊技)</t>
  </si>
  <si>
    <t>酒</t>
  </si>
  <si>
    <t>绳标Q</t>
  </si>
  <si>
    <t>绳～</t>
  </si>
  <si>
    <t>切武器</t>
  </si>
  <si>
    <t>沧海帖7层</t>
  </si>
  <si>
    <t>Q1</t>
  </si>
  <si>
    <t>笛</t>
  </si>
  <si>
    <t>神龙吐火暗灼2hit</t>
  </si>
  <si>
    <t>沧海帖8层</t>
  </si>
  <si>
    <t>前摇</t>
  </si>
  <si>
    <t>神龙吐火暗灼dot</t>
  </si>
  <si>
    <t>惊神(拐)</t>
  </si>
  <si>
    <t>绳Q卸</t>
  </si>
  <si>
    <t>沧海帖9层</t>
  </si>
  <si>
    <t>Q2</t>
  </si>
  <si>
    <t>沧海帖10层</t>
  </si>
  <si>
    <t>普攻56</t>
  </si>
  <si>
    <t>惧</t>
  </si>
  <si>
    <t>拳～</t>
  </si>
  <si>
    <t>闪避</t>
  </si>
  <si>
    <t>断</t>
  </si>
  <si>
    <t>拳R蓄</t>
  </si>
  <si>
    <t>拳R蓄攻击</t>
  </si>
  <si>
    <t>动画</t>
  </si>
  <si>
    <t>绳Q</t>
  </si>
  <si>
    <t>移动切武</t>
  </si>
  <si>
    <t>气竭</t>
  </si>
  <si>
    <t>真气失衡</t>
  </si>
  <si>
    <t>喷火</t>
  </si>
  <si>
    <t>闪避切武</t>
  </si>
  <si>
    <t>闪避DOT</t>
  </si>
  <si>
    <t>气</t>
  </si>
  <si>
    <t>拳甲R1</t>
  </si>
  <si>
    <t>重击1</t>
  </si>
  <si>
    <t>普攻34</t>
  </si>
  <si>
    <t>移动</t>
  </si>
  <si>
    <t>机制</t>
  </si>
  <si>
    <t>闪避移动</t>
  </si>
  <si>
    <t>移动闪避</t>
  </si>
  <si>
    <t>衍九矢9hit一段</t>
  </si>
  <si>
    <t>易水歌6重</t>
  </si>
  <si>
    <t>拉矢一半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</si>
  <si>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</si>
  <si>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</si>
  <si>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</si>
  <si>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</si>
  <si>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</si>
  <si>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</si>
  <si>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</si>
  <si>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</si>
  <si>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</si>
  <si>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</si>
  <si>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</si>
  <si>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</si>
  <si>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</si>
  <si>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</si>
  <si>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</si>
  <si>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拳甲R蓄2直伤</t>
  </si>
  <si>
    <t>蓄力技</t>
  </si>
  <si>
    <t>萧呤千浪AOE</t>
  </si>
  <si>
    <t>衍九矢9hit</t>
  </si>
  <si>
    <t>骑龙回马</t>
  </si>
  <si>
    <t>叶龙骧首(32层+50%HP)</t>
  </si>
  <si>
    <t>墨洗翰华(打盾)</t>
  </si>
  <si>
    <t>神龙吐火暗灼1hit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</si>
  <si>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</si>
  <si>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</si>
  <si>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</si>
  <si>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</si>
  <si>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</si>
  <si>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</si>
  <si>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</si>
  <si>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</si>
  <si>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直接会心</t>
  </si>
  <si>
    <t>直接会意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</si>
  <si>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</si>
  <si>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</si>
  <si>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</si>
  <si>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</si>
  <si>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</si>
  <si>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</si>
  <si>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</si>
  <si>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</si>
  <si>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</si>
  <si>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当前版本包含了结算伤害受到环境增伤2次加成的bug以匹配实际战斗</t>
  </si>
  <si>
    <t>修正了公式bug</t>
  </si>
  <si>
    <t>修正了强制精准公式</t>
  </si>
  <si>
    <t>修正了三围溢出造成的错误</t>
  </si>
  <si>
    <t>修复了一些小bug</t>
  </si>
  <si>
    <t>更新6月12日先琢版本,上调5.5%,气竭与环境增伤区改动+2%(所有武学)</t>
  </si>
  <si>
    <t>热烈庆祝会意滚蛋特调整为小外表,满值领先4.7%</t>
  </si>
  <si>
    <t>不确定环境增伤区改动之后结算bug是否会同时生效</t>
  </si>
  <si>
    <t>增加了一个隐藏表来计算实际rdps,以减少需要去掉团队增益的操作步骤</t>
  </si>
  <si>
    <t>修正bug</t>
  </si>
  <si>
    <t>修正文字错误</t>
  </si>
  <si>
    <t>将所恨年年从尘增益区划入公共增益区以观测实际RD</t>
  </si>
  <si>
    <t>增加了走机制时间和大约损失的伤害</t>
  </si>
  <si>
    <t>修正尘加成</t>
  </si>
  <si>
    <t>更新蕤宾叠奏上半数值,轴变更为拏云蛇慢气轴,心法默认变更为断石之构</t>
  </si>
  <si>
    <t>三穷约-7%,大小外满值差距4.15%</t>
  </si>
  <si>
    <t>将普通火统一修正成了暗灼火,实战自行分配.</t>
  </si>
  <si>
    <t>增加了鸣金影提供的rd,约0.8%</t>
  </si>
  <si>
    <t>修正了惧刃覆盖</t>
  </si>
  <si>
    <t>修正了轴</t>
  </si>
  <si>
    <t>修正了轴,降低了难度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</si>
</sst>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7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36"/>
  <sheetViews>
    <sheetView workbookViewId="0">
      <selection activeCell="I24" sqref="I24"/>
    </sheetView>
  </sheetViews>
  <sheetFormatPr defaultColWidth="9" defaultRowHeight="13.5"/>
  <cols>
    <col min="1" max="1" width="12.875" customWidth="1"/>
    <col min="11" max="15" width="12.625" style="28" customWidth="1"/>
    <col min="16" max="16" width="9.375"/>
    <col min="17" max="17" width="24.625" style="32" customWidth="1"/>
    <col min="18" max="32" width="9" style="32"/>
    <col min="34" max="34" width="9" style="27"/>
    <col min="35" max="35" width="9" style="28"/>
    <col min="36" max="36" width="9" style="27"/>
    <col min="37" max="37" width="9" style="28"/>
    <col min="38" max="39" width="9" style="27"/>
    <col min="40" max="41" width="9.375"/>
    <col min="42" max="44" width="9" style="33"/>
    <col min="47" max="48" width="9" style="33"/>
    <col min="58" max="58" width="9.375"/>
    <col min="61" max="65" width="9" style="27"/>
    <col min="66" max="67" width="9.00833333333333" style="27" customWidth="1"/>
    <col min="68" max="69" width="9" style="27"/>
    <col min="70" max="70" width="12.625"/>
  </cols>
  <sheetData>
    <row r="1" spans="1:69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40" t="s">
        <v>12</v>
      </c>
      <c r="Q1" s="41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t="s">
        <v>29</v>
      </c>
      <c r="AH1" s="27" t="s">
        <v>30</v>
      </c>
      <c r="AI1" s="28" t="s">
        <v>31</v>
      </c>
      <c r="AJ1" s="27" t="s">
        <v>32</v>
      </c>
      <c r="AK1" s="28" t="s">
        <v>33</v>
      </c>
      <c r="AL1" s="27" t="s">
        <v>34</v>
      </c>
      <c r="AM1" s="27" t="s">
        <v>35</v>
      </c>
      <c r="AN1" t="s">
        <v>36</v>
      </c>
      <c r="AO1" t="s">
        <v>37</v>
      </c>
      <c r="AP1" s="33" t="s">
        <v>38</v>
      </c>
      <c r="AQ1" s="33" t="s">
        <v>39</v>
      </c>
      <c r="AR1" s="33" t="s">
        <v>40</v>
      </c>
      <c r="AS1" t="s">
        <v>41</v>
      </c>
      <c r="AT1" t="s">
        <v>42</v>
      </c>
      <c r="AU1" s="33" t="s">
        <v>43</v>
      </c>
      <c r="AV1" s="33" t="s">
        <v>44</v>
      </c>
      <c r="AW1" t="s">
        <v>45</v>
      </c>
      <c r="AX1" t="s">
        <v>46</v>
      </c>
      <c r="AY1" s="33" t="s">
        <v>47</v>
      </c>
      <c r="AZ1" s="33" t="s">
        <v>48</v>
      </c>
      <c r="BA1" t="s">
        <v>49</v>
      </c>
      <c r="BB1" t="s">
        <v>50</v>
      </c>
      <c r="BC1" s="33" t="s">
        <v>51</v>
      </c>
      <c r="BD1" s="33" t="s">
        <v>52</v>
      </c>
      <c r="BE1" t="s">
        <v>53</v>
      </c>
      <c r="BF1" t="s">
        <v>54</v>
      </c>
      <c r="BG1" s="33" t="s">
        <v>55</v>
      </c>
      <c r="BH1" s="33" t="s">
        <v>56</v>
      </c>
      <c r="BI1" s="27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</row>
    <row r="2" spans="1:69">
      <c r="A2" s="42" t="s">
        <v>66</v>
      </c>
      <c r="B2" s="32">
        <v>3915.1</v>
      </c>
      <c r="C2" s="32">
        <v>2944.8</v>
      </c>
      <c r="D2" s="32">
        <f>58.4+IF($C$24="征人归",5.1,0)</f>
        <v>58.4</v>
      </c>
      <c r="E2" s="43">
        <f>IF($C$22="三穷致知",2.5%,0)</f>
        <v>0</v>
      </c>
      <c r="F2" s="44" t="s">
        <v>67</v>
      </c>
      <c r="G2" s="45" t="s">
        <v>68</v>
      </c>
      <c r="H2" s="46" t="s">
        <v>69</v>
      </c>
      <c r="I2" s="11">
        <f>620*(1-IF(F17="√",0.06,0)-IF(D20="√",0.04,0))</f>
        <v>558</v>
      </c>
      <c r="K2" s="39">
        <f>($L2*$BN2+$M2*$BL2+$N2*$BO2+$O2*$BP2)</f>
        <v>23731.2495133823</v>
      </c>
      <c r="L2" s="39">
        <f>((($AN2+($AO2-$AN2)*IF(VLOOKUP($Q2,武学奇术!$A:$ZZ,31,FALSE)=1,$F$18,0.5))*$AH2+$AI2)*(1+$AP2)*(1+$AQ2)+(($AS2+($AT2-$AS2)*IF(VLOOKUP($Q2,武学奇术!$A:$ZZ,31,FALSE)=1,$F$18,0.5))*IF($G$1="鸣金",$AJ2,$AH2)+IF($G$1="鸣金",$AK2*1.5,0))*(1+$AU2)*(1+$AV2)+(($AW2+($AX2-$AW2)*IF(VLOOKUP($Q2,武学奇术!$A:$ZZ,31,FALSE)=1,$F$18,0.5))*IF($G$1="裂石",$AJ2,$AH2)+IF($G$1="裂石",$AK2*1.5,0))*(1+$AY2)*(1+$AZ2)+(($BA2+($BB2-$BA2)*IF(VLOOKUP($Q2,武学奇术!$A:$ZZ,31,FALSE)=1,$F$18,0.5))*IF($G$1="牵丝",$AJ2,$AH2)+IF($G$1="牵丝",$AK2*1.5,0))*(1+$BC2)*(1+$BD2)+(($BE2+($BF2-$BE2)*IF(VLOOKUP($Q2,武学奇术!$A:$ZZ,31,FALSE)=1,$F$18,0.5))*IF($G$1="破竹",$AJ2,$AH2)+IF($G$1="破竹",$AK2*1.5,0))*(1+$BG2)*(1+$BH2))*(1+$AL2)*$BK2*$P2*(1+IF(VLOOKUP($Q2,武学奇术!$A:$ZZ,30,FALSE)="蓄力技",$B$21,0))*(1+$BQ2)</f>
        <v>23777.5736632556</v>
      </c>
      <c r="M2" s="39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23259.9853965149</v>
      </c>
      <c r="N2" s="39">
        <f>((($AN2+($AO2-$AN2)*IF(VLOOKUP($Q2,武学奇术!$A:$ZZ,31,FALSE)=1,$F$18,0.5))*$AH2+$AI2)*(1+$AP2)*(1+$AQ2)+(($AS2+($AT2-$AS2)*IF(VLOOKUP($Q2,武学奇术!$A:$ZZ,31,FALSE)=1,$F$18,0.5))*IF($G$1="鸣金",$AJ2,$AH2)+IF($G$1="鸣金",$AK2*1.5,0))*(1+$AU2)*(1+$AV2)+(($AW2+($AX2-$AW2)*IF(VLOOKUP($Q2,武学奇术!$A:$ZZ,31,FALSE)=1,$F$18,0.5))*IF($G$1="裂石",$AJ2,$AH2)+IF($G$1="裂石",$AK2*1.5,0))*(1+$AY2)*(1+$AZ2)+(($BA2+($BB2-$BA2)*IF(VLOOKUP($Q2,武学奇术!$A:$ZZ,31,FALSE)=1,$F$18,0.5))*IF($G$1="牵丝",$AJ2,$AH2)+IF($G$1="牵丝",$AK2*1.5,0))*(1+$BC2)*(1+$BD2)+(($BE2+($BF2-$BE2)*IF(VLOOKUP($Q2,武学奇术!$A:$ZZ,31,FALSE)=1,$F$18,0.5))*IF($G$1="破竹",$AJ2,$AH2)+IF($G$1="破竹",$AK2*1.5,0))*(1+$BG2)*(1+$BH2))*(1+$AL2)*$P2*(1+IF(VLOOKUP($Q2,武学奇术!$A:$ZZ,30,FALSE)="蓄力技",$B$21,0))*(1+$BQ2)</f>
        <v>15340.3701053262</v>
      </c>
      <c r="O2" s="39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13451.1213984191</v>
      </c>
      <c r="P2" s="40">
        <v>1</v>
      </c>
      <c r="Q2" s="41" t="s">
        <v>70</v>
      </c>
      <c r="R2" s="41" t="s">
        <v>71</v>
      </c>
      <c r="S2" s="41" t="s">
        <v>72</v>
      </c>
      <c r="T2" s="41" t="s">
        <v>72</v>
      </c>
      <c r="U2" s="41" t="s">
        <v>73</v>
      </c>
      <c r="V2" s="41" t="s">
        <v>72</v>
      </c>
      <c r="W2" s="41" t="s">
        <v>72</v>
      </c>
      <c r="X2" s="41" t="s">
        <v>74</v>
      </c>
      <c r="Y2" s="41" t="s">
        <v>72</v>
      </c>
      <c r="Z2" s="41" t="s">
        <v>72</v>
      </c>
      <c r="AA2" s="41" t="s">
        <v>72</v>
      </c>
      <c r="AB2" s="41" t="s">
        <v>72</v>
      </c>
      <c r="AC2" s="41" t="s">
        <v>72</v>
      </c>
      <c r="AD2" s="41" t="s">
        <v>72</v>
      </c>
      <c r="AE2" s="41" t="s">
        <v>75</v>
      </c>
      <c r="AF2" s="41" t="s">
        <v>76</v>
      </c>
      <c r="AG2" t="str">
        <f>VLOOKUP($Q2,武学奇术!$A:$ZZ,25,FALSE)</f>
        <v>群体奇术</v>
      </c>
      <c r="AH2" s="27">
        <f>VLOOKUP($Q2,武学奇术!$A:$ZZ,26,FALSE)</f>
        <v>1.4904</v>
      </c>
      <c r="AI2" s="28">
        <f>VLOOKUP($Q2,武学奇术!$A:$ZZ,27,FALSE)*(1+IF(OR($AG2=$F$4,$AG2=$F$5),$B$22,0))</f>
        <v>368</v>
      </c>
      <c r="AJ2" s="27">
        <f>VLOOKUP($Q2,武学奇术!$A:$ZZ,28,FALSE)</f>
        <v>2.2353</v>
      </c>
      <c r="AK2" s="28">
        <f>VLOOKUP($Q2,武学奇术!$A:$ZZ,29,FALSE)*(1+IF(OR($AG2=$F$4,$AG2=$F$5),$B$22,0))</f>
        <v>0</v>
      </c>
      <c r="AL2" s="27" cm="1">
        <f t="array" ref="AL2">$G$3+IFERROR(VLOOKUP($AG2,$F$4:$G$7,2,FALSE),0)+VLOOKUP($Q2,武学奇术!$A:$ZZ,2,FALSE)+SUM(_xlfn.XLOOKUP($R2:$AF2,增益!$A:$A,增益!$B:$B,0))</f>
        <v>0.2137</v>
      </c>
      <c r="AM2" s="27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3804.006</v>
      </c>
      <c r="AO2" cm="1">
        <f t="array" ref="AO2">$E$10*(1+$AM2)+VLOOKUP($Q2,武学奇术!$A:$ZZ,4,FALSE)+SUM(_xlfn.XLOOKUP($R2:$AF2,增益!$A:$A,增益!$D:$D,0))-$I$2</f>
        <v>3804.006</v>
      </c>
      <c r="AP2" s="33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0.277</v>
      </c>
      <c r="AQ2" s="33" cm="1">
        <f t="array" ref="AQ2">$G$10+VLOOKUP($Q2,武学奇术!$A:$ZZ,7,FALSE)+SUM(_xlfn.XLOOKUP(R2:AF2,增益!$A:$A,增益!$G:$G,0))</f>
        <v>0.09</v>
      </c>
      <c r="AR2" s="27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33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3" cm="1">
        <f t="array" ref="AV2">$G$11+VLOOKUP($Q2,武学奇术!$A:$ZZ,10,FALSE)+SUM(_xlfn.XLOOKUP(R2:AF2,增益!$A:$A,增益!$J:$J,0))</f>
        <v>0</v>
      </c>
      <c r="AW2">
        <f>$D$12*(1+$AR2)</f>
        <v>0</v>
      </c>
      <c r="AX2">
        <f>$E$12*(1+$AR2)</f>
        <v>0</v>
      </c>
      <c r="AY2" s="33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33" cm="1">
        <f t="array" ref="AZ2">$G$12+VLOOKUP($Q2,武学奇术!$A:$ZZ,12,FALSE)+SUM(_xlfn.XLOOKUP(R2:AF2,增益!$A:$A,增益!$L:$L,0))</f>
        <v>0</v>
      </c>
      <c r="BA2">
        <f>$D$13*(1+$AR2)</f>
        <v>0</v>
      </c>
      <c r="BB2">
        <f>$E$13*(1+$AR2)</f>
        <v>0</v>
      </c>
      <c r="BC2" s="33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3" cm="1">
        <f t="array" ref="BD2">$G$13+VLOOKUP($Q2,武学奇术!$A:$ZZ,14,FALSE)+SUM(_xlfn.XLOOKUP(R2:AF2,增益!$A:$A,增益!$N:$N,0))</f>
        <v>0</v>
      </c>
      <c r="BE2">
        <f>$D$14*(1+$AR2)</f>
        <v>570.28</v>
      </c>
      <c r="BF2">
        <f>$E$14*(1+$AR2)</f>
        <v>1582.156</v>
      </c>
      <c r="BG2" s="33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0</v>
      </c>
      <c r="BH2" s="33" cm="1">
        <f t="array" ref="BH2">$G$14+VLOOKUP($Q2,武学奇术!$A:$ZZ,16,FALSE)+SUM(_xlfn.XLOOKUP(R2:AF2,增益!$A:$A,增益!$P:$P,0))</f>
        <v>0.24</v>
      </c>
      <c r="BI2" s="27">
        <f>MIN(IF(VLOOKUP($Q2,武学奇术!$A:$ZZ,23,FALSE)=1,100%,$B$8),100%)</f>
        <v>1</v>
      </c>
      <c r="BJ2" s="27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+MIN(IF(VLOOKUP($Q2,武学奇术!$A:$ZZ,32,FALSE)=1,IF(VLOOKUP($Q2,武学奇术!$A:$ZZ,24,FALSE)=1,100%,MIN(40%,$B$10+VLOOKUP($Q2,武学奇术!$A:$ZZ,19,FALSE)+SUM(_xlfn.XLOOKUP(R2:AF2,增益!$A:$A,增益!$S:$S,0)))+$B$12+SUM(_xlfn.XLOOKUP(R2:AF2,增益!$A:$A,增益!$V:$V,0))),0),12%)</f>
        <v>0.918</v>
      </c>
      <c r="BK2" s="27" cm="1">
        <f t="array" ref="BK2">1+$B$13+VLOOKUP($Q2,武学奇术!$A:$ZZ,18,FALSE)+SUM(_xlfn.XLOOKUP(R2:AF2,增益!$A:$A,增益!$R:$R,0))</f>
        <v>1.55</v>
      </c>
      <c r="BL2" s="27" cm="1">
        <f t="array" ref="BL2">MAX(IF(VLOOKUP($Q2,武学奇术!$A:$ZZ,24,FALSE)=1,100%,MIN(40%,$B$10+VLOOKUP($Q2,武学奇术!$A:$ZZ,19,FALSE)+SUM(_xlfn.XLOOKUP(R2:AF2,增益!$A:$A,增益!$S:$S,0)))+$B$12+SUM(_xlfn.XLOOKUP(R2:AF2,增益!$A:$A,增益!$V:$V,0)))*IF(VLOOKUP($Q2,武学奇术!$A:$ZZ,23,FALSE)=1,0,1)-IF(VLOOKUP($Q2,武学奇术!$A:$ZZ,32,FALSE)=1,12%,0),0)</f>
        <v>0.0895</v>
      </c>
      <c r="BM2" s="27" cm="1">
        <f t="array" ref="BM2">1+$B$14+VLOOKUP($Q2,武学奇术!$A:$ZZ,20,FALSE)+SUM(_xlfn.XLOOKUP(R2:AF2,增益!$A:$A,增益!$T:$T,0))</f>
        <v>1.35</v>
      </c>
      <c r="BN2" s="27">
        <f>MIN((1-BL2)*BI2,BI2*BJ2)</f>
        <v>0.9105</v>
      </c>
      <c r="BO2" s="27">
        <f>1-BL2-BN2-BP2</f>
        <v>0</v>
      </c>
      <c r="BP2" s="27">
        <f>IF(VLOOKUP($Q2,武学奇术!$A:$ZZ,22,FALSE)=1,0,(1-$BI2))*(1-$BL2)</f>
        <v>0</v>
      </c>
      <c r="BQ2" s="27" cm="1">
        <f t="array" ref="BQ2">SUM(_xlfn.XLOOKUP(R2:AF2,增益!$A:$A,增益!$W:$W,0))+$I$5</f>
        <v>0.11</v>
      </c>
    </row>
    <row r="3" spans="1:69">
      <c r="A3" s="47" t="s">
        <v>77</v>
      </c>
      <c r="B3" s="48"/>
      <c r="C3" s="48"/>
      <c r="D3" s="48"/>
      <c r="E3" s="49"/>
      <c r="F3" s="46" t="s">
        <v>34</v>
      </c>
      <c r="G3" s="50">
        <f>B16+1.5%+IF($D$16="√",8%,0)+IF($C$24="征人归",8%,0)</f>
        <v>0.1837</v>
      </c>
      <c r="H3" s="46" t="s">
        <v>78</v>
      </c>
      <c r="I3" s="11">
        <f>25-IF(D17="√",10,0)-IF(F17="√",10,0)</f>
        <v>5</v>
      </c>
      <c r="K3" s="39">
        <f t="shared" ref="K3:K34" si="0">($L3*$BN3+$M3*$BL3+$N3*$BO3+$O3*$BP3)</f>
        <v>24723.3614365063</v>
      </c>
      <c r="L3" s="39">
        <f>((($AN3+($AO3-$AN3)*IF(VLOOKUP($Q3,武学奇术!$A:$ZZ,31,FALSE)=1,$F$18,0.5))*$AH3+$AI3)*(1+$AP3)*(1+$AQ3)+(($AS3+($AT3-$AS3)*IF(VLOOKUP($Q3,武学奇术!$A:$ZZ,31,FALSE)=1,$F$18,0.5))*IF($G$1="鸣金",$AJ3,$AH3)+IF($G$1="鸣金",$AK3*1.5,0))*(1+$AU3)*(1+$AV3)+(($AW3+($AX3-$AW3)*IF(VLOOKUP($Q3,武学奇术!$A:$ZZ,31,FALSE)=1,$F$18,0.5))*IF($G$1="裂石",$AJ3,$AH3)+IF($G$1="裂石",$AK3*1.5,0))*(1+$AY3)*(1+$AZ3)+(($BA3+($BB3-$BA3)*IF(VLOOKUP($Q3,武学奇术!$A:$ZZ,31,FALSE)=1,$F$18,0.5))*IF($G$1="牵丝",$AJ3,$AH3)+IF($G$1="牵丝",$AK3*1.5,0))*(1+$BC3)*(1+$BD3)+(($BE3+($BF3-$BE3)*IF(VLOOKUP($Q3,武学奇术!$A:$ZZ,31,FALSE)=1,$F$18,0.5))*IF($G$1="破竹",$AJ3,$AH3)+IF($G$1="破竹",$AK3*1.5,0))*(1+$BG3)*(1+$BH3))*(1+$AL3)*$BK3*$P3*(1+IF(VLOOKUP($Q3,武学奇术!$A:$ZZ,30,FALSE)="蓄力技",$B$21,0))*(1+$BQ3)</f>
        <v>24773.2705259866</v>
      </c>
      <c r="M3" s="39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24215.6270681056</v>
      </c>
      <c r="N3" s="39">
        <f>((($AN3+($AO3-$AN3)*IF(VLOOKUP($Q3,武学奇术!$A:$ZZ,31,FALSE)=1,$F$18,0.5))*$AH3+$AI3)*(1+$AP3)*(1+$AQ3)+(($AS3+($AT3-$AS3)*IF(VLOOKUP($Q3,武学奇术!$A:$ZZ,31,FALSE)=1,$F$18,0.5))*IF($G$1="鸣金",$AJ3,$AH3)+IF($G$1="鸣金",$AK3*1.5,0))*(1+$AU3)*(1+$AV3)+(($AW3+($AX3-$AW3)*IF(VLOOKUP($Q3,武学奇术!$A:$ZZ,31,FALSE)=1,$F$18,0.5))*IF($G$1="裂石",$AJ3,$AH3)+IF($G$1="裂石",$AK3*1.5,0))*(1+$AY3)*(1+$AZ3)+(($BA3+($BB3-$BA3)*IF(VLOOKUP($Q3,武学奇术!$A:$ZZ,31,FALSE)=1,$F$18,0.5))*IF($G$1="牵丝",$AJ3,$AH3)+IF($G$1="牵丝",$AK3*1.5,0))*(1+$BC3)*(1+$BD3)+(($BE3+($BF3-$BE3)*IF(VLOOKUP($Q3,武学奇术!$A:$ZZ,31,FALSE)=1,$F$18,0.5))*IF($G$1="破竹",$AJ3,$AH3)+IF($G$1="破竹",$AK3*1.5,0))*(1+$BG3)*(1+$BH3))*(1+$AL3)*$P3*(1+IF(VLOOKUP($Q3,武学奇术!$A:$ZZ,30,FALSE)="蓄力技",$B$21,0))*(1+$BQ3)</f>
        <v>15880.3016192222</v>
      </c>
      <c r="O3" s="39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13823.1017065143</v>
      </c>
      <c r="P3" s="40">
        <v>1</v>
      </c>
      <c r="Q3" s="41" t="s">
        <v>70</v>
      </c>
      <c r="R3" s="41" t="s">
        <v>79</v>
      </c>
      <c r="S3" s="41" t="s">
        <v>72</v>
      </c>
      <c r="T3" s="41" t="s">
        <v>72</v>
      </c>
      <c r="U3" s="41" t="s">
        <v>73</v>
      </c>
      <c r="V3" s="41" t="s">
        <v>72</v>
      </c>
      <c r="W3" s="41" t="s">
        <v>72</v>
      </c>
      <c r="X3" s="41" t="s">
        <v>80</v>
      </c>
      <c r="Y3" s="41" t="s">
        <v>81</v>
      </c>
      <c r="Z3" s="41" t="s">
        <v>72</v>
      </c>
      <c r="AA3" s="41" t="s">
        <v>72</v>
      </c>
      <c r="AB3" s="41" t="s">
        <v>72</v>
      </c>
      <c r="AC3" s="41" t="s">
        <v>72</v>
      </c>
      <c r="AD3" s="41" t="s">
        <v>72</v>
      </c>
      <c r="AE3" s="41" t="s">
        <v>75</v>
      </c>
      <c r="AF3" s="41" t="s">
        <v>76</v>
      </c>
      <c r="AG3" t="str">
        <f>VLOOKUP($Q3,武学奇术!$A:$ZZ,25,FALSE)</f>
        <v>群体奇术</v>
      </c>
      <c r="AH3" s="27">
        <f>VLOOKUP($Q3,武学奇术!$A:$ZZ,26,FALSE)</f>
        <v>1.4904</v>
      </c>
      <c r="AI3" s="28">
        <f>VLOOKUP($Q3,武学奇术!$A:$ZZ,27,FALSE)*(1+IF(OR($AG3=$F$4,$AG3=$F$5),$B$22,0))</f>
        <v>368</v>
      </c>
      <c r="AJ3" s="27">
        <f>VLOOKUP($Q3,武学奇术!$A:$ZZ,28,FALSE)</f>
        <v>2.2353</v>
      </c>
      <c r="AK3" s="28">
        <f>VLOOKUP($Q3,武学奇术!$A:$ZZ,29,FALSE)*(1+IF(OR($AG3=$F$4,$AG3=$F$5),$B$22,0))</f>
        <v>0</v>
      </c>
      <c r="AL3" s="27" cm="1">
        <f t="array" ref="AL3">$G$3+IFERROR(VLOOKUP($AG3,$F$4:$G$7,2,FALSE),0)+VLOOKUP($Q3,武学奇术!$A:$ZZ,2,FALSE)+SUM(_xlfn.XLOOKUP($R3:$AF3,增益!$A:$A,增益!$B:$B,0))</f>
        <v>0.2237</v>
      </c>
      <c r="AM3" s="27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3804.006</v>
      </c>
      <c r="AO3" cm="1">
        <f t="array" ref="AO3">$E$10*(1+$AM3)+VLOOKUP($Q3,武学奇术!$A:$ZZ,4,FALSE)+SUM(_xlfn.XLOOKUP($R3:$AF3,增益!$A:$A,增益!$D:$D,0))-$I$2</f>
        <v>3804.006</v>
      </c>
      <c r="AP3" s="33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0.287</v>
      </c>
      <c r="AQ3" s="33" cm="1">
        <f t="array" ref="AQ3">$G$10+VLOOKUP($Q3,武学奇术!$A:$ZZ,7,FALSE)+SUM(_xlfn.XLOOKUP(R3:AF3,增益!$A:$A,增益!$G:$G,0))</f>
        <v>0.09</v>
      </c>
      <c r="AR3" s="27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33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3" cm="1">
        <f t="array" ref="AV3">$G$11+VLOOKUP($Q3,武学奇术!$A:$ZZ,10,FALSE)+SUM(_xlfn.XLOOKUP(R3:AF3,增益!$A:$A,增益!$J:$J,0))</f>
        <v>0</v>
      </c>
      <c r="AW3">
        <f t="shared" ref="AW3:AW43" si="3">$D$12*(1+$AR3)</f>
        <v>0</v>
      </c>
      <c r="AX3">
        <f t="shared" ref="AX3:AX43" si="4">$E$12*(1+$AR3)</f>
        <v>0</v>
      </c>
      <c r="AY3" s="33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3" cm="1">
        <f t="array" ref="AZ3">$G$12+VLOOKUP($Q3,武学奇术!$A:$ZZ,12,FALSE)+SUM(_xlfn.XLOOKUP(R3:AF3,增益!$A:$A,增益!$L:$L,0))</f>
        <v>0</v>
      </c>
      <c r="BA3">
        <f t="shared" ref="BA3:BA34" si="5">$D$13*(1+$AR3)</f>
        <v>0</v>
      </c>
      <c r="BB3">
        <f t="shared" ref="BB3:BB34" si="6">$E$13*(1+$AR3)</f>
        <v>0</v>
      </c>
      <c r="BC3" s="33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-0.14</v>
      </c>
      <c r="BD3" s="33" cm="1">
        <f t="array" ref="BD3">$G$13+VLOOKUP($Q3,武学奇术!$A:$ZZ,14,FALSE)+SUM(_xlfn.XLOOKUP(R3:AF3,增益!$A:$A,增益!$N:$N,0))</f>
        <v>0</v>
      </c>
      <c r="BE3">
        <f t="shared" ref="BE3:BE34" si="7">$D$14*(1+$AR3)</f>
        <v>570.28</v>
      </c>
      <c r="BF3">
        <f t="shared" ref="BF3:BF34" si="8">$E$14*(1+$AR3)</f>
        <v>1582.156</v>
      </c>
      <c r="BG3" s="33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0.08</v>
      </c>
      <c r="BH3" s="33" cm="1">
        <f t="array" ref="BH3">$G$14+VLOOKUP($Q3,武学奇术!$A:$ZZ,16,FALSE)+SUM(_xlfn.XLOOKUP(R3:AF3,增益!$A:$A,增益!$P:$P,0))</f>
        <v>0.24</v>
      </c>
      <c r="BI3" s="27">
        <f>MIN(IF(VLOOKUP($Q3,武学奇术!$A:$ZZ,23,FALSE)=1,100%,$B$8),100%)</f>
        <v>1</v>
      </c>
      <c r="BJ3" s="27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+MIN(IF(VLOOKUP($Q3,武学奇术!$A:$ZZ,32,FALSE)=1,IF(VLOOKUP($Q3,武学奇术!$A:$ZZ,24,FALSE)=1,100%,MIN(40%,$B$10+VLOOKUP($Q3,武学奇术!$A:$ZZ,19,FALSE)+SUM(_xlfn.XLOOKUP(R3:AF3,增益!$A:$A,增益!$S:$S,0)))+$B$12+SUM(_xlfn.XLOOKUP(R3:AF3,增益!$A:$A,增益!$V:$V,0))),0),12%)</f>
        <v>0.918</v>
      </c>
      <c r="BK3" s="27" cm="1">
        <f t="array" ref="BK3">1+$B$13+VLOOKUP($Q3,武学奇术!$A:$ZZ,18,FALSE)+SUM(_xlfn.XLOOKUP(R3:AF3,增益!$A:$A,增益!$R:$R,0))</f>
        <v>1.56</v>
      </c>
      <c r="BL3" s="27" cm="1">
        <f t="array" ref="BL3">MAX(IF(VLOOKUP($Q3,武学奇术!$A:$ZZ,24,FALSE)=1,100%,MIN(40%,$B$10+VLOOKUP($Q3,武学奇术!$A:$ZZ,19,FALSE)+SUM(_xlfn.XLOOKUP(R3:AF3,增益!$A:$A,增益!$S:$S,0)))+$B$12+SUM(_xlfn.XLOOKUP(R3:AF3,增益!$A:$A,增益!$V:$V,0)))*IF(VLOOKUP($Q3,武学奇术!$A:$ZZ,23,FALSE)=1,0,1)-IF(VLOOKUP($Q3,武学奇术!$A:$ZZ,32,FALSE)=1,12%,0),0)</f>
        <v>0.0895</v>
      </c>
      <c r="BM3" s="27" cm="1">
        <f t="array" ref="BM3">1+$B$14+VLOOKUP($Q3,武学奇术!$A:$ZZ,20,FALSE)+SUM(_xlfn.XLOOKUP(R3:AF3,增益!$A:$A,增益!$T:$T,0))</f>
        <v>1.35</v>
      </c>
      <c r="BN3" s="27">
        <f t="shared" ref="BN3:BN34" si="9">MIN((1-BL3)*BI3,BI3*BJ3)</f>
        <v>0.9105</v>
      </c>
      <c r="BO3" s="27">
        <f t="shared" ref="BO3:BO34" si="10">1-BL3-BN3-BP3</f>
        <v>0</v>
      </c>
      <c r="BP3" s="27">
        <f>IF(VLOOKUP($Q3,武学奇术!$A:$ZZ,22,FALSE)=1,0,(1-$BI3))*(1-$BL3)</f>
        <v>0</v>
      </c>
      <c r="BQ3" s="27" cm="1">
        <f t="array" ref="BQ3">SUM(_xlfn.XLOOKUP(R3:AF3,增益!$A:$A,增益!$W:$W,0))+$I$5</f>
        <v>0.11</v>
      </c>
    </row>
    <row r="4" ht="14.25" spans="1:69">
      <c r="A4" s="51" t="s">
        <v>82</v>
      </c>
      <c r="B4" s="52"/>
      <c r="C4" s="52"/>
      <c r="D4" s="52"/>
      <c r="E4" s="53"/>
      <c r="F4" s="46" t="s">
        <v>83</v>
      </c>
      <c r="G4" s="50">
        <f>B15+B17</f>
        <v>0.1704</v>
      </c>
      <c r="H4" s="54" t="s">
        <v>84</v>
      </c>
      <c r="I4" s="15">
        <f>30</f>
        <v>30</v>
      </c>
      <c r="K4" s="39">
        <f t="shared" si="0"/>
        <v>25210.8830410226</v>
      </c>
      <c r="L4" s="39">
        <f>((($AN4+($AO4-$AN4)*IF(VLOOKUP($Q4,武学奇术!$A:$ZZ,31,FALSE)=1,$F$18,0.5))*$AH4+$AI4)*(1+$AP4)*(1+$AQ4)+(($AS4+($AT4-$AS4)*IF(VLOOKUP($Q4,武学奇术!$A:$ZZ,31,FALSE)=1,$F$18,0.5))*IF($G$1="鸣金",$AJ4,$AH4)+IF($G$1="鸣金",$AK4*1.5,0))*(1+$AU4)*(1+$AV4)+(($AW4+($AX4-$AW4)*IF(VLOOKUP($Q4,武学奇术!$A:$ZZ,31,FALSE)=1,$F$18,0.5))*IF($G$1="裂石",$AJ4,$AH4)+IF($G$1="裂石",$AK4*1.5,0))*(1+$AY4)*(1+$AZ4)+(($BA4+($BB4-$BA4)*IF(VLOOKUP($Q4,武学奇术!$A:$ZZ,31,FALSE)=1,$F$18,0.5))*IF($G$1="牵丝",$AJ4,$AH4)+IF($G$1="牵丝",$AK4*1.5,0))*(1+$BC4)*(1+$BD4)+(($BE4+($BF4-$BE4)*IF(VLOOKUP($Q4,武学奇术!$A:$ZZ,31,FALSE)=1,$F$18,0.5))*IF($G$1="破竹",$AJ4,$AH4)+IF($G$1="破竹",$AK4*1.5,0))*(1+$BG4)*(1+$BH4))*(1+$AL4)*$BK4*$P4*(1+IF(VLOOKUP($Q4,武学奇术!$A:$ZZ,30,FALSE)="蓄力技",$B$21,0))*(1+$BQ4)</f>
        <v>25277.3034407014</v>
      </c>
      <c r="M4" s="39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24535.1760699891</v>
      </c>
      <c r="N4" s="39">
        <f>((($AN4+($AO4-$AN4)*IF(VLOOKUP($Q4,武学奇术!$A:$ZZ,31,FALSE)=1,$F$18,0.5))*$AH4+$AI4)*(1+$AP4)*(1+$AQ4)+(($AS4+($AT4-$AS4)*IF(VLOOKUP($Q4,武学奇术!$A:$ZZ,31,FALSE)=1,$F$18,0.5))*IF($G$1="鸣金",$AJ4,$AH4)+IF($G$1="鸣金",$AK4*1.5,0))*(1+$AU4)*(1+$AV4)+(($AW4+($AX4-$AW4)*IF(VLOOKUP($Q4,武学奇术!$A:$ZZ,31,FALSE)=1,$F$18,0.5))*IF($G$1="裂石",$AJ4,$AH4)+IF($G$1="裂石",$AK4*1.5,0))*(1+$AY4)*(1+$AZ4)+(($BA4+($BB4-$BA4)*IF(VLOOKUP($Q4,武学奇术!$A:$ZZ,31,FALSE)=1,$F$18,0.5))*IF($G$1="牵丝",$AJ4,$AH4)+IF($G$1="牵丝",$AK4*1.5,0))*(1+$BC4)*(1+$BD4)+(($BE4+($BF4-$BE4)*IF(VLOOKUP($Q4,武学奇术!$A:$ZZ,31,FALSE)=1,$F$18,0.5))*IF($G$1="破竹",$AJ4,$AH4)+IF($G$1="破竹",$AK4*1.5,0))*(1+$BG4)*(1+$BH4))*(1+$AL4)*$P4*(1+IF(VLOOKUP($Q4,武学奇术!$A:$ZZ,30,FALSE)="蓄力技",$B$21,0))*(1+$BQ4)</f>
        <v>16100.1932743321</v>
      </c>
      <c r="O4" s="39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14026.1820523759</v>
      </c>
      <c r="P4" s="40">
        <v>1</v>
      </c>
      <c r="Q4" s="41" t="s">
        <v>70</v>
      </c>
      <c r="R4" s="41" t="s">
        <v>85</v>
      </c>
      <c r="S4" s="41" t="s">
        <v>72</v>
      </c>
      <c r="T4" s="41" t="s">
        <v>72</v>
      </c>
      <c r="U4" s="41" t="s">
        <v>73</v>
      </c>
      <c r="V4" s="41" t="s">
        <v>72</v>
      </c>
      <c r="W4" s="41" t="s">
        <v>72</v>
      </c>
      <c r="X4" s="41" t="s">
        <v>86</v>
      </c>
      <c r="Y4" s="41" t="s">
        <v>81</v>
      </c>
      <c r="Z4" s="41" t="s">
        <v>72</v>
      </c>
      <c r="AA4" s="41" t="s">
        <v>72</v>
      </c>
      <c r="AB4" s="41" t="s">
        <v>72</v>
      </c>
      <c r="AC4" s="41" t="s">
        <v>72</v>
      </c>
      <c r="AD4" s="41" t="s">
        <v>72</v>
      </c>
      <c r="AE4" s="41" t="s">
        <v>75</v>
      </c>
      <c r="AF4" s="41" t="s">
        <v>76</v>
      </c>
      <c r="AG4" t="str">
        <f>VLOOKUP($Q4,武学奇术!$A:$ZZ,25,FALSE)</f>
        <v>群体奇术</v>
      </c>
      <c r="AH4" s="27">
        <f>VLOOKUP($Q4,武学奇术!$A:$ZZ,26,FALSE)</f>
        <v>1.4904</v>
      </c>
      <c r="AI4" s="28">
        <f>VLOOKUP($Q4,武学奇术!$A:$ZZ,27,FALSE)*(1+IF(OR($AG4=$F$4,$AG4=$F$5),$B$22,0))</f>
        <v>368</v>
      </c>
      <c r="AJ4" s="27">
        <f>VLOOKUP($Q4,武学奇术!$A:$ZZ,28,FALSE)</f>
        <v>2.2353</v>
      </c>
      <c r="AK4" s="28">
        <f>VLOOKUP($Q4,武学奇术!$A:$ZZ,29,FALSE)*(1+IF(OR($AG4=$F$4,$AG4=$F$5),$B$22,0))</f>
        <v>0</v>
      </c>
      <c r="AL4" s="27" cm="1">
        <f t="array" ref="AL4">$G$3+IFERROR(VLOOKUP($AG4,$F$4:$G$7,2,FALSE),0)+VLOOKUP($Q4,武学奇术!$A:$ZZ,2,FALSE)+SUM(_xlfn.XLOOKUP($R4:$AF4,增益!$A:$A,增益!$B:$B,0))</f>
        <v>0.2337</v>
      </c>
      <c r="AM4" s="27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3804.006</v>
      </c>
      <c r="AO4" cm="1">
        <f t="array" ref="AO4">$E$10*(1+$AM4)+VLOOKUP($Q4,武学奇术!$A:$ZZ,4,FALSE)+SUM(_xlfn.XLOOKUP($R4:$AF4,增益!$A:$A,增益!$D:$D,0))-$I$2</f>
        <v>3804.006</v>
      </c>
      <c r="AP4" s="33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0.297</v>
      </c>
      <c r="AQ4" s="33" cm="1">
        <f t="array" ref="AQ4">$G$10+VLOOKUP($Q4,武学奇术!$A:$ZZ,7,FALSE)+SUM(_xlfn.XLOOKUP(R4:AF4,增益!$A:$A,增益!$G:$G,0))</f>
        <v>0.09</v>
      </c>
      <c r="AR4" s="27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3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3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3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3" cm="1">
        <f t="array" ref="AZ4">$G$12+VLOOKUP($Q4,武学奇术!$A:$ZZ,12,FALSE)+SUM(_xlfn.XLOOKUP(R4:AF4,增益!$A:$A,增益!$L:$L,0))</f>
        <v>0</v>
      </c>
      <c r="BA4">
        <f t="shared" si="5"/>
        <v>0</v>
      </c>
      <c r="BB4">
        <f t="shared" si="6"/>
        <v>0</v>
      </c>
      <c r="BC4" s="33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-0.14</v>
      </c>
      <c r="BD4" s="33" cm="1">
        <f t="array" ref="BD4">$G$13+VLOOKUP($Q4,武学奇术!$A:$ZZ,14,FALSE)+SUM(_xlfn.XLOOKUP(R4:AF4,增益!$A:$A,增益!$N:$N,0))</f>
        <v>0</v>
      </c>
      <c r="BE4">
        <f t="shared" si="7"/>
        <v>570.28</v>
      </c>
      <c r="BF4">
        <f t="shared" si="8"/>
        <v>1582.156</v>
      </c>
      <c r="BG4" s="33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0.08</v>
      </c>
      <c r="BH4" s="33" cm="1">
        <f t="array" ref="BH4">$G$14+VLOOKUP($Q4,武学奇术!$A:$ZZ,16,FALSE)+SUM(_xlfn.XLOOKUP(R4:AF4,增益!$A:$A,增益!$P:$P,0))</f>
        <v>0.24</v>
      </c>
      <c r="BI4" s="27">
        <f>MIN(IF(VLOOKUP($Q4,武学奇术!$A:$ZZ,23,FALSE)=1,100%,$B$8),100%)</f>
        <v>1</v>
      </c>
      <c r="BJ4" s="27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+MIN(IF(VLOOKUP($Q4,武学奇术!$A:$ZZ,32,FALSE)=1,IF(VLOOKUP($Q4,武学奇术!$A:$ZZ,24,FALSE)=1,100%,MIN(40%,$B$10+VLOOKUP($Q4,武学奇术!$A:$ZZ,19,FALSE)+SUM(_xlfn.XLOOKUP(R4:AF4,增益!$A:$A,增益!$S:$S,0)))+$B$12+SUM(_xlfn.XLOOKUP(R4:AF4,增益!$A:$A,增益!$V:$V,0))),0),12%)</f>
        <v>0.918</v>
      </c>
      <c r="BK4" s="27" cm="1">
        <f t="array" ref="BK4">1+$B$13+VLOOKUP($Q4,武学奇术!$A:$ZZ,18,FALSE)+SUM(_xlfn.XLOOKUP(R4:AF4,增益!$A:$A,增益!$R:$R,0))</f>
        <v>1.57</v>
      </c>
      <c r="BL4" s="27" cm="1">
        <f t="array" ref="BL4">MAX(IF(VLOOKUP($Q4,武学奇术!$A:$ZZ,24,FALSE)=1,100%,MIN(40%,$B$10+VLOOKUP($Q4,武学奇术!$A:$ZZ,19,FALSE)+SUM(_xlfn.XLOOKUP(R4:AF4,增益!$A:$A,增益!$S:$S,0)))+$B$12+SUM(_xlfn.XLOOKUP(R4:AF4,增益!$A:$A,增益!$V:$V,0)))*IF(VLOOKUP($Q4,武学奇术!$A:$ZZ,23,FALSE)=1,0,1)-IF(VLOOKUP($Q4,武学奇术!$A:$ZZ,32,FALSE)=1,12%,0),0)</f>
        <v>0.0895</v>
      </c>
      <c r="BM4" s="27" cm="1">
        <f t="array" ref="BM4">1+$B$14+VLOOKUP($Q4,武学奇术!$A:$ZZ,20,FALSE)+SUM(_xlfn.XLOOKUP(R4:AF4,增益!$A:$A,增益!$T:$T,0))</f>
        <v>1.35</v>
      </c>
      <c r="BN4" s="27">
        <f t="shared" si="9"/>
        <v>0.9105</v>
      </c>
      <c r="BO4" s="27">
        <f t="shared" si="10"/>
        <v>0</v>
      </c>
      <c r="BP4" s="27">
        <f>IF(VLOOKUP($Q4,武学奇术!$A:$ZZ,22,FALSE)=1,0,(1-$BI4))*(1-$BL4)</f>
        <v>0</v>
      </c>
      <c r="BQ4" s="27" cm="1">
        <f t="array" ref="BQ4">SUM(_xlfn.XLOOKUP(R4:AF4,增益!$A:$A,增益!$W:$W,0))+$I$5</f>
        <v>0.11</v>
      </c>
    </row>
    <row r="5" spans="1:69">
      <c r="A5" s="55" t="s">
        <v>87</v>
      </c>
      <c r="B5" s="56"/>
      <c r="C5" s="56"/>
      <c r="D5" s="56"/>
      <c r="E5" s="57"/>
      <c r="F5" s="46" t="s">
        <v>88</v>
      </c>
      <c r="G5" s="50">
        <f>B15+B18</f>
        <v>0.0852</v>
      </c>
      <c r="H5" t="s">
        <v>89</v>
      </c>
      <c r="I5" s="29">
        <v>0.06</v>
      </c>
      <c r="K5" s="39">
        <f t="shared" si="0"/>
        <v>25704.6871029815</v>
      </c>
      <c r="L5" s="39">
        <f>((($AN5+($AO5-$AN5)*IF(VLOOKUP($Q5,武学奇术!$A:$ZZ,31,FALSE)=1,$F$18,0.5))*$AH5+$AI5)*(1+$AP5)*(1+$AQ5)+(($AS5+($AT5-$AS5)*IF(VLOOKUP($Q5,武学奇术!$A:$ZZ,31,FALSE)=1,$F$18,0.5))*IF($G$1="鸣金",$AJ5,$AH5)+IF($G$1="鸣金",$AK5*1.5,0))*(1+$AU5)*(1+$AV5)+(($AW5+($AX5-$AW5)*IF(VLOOKUP($Q5,武学奇术!$A:$ZZ,31,FALSE)=1,$F$18,0.5))*IF($G$1="裂石",$AJ5,$AH5)+IF($G$1="裂石",$AK5*1.5,0))*(1+$AY5)*(1+$AZ5)+(($BA5+($BB5-$BA5)*IF(VLOOKUP($Q5,武学奇术!$A:$ZZ,31,FALSE)=1,$F$18,0.5))*IF($G$1="牵丝",$AJ5,$AH5)+IF($G$1="牵丝",$AK5*1.5,0))*(1+$BC5)*(1+$BD5)+(($BE5+($BF5-$BE5)*IF(VLOOKUP($Q5,武学奇术!$A:$ZZ,31,FALSE)=1,$F$18,0.5))*IF($G$1="破竹",$AJ5,$AH5)+IF($G$1="破竹",$AK5*1.5,0))*(1+$BG5)*(1+$BH5))*(1+$AL5)*$BK5*$P5*(1+IF(VLOOKUP($Q5,武学奇术!$A:$ZZ,30,FALSE)="蓄力技",$B$21,0))*(1+$BQ5)</f>
        <v>25788.0424926174</v>
      </c>
      <c r="M5" s="39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24856.6973570205</v>
      </c>
      <c r="N5" s="39">
        <f>((($AN5+($AO5-$AN5)*IF(VLOOKUP($Q5,武学奇术!$A:$ZZ,31,FALSE)=1,$F$18,0.5))*$AH5+$AI5)*(1+$AP5)*(1+$AQ5)+(($AS5+($AT5-$AS5)*IF(VLOOKUP($Q5,武学奇术!$A:$ZZ,31,FALSE)=1,$F$18,0.5))*IF($G$1="鸣金",$AJ5,$AH5)+IF($G$1="鸣金",$AK5*1.5,0))*(1+$AU5)*(1+$AV5)+(($AW5+($AX5-$AW5)*IF(VLOOKUP($Q5,武学奇术!$A:$ZZ,31,FALSE)=1,$F$18,0.5))*IF($G$1="裂石",$AJ5,$AH5)+IF($G$1="裂石",$AK5*1.5,0))*(1+$AY5)*(1+$AZ5)+(($BA5+($BB5-$BA5)*IF(VLOOKUP($Q5,武学奇术!$A:$ZZ,31,FALSE)=1,$F$18,0.5))*IF($G$1="牵丝",$AJ5,$AH5)+IF($G$1="牵丝",$AK5*1.5,0))*(1+$BC5)*(1+$BD5)+(($BE5+($BF5-$BE5)*IF(VLOOKUP($Q5,武学奇术!$A:$ZZ,31,FALSE)=1,$F$18,0.5))*IF($G$1="破竹",$AJ5,$AH5)+IF($G$1="破竹",$AK5*1.5,0))*(1+$BG5)*(1+$BH5))*(1+$AL5)*$P5*(1+IF(VLOOKUP($Q5,武学奇术!$A:$ZZ,30,FALSE)="蓄力技",$B$21,0))*(1+$BQ5)</f>
        <v>16321.5458814034</v>
      </c>
      <c r="O5" s="39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14230.723350199</v>
      </c>
      <c r="P5" s="40">
        <v>1</v>
      </c>
      <c r="Q5" s="41" t="s">
        <v>70</v>
      </c>
      <c r="R5" s="41" t="s">
        <v>90</v>
      </c>
      <c r="S5" s="41" t="s">
        <v>72</v>
      </c>
      <c r="T5" s="41" t="s">
        <v>72</v>
      </c>
      <c r="U5" s="41" t="s">
        <v>73</v>
      </c>
      <c r="V5" s="41" t="s">
        <v>72</v>
      </c>
      <c r="W5" s="41" t="s">
        <v>72</v>
      </c>
      <c r="X5" s="41" t="s">
        <v>91</v>
      </c>
      <c r="Y5" s="41" t="s">
        <v>81</v>
      </c>
      <c r="Z5" s="41" t="s">
        <v>72</v>
      </c>
      <c r="AA5" s="41" t="s">
        <v>72</v>
      </c>
      <c r="AB5" s="41" t="s">
        <v>72</v>
      </c>
      <c r="AC5" s="41" t="s">
        <v>72</v>
      </c>
      <c r="AD5" s="41" t="s">
        <v>72</v>
      </c>
      <c r="AE5" s="41" t="s">
        <v>75</v>
      </c>
      <c r="AF5" s="41" t="s">
        <v>76</v>
      </c>
      <c r="AG5" t="str">
        <f>VLOOKUP($Q5,武学奇术!$A:$ZZ,25,FALSE)</f>
        <v>群体奇术</v>
      </c>
      <c r="AH5" s="27">
        <f>VLOOKUP($Q5,武学奇术!$A:$ZZ,26,FALSE)</f>
        <v>1.4904</v>
      </c>
      <c r="AI5" s="28">
        <f>VLOOKUP($Q5,武学奇术!$A:$ZZ,27,FALSE)*(1+IF(OR($AG5=$F$4,$AG5=$F$5),$B$22,0))</f>
        <v>368</v>
      </c>
      <c r="AJ5" s="27">
        <f>VLOOKUP($Q5,武学奇术!$A:$ZZ,28,FALSE)</f>
        <v>2.2353</v>
      </c>
      <c r="AK5" s="28">
        <f>VLOOKUP($Q5,武学奇术!$A:$ZZ,29,FALSE)*(1+IF(OR($AG5=$F$4,$AG5=$F$5),$B$22,0))</f>
        <v>0</v>
      </c>
      <c r="AL5" s="27" cm="1">
        <f t="array" ref="AL5">$G$3+IFERROR(VLOOKUP($AG5,$F$4:$G$7,2,FALSE),0)+VLOOKUP($Q5,武学奇术!$A:$ZZ,2,FALSE)+SUM(_xlfn.XLOOKUP($R5:$AF5,增益!$A:$A,增益!$B:$B,0))</f>
        <v>0.2437</v>
      </c>
      <c r="AM5" s="27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3804.006</v>
      </c>
      <c r="AO5" cm="1">
        <f t="array" ref="AO5">$E$10*(1+$AM5)+VLOOKUP($Q5,武学奇术!$A:$ZZ,4,FALSE)+SUM(_xlfn.XLOOKUP($R5:$AF5,增益!$A:$A,增益!$D:$D,0))-$I$2</f>
        <v>3804.006</v>
      </c>
      <c r="AP5" s="33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0.307</v>
      </c>
      <c r="AQ5" s="33" cm="1">
        <f t="array" ref="AQ5">$G$10+VLOOKUP($Q5,武学奇术!$A:$ZZ,7,FALSE)+SUM(_xlfn.XLOOKUP(R5:AF5,增益!$A:$A,增益!$G:$G,0))</f>
        <v>0.09</v>
      </c>
      <c r="AR5" s="27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3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3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3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3" cm="1">
        <f t="array" ref="AZ5">$G$12+VLOOKUP($Q5,武学奇术!$A:$ZZ,12,FALSE)+SUM(_xlfn.XLOOKUP(R5:AF5,增益!$A:$A,增益!$L:$L,0))</f>
        <v>0</v>
      </c>
      <c r="BA5">
        <f t="shared" si="5"/>
        <v>0</v>
      </c>
      <c r="BB5">
        <f t="shared" si="6"/>
        <v>0</v>
      </c>
      <c r="BC5" s="33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-0.14</v>
      </c>
      <c r="BD5" s="33" cm="1">
        <f t="array" ref="BD5">$G$13+VLOOKUP($Q5,武学奇术!$A:$ZZ,14,FALSE)+SUM(_xlfn.XLOOKUP(R5:AF5,增益!$A:$A,增益!$N:$N,0))</f>
        <v>0</v>
      </c>
      <c r="BE5">
        <f t="shared" si="7"/>
        <v>570.28</v>
      </c>
      <c r="BF5">
        <f t="shared" si="8"/>
        <v>1582.156</v>
      </c>
      <c r="BG5" s="33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0.08</v>
      </c>
      <c r="BH5" s="33" cm="1">
        <f t="array" ref="BH5">$G$14+VLOOKUP($Q5,武学奇术!$A:$ZZ,16,FALSE)+SUM(_xlfn.XLOOKUP(R5:AF5,增益!$A:$A,增益!$P:$P,0))</f>
        <v>0.24</v>
      </c>
      <c r="BI5" s="27">
        <f>MIN(IF(VLOOKUP($Q5,武学奇术!$A:$ZZ,23,FALSE)=1,100%,$B$8),100%)</f>
        <v>1</v>
      </c>
      <c r="BJ5" s="27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+MIN(IF(VLOOKUP($Q5,武学奇术!$A:$ZZ,32,FALSE)=1,IF(VLOOKUP($Q5,武学奇术!$A:$ZZ,24,FALSE)=1,100%,MIN(40%,$B$10+VLOOKUP($Q5,武学奇术!$A:$ZZ,19,FALSE)+SUM(_xlfn.XLOOKUP(R5:AF5,增益!$A:$A,增益!$S:$S,0)))+$B$12+SUM(_xlfn.XLOOKUP(R5:AF5,增益!$A:$A,增益!$V:$V,0))),0),12%)</f>
        <v>0.918</v>
      </c>
      <c r="BK5" s="27" cm="1">
        <f t="array" ref="BK5">1+$B$13+VLOOKUP($Q5,武学奇术!$A:$ZZ,18,FALSE)+SUM(_xlfn.XLOOKUP(R5:AF5,增益!$A:$A,增益!$R:$R,0))</f>
        <v>1.58</v>
      </c>
      <c r="BL5" s="27" cm="1">
        <f t="array" ref="BL5">MAX(IF(VLOOKUP($Q5,武学奇术!$A:$ZZ,24,FALSE)=1,100%,MIN(40%,$B$10+VLOOKUP($Q5,武学奇术!$A:$ZZ,19,FALSE)+SUM(_xlfn.XLOOKUP(R5:AF5,增益!$A:$A,增益!$S:$S,0)))+$B$12+SUM(_xlfn.XLOOKUP(R5:AF5,增益!$A:$A,增益!$V:$V,0)))*IF(VLOOKUP($Q5,武学奇术!$A:$ZZ,23,FALSE)=1,0,1)-IF(VLOOKUP($Q5,武学奇术!$A:$ZZ,32,FALSE)=1,12%,0),0)</f>
        <v>0.0895</v>
      </c>
      <c r="BM5" s="27" cm="1">
        <f t="array" ref="BM5">1+$B$14+VLOOKUP($Q5,武学奇术!$A:$ZZ,20,FALSE)+SUM(_xlfn.XLOOKUP(R5:AF5,增益!$A:$A,增益!$T:$T,0))</f>
        <v>1.35</v>
      </c>
      <c r="BN5" s="27">
        <f t="shared" si="9"/>
        <v>0.9105</v>
      </c>
      <c r="BO5" s="27">
        <f t="shared" si="10"/>
        <v>0</v>
      </c>
      <c r="BP5" s="27">
        <f>IF(VLOOKUP($Q5,武学奇术!$A:$ZZ,22,FALSE)=1,0,(1-$BI5))*(1-$BL5)</f>
        <v>0</v>
      </c>
      <c r="BQ5" s="27" cm="1">
        <f t="array" ref="BQ5">SUM(_xlfn.XLOOKUP(R5:AF5,增益!$A:$A,增益!$W:$W,0))+$I$5</f>
        <v>0.11</v>
      </c>
    </row>
    <row r="6" spans="1:69">
      <c r="A6" s="58" t="s">
        <v>5</v>
      </c>
      <c r="B6" s="59">
        <v>472</v>
      </c>
      <c r="C6" s="59">
        <v>1289</v>
      </c>
      <c r="D6" s="59">
        <v>30</v>
      </c>
      <c r="E6" s="60">
        <v>0.15</v>
      </c>
      <c r="F6" s="46" t="s">
        <v>92</v>
      </c>
      <c r="G6" s="50">
        <f>B19</f>
        <v>0</v>
      </c>
      <c r="K6" s="39">
        <f t="shared" si="0"/>
        <v>26054.1771355805</v>
      </c>
      <c r="L6" s="39">
        <f>((($AN6+($AO6-$AN6)*IF(VLOOKUP($Q6,武学奇术!$A:$ZZ,31,FALSE)=1,$F$18,0.5))*$AH6+$AI6)*(1+$AP6)*(1+$AQ6)+(($AS6+($AT6-$AS6)*IF(VLOOKUP($Q6,武学奇术!$A:$ZZ,31,FALSE)=1,$F$18,0.5))*IF($G$1="鸣金",$AJ6,$AH6)+IF($G$1="鸣金",$AK6*1.5,0))*(1+$AU6)*(1+$AV6)+(($AW6+($AX6-$AW6)*IF(VLOOKUP($Q6,武学奇术!$A:$ZZ,31,FALSE)=1,$F$18,0.5))*IF($G$1="裂石",$AJ6,$AH6)+IF($G$1="裂石",$AK6*1.5,0))*(1+$AY6)*(1+$AZ6)+(($BA6+($BB6-$BA6)*IF(VLOOKUP($Q6,武学奇术!$A:$ZZ,31,FALSE)=1,$F$18,0.5))*IF($G$1="牵丝",$AJ6,$AH6)+IF($G$1="牵丝",$AK6*1.5,0))*(1+$BC6)*(1+$BD6)+(($BE6+($BF6-$BE6)*IF(VLOOKUP($Q6,武学奇术!$A:$ZZ,31,FALSE)=1,$F$18,0.5))*IF($G$1="破竹",$AJ6,$AH6)+IF($G$1="破竹",$AK6*1.5,0))*(1+$BG6)*(1+$BH6))*(1+$AL6)*$BK6*$P6*(1+IF(VLOOKUP($Q6,武学奇术!$A:$ZZ,30,FALSE)="蓄力技",$B$21,0))*(1+$BQ6)</f>
        <v>26140.0879158892</v>
      </c>
      <c r="M6" s="39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25180.1909291999</v>
      </c>
      <c r="N6" s="39">
        <f>((($AN6+($AO6-$AN6)*IF(VLOOKUP($Q6,武学奇术!$A:$ZZ,31,FALSE)=1,$F$18,0.5))*$AH6+$AI6)*(1+$AP6)*(1+$AQ6)+(($AS6+($AT6-$AS6)*IF(VLOOKUP($Q6,武学奇术!$A:$ZZ,31,FALSE)=1,$F$18,0.5))*IF($G$1="鸣金",$AJ6,$AH6)+IF($G$1="鸣金",$AK6*1.5,0))*(1+$AU6)*(1+$AV6)+(($AW6+($AX6-$AW6)*IF(VLOOKUP($Q6,武学奇术!$A:$ZZ,31,FALSE)=1,$F$18,0.5))*IF($G$1="裂石",$AJ6,$AH6)+IF($G$1="裂石",$AK6*1.5,0))*(1+$AY6)*(1+$AZ6)+(($BA6+($BB6-$BA6)*IF(VLOOKUP($Q6,武学奇术!$A:$ZZ,31,FALSE)=1,$F$18,0.5))*IF($G$1="牵丝",$AJ6,$AH6)+IF($G$1="牵丝",$AK6*1.5,0))*(1+$BC6)*(1+$BD6)+(($BE6+($BF6-$BE6)*IF(VLOOKUP($Q6,武学奇术!$A:$ZZ,31,FALSE)=1,$F$18,0.5))*IF($G$1="破竹",$AJ6,$AH6)+IF($G$1="破竹",$AK6*1.5,0))*(1+$BG6)*(1+$BH6))*(1+$AL6)*$P6*(1+IF(VLOOKUP($Q6,武学奇术!$A:$ZZ,30,FALSE)="蓄力技",$B$21,0))*(1+$BQ6)</f>
        <v>16544.3594404362</v>
      </c>
      <c r="O6" s="39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14436.7255999835</v>
      </c>
      <c r="P6" s="40">
        <v>1</v>
      </c>
      <c r="Q6" s="41" t="s">
        <v>70</v>
      </c>
      <c r="R6" s="41" t="s">
        <v>93</v>
      </c>
      <c r="S6" s="41" t="s">
        <v>72</v>
      </c>
      <c r="T6" s="41" t="s">
        <v>72</v>
      </c>
      <c r="U6" s="41" t="s">
        <v>73</v>
      </c>
      <c r="V6" s="41" t="s">
        <v>72</v>
      </c>
      <c r="W6" s="41" t="s">
        <v>72</v>
      </c>
      <c r="X6" s="41" t="s">
        <v>91</v>
      </c>
      <c r="Y6" s="41" t="s">
        <v>81</v>
      </c>
      <c r="Z6" s="41" t="s">
        <v>72</v>
      </c>
      <c r="AA6" s="41" t="s">
        <v>72</v>
      </c>
      <c r="AB6" s="41" t="s">
        <v>72</v>
      </c>
      <c r="AC6" s="41" t="s">
        <v>72</v>
      </c>
      <c r="AD6" s="41" t="s">
        <v>72</v>
      </c>
      <c r="AE6" s="41" t="s">
        <v>75</v>
      </c>
      <c r="AF6" s="41" t="s">
        <v>76</v>
      </c>
      <c r="AG6" t="str">
        <f>VLOOKUP($Q6,武学奇术!$A:$ZZ,25,FALSE)</f>
        <v>群体奇术</v>
      </c>
      <c r="AH6" s="27">
        <f>VLOOKUP($Q6,武学奇术!$A:$ZZ,26,FALSE)</f>
        <v>1.4904</v>
      </c>
      <c r="AI6" s="28">
        <f>VLOOKUP($Q6,武学奇术!$A:$ZZ,27,FALSE)*(1+IF(OR($AG6=$F$4,$AG6=$F$5),$B$22,0))</f>
        <v>368</v>
      </c>
      <c r="AJ6" s="27">
        <f>VLOOKUP($Q6,武学奇术!$A:$ZZ,28,FALSE)</f>
        <v>2.2353</v>
      </c>
      <c r="AK6" s="28">
        <f>VLOOKUP($Q6,武学奇术!$A:$ZZ,29,FALSE)*(1+IF(OR($AG6=$F$4,$AG6=$F$5),$B$22,0))</f>
        <v>0</v>
      </c>
      <c r="AL6" s="27" cm="1">
        <f t="array" ref="AL6">$G$3+IFERROR(VLOOKUP($AG6,$F$4:$G$7,2,FALSE),0)+VLOOKUP($Q6,武学奇术!$A:$ZZ,2,FALSE)+SUM(_xlfn.XLOOKUP($R6:$AF6,增益!$A:$A,增益!$B:$B,0))</f>
        <v>0.2537</v>
      </c>
      <c r="AM6" s="27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3804.006</v>
      </c>
      <c r="AO6" cm="1">
        <f t="array" ref="AO6">$E$10*(1+$AM6)+VLOOKUP($Q6,武学奇术!$A:$ZZ,4,FALSE)+SUM(_xlfn.XLOOKUP($R6:$AF6,增益!$A:$A,增益!$D:$D,0))-$I$2</f>
        <v>3804.006</v>
      </c>
      <c r="AP6" s="33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0.317</v>
      </c>
      <c r="AQ6" s="33" cm="1">
        <f t="array" ref="AQ6">$G$10+VLOOKUP($Q6,武学奇术!$A:$ZZ,7,FALSE)+SUM(_xlfn.XLOOKUP(R6:AF6,增益!$A:$A,增益!$G:$G,0))</f>
        <v>0.09</v>
      </c>
      <c r="AR6" s="27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3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3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3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3" cm="1">
        <f t="array" ref="AZ6">$G$12+VLOOKUP($Q6,武学奇术!$A:$ZZ,12,FALSE)+SUM(_xlfn.XLOOKUP(R6:AF6,增益!$A:$A,增益!$L:$L,0))</f>
        <v>0</v>
      </c>
      <c r="BA6">
        <f t="shared" si="5"/>
        <v>0</v>
      </c>
      <c r="BB6">
        <f t="shared" si="6"/>
        <v>0</v>
      </c>
      <c r="BC6" s="33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-0.14</v>
      </c>
      <c r="BD6" s="33" cm="1">
        <f t="array" ref="BD6">$G$13+VLOOKUP($Q6,武学奇术!$A:$ZZ,14,FALSE)+SUM(_xlfn.XLOOKUP(R6:AF6,增益!$A:$A,增益!$N:$N,0))</f>
        <v>0</v>
      </c>
      <c r="BE6">
        <f t="shared" si="7"/>
        <v>570.28</v>
      </c>
      <c r="BF6">
        <f t="shared" si="8"/>
        <v>1582.156</v>
      </c>
      <c r="BG6" s="33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0.08</v>
      </c>
      <c r="BH6" s="33" cm="1">
        <f t="array" ref="BH6">$G$14+VLOOKUP($Q6,武学奇术!$A:$ZZ,16,FALSE)+SUM(_xlfn.XLOOKUP(R6:AF6,增益!$A:$A,增益!$P:$P,0))</f>
        <v>0.24</v>
      </c>
      <c r="BI6" s="27">
        <f>MIN(IF(VLOOKUP($Q6,武学奇术!$A:$ZZ,23,FALSE)=1,100%,$B$8),100%)</f>
        <v>1</v>
      </c>
      <c r="BJ6" s="27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+MIN(IF(VLOOKUP($Q6,武学奇术!$A:$ZZ,32,FALSE)=1,IF(VLOOKUP($Q6,武学奇术!$A:$ZZ,24,FALSE)=1,100%,MIN(40%,$B$10+VLOOKUP($Q6,武学奇术!$A:$ZZ,19,FALSE)+SUM(_xlfn.XLOOKUP(R6:AF6,增益!$A:$A,增益!$S:$S,0)))+$B$12+SUM(_xlfn.XLOOKUP(R6:AF6,增益!$A:$A,增益!$V:$V,0))),0),12%)</f>
        <v>0.918</v>
      </c>
      <c r="BK6" s="27" cm="1">
        <f t="array" ref="BK6">1+$B$13+VLOOKUP($Q6,武学奇术!$A:$ZZ,18,FALSE)+SUM(_xlfn.XLOOKUP(R6:AF6,增益!$A:$A,增益!$R:$R,0))</f>
        <v>1.58</v>
      </c>
      <c r="BL6" s="27" cm="1">
        <f t="array" ref="BL6">MAX(IF(VLOOKUP($Q6,武学奇术!$A:$ZZ,24,FALSE)=1,100%,MIN(40%,$B$10+VLOOKUP($Q6,武学奇术!$A:$ZZ,19,FALSE)+SUM(_xlfn.XLOOKUP(R6:AF6,增益!$A:$A,增益!$S:$S,0)))+$B$12+SUM(_xlfn.XLOOKUP(R6:AF6,增益!$A:$A,增益!$V:$V,0)))*IF(VLOOKUP($Q6,武学奇术!$A:$ZZ,23,FALSE)=1,0,1)-IF(VLOOKUP($Q6,武学奇术!$A:$ZZ,32,FALSE)=1,12%,0),0)</f>
        <v>0.0895</v>
      </c>
      <c r="BM6" s="27" cm="1">
        <f t="array" ref="BM6">1+$B$14+VLOOKUP($Q6,武学奇术!$A:$ZZ,20,FALSE)+SUM(_xlfn.XLOOKUP(R6:AF6,增益!$A:$A,增益!$T:$T,0))</f>
        <v>1.35</v>
      </c>
      <c r="BN6" s="27">
        <f t="shared" si="9"/>
        <v>0.9105</v>
      </c>
      <c r="BO6" s="27">
        <f t="shared" si="10"/>
        <v>0</v>
      </c>
      <c r="BP6" s="27">
        <f>IF(VLOOKUP($Q6,武学奇术!$A:$ZZ,22,FALSE)=1,0,(1-$BI6))*(1-$BL6)</f>
        <v>0</v>
      </c>
      <c r="BQ6" s="27" cm="1">
        <f t="array" ref="BQ6">SUM(_xlfn.XLOOKUP(R6:AF6,增益!$A:$A,增益!$W:$W,0))+$I$5</f>
        <v>0.11</v>
      </c>
    </row>
    <row r="7" ht="14.25" spans="1:69">
      <c r="A7" s="87" t="s">
        <v>94</v>
      </c>
      <c r="B7" s="92">
        <v>66</v>
      </c>
      <c r="C7" s="61">
        <f>66+68.8*2</f>
        <v>203.6</v>
      </c>
      <c r="D7" s="62"/>
      <c r="E7" s="63"/>
      <c r="F7" s="54" t="s">
        <v>95</v>
      </c>
      <c r="G7" s="64">
        <f>B20</f>
        <v>0</v>
      </c>
      <c r="K7" s="39">
        <f t="shared" si="0"/>
        <v>8809.65277204557</v>
      </c>
      <c r="L7" s="39">
        <f>((($AN7+($AO7-$AN7)*IF(VLOOKUP($Q7,武学奇术!$A:$ZZ,31,FALSE)=1,$F$18,0.5))*$AH7+$AI7)*(1+$AP7)*(1+$AQ7)+(($AS7+($AT7-$AS7)*IF(VLOOKUP($Q7,武学奇术!$A:$ZZ,31,FALSE)=1,$F$18,0.5))*IF($G$1="鸣金",$AJ7,$AH7)+IF($G$1="鸣金",$AK7*1.5,0))*(1+$AU7)*(1+$AV7)+(($AW7+($AX7-$AW7)*IF(VLOOKUP($Q7,武学奇术!$A:$ZZ,31,FALSE)=1,$F$18,0.5))*IF($G$1="裂石",$AJ7,$AH7)+IF($G$1="裂石",$AK7*1.5,0))*(1+$AY7)*(1+$AZ7)+(($BA7+($BB7-$BA7)*IF(VLOOKUP($Q7,武学奇术!$A:$ZZ,31,FALSE)=1,$F$18,0.5))*IF($G$1="牵丝",$AJ7,$AH7)+IF($G$1="牵丝",$AK7*1.5,0))*(1+$BC7)*(1+$BD7)+(($BE7+($BF7-$BE7)*IF(VLOOKUP($Q7,武学奇术!$A:$ZZ,31,FALSE)=1,$F$18,0.5))*IF($G$1="破竹",$AJ7,$AH7)+IF($G$1="破竹",$AK7*1.5,0))*(1+$BG7)*(1+$BH7))*(1+$AL7)*$BK7*$P7*(1+IF(VLOOKUP($Q7,武学奇术!$A:$ZZ,30,FALSE)="蓄力技",$B$21,0))*(1+$BQ7)</f>
        <v>8827.44908221528</v>
      </c>
      <c r="M7" s="39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8628.60762780508</v>
      </c>
      <c r="N7" s="39">
        <f>((($AN7+($AO7-$AN7)*IF(VLOOKUP($Q7,武学奇术!$A:$ZZ,31,FALSE)=1,$F$18,0.5))*$AH7+$AI7)*(1+$AP7)*(1+$AQ7)+(($AS7+($AT7-$AS7)*IF(VLOOKUP($Q7,武学奇术!$A:$ZZ,31,FALSE)=1,$F$18,0.5))*IF($G$1="鸣金",$AJ7,$AH7)+IF($G$1="鸣金",$AK7*1.5,0))*(1+$AU7)*(1+$AV7)+(($AW7+($AX7-$AW7)*IF(VLOOKUP($Q7,武学奇术!$A:$ZZ,31,FALSE)=1,$F$18,0.5))*IF($G$1="裂石",$AJ7,$AH7)+IF($G$1="裂石",$AK7*1.5,0))*(1+$AY7)*(1+$AZ7)+(($BA7+($BB7-$BA7)*IF(VLOOKUP($Q7,武学奇术!$A:$ZZ,31,FALSE)=1,$F$18,0.5))*IF($G$1="牵丝",$AJ7,$AH7)+IF($G$1="牵丝",$AK7*1.5,0))*(1+$BC7)*(1+$BD7)+(($BE7+($BF7-$BE7)*IF(VLOOKUP($Q7,武学奇术!$A:$ZZ,31,FALSE)=1,$F$18,0.5))*IF($G$1="破竹",$AJ7,$AH7)+IF($G$1="破竹",$AK7*1.5,0))*(1+$BG7)*(1+$BH7))*(1+$AL7)*$P7*(1+IF(VLOOKUP($Q7,武学奇术!$A:$ZZ,30,FALSE)="蓄力技",$B$21,0))*(1+$BQ7)</f>
        <v>5732.10979364629</v>
      </c>
      <c r="O7" s="39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5072.65838151104</v>
      </c>
      <c r="P7" s="40">
        <v>1</v>
      </c>
      <c r="Q7" s="41" t="s">
        <v>96</v>
      </c>
      <c r="R7" s="41" t="s">
        <v>72</v>
      </c>
      <c r="S7" s="41" t="s">
        <v>72</v>
      </c>
      <c r="T7" s="41" t="s">
        <v>72</v>
      </c>
      <c r="U7" s="41" t="s">
        <v>72</v>
      </c>
      <c r="V7" s="41" t="s">
        <v>72</v>
      </c>
      <c r="W7" s="41" t="s">
        <v>72</v>
      </c>
      <c r="X7" s="41" t="s">
        <v>72</v>
      </c>
      <c r="Y7" s="41" t="s">
        <v>72</v>
      </c>
      <c r="Z7" s="41" t="s">
        <v>72</v>
      </c>
      <c r="AA7" s="41" t="s">
        <v>72</v>
      </c>
      <c r="AB7" s="41" t="s">
        <v>72</v>
      </c>
      <c r="AC7" s="41" t="s">
        <v>72</v>
      </c>
      <c r="AD7" s="41" t="s">
        <v>72</v>
      </c>
      <c r="AE7" s="41" t="s">
        <v>75</v>
      </c>
      <c r="AF7" s="41" t="s">
        <v>76</v>
      </c>
      <c r="AG7" t="str">
        <f>VLOOKUP($Q7,武学奇术!$A:$ZZ,25,FALSE)</f>
        <v>绳镖</v>
      </c>
      <c r="AH7" s="27">
        <f>VLOOKUP($Q7,武学奇术!$A:$ZZ,26,FALSE)</f>
        <v>0.4975</v>
      </c>
      <c r="AI7" s="28">
        <f>VLOOKUP($Q7,武学奇术!$A:$ZZ,27,FALSE)*(1+IF(OR($AG7=$F$4,$AG7=$F$5),$B$22,0))</f>
        <v>191.8</v>
      </c>
      <c r="AJ7" s="27">
        <f>VLOOKUP($Q7,武学奇术!$A:$ZZ,28,FALSE)</f>
        <v>0.7463</v>
      </c>
      <c r="AK7" s="28">
        <f>VLOOKUP($Q7,武学奇术!$A:$ZZ,29,FALSE)*(1+IF(OR($AG7=$F$4,$AG7=$F$5),$B$22,0))</f>
        <v>105</v>
      </c>
      <c r="AL7" s="27" cm="1">
        <f t="array" ref="AL7">$G$3+IFERROR(VLOOKUP($AG7,$F$4:$G$7,2,FALSE),0)+VLOOKUP($Q7,武学奇术!$A:$ZZ,2,FALSE)+SUM(_xlfn.XLOOKUP($R7:$AF7,增益!$A:$A,增益!$B:$B,0))</f>
        <v>0.2689</v>
      </c>
      <c r="AM7" s="27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3804.006</v>
      </c>
      <c r="AO7" cm="1">
        <f t="array" ref="AO7">$E$10*(1+$AM7)+VLOOKUP($Q7,武学奇术!$A:$ZZ,4,FALSE)+SUM(_xlfn.XLOOKUP($R7:$AF7,增益!$A:$A,增益!$D:$D,0))-$I$2</f>
        <v>3804.006</v>
      </c>
      <c r="AP7" s="33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0.267</v>
      </c>
      <c r="AQ7" s="33" cm="1">
        <f t="array" ref="AQ7">$G$10+VLOOKUP($Q7,武学奇术!$A:$ZZ,7,FALSE)+SUM(_xlfn.XLOOKUP(R7:AF7,增益!$A:$A,增益!$G:$G,0))</f>
        <v>0.09</v>
      </c>
      <c r="AR7" s="27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3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3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3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3" cm="1">
        <f t="array" ref="AZ7">$G$12+VLOOKUP($Q7,武学奇术!$A:$ZZ,12,FALSE)+SUM(_xlfn.XLOOKUP(R7:AF7,增益!$A:$A,增益!$L:$L,0))</f>
        <v>0</v>
      </c>
      <c r="BA7">
        <f t="shared" si="5"/>
        <v>0</v>
      </c>
      <c r="BB7">
        <f t="shared" si="6"/>
        <v>0</v>
      </c>
      <c r="BC7" s="33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3" cm="1">
        <f t="array" ref="BD7">$G$13+VLOOKUP($Q7,武学奇术!$A:$ZZ,14,FALSE)+SUM(_xlfn.XLOOKUP(R7:AF7,增益!$A:$A,增益!$N:$N,0))</f>
        <v>0</v>
      </c>
      <c r="BE7">
        <f t="shared" si="7"/>
        <v>570.28</v>
      </c>
      <c r="BF7">
        <f t="shared" si="8"/>
        <v>1582.156</v>
      </c>
      <c r="BG7" s="33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0</v>
      </c>
      <c r="BH7" s="33" cm="1">
        <f t="array" ref="BH7">$G$14+VLOOKUP($Q7,武学奇术!$A:$ZZ,16,FALSE)+SUM(_xlfn.XLOOKUP(R7:AF7,增益!$A:$A,增益!$P:$P,0))</f>
        <v>0.24</v>
      </c>
      <c r="BI7" s="27">
        <f>MIN(IF(VLOOKUP($Q7,武学奇术!$A:$ZZ,23,FALSE)=1,100%,$B$8),100%)</f>
        <v>1</v>
      </c>
      <c r="BJ7" s="27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+MIN(IF(VLOOKUP($Q7,武学奇术!$A:$ZZ,32,FALSE)=1,IF(VLOOKUP($Q7,武学奇术!$A:$ZZ,24,FALSE)=1,100%,MIN(40%,$B$10+VLOOKUP($Q7,武学奇术!$A:$ZZ,19,FALSE)+SUM(_xlfn.XLOOKUP(R7:AF7,增益!$A:$A,增益!$S:$S,0)))+$B$12+SUM(_xlfn.XLOOKUP(R7:AF7,增益!$A:$A,增益!$V:$V,0))),0),12%)</f>
        <v>0.918</v>
      </c>
      <c r="BK7" s="27" cm="1">
        <f t="array" ref="BK7">1+$B$13+VLOOKUP($Q7,武学奇术!$A:$ZZ,18,FALSE)+SUM(_xlfn.XLOOKUP(R7:AF7,增益!$A:$A,增益!$R:$R,0))</f>
        <v>1.54</v>
      </c>
      <c r="BL7" s="27" cm="1">
        <f t="array" ref="BL7">MAX(IF(VLOOKUP($Q7,武学奇术!$A:$ZZ,24,FALSE)=1,100%,MIN(40%,$B$10+VLOOKUP($Q7,武学奇术!$A:$ZZ,19,FALSE)+SUM(_xlfn.XLOOKUP(R7:AF7,增益!$A:$A,增益!$S:$S,0)))+$B$12+SUM(_xlfn.XLOOKUP(R7:AF7,增益!$A:$A,增益!$V:$V,0)))*IF(VLOOKUP($Q7,武学奇术!$A:$ZZ,23,FALSE)=1,0,1)-IF(VLOOKUP($Q7,武学奇术!$A:$ZZ,32,FALSE)=1,12%,0),0)</f>
        <v>0.0895</v>
      </c>
      <c r="BM7" s="27" cm="1">
        <f t="array" ref="BM7">1+$B$14+VLOOKUP($Q7,武学奇术!$A:$ZZ,20,FALSE)+SUM(_xlfn.XLOOKUP(R7:AF7,增益!$A:$A,增益!$T:$T,0))</f>
        <v>1.35</v>
      </c>
      <c r="BN7" s="27">
        <f t="shared" si="9"/>
        <v>0.9105</v>
      </c>
      <c r="BO7" s="27">
        <f t="shared" si="10"/>
        <v>0</v>
      </c>
      <c r="BP7" s="27">
        <f>IF(VLOOKUP($Q7,武学奇术!$A:$ZZ,22,FALSE)=1,0,(1-$BI7))*(1-$BL7)</f>
        <v>0</v>
      </c>
      <c r="BQ7" s="27" cm="1">
        <f t="array" ref="BQ7">SUM(_xlfn.XLOOKUP(R7:AF7,增益!$A:$A,增益!$W:$W,0))+$I$5</f>
        <v>0.11</v>
      </c>
    </row>
    <row r="8" spans="1:69">
      <c r="A8" s="65" t="s">
        <v>97</v>
      </c>
      <c r="B8" s="66">
        <v>1.0218</v>
      </c>
      <c r="C8" s="37" t="s">
        <v>98</v>
      </c>
      <c r="D8" s="67"/>
      <c r="E8" s="67"/>
      <c r="F8" s="67"/>
      <c r="G8" s="38"/>
      <c r="H8" s="68" t="s">
        <v>99</v>
      </c>
      <c r="I8" s="19">
        <v>111</v>
      </c>
      <c r="J8" s="69"/>
      <c r="K8" s="39">
        <f t="shared" si="0"/>
        <v>55716.9768823171</v>
      </c>
      <c r="L8" s="39">
        <f>((($AN8+($AO8-$AN8)*IF(VLOOKUP($Q8,武学奇术!$A:$ZZ,31,FALSE)=1,$F$18,0.5))*$AH8+$AI8)*(1+$AP8)*(1+$AQ8)+(($AS8+($AT8-$AS8)*IF(VLOOKUP($Q8,武学奇术!$A:$ZZ,31,FALSE)=1,$F$18,0.5))*IF($G$1="鸣金",$AJ8,$AH8)+IF($G$1="鸣金",$AK8*1.5,0))*(1+$AU8)*(1+$AV8)+(($AW8+($AX8-$AW8)*IF(VLOOKUP($Q8,武学奇术!$A:$ZZ,31,FALSE)=1,$F$18,0.5))*IF($G$1="裂石",$AJ8,$AH8)+IF($G$1="裂石",$AK8*1.5,0))*(1+$AY8)*(1+$AZ8)+(($BA8+($BB8-$BA8)*IF(VLOOKUP($Q8,武学奇术!$A:$ZZ,31,FALSE)=1,$F$18,0.5))*IF($G$1="牵丝",$AJ8,$AH8)+IF($G$1="牵丝",$AK8*1.5,0))*(1+$BC8)*(1+$BD8)+(($BE8+($BF8-$BE8)*IF(VLOOKUP($Q8,武学奇术!$A:$ZZ,31,FALSE)=1,$F$18,0.5))*IF($G$1="破竹",$AJ8,$AH8)+IF($G$1="破竹",$AK8*1.5,0))*(1+$BG8)*(1+$BH8))*(1+$AL8)*$BK8*$P8*(1+IF(VLOOKUP($Q8,武学奇术!$A:$ZZ,30,FALSE)="蓄力技",$B$21,0))*(1+$BQ8)</f>
        <v>56607.2577317657</v>
      </c>
      <c r="M8" s="39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46659.9856708878</v>
      </c>
      <c r="N8" s="39">
        <f>((($AN8+($AO8-$AN8)*IF(VLOOKUP($Q8,武学奇术!$A:$ZZ,31,FALSE)=1,$F$18,0.5))*$AH8+$AI8)*(1+$AP8)*(1+$AQ8)+(($AS8+($AT8-$AS8)*IF(VLOOKUP($Q8,武学奇术!$A:$ZZ,31,FALSE)=1,$F$18,0.5))*IF($G$1="鸣金",$AJ8,$AH8)+IF($G$1="鸣金",$AK8*1.5,0))*(1+$AU8)*(1+$AV8)+(($AW8+($AX8-$AW8)*IF(VLOOKUP($Q8,武学奇术!$A:$ZZ,31,FALSE)=1,$F$18,0.5))*IF($G$1="裂石",$AJ8,$AH8)+IF($G$1="裂石",$AK8*1.5,0))*(1+$AY8)*(1+$AZ8)+(($BA8+($BB8-$BA8)*IF(VLOOKUP($Q8,武学奇术!$A:$ZZ,31,FALSE)=1,$F$18,0.5))*IF($G$1="牵丝",$AJ8,$AH8)+IF($G$1="牵丝",$AK8*1.5,0))*(1+$BC8)*(1+$BD8)+(($BE8+($BF8-$BE8)*IF(VLOOKUP($Q8,武学奇术!$A:$ZZ,31,FALSE)=1,$F$18,0.5))*IF($G$1="破竹",$AJ8,$AH8)+IF($G$1="破竹",$AK8*1.5,0))*(1+$BG8)*(1+$BH8))*(1+$AL8)*$P8*(1+IF(VLOOKUP($Q8,武学奇术!$A:$ZZ,30,FALSE)="蓄力技",$B$21,0))*(1+$BQ8)</f>
        <v>30598.5176928463</v>
      </c>
      <c r="O8" s="39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26634.0830368868</v>
      </c>
      <c r="P8" s="40">
        <v>1</v>
      </c>
      <c r="Q8" s="41" t="s">
        <v>100</v>
      </c>
      <c r="R8" s="41" t="s">
        <v>71</v>
      </c>
      <c r="S8" s="41" t="s">
        <v>72</v>
      </c>
      <c r="T8" s="41" t="s">
        <v>72</v>
      </c>
      <c r="U8" s="41" t="s">
        <v>72</v>
      </c>
      <c r="V8" s="41" t="s">
        <v>72</v>
      </c>
      <c r="W8" s="41" t="s">
        <v>72</v>
      </c>
      <c r="X8" s="41" t="s">
        <v>74</v>
      </c>
      <c r="Y8" s="41" t="s">
        <v>72</v>
      </c>
      <c r="Z8" s="41" t="s">
        <v>101</v>
      </c>
      <c r="AA8" s="41" t="s">
        <v>72</v>
      </c>
      <c r="AB8" s="41" t="s">
        <v>72</v>
      </c>
      <c r="AC8" s="41" t="s">
        <v>72</v>
      </c>
      <c r="AD8" s="41" t="s">
        <v>72</v>
      </c>
      <c r="AE8" s="41" t="s">
        <v>75</v>
      </c>
      <c r="AF8" s="41" t="s">
        <v>76</v>
      </c>
      <c r="AG8" t="str">
        <f>VLOOKUP($Q8,武学奇术!$A:$ZZ,25,FALSE)</f>
        <v>绳镖</v>
      </c>
      <c r="AH8" s="27">
        <f>VLOOKUP($Q8,武学奇术!$A:$ZZ,26,FALSE)</f>
        <v>2.33376</v>
      </c>
      <c r="AI8" s="28">
        <f>VLOOKUP($Q8,武学奇术!$A:$ZZ,27,FALSE)*(1+IF(OR($AG8=$F$4,$AG8=$F$5),$B$22,0))</f>
        <v>0</v>
      </c>
      <c r="AJ8" s="27">
        <f>VLOOKUP($Q8,武学奇术!$A:$ZZ,28,FALSE)</f>
        <v>3.50064</v>
      </c>
      <c r="AK8" s="28">
        <f>VLOOKUP($Q8,武学奇术!$A:$ZZ,29,FALSE)*(1+IF(OR($AG8=$F$4,$AG8=$F$5),$B$22,0))</f>
        <v>0</v>
      </c>
      <c r="AL8" s="27" cm="1">
        <f t="array" ref="AL8">$G$3+IFERROR(VLOOKUP($AG8,$F$4:$G$7,2,FALSE),0)+VLOOKUP($Q8,武学奇术!$A:$ZZ,2,FALSE)+SUM(_xlfn.XLOOKUP($R8:$AF8,增益!$A:$A,增益!$B:$B,0))</f>
        <v>0.5789</v>
      </c>
      <c r="AM8" s="27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3804.006</v>
      </c>
      <c r="AO8" cm="1">
        <f t="array" ref="AO8">$E$10*(1+$AM8)+VLOOKUP($Q8,武学奇术!$A:$ZZ,4,FALSE)+SUM(_xlfn.XLOOKUP($R8:$AF8,增益!$A:$A,增益!$D:$D,0))-$I$2</f>
        <v>3804.006</v>
      </c>
      <c r="AP8" s="33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0.307</v>
      </c>
      <c r="AQ8" s="33" cm="1">
        <f t="array" ref="AQ8">$G$10+VLOOKUP($Q8,武学奇术!$A:$ZZ,7,FALSE)+SUM(_xlfn.XLOOKUP(R8:AF8,增益!$A:$A,增益!$G:$G,0))</f>
        <v>0.09</v>
      </c>
      <c r="AR8" s="27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3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-0.24</v>
      </c>
      <c r="AV8" s="33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3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-0.24</v>
      </c>
      <c r="AZ8" s="33" cm="1">
        <f t="array" ref="AZ8">$G$12+VLOOKUP($Q8,武学奇术!$A:$ZZ,12,FALSE)+SUM(_xlfn.XLOOKUP(R8:AF8,增益!$A:$A,增益!$L:$L,0))</f>
        <v>0</v>
      </c>
      <c r="BA8">
        <f t="shared" si="5"/>
        <v>0</v>
      </c>
      <c r="BB8">
        <f t="shared" si="6"/>
        <v>0</v>
      </c>
      <c r="BC8" s="33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-0.24</v>
      </c>
      <c r="BD8" s="33" cm="1">
        <f t="array" ref="BD8">$G$13+VLOOKUP($Q8,武学奇术!$A:$ZZ,14,FALSE)+SUM(_xlfn.XLOOKUP(R8:AF8,增益!$A:$A,增益!$N:$N,0))</f>
        <v>0</v>
      </c>
      <c r="BE8">
        <f t="shared" si="7"/>
        <v>570.28</v>
      </c>
      <c r="BF8">
        <f t="shared" si="8"/>
        <v>1582.156</v>
      </c>
      <c r="BG8" s="33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0.03</v>
      </c>
      <c r="BH8" s="33" cm="1">
        <f t="array" ref="BH8">$G$14+VLOOKUP($Q8,武学奇术!$A:$ZZ,16,FALSE)+SUM(_xlfn.XLOOKUP(R8:AF8,增益!$A:$A,增益!$P:$P,0))</f>
        <v>0.24</v>
      </c>
      <c r="BI8" s="27">
        <f>MIN(IF(VLOOKUP($Q8,武学奇术!$A:$ZZ,23,FALSE)=1,100%,$B$8),100%)</f>
        <v>1</v>
      </c>
      <c r="BJ8" s="27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+MIN(IF(VLOOKUP($Q8,武学奇术!$A:$ZZ,32,FALSE)=1,IF(VLOOKUP($Q8,武学奇术!$A:$ZZ,24,FALSE)=1,100%,MIN(40%,$B$10+VLOOKUP($Q8,武学奇术!$A:$ZZ,19,FALSE)+SUM(_xlfn.XLOOKUP(R8:AF8,增益!$A:$A,增益!$S:$S,0)))+$B$12+SUM(_xlfn.XLOOKUP(R8:AF8,增益!$A:$A,增益!$V:$V,0))),0),12%)</f>
        <v>0.918</v>
      </c>
      <c r="BK8" s="27" cm="1">
        <f t="array" ref="BK8">1+$B$13+VLOOKUP($Q8,武学奇术!$A:$ZZ,18,FALSE)+SUM(_xlfn.XLOOKUP(R8:AF8,增益!$A:$A,增益!$R:$R,0))</f>
        <v>1.85</v>
      </c>
      <c r="BL8" s="27" cm="1">
        <f t="array" ref="BL8">MAX(IF(VLOOKUP($Q8,武学奇术!$A:$ZZ,24,FALSE)=1,100%,MIN(40%,$B$10+VLOOKUP($Q8,武学奇术!$A:$ZZ,19,FALSE)+SUM(_xlfn.XLOOKUP(R8:AF8,增益!$A:$A,增益!$S:$S,0)))+$B$12+SUM(_xlfn.XLOOKUP(R8:AF8,增益!$A:$A,增益!$V:$V,0)))*IF(VLOOKUP($Q8,武学奇术!$A:$ZZ,23,FALSE)=1,0,1)-IF(VLOOKUP($Q8,武学奇术!$A:$ZZ,32,FALSE)=1,12%,0),0)</f>
        <v>0.0895</v>
      </c>
      <c r="BM8" s="27" cm="1">
        <f t="array" ref="BM8">1+$B$14+VLOOKUP($Q8,武学奇术!$A:$ZZ,20,FALSE)+SUM(_xlfn.XLOOKUP(R8:AF8,增益!$A:$A,增益!$T:$T,0))</f>
        <v>1.35</v>
      </c>
      <c r="BN8" s="27">
        <f t="shared" si="9"/>
        <v>0.9105</v>
      </c>
      <c r="BO8" s="27">
        <f t="shared" si="10"/>
        <v>0</v>
      </c>
      <c r="BP8" s="27">
        <f>IF(VLOOKUP($Q8,武学奇术!$A:$ZZ,22,FALSE)=1,0,(1-$BI8))*(1-$BL8)</f>
        <v>0</v>
      </c>
      <c r="BQ8" s="27" cm="1">
        <f t="array" ref="BQ8">SUM(_xlfn.XLOOKUP(R8:AF8,增益!$A:$A,增益!$W:$W,0))+$I$5</f>
        <v>0.11</v>
      </c>
    </row>
    <row r="9" ht="14.25" spans="1:69">
      <c r="A9" s="42" t="s">
        <v>102</v>
      </c>
      <c r="B9" s="70">
        <v>0.785</v>
      </c>
      <c r="C9" s="46"/>
      <c r="D9" t="s">
        <v>0</v>
      </c>
      <c r="E9" t="s">
        <v>1</v>
      </c>
      <c r="F9" s="40" t="s">
        <v>2</v>
      </c>
      <c r="G9" s="45" t="s">
        <v>3</v>
      </c>
      <c r="H9" s="71"/>
      <c r="I9" s="22"/>
      <c r="J9" s="72"/>
      <c r="K9" s="39">
        <f t="shared" si="0"/>
        <v>77950.7278872152</v>
      </c>
      <c r="L9" s="39">
        <f>((($AN9+($AO9-$AN9)*IF(VLOOKUP($Q9,武学奇术!$A:$ZZ,31,FALSE)=1,$F$18,0.5))*$AH9+$AI9)*(1+$AP9)*(1+$AQ9)+(($AS9+($AT9-$AS9)*IF(VLOOKUP($Q9,武学奇术!$A:$ZZ,31,FALSE)=1,$F$18,0.5))*IF($G$1="鸣金",$AJ9,$AH9)+IF($G$1="鸣金",$AK9*1.5,0))*(1+$AU9)*(1+$AV9)+(($AW9+($AX9-$AW9)*IF(VLOOKUP($Q9,武学奇术!$A:$ZZ,31,FALSE)=1,$F$18,0.5))*IF($G$1="裂石",$AJ9,$AH9)+IF($G$1="裂石",$AK9*1.5,0))*(1+$AY9)*(1+$AZ9)+(($BA9+($BB9-$BA9)*IF(VLOOKUP($Q9,武学奇术!$A:$ZZ,31,FALSE)=1,$F$18,0.5))*IF($G$1="牵丝",$AJ9,$AH9)+IF($G$1="牵丝",$AK9*1.5,0))*(1+$BC9)*(1+$BD9)+(($BE9+($BF9-$BE9)*IF(VLOOKUP($Q9,武学奇术!$A:$ZZ,31,FALSE)=1,$F$18,0.5))*IF($G$1="破竹",$AJ9,$AH9)+IF($G$1="破竹",$AK9*1.5,0))*(1+$BG9)*(1+$BH9))*(1+$AL9)*$BK9*$P9*(1+IF(VLOOKUP($Q9,武学奇术!$A:$ZZ,30,FALSE)="蓄力技",$B$21,0))*(1+$BQ9)</f>
        <v>79272.9853962585</v>
      </c>
      <c r="M9" s="39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64499.1584795733</v>
      </c>
      <c r="N9" s="39">
        <f>((($AN9+($AO9-$AN9)*IF(VLOOKUP($Q9,武学奇术!$A:$ZZ,31,FALSE)=1,$F$18,0.5))*$AH9+$AI9)*(1+$AP9)*(1+$AQ9)+(($AS9+($AT9-$AS9)*IF(VLOOKUP($Q9,武学奇术!$A:$ZZ,31,FALSE)=1,$F$18,0.5))*IF($G$1="鸣金",$AJ9,$AH9)+IF($G$1="鸣金",$AK9*1.5,0))*(1+$AU9)*(1+$AV9)+(($AW9+($AX9-$AW9)*IF(VLOOKUP($Q9,武学奇术!$A:$ZZ,31,FALSE)=1,$F$18,0.5))*IF($G$1="裂石",$AJ9,$AH9)+IF($G$1="裂石",$AK9*1.5,0))*(1+$AY9)*(1+$AZ9)+(($BA9+($BB9-$BA9)*IF(VLOOKUP($Q9,武学奇术!$A:$ZZ,31,FALSE)=1,$F$18,0.5))*IF($G$1="牵丝",$AJ9,$AH9)+IF($G$1="牵丝",$AK9*1.5,0))*(1+$BC9)*(1+$BD9)+(($BE9+($BF9-$BE9)*IF(VLOOKUP($Q9,武学奇术!$A:$ZZ,31,FALSE)=1,$F$18,0.5))*IF($G$1="破竹",$AJ9,$AH9)+IF($G$1="破竹",$AK9*1.5,0))*(1+$BG9)*(1+$BH9))*(1+$AL9)*$P9*(1+IF(VLOOKUP($Q9,武学奇术!$A:$ZZ,30,FALSE)="蓄力技",$B$21,0))*(1+$BQ9)</f>
        <v>42850.2623763559</v>
      </c>
      <c r="O9" s="39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37923.3703233983</v>
      </c>
      <c r="P9" s="40">
        <v>1</v>
      </c>
      <c r="Q9" s="41" t="s">
        <v>103</v>
      </c>
      <c r="R9" s="41" t="s">
        <v>71</v>
      </c>
      <c r="S9" s="41" t="s">
        <v>72</v>
      </c>
      <c r="T9" s="41" t="s">
        <v>72</v>
      </c>
      <c r="U9" s="41" t="s">
        <v>72</v>
      </c>
      <c r="V9" s="41" t="s">
        <v>72</v>
      </c>
      <c r="W9" s="41" t="s">
        <v>72</v>
      </c>
      <c r="X9" s="41" t="s">
        <v>74</v>
      </c>
      <c r="Y9" s="41" t="s">
        <v>72</v>
      </c>
      <c r="Z9" s="41" t="s">
        <v>101</v>
      </c>
      <c r="AA9" s="41" t="s">
        <v>72</v>
      </c>
      <c r="AB9" s="41" t="s">
        <v>72</v>
      </c>
      <c r="AC9" s="41" t="s">
        <v>72</v>
      </c>
      <c r="AD9" s="41" t="s">
        <v>72</v>
      </c>
      <c r="AE9" s="41" t="s">
        <v>75</v>
      </c>
      <c r="AF9" s="41" t="s">
        <v>76</v>
      </c>
      <c r="AG9" t="str">
        <f>VLOOKUP($Q9,武学奇术!$A:$ZZ,25,FALSE)</f>
        <v>拳甲</v>
      </c>
      <c r="AH9" s="27">
        <f>VLOOKUP($Q9,武学奇术!$A:$ZZ,26,FALSE)</f>
        <v>2.75166</v>
      </c>
      <c r="AI9" s="28">
        <f>VLOOKUP($Q9,武学奇术!$A:$ZZ,27,FALSE)*(1+IF(OR($AG9=$F$4,$AG9=$F$5),$B$22,0))</f>
        <v>1060.92</v>
      </c>
      <c r="AJ9" s="27">
        <f>VLOOKUP($Q9,武学奇术!$A:$ZZ,28,FALSE)</f>
        <v>4.12776</v>
      </c>
      <c r="AK9" s="28">
        <f>VLOOKUP($Q9,武学奇术!$A:$ZZ,29,FALSE)*(1+IF(OR($AG9=$F$4,$AG9=$F$5),$B$22,0))</f>
        <v>574.56</v>
      </c>
      <c r="AL9" s="27" cm="1">
        <f t="array" ref="AL9">$G$3+IFERROR(VLOOKUP($AG9,$F$4:$G$7,2,FALSE),0)+VLOOKUP($Q9,武学奇术!$A:$ZZ,2,FALSE)+SUM(_xlfn.XLOOKUP($R9:$AF9,增益!$A:$A,增益!$B:$B,0))</f>
        <v>0.6641</v>
      </c>
      <c r="AM9" s="27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3804.006</v>
      </c>
      <c r="AO9" cm="1">
        <f t="array" ref="AO9">$E$10*(1+$AM9)+VLOOKUP($Q9,武学奇术!$A:$ZZ,4,FALSE)+SUM(_xlfn.XLOOKUP($R9:$AF9,增益!$A:$A,增益!$D:$D,0))-$I$2</f>
        <v>3804.006</v>
      </c>
      <c r="AP9" s="33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0.307</v>
      </c>
      <c r="AQ9" s="33" cm="1">
        <f t="array" ref="AQ9">$G$10+VLOOKUP($Q9,武学奇术!$A:$ZZ,7,FALSE)+SUM(_xlfn.XLOOKUP(R9:AF9,增益!$A:$A,增益!$G:$G,0))</f>
        <v>0.09</v>
      </c>
      <c r="AR9" s="27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3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-0.24</v>
      </c>
      <c r="AV9" s="33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3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-0.24</v>
      </c>
      <c r="AZ9" s="33" cm="1">
        <f t="array" ref="AZ9">$G$12+VLOOKUP($Q9,武学奇术!$A:$ZZ,12,FALSE)+SUM(_xlfn.XLOOKUP(R9:AF9,增益!$A:$A,增益!$L:$L,0))</f>
        <v>0</v>
      </c>
      <c r="BA9">
        <f t="shared" si="5"/>
        <v>0</v>
      </c>
      <c r="BB9">
        <f t="shared" si="6"/>
        <v>0</v>
      </c>
      <c r="BC9" s="33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-0.24</v>
      </c>
      <c r="BD9" s="33" cm="1">
        <f t="array" ref="BD9">$G$13+VLOOKUP($Q9,武学奇术!$A:$ZZ,14,FALSE)+SUM(_xlfn.XLOOKUP(R9:AF9,增益!$A:$A,增益!$N:$N,0))</f>
        <v>0</v>
      </c>
      <c r="BE9">
        <f t="shared" si="7"/>
        <v>570.28</v>
      </c>
      <c r="BF9">
        <f t="shared" si="8"/>
        <v>1582.156</v>
      </c>
      <c r="BG9" s="33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0.03</v>
      </c>
      <c r="BH9" s="33" cm="1">
        <f t="array" ref="BH9">$G$14+VLOOKUP($Q9,武学奇术!$A:$ZZ,16,FALSE)+SUM(_xlfn.XLOOKUP(R9:AF9,增益!$A:$A,增益!$P:$P,0))</f>
        <v>0.24</v>
      </c>
      <c r="BI9" s="27">
        <f>MIN(IF(VLOOKUP($Q9,武学奇术!$A:$ZZ,23,FALSE)=1,100%,$B$8),100%)</f>
        <v>1</v>
      </c>
      <c r="BJ9" s="27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+MIN(IF(VLOOKUP($Q9,武学奇术!$A:$ZZ,32,FALSE)=1,IF(VLOOKUP($Q9,武学奇术!$A:$ZZ,24,FALSE)=1,100%,MIN(40%,$B$10+VLOOKUP($Q9,武学奇术!$A:$ZZ,19,FALSE)+SUM(_xlfn.XLOOKUP(R9:AF9,增益!$A:$A,增益!$S:$S,0)))+$B$12+SUM(_xlfn.XLOOKUP(R9:AF9,增益!$A:$A,增益!$V:$V,0))),0),12%)</f>
        <v>0.918</v>
      </c>
      <c r="BK9" s="27" cm="1">
        <f t="array" ref="BK9">1+$B$13+VLOOKUP($Q9,武学奇术!$A:$ZZ,18,FALSE)+SUM(_xlfn.XLOOKUP(R9:AF9,增益!$A:$A,增益!$R:$R,0))</f>
        <v>1.85</v>
      </c>
      <c r="BL9" s="27" cm="1">
        <f t="array" ref="BL9">MAX(IF(VLOOKUP($Q9,武学奇术!$A:$ZZ,24,FALSE)=1,100%,MIN(40%,$B$10+VLOOKUP($Q9,武学奇术!$A:$ZZ,19,FALSE)+SUM(_xlfn.XLOOKUP(R9:AF9,增益!$A:$A,增益!$S:$S,0)))+$B$12+SUM(_xlfn.XLOOKUP(R9:AF9,增益!$A:$A,增益!$V:$V,0)))*IF(VLOOKUP($Q9,武学奇术!$A:$ZZ,23,FALSE)=1,0,1)-IF(VLOOKUP($Q9,武学奇术!$A:$ZZ,32,FALSE)=1,12%,0),0)</f>
        <v>0.0895</v>
      </c>
      <c r="BM9" s="27" cm="1">
        <f t="array" ref="BM9">1+$B$14+VLOOKUP($Q9,武学奇术!$A:$ZZ,20,FALSE)+SUM(_xlfn.XLOOKUP(R9:AF9,增益!$A:$A,增益!$T:$T,0))</f>
        <v>1.35</v>
      </c>
      <c r="BN9" s="27">
        <f t="shared" si="9"/>
        <v>0.9105</v>
      </c>
      <c r="BO9" s="27">
        <f t="shared" si="10"/>
        <v>0</v>
      </c>
      <c r="BP9" s="27">
        <f>IF(VLOOKUP($Q9,武学奇术!$A:$ZZ,22,FALSE)=1,0,(1-$BI9))*(1-$BL9)</f>
        <v>0</v>
      </c>
      <c r="BQ9" s="27" cm="1">
        <f t="array" ref="BQ9">SUM(_xlfn.XLOOKUP(R9:AF9,增益!$A:$A,增益!$W:$W,0))+$I$5</f>
        <v>0.11</v>
      </c>
    </row>
    <row r="10" spans="1:69">
      <c r="A10" s="42" t="s">
        <v>104</v>
      </c>
      <c r="B10" s="70">
        <v>0.0895</v>
      </c>
      <c r="C10" s="46" t="s">
        <v>66</v>
      </c>
      <c r="D10" s="28">
        <f>(B2+B23)*IF($G$2="撼天",1.06,1)</f>
        <v>4362.006</v>
      </c>
      <c r="E10" s="28">
        <f>MAX(B2+B23,C2+B24)*IF($G$2="撼天",1.06,1)</f>
        <v>4362.006</v>
      </c>
      <c r="F10">
        <f>D2</f>
        <v>58.4</v>
      </c>
      <c r="G10" s="93">
        <f>E2</f>
        <v>0</v>
      </c>
      <c r="H10" s="68" t="s">
        <v>105</v>
      </c>
      <c r="I10" s="73">
        <f>SUM(K:K)</f>
        <v>14128541.1072976</v>
      </c>
      <c r="J10" s="74"/>
      <c r="K10" s="39">
        <f t="shared" si="0"/>
        <v>26101.4864353925</v>
      </c>
      <c r="L10" s="39">
        <f>((($AN10+($AO10-$AN10)*IF(VLOOKUP($Q10,武学奇术!$A:$ZZ,31,FALSE)=1,$F$18,0.5))*$AH10+$AI10)*(1+$AP10)*(1+$AQ10)+(($AS10+($AT10-$AS10)*IF(VLOOKUP($Q10,武学奇术!$A:$ZZ,31,FALSE)=1,$F$18,0.5))*IF($G$1="鸣金",$AJ10,$AH10)+IF($G$1="鸣金",$AK10*1.5,0))*(1+$AU10)*(1+$AV10)+(($AW10+($AX10-$AW10)*IF(VLOOKUP($Q10,武学奇术!$A:$ZZ,31,FALSE)=1,$F$18,0.5))*IF($G$1="裂石",$AJ10,$AH10)+IF($G$1="裂石",$AK10*1.5,0))*(1+$AY10)*(1+$AZ10)+(($BA10+($BB10-$BA10)*IF(VLOOKUP($Q10,武学奇术!$A:$ZZ,31,FALSE)=1,$F$18,0.5))*IF($G$1="牵丝",$AJ10,$AH10)+IF($G$1="牵丝",$AK10*1.5,0))*(1+$BC10)*(1+$BD10)+(($BE10+($BF10-$BE10)*IF(VLOOKUP($Q10,武学奇术!$A:$ZZ,31,FALSE)=1,$F$18,0.5))*IF($G$1="破竹",$AJ10,$AH10)+IF($G$1="破竹",$AK10*1.5,0))*(1+$BG10)*(1+$BH10))*(1+$AL10)*$BK10*$P10*(1+IF(VLOOKUP($Q10,武学奇术!$A:$ZZ,30,FALSE)="蓄力技",$B$21,0))*(1+$BQ10)</f>
        <v>26158.9179321774</v>
      </c>
      <c r="M10" s="39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25517.2252306697</v>
      </c>
      <c r="N10" s="39">
        <f>((($AN10+($AO10-$AN10)*IF(VLOOKUP($Q10,武学奇术!$A:$ZZ,31,FALSE)=1,$F$18,0.5))*$AH10+$AI10)*(1+$AP10)*(1+$AQ10)+(($AS10+($AT10-$AS10)*IF(VLOOKUP($Q10,武学奇术!$A:$ZZ,31,FALSE)=1,$F$18,0.5))*IF($G$1="鸣金",$AJ10,$AH10)+IF($G$1="鸣金",$AK10*1.5,0))*(1+$AU10)*(1+$AV10)+(($AW10+($AX10-$AW10)*IF(VLOOKUP($Q10,武学奇术!$A:$ZZ,31,FALSE)=1,$F$18,0.5))*IF($G$1="裂石",$AJ10,$AH10)+IF($G$1="裂石",$AK10*1.5,0))*(1+$AY10)*(1+$AZ10)+(($BA10+($BB10-$BA10)*IF(VLOOKUP($Q10,武学奇术!$A:$ZZ,31,FALSE)=1,$F$18,0.5))*IF($G$1="牵丝",$AJ10,$AH10)+IF($G$1="牵丝",$AK10*1.5,0))*(1+$BC10)*(1+$BD10)+(($BE10+($BF10-$BE10)*IF(VLOOKUP($Q10,武学奇术!$A:$ZZ,31,FALSE)=1,$F$18,0.5))*IF($G$1="破竹",$AJ10,$AH10)+IF($G$1="破竹",$AK10*1.5,0))*(1+$BG10)*(1+$BH10))*(1+$AL10)*$P10*(1+IF(VLOOKUP($Q10,武学奇术!$A:$ZZ,30,FALSE)="蓄力技",$B$21,0))*(1+$BQ10)</f>
        <v>16876.7212465661</v>
      </c>
      <c r="O10" s="39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14851.7941741175</v>
      </c>
      <c r="P10" s="40">
        <v>1</v>
      </c>
      <c r="Q10" s="41" t="s">
        <v>106</v>
      </c>
      <c r="R10" s="41" t="s">
        <v>79</v>
      </c>
      <c r="S10" s="41" t="s">
        <v>72</v>
      </c>
      <c r="T10" s="41" t="s">
        <v>72</v>
      </c>
      <c r="U10" s="41" t="s">
        <v>73</v>
      </c>
      <c r="V10" s="41" t="s">
        <v>72</v>
      </c>
      <c r="W10" s="41" t="s">
        <v>72</v>
      </c>
      <c r="X10" s="41" t="s">
        <v>74</v>
      </c>
      <c r="Y10" s="41" t="s">
        <v>81</v>
      </c>
      <c r="Z10" s="41" t="s">
        <v>72</v>
      </c>
      <c r="AA10" s="41" t="s">
        <v>72</v>
      </c>
      <c r="AB10" s="41" t="s">
        <v>72</v>
      </c>
      <c r="AC10" s="41" t="s">
        <v>72</v>
      </c>
      <c r="AD10" s="41" t="s">
        <v>72</v>
      </c>
      <c r="AE10" s="41" t="s">
        <v>75</v>
      </c>
      <c r="AF10" s="41" t="s">
        <v>76</v>
      </c>
      <c r="AG10" t="str">
        <f>VLOOKUP($Q10,武学奇术!$A:$ZZ,25,FALSE)</f>
        <v>拳甲</v>
      </c>
      <c r="AH10" s="27">
        <f>VLOOKUP($Q10,武学奇术!$A:$ZZ,26,FALSE)</f>
        <v>1.2876</v>
      </c>
      <c r="AI10" s="28">
        <f>VLOOKUP($Q10,武学奇术!$A:$ZZ,27,FALSE)*(1+IF(OR($AG10=$F$4,$AG10=$F$5),$B$22,0))</f>
        <v>501.2</v>
      </c>
      <c r="AJ10" s="27">
        <f>VLOOKUP($Q10,武学奇术!$A:$ZZ,28,FALSE)</f>
        <v>1.9313</v>
      </c>
      <c r="AK10" s="28">
        <f>VLOOKUP($Q10,武学奇术!$A:$ZZ,29,FALSE)*(1+IF(OR($AG10=$F$4,$AG10=$F$5),$B$22,0))</f>
        <v>273</v>
      </c>
      <c r="AL10" s="27" cm="1">
        <f t="array" ref="AL10">$G$3+IFERROR(VLOOKUP($AG10,$F$4:$G$7,2,FALSE),0)+VLOOKUP($Q10,武学奇术!$A:$ZZ,2,FALSE)+SUM(_xlfn.XLOOKUP($R10:$AF10,增益!$A:$A,增益!$B:$B,0))</f>
        <v>0.3941</v>
      </c>
      <c r="AM10" s="27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3804.006</v>
      </c>
      <c r="AO10" cm="1">
        <f t="array" ref="AO10">$E$10*(1+$AM10)+VLOOKUP($Q10,武学奇术!$A:$ZZ,4,FALSE)+SUM(_xlfn.XLOOKUP($R10:$AF10,增益!$A:$A,增益!$D:$D,0))-$I$2</f>
        <v>3804.006</v>
      </c>
      <c r="AP10" s="33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0.287</v>
      </c>
      <c r="AQ10" s="33" cm="1">
        <f t="array" ref="AQ10">$G$10+VLOOKUP($Q10,武学奇术!$A:$ZZ,7,FALSE)+SUM(_xlfn.XLOOKUP(R10:AF10,增益!$A:$A,增益!$G:$G,0))</f>
        <v>0.09</v>
      </c>
      <c r="AR10" s="27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3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3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3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3" cm="1">
        <f t="array" ref="AZ10">$G$12+VLOOKUP($Q10,武学奇术!$A:$ZZ,12,FALSE)+SUM(_xlfn.XLOOKUP(R10:AF10,增益!$A:$A,增益!$L:$L,0))</f>
        <v>0</v>
      </c>
      <c r="BA10">
        <f t="shared" si="5"/>
        <v>0</v>
      </c>
      <c r="BB10">
        <f t="shared" si="6"/>
        <v>0</v>
      </c>
      <c r="BC10" s="33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-0.14</v>
      </c>
      <c r="BD10" s="33" cm="1">
        <f t="array" ref="BD10">$G$13+VLOOKUP($Q10,武学奇术!$A:$ZZ,14,FALSE)+SUM(_xlfn.XLOOKUP(R10:AF10,增益!$A:$A,增益!$N:$N,0))</f>
        <v>0</v>
      </c>
      <c r="BE10">
        <f t="shared" si="7"/>
        <v>570.28</v>
      </c>
      <c r="BF10">
        <f t="shared" si="8"/>
        <v>1582.156</v>
      </c>
      <c r="BG10" s="33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0.08</v>
      </c>
      <c r="BH10" s="33" cm="1">
        <f t="array" ref="BH10">$G$14+VLOOKUP($Q10,武学奇术!$A:$ZZ,16,FALSE)+SUM(_xlfn.XLOOKUP(R10:AF10,增益!$A:$A,增益!$P:$P,0))</f>
        <v>0.24</v>
      </c>
      <c r="BI10" s="27">
        <f>MIN(IF(VLOOKUP($Q10,武学奇术!$A:$ZZ,23,FALSE)=1,100%,$B$8),100%)</f>
        <v>1</v>
      </c>
      <c r="BJ10" s="27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+MIN(IF(VLOOKUP($Q10,武学奇术!$A:$ZZ,32,FALSE)=1,IF(VLOOKUP($Q10,武学奇术!$A:$ZZ,24,FALSE)=1,100%,MIN(40%,$B$10+VLOOKUP($Q10,武学奇术!$A:$ZZ,19,FALSE)+SUM(_xlfn.XLOOKUP(R10:AF10,增益!$A:$A,增益!$S:$S,0)))+$B$12+SUM(_xlfn.XLOOKUP(R10:AF10,增益!$A:$A,增益!$V:$V,0))),0),12%)</f>
        <v>0.918</v>
      </c>
      <c r="BK10" s="27" cm="1">
        <f t="array" ref="BK10">1+$B$13+VLOOKUP($Q10,武学奇术!$A:$ZZ,18,FALSE)+SUM(_xlfn.XLOOKUP(R10:AF10,增益!$A:$A,增益!$R:$R,0))</f>
        <v>1.55</v>
      </c>
      <c r="BL10" s="27" cm="1">
        <f t="array" ref="BL10">MAX(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-IF(VLOOKUP($Q10,武学奇术!$A:$ZZ,32,FALSE)=1,12%,0),0)</f>
        <v>0.0895</v>
      </c>
      <c r="BM10" s="27" cm="1">
        <f t="array" ref="BM10">1+$B$14+VLOOKUP($Q10,武学奇术!$A:$ZZ,20,FALSE)+SUM(_xlfn.XLOOKUP(R10:AF10,增益!$A:$A,增益!$T:$T,0))</f>
        <v>1.35</v>
      </c>
      <c r="BN10" s="27">
        <f t="shared" si="9"/>
        <v>0.9105</v>
      </c>
      <c r="BO10" s="27">
        <f t="shared" si="10"/>
        <v>0</v>
      </c>
      <c r="BP10" s="27">
        <f>IF(VLOOKUP($Q10,武学奇术!$A:$ZZ,22,FALSE)=1,0,(1-$BI10))*(1-$BL10)</f>
        <v>0</v>
      </c>
      <c r="BQ10" s="27" cm="1">
        <f t="array" ref="BQ10">SUM(_xlfn.XLOOKUP(R10:AF10,增益!$A:$A,增益!$W:$W,0))+$I$5</f>
        <v>0.11</v>
      </c>
    </row>
    <row r="11" ht="14.25" spans="1:69">
      <c r="A11" s="42" t="s">
        <v>107</v>
      </c>
      <c r="B11" s="70">
        <f>4.6%+IF($C$24="易水歌",4.6%,0)+IF($C$22="断石之构",4.1%,0)</f>
        <v>0.133</v>
      </c>
      <c r="C11" s="46" t="s">
        <v>77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3">
        <f>E3</f>
        <v>0</v>
      </c>
      <c r="H11" s="71"/>
      <c r="I11" s="75"/>
      <c r="J11" s="76"/>
      <c r="K11" s="39">
        <f t="shared" si="0"/>
        <v>61419.3183471042</v>
      </c>
      <c r="L11" s="39">
        <f>((($AN11+($AO11-$AN11)*IF(VLOOKUP($Q11,武学奇术!$A:$ZZ,31,FALSE)=1,$F$18,0.5))*$AH11+$AI11)*(1+$AP11)*(1+$AQ11)+(($AS11+($AT11-$AS11)*IF(VLOOKUP($Q11,武学奇术!$A:$ZZ,31,FALSE)=1,$F$18,0.5))*IF($G$1="鸣金",$AJ11,$AH11)+IF($G$1="鸣金",$AK11*1.5,0))*(1+$AU11)*(1+$AV11)+(($AW11+($AX11-$AW11)*IF(VLOOKUP($Q11,武学奇术!$A:$ZZ,31,FALSE)=1,$F$18,0.5))*IF($G$1="裂石",$AJ11,$AH11)+IF($G$1="裂石",$AK11*1.5,0))*(1+$AY11)*(1+$AZ11)+(($BA11+($BB11-$BA11)*IF(VLOOKUP($Q11,武学奇术!$A:$ZZ,31,FALSE)=1,$F$18,0.5))*IF($G$1="牵丝",$AJ11,$AH11)+IF($G$1="牵丝",$AK11*1.5,0))*(1+$BC11)*(1+$BD11)+(($BE11+($BF11-$BE11)*IF(VLOOKUP($Q11,武学奇术!$A:$ZZ,31,FALSE)=1,$F$18,0.5))*IF($G$1="破竹",$AJ11,$AH11)+IF($G$1="破竹",$AK11*1.5,0))*(1+$BG11)*(1+$BH11))*(1+$AL11)*$BK11*$P11*(1+IF(VLOOKUP($Q11,武学奇术!$A:$ZZ,30,FALSE)="蓄力技",$B$21,0))*(1+$BQ11)</f>
        <v>62374.2298880108</v>
      </c>
      <c r="M11" s="39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51704.8271963176</v>
      </c>
      <c r="N11" s="39">
        <f>((($AN11+($AO11-$AN11)*IF(VLOOKUP($Q11,武学奇术!$A:$ZZ,31,FALSE)=1,$F$18,0.5))*$AH11+$AI11)*(1+$AP11)*(1+$AQ11)+(($AS11+($AT11-$AS11)*IF(VLOOKUP($Q11,武学奇术!$A:$ZZ,31,FALSE)=1,$F$18,0.5))*IF($G$1="鸣金",$AJ11,$AH11)+IF($G$1="鸣金",$AK11*1.5,0))*(1+$AU11)*(1+$AV11)+(($AW11+($AX11-$AW11)*IF(VLOOKUP($Q11,武学奇术!$A:$ZZ,31,FALSE)=1,$F$18,0.5))*IF($G$1="裂石",$AJ11,$AH11)+IF($G$1="裂石",$AK11*1.5,0))*(1+$AY11)*(1+$AZ11)+(($BA11+($BB11-$BA11)*IF(VLOOKUP($Q11,武学奇术!$A:$ZZ,31,FALSE)=1,$F$18,0.5))*IF($G$1="牵丝",$AJ11,$AH11)+IF($G$1="牵丝",$AK11*1.5,0))*(1+$BC11)*(1+$BD11)+(($BE11+($BF11-$BE11)*IF(VLOOKUP($Q11,武学奇术!$A:$ZZ,31,FALSE)=1,$F$18,0.5))*IF($G$1="破竹",$AJ11,$AH11)+IF($G$1="破竹",$AK11*1.5,0))*(1+$BG11)*(1+$BH11))*(1+$AL11)*$P11*(1+IF(VLOOKUP($Q11,武学奇术!$A:$ZZ,30,FALSE)="蓄力技",$B$21,0))*(1+$BQ11)</f>
        <v>33715.7999394653</v>
      </c>
      <c r="O11" s="39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29131.7278816583</v>
      </c>
      <c r="P11" s="40">
        <v>1</v>
      </c>
      <c r="Q11" s="41" t="s">
        <v>108</v>
      </c>
      <c r="R11" s="41" t="s">
        <v>79</v>
      </c>
      <c r="S11" s="41" t="s">
        <v>72</v>
      </c>
      <c r="T11" s="41" t="s">
        <v>72</v>
      </c>
      <c r="U11" s="41" t="s">
        <v>73</v>
      </c>
      <c r="V11" s="41" t="s">
        <v>72</v>
      </c>
      <c r="W11" s="41" t="s">
        <v>72</v>
      </c>
      <c r="X11" s="41" t="s">
        <v>74</v>
      </c>
      <c r="Y11" s="41" t="s">
        <v>81</v>
      </c>
      <c r="Z11" s="41" t="s">
        <v>101</v>
      </c>
      <c r="AA11" s="41" t="s">
        <v>72</v>
      </c>
      <c r="AB11" s="41" t="s">
        <v>72</v>
      </c>
      <c r="AC11" s="41" t="s">
        <v>72</v>
      </c>
      <c r="AD11" s="41" t="s">
        <v>72</v>
      </c>
      <c r="AE11" s="41" t="s">
        <v>75</v>
      </c>
      <c r="AF11" s="41" t="s">
        <v>76</v>
      </c>
      <c r="AG11" t="str">
        <f>VLOOKUP($Q11,武学奇术!$A:$ZZ,25,FALSE)</f>
        <v>拳甲</v>
      </c>
      <c r="AH11" s="27">
        <f>VLOOKUP($Q11,武学奇术!$A:$ZZ,26,FALSE)</f>
        <v>2.33376</v>
      </c>
      <c r="AI11" s="28">
        <f>VLOOKUP($Q11,武学奇术!$A:$ZZ,27,FALSE)*(1+IF(OR($AG11=$F$4,$AG11=$F$5),$B$22,0))</f>
        <v>0</v>
      </c>
      <c r="AJ11" s="27">
        <f>VLOOKUP($Q11,武学奇术!$A:$ZZ,28,FALSE)</f>
        <v>3.50064</v>
      </c>
      <c r="AK11" s="28">
        <f>VLOOKUP($Q11,武学奇术!$A:$ZZ,29,FALSE)*(1+IF(OR($AG11=$F$4,$AG11=$F$5),$B$22,0))</f>
        <v>0</v>
      </c>
      <c r="AL11" s="27" cm="1">
        <f t="array" ref="AL11">$G$3+IFERROR(VLOOKUP($AG11,$F$4:$G$7,2,FALSE),0)+VLOOKUP($Q11,武学奇术!$A:$ZZ,2,FALSE)+SUM(_xlfn.XLOOKUP($R11:$AF11,增益!$A:$A,增益!$B:$B,0))</f>
        <v>0.6941</v>
      </c>
      <c r="AM11" s="27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3804.006</v>
      </c>
      <c r="AO11" cm="1">
        <f t="array" ref="AO11">$E$10*(1+$AM11)+VLOOKUP($Q11,武学奇术!$A:$ZZ,4,FALSE)+SUM(_xlfn.XLOOKUP($R11:$AF11,增益!$A:$A,增益!$D:$D,0))-$I$2</f>
        <v>3804.006</v>
      </c>
      <c r="AP11" s="33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0.317</v>
      </c>
      <c r="AQ11" s="33" cm="1">
        <f t="array" ref="AQ11">$G$10+VLOOKUP($Q11,武学奇术!$A:$ZZ,7,FALSE)+SUM(_xlfn.XLOOKUP(R11:AF11,增益!$A:$A,增益!$G:$G,0))</f>
        <v>0.09</v>
      </c>
      <c r="AR11" s="27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3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-0.08</v>
      </c>
      <c r="AV11" s="33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3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-0.08</v>
      </c>
      <c r="AZ11" s="33" cm="1">
        <f t="array" ref="AZ11">$G$12+VLOOKUP($Q11,武学奇术!$A:$ZZ,12,FALSE)+SUM(_xlfn.XLOOKUP(R11:AF11,增益!$A:$A,增益!$L:$L,0))</f>
        <v>0</v>
      </c>
      <c r="BA11">
        <f t="shared" si="5"/>
        <v>0</v>
      </c>
      <c r="BB11">
        <f t="shared" si="6"/>
        <v>0</v>
      </c>
      <c r="BC11" s="33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-0.08</v>
      </c>
      <c r="BD11" s="33" cm="1">
        <f t="array" ref="BD11">$G$13+VLOOKUP($Q11,武学奇术!$A:$ZZ,14,FALSE)+SUM(_xlfn.XLOOKUP(R11:AF11,增益!$A:$A,增益!$N:$N,0))</f>
        <v>0</v>
      </c>
      <c r="BE11">
        <f t="shared" si="7"/>
        <v>570.28</v>
      </c>
      <c r="BF11">
        <f t="shared" si="8"/>
        <v>1582.156</v>
      </c>
      <c r="BG11" s="33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0.11</v>
      </c>
      <c r="BH11" s="33" cm="1">
        <f t="array" ref="BH11">$G$14+VLOOKUP($Q11,武学奇术!$A:$ZZ,16,FALSE)+SUM(_xlfn.XLOOKUP(R11:AF11,增益!$A:$A,增益!$P:$P,0))</f>
        <v>0.24</v>
      </c>
      <c r="BI11" s="27">
        <f>MIN(IF(VLOOKUP($Q11,武学奇术!$A:$ZZ,23,FALSE)=1,100%,$B$8),100%)</f>
        <v>1</v>
      </c>
      <c r="BJ11" s="27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+MIN(IF(VLOOKUP($Q11,武学奇术!$A:$ZZ,32,FALSE)=1,IF(VLOOKUP($Q11,武学奇术!$A:$ZZ,24,FALSE)=1,100%,MIN(40%,$B$10+VLOOKUP($Q11,武学奇术!$A:$ZZ,19,FALSE)+SUM(_xlfn.XLOOKUP(R11:AF11,增益!$A:$A,增益!$S:$S,0)))+$B$12+SUM(_xlfn.XLOOKUP(R11:AF11,增益!$A:$A,增益!$V:$V,0))),0),12%)</f>
        <v>0.918</v>
      </c>
      <c r="BK11" s="27" cm="1">
        <f t="array" ref="BK11">1+$B$13+VLOOKUP($Q11,武学奇术!$A:$ZZ,18,FALSE)+SUM(_xlfn.XLOOKUP(R11:AF11,增益!$A:$A,增益!$R:$R,0))</f>
        <v>1.85</v>
      </c>
      <c r="BL11" s="27" cm="1">
        <f t="array" ref="BL11">MAX(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-IF(VLOOKUP($Q11,武学奇术!$A:$ZZ,32,FALSE)=1,12%,0),0)</f>
        <v>0.0895</v>
      </c>
      <c r="BM11" s="27" cm="1">
        <f t="array" ref="BM11">1+$B$14+VLOOKUP($Q11,武学奇术!$A:$ZZ,20,FALSE)+SUM(_xlfn.XLOOKUP(R11:AF11,增益!$A:$A,增益!$T:$T,0))</f>
        <v>1.35</v>
      </c>
      <c r="BN11" s="27">
        <f t="shared" si="9"/>
        <v>0.9105</v>
      </c>
      <c r="BO11" s="27">
        <f t="shared" si="10"/>
        <v>0</v>
      </c>
      <c r="BP11" s="27">
        <f>IF(VLOOKUP($Q11,武学奇术!$A:$ZZ,22,FALSE)=1,0,(1-$BI11))*(1-$BL11)</f>
        <v>0</v>
      </c>
      <c r="BQ11" s="27" cm="1">
        <f t="array" ref="BQ11">SUM(_xlfn.XLOOKUP(R11:AF11,增益!$A:$A,增益!$W:$W,0))+$I$5</f>
        <v>0.11</v>
      </c>
    </row>
    <row r="12" spans="1:69">
      <c r="A12" s="42" t="s">
        <v>109</v>
      </c>
      <c r="B12" s="70">
        <v>0</v>
      </c>
      <c r="C12" s="46" t="s">
        <v>82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3">
        <f>E4</f>
        <v>0</v>
      </c>
      <c r="H12" s="68" t="s">
        <v>110</v>
      </c>
      <c r="I12" s="39">
        <f>I10/I8</f>
        <v>127284.154119798</v>
      </c>
      <c r="J12" s="77"/>
      <c r="K12" s="39">
        <f t="shared" si="0"/>
        <v>49753.375671032</v>
      </c>
      <c r="L12" s="39">
        <f>((($AN12+($AO12-$AN12)*IF(VLOOKUP($Q12,武学奇术!$A:$ZZ,31,FALSE)=1,$F$18,0.5))*$AH12+$AI12)*(1+$AP12)*(1+$AQ12)+(($AS12+($AT12-$AS12)*IF(VLOOKUP($Q12,武学奇术!$A:$ZZ,31,FALSE)=1,$F$18,0.5))*IF($G$1="鸣金",$AJ12,$AH12)+IF($G$1="鸣金",$AK12*1.5,0))*(1+$AU12)*(1+$AV12)+(($AW12+($AX12-$AW12)*IF(VLOOKUP($Q12,武学奇术!$A:$ZZ,31,FALSE)=1,$F$18,0.5))*IF($G$1="裂石",$AJ12,$AH12)+IF($G$1="裂石",$AK12*1.5,0))*(1+$AY12)*(1+$AZ12)+(($BA12+($BB12-$BA12)*IF(VLOOKUP($Q12,武学奇术!$A:$ZZ,31,FALSE)=1,$F$18,0.5))*IF($G$1="牵丝",$AJ12,$AH12)+IF($G$1="牵丝",$AK12*1.5,0))*(1+$BC12)*(1+$BD12)+(($BE12+($BF12-$BE12)*IF(VLOOKUP($Q12,武学奇术!$A:$ZZ,31,FALSE)=1,$F$18,0.5))*IF($G$1="破竹",$AJ12,$AH12)+IF($G$1="破竹",$AK12*1.5,0))*(1+$BG12)*(1+$BH12))*(1+$AL12)*$BK12*$P12*(1+IF(VLOOKUP($Q12,武学奇术!$A:$ZZ,30,FALSE)="蓄力技",$B$21,0))*(1+$BQ12)</f>
        <v>49890.3702057521</v>
      </c>
      <c r="M12" s="39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48359.7050133489</v>
      </c>
      <c r="N12" s="39">
        <f>((($AN12+($AO12-$AN12)*IF(VLOOKUP($Q12,武学奇术!$A:$ZZ,31,FALSE)=1,$F$18,0.5))*$AH12+$AI12)*(1+$AP12)*(1+$AQ12)+(($AS12+($AT12-$AS12)*IF(VLOOKUP($Q12,武学奇术!$A:$ZZ,31,FALSE)=1,$F$18,0.5))*IF($G$1="鸣金",$AJ12,$AH12)+IF($G$1="鸣金",$AK12*1.5,0))*(1+$AU12)*(1+$AV12)+(($AW12+($AX12-$AW12)*IF(VLOOKUP($Q12,武学奇术!$A:$ZZ,31,FALSE)=1,$F$18,0.5))*IF($G$1="裂石",$AJ12,$AH12)+IF($G$1="裂石",$AK12*1.5,0))*(1+$AY12)*(1+$AZ12)+(($BA12+($BB12-$BA12)*IF(VLOOKUP($Q12,武学奇术!$A:$ZZ,31,FALSE)=1,$F$18,0.5))*IF($G$1="牵丝",$AJ12,$AH12)+IF($G$1="牵丝",$AK12*1.5,0))*(1+$BC12)*(1+$BD12)+(($BE12+($BF12-$BE12)*IF(VLOOKUP($Q12,武学奇术!$A:$ZZ,31,FALSE)=1,$F$18,0.5))*IF($G$1="破竹",$AJ12,$AH12)+IF($G$1="破竹",$AK12*1.5,0))*(1+$BG12)*(1+$BH12))*(1+$AL12)*$P12*(1+IF(VLOOKUP($Q12,武学奇术!$A:$ZZ,30,FALSE)="蓄力技",$B$21,0))*(1+$BQ12)</f>
        <v>31981.0065421488</v>
      </c>
      <c r="O12" s="39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28140.0093707057</v>
      </c>
      <c r="P12" s="40">
        <v>1</v>
      </c>
      <c r="Q12" s="41" t="s">
        <v>111</v>
      </c>
      <c r="R12" s="41" t="s">
        <v>79</v>
      </c>
      <c r="S12" s="41" t="s">
        <v>72</v>
      </c>
      <c r="T12" s="41" t="s">
        <v>72</v>
      </c>
      <c r="U12" s="41" t="s">
        <v>73</v>
      </c>
      <c r="V12" s="41" t="s">
        <v>72</v>
      </c>
      <c r="W12" s="41" t="s">
        <v>72</v>
      </c>
      <c r="X12" s="41" t="s">
        <v>80</v>
      </c>
      <c r="Y12" s="41" t="s">
        <v>81</v>
      </c>
      <c r="Z12" s="41" t="s">
        <v>72</v>
      </c>
      <c r="AA12" s="41" t="s">
        <v>72</v>
      </c>
      <c r="AB12" s="41" t="s">
        <v>72</v>
      </c>
      <c r="AC12" s="41" t="s">
        <v>72</v>
      </c>
      <c r="AD12" s="41" t="s">
        <v>72</v>
      </c>
      <c r="AE12" s="41" t="s">
        <v>75</v>
      </c>
      <c r="AF12" s="41" t="s">
        <v>76</v>
      </c>
      <c r="AG12" t="str">
        <f>VLOOKUP($Q12,武学奇术!$A:$ZZ,25,FALSE)</f>
        <v>拳甲</v>
      </c>
      <c r="AH12" s="27">
        <f>VLOOKUP($Q12,武学奇术!$A:$ZZ,26,FALSE)</f>
        <v>2.4421</v>
      </c>
      <c r="AI12" s="28">
        <f>VLOOKUP($Q12,武学奇术!$A:$ZZ,27,FALSE)*(1+IF(OR($AG12=$F$4,$AG12=$F$5),$B$22,0))</f>
        <v>945</v>
      </c>
      <c r="AJ12" s="27">
        <f>VLOOKUP($Q12,武学奇术!$A:$ZZ,28,FALSE)</f>
        <v>3.6634</v>
      </c>
      <c r="AK12" s="28">
        <f>VLOOKUP($Q12,武学奇术!$A:$ZZ,29,FALSE)*(1+IF(OR($AG12=$F$4,$AG12=$F$5),$B$22,0))</f>
        <v>512.4</v>
      </c>
      <c r="AL12" s="27" cm="1">
        <f t="array" ref="AL12">$G$3+IFERROR(VLOOKUP($AG12,$F$4:$G$7,2,FALSE),0)+VLOOKUP($Q12,武学奇术!$A:$ZZ,2,FALSE)+SUM(_xlfn.XLOOKUP($R12:$AF12,增益!$A:$A,增益!$B:$B,0))</f>
        <v>0.3941</v>
      </c>
      <c r="AM12" s="27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3804.006</v>
      </c>
      <c r="AO12" cm="1">
        <f t="array" ref="AO12">$E$10*(1+$AM12)+VLOOKUP($Q12,武学奇术!$A:$ZZ,4,FALSE)+SUM(_xlfn.XLOOKUP($R12:$AF12,增益!$A:$A,增益!$D:$D,0))-$I$2</f>
        <v>3804.006</v>
      </c>
      <c r="AP12" s="33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0.287</v>
      </c>
      <c r="AQ12" s="33" cm="1">
        <f t="array" ref="AQ12">$G$10+VLOOKUP($Q12,武学奇术!$A:$ZZ,7,FALSE)+SUM(_xlfn.XLOOKUP(R12:AF12,增益!$A:$A,增益!$G:$G,0))</f>
        <v>0.09</v>
      </c>
      <c r="AR12" s="27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3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-0.14</v>
      </c>
      <c r="AV12" s="33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3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-0.14</v>
      </c>
      <c r="AZ12" s="33" cm="1">
        <f t="array" ref="AZ12">$G$12+VLOOKUP($Q12,武学奇术!$A:$ZZ,12,FALSE)+SUM(_xlfn.XLOOKUP(R12:AF12,增益!$A:$A,增益!$L:$L,0))</f>
        <v>0</v>
      </c>
      <c r="BA12">
        <f t="shared" si="5"/>
        <v>0</v>
      </c>
      <c r="BB12">
        <f t="shared" si="6"/>
        <v>0</v>
      </c>
      <c r="BC12" s="33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-0.14</v>
      </c>
      <c r="BD12" s="33" cm="1">
        <f t="array" ref="BD12">$G$13+VLOOKUP($Q12,武学奇术!$A:$ZZ,14,FALSE)+SUM(_xlfn.XLOOKUP(R12:AF12,增益!$A:$A,增益!$N:$N,0))</f>
        <v>0</v>
      </c>
      <c r="BE12">
        <f t="shared" si="7"/>
        <v>570.28</v>
      </c>
      <c r="BF12">
        <f t="shared" si="8"/>
        <v>1582.156</v>
      </c>
      <c r="BG12" s="33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0.08</v>
      </c>
      <c r="BH12" s="33" cm="1">
        <f t="array" ref="BH12">$G$14+VLOOKUP($Q12,武学奇术!$A:$ZZ,16,FALSE)+SUM(_xlfn.XLOOKUP(R12:AF12,增益!$A:$A,增益!$P:$P,0))</f>
        <v>0.24</v>
      </c>
      <c r="BI12" s="27">
        <f>MIN(IF(VLOOKUP($Q12,武学奇术!$A:$ZZ,23,FALSE)=1,100%,$B$8),100%)</f>
        <v>1</v>
      </c>
      <c r="BJ12" s="27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+MIN(IF(VLOOKUP($Q12,武学奇术!$A:$ZZ,32,FALSE)=1,IF(VLOOKUP($Q12,武学奇术!$A:$ZZ,24,FALSE)=1,100%,MIN(40%,$B$10+VLOOKUP($Q12,武学奇术!$A:$ZZ,19,FALSE)+SUM(_xlfn.XLOOKUP(R12:AF12,增益!$A:$A,增益!$S:$S,0)))+$B$12+SUM(_xlfn.XLOOKUP(R12:AF12,增益!$A:$A,增益!$V:$V,0))),0),12%)</f>
        <v>0.918</v>
      </c>
      <c r="BK12" s="27" cm="1">
        <f t="array" ref="BK12">1+$B$13+VLOOKUP($Q12,武学奇术!$A:$ZZ,18,FALSE)+SUM(_xlfn.XLOOKUP(R12:AF12,增益!$A:$A,增益!$R:$R,0))</f>
        <v>1.56</v>
      </c>
      <c r="BL12" s="27" cm="1">
        <f t="array" ref="BL12">MAX(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-IF(VLOOKUP($Q12,武学奇术!$A:$ZZ,32,FALSE)=1,12%,0),0)</f>
        <v>0.0895</v>
      </c>
      <c r="BM12" s="27" cm="1">
        <f t="array" ref="BM12">1+$B$14+VLOOKUP($Q12,武学奇术!$A:$ZZ,20,FALSE)+SUM(_xlfn.XLOOKUP(R12:AF12,增益!$A:$A,增益!$T:$T,0))</f>
        <v>1.35</v>
      </c>
      <c r="BN12" s="27">
        <f t="shared" si="9"/>
        <v>0.9105</v>
      </c>
      <c r="BO12" s="27">
        <f t="shared" si="10"/>
        <v>0</v>
      </c>
      <c r="BP12" s="27">
        <f>IF(VLOOKUP($Q12,武学奇术!$A:$ZZ,22,FALSE)=1,0,(1-$BI12))*(1-$BL12)</f>
        <v>0</v>
      </c>
      <c r="BQ12" s="27" cm="1">
        <f t="array" ref="BQ12">SUM(_xlfn.XLOOKUP(R12:AF12,增益!$A:$A,增益!$W:$W,0))+$I$5</f>
        <v>0.11</v>
      </c>
    </row>
    <row r="13" ht="14.25" spans="1:69">
      <c r="A13" s="42" t="s">
        <v>112</v>
      </c>
      <c r="B13" s="70">
        <v>0.54</v>
      </c>
      <c r="C13" s="46" t="s">
        <v>87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3">
        <f>E5</f>
        <v>0</v>
      </c>
      <c r="H13" s="71"/>
      <c r="I13" s="78"/>
      <c r="J13" s="76"/>
      <c r="K13" s="39">
        <f t="shared" si="0"/>
        <v>26584.8439540315</v>
      </c>
      <c r="L13" s="39">
        <f>((($AN13+($AO13-$AN13)*IF(VLOOKUP($Q13,武学奇术!$A:$ZZ,31,FALSE)=1,$F$18,0.5))*$AH13+$AI13)*(1+$AP13)*(1+$AQ13)+(($AS13+($AT13-$AS13)*IF(VLOOKUP($Q13,武学奇术!$A:$ZZ,31,FALSE)=1,$F$18,0.5))*IF($G$1="鸣金",$AJ13,$AH13)+IF($G$1="鸣金",$AK13*1.5,0))*(1+$AU13)*(1+$AV13)+(($AW13+($AX13-$AW13)*IF(VLOOKUP($Q13,武学奇术!$A:$ZZ,31,FALSE)=1,$F$18,0.5))*IF($G$1="裂石",$AJ13,$AH13)+IF($G$1="裂石",$AK13*1.5,0))*(1+$AY13)*(1+$AZ13)+(($BA13+($BB13-$BA13)*IF(VLOOKUP($Q13,武学奇术!$A:$ZZ,31,FALSE)=1,$F$18,0.5))*IF($G$1="牵丝",$AJ13,$AH13)+IF($G$1="牵丝",$AK13*1.5,0))*(1+$BC13)*(1+$BD13)+(($BE13+($BF13-$BE13)*IF(VLOOKUP($Q13,武学奇术!$A:$ZZ,31,FALSE)=1,$F$18,0.5))*IF($G$1="破竹",$AJ13,$AH13)+IF($G$1="破竹",$AK13*1.5,0))*(1+$BG13)*(1+$BH13))*(1+$AL13)*$BK13*$P13*(1+IF(VLOOKUP($Q13,武学奇术!$A:$ZZ,30,FALSE)="蓄力技",$B$21,0))*(1+$BQ13)</f>
        <v>26659.6243652244</v>
      </c>
      <c r="M13" s="39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25824.0890446332</v>
      </c>
      <c r="N13" s="39">
        <f>((($AN13+($AO13-$AN13)*IF(VLOOKUP($Q13,武学奇术!$A:$ZZ,31,FALSE)=1,$F$18,0.5))*$AH13+$AI13)*(1+$AP13)*(1+$AQ13)+(($AS13+($AT13-$AS13)*IF(VLOOKUP($Q13,武学奇术!$A:$ZZ,31,FALSE)=1,$F$18,0.5))*IF($G$1="鸣金",$AJ13,$AH13)+IF($G$1="鸣金",$AK13*1.5,0))*(1+$AU13)*(1+$AV13)+(($AW13+($AX13-$AW13)*IF(VLOOKUP($Q13,武学奇术!$A:$ZZ,31,FALSE)=1,$F$18,0.5))*IF($G$1="裂石",$AJ13,$AH13)+IF($G$1="裂石",$AK13*1.5,0))*(1+$AY13)*(1+$AZ13)+(($BA13+($BB13-$BA13)*IF(VLOOKUP($Q13,武学奇术!$A:$ZZ,31,FALSE)=1,$F$18,0.5))*IF($G$1="牵丝",$AJ13,$AH13)+IF($G$1="牵丝",$AK13*1.5,0))*(1+$BC13)*(1+$BD13)+(($BE13+($BF13-$BE13)*IF(VLOOKUP($Q13,武学奇术!$A:$ZZ,31,FALSE)=1,$F$18,0.5))*IF($G$1="破竹",$AJ13,$AH13)+IF($G$1="破竹",$AK13*1.5,0))*(1+$BG13)*(1+$BH13))*(1+$AL13)*$P13*(1+IF(VLOOKUP($Q13,武学奇术!$A:$ZZ,30,FALSE)="蓄力技",$B$21,0))*(1+$BQ13)</f>
        <v>17089.5027982208</v>
      </c>
      <c r="O13" s="39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15050.0507485651</v>
      </c>
      <c r="P13" s="40">
        <v>1</v>
      </c>
      <c r="Q13" s="41" t="s">
        <v>106</v>
      </c>
      <c r="R13" s="41" t="s">
        <v>85</v>
      </c>
      <c r="S13" s="41" t="s">
        <v>72</v>
      </c>
      <c r="T13" s="41" t="s">
        <v>72</v>
      </c>
      <c r="U13" s="41" t="s">
        <v>73</v>
      </c>
      <c r="V13" s="41" t="s">
        <v>72</v>
      </c>
      <c r="W13" s="41" t="s">
        <v>72</v>
      </c>
      <c r="X13" s="41" t="s">
        <v>80</v>
      </c>
      <c r="Y13" s="41" t="s">
        <v>81</v>
      </c>
      <c r="Z13" s="41" t="s">
        <v>72</v>
      </c>
      <c r="AA13" s="41" t="s">
        <v>72</v>
      </c>
      <c r="AB13" s="41" t="s">
        <v>72</v>
      </c>
      <c r="AC13" s="41" t="s">
        <v>72</v>
      </c>
      <c r="AD13" s="41" t="s">
        <v>72</v>
      </c>
      <c r="AE13" s="41" t="s">
        <v>75</v>
      </c>
      <c r="AF13" s="41" t="s">
        <v>76</v>
      </c>
      <c r="AG13" t="str">
        <f>VLOOKUP($Q13,武学奇术!$A:$ZZ,25,FALSE)</f>
        <v>拳甲</v>
      </c>
      <c r="AH13" s="27">
        <f>VLOOKUP($Q13,武学奇术!$A:$ZZ,26,FALSE)</f>
        <v>1.2876</v>
      </c>
      <c r="AI13" s="28">
        <f>VLOOKUP($Q13,武学奇术!$A:$ZZ,27,FALSE)*(1+IF(OR($AG13=$F$4,$AG13=$F$5),$B$22,0))</f>
        <v>501.2</v>
      </c>
      <c r="AJ13" s="27">
        <f>VLOOKUP($Q13,武学奇术!$A:$ZZ,28,FALSE)</f>
        <v>1.9313</v>
      </c>
      <c r="AK13" s="28">
        <f>VLOOKUP($Q13,武学奇术!$A:$ZZ,29,FALSE)*(1+IF(OR($AG13=$F$4,$AG13=$F$5),$B$22,0))</f>
        <v>273</v>
      </c>
      <c r="AL13" s="27" cm="1">
        <f t="array" ref="AL13">$G$3+IFERROR(VLOOKUP($AG13,$F$4:$G$7,2,FALSE),0)+VLOOKUP($Q13,武学奇术!$A:$ZZ,2,FALSE)+SUM(_xlfn.XLOOKUP($R13:$AF13,增益!$A:$A,增益!$B:$B,0))</f>
        <v>0.4041</v>
      </c>
      <c r="AM13" s="27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3804.006</v>
      </c>
      <c r="AO13" cm="1">
        <f t="array" ref="AO13">$E$10*(1+$AM13)+VLOOKUP($Q13,武学奇术!$A:$ZZ,4,FALSE)+SUM(_xlfn.XLOOKUP($R13:$AF13,增益!$A:$A,增益!$D:$D,0))-$I$2</f>
        <v>3804.006</v>
      </c>
      <c r="AP13" s="33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0.297</v>
      </c>
      <c r="AQ13" s="33" cm="1">
        <f t="array" ref="AQ13">$G$10+VLOOKUP($Q13,武学奇术!$A:$ZZ,7,FALSE)+SUM(_xlfn.XLOOKUP(R13:AF13,增益!$A:$A,增益!$G:$G,0))</f>
        <v>0.09</v>
      </c>
      <c r="AR13" s="27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3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-0.14</v>
      </c>
      <c r="AV13" s="33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3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-0.14</v>
      </c>
      <c r="AZ13" s="33" cm="1">
        <f t="array" ref="AZ13">$G$12+VLOOKUP($Q13,武学奇术!$A:$ZZ,12,FALSE)+SUM(_xlfn.XLOOKUP(R13:AF13,增益!$A:$A,增益!$L:$L,0))</f>
        <v>0</v>
      </c>
      <c r="BA13">
        <f t="shared" si="5"/>
        <v>0</v>
      </c>
      <c r="BB13">
        <f t="shared" si="6"/>
        <v>0</v>
      </c>
      <c r="BC13" s="33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-0.14</v>
      </c>
      <c r="BD13" s="33" cm="1">
        <f t="array" ref="BD13">$G$13+VLOOKUP($Q13,武学奇术!$A:$ZZ,14,FALSE)+SUM(_xlfn.XLOOKUP(R13:AF13,增益!$A:$A,增益!$N:$N,0))</f>
        <v>0</v>
      </c>
      <c r="BE13">
        <f t="shared" si="7"/>
        <v>570.28</v>
      </c>
      <c r="BF13">
        <f t="shared" si="8"/>
        <v>1582.156</v>
      </c>
      <c r="BG13" s="33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0.08</v>
      </c>
      <c r="BH13" s="33" cm="1">
        <f t="array" ref="BH13">$G$14+VLOOKUP($Q13,武学奇术!$A:$ZZ,16,FALSE)+SUM(_xlfn.XLOOKUP(R13:AF13,增益!$A:$A,增益!$P:$P,0))</f>
        <v>0.24</v>
      </c>
      <c r="BI13" s="27">
        <f>MIN(IF(VLOOKUP($Q13,武学奇术!$A:$ZZ,23,FALSE)=1,100%,$B$8),100%)</f>
        <v>1</v>
      </c>
      <c r="BJ13" s="27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+MIN(IF(VLOOKUP($Q13,武学奇术!$A:$ZZ,32,FALSE)=1,IF(VLOOKUP($Q13,武学奇术!$A:$ZZ,24,FALSE)=1,100%,MIN(40%,$B$10+VLOOKUP($Q13,武学奇术!$A:$ZZ,19,FALSE)+SUM(_xlfn.XLOOKUP(R13:AF13,增益!$A:$A,增益!$S:$S,0)))+$B$12+SUM(_xlfn.XLOOKUP(R13:AF13,增益!$A:$A,增益!$V:$V,0))),0),12%)</f>
        <v>0.918</v>
      </c>
      <c r="BK13" s="27" cm="1">
        <f t="array" ref="BK13">1+$B$13+VLOOKUP($Q13,武学奇术!$A:$ZZ,18,FALSE)+SUM(_xlfn.XLOOKUP(R13:AF13,增益!$A:$A,增益!$R:$R,0))</f>
        <v>1.56</v>
      </c>
      <c r="BL13" s="27" cm="1">
        <f t="array" ref="BL13">MAX(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-IF(VLOOKUP($Q13,武学奇术!$A:$ZZ,32,FALSE)=1,12%,0),0)</f>
        <v>0.0895</v>
      </c>
      <c r="BM13" s="27" cm="1">
        <f t="array" ref="BM13">1+$B$14+VLOOKUP($Q13,武学奇术!$A:$ZZ,20,FALSE)+SUM(_xlfn.XLOOKUP(R13:AF13,增益!$A:$A,增益!$T:$T,0))</f>
        <v>1.35</v>
      </c>
      <c r="BN13" s="27">
        <f t="shared" si="9"/>
        <v>0.9105</v>
      </c>
      <c r="BO13" s="27">
        <f t="shared" si="10"/>
        <v>0</v>
      </c>
      <c r="BP13" s="27">
        <f>IF(VLOOKUP($Q13,武学奇术!$A:$ZZ,22,FALSE)=1,0,(1-$BI13))*(1-$BL13)</f>
        <v>0</v>
      </c>
      <c r="BQ13" s="27" cm="1">
        <f t="array" ref="BQ13">SUM(_xlfn.XLOOKUP(R13:AF13,增益!$A:$A,增益!$W:$W,0))+$I$5</f>
        <v>0.11</v>
      </c>
    </row>
    <row r="14" ht="14.25" spans="1:69">
      <c r="A14" s="42" t="s">
        <v>113</v>
      </c>
      <c r="B14" s="70">
        <v>0.35</v>
      </c>
      <c r="C14" s="54" t="s">
        <v>5</v>
      </c>
      <c r="D14" s="14">
        <f>(B6+IF($G$1=$C14,B7,0))*IF($G$2="撼天",1.06,1)</f>
        <v>570.28</v>
      </c>
      <c r="E14" s="14">
        <f>(MAX(B6,C6)+IF($G$1=$C14,$C$7,0))*IF($G$2="撼天",1.06,1)</f>
        <v>1582.156</v>
      </c>
      <c r="F14" s="14">
        <f>D6</f>
        <v>30</v>
      </c>
      <c r="G14" s="94">
        <f>E6</f>
        <v>0.15</v>
      </c>
      <c r="H14" s="37" t="s">
        <v>114</v>
      </c>
      <c r="I14" s="73">
        <f>RD!I14</f>
        <v>114405.59455825</v>
      </c>
      <c r="J14" s="74"/>
      <c r="K14" s="39">
        <f t="shared" si="0"/>
        <v>62422.757564951</v>
      </c>
      <c r="L14" s="39">
        <f>((($AN14+($AO14-$AN14)*IF(VLOOKUP($Q14,武学奇术!$A:$ZZ,31,FALSE)=1,$F$18,0.5))*$AH14+$AI14)*(1+$AP14)*(1+$AQ14)+(($AS14+($AT14-$AS14)*IF(VLOOKUP($Q14,武学奇术!$A:$ZZ,31,FALSE)=1,$F$18,0.5))*IF($G$1="鸣金",$AJ14,$AH14)+IF($G$1="鸣金",$AK14*1.5,0))*(1+$AU14)*(1+$AV14)+(($AW14+($AX14-$AW14)*IF(VLOOKUP($Q14,武学奇术!$A:$ZZ,31,FALSE)=1,$F$18,0.5))*IF($G$1="裂石",$AJ14,$AH14)+IF($G$1="裂石",$AK14*1.5,0))*(1+$AY14)*(1+$AZ14)+(($BA14+($BB14-$BA14)*IF(VLOOKUP($Q14,武学奇术!$A:$ZZ,31,FALSE)=1,$F$18,0.5))*IF($G$1="牵丝",$AJ14,$AH14)+IF($G$1="牵丝",$AK14*1.5,0))*(1+$BC14)*(1+$BD14)+(($BE14+($BF14-$BE14)*IF(VLOOKUP($Q14,武学奇术!$A:$ZZ,31,FALSE)=1,$F$18,0.5))*IF($G$1="破竹",$AJ14,$AH14)+IF($G$1="破竹",$AK14*1.5,0))*(1+$BG14)*(1+$BH14))*(1+$AL14)*$BK14*$P14*(1+IF(VLOOKUP($Q14,武学奇术!$A:$ZZ,30,FALSE)="蓄力技",$B$21,0))*(1+$BQ14)</f>
        <v>63422.0143406265</v>
      </c>
      <c r="M14" s="39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52257.1341654807</v>
      </c>
      <c r="N14" s="39">
        <f>((($AN14+($AO14-$AN14)*IF(VLOOKUP($Q14,武学奇术!$A:$ZZ,31,FALSE)=1,$F$18,0.5))*$AH14+$AI14)*(1+$AP14)*(1+$AQ14)+(($AS14+($AT14-$AS14)*IF(VLOOKUP($Q14,武学奇术!$A:$ZZ,31,FALSE)=1,$F$18,0.5))*IF($G$1="鸣金",$AJ14,$AH14)+IF($G$1="鸣金",$AK14*1.5,0))*(1+$AU14)*(1+$AV14)+(($AW14+($AX14-$AW14)*IF(VLOOKUP($Q14,武学奇术!$A:$ZZ,31,FALSE)=1,$F$18,0.5))*IF($G$1="裂石",$AJ14,$AH14)+IF($G$1="裂石",$AK14*1.5,0))*(1+$AY14)*(1+$AZ14)+(($BA14+($BB14-$BA14)*IF(VLOOKUP($Q14,武学奇术!$A:$ZZ,31,FALSE)=1,$F$18,0.5))*IF($G$1="牵丝",$AJ14,$AH14)+IF($G$1="牵丝",$AK14*1.5,0))*(1+$BC14)*(1+$BD14)+(($BE14+($BF14-$BE14)*IF(VLOOKUP($Q14,武学奇术!$A:$ZZ,31,FALSE)=1,$F$18,0.5))*IF($G$1="破竹",$AJ14,$AH14)+IF($G$1="破竹",$AK14*1.5,0))*(1+$BG14)*(1+$BH14))*(1+$AL14)*$P14*(1+IF(VLOOKUP($Q14,武学奇术!$A:$ZZ,30,FALSE)="蓄力技",$B$21,0))*(1+$BQ14)</f>
        <v>34097.8571723798</v>
      </c>
      <c r="O14" s="39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29486.7260740333</v>
      </c>
      <c r="P14" s="40">
        <v>1</v>
      </c>
      <c r="Q14" s="41" t="s">
        <v>108</v>
      </c>
      <c r="R14" s="41" t="s">
        <v>85</v>
      </c>
      <c r="S14" s="41" t="s">
        <v>72</v>
      </c>
      <c r="T14" s="41" t="s">
        <v>72</v>
      </c>
      <c r="U14" s="41" t="s">
        <v>73</v>
      </c>
      <c r="V14" s="41" t="s">
        <v>72</v>
      </c>
      <c r="W14" s="41" t="s">
        <v>72</v>
      </c>
      <c r="X14" s="41" t="s">
        <v>80</v>
      </c>
      <c r="Y14" s="41" t="s">
        <v>81</v>
      </c>
      <c r="Z14" s="41" t="s">
        <v>101</v>
      </c>
      <c r="AA14" s="41" t="s">
        <v>72</v>
      </c>
      <c r="AB14" s="41" t="s">
        <v>72</v>
      </c>
      <c r="AC14" s="41" t="s">
        <v>72</v>
      </c>
      <c r="AD14" s="41" t="s">
        <v>72</v>
      </c>
      <c r="AE14" s="41" t="s">
        <v>75</v>
      </c>
      <c r="AF14" s="41" t="s">
        <v>76</v>
      </c>
      <c r="AG14" t="str">
        <f>VLOOKUP($Q14,武学奇术!$A:$ZZ,25,FALSE)</f>
        <v>拳甲</v>
      </c>
      <c r="AH14" s="27">
        <f>VLOOKUP($Q14,武学奇术!$A:$ZZ,26,FALSE)</f>
        <v>2.33376</v>
      </c>
      <c r="AI14" s="28">
        <f>VLOOKUP($Q14,武学奇术!$A:$ZZ,27,FALSE)*(1+IF(OR($AG14=$F$4,$AG14=$F$5),$B$22,0))</f>
        <v>0</v>
      </c>
      <c r="AJ14" s="27">
        <f>VLOOKUP($Q14,武学奇术!$A:$ZZ,28,FALSE)</f>
        <v>3.50064</v>
      </c>
      <c r="AK14" s="28">
        <f>VLOOKUP($Q14,武学奇术!$A:$ZZ,29,FALSE)*(1+IF(OR($AG14=$F$4,$AG14=$F$5),$B$22,0))</f>
        <v>0</v>
      </c>
      <c r="AL14" s="27" cm="1">
        <f t="array" ref="AL14">$G$3+IFERROR(VLOOKUP($AG14,$F$4:$G$7,2,FALSE),0)+VLOOKUP($Q14,武学奇术!$A:$ZZ,2,FALSE)+SUM(_xlfn.XLOOKUP($R14:$AF14,增益!$A:$A,增益!$B:$B,0))</f>
        <v>0.7041</v>
      </c>
      <c r="AM14" s="27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3804.006</v>
      </c>
      <c r="AO14" cm="1">
        <f t="array" ref="AO14">$E$10*(1+$AM14)+VLOOKUP($Q14,武学奇术!$A:$ZZ,4,FALSE)+SUM(_xlfn.XLOOKUP($R14:$AF14,增益!$A:$A,增益!$D:$D,0))-$I$2</f>
        <v>3804.006</v>
      </c>
      <c r="AP14" s="33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0.327</v>
      </c>
      <c r="AQ14" s="33" cm="1">
        <f t="array" ref="AQ14">$G$10+VLOOKUP($Q14,武学奇术!$A:$ZZ,7,FALSE)+SUM(_xlfn.XLOOKUP(R14:AF14,增益!$A:$A,增益!$G:$G,0))</f>
        <v>0.09</v>
      </c>
      <c r="AR14" s="27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3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-0.08</v>
      </c>
      <c r="AV14" s="33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3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-0.08</v>
      </c>
      <c r="AZ14" s="33" cm="1">
        <f t="array" ref="AZ14">$G$12+VLOOKUP($Q14,武学奇术!$A:$ZZ,12,FALSE)+SUM(_xlfn.XLOOKUP(R14:AF14,增益!$A:$A,增益!$L:$L,0))</f>
        <v>0</v>
      </c>
      <c r="BA14">
        <f t="shared" si="5"/>
        <v>0</v>
      </c>
      <c r="BB14">
        <f t="shared" si="6"/>
        <v>0</v>
      </c>
      <c r="BC14" s="33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-0.08</v>
      </c>
      <c r="BD14" s="33" cm="1">
        <f t="array" ref="BD14">$G$13+VLOOKUP($Q14,武学奇术!$A:$ZZ,14,FALSE)+SUM(_xlfn.XLOOKUP(R14:AF14,增益!$A:$A,增益!$N:$N,0))</f>
        <v>0</v>
      </c>
      <c r="BE14">
        <f t="shared" si="7"/>
        <v>570.28</v>
      </c>
      <c r="BF14">
        <f t="shared" si="8"/>
        <v>1582.156</v>
      </c>
      <c r="BG14" s="33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0.11</v>
      </c>
      <c r="BH14" s="33" cm="1">
        <f t="array" ref="BH14">$G$14+VLOOKUP($Q14,武学奇术!$A:$ZZ,16,FALSE)+SUM(_xlfn.XLOOKUP(R14:AF14,增益!$A:$A,增益!$P:$P,0))</f>
        <v>0.24</v>
      </c>
      <c r="BI14" s="27">
        <f>MIN(IF(VLOOKUP($Q14,武学奇术!$A:$ZZ,23,FALSE)=1,100%,$B$8),100%)</f>
        <v>1</v>
      </c>
      <c r="BJ14" s="27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+MIN(IF(VLOOKUP($Q14,武学奇术!$A:$ZZ,32,FALSE)=1,IF(VLOOKUP($Q14,武学奇术!$A:$ZZ,24,FALSE)=1,100%,MIN(40%,$B$10+VLOOKUP($Q14,武学奇术!$A:$ZZ,19,FALSE)+SUM(_xlfn.XLOOKUP(R14:AF14,增益!$A:$A,增益!$S:$S,0)))+$B$12+SUM(_xlfn.XLOOKUP(R14:AF14,增益!$A:$A,增益!$V:$V,0))),0),12%)</f>
        <v>0.918</v>
      </c>
      <c r="BK14" s="27" cm="1">
        <f t="array" ref="BK14">1+$B$13+VLOOKUP($Q14,武学奇术!$A:$ZZ,18,FALSE)+SUM(_xlfn.XLOOKUP(R14:AF14,增益!$A:$A,增益!$R:$R,0))</f>
        <v>1.86</v>
      </c>
      <c r="BL14" s="27" cm="1">
        <f t="array" ref="BL14">MAX(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-IF(VLOOKUP($Q14,武学奇术!$A:$ZZ,32,FALSE)=1,12%,0),0)</f>
        <v>0.0895</v>
      </c>
      <c r="BM14" s="27" cm="1">
        <f t="array" ref="BM14">1+$B$14+VLOOKUP($Q14,武学奇术!$A:$ZZ,20,FALSE)+SUM(_xlfn.XLOOKUP(R14:AF14,增益!$A:$A,增益!$T:$T,0))</f>
        <v>1.35</v>
      </c>
      <c r="BN14" s="27">
        <f t="shared" si="9"/>
        <v>0.9105</v>
      </c>
      <c r="BO14" s="27">
        <f t="shared" si="10"/>
        <v>0</v>
      </c>
      <c r="BP14" s="27">
        <f>IF(VLOOKUP($Q14,武学奇术!$A:$ZZ,22,FALSE)=1,0,(1-$BI14))*(1-$BL14)</f>
        <v>0</v>
      </c>
      <c r="BQ14" s="27" cm="1">
        <f t="array" ref="BQ14">SUM(_xlfn.XLOOKUP(R14:AF14,增益!$A:$A,增益!$W:$W,0))+$I$5</f>
        <v>0.11</v>
      </c>
    </row>
    <row r="15" ht="14.25" spans="1:69">
      <c r="A15" s="42" t="s">
        <v>115</v>
      </c>
      <c r="B15" s="70">
        <v>0.0852</v>
      </c>
      <c r="C15" s="40" t="s">
        <v>116</v>
      </c>
      <c r="D15" s="40"/>
      <c r="F15" s="80"/>
      <c r="H15" s="81"/>
      <c r="I15" s="75"/>
      <c r="J15" s="76"/>
      <c r="K15" s="39">
        <f t="shared" si="0"/>
        <v>16236.9844133173</v>
      </c>
      <c r="L15" s="39">
        <f>((($AN15+($AO15-$AN15)*IF(VLOOKUP($Q15,武学奇术!$A:$ZZ,31,FALSE)=1,$F$18,0.5))*$AH15+$AI15)*(1+$AP15)*(1+$AQ15)+(($AS15+($AT15-$AS15)*IF(VLOOKUP($Q15,武学奇术!$A:$ZZ,31,FALSE)=1,$F$18,0.5))*IF($G$1="鸣金",$AJ15,$AH15)+IF($G$1="鸣金",$AK15*1.5,0))*(1+$AU15)*(1+$AV15)+(($AW15+($AX15-$AW15)*IF(VLOOKUP($Q15,武学奇术!$A:$ZZ,31,FALSE)=1,$F$18,0.5))*IF($G$1="裂石",$AJ15,$AH15)+IF($G$1="裂石",$AK15*1.5,0))*(1+$AY15)*(1+$AZ15)+(($BA15+($BB15-$BA15)*IF(VLOOKUP($Q15,武学奇术!$A:$ZZ,31,FALSE)=1,$F$18,0.5))*IF($G$1="牵丝",$AJ15,$AH15)+IF($G$1="牵丝",$AK15*1.5,0))*(1+$BC15)*(1+$BD15)+(($BE15+($BF15-$BE15)*IF(VLOOKUP($Q15,武学奇术!$A:$ZZ,31,FALSE)=1,$F$18,0.5))*IF($G$1="破竹",$AJ15,$AH15)+IF($G$1="破竹",$AK15*1.5,0))*(1+$BG15)*(1+$BH15))*(1+$AL15)*$BK15*$P15*(1+IF(VLOOKUP($Q15,武学奇术!$A:$ZZ,30,FALSE)="蓄力技",$B$21,0))*(1+$BQ15)</f>
        <v>16496.4843296686</v>
      </c>
      <c r="M15" s="39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13597.0439235081</v>
      </c>
      <c r="N15" s="39">
        <f>((($AN15+($AO15-$AN15)*IF(VLOOKUP($Q15,武学奇术!$A:$ZZ,31,FALSE)=1,$F$18,0.5))*$AH15+$AI15)*(1+$AP15)*(1+$AQ15)+(($AS15+($AT15-$AS15)*IF(VLOOKUP($Q15,武学奇术!$A:$ZZ,31,FALSE)=1,$F$18,0.5))*IF($G$1="鸣金",$AJ15,$AH15)+IF($G$1="鸣金",$AK15*1.5,0))*(1+$AU15)*(1+$AV15)+(($AW15+($AX15-$AW15)*IF(VLOOKUP($Q15,武学奇术!$A:$ZZ,31,FALSE)=1,$F$18,0.5))*IF($G$1="裂石",$AJ15,$AH15)+IF($G$1="裂石",$AK15*1.5,0))*(1+$AY15)*(1+$AZ15)+(($BA15+($BB15-$BA15)*IF(VLOOKUP($Q15,武学奇术!$A:$ZZ,31,FALSE)=1,$F$18,0.5))*IF($G$1="牵丝",$AJ15,$AH15)+IF($G$1="牵丝",$AK15*1.5,0))*(1+$BC15)*(1+$BD15)+(($BE15+($BF15-$BE15)*IF(VLOOKUP($Q15,武学奇术!$A:$ZZ,31,FALSE)=1,$F$18,0.5))*IF($G$1="破竹",$AJ15,$AH15)+IF($G$1="破竹",$AK15*1.5,0))*(1+$BG15)*(1+$BH15))*(1+$AL15)*$P15*(1+IF(VLOOKUP($Q15,武学奇术!$A:$ZZ,30,FALSE)="蓄力技",$B$21,0))*(1+$BQ15)</f>
        <v>9064.0023789388</v>
      </c>
      <c r="O15" s="39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8056.12037009381</v>
      </c>
      <c r="P15" s="40">
        <v>1</v>
      </c>
      <c r="Q15" s="41" t="s">
        <v>117</v>
      </c>
      <c r="R15" s="41" t="s">
        <v>90</v>
      </c>
      <c r="S15" s="41" t="s">
        <v>118</v>
      </c>
      <c r="T15" s="41" t="s">
        <v>119</v>
      </c>
      <c r="U15" s="41" t="s">
        <v>73</v>
      </c>
      <c r="V15" s="41" t="s">
        <v>72</v>
      </c>
      <c r="W15" s="41" t="s">
        <v>72</v>
      </c>
      <c r="X15" s="41" t="s">
        <v>86</v>
      </c>
      <c r="Y15" s="41" t="s">
        <v>81</v>
      </c>
      <c r="Z15" s="41" t="s">
        <v>72</v>
      </c>
      <c r="AA15" s="41" t="s">
        <v>72</v>
      </c>
      <c r="AB15" s="41" t="s">
        <v>72</v>
      </c>
      <c r="AC15" s="41" t="s">
        <v>72</v>
      </c>
      <c r="AD15" s="41" t="s">
        <v>72</v>
      </c>
      <c r="AE15" s="41" t="s">
        <v>75</v>
      </c>
      <c r="AF15" s="41" t="s">
        <v>76</v>
      </c>
      <c r="AG15" t="str">
        <f>VLOOKUP($Q15,武学奇术!$A:$ZZ,25,FALSE)</f>
        <v>拳甲</v>
      </c>
      <c r="AH15" s="27">
        <f>VLOOKUP($Q15,武学奇术!$A:$ZZ,26,FALSE)</f>
        <v>0.5712</v>
      </c>
      <c r="AI15" s="28">
        <f>VLOOKUP($Q15,武学奇术!$A:$ZZ,27,FALSE)*(1+IF(OR($AG15=$F$4,$AG15=$F$5),$B$22,0))</f>
        <v>224</v>
      </c>
      <c r="AJ15" s="27">
        <f>VLOOKUP($Q15,武学奇术!$A:$ZZ,28,FALSE)</f>
        <v>0.8568</v>
      </c>
      <c r="AK15" s="28">
        <f>VLOOKUP($Q15,武学奇术!$A:$ZZ,29,FALSE)*(1+IF(OR($AG15=$F$4,$AG15=$F$5),$B$22,0))</f>
        <v>121.8</v>
      </c>
      <c r="AL15" s="27" cm="1">
        <f t="array" ref="AL15">$G$3+IFERROR(VLOOKUP($AG15,$F$4:$G$7,2,FALSE),0)+VLOOKUP($Q15,武学奇术!$A:$ZZ,2,FALSE)+SUM(_xlfn.XLOOKUP($R15:$AF15,增益!$A:$A,增益!$B:$B,0))</f>
        <v>0.5641</v>
      </c>
      <c r="AM15" s="27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3804.006</v>
      </c>
      <c r="AO15" cm="1">
        <f t="array" ref="AO15">$E$10*(1+$AM15)+VLOOKUP($Q15,武学奇术!$A:$ZZ,4,FALSE)+SUM(_xlfn.XLOOKUP($R15:$AF15,增益!$A:$A,增益!$D:$D,0))-$I$2</f>
        <v>3804.006</v>
      </c>
      <c r="AP15" s="33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0.432</v>
      </c>
      <c r="AQ15" s="33" cm="1">
        <f t="array" ref="AQ15">$G$10+VLOOKUP($Q15,武学奇术!$A:$ZZ,7,FALSE)+SUM(_xlfn.XLOOKUP(R15:AF15,增益!$A:$A,增益!$G:$G,0))</f>
        <v>0.09</v>
      </c>
      <c r="AR15" s="27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3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-0.14</v>
      </c>
      <c r="AV15" s="33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3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-0.14</v>
      </c>
      <c r="AZ15" s="33" cm="1">
        <f t="array" ref="AZ15">$G$12+VLOOKUP($Q15,武学奇术!$A:$ZZ,12,FALSE)+SUM(_xlfn.XLOOKUP(R15:AF15,增益!$A:$A,增益!$L:$L,0))</f>
        <v>0</v>
      </c>
      <c r="BA15">
        <f t="shared" si="5"/>
        <v>0</v>
      </c>
      <c r="BB15">
        <f t="shared" si="6"/>
        <v>0</v>
      </c>
      <c r="BC15" s="33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-0.14</v>
      </c>
      <c r="BD15" s="33" cm="1">
        <f t="array" ref="BD15">$G$13+VLOOKUP($Q15,武学奇术!$A:$ZZ,14,FALSE)+SUM(_xlfn.XLOOKUP(R15:AF15,增益!$A:$A,增益!$N:$N,0))</f>
        <v>0</v>
      </c>
      <c r="BE15">
        <f t="shared" si="7"/>
        <v>570.28</v>
      </c>
      <c r="BF15">
        <f t="shared" si="8"/>
        <v>1582.156</v>
      </c>
      <c r="BG15" s="33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0.08</v>
      </c>
      <c r="BH15" s="33" cm="1">
        <f t="array" ref="BH15">$G$14+VLOOKUP($Q15,武学奇术!$A:$ZZ,16,FALSE)+SUM(_xlfn.XLOOKUP(R15:AF15,增益!$A:$A,增益!$P:$P,0))</f>
        <v>0.24</v>
      </c>
      <c r="BI15" s="27">
        <f>MIN(IF(VLOOKUP($Q15,武学奇术!$A:$ZZ,23,FALSE)=1,100%,$B$8),100%)</f>
        <v>1</v>
      </c>
      <c r="BJ15" s="27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+MIN(IF(VLOOKUP($Q15,武学奇术!$A:$ZZ,32,FALSE)=1,IF(VLOOKUP($Q15,武学奇术!$A:$ZZ,24,FALSE)=1,100%,MIN(40%,$B$10+VLOOKUP($Q15,武学奇术!$A:$ZZ,19,FALSE)+SUM(_xlfn.XLOOKUP(R15:AF15,增益!$A:$A,增益!$S:$S,0)))+$B$12+SUM(_xlfn.XLOOKUP(R15:AF15,增益!$A:$A,增益!$V:$V,0))),0),12%)</f>
        <v>0.918</v>
      </c>
      <c r="BK15" s="27" cm="1">
        <f t="array" ref="BK15">1+$B$13+VLOOKUP($Q15,武学奇术!$A:$ZZ,18,FALSE)+SUM(_xlfn.XLOOKUP(R15:AF15,增益!$A:$A,增益!$R:$R,0))</f>
        <v>1.82</v>
      </c>
      <c r="BL15" s="27" cm="1">
        <f t="array" ref="BL15">MAX(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-IF(VLOOKUP($Q15,武学奇术!$A:$ZZ,32,FALSE)=1,12%,0),0)</f>
        <v>0.0895</v>
      </c>
      <c r="BM15" s="27" cm="1">
        <f t="array" ref="BM15">1+$B$14+VLOOKUP($Q15,武学奇术!$A:$ZZ,20,FALSE)+SUM(_xlfn.XLOOKUP(R15:AF15,增益!$A:$A,增益!$T:$T,0))</f>
        <v>1.35</v>
      </c>
      <c r="BN15" s="27">
        <f t="shared" si="9"/>
        <v>0.9105</v>
      </c>
      <c r="BO15" s="27">
        <f t="shared" si="10"/>
        <v>0</v>
      </c>
      <c r="BP15" s="27">
        <f>IF(VLOOKUP($Q15,武学奇术!$A:$ZZ,22,FALSE)=1,0,(1-$BI15))*(1-$BL15)</f>
        <v>0</v>
      </c>
      <c r="BQ15" s="27" cm="1">
        <f t="array" ref="BQ15">SUM(_xlfn.XLOOKUP(R15:AF15,增益!$A:$A,增益!$W:$W,0))+$I$5</f>
        <v>0.11</v>
      </c>
    </row>
    <row r="16" spans="1:69">
      <c r="A16" s="42" t="s">
        <v>120</v>
      </c>
      <c r="B16" s="70">
        <v>0.0887</v>
      </c>
      <c r="C16" s="40" t="s">
        <v>121</v>
      </c>
      <c r="D16" s="80" t="s">
        <v>122</v>
      </c>
      <c r="E16" s="40" t="s">
        <v>123</v>
      </c>
      <c r="F16" s="80" t="s">
        <v>122</v>
      </c>
      <c r="H16" s="68" t="s">
        <v>124</v>
      </c>
      <c r="I16" s="82">
        <f>I12/127284.15</f>
        <v>1.00000003236694</v>
      </c>
      <c r="J16" s="83"/>
      <c r="K16" s="39">
        <f t="shared" si="0"/>
        <v>1004739.18698316</v>
      </c>
      <c r="L16" s="39">
        <f>((($AN16+($AO16-$AN16)*IF(VLOOKUP($Q16,武学奇术!$A:$ZZ,31,FALSE)=1,$F$18,0.5))*$AH16+$AI16)*(1+$AP16)*(1+$AQ16)+(($AS16+($AT16-$AS16)*IF(VLOOKUP($Q16,武学奇术!$A:$ZZ,31,FALSE)=1,$F$18,0.5))*IF($G$1="鸣金",$AJ16,$AH16)+IF($G$1="鸣金",$AK16*1.5,0))*(1+$AU16)*(1+$AV16)+(($AW16+($AX16-$AW16)*IF(VLOOKUP($Q16,武学奇术!$A:$ZZ,31,FALSE)=1,$F$18,0.5))*IF($G$1="裂石",$AJ16,$AH16)+IF($G$1="裂石",$AK16*1.5,0))*(1+$AY16)*(1+$AZ16)+(($BA16+($BB16-$BA16)*IF(VLOOKUP($Q16,武学奇术!$A:$ZZ,31,FALSE)=1,$F$18,0.5))*IF($G$1="牵丝",$AJ16,$AH16)+IF($G$1="牵丝",$AK16*1.5,0))*(1+$BC16)*(1+$BD16)+(($BE16+($BF16-$BE16)*IF(VLOOKUP($Q16,武学奇术!$A:$ZZ,31,FALSE)=1,$F$18,0.5))*IF($G$1="破竹",$AJ16,$AH16)+IF($G$1="破竹",$AK16*1.5,0))*(1+$BG16)*(1+$BH16))*(1+$AL16)*$BK16*$P16*(1+IF(VLOOKUP($Q16,武学奇术!$A:$ZZ,30,FALSE)="蓄力技",$B$21,0))*(1+$BQ16)</f>
        <v>1004739.18698316</v>
      </c>
      <c r="M16" s="39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649748.622203906</v>
      </c>
      <c r="N16" s="39">
        <f>((($AN16+($AO16-$AN16)*IF(VLOOKUP($Q16,武学奇术!$A:$ZZ,31,FALSE)=1,$F$18,0.5))*$AH16+$AI16)*(1+$AP16)*(1+$AQ16)+(($AS16+($AT16-$AS16)*IF(VLOOKUP($Q16,武学奇术!$A:$ZZ,31,FALSE)=1,$F$18,0.5))*IF($G$1="鸣金",$AJ16,$AH16)+IF($G$1="鸣金",$AK16*1.5,0))*(1+$AU16)*(1+$AV16)+(($AW16+($AX16-$AW16)*IF(VLOOKUP($Q16,武学奇术!$A:$ZZ,31,FALSE)=1,$F$18,0.5))*IF($G$1="裂石",$AJ16,$AH16)+IF($G$1="裂石",$AK16*1.5,0))*(1+$AY16)*(1+$AZ16)+(($BA16+($BB16-$BA16)*IF(VLOOKUP($Q16,武学奇术!$A:$ZZ,31,FALSE)=1,$F$18,0.5))*IF($G$1="牵丝",$AJ16,$AH16)+IF($G$1="牵丝",$AK16*1.5,0))*(1+$BC16)*(1+$BD16)+(($BE16+($BF16-$BE16)*IF(VLOOKUP($Q16,武学奇术!$A:$ZZ,31,FALSE)=1,$F$18,0.5))*IF($G$1="破竹",$AJ16,$AH16)+IF($G$1="破竹",$AK16*1.5,0))*(1+$BG16)*(1+$BH16))*(1+$AL16)*$P16*(1+IF(VLOOKUP($Q16,武学奇术!$A:$ZZ,30,FALSE)="蓄力技",$B$21,0))*(1+$BQ16)</f>
        <v>433077.235768603</v>
      </c>
      <c r="O16" s="39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384859.195830608</v>
      </c>
      <c r="P16" s="40">
        <v>1</v>
      </c>
      <c r="Q16" s="41" t="s">
        <v>125</v>
      </c>
      <c r="R16" s="41" t="s">
        <v>93</v>
      </c>
      <c r="S16" s="41" t="s">
        <v>118</v>
      </c>
      <c r="T16" s="41" t="s">
        <v>119</v>
      </c>
      <c r="U16" s="41" t="s">
        <v>73</v>
      </c>
      <c r="V16" s="41" t="s">
        <v>72</v>
      </c>
      <c r="W16" s="41" t="s">
        <v>72</v>
      </c>
      <c r="X16" s="41" t="s">
        <v>86</v>
      </c>
      <c r="Y16" s="41" t="s">
        <v>81</v>
      </c>
      <c r="Z16" s="41" t="s">
        <v>101</v>
      </c>
      <c r="AA16" s="41" t="s">
        <v>72</v>
      </c>
      <c r="AB16" s="41" t="s">
        <v>72</v>
      </c>
      <c r="AC16" s="41" t="s">
        <v>72</v>
      </c>
      <c r="AD16" s="41" t="s">
        <v>72</v>
      </c>
      <c r="AE16" s="41" t="s">
        <v>75</v>
      </c>
      <c r="AF16" s="41" t="s">
        <v>76</v>
      </c>
      <c r="AG16" t="str">
        <f>VLOOKUP($Q16,武学奇术!$A:$ZZ,25,FALSE)</f>
        <v>拳甲</v>
      </c>
      <c r="AH16" s="27">
        <f>VLOOKUP($Q16,武学奇术!$A:$ZZ,26,FALSE)</f>
        <v>16.8107</v>
      </c>
      <c r="AI16" s="28">
        <f>VLOOKUP($Q16,武学奇术!$A:$ZZ,27,FALSE)*(1+IF(OR($AG16=$F$4,$AG16=$F$5),$B$22,0))</f>
        <v>6505.8</v>
      </c>
      <c r="AJ16" s="27">
        <f>VLOOKUP($Q16,武学奇术!$A:$ZZ,28,FALSE)</f>
        <v>25.2161</v>
      </c>
      <c r="AK16" s="28">
        <f>VLOOKUP($Q16,武学奇术!$A:$ZZ,29,FALSE)*(1+IF(OR($AG16=$F$4,$AG16=$F$5),$B$22,0))</f>
        <v>3546.2</v>
      </c>
      <c r="AL16" s="27" cm="1">
        <f t="array" ref="AL16">$G$3+IFERROR(VLOOKUP($AG16,$F$4:$G$7,2,FALSE),0)+VLOOKUP($Q16,武学奇术!$A:$ZZ,2,FALSE)+SUM(_xlfn.XLOOKUP($R16:$AF16,增益!$A:$A,增益!$B:$B,0))</f>
        <v>0.8741</v>
      </c>
      <c r="AM16" s="27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3804.006</v>
      </c>
      <c r="AO16" cm="1">
        <f t="array" ref="AO16">$E$10*(1+$AM16)+VLOOKUP($Q16,武学奇术!$A:$ZZ,4,FALSE)+SUM(_xlfn.XLOOKUP($R16:$AF16,增益!$A:$A,增益!$D:$D,0))-$I$2</f>
        <v>3804.006</v>
      </c>
      <c r="AP16" s="33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0.472</v>
      </c>
      <c r="AQ16" s="33" cm="1">
        <f t="array" ref="AQ16">$G$10+VLOOKUP($Q16,武学奇术!$A:$ZZ,7,FALSE)+SUM(_xlfn.XLOOKUP(R16:AF16,增益!$A:$A,增益!$G:$G,0))</f>
        <v>0.09</v>
      </c>
      <c r="AR16" s="27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3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-0.08</v>
      </c>
      <c r="AV16" s="33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3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-0.08</v>
      </c>
      <c r="AZ16" s="33" cm="1">
        <f t="array" ref="AZ16">$G$12+VLOOKUP($Q16,武学奇术!$A:$ZZ,12,FALSE)+SUM(_xlfn.XLOOKUP(R16:AF16,增益!$A:$A,增益!$L:$L,0))</f>
        <v>0</v>
      </c>
      <c r="BA16">
        <f t="shared" si="5"/>
        <v>0</v>
      </c>
      <c r="BB16">
        <f t="shared" si="6"/>
        <v>0</v>
      </c>
      <c r="BC16" s="33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-0.08</v>
      </c>
      <c r="BD16" s="33" cm="1">
        <f t="array" ref="BD16">$G$13+VLOOKUP($Q16,武学奇术!$A:$ZZ,14,FALSE)+SUM(_xlfn.XLOOKUP(R16:AF16,增益!$A:$A,增益!$N:$N,0))</f>
        <v>0</v>
      </c>
      <c r="BE16">
        <f t="shared" si="7"/>
        <v>570.28</v>
      </c>
      <c r="BF16">
        <f t="shared" si="8"/>
        <v>1582.156</v>
      </c>
      <c r="BG16" s="33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0.11</v>
      </c>
      <c r="BH16" s="33" cm="1">
        <f t="array" ref="BH16">$G$14+VLOOKUP($Q16,武学奇术!$A:$ZZ,16,FALSE)+SUM(_xlfn.XLOOKUP(R16:AF16,增益!$A:$A,增益!$P:$P,0))</f>
        <v>0.24</v>
      </c>
      <c r="BI16" s="27">
        <f>MIN(IF(VLOOKUP($Q16,武学奇术!$A:$ZZ,23,FALSE)=1,100%,$B$8),100%)</f>
        <v>1</v>
      </c>
      <c r="BJ16" s="27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+MIN(IF(VLOOKUP($Q16,武学奇术!$A:$ZZ,32,FALSE)=1,IF(VLOOKUP($Q16,武学奇术!$A:$ZZ,24,FALSE)=1,100%,MIN(40%,$B$10+VLOOKUP($Q16,武学奇术!$A:$ZZ,19,FALSE)+SUM(_xlfn.XLOOKUP(R16:AF16,增益!$A:$A,增益!$S:$S,0)))+$B$12+SUM(_xlfn.XLOOKUP(R16:AF16,增益!$A:$A,增益!$V:$V,0))),0),12%)</f>
        <v>1.0075</v>
      </c>
      <c r="BK16" s="27" cm="1">
        <f t="array" ref="BK16">1+$B$13+VLOOKUP($Q16,武学奇术!$A:$ZZ,18,FALSE)+SUM(_xlfn.XLOOKUP(R16:AF16,增益!$A:$A,增益!$R:$R,0))</f>
        <v>2.32</v>
      </c>
      <c r="BL16" s="27" cm="1">
        <f t="array" ref="BL16">MAX(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-IF(VLOOKUP($Q16,武学奇术!$A:$ZZ,32,FALSE)=1,12%,0),0)</f>
        <v>0</v>
      </c>
      <c r="BM16" s="27" cm="1">
        <f t="array" ref="BM16">1+$B$14+VLOOKUP($Q16,武学奇术!$A:$ZZ,20,FALSE)+SUM(_xlfn.XLOOKUP(R16:AF16,增益!$A:$A,增益!$T:$T,0))</f>
        <v>1.35</v>
      </c>
      <c r="BN16" s="27">
        <f t="shared" si="9"/>
        <v>1</v>
      </c>
      <c r="BO16" s="27">
        <f t="shared" si="10"/>
        <v>0</v>
      </c>
      <c r="BP16" s="27">
        <f>IF(VLOOKUP($Q16,武学奇术!$A:$ZZ,22,FALSE)=1,0,(1-$BI16))*(1-$BL16)</f>
        <v>0</v>
      </c>
      <c r="BQ16" s="27" cm="1">
        <f t="array" ref="BQ16">SUM(_xlfn.XLOOKUP(R16:AF16,增益!$A:$A,增益!$W:$W,0))+$I$5</f>
        <v>0.11</v>
      </c>
    </row>
    <row r="17" ht="14.25" spans="1:69">
      <c r="A17" s="42" t="s">
        <v>126</v>
      </c>
      <c r="B17" s="70">
        <v>0.0852</v>
      </c>
      <c r="C17" s="40" t="s">
        <v>127</v>
      </c>
      <c r="D17" s="80" t="s">
        <v>122</v>
      </c>
      <c r="E17" s="40" t="s">
        <v>128</v>
      </c>
      <c r="F17" s="80" t="s">
        <v>122</v>
      </c>
      <c r="H17" s="71"/>
      <c r="I17" s="84"/>
      <c r="J17" s="85"/>
      <c r="K17" s="39">
        <f t="shared" si="0"/>
        <v>386837.262089718</v>
      </c>
      <c r="L17" s="39">
        <f>((($AN17+($AO17-$AN17)*IF(VLOOKUP($Q17,武学奇术!$A:$ZZ,31,FALSE)=1,$F$18,0.5))*$AH17+$AI17)*(1+$AP17)*(1+$AQ17)+(($AS17+($AT17-$AS17)*IF(VLOOKUP($Q17,武学奇术!$A:$ZZ,31,FALSE)=1,$F$18,0.5))*IF($G$1="鸣金",$AJ17,$AH17)+IF($G$1="鸣金",$AK17*1.5,0))*(1+$AU17)*(1+$AV17)+(($AW17+($AX17-$AW17)*IF(VLOOKUP($Q17,武学奇术!$A:$ZZ,31,FALSE)=1,$F$18,0.5))*IF($G$1="裂石",$AJ17,$AH17)+IF($G$1="裂石",$AK17*1.5,0))*(1+$AY17)*(1+$AZ17)+(($BA17+($BB17-$BA17)*IF(VLOOKUP($Q17,武学奇术!$A:$ZZ,31,FALSE)=1,$F$18,0.5))*IF($G$1="牵丝",$AJ17,$AH17)+IF($G$1="牵丝",$AK17*1.5,0))*(1+$BC17)*(1+$BD17)+(($BE17+($BF17-$BE17)*IF(VLOOKUP($Q17,武学奇术!$A:$ZZ,31,FALSE)=1,$F$18,0.5))*IF($G$1="破竹",$AJ17,$AH17)+IF($G$1="破竹",$AK17*1.5,0))*(1+$BG17)*(1+$BH17))*(1+$AL17)*$BK17*$P17*(1+IF(VLOOKUP($Q17,武学奇术!$A:$ZZ,30,FALSE)="蓄力技",$B$21,0))*(1+$BQ17)</f>
        <v>386837.262089718</v>
      </c>
      <c r="M17" s="39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250160.805535177</v>
      </c>
      <c r="N17" s="39">
        <f>((($AN17+($AO17-$AN17)*IF(VLOOKUP($Q17,武学奇术!$A:$ZZ,31,FALSE)=1,$F$18,0.5))*$AH17+$AI17)*(1+$AP17)*(1+$AQ17)+(($AS17+($AT17-$AS17)*IF(VLOOKUP($Q17,武学奇术!$A:$ZZ,31,FALSE)=1,$F$18,0.5))*IF($G$1="鸣金",$AJ17,$AH17)+IF($G$1="鸣金",$AK17*1.5,0))*(1+$AU17)*(1+$AV17)+(($AW17+($AX17-$AW17)*IF(VLOOKUP($Q17,武学奇术!$A:$ZZ,31,FALSE)=1,$F$18,0.5))*IF($G$1="裂石",$AJ17,$AH17)+IF($G$1="裂石",$AK17*1.5,0))*(1+$AY17)*(1+$AZ17)+(($BA17+($BB17-$BA17)*IF(VLOOKUP($Q17,武学奇术!$A:$ZZ,31,FALSE)=1,$F$18,0.5))*IF($G$1="牵丝",$AJ17,$AH17)+IF($G$1="牵丝",$AK17*1.5,0))*(1+$BC17)*(1+$BD17)+(($BE17+($BF17-$BE17)*IF(VLOOKUP($Q17,武学奇术!$A:$ZZ,31,FALSE)=1,$F$18,0.5))*IF($G$1="破竹",$AJ17,$AH17)+IF($G$1="破竹",$AK17*1.5,0))*(1+$BG17)*(1+$BH17))*(1+$AL17)*$P17*(1+IF(VLOOKUP($Q17,武学奇术!$A:$ZZ,30,FALSE)="蓄力技",$B$21,0))*(1+$BQ17)</f>
        <v>166740.199176603</v>
      </c>
      <c r="O17" s="39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148176.097956777</v>
      </c>
      <c r="P17" s="40">
        <v>1</v>
      </c>
      <c r="Q17" s="41" t="s">
        <v>129</v>
      </c>
      <c r="R17" s="41" t="s">
        <v>93</v>
      </c>
      <c r="S17" s="41" t="s">
        <v>118</v>
      </c>
      <c r="T17" s="41" t="s">
        <v>119</v>
      </c>
      <c r="U17" s="41" t="s">
        <v>73</v>
      </c>
      <c r="V17" s="41" t="s">
        <v>72</v>
      </c>
      <c r="W17" s="41" t="s">
        <v>72</v>
      </c>
      <c r="X17" s="41" t="s">
        <v>86</v>
      </c>
      <c r="Y17" s="41" t="s">
        <v>81</v>
      </c>
      <c r="Z17" s="41" t="s">
        <v>101</v>
      </c>
      <c r="AA17" s="41" t="s">
        <v>72</v>
      </c>
      <c r="AB17" s="41" t="s">
        <v>72</v>
      </c>
      <c r="AC17" s="41" t="s">
        <v>72</v>
      </c>
      <c r="AD17" s="41" t="s">
        <v>72</v>
      </c>
      <c r="AE17" s="41" t="s">
        <v>75</v>
      </c>
      <c r="AF17" s="41" t="s">
        <v>76</v>
      </c>
      <c r="AG17" t="str">
        <f>VLOOKUP($Q17,武学奇术!$A:$ZZ,25,FALSE)</f>
        <v>拳甲</v>
      </c>
      <c r="AH17" s="27">
        <f>VLOOKUP($Q17,武学奇术!$A:$ZZ,26,FALSE)</f>
        <v>6.4722</v>
      </c>
      <c r="AI17" s="28">
        <f>VLOOKUP($Q17,武学奇术!$A:$ZZ,27,FALSE)*(1+IF(OR($AG17=$F$4,$AG17=$F$5),$B$22,0))</f>
        <v>2504.88</v>
      </c>
      <c r="AJ17" s="27">
        <f>VLOOKUP($Q17,武学奇术!$A:$ZZ,28,FALSE)</f>
        <v>9.70828</v>
      </c>
      <c r="AK17" s="28">
        <f>VLOOKUP($Q17,武学奇术!$A:$ZZ,29,FALSE)*(1+IF(OR($AG17=$F$4,$AG17=$F$5),$B$22,0))</f>
        <v>1365.84</v>
      </c>
      <c r="AL17" s="27" cm="1">
        <f t="array" ref="AL17">$G$3+IFERROR(VLOOKUP($AG17,$F$4:$G$7,2,FALSE),0)+VLOOKUP($Q17,武学奇术!$A:$ZZ,2,FALSE)+SUM(_xlfn.XLOOKUP($R17:$AF17,增益!$A:$A,增益!$B:$B,0))</f>
        <v>0.8741</v>
      </c>
      <c r="AM17" s="27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3804.006</v>
      </c>
      <c r="AO17" cm="1">
        <f t="array" ref="AO17">$E$10*(1+$AM17)+VLOOKUP($Q17,武学奇术!$A:$ZZ,4,FALSE)+SUM(_xlfn.XLOOKUP($R17:$AF17,增益!$A:$A,增益!$D:$D,0))-$I$2</f>
        <v>3804.006</v>
      </c>
      <c r="AP17" s="33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0.472</v>
      </c>
      <c r="AQ17" s="33" cm="1">
        <f t="array" ref="AQ17">$G$10+VLOOKUP($Q17,武学奇术!$A:$ZZ,7,FALSE)+SUM(_xlfn.XLOOKUP(R17:AF17,增益!$A:$A,增益!$G:$G,0))</f>
        <v>0.09</v>
      </c>
      <c r="AR17" s="27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3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-0.08</v>
      </c>
      <c r="AV17" s="33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3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-0.08</v>
      </c>
      <c r="AZ17" s="33" cm="1">
        <f t="array" ref="AZ17">$G$12+VLOOKUP($Q17,武学奇术!$A:$ZZ,12,FALSE)+SUM(_xlfn.XLOOKUP(R17:AF17,增益!$A:$A,增益!$L:$L,0))</f>
        <v>0</v>
      </c>
      <c r="BA17">
        <f t="shared" si="5"/>
        <v>0</v>
      </c>
      <c r="BB17">
        <f t="shared" si="6"/>
        <v>0</v>
      </c>
      <c r="BC17" s="33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-0.08</v>
      </c>
      <c r="BD17" s="33" cm="1">
        <f t="array" ref="BD17">$G$13+VLOOKUP($Q17,武学奇术!$A:$ZZ,14,FALSE)+SUM(_xlfn.XLOOKUP(R17:AF17,增益!$A:$A,增益!$N:$N,0))</f>
        <v>0</v>
      </c>
      <c r="BE17">
        <f t="shared" si="7"/>
        <v>570.28</v>
      </c>
      <c r="BF17">
        <f t="shared" si="8"/>
        <v>1582.156</v>
      </c>
      <c r="BG17" s="33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0.11</v>
      </c>
      <c r="BH17" s="33" cm="1">
        <f t="array" ref="BH17">$G$14+VLOOKUP($Q17,武学奇术!$A:$ZZ,16,FALSE)+SUM(_xlfn.XLOOKUP(R17:AF17,增益!$A:$A,增益!$P:$P,0))</f>
        <v>0.24</v>
      </c>
      <c r="BI17" s="27">
        <f>MIN(IF(VLOOKUP($Q17,武学奇术!$A:$ZZ,23,FALSE)=1,100%,$B$8),100%)</f>
        <v>1</v>
      </c>
      <c r="BJ17" s="27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+MIN(IF(VLOOKUP($Q17,武学奇术!$A:$ZZ,32,FALSE)=1,IF(VLOOKUP($Q17,武学奇术!$A:$ZZ,24,FALSE)=1,100%,MIN(40%,$B$10+VLOOKUP($Q17,武学奇术!$A:$ZZ,19,FALSE)+SUM(_xlfn.XLOOKUP(R17:AF17,增益!$A:$A,增益!$S:$S,0)))+$B$12+SUM(_xlfn.XLOOKUP(R17:AF17,增益!$A:$A,增益!$V:$V,0))),0),12%)</f>
        <v>1.0075</v>
      </c>
      <c r="BK17" s="27" cm="1">
        <f t="array" ref="BK17">1+$B$13+VLOOKUP($Q17,武学奇术!$A:$ZZ,18,FALSE)+SUM(_xlfn.XLOOKUP(R17:AF17,增益!$A:$A,增益!$R:$R,0))</f>
        <v>2.32</v>
      </c>
      <c r="BL17" s="27" cm="1">
        <f t="array" ref="BL17">MAX(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-IF(VLOOKUP($Q17,武学奇术!$A:$ZZ,32,FALSE)=1,12%,0),0)</f>
        <v>0</v>
      </c>
      <c r="BM17" s="27" cm="1">
        <f t="array" ref="BM17">1+$B$14+VLOOKUP($Q17,武学奇术!$A:$ZZ,20,FALSE)+SUM(_xlfn.XLOOKUP(R17:AF17,增益!$A:$A,增益!$T:$T,0))</f>
        <v>1.35</v>
      </c>
      <c r="BN17" s="27">
        <f t="shared" si="9"/>
        <v>1</v>
      </c>
      <c r="BO17" s="27">
        <f t="shared" si="10"/>
        <v>0</v>
      </c>
      <c r="BP17" s="27">
        <f>IF(VLOOKUP($Q17,武学奇术!$A:$ZZ,22,FALSE)=1,0,(1-$BI17))*(1-$BL17)</f>
        <v>0</v>
      </c>
      <c r="BQ17" s="27" cm="1">
        <f t="array" ref="BQ17">SUM(_xlfn.XLOOKUP(R17:AF17,增益!$A:$A,增益!$W:$W,0))+$I$5</f>
        <v>0.11</v>
      </c>
    </row>
    <row r="18" spans="1:69">
      <c r="A18" s="42" t="s">
        <v>130</v>
      </c>
      <c r="B18" s="70">
        <v>0</v>
      </c>
      <c r="C18" s="40" t="s">
        <v>131</v>
      </c>
      <c r="D18" s="80" t="s">
        <v>122</v>
      </c>
      <c r="E18" s="40" t="s">
        <v>132</v>
      </c>
      <c r="F18" s="86">
        <v>0.5</v>
      </c>
      <c r="H18" s="68" t="s">
        <v>133</v>
      </c>
      <c r="I18" s="37">
        <v>10</v>
      </c>
      <c r="J18" s="38"/>
      <c r="K18" s="39">
        <f t="shared" si="0"/>
        <v>57746.7684485331</v>
      </c>
      <c r="L18" s="39">
        <f>((($AN18+($AO18-$AN18)*IF(VLOOKUP($Q18,武学奇术!$A:$ZZ,31,FALSE)=1,$F$18,0.5))*$AH18+$AI18)*(1+$AP18)*(1+$AQ18)+(($AS18+($AT18-$AS18)*IF(VLOOKUP($Q18,武学奇术!$A:$ZZ,31,FALSE)=1,$F$18,0.5))*IF($G$1="鸣金",$AJ18,$AH18)+IF($G$1="鸣金",$AK18*1.5,0))*(1+$AU18)*(1+$AV18)+(($AW18+($AX18-$AW18)*IF(VLOOKUP($Q18,武学奇术!$A:$ZZ,31,FALSE)=1,$F$18,0.5))*IF($G$1="裂石",$AJ18,$AH18)+IF($G$1="裂石",$AK18*1.5,0))*(1+$AY18)*(1+$AZ18)+(($BA18+($BB18-$BA18)*IF(VLOOKUP($Q18,武学奇术!$A:$ZZ,31,FALSE)=1,$F$18,0.5))*IF($G$1="牵丝",$AJ18,$AH18)+IF($G$1="牵丝",$AK18*1.5,0))*(1+$BC18)*(1+$BD18)+(($BE18+($BF18-$BE18)*IF(VLOOKUP($Q18,武学奇术!$A:$ZZ,31,FALSE)=1,$F$18,0.5))*IF($G$1="破竹",$AJ18,$AH18)+IF($G$1="破竹",$AK18*1.5,0))*(1+$BG18)*(1+$BH18))*(1+$AL18)*$BK18*$P18*(1+IF(VLOOKUP($Q18,武学奇术!$A:$ZZ,30,FALSE)="蓄力技",$B$21,0))*(1+$BQ18)</f>
        <v>57978.1258331888</v>
      </c>
      <c r="M18" s="39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55393.1271219529</v>
      </c>
      <c r="N18" s="39">
        <f>((($AN18+($AO18-$AN18)*IF(VLOOKUP($Q18,武学奇术!$A:$ZZ,31,FALSE)=1,$F$18,0.5))*$AH18+$AI18)*(1+$AP18)*(1+$AQ18)+(($AS18+($AT18-$AS18)*IF(VLOOKUP($Q18,武学奇术!$A:$ZZ,31,FALSE)=1,$F$18,0.5))*IF($G$1="鸣金",$AJ18,$AH18)+IF($G$1="鸣金",$AK18*1.5,0))*(1+$AU18)*(1+$AV18)+(($AW18+($AX18-$AW18)*IF(VLOOKUP($Q18,武学奇术!$A:$ZZ,31,FALSE)=1,$F$18,0.5))*IF($G$1="裂石",$AJ18,$AH18)+IF($G$1="裂石",$AK18*1.5,0))*(1+$AY18)*(1+$AZ18)+(($BA18+($BB18-$BA18)*IF(VLOOKUP($Q18,武学奇术!$A:$ZZ,31,FALSE)=1,$F$18,0.5))*IF($G$1="牵丝",$AJ18,$AH18)+IF($G$1="牵丝",$AK18*1.5,0))*(1+$BC18)*(1+$BD18)+(($BE18+($BF18-$BE18)*IF(VLOOKUP($Q18,武学奇术!$A:$ZZ,31,FALSE)=1,$F$18,0.5))*IF($G$1="破竹",$AJ18,$AH18)+IF($G$1="破竹",$AK18*1.5,0))*(1+$BG18)*(1+$BH18))*(1+$AL18)*$P18*(1+IF(VLOOKUP($Q18,武学奇术!$A:$ZZ,30,FALSE)="蓄力技",$B$21,0))*(1+$BQ18)</f>
        <v>36695.0163501195</v>
      </c>
      <c r="O18" s="39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32358.0866839775</v>
      </c>
      <c r="P18" s="40">
        <v>1</v>
      </c>
      <c r="Q18" s="41" t="s">
        <v>111</v>
      </c>
      <c r="R18" s="41" t="s">
        <v>93</v>
      </c>
      <c r="S18" s="41" t="s">
        <v>72</v>
      </c>
      <c r="T18" s="41" t="s">
        <v>119</v>
      </c>
      <c r="U18" s="41" t="s">
        <v>73</v>
      </c>
      <c r="V18" s="41" t="s">
        <v>72</v>
      </c>
      <c r="W18" s="41" t="s">
        <v>72</v>
      </c>
      <c r="X18" s="41" t="s">
        <v>91</v>
      </c>
      <c r="Y18" s="41" t="s">
        <v>81</v>
      </c>
      <c r="Z18" s="41" t="s">
        <v>72</v>
      </c>
      <c r="AA18" s="41" t="s">
        <v>72</v>
      </c>
      <c r="AB18" s="41" t="s">
        <v>72</v>
      </c>
      <c r="AC18" s="41" t="s">
        <v>72</v>
      </c>
      <c r="AD18" s="41" t="s">
        <v>72</v>
      </c>
      <c r="AE18" s="41" t="s">
        <v>75</v>
      </c>
      <c r="AF18" s="41" t="s">
        <v>76</v>
      </c>
      <c r="AG18" t="str">
        <f>VLOOKUP($Q18,武学奇术!$A:$ZZ,25,FALSE)</f>
        <v>拳甲</v>
      </c>
      <c r="AH18" s="27">
        <f>VLOOKUP($Q18,武学奇术!$A:$ZZ,26,FALSE)</f>
        <v>2.4421</v>
      </c>
      <c r="AI18" s="28">
        <f>VLOOKUP($Q18,武学奇术!$A:$ZZ,27,FALSE)*(1+IF(OR($AG18=$F$4,$AG18=$F$5),$B$22,0))</f>
        <v>945</v>
      </c>
      <c r="AJ18" s="27">
        <f>VLOOKUP($Q18,武学奇术!$A:$ZZ,28,FALSE)</f>
        <v>3.6634</v>
      </c>
      <c r="AK18" s="28">
        <f>VLOOKUP($Q18,武学奇术!$A:$ZZ,29,FALSE)*(1+IF(OR($AG18=$F$4,$AG18=$F$5),$B$22,0))</f>
        <v>512.4</v>
      </c>
      <c r="AL18" s="27" cm="1">
        <f t="array" ref="AL18">$G$3+IFERROR(VLOOKUP($AG18,$F$4:$G$7,2,FALSE),0)+VLOOKUP($Q18,武学奇术!$A:$ZZ,2,FALSE)+SUM(_xlfn.XLOOKUP($R18:$AF18,增益!$A:$A,增益!$B:$B,0))</f>
        <v>0.5741</v>
      </c>
      <c r="AM18" s="27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3804.006</v>
      </c>
      <c r="AO18" cm="1">
        <f t="array" ref="AO18">$E$10*(1+$AM18)+VLOOKUP($Q18,武学奇术!$A:$ZZ,4,FALSE)+SUM(_xlfn.XLOOKUP($R18:$AF18,增益!$A:$A,增益!$D:$D,0))-$I$2</f>
        <v>3804.006</v>
      </c>
      <c r="AP18" s="33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0.317</v>
      </c>
      <c r="AQ18" s="33" cm="1">
        <f t="array" ref="AQ18">$G$10+VLOOKUP($Q18,武学奇术!$A:$ZZ,7,FALSE)+SUM(_xlfn.XLOOKUP(R18:AF18,增益!$A:$A,增益!$G:$G,0))</f>
        <v>0.09</v>
      </c>
      <c r="AR18" s="27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3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-0.14</v>
      </c>
      <c r="AV18" s="33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3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-0.14</v>
      </c>
      <c r="AZ18" s="33" cm="1">
        <f t="array" ref="AZ18">$G$12+VLOOKUP($Q18,武学奇术!$A:$ZZ,12,FALSE)+SUM(_xlfn.XLOOKUP(R18:AF18,增益!$A:$A,增益!$L:$L,0))</f>
        <v>0</v>
      </c>
      <c r="BA18">
        <f t="shared" si="5"/>
        <v>0</v>
      </c>
      <c r="BB18">
        <f t="shared" si="6"/>
        <v>0</v>
      </c>
      <c r="BC18" s="33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-0.14</v>
      </c>
      <c r="BD18" s="33" cm="1">
        <f t="array" ref="BD18">$G$13+VLOOKUP($Q18,武学奇术!$A:$ZZ,14,FALSE)+SUM(_xlfn.XLOOKUP(R18:AF18,增益!$A:$A,增益!$N:$N,0))</f>
        <v>0</v>
      </c>
      <c r="BE18">
        <f t="shared" si="7"/>
        <v>570.28</v>
      </c>
      <c r="BF18">
        <f t="shared" si="8"/>
        <v>1582.156</v>
      </c>
      <c r="BG18" s="33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0.08</v>
      </c>
      <c r="BH18" s="33" cm="1">
        <f t="array" ref="BH18">$G$14+VLOOKUP($Q18,武学奇术!$A:$ZZ,16,FALSE)+SUM(_xlfn.XLOOKUP(R18:AF18,增益!$A:$A,增益!$P:$P,0))</f>
        <v>0.24</v>
      </c>
      <c r="BI18" s="27">
        <f>MIN(IF(VLOOKUP($Q18,武学奇术!$A:$ZZ,23,FALSE)=1,100%,$B$8),100%)</f>
        <v>1</v>
      </c>
      <c r="BJ18" s="27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+MIN(IF(VLOOKUP($Q18,武学奇术!$A:$ZZ,32,FALSE)=1,IF(VLOOKUP($Q18,武学奇术!$A:$ZZ,24,FALSE)=1,100%,MIN(40%,$B$10+VLOOKUP($Q18,武学奇术!$A:$ZZ,19,FALSE)+SUM(_xlfn.XLOOKUP(R18:AF18,增益!$A:$A,增益!$S:$S,0)))+$B$12+SUM(_xlfn.XLOOKUP(R18:AF18,增益!$A:$A,增益!$V:$V,0))),0),12%)</f>
        <v>0.918</v>
      </c>
      <c r="BK18" s="27" cm="1">
        <f t="array" ref="BK18">1+$B$13+VLOOKUP($Q18,武学奇术!$A:$ZZ,18,FALSE)+SUM(_xlfn.XLOOKUP(R18:AF18,增益!$A:$A,增益!$R:$R,0))</f>
        <v>1.58</v>
      </c>
      <c r="BL18" s="27" cm="1">
        <f t="array" ref="BL18">MAX(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-IF(VLOOKUP($Q18,武学奇术!$A:$ZZ,32,FALSE)=1,12%,0),0)</f>
        <v>0.0895</v>
      </c>
      <c r="BM18" s="27" cm="1">
        <f t="array" ref="BM18">1+$B$14+VLOOKUP($Q18,武学奇术!$A:$ZZ,20,FALSE)+SUM(_xlfn.XLOOKUP(R18:AF18,增益!$A:$A,增益!$T:$T,0))</f>
        <v>1.35</v>
      </c>
      <c r="BN18" s="27">
        <f t="shared" si="9"/>
        <v>0.9105</v>
      </c>
      <c r="BO18" s="27">
        <f t="shared" si="10"/>
        <v>0</v>
      </c>
      <c r="BP18" s="27">
        <f>IF(VLOOKUP($Q18,武学奇术!$A:$ZZ,22,FALSE)=1,0,(1-$BI18))*(1-$BL18)</f>
        <v>0</v>
      </c>
      <c r="BQ18" s="27" cm="1">
        <f t="array" ref="BQ18">SUM(_xlfn.XLOOKUP(R18:AF18,增益!$A:$A,增益!$W:$W,0))+$I$5</f>
        <v>0.11</v>
      </c>
    </row>
    <row r="19" ht="14.25" spans="1:69">
      <c r="A19" s="42" t="s">
        <v>134</v>
      </c>
      <c r="B19" s="70">
        <v>0</v>
      </c>
      <c r="C19" s="40" t="s">
        <v>135</v>
      </c>
      <c r="D19" s="80" t="s">
        <v>122</v>
      </c>
      <c r="H19" s="71"/>
      <c r="I19" s="81"/>
      <c r="J19" s="95"/>
      <c r="K19" s="39">
        <f t="shared" si="0"/>
        <v>30473.1605262146</v>
      </c>
      <c r="L19" s="39">
        <f>((($AN19+($AO19-$AN19)*IF(VLOOKUP($Q19,武学奇术!$A:$ZZ,31,FALSE)=1,$F$18,0.5))*$AH19+$AI19)*(1+$AP19)*(1+$AQ19)+(($AS19+($AT19-$AS19)*IF(VLOOKUP($Q19,武学奇术!$A:$ZZ,31,FALSE)=1,$F$18,0.5))*IF($G$1="鸣金",$AJ19,$AH19)+IF($G$1="鸣金",$AK19*1.5,0))*(1+$AU19)*(1+$AV19)+(($AW19+($AX19-$AW19)*IF(VLOOKUP($Q19,武学奇术!$A:$ZZ,31,FALSE)=1,$F$18,0.5))*IF($G$1="裂石",$AJ19,$AH19)+IF($G$1="裂石",$AK19*1.5,0))*(1+$AY19)*(1+$AZ19)+(($BA19+($BB19-$BA19)*IF(VLOOKUP($Q19,武学奇术!$A:$ZZ,31,FALSE)=1,$F$18,0.5))*IF($G$1="牵丝",$AJ19,$AH19)+IF($G$1="牵丝",$AK19*1.5,0))*(1+$BC19)*(1+$BD19)+(($BE19+($BF19-$BE19)*IF(VLOOKUP($Q19,武学奇术!$A:$ZZ,31,FALSE)=1,$F$18,0.5))*IF($G$1="破竹",$AJ19,$AH19)+IF($G$1="破竹",$AK19*1.5,0))*(1+$BG19)*(1+$BH19))*(1+$AL19)*$BK19*$P19*(1+IF(VLOOKUP($Q19,武学奇术!$A:$ZZ,30,FALSE)="蓄力技",$B$21,0))*(1+$BQ19)</f>
        <v>30595.5222466701</v>
      </c>
      <c r="M19" s="39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29228.3521857143</v>
      </c>
      <c r="N19" s="39">
        <f>((($AN19+($AO19-$AN19)*IF(VLOOKUP($Q19,武学奇术!$A:$ZZ,31,FALSE)=1,$F$18,0.5))*$AH19+$AI19)*(1+$AP19)*(1+$AQ19)+(($AS19+($AT19-$AS19)*IF(VLOOKUP($Q19,武学奇术!$A:$ZZ,31,FALSE)=1,$F$18,0.5))*IF($G$1="鸣金",$AJ19,$AH19)+IF($G$1="鸣金",$AK19*1.5,0))*(1+$AU19)*(1+$AV19)+(($AW19+($AX19-$AW19)*IF(VLOOKUP($Q19,武学奇术!$A:$ZZ,31,FALSE)=1,$F$18,0.5))*IF($G$1="裂石",$AJ19,$AH19)+IF($G$1="裂石",$AK19*1.5,0))*(1+$AY19)*(1+$AZ19)+(($BA19+($BB19-$BA19)*IF(VLOOKUP($Q19,武学奇术!$A:$ZZ,31,FALSE)=1,$F$18,0.5))*IF($G$1="牵丝",$AJ19,$AH19)+IF($G$1="牵丝",$AK19*1.5,0))*(1+$BC19)*(1+$BD19)+(($BE19+($BF19-$BE19)*IF(VLOOKUP($Q19,武学奇术!$A:$ZZ,31,FALSE)=1,$F$18,0.5))*IF($G$1="破竹",$AJ19,$AH19)+IF($G$1="破竹",$AK19*1.5,0))*(1+$BG19)*(1+$BH19))*(1+$AL19)*$P19*(1+IF(VLOOKUP($Q19,武学奇术!$A:$ZZ,30,FALSE)="蓄力技",$B$21,0))*(1+$BQ19)</f>
        <v>19364.2545865001</v>
      </c>
      <c r="O19" s="39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17077.8779243229</v>
      </c>
      <c r="P19" s="40">
        <v>1</v>
      </c>
      <c r="Q19" s="41" t="s">
        <v>106</v>
      </c>
      <c r="R19" s="41" t="s">
        <v>93</v>
      </c>
      <c r="S19" s="41" t="s">
        <v>72</v>
      </c>
      <c r="T19" s="41" t="s">
        <v>119</v>
      </c>
      <c r="U19" s="41" t="s">
        <v>73</v>
      </c>
      <c r="V19" s="41" t="s">
        <v>72</v>
      </c>
      <c r="W19" s="41" t="s">
        <v>72</v>
      </c>
      <c r="X19" s="41" t="s">
        <v>91</v>
      </c>
      <c r="Y19" s="41" t="s">
        <v>81</v>
      </c>
      <c r="Z19" s="41" t="s">
        <v>72</v>
      </c>
      <c r="AA19" s="41" t="s">
        <v>72</v>
      </c>
      <c r="AB19" s="41" t="s">
        <v>72</v>
      </c>
      <c r="AC19" s="41" t="s">
        <v>72</v>
      </c>
      <c r="AD19" s="41" t="s">
        <v>72</v>
      </c>
      <c r="AE19" s="41" t="s">
        <v>75</v>
      </c>
      <c r="AF19" s="41" t="s">
        <v>76</v>
      </c>
      <c r="AG19" t="str">
        <f>VLOOKUP($Q19,武学奇术!$A:$ZZ,25,FALSE)</f>
        <v>拳甲</v>
      </c>
      <c r="AH19" s="27">
        <f>VLOOKUP($Q19,武学奇术!$A:$ZZ,26,FALSE)</f>
        <v>1.2876</v>
      </c>
      <c r="AI19" s="28">
        <f>VLOOKUP($Q19,武学奇术!$A:$ZZ,27,FALSE)*(1+IF(OR($AG19=$F$4,$AG19=$F$5),$B$22,0))</f>
        <v>501.2</v>
      </c>
      <c r="AJ19" s="27">
        <f>VLOOKUP($Q19,武学奇术!$A:$ZZ,28,FALSE)</f>
        <v>1.9313</v>
      </c>
      <c r="AK19" s="28">
        <f>VLOOKUP($Q19,武学奇术!$A:$ZZ,29,FALSE)*(1+IF(OR($AG19=$F$4,$AG19=$F$5),$B$22,0))</f>
        <v>273</v>
      </c>
      <c r="AL19" s="27" cm="1">
        <f t="array" ref="AL19">$G$3+IFERROR(VLOOKUP($AG19,$F$4:$G$7,2,FALSE),0)+VLOOKUP($Q19,武学奇术!$A:$ZZ,2,FALSE)+SUM(_xlfn.XLOOKUP($R19:$AF19,增益!$A:$A,增益!$B:$B,0))</f>
        <v>0.5741</v>
      </c>
      <c r="AM19" s="27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3804.006</v>
      </c>
      <c r="AO19" cm="1">
        <f t="array" ref="AO19">$E$10*(1+$AM19)+VLOOKUP($Q19,武学奇术!$A:$ZZ,4,FALSE)+SUM(_xlfn.XLOOKUP($R19:$AF19,增益!$A:$A,增益!$D:$D,0))-$I$2</f>
        <v>3804.006</v>
      </c>
      <c r="AP19" s="33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0.317</v>
      </c>
      <c r="AQ19" s="33" cm="1">
        <f t="array" ref="AQ19">$G$10+VLOOKUP($Q19,武学奇术!$A:$ZZ,7,FALSE)+SUM(_xlfn.XLOOKUP(R19:AF19,增益!$A:$A,增益!$G:$G,0))</f>
        <v>0.09</v>
      </c>
      <c r="AR19" s="27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3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-0.14</v>
      </c>
      <c r="AV19" s="33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3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-0.14</v>
      </c>
      <c r="AZ19" s="33" cm="1">
        <f t="array" ref="AZ19">$G$12+VLOOKUP($Q19,武学奇术!$A:$ZZ,12,FALSE)+SUM(_xlfn.XLOOKUP(R19:AF19,增益!$A:$A,增益!$L:$L,0))</f>
        <v>0</v>
      </c>
      <c r="BA19">
        <f t="shared" si="5"/>
        <v>0</v>
      </c>
      <c r="BB19">
        <f t="shared" si="6"/>
        <v>0</v>
      </c>
      <c r="BC19" s="33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-0.14</v>
      </c>
      <c r="BD19" s="33" cm="1">
        <f t="array" ref="BD19">$G$13+VLOOKUP($Q19,武学奇术!$A:$ZZ,14,FALSE)+SUM(_xlfn.XLOOKUP(R19:AF19,增益!$A:$A,增益!$N:$N,0))</f>
        <v>0</v>
      </c>
      <c r="BE19">
        <f t="shared" si="7"/>
        <v>570.28</v>
      </c>
      <c r="BF19">
        <f t="shared" si="8"/>
        <v>1582.156</v>
      </c>
      <c r="BG19" s="33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0.08</v>
      </c>
      <c r="BH19" s="33" cm="1">
        <f t="array" ref="BH19">$G$14+VLOOKUP($Q19,武学奇术!$A:$ZZ,16,FALSE)+SUM(_xlfn.XLOOKUP(R19:AF19,增益!$A:$A,增益!$P:$P,0))</f>
        <v>0.24</v>
      </c>
      <c r="BI19" s="27">
        <f>MIN(IF(VLOOKUP($Q19,武学奇术!$A:$ZZ,23,FALSE)=1,100%,$B$8),100%)</f>
        <v>1</v>
      </c>
      <c r="BJ19" s="27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+MIN(IF(VLOOKUP($Q19,武学奇术!$A:$ZZ,32,FALSE)=1,IF(VLOOKUP($Q19,武学奇术!$A:$ZZ,24,FALSE)=1,100%,MIN(40%,$B$10+VLOOKUP($Q19,武学奇术!$A:$ZZ,19,FALSE)+SUM(_xlfn.XLOOKUP(R19:AF19,增益!$A:$A,增益!$S:$S,0)))+$B$12+SUM(_xlfn.XLOOKUP(R19:AF19,增益!$A:$A,增益!$V:$V,0))),0),12%)</f>
        <v>0.918</v>
      </c>
      <c r="BK19" s="27" cm="1">
        <f t="array" ref="BK19">1+$B$13+VLOOKUP($Q19,武学奇术!$A:$ZZ,18,FALSE)+SUM(_xlfn.XLOOKUP(R19:AF19,增益!$A:$A,增益!$R:$R,0))</f>
        <v>1.58</v>
      </c>
      <c r="BL19" s="27" cm="1">
        <f t="array" ref="BL19">MAX(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-IF(VLOOKUP($Q19,武学奇术!$A:$ZZ,32,FALSE)=1,12%,0),0)</f>
        <v>0.0895</v>
      </c>
      <c r="BM19" s="27" cm="1">
        <f t="array" ref="BM19">1+$B$14+VLOOKUP($Q19,武学奇术!$A:$ZZ,20,FALSE)+SUM(_xlfn.XLOOKUP(R19:AF19,增益!$A:$A,增益!$T:$T,0))</f>
        <v>1.35</v>
      </c>
      <c r="BN19" s="27">
        <f t="shared" si="9"/>
        <v>0.9105</v>
      </c>
      <c r="BO19" s="27">
        <f t="shared" si="10"/>
        <v>0</v>
      </c>
      <c r="BP19" s="27">
        <f>IF(VLOOKUP($Q19,武学奇术!$A:$ZZ,22,FALSE)=1,0,(1-$BI19))*(1-$BL19)</f>
        <v>0</v>
      </c>
      <c r="BQ19" s="27" cm="1">
        <f t="array" ref="BQ19">SUM(_xlfn.XLOOKUP(R19:AF19,增益!$A:$A,增益!$W:$W,0))+$I$5</f>
        <v>0.11</v>
      </c>
    </row>
    <row r="20" spans="1:69">
      <c r="A20" s="42" t="s">
        <v>136</v>
      </c>
      <c r="B20" s="70">
        <v>0</v>
      </c>
      <c r="C20" s="40" t="s">
        <v>137</v>
      </c>
      <c r="D20" s="80" t="s">
        <v>122</v>
      </c>
      <c r="H20" s="68"/>
      <c r="I20" s="37"/>
      <c r="J20" s="38"/>
      <c r="K20" s="39">
        <f t="shared" si="0"/>
        <v>70070.6630430872</v>
      </c>
      <c r="L20" s="39">
        <f>((($AN20+($AO20-$AN20)*IF(VLOOKUP($Q20,武学奇术!$A:$ZZ,31,FALSE)=1,$F$18,0.5))*$AH20+$AI20)*(1+$AP20)*(1+$AQ20)+(($AS20+($AT20-$AS20)*IF(VLOOKUP($Q20,武学奇术!$A:$ZZ,31,FALSE)=1,$F$18,0.5))*IF($G$1="鸣金",$AJ20,$AH20)+IF($G$1="鸣金",$AK20*1.5,0))*(1+$AU20)*(1+$AV20)+(($AW20+($AX20-$AW20)*IF(VLOOKUP($Q20,武学奇术!$A:$ZZ,31,FALSE)=1,$F$18,0.5))*IF($G$1="裂石",$AJ20,$AH20)+IF($G$1="裂石",$AK20*1.5,0))*(1+$AY20)*(1+$AZ20)+(($BA20+($BB20-$BA20)*IF(VLOOKUP($Q20,武学奇术!$A:$ZZ,31,FALSE)=1,$F$18,0.5))*IF($G$1="牵丝",$AJ20,$AH20)+IF($G$1="牵丝",$AK20*1.5,0))*(1+$BC20)*(1+$BD20)+(($BE20+($BF20-$BE20)*IF(VLOOKUP($Q20,武学奇术!$A:$ZZ,31,FALSE)=1,$F$18,0.5))*IF($G$1="破竹",$AJ20,$AH20)+IF($G$1="破竹",$AK20*1.5,0))*(1+$BG20)*(1+$BH20))*(1+$AL20)*$BK20*$P20*(1+IF(VLOOKUP($Q20,武学奇术!$A:$ZZ,30,FALSE)="蓄力技",$B$21,0))*(1+$BQ20)</f>
        <v>71255.8262232904</v>
      </c>
      <c r="M20" s="39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58013.7795171094</v>
      </c>
      <c r="N20" s="39">
        <f>((($AN20+($AO20-$AN20)*IF(VLOOKUP($Q20,武学奇术!$A:$ZZ,31,FALSE)=1,$F$18,0.5))*$AH20+$AI20)*(1+$AP20)*(1+$AQ20)+(($AS20+($AT20-$AS20)*IF(VLOOKUP($Q20,武学奇术!$A:$ZZ,31,FALSE)=1,$F$18,0.5))*IF($G$1="鸣金",$AJ20,$AH20)+IF($G$1="鸣金",$AK20*1.5,0))*(1+$AU20)*(1+$AV20)+(($AW20+($AX20-$AW20)*IF(VLOOKUP($Q20,武学奇术!$A:$ZZ,31,FALSE)=1,$F$18,0.5))*IF($G$1="裂石",$AJ20,$AH20)+IF($G$1="裂石",$AK20*1.5,0))*(1+$AY20)*(1+$AZ20)+(($BA20+($BB20-$BA20)*IF(VLOOKUP($Q20,武学奇术!$A:$ZZ,31,FALSE)=1,$F$18,0.5))*IF($G$1="牵丝",$AJ20,$AH20)+IF($G$1="牵丝",$AK20*1.5,0))*(1+$BC20)*(1+$BD20)+(($BE20+($BF20-$BE20)*IF(VLOOKUP($Q20,武学奇术!$A:$ZZ,31,FALSE)=1,$F$18,0.5))*IF($G$1="破竹",$AJ20,$AH20)+IF($G$1="破竹",$AK20*1.5,0))*(1+$BG20)*(1+$BH20))*(1+$AL20)*$P20*(1+IF(VLOOKUP($Q20,武学奇术!$A:$ZZ,30,FALSE)="蓄力技",$B$21,0))*(1+$BQ20)</f>
        <v>37902.0352251545</v>
      </c>
      <c r="O20" s="39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32830.9004376354</v>
      </c>
      <c r="P20" s="40">
        <v>1</v>
      </c>
      <c r="Q20" s="41" t="s">
        <v>108</v>
      </c>
      <c r="R20" s="41" t="s">
        <v>93</v>
      </c>
      <c r="S20" s="41" t="s">
        <v>72</v>
      </c>
      <c r="T20" s="41" t="s">
        <v>119</v>
      </c>
      <c r="U20" s="41" t="s">
        <v>73</v>
      </c>
      <c r="V20" s="41" t="s">
        <v>72</v>
      </c>
      <c r="W20" s="41" t="s">
        <v>72</v>
      </c>
      <c r="X20" s="41" t="s">
        <v>91</v>
      </c>
      <c r="Y20" s="41" t="s">
        <v>81</v>
      </c>
      <c r="Z20" s="41" t="s">
        <v>101</v>
      </c>
      <c r="AA20" s="41" t="s">
        <v>72</v>
      </c>
      <c r="AB20" s="41" t="s">
        <v>72</v>
      </c>
      <c r="AC20" s="41" t="s">
        <v>72</v>
      </c>
      <c r="AD20" s="41" t="s">
        <v>72</v>
      </c>
      <c r="AE20" s="41" t="s">
        <v>75</v>
      </c>
      <c r="AF20" s="41" t="s">
        <v>76</v>
      </c>
      <c r="AG20" t="str">
        <f>VLOOKUP($Q20,武学奇术!$A:$ZZ,25,FALSE)</f>
        <v>拳甲</v>
      </c>
      <c r="AH20" s="27">
        <f>VLOOKUP($Q20,武学奇术!$A:$ZZ,26,FALSE)</f>
        <v>2.33376</v>
      </c>
      <c r="AI20" s="28">
        <f>VLOOKUP($Q20,武学奇术!$A:$ZZ,27,FALSE)*(1+IF(OR($AG20=$F$4,$AG20=$F$5),$B$22,0))</f>
        <v>0</v>
      </c>
      <c r="AJ20" s="27">
        <f>VLOOKUP($Q20,武学奇术!$A:$ZZ,28,FALSE)</f>
        <v>3.50064</v>
      </c>
      <c r="AK20" s="28">
        <f>VLOOKUP($Q20,武学奇术!$A:$ZZ,29,FALSE)*(1+IF(OR($AG20=$F$4,$AG20=$F$5),$B$22,0))</f>
        <v>0</v>
      </c>
      <c r="AL20" s="27" cm="1">
        <f t="array" ref="AL20">$G$3+IFERROR(VLOOKUP($AG20,$F$4:$G$7,2,FALSE),0)+VLOOKUP($Q20,武学奇术!$A:$ZZ,2,FALSE)+SUM(_xlfn.XLOOKUP($R20:$AF20,增益!$A:$A,增益!$B:$B,0))</f>
        <v>0.8741</v>
      </c>
      <c r="AM20" s="27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3804.006</v>
      </c>
      <c r="AO20" cm="1">
        <f t="array" ref="AO20">$E$10*(1+$AM20)+VLOOKUP($Q20,武学奇术!$A:$ZZ,4,FALSE)+SUM(_xlfn.XLOOKUP($R20:$AF20,增益!$A:$A,增益!$D:$D,0))-$I$2</f>
        <v>3804.006</v>
      </c>
      <c r="AP20" s="33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0.347</v>
      </c>
      <c r="AQ20" s="33" cm="1">
        <f t="array" ref="AQ20">$G$10+VLOOKUP($Q20,武学奇术!$A:$ZZ,7,FALSE)+SUM(_xlfn.XLOOKUP(R20:AF20,增益!$A:$A,增益!$G:$G,0))</f>
        <v>0.09</v>
      </c>
      <c r="AR20" s="27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3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-0.08</v>
      </c>
      <c r="AV20" s="33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3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-0.08</v>
      </c>
      <c r="AZ20" s="33" cm="1">
        <f t="array" ref="AZ20">$G$12+VLOOKUP($Q20,武学奇术!$A:$ZZ,12,FALSE)+SUM(_xlfn.XLOOKUP(R20:AF20,增益!$A:$A,增益!$L:$L,0))</f>
        <v>0</v>
      </c>
      <c r="BA20">
        <f t="shared" si="5"/>
        <v>0</v>
      </c>
      <c r="BB20">
        <f t="shared" si="6"/>
        <v>0</v>
      </c>
      <c r="BC20" s="33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-0.08</v>
      </c>
      <c r="BD20" s="33" cm="1">
        <f t="array" ref="BD20">$G$13+VLOOKUP($Q20,武学奇术!$A:$ZZ,14,FALSE)+SUM(_xlfn.XLOOKUP(R20:AF20,增益!$A:$A,增益!$N:$N,0))</f>
        <v>0</v>
      </c>
      <c r="BE20">
        <f t="shared" si="7"/>
        <v>570.28</v>
      </c>
      <c r="BF20">
        <f t="shared" si="8"/>
        <v>1582.156</v>
      </c>
      <c r="BG20" s="33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0.11</v>
      </c>
      <c r="BH20" s="33" cm="1">
        <f t="array" ref="BH20">$G$14+VLOOKUP($Q20,武学奇术!$A:$ZZ,16,FALSE)+SUM(_xlfn.XLOOKUP(R20:AF20,增益!$A:$A,增益!$P:$P,0))</f>
        <v>0.24</v>
      </c>
      <c r="BI20" s="27">
        <f>MIN(IF(VLOOKUP($Q20,武学奇术!$A:$ZZ,23,FALSE)=1,100%,$B$8),100%)</f>
        <v>1</v>
      </c>
      <c r="BJ20" s="27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+MIN(IF(VLOOKUP($Q20,武学奇术!$A:$ZZ,32,FALSE)=1,IF(VLOOKUP($Q20,武学奇术!$A:$ZZ,24,FALSE)=1,100%,MIN(40%,$B$10+VLOOKUP($Q20,武学奇术!$A:$ZZ,19,FALSE)+SUM(_xlfn.XLOOKUP(R20:AF20,增益!$A:$A,增益!$S:$S,0)))+$B$12+SUM(_xlfn.XLOOKUP(R20:AF20,增益!$A:$A,增益!$V:$V,0))),0),12%)</f>
        <v>0.918</v>
      </c>
      <c r="BK20" s="27" cm="1">
        <f t="array" ref="BK20">1+$B$13+VLOOKUP($Q20,武学奇术!$A:$ZZ,18,FALSE)+SUM(_xlfn.XLOOKUP(R20:AF20,增益!$A:$A,增益!$R:$R,0))</f>
        <v>1.88</v>
      </c>
      <c r="BL20" s="27" cm="1">
        <f t="array" ref="BL20">MAX(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-IF(VLOOKUP($Q20,武学奇术!$A:$ZZ,32,FALSE)=1,12%,0),0)</f>
        <v>0.0895</v>
      </c>
      <c r="BM20" s="27" cm="1">
        <f t="array" ref="BM20">1+$B$14+VLOOKUP($Q20,武学奇术!$A:$ZZ,20,FALSE)+SUM(_xlfn.XLOOKUP(R20:AF20,增益!$A:$A,增益!$T:$T,0))</f>
        <v>1.35</v>
      </c>
      <c r="BN20" s="27">
        <f t="shared" si="9"/>
        <v>0.9105</v>
      </c>
      <c r="BO20" s="27">
        <f t="shared" si="10"/>
        <v>0</v>
      </c>
      <c r="BP20" s="27">
        <f>IF(VLOOKUP($Q20,武学奇术!$A:$ZZ,22,FALSE)=1,0,(1-$BI20))*(1-$BL20)</f>
        <v>0</v>
      </c>
      <c r="BQ20" s="27" cm="1">
        <f t="array" ref="BQ20">SUM(_xlfn.XLOOKUP(R20:AF20,增益!$A:$A,增益!$W:$W,0))+$I$5</f>
        <v>0.11</v>
      </c>
    </row>
    <row r="21" ht="14.25" spans="1:69">
      <c r="A21" s="87" t="s">
        <v>138</v>
      </c>
      <c r="B21" s="96">
        <v>0.32</v>
      </c>
      <c r="C21" s="40" t="s">
        <v>139</v>
      </c>
      <c r="D21" s="40"/>
      <c r="H21" s="71"/>
      <c r="I21" s="81"/>
      <c r="J21" s="95"/>
      <c r="K21" s="39">
        <f t="shared" si="0"/>
        <v>26177.7450932228</v>
      </c>
      <c r="L21" s="39">
        <f>((($AN21+($AO21-$AN21)*IF(VLOOKUP($Q21,武学奇术!$A:$ZZ,31,FALSE)=1,$F$18,0.5))*$AH21+$AI21)*(1+$AP21)*(1+$AQ21)+(($AS21+($AT21-$AS21)*IF(VLOOKUP($Q21,武学奇术!$A:$ZZ,31,FALSE)=1,$F$18,0.5))*IF($G$1="鸣金",$AJ21,$AH21)+IF($G$1="鸣金",$AK21*1.5,0))*(1+$AU21)*(1+$AV21)+(($AW21+($AX21-$AW21)*IF(VLOOKUP($Q21,武学奇术!$A:$ZZ,31,FALSE)=1,$F$18,0.5))*IF($G$1="裂石",$AJ21,$AH21)+IF($G$1="裂石",$AK21*1.5,0))*(1+$AY21)*(1+$AZ21)+(($BA21+($BB21-$BA21)*IF(VLOOKUP($Q21,武学奇术!$A:$ZZ,31,FALSE)=1,$F$18,0.5))*IF($G$1="牵丝",$AJ21,$AH21)+IF($G$1="牵丝",$AK21*1.5,0))*(1+$BC21)*(1+$BD21)+(($BE21+($BF21-$BE21)*IF(VLOOKUP($Q21,武学奇术!$A:$ZZ,31,FALSE)=1,$F$18,0.5))*IF($G$1="破竹",$AJ21,$AH21)+IF($G$1="破竹",$AK21*1.5,0))*(1+$BG21)*(1+$BH21))*(1+$AL21)*$BK21*$P21*(1+IF(VLOOKUP($Q21,武学奇术!$A:$ZZ,30,FALSE)="蓄力技",$B$21,0))*(1+$BQ21)</f>
        <v>26296.886462289</v>
      </c>
      <c r="M21" s="39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24965.6979811032</v>
      </c>
      <c r="N21" s="39">
        <f>((($AN21+($AO21-$AN21)*IF(VLOOKUP($Q21,武学奇术!$A:$ZZ,31,FALSE)=1,$F$18,0.5))*$AH21+$AI21)*(1+$AP21)*(1+$AQ21)+(($AS21+($AT21-$AS21)*IF(VLOOKUP($Q21,武学奇术!$A:$ZZ,31,FALSE)=1,$F$18,0.5))*IF($G$1="鸣金",$AJ21,$AH21)+IF($G$1="鸣金",$AK21*1.5,0))*(1+$AU21)*(1+$AV21)+(($AW21+($AX21-$AW21)*IF(VLOOKUP($Q21,武学奇术!$A:$ZZ,31,FALSE)=1,$F$18,0.5))*IF($G$1="裂石",$AJ21,$AH21)+IF($G$1="裂石",$AK21*1.5,0))*(1+$AY21)*(1+$AZ21)+(($BA21+($BB21-$BA21)*IF(VLOOKUP($Q21,武学奇术!$A:$ZZ,31,FALSE)=1,$F$18,0.5))*IF($G$1="牵丝",$AJ21,$AH21)+IF($G$1="牵丝",$AK21*1.5,0))*(1+$BC21)*(1+$BD21)+(($BE21+($BF21-$BE21)*IF(VLOOKUP($Q21,武学奇术!$A:$ZZ,31,FALSE)=1,$F$18,0.5))*IF($G$1="破竹",$AJ21,$AH21)+IF($G$1="破竹",$AK21*1.5,0))*(1+$BG21)*(1+$BH21))*(1+$AL21)*$P21*(1+IF(VLOOKUP($Q21,武学奇术!$A:$ZZ,30,FALSE)="蓄力技",$B$21,0))*(1+$BQ21)</f>
        <v>16538.9223033264</v>
      </c>
      <c r="O21" s="39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14584.7349910207</v>
      </c>
      <c r="P21" s="40">
        <v>1</v>
      </c>
      <c r="Q21" s="41" t="s">
        <v>140</v>
      </c>
      <c r="R21" s="41" t="s">
        <v>93</v>
      </c>
      <c r="S21" s="41" t="s">
        <v>72</v>
      </c>
      <c r="T21" s="41" t="s">
        <v>119</v>
      </c>
      <c r="U21" s="41" t="s">
        <v>73</v>
      </c>
      <c r="V21" s="41" t="s">
        <v>72</v>
      </c>
      <c r="W21" s="41" t="s">
        <v>72</v>
      </c>
      <c r="X21" s="41" t="s">
        <v>141</v>
      </c>
      <c r="Y21" s="41" t="s">
        <v>81</v>
      </c>
      <c r="Z21" s="41" t="s">
        <v>72</v>
      </c>
      <c r="AA21" s="41" t="s">
        <v>72</v>
      </c>
      <c r="AB21" s="41" t="s">
        <v>72</v>
      </c>
      <c r="AC21" s="41" t="s">
        <v>72</v>
      </c>
      <c r="AD21" s="41" t="s">
        <v>72</v>
      </c>
      <c r="AE21" s="41" t="s">
        <v>75</v>
      </c>
      <c r="AF21" s="41" t="s">
        <v>76</v>
      </c>
      <c r="AG21" t="str">
        <f>VLOOKUP($Q21,武学奇术!$A:$ZZ,25,FALSE)</f>
        <v>拳甲</v>
      </c>
      <c r="AH21" s="27">
        <f>VLOOKUP($Q21,武学奇术!$A:$ZZ,26,FALSE)</f>
        <v>1.1005</v>
      </c>
      <c r="AI21" s="28">
        <f>VLOOKUP($Q21,武学奇术!$A:$ZZ,27,FALSE)*(1+IF(OR($AG21=$F$4,$AG21=$F$5),$B$22,0))</f>
        <v>427</v>
      </c>
      <c r="AJ21" s="27">
        <f>VLOOKUP($Q21,武学奇术!$A:$ZZ,28,FALSE)</f>
        <v>1.6507</v>
      </c>
      <c r="AK21" s="28">
        <f>VLOOKUP($Q21,武学奇术!$A:$ZZ,29,FALSE)*(1+IF(OR($AG21=$F$4,$AG21=$F$5),$B$22,0))</f>
        <v>231</v>
      </c>
      <c r="AL21" s="27" cm="1">
        <f t="array" ref="AL21">$G$3+IFERROR(VLOOKUP($AG21,$F$4:$G$7,2,FALSE),0)+VLOOKUP($Q21,武学奇术!$A:$ZZ,2,FALSE)+SUM(_xlfn.XLOOKUP($R21:$AF21,增益!$A:$A,增益!$B:$B,0))</f>
        <v>0.5741</v>
      </c>
      <c r="AM21" s="27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3804.006</v>
      </c>
      <c r="AO21" cm="1">
        <f t="array" ref="AO21">$E$10*(1+$AM21)+VLOOKUP($Q21,武学奇术!$A:$ZZ,4,FALSE)+SUM(_xlfn.XLOOKUP($R21:$AF21,增益!$A:$A,增益!$D:$D,0))-$I$2</f>
        <v>3804.006</v>
      </c>
      <c r="AP21" s="33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0.317</v>
      </c>
      <c r="AQ21" s="33" cm="1">
        <f t="array" ref="AQ21">$G$10+VLOOKUP($Q21,武学奇术!$A:$ZZ,7,FALSE)+SUM(_xlfn.XLOOKUP(R21:AF21,增益!$A:$A,增益!$G:$G,0))</f>
        <v>0.09</v>
      </c>
      <c r="AR21" s="27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3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-0.14</v>
      </c>
      <c r="AV21" s="33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3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-0.14</v>
      </c>
      <c r="AZ21" s="33" cm="1">
        <f t="array" ref="AZ21">$G$12+VLOOKUP($Q21,武学奇术!$A:$ZZ,12,FALSE)+SUM(_xlfn.XLOOKUP(R21:AF21,增益!$A:$A,增益!$L:$L,0))</f>
        <v>0</v>
      </c>
      <c r="BA21">
        <f t="shared" si="5"/>
        <v>0</v>
      </c>
      <c r="BB21">
        <f t="shared" si="6"/>
        <v>0</v>
      </c>
      <c r="BC21" s="33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-0.14</v>
      </c>
      <c r="BD21" s="33" cm="1">
        <f t="array" ref="BD21">$G$13+VLOOKUP($Q21,武学奇术!$A:$ZZ,14,FALSE)+SUM(_xlfn.XLOOKUP(R21:AF21,增益!$A:$A,增益!$N:$N,0))</f>
        <v>0</v>
      </c>
      <c r="BE21">
        <f t="shared" si="7"/>
        <v>570.28</v>
      </c>
      <c r="BF21">
        <f t="shared" si="8"/>
        <v>1582.156</v>
      </c>
      <c r="BG21" s="33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0.08</v>
      </c>
      <c r="BH21" s="33" cm="1">
        <f t="array" ref="BH21">$G$14+VLOOKUP($Q21,武学奇术!$A:$ZZ,16,FALSE)+SUM(_xlfn.XLOOKUP(R21:AF21,增益!$A:$A,增益!$P:$P,0))</f>
        <v>0.24</v>
      </c>
      <c r="BI21" s="27">
        <f>MIN(IF(VLOOKUP($Q21,武学奇术!$A:$ZZ,23,FALSE)=1,100%,$B$8),100%)</f>
        <v>1</v>
      </c>
      <c r="BJ21" s="27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+MIN(IF(VLOOKUP($Q21,武学奇术!$A:$ZZ,32,FALSE)=1,IF(VLOOKUP($Q21,武学奇术!$A:$ZZ,24,FALSE)=1,100%,MIN(40%,$B$10+VLOOKUP($Q21,武学奇术!$A:$ZZ,19,FALSE)+SUM(_xlfn.XLOOKUP(R21:AF21,增益!$A:$A,增益!$S:$S,0)))+$B$12+SUM(_xlfn.XLOOKUP(R21:AF21,增益!$A:$A,增益!$V:$V,0))),0),12%)</f>
        <v>0.918</v>
      </c>
      <c r="BK21" s="27" cm="1">
        <f t="array" ref="BK21">1+$B$13+VLOOKUP($Q21,武学奇术!$A:$ZZ,18,FALSE)+SUM(_xlfn.XLOOKUP(R21:AF21,增益!$A:$A,增益!$R:$R,0))</f>
        <v>1.59</v>
      </c>
      <c r="BL21" s="27" cm="1">
        <f t="array" ref="BL21">MAX(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-IF(VLOOKUP($Q21,武学奇术!$A:$ZZ,32,FALSE)=1,12%,0),0)</f>
        <v>0.0895</v>
      </c>
      <c r="BM21" s="27" cm="1">
        <f t="array" ref="BM21">1+$B$14+VLOOKUP($Q21,武学奇术!$A:$ZZ,20,FALSE)+SUM(_xlfn.XLOOKUP(R21:AF21,增益!$A:$A,增益!$T:$T,0))</f>
        <v>1.35</v>
      </c>
      <c r="BN21" s="27">
        <f t="shared" si="9"/>
        <v>0.9105</v>
      </c>
      <c r="BO21" s="27">
        <f t="shared" si="10"/>
        <v>0</v>
      </c>
      <c r="BP21" s="27">
        <f>IF(VLOOKUP($Q21,武学奇术!$A:$ZZ,22,FALSE)=1,0,(1-$BI21))*(1-$BL21)</f>
        <v>0</v>
      </c>
      <c r="BQ21" s="27" cm="1">
        <f t="array" ref="BQ21">SUM(_xlfn.XLOOKUP(R21:AF21,增益!$A:$A,增益!$W:$W,0))+$I$5</f>
        <v>0.11</v>
      </c>
    </row>
    <row r="22" spans="1:69">
      <c r="A22" t="s">
        <v>142</v>
      </c>
      <c r="B22" s="29">
        <v>0.4</v>
      </c>
      <c r="C22" s="90" t="s">
        <v>143</v>
      </c>
      <c r="D22" s="90"/>
      <c r="K22" s="39">
        <f t="shared" si="0"/>
        <v>86052.0969861165</v>
      </c>
      <c r="L22" s="39">
        <f>((($AN22+($AO22-$AN22)*IF(VLOOKUP($Q22,武学奇术!$A:$ZZ,31,FALSE)=1,$F$18,0.5))*$AH22+$AI22)*(1+$AP22)*(1+$AQ22)+(($AS22+($AT22-$AS22)*IF(VLOOKUP($Q22,武学奇术!$A:$ZZ,31,FALSE)=1,$F$18,0.5))*IF($G$1="鸣金",$AJ22,$AH22)+IF($G$1="鸣金",$AK22*1.5,0))*(1+$AU22)*(1+$AV22)+(($AW22+($AX22-$AW22)*IF(VLOOKUP($Q22,武学奇术!$A:$ZZ,31,FALSE)=1,$F$18,0.5))*IF($G$1="裂石",$AJ22,$AH22)+IF($G$1="裂石",$AK22*1.5,0))*(1+$AY22)*(1+$AZ22)+(($BA22+($BB22-$BA22)*IF(VLOOKUP($Q22,武学奇术!$A:$ZZ,31,FALSE)=1,$F$18,0.5))*IF($G$1="牵丝",$AJ22,$AH22)+IF($G$1="牵丝",$AK22*1.5,0))*(1+$BC22)*(1+$BD22)+(($BE22+($BF22-$BE22)*IF(VLOOKUP($Q22,武学奇术!$A:$ZZ,31,FALSE)=1,$F$18,0.5))*IF($G$1="破竹",$AJ22,$AH22)+IF($G$1="破竹",$AK22*1.5,0))*(1+$BG22)*(1+$BH22))*(1+$AL22)*$BK22*$P22*(1+IF(VLOOKUP($Q22,武学奇术!$A:$ZZ,30,FALSE)="蓄力技",$B$21,0))*(1+$BQ22)</f>
        <v>87628.2170677875</v>
      </c>
      <c r="M22" s="39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70017.9368256533</v>
      </c>
      <c r="N22" s="39">
        <f>((($AN22+($AO22-$AN22)*IF(VLOOKUP($Q22,武学奇术!$A:$ZZ,31,FALSE)=1,$F$18,0.5))*$AH22+$AI22)*(1+$AP22)*(1+$AQ22)+(($AS22+($AT22-$AS22)*IF(VLOOKUP($Q22,武学奇术!$A:$ZZ,31,FALSE)=1,$F$18,0.5))*IF($G$1="鸣金",$AJ22,$AH22)+IF($G$1="鸣金",$AK22*1.5,0))*(1+$AU22)*(1+$AV22)+(($AW22+($AX22-$AW22)*IF(VLOOKUP($Q22,武学奇术!$A:$ZZ,31,FALSE)=1,$F$18,0.5))*IF($G$1="裂石",$AJ22,$AH22)+IF($G$1="裂石",$AK22*1.5,0))*(1+$AY22)*(1+$AZ22)+(($BA22+($BB22-$BA22)*IF(VLOOKUP($Q22,武学奇术!$A:$ZZ,31,FALSE)=1,$F$18,0.5))*IF($G$1="牵丝",$AJ22,$AH22)+IF($G$1="牵丝",$AK22*1.5,0))*(1+$BC22)*(1+$BD22)+(($BE22+($BF22-$BE22)*IF(VLOOKUP($Q22,武学奇术!$A:$ZZ,31,FALSE)=1,$F$18,0.5))*IF($G$1="破竹",$AJ22,$AH22)+IF($G$1="破竹",$AK22*1.5,0))*(1+$BG22)*(1+$BH22))*(1+$AL22)*$P22*(1+IF(VLOOKUP($Q22,武学奇术!$A:$ZZ,30,FALSE)="蓄力技",$B$21,0))*(1+$BQ22)</f>
        <v>46364.1360147024</v>
      </c>
      <c r="O22" s="39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40863.133640032</v>
      </c>
      <c r="P22" s="40">
        <v>1</v>
      </c>
      <c r="Q22" s="41" t="s">
        <v>103</v>
      </c>
      <c r="R22" s="41" t="s">
        <v>93</v>
      </c>
      <c r="S22" s="41" t="s">
        <v>72</v>
      </c>
      <c r="T22" s="41" t="s">
        <v>72</v>
      </c>
      <c r="U22" s="41" t="s">
        <v>73</v>
      </c>
      <c r="V22" s="41" t="s">
        <v>72</v>
      </c>
      <c r="W22" s="41" t="s">
        <v>72</v>
      </c>
      <c r="X22" s="41" t="s">
        <v>141</v>
      </c>
      <c r="Y22" s="41" t="s">
        <v>81</v>
      </c>
      <c r="Z22" s="41" t="s">
        <v>101</v>
      </c>
      <c r="AA22" s="41" t="s">
        <v>72</v>
      </c>
      <c r="AB22" s="41" t="s">
        <v>72</v>
      </c>
      <c r="AC22" s="41" t="s">
        <v>72</v>
      </c>
      <c r="AD22" s="41" t="s">
        <v>72</v>
      </c>
      <c r="AE22" s="41" t="s">
        <v>75</v>
      </c>
      <c r="AF22" s="41" t="s">
        <v>76</v>
      </c>
      <c r="AG22" t="str">
        <f>VLOOKUP($Q22,武学奇术!$A:$ZZ,25,FALSE)</f>
        <v>拳甲</v>
      </c>
      <c r="AH22" s="27">
        <f>VLOOKUP($Q22,武学奇术!$A:$ZZ,26,FALSE)</f>
        <v>2.75166</v>
      </c>
      <c r="AI22" s="28">
        <f>VLOOKUP($Q22,武学奇术!$A:$ZZ,27,FALSE)*(1+IF(OR($AG22=$F$4,$AG22=$F$5),$B$22,0))</f>
        <v>1060.92</v>
      </c>
      <c r="AJ22" s="27">
        <f>VLOOKUP($Q22,武学奇术!$A:$ZZ,28,FALSE)</f>
        <v>4.12776</v>
      </c>
      <c r="AK22" s="28">
        <f>VLOOKUP($Q22,武学奇术!$A:$ZZ,29,FALSE)*(1+IF(OR($AG22=$F$4,$AG22=$F$5),$B$22,0))</f>
        <v>574.56</v>
      </c>
      <c r="AL22" s="27" cm="1">
        <f t="array" ref="AL22">$G$3+IFERROR(VLOOKUP($AG22,$F$4:$G$7,2,FALSE),0)+VLOOKUP($Q22,武学奇术!$A:$ZZ,2,FALSE)+SUM(_xlfn.XLOOKUP($R22:$AF22,增益!$A:$A,增益!$B:$B,0))</f>
        <v>0.7241</v>
      </c>
      <c r="AM22" s="27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3804.006</v>
      </c>
      <c r="AO22" cm="1">
        <f t="array" ref="AO22">$E$10*(1+$AM22)+VLOOKUP($Q22,武学奇术!$A:$ZZ,4,FALSE)+SUM(_xlfn.XLOOKUP($R22:$AF22,增益!$A:$A,增益!$D:$D,0))-$I$2</f>
        <v>3804.006</v>
      </c>
      <c r="AP22" s="33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0.347</v>
      </c>
      <c r="AQ22" s="33" cm="1">
        <f t="array" ref="AQ22">$G$10+VLOOKUP($Q22,武学奇术!$A:$ZZ,7,FALSE)+SUM(_xlfn.XLOOKUP(R22:AF22,增益!$A:$A,增益!$G:$G,0))</f>
        <v>0.09</v>
      </c>
      <c r="AR22" s="27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3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-0.08</v>
      </c>
      <c r="AV22" s="33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3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-0.08</v>
      </c>
      <c r="AZ22" s="33" cm="1">
        <f t="array" ref="AZ22">$G$12+VLOOKUP($Q22,武学奇术!$A:$ZZ,12,FALSE)+SUM(_xlfn.XLOOKUP(R22:AF22,增益!$A:$A,增益!$L:$L,0))</f>
        <v>0</v>
      </c>
      <c r="BA22">
        <f t="shared" si="5"/>
        <v>0</v>
      </c>
      <c r="BB22">
        <f t="shared" si="6"/>
        <v>0</v>
      </c>
      <c r="BC22" s="33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-0.08</v>
      </c>
      <c r="BD22" s="33" cm="1">
        <f t="array" ref="BD22">$G$13+VLOOKUP($Q22,武学奇术!$A:$ZZ,14,FALSE)+SUM(_xlfn.XLOOKUP(R22:AF22,增益!$A:$A,增益!$N:$N,0))</f>
        <v>0</v>
      </c>
      <c r="BE22">
        <f t="shared" si="7"/>
        <v>570.28</v>
      </c>
      <c r="BF22">
        <f t="shared" si="8"/>
        <v>1582.156</v>
      </c>
      <c r="BG22" s="33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0.11</v>
      </c>
      <c r="BH22" s="33" cm="1">
        <f t="array" ref="BH22">$G$14+VLOOKUP($Q22,武学奇术!$A:$ZZ,16,FALSE)+SUM(_xlfn.XLOOKUP(R22:AF22,增益!$A:$A,增益!$P:$P,0))</f>
        <v>0.24</v>
      </c>
      <c r="BI22" s="27">
        <f>MIN(IF(VLOOKUP($Q22,武学奇术!$A:$ZZ,23,FALSE)=1,100%,$B$8),100%)</f>
        <v>1</v>
      </c>
      <c r="BJ22" s="27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+MIN(IF(VLOOKUP($Q22,武学奇术!$A:$ZZ,32,FALSE)=1,IF(VLOOKUP($Q22,武学奇术!$A:$ZZ,24,FALSE)=1,100%,MIN(40%,$B$10+VLOOKUP($Q22,武学奇术!$A:$ZZ,19,FALSE)+SUM(_xlfn.XLOOKUP(R22:AF22,增益!$A:$A,增益!$S:$S,0)))+$B$12+SUM(_xlfn.XLOOKUP(R22:AF22,增益!$A:$A,增益!$V:$V,0))),0),12%)</f>
        <v>0.918</v>
      </c>
      <c r="BK22" s="27" cm="1">
        <f t="array" ref="BK22">1+$B$13+VLOOKUP($Q22,武学奇术!$A:$ZZ,18,FALSE)+SUM(_xlfn.XLOOKUP(R22:AF22,增益!$A:$A,增益!$R:$R,0))</f>
        <v>1.89</v>
      </c>
      <c r="BL22" s="27" cm="1">
        <f t="array" ref="BL22">MAX(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-IF(VLOOKUP($Q22,武学奇术!$A:$ZZ,32,FALSE)=1,12%,0),0)</f>
        <v>0.0895</v>
      </c>
      <c r="BM22" s="27" cm="1">
        <f t="array" ref="BM22">1+$B$14+VLOOKUP($Q22,武学奇术!$A:$ZZ,20,FALSE)+SUM(_xlfn.XLOOKUP(R22:AF22,增益!$A:$A,增益!$T:$T,0))</f>
        <v>1.35</v>
      </c>
      <c r="BN22" s="27">
        <f t="shared" si="9"/>
        <v>0.9105</v>
      </c>
      <c r="BO22" s="27">
        <f t="shared" si="10"/>
        <v>0</v>
      </c>
      <c r="BP22" s="27">
        <f>IF(VLOOKUP($Q22,武学奇术!$A:$ZZ,22,FALSE)=1,0,(1-$BI22))*(1-$BL22)</f>
        <v>0</v>
      </c>
      <c r="BQ22" s="27" cm="1">
        <f t="array" ref="BQ22">SUM(_xlfn.XLOOKUP(R22:AF22,增益!$A:$A,增益!$W:$W,0))+$I$5</f>
        <v>0.11</v>
      </c>
    </row>
    <row r="23" spans="1:69">
      <c r="A23" t="s">
        <v>144</v>
      </c>
      <c r="B23">
        <v>200</v>
      </c>
      <c r="C23" s="40" t="s">
        <v>145</v>
      </c>
      <c r="D23" s="40"/>
      <c r="K23" s="39">
        <f t="shared" si="0"/>
        <v>27496.6538059194</v>
      </c>
      <c r="L23" s="39">
        <f>((($AN23+($AO23-$AN23)*IF(VLOOKUP($Q23,武学奇术!$A:$ZZ,31,FALSE)=1,$F$18,0.5))*$AH23+$AI23)*(1+$AP23)*(1+$AQ23)+(($AS23+($AT23-$AS23)*IF(VLOOKUP($Q23,武学奇术!$A:$ZZ,31,FALSE)=1,$F$18,0.5))*IF($G$1="鸣金",$AJ23,$AH23)+IF($G$1="鸣金",$AK23*1.5,0))*(1+$AU23)*(1+$AV23)+(($AW23+($AX23-$AW23)*IF(VLOOKUP($Q23,武学奇术!$A:$ZZ,31,FALSE)=1,$F$18,0.5))*IF($G$1="裂石",$AJ23,$AH23)+IF($G$1="裂石",$AK23*1.5,0))*(1+$AY23)*(1+$AZ23)+(($BA23+($BB23-$BA23)*IF(VLOOKUP($Q23,武学奇术!$A:$ZZ,31,FALSE)=1,$F$18,0.5))*IF($G$1="牵丝",$AJ23,$AH23)+IF($G$1="牵丝",$AK23*1.5,0))*(1+$BC23)*(1+$BD23)+(($BE23+($BF23-$BE23)*IF(VLOOKUP($Q23,武学奇术!$A:$ZZ,31,FALSE)=1,$F$18,0.5))*IF($G$1="破竹",$AJ23,$AH23)+IF($G$1="破竹",$AK23*1.5,0))*(1+$BG23)*(1+$BH23))*(1+$AL23)*$BK23*$P23*(1+IF(VLOOKUP($Q23,武学奇术!$A:$ZZ,30,FALSE)="蓄力技",$B$21,0))*(1+$BQ23)</f>
        <v>27636.7192578919</v>
      </c>
      <c r="M23" s="39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26071.7421408814</v>
      </c>
      <c r="N23" s="39">
        <f>((($AN23+($AO23-$AN23)*IF(VLOOKUP($Q23,武学奇术!$A:$ZZ,31,FALSE)=1,$F$18,0.5))*$AH23+$AI23)*(1+$AP23)*(1+$AQ23)+(($AS23+($AT23-$AS23)*IF(VLOOKUP($Q23,武学奇术!$A:$ZZ,31,FALSE)=1,$F$18,0.5))*IF($G$1="鸣金",$AJ23,$AH23)+IF($G$1="鸣金",$AK23*1.5,0))*(1+$AU23)*(1+$AV23)+(($AW23+($AX23-$AW23)*IF(VLOOKUP($Q23,武学奇术!$A:$ZZ,31,FALSE)=1,$F$18,0.5))*IF($G$1="裂石",$AJ23,$AH23)+IF($G$1="裂石",$AK23*1.5,0))*(1+$AY23)*(1+$AZ23)+(($BA23+($BB23-$BA23)*IF(VLOOKUP($Q23,武学奇术!$A:$ZZ,31,FALSE)=1,$F$18,0.5))*IF($G$1="牵丝",$AJ23,$AH23)+IF($G$1="牵丝",$AK23*1.5,0))*(1+$BC23)*(1+$BD23)+(($BE23+($BF23-$BE23)*IF(VLOOKUP($Q23,武学奇术!$A:$ZZ,31,FALSE)=1,$F$18,0.5))*IF($G$1="破竹",$AJ23,$AH23)+IF($G$1="破竹",$AK23*1.5,0))*(1+$BG23)*(1+$BH23))*(1+$AL23)*$P23*(1+IF(VLOOKUP($Q23,武学奇术!$A:$ZZ,30,FALSE)="蓄力技",$B$21,0))*(1+$BQ23)</f>
        <v>17272.9495361824</v>
      </c>
      <c r="O23" s="39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15233.4974865268</v>
      </c>
      <c r="P23" s="40">
        <v>1</v>
      </c>
      <c r="Q23" s="41" t="s">
        <v>106</v>
      </c>
      <c r="R23" s="41" t="s">
        <v>93</v>
      </c>
      <c r="S23" s="41" t="s">
        <v>72</v>
      </c>
      <c r="T23" s="41" t="s">
        <v>72</v>
      </c>
      <c r="U23" s="41" t="s">
        <v>72</v>
      </c>
      <c r="V23" s="41" t="s">
        <v>72</v>
      </c>
      <c r="W23" s="41" t="s">
        <v>72</v>
      </c>
      <c r="X23" s="41" t="s">
        <v>146</v>
      </c>
      <c r="Y23" s="41" t="s">
        <v>81</v>
      </c>
      <c r="Z23" s="41" t="s">
        <v>72</v>
      </c>
      <c r="AA23" s="41" t="s">
        <v>72</v>
      </c>
      <c r="AB23" s="41" t="s">
        <v>72</v>
      </c>
      <c r="AC23" s="41" t="s">
        <v>72</v>
      </c>
      <c r="AD23" s="41" t="s">
        <v>72</v>
      </c>
      <c r="AE23" s="41" t="s">
        <v>75</v>
      </c>
      <c r="AF23" s="41" t="s">
        <v>76</v>
      </c>
      <c r="AG23" t="str">
        <f>VLOOKUP($Q23,武学奇术!$A:$ZZ,25,FALSE)</f>
        <v>拳甲</v>
      </c>
      <c r="AH23" s="27">
        <f>VLOOKUP($Q23,武学奇术!$A:$ZZ,26,FALSE)</f>
        <v>1.2876</v>
      </c>
      <c r="AI23" s="28">
        <f>VLOOKUP($Q23,武学奇术!$A:$ZZ,27,FALSE)*(1+IF(OR($AG23=$F$4,$AG23=$F$5),$B$22,0))</f>
        <v>501.2</v>
      </c>
      <c r="AJ23" s="27">
        <f>VLOOKUP($Q23,武学奇术!$A:$ZZ,28,FALSE)</f>
        <v>1.9313</v>
      </c>
      <c r="AK23" s="28">
        <f>VLOOKUP($Q23,武学奇术!$A:$ZZ,29,FALSE)*(1+IF(OR($AG23=$F$4,$AG23=$F$5),$B$22,0))</f>
        <v>273</v>
      </c>
      <c r="AL23" s="27" cm="1">
        <f t="array" ref="AL23">$G$3+IFERROR(VLOOKUP($AG23,$F$4:$G$7,2,FALSE),0)+VLOOKUP($Q23,武学奇术!$A:$ZZ,2,FALSE)+SUM(_xlfn.XLOOKUP($R23:$AF23,增益!$A:$A,增益!$B:$B,0))</f>
        <v>0.4041</v>
      </c>
      <c r="AM23" s="27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3804.006</v>
      </c>
      <c r="AO23" cm="1">
        <f t="array" ref="AO23">$E$10*(1+$AM23)+VLOOKUP($Q23,武学奇术!$A:$ZZ,4,FALSE)+SUM(_xlfn.XLOOKUP($R23:$AF23,增益!$A:$A,增益!$D:$D,0))-$I$2</f>
        <v>3804.006</v>
      </c>
      <c r="AP23" s="33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0.317</v>
      </c>
      <c r="AQ23" s="33" cm="1">
        <f t="array" ref="AQ23">$G$10+VLOOKUP($Q23,武学奇术!$A:$ZZ,7,FALSE)+SUM(_xlfn.XLOOKUP(R23:AF23,增益!$A:$A,增益!$G:$G,0))</f>
        <v>0.09</v>
      </c>
      <c r="AR23" s="27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3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-0.14</v>
      </c>
      <c r="AV23" s="33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3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-0.14</v>
      </c>
      <c r="AZ23" s="33" cm="1">
        <f t="array" ref="AZ23">$G$12+VLOOKUP($Q23,武学奇术!$A:$ZZ,12,FALSE)+SUM(_xlfn.XLOOKUP(R23:AF23,增益!$A:$A,增益!$L:$L,0))</f>
        <v>0</v>
      </c>
      <c r="BA23">
        <f t="shared" si="5"/>
        <v>0</v>
      </c>
      <c r="BB23">
        <f t="shared" si="6"/>
        <v>0</v>
      </c>
      <c r="BC23" s="33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-0.14</v>
      </c>
      <c r="BD23" s="33" cm="1">
        <f t="array" ref="BD23">$G$13+VLOOKUP($Q23,武学奇术!$A:$ZZ,14,FALSE)+SUM(_xlfn.XLOOKUP(R23:AF23,增益!$A:$A,增益!$N:$N,0))</f>
        <v>0</v>
      </c>
      <c r="BE23">
        <f t="shared" si="7"/>
        <v>570.28</v>
      </c>
      <c r="BF23">
        <f t="shared" si="8"/>
        <v>1582.156</v>
      </c>
      <c r="BG23" s="33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0.08</v>
      </c>
      <c r="BH23" s="33" cm="1">
        <f t="array" ref="BH23">$G$14+VLOOKUP($Q23,武学奇术!$A:$ZZ,16,FALSE)+SUM(_xlfn.XLOOKUP(R23:AF23,增益!$A:$A,增益!$P:$P,0))</f>
        <v>0.24</v>
      </c>
      <c r="BI23" s="27">
        <f>MIN(IF(VLOOKUP($Q23,武学奇术!$A:$ZZ,23,FALSE)=1,100%,$B$8),100%)</f>
        <v>1</v>
      </c>
      <c r="BJ23" s="27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+MIN(IF(VLOOKUP($Q23,武学奇术!$A:$ZZ,32,FALSE)=1,IF(VLOOKUP($Q23,武学奇术!$A:$ZZ,24,FALSE)=1,100%,MIN(40%,$B$10+VLOOKUP($Q23,武学奇术!$A:$ZZ,19,FALSE)+SUM(_xlfn.XLOOKUP(R23:AF23,增益!$A:$A,增益!$S:$S,0)))+$B$12+SUM(_xlfn.XLOOKUP(R23:AF23,增益!$A:$A,增益!$V:$V,0))),0),12%)</f>
        <v>0.918</v>
      </c>
      <c r="BK23" s="27" cm="1">
        <f t="array" ref="BK23">1+$B$13+VLOOKUP($Q23,武学奇术!$A:$ZZ,18,FALSE)+SUM(_xlfn.XLOOKUP(R23:AF23,增益!$A:$A,增益!$R:$R,0))</f>
        <v>1.6</v>
      </c>
      <c r="BL23" s="27" cm="1">
        <f t="array" ref="BL23">MAX(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-IF(VLOOKUP($Q23,武学奇术!$A:$ZZ,32,FALSE)=1,12%,0),0)</f>
        <v>0.0895</v>
      </c>
      <c r="BM23" s="27" cm="1">
        <f t="array" ref="BM23">1+$B$14+VLOOKUP($Q23,武学奇术!$A:$ZZ,20,FALSE)+SUM(_xlfn.XLOOKUP(R23:AF23,增益!$A:$A,增益!$T:$T,0))</f>
        <v>1.35</v>
      </c>
      <c r="BN23" s="27">
        <f t="shared" si="9"/>
        <v>0.9105</v>
      </c>
      <c r="BO23" s="27">
        <f t="shared" si="10"/>
        <v>0</v>
      </c>
      <c r="BP23" s="27">
        <f>IF(VLOOKUP($Q23,武学奇术!$A:$ZZ,22,FALSE)=1,0,(1-$BI23))*(1-$BL23)</f>
        <v>0</v>
      </c>
      <c r="BQ23" s="27" cm="1">
        <f t="array" ref="BQ23">SUM(_xlfn.XLOOKUP(R23:AF23,增益!$A:$A,增益!$W:$W,0))+$I$5</f>
        <v>0.11</v>
      </c>
    </row>
    <row r="24" spans="1:69">
      <c r="B24">
        <v>400</v>
      </c>
      <c r="C24" s="90" t="s">
        <v>147</v>
      </c>
      <c r="D24" s="90"/>
      <c r="K24" s="39">
        <f t="shared" si="0"/>
        <v>64342.1268875951</v>
      </c>
      <c r="L24" s="39">
        <f>((($AN24+($AO24-$AN24)*IF(VLOOKUP($Q24,武学奇术!$A:$ZZ,31,FALSE)=1,$F$18,0.5))*$AH24+$AI24)*(1+$AP24)*(1+$AQ24)+(($AS24+($AT24-$AS24)*IF(VLOOKUP($Q24,武学奇术!$A:$ZZ,31,FALSE)=1,$F$18,0.5))*IF($G$1="鸣金",$AJ24,$AH24)+IF($G$1="鸣金",$AK24*1.5,0))*(1+$AU24)*(1+$AV24)+(($AW24+($AX24-$AW24)*IF(VLOOKUP($Q24,武学奇术!$A:$ZZ,31,FALSE)=1,$F$18,0.5))*IF($G$1="裂石",$AJ24,$AH24)+IF($G$1="裂石",$AK24*1.5,0))*(1+$AY24)*(1+$AZ24)+(($BA24+($BB24-$BA24)*IF(VLOOKUP($Q24,武学奇术!$A:$ZZ,31,FALSE)=1,$F$18,0.5))*IF($G$1="牵丝",$AJ24,$AH24)+IF($G$1="牵丝",$AK24*1.5,0))*(1+$BC24)*(1+$BD24)+(($BE24+($BF24-$BE24)*IF(VLOOKUP($Q24,武学奇术!$A:$ZZ,31,FALSE)=1,$F$18,0.5))*IF($G$1="破竹",$AJ24,$AH24)+IF($G$1="破竹",$AK24*1.5,0))*(1+$BG24)*(1+$BH24))*(1+$AL24)*$BK24*$P24*(1+IF(VLOOKUP($Q24,武学奇术!$A:$ZZ,30,FALSE)="蓄力技",$B$21,0))*(1+$BQ24)</f>
        <v>65481.4741111216</v>
      </c>
      <c r="M24" s="39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52751.3375354069</v>
      </c>
      <c r="N24" s="39">
        <f>((($AN24+($AO24-$AN24)*IF(VLOOKUP($Q24,武学奇术!$A:$ZZ,31,FALSE)=1,$F$18,0.5))*$AH24+$AI24)*(1+$AP24)*(1+$AQ24)+(($AS24+($AT24-$AS24)*IF(VLOOKUP($Q24,武学奇术!$A:$ZZ,31,FALSE)=1,$F$18,0.5))*IF($G$1="鸣金",$AJ24,$AH24)+IF($G$1="鸣金",$AK24*1.5,0))*(1+$AU24)*(1+$AV24)+(($AW24+($AX24-$AW24)*IF(VLOOKUP($Q24,武学奇术!$A:$ZZ,31,FALSE)=1,$F$18,0.5))*IF($G$1="裂石",$AJ24,$AH24)+IF($G$1="裂石",$AK24*1.5,0))*(1+$AY24)*(1+$AZ24)+(($BA24+($BB24-$BA24)*IF(VLOOKUP($Q24,武学奇术!$A:$ZZ,31,FALSE)=1,$F$18,0.5))*IF($G$1="牵丝",$AJ24,$AH24)+IF($G$1="牵丝",$AK24*1.5,0))*(1+$BC24)*(1+$BD24)+(($BE24+($BF24-$BE24)*IF(VLOOKUP($Q24,武学奇术!$A:$ZZ,31,FALSE)=1,$F$18,0.5))*IF($G$1="破竹",$AJ24,$AH24)+IF($G$1="破竹",$AK24*1.5,0))*(1+$BG24)*(1+$BH24))*(1+$AL24)*$P24*(1+IF(VLOOKUP($Q24,武学奇术!$A:$ZZ,30,FALSE)="蓄力技",$B$21,0))*(1+$BQ24)</f>
        <v>34463.9337426956</v>
      </c>
      <c r="O24" s="39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29852.802644349</v>
      </c>
      <c r="P24" s="40">
        <v>1</v>
      </c>
      <c r="Q24" s="41" t="s">
        <v>108</v>
      </c>
      <c r="R24" s="41" t="s">
        <v>93</v>
      </c>
      <c r="S24" s="41" t="s">
        <v>72</v>
      </c>
      <c r="T24" s="41" t="s">
        <v>72</v>
      </c>
      <c r="U24" s="41" t="s">
        <v>72</v>
      </c>
      <c r="V24" s="41" t="s">
        <v>72</v>
      </c>
      <c r="W24" s="41" t="s">
        <v>72</v>
      </c>
      <c r="X24" s="41" t="s">
        <v>146</v>
      </c>
      <c r="Y24" s="41" t="s">
        <v>81</v>
      </c>
      <c r="Z24" s="41" t="s">
        <v>101</v>
      </c>
      <c r="AA24" s="41" t="s">
        <v>72</v>
      </c>
      <c r="AB24" s="41" t="s">
        <v>72</v>
      </c>
      <c r="AC24" s="41" t="s">
        <v>72</v>
      </c>
      <c r="AD24" s="41" t="s">
        <v>72</v>
      </c>
      <c r="AE24" s="41" t="s">
        <v>75</v>
      </c>
      <c r="AF24" s="41" t="s">
        <v>76</v>
      </c>
      <c r="AG24" t="str">
        <f>VLOOKUP($Q24,武学奇术!$A:$ZZ,25,FALSE)</f>
        <v>拳甲</v>
      </c>
      <c r="AH24" s="27">
        <f>VLOOKUP($Q24,武学奇术!$A:$ZZ,26,FALSE)</f>
        <v>2.33376</v>
      </c>
      <c r="AI24" s="28">
        <f>VLOOKUP($Q24,武学奇术!$A:$ZZ,27,FALSE)*(1+IF(OR($AG24=$F$4,$AG24=$F$5),$B$22,0))</f>
        <v>0</v>
      </c>
      <c r="AJ24" s="27">
        <f>VLOOKUP($Q24,武学奇术!$A:$ZZ,28,FALSE)</f>
        <v>3.50064</v>
      </c>
      <c r="AK24" s="28">
        <f>VLOOKUP($Q24,武学奇术!$A:$ZZ,29,FALSE)*(1+IF(OR($AG24=$F$4,$AG24=$F$5),$B$22,0))</f>
        <v>0</v>
      </c>
      <c r="AL24" s="27" cm="1">
        <f t="array" ref="AL24">$G$3+IFERROR(VLOOKUP($AG24,$F$4:$G$7,2,FALSE),0)+VLOOKUP($Q24,武学奇术!$A:$ZZ,2,FALSE)+SUM(_xlfn.XLOOKUP($R24:$AF24,增益!$A:$A,增益!$B:$B,0))</f>
        <v>0.7041</v>
      </c>
      <c r="AM24" s="27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3804.006</v>
      </c>
      <c r="AO24" cm="1">
        <f t="array" ref="AO24">$E$10*(1+$AM24)+VLOOKUP($Q24,武学奇术!$A:$ZZ,4,FALSE)+SUM(_xlfn.XLOOKUP($R24:$AF24,增益!$A:$A,增益!$D:$D,0))-$I$2</f>
        <v>3804.006</v>
      </c>
      <c r="AP24" s="33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0.347</v>
      </c>
      <c r="AQ24" s="33" cm="1">
        <f t="array" ref="AQ24">$G$10+VLOOKUP($Q24,武学奇术!$A:$ZZ,7,FALSE)+SUM(_xlfn.XLOOKUP(R24:AF24,增益!$A:$A,增益!$G:$G,0))</f>
        <v>0.09</v>
      </c>
      <c r="AR24" s="27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3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-0.08</v>
      </c>
      <c r="AV24" s="33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3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-0.08</v>
      </c>
      <c r="AZ24" s="33" cm="1">
        <f t="array" ref="AZ24">$G$12+VLOOKUP($Q24,武学奇术!$A:$ZZ,12,FALSE)+SUM(_xlfn.XLOOKUP(R24:AF24,增益!$A:$A,增益!$L:$L,0))</f>
        <v>0</v>
      </c>
      <c r="BA24">
        <f t="shared" si="5"/>
        <v>0</v>
      </c>
      <c r="BB24">
        <f t="shared" si="6"/>
        <v>0</v>
      </c>
      <c r="BC24" s="33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-0.08</v>
      </c>
      <c r="BD24" s="33" cm="1">
        <f t="array" ref="BD24">$G$13+VLOOKUP($Q24,武学奇术!$A:$ZZ,14,FALSE)+SUM(_xlfn.XLOOKUP(R24:AF24,增益!$A:$A,增益!$N:$N,0))</f>
        <v>0</v>
      </c>
      <c r="BE24">
        <f t="shared" si="7"/>
        <v>570.28</v>
      </c>
      <c r="BF24">
        <f t="shared" si="8"/>
        <v>1582.156</v>
      </c>
      <c r="BG24" s="33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0.11</v>
      </c>
      <c r="BH24" s="33" cm="1">
        <f t="array" ref="BH24">$G$14+VLOOKUP($Q24,武学奇术!$A:$ZZ,16,FALSE)+SUM(_xlfn.XLOOKUP(R24:AF24,增益!$A:$A,增益!$P:$P,0))</f>
        <v>0.24</v>
      </c>
      <c r="BI24" s="27">
        <f>MIN(IF(VLOOKUP($Q24,武学奇术!$A:$ZZ,23,FALSE)=1,100%,$B$8),100%)</f>
        <v>1</v>
      </c>
      <c r="BJ24" s="27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+MIN(IF(VLOOKUP($Q24,武学奇术!$A:$ZZ,32,FALSE)=1,IF(VLOOKUP($Q24,武学奇术!$A:$ZZ,24,FALSE)=1,100%,MIN(40%,$B$10+VLOOKUP($Q24,武学奇术!$A:$ZZ,19,FALSE)+SUM(_xlfn.XLOOKUP(R24:AF24,增益!$A:$A,增益!$S:$S,0)))+$B$12+SUM(_xlfn.XLOOKUP(R24:AF24,增益!$A:$A,增益!$V:$V,0))),0),12%)</f>
        <v>0.918</v>
      </c>
      <c r="BK24" s="27" cm="1">
        <f t="array" ref="BK24">1+$B$13+VLOOKUP($Q24,武学奇术!$A:$ZZ,18,FALSE)+SUM(_xlfn.XLOOKUP(R24:AF24,增益!$A:$A,增益!$R:$R,0))</f>
        <v>1.9</v>
      </c>
      <c r="BL24" s="27" cm="1">
        <f t="array" ref="BL24">MAX(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-IF(VLOOKUP($Q24,武学奇术!$A:$ZZ,32,FALSE)=1,12%,0),0)</f>
        <v>0.0895</v>
      </c>
      <c r="BM24" s="27" cm="1">
        <f t="array" ref="BM24">1+$B$14+VLOOKUP($Q24,武学奇术!$A:$ZZ,20,FALSE)+SUM(_xlfn.XLOOKUP(R24:AF24,增益!$A:$A,增益!$T:$T,0))</f>
        <v>1.35</v>
      </c>
      <c r="BN24" s="27">
        <f t="shared" si="9"/>
        <v>0.9105</v>
      </c>
      <c r="BO24" s="27">
        <f t="shared" si="10"/>
        <v>0</v>
      </c>
      <c r="BP24" s="27">
        <f>IF(VLOOKUP($Q24,武学奇术!$A:$ZZ,22,FALSE)=1,0,(1-$BI24))*(1-$BL24)</f>
        <v>0</v>
      </c>
      <c r="BQ24" s="27" cm="1">
        <f t="array" ref="BQ24">SUM(_xlfn.XLOOKUP(R24:AF24,增益!$A:$A,增益!$W:$W,0))+$I$5</f>
        <v>0.11</v>
      </c>
    </row>
    <row r="25" spans="1:69">
      <c r="K25" s="39">
        <f t="shared" si="0"/>
        <v>25075.2716187358</v>
      </c>
      <c r="L25" s="39">
        <f>((($AN25+($AO25-$AN25)*IF(VLOOKUP($Q25,武学奇术!$A:$ZZ,31,FALSE)=1,$F$18,0.5))*$AH25+$AI25)*(1+$AP25)*(1+$AQ25)+(($AS25+($AT25-$AS25)*IF(VLOOKUP($Q25,武学奇术!$A:$ZZ,31,FALSE)=1,$F$18,0.5))*IF($G$1="鸣金",$AJ25,$AH25)+IF($G$1="鸣金",$AK25*1.5,0))*(1+$AU25)*(1+$AV25)+(($AW25+($AX25-$AW25)*IF(VLOOKUP($Q25,武学奇术!$A:$ZZ,31,FALSE)=1,$F$18,0.5))*IF($G$1="裂石",$AJ25,$AH25)+IF($G$1="裂石",$AK25*1.5,0))*(1+$AY25)*(1+$AZ25)+(($BA25+($BB25-$BA25)*IF(VLOOKUP($Q25,武学奇术!$A:$ZZ,31,FALSE)=1,$F$18,0.5))*IF($G$1="牵丝",$AJ25,$AH25)+IF($G$1="牵丝",$AK25*1.5,0))*(1+$BC25)*(1+$BD25)+(($BE25+($BF25-$BE25)*IF(VLOOKUP($Q25,武学奇术!$A:$ZZ,31,FALSE)=1,$F$18,0.5))*IF($G$1="破竹",$AJ25,$AH25)+IF($G$1="破竹",$AK25*1.5,0))*(1+$BG25)*(1+$BH25))*(1+$AL25)*$BK25*$P25*(1+IF(VLOOKUP($Q25,武学奇术!$A:$ZZ,30,FALSE)="蓄力技",$B$21,0))*(1+$BQ25)</f>
        <v>25202.9422266352</v>
      </c>
      <c r="M25" s="39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23776.4549875358</v>
      </c>
      <c r="N25" s="39">
        <f>((($AN25+($AO25-$AN25)*IF(VLOOKUP($Q25,武学奇术!$A:$ZZ,31,FALSE)=1,$F$18,0.5))*$AH25+$AI25)*(1+$AP25)*(1+$AQ25)+(($AS25+($AT25-$AS25)*IF(VLOOKUP($Q25,武学奇术!$A:$ZZ,31,FALSE)=1,$F$18,0.5))*IF($G$1="鸣金",$AJ25,$AH25)+IF($G$1="鸣金",$AK25*1.5,0))*(1+$AU25)*(1+$AV25)+(($AW25+($AX25-$AW25)*IF(VLOOKUP($Q25,武学奇术!$A:$ZZ,31,FALSE)=1,$F$18,0.5))*IF($G$1="裂石",$AJ25,$AH25)+IF($G$1="裂石",$AK25*1.5,0))*(1+$AY25)*(1+$AZ25)+(($BA25+($BB25-$BA25)*IF(VLOOKUP($Q25,武学奇术!$A:$ZZ,31,FALSE)=1,$F$18,0.5))*IF($G$1="牵丝",$AJ25,$AH25)+IF($G$1="牵丝",$AK25*1.5,0))*(1+$BC25)*(1+$BD25)+(($BE25+($BF25-$BE25)*IF(VLOOKUP($Q25,武学奇术!$A:$ZZ,31,FALSE)=1,$F$18,0.5))*IF($G$1="破竹",$AJ25,$AH25)+IF($G$1="破竹",$AK25*1.5,0))*(1+$BG25)*(1+$BH25))*(1+$AL25)*$P25*(1+IF(VLOOKUP($Q25,武学奇术!$A:$ZZ,30,FALSE)="蓄力技",$B$21,0))*(1+$BQ25)</f>
        <v>15751.838891647</v>
      </c>
      <c r="O25" s="39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13891.4889036378</v>
      </c>
      <c r="P25" s="40">
        <v>1</v>
      </c>
      <c r="Q25" s="41" t="s">
        <v>148</v>
      </c>
      <c r="R25" s="41" t="s">
        <v>93</v>
      </c>
      <c r="S25" s="41" t="s">
        <v>72</v>
      </c>
      <c r="T25" s="41" t="s">
        <v>72</v>
      </c>
      <c r="U25" s="41" t="s">
        <v>72</v>
      </c>
      <c r="V25" s="41" t="s">
        <v>72</v>
      </c>
      <c r="W25" s="41" t="s">
        <v>72</v>
      </c>
      <c r="X25" s="41" t="s">
        <v>146</v>
      </c>
      <c r="Y25" s="41" t="s">
        <v>81</v>
      </c>
      <c r="Z25" s="41" t="s">
        <v>72</v>
      </c>
      <c r="AA25" s="41" t="s">
        <v>72</v>
      </c>
      <c r="AB25" s="41" t="s">
        <v>72</v>
      </c>
      <c r="AC25" s="41" t="s">
        <v>72</v>
      </c>
      <c r="AD25" s="41" t="s">
        <v>72</v>
      </c>
      <c r="AE25" s="41" t="s">
        <v>75</v>
      </c>
      <c r="AF25" s="41" t="s">
        <v>76</v>
      </c>
      <c r="AG25" t="str">
        <f>VLOOKUP($Q25,武学奇术!$A:$ZZ,25,FALSE)</f>
        <v>绳镖</v>
      </c>
      <c r="AH25" s="27">
        <f>VLOOKUP($Q25,武学奇术!$A:$ZZ,26,FALSE)</f>
        <v>1.2503</v>
      </c>
      <c r="AI25" s="28">
        <f>VLOOKUP($Q25,武学奇术!$A:$ZZ,27,FALSE)*(1+IF(OR($AG25=$F$4,$AG25=$F$5),$B$22,0))</f>
        <v>485.8</v>
      </c>
      <c r="AJ25" s="27">
        <f>VLOOKUP($Q25,武学奇术!$A:$ZZ,28,FALSE)</f>
        <v>1.8755</v>
      </c>
      <c r="AK25" s="28">
        <f>VLOOKUP($Q25,武学奇术!$A:$ZZ,29,FALSE)*(1+IF(OR($AG25=$F$4,$AG25=$F$5),$B$22,0))</f>
        <v>264.6</v>
      </c>
      <c r="AL25" s="27" cm="1">
        <f t="array" ref="AL25">$G$3+IFERROR(VLOOKUP($AG25,$F$4:$G$7,2,FALSE),0)+VLOOKUP($Q25,武学奇术!$A:$ZZ,2,FALSE)+SUM(_xlfn.XLOOKUP($R25:$AF25,增益!$A:$A,增益!$B:$B,0))</f>
        <v>0.3189</v>
      </c>
      <c r="AM25" s="27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3804.006</v>
      </c>
      <c r="AO25" cm="1">
        <f t="array" ref="AO25">$E$10*(1+$AM25)+VLOOKUP($Q25,武学奇术!$A:$ZZ,4,FALSE)+SUM(_xlfn.XLOOKUP($R25:$AF25,增益!$A:$A,增益!$D:$D,0))-$I$2</f>
        <v>3804.006</v>
      </c>
      <c r="AP25" s="33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0.317</v>
      </c>
      <c r="AQ25" s="33" cm="1">
        <f t="array" ref="AQ25">$G$10+VLOOKUP($Q25,武学奇术!$A:$ZZ,7,FALSE)+SUM(_xlfn.XLOOKUP(R25:AF25,增益!$A:$A,增益!$G:$G,0))</f>
        <v>0.09</v>
      </c>
      <c r="AR25" s="27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3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-0.14</v>
      </c>
      <c r="AV25" s="33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3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-0.14</v>
      </c>
      <c r="AZ25" s="33" cm="1">
        <f t="array" ref="AZ25">$G$12+VLOOKUP($Q25,武学奇术!$A:$ZZ,12,FALSE)+SUM(_xlfn.XLOOKUP(R25:AF25,增益!$A:$A,增益!$L:$L,0))</f>
        <v>0</v>
      </c>
      <c r="BA25">
        <f t="shared" si="5"/>
        <v>0</v>
      </c>
      <c r="BB25">
        <f t="shared" si="6"/>
        <v>0</v>
      </c>
      <c r="BC25" s="33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-0.14</v>
      </c>
      <c r="BD25" s="33" cm="1">
        <f t="array" ref="BD25">$G$13+VLOOKUP($Q25,武学奇术!$A:$ZZ,14,FALSE)+SUM(_xlfn.XLOOKUP(R25:AF25,增益!$A:$A,增益!$N:$N,0))</f>
        <v>0</v>
      </c>
      <c r="BE25">
        <f t="shared" si="7"/>
        <v>570.28</v>
      </c>
      <c r="BF25">
        <f t="shared" si="8"/>
        <v>1582.156</v>
      </c>
      <c r="BG25" s="33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0.08</v>
      </c>
      <c r="BH25" s="33" cm="1">
        <f t="array" ref="BH25">$G$14+VLOOKUP($Q25,武学奇术!$A:$ZZ,16,FALSE)+SUM(_xlfn.XLOOKUP(R25:AF25,增益!$A:$A,增益!$P:$P,0))</f>
        <v>0.24</v>
      </c>
      <c r="BI25" s="27">
        <f>MIN(IF(VLOOKUP($Q25,武学奇术!$A:$ZZ,23,FALSE)=1,100%,$B$8),100%)</f>
        <v>1</v>
      </c>
      <c r="BJ25" s="27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+MIN(IF(VLOOKUP($Q25,武学奇术!$A:$ZZ,32,FALSE)=1,IF(VLOOKUP($Q25,武学奇术!$A:$ZZ,24,FALSE)=1,100%,MIN(40%,$B$10+VLOOKUP($Q25,武学奇术!$A:$ZZ,19,FALSE)+SUM(_xlfn.XLOOKUP(R25:AF25,增益!$A:$A,增益!$S:$S,0)))+$B$12+SUM(_xlfn.XLOOKUP(R25:AF25,增益!$A:$A,增益!$V:$V,0))),0),12%)</f>
        <v>0.918</v>
      </c>
      <c r="BK25" s="27" cm="1">
        <f t="array" ref="BK25">1+$B$13+VLOOKUP($Q25,武学奇术!$A:$ZZ,18,FALSE)+SUM(_xlfn.XLOOKUP(R25:AF25,增益!$A:$A,增益!$R:$R,0))</f>
        <v>1.6</v>
      </c>
      <c r="BL25" s="27" cm="1">
        <f t="array" ref="BL25">MAX(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-IF(VLOOKUP($Q25,武学奇术!$A:$ZZ,32,FALSE)=1,12%,0),0)</f>
        <v>0.0895</v>
      </c>
      <c r="BM25" s="27" cm="1">
        <f t="array" ref="BM25">1+$B$14+VLOOKUP($Q25,武学奇术!$A:$ZZ,20,FALSE)+SUM(_xlfn.XLOOKUP(R25:AF25,增益!$A:$A,增益!$T:$T,0))</f>
        <v>1.35</v>
      </c>
      <c r="BN25" s="27">
        <f t="shared" si="9"/>
        <v>0.9105</v>
      </c>
      <c r="BO25" s="27">
        <f t="shared" si="10"/>
        <v>0</v>
      </c>
      <c r="BP25" s="27">
        <f>IF(VLOOKUP($Q25,武学奇术!$A:$ZZ,22,FALSE)=1,0,(1-$BI25))*(1-$BL25)</f>
        <v>0</v>
      </c>
      <c r="BQ25" s="27" cm="1">
        <f t="array" ref="BQ25">SUM(_xlfn.XLOOKUP(R25:AF25,增益!$A:$A,增益!$W:$W,0))+$I$5</f>
        <v>0.11</v>
      </c>
    </row>
    <row r="26" spans="1:69">
      <c r="G26">
        <v>100</v>
      </c>
      <c r="K26" s="39">
        <f t="shared" si="0"/>
        <v>50937.6744412142</v>
      </c>
      <c r="L26" s="39">
        <f>((($AN26+($AO26-$AN26)*IF(VLOOKUP($Q26,武学奇术!$A:$ZZ,31,FALSE)=1,$F$18,0.5))*$AH26+$AI26)*(1+$AP26)*(1+$AQ26)+(($AS26+($AT26-$AS26)*IF(VLOOKUP($Q26,武学奇术!$A:$ZZ,31,FALSE)=1,$F$18,0.5))*IF($G$1="鸣金",$AJ26,$AH26)+IF($G$1="鸣金",$AK26*1.5,0))*(1+$AU26)*(1+$AV26)+(($AW26+($AX26-$AW26)*IF(VLOOKUP($Q26,武学奇术!$A:$ZZ,31,FALSE)=1,$F$18,0.5))*IF($G$1="裂石",$AJ26,$AH26)+IF($G$1="裂石",$AK26*1.5,0))*(1+$AY26)*(1+$AZ26)+(($BA26+($BB26-$BA26)*IF(VLOOKUP($Q26,武学奇术!$A:$ZZ,31,FALSE)=1,$F$18,0.5))*IF($G$1="牵丝",$AJ26,$AH26)+IF($G$1="牵丝",$AK26*1.5,0))*(1+$BC26)*(1+$BD26)+(($BE26+($BF26-$BE26)*IF(VLOOKUP($Q26,武学奇术!$A:$ZZ,31,FALSE)=1,$F$18,0.5))*IF($G$1="破竹",$AJ26,$AH26)+IF($G$1="破竹",$AK26*1.5,0))*(1+$BG26)*(1+$BH26))*(1+$AL26)*$BK26*$P26*(1+IF(VLOOKUP($Q26,武学奇术!$A:$ZZ,30,FALSE)="蓄力技",$B$21,0))*(1+$BQ26)</f>
        <v>51839.6604456383</v>
      </c>
      <c r="M26" s="39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41761.6045302849</v>
      </c>
      <c r="N26" s="39">
        <f>((($AN26+($AO26-$AN26)*IF(VLOOKUP($Q26,武学奇术!$A:$ZZ,31,FALSE)=1,$F$18,0.5))*$AH26+$AI26)*(1+$AP26)*(1+$AQ26)+(($AS26+($AT26-$AS26)*IF(VLOOKUP($Q26,武学奇术!$A:$ZZ,31,FALSE)=1,$F$18,0.5))*IF($G$1="鸣金",$AJ26,$AH26)+IF($G$1="鸣金",$AK26*1.5,0))*(1+$AU26)*(1+$AV26)+(($AW26+($AX26-$AW26)*IF(VLOOKUP($Q26,武学奇术!$A:$ZZ,31,FALSE)=1,$F$18,0.5))*IF($G$1="裂石",$AJ26,$AH26)+IF($G$1="裂石",$AK26*1.5,0))*(1+$AY26)*(1+$AZ26)+(($BA26+($BB26-$BA26)*IF(VLOOKUP($Q26,武学奇术!$A:$ZZ,31,FALSE)=1,$F$18,0.5))*IF($G$1="牵丝",$AJ26,$AH26)+IF($G$1="牵丝",$AK26*1.5,0))*(1+$BC26)*(1+$BD26)+(($BE26+($BF26-$BE26)*IF(VLOOKUP($Q26,武学奇术!$A:$ZZ,31,FALSE)=1,$F$18,0.5))*IF($G$1="破竹",$AJ26,$AH26)+IF($G$1="破竹",$AK26*1.5,0))*(1+$BG26)*(1+$BH26))*(1+$AL26)*$P26*(1+IF(VLOOKUP($Q26,武学奇术!$A:$ZZ,30,FALSE)="蓄力技",$B$21,0))*(1+$BQ26)</f>
        <v>27284.0318134939</v>
      </c>
      <c r="O26" s="39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23633.5417527026</v>
      </c>
      <c r="P26" s="40">
        <v>1</v>
      </c>
      <c r="Q26" s="41" t="s">
        <v>149</v>
      </c>
      <c r="R26" s="41" t="s">
        <v>93</v>
      </c>
      <c r="S26" s="41" t="s">
        <v>72</v>
      </c>
      <c r="T26" s="41" t="s">
        <v>72</v>
      </c>
      <c r="U26" s="41" t="s">
        <v>72</v>
      </c>
      <c r="V26" s="41" t="s">
        <v>72</v>
      </c>
      <c r="W26" s="41" t="s">
        <v>72</v>
      </c>
      <c r="X26" s="41" t="s">
        <v>146</v>
      </c>
      <c r="Y26" s="41" t="s">
        <v>81</v>
      </c>
      <c r="Z26" s="41" t="s">
        <v>101</v>
      </c>
      <c r="AA26" s="41" t="s">
        <v>72</v>
      </c>
      <c r="AB26" s="41" t="s">
        <v>72</v>
      </c>
      <c r="AC26" s="41" t="s">
        <v>72</v>
      </c>
      <c r="AD26" s="41" t="s">
        <v>72</v>
      </c>
      <c r="AE26" s="41" t="s">
        <v>75</v>
      </c>
      <c r="AF26" s="41" t="s">
        <v>76</v>
      </c>
      <c r="AG26" t="str">
        <f>VLOOKUP($Q26,武学奇术!$A:$ZZ,25,FALSE)</f>
        <v>绳镖</v>
      </c>
      <c r="AH26" s="27">
        <f>VLOOKUP($Q26,武学奇术!$A:$ZZ,26,FALSE)</f>
        <v>1.9448</v>
      </c>
      <c r="AI26" s="28">
        <f>VLOOKUP($Q26,武学奇术!$A:$ZZ,27,FALSE)*(1+IF(OR($AG26=$F$4,$AG26=$F$5),$B$22,0))</f>
        <v>0</v>
      </c>
      <c r="AJ26" s="27">
        <f>VLOOKUP($Q26,武学奇术!$A:$ZZ,28,FALSE)</f>
        <v>2.9172</v>
      </c>
      <c r="AK26" s="28">
        <f>VLOOKUP($Q26,武学奇术!$A:$ZZ,29,FALSE)*(1+IF(OR($AG26=$F$4,$AG26=$F$5),$B$22,0))</f>
        <v>0</v>
      </c>
      <c r="AL26" s="27" cm="1">
        <f t="array" ref="AL26">$G$3+IFERROR(VLOOKUP($AG26,$F$4:$G$7,2,FALSE),0)+VLOOKUP($Q26,武学奇术!$A:$ZZ,2,FALSE)+SUM(_xlfn.XLOOKUP($R26:$AF26,增益!$A:$A,增益!$B:$B,0))</f>
        <v>0.6189</v>
      </c>
      <c r="AM26" s="27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3804.006</v>
      </c>
      <c r="AO26" cm="1">
        <f t="array" ref="AO26">$E$10*(1+$AM26)+VLOOKUP($Q26,武学奇术!$A:$ZZ,4,FALSE)+SUM(_xlfn.XLOOKUP($R26:$AF26,增益!$A:$A,增益!$D:$D,0))-$I$2</f>
        <v>3804.006</v>
      </c>
      <c r="AP26" s="33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0.347</v>
      </c>
      <c r="AQ26" s="33" cm="1">
        <f t="array" ref="AQ26">$G$10+VLOOKUP($Q26,武学奇术!$A:$ZZ,7,FALSE)+SUM(_xlfn.XLOOKUP(R26:AF26,增益!$A:$A,增益!$G:$G,0))</f>
        <v>0.09</v>
      </c>
      <c r="AR26" s="27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3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-0.08</v>
      </c>
      <c r="AV26" s="33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3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-0.08</v>
      </c>
      <c r="AZ26" s="33" cm="1">
        <f t="array" ref="AZ26">$G$12+VLOOKUP($Q26,武学奇术!$A:$ZZ,12,FALSE)+SUM(_xlfn.XLOOKUP(R26:AF26,增益!$A:$A,增益!$L:$L,0))</f>
        <v>0</v>
      </c>
      <c r="BA26">
        <f t="shared" si="5"/>
        <v>0</v>
      </c>
      <c r="BB26">
        <f t="shared" si="6"/>
        <v>0</v>
      </c>
      <c r="BC26" s="33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-0.08</v>
      </c>
      <c r="BD26" s="33" cm="1">
        <f t="array" ref="BD26">$G$13+VLOOKUP($Q26,武学奇术!$A:$ZZ,14,FALSE)+SUM(_xlfn.XLOOKUP(R26:AF26,增益!$A:$A,增益!$N:$N,0))</f>
        <v>0</v>
      </c>
      <c r="BE26">
        <f t="shared" si="7"/>
        <v>570.28</v>
      </c>
      <c r="BF26">
        <f t="shared" si="8"/>
        <v>1582.156</v>
      </c>
      <c r="BG26" s="33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0.11</v>
      </c>
      <c r="BH26" s="33" cm="1">
        <f t="array" ref="BH26">$G$14+VLOOKUP($Q26,武学奇术!$A:$ZZ,16,FALSE)+SUM(_xlfn.XLOOKUP(R26:AF26,增益!$A:$A,增益!$P:$P,0))</f>
        <v>0.24</v>
      </c>
      <c r="BI26" s="27">
        <f>MIN(IF(VLOOKUP($Q26,武学奇术!$A:$ZZ,23,FALSE)=1,100%,$B$8),100%)</f>
        <v>1</v>
      </c>
      <c r="BJ26" s="27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+MIN(IF(VLOOKUP($Q26,武学奇术!$A:$ZZ,32,FALSE)=1,IF(VLOOKUP($Q26,武学奇术!$A:$ZZ,24,FALSE)=1,100%,MIN(40%,$B$10+VLOOKUP($Q26,武学奇术!$A:$ZZ,19,FALSE)+SUM(_xlfn.XLOOKUP(R26:AF26,增益!$A:$A,增益!$S:$S,0)))+$B$12+SUM(_xlfn.XLOOKUP(R26:AF26,增益!$A:$A,增益!$V:$V,0))),0),12%)</f>
        <v>0.918</v>
      </c>
      <c r="BK26" s="27" cm="1">
        <f t="array" ref="BK26">1+$B$13+VLOOKUP($Q26,武学奇术!$A:$ZZ,18,FALSE)+SUM(_xlfn.XLOOKUP(R26:AF26,增益!$A:$A,增益!$R:$R,0))</f>
        <v>1.9</v>
      </c>
      <c r="BL26" s="27" cm="1">
        <f t="array" ref="BL26">MAX(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-IF(VLOOKUP($Q26,武学奇术!$A:$ZZ,32,FALSE)=1,12%,0),0)</f>
        <v>0.0895</v>
      </c>
      <c r="BM26" s="27" cm="1">
        <f t="array" ref="BM26">1+$B$14+VLOOKUP($Q26,武学奇术!$A:$ZZ,20,FALSE)+SUM(_xlfn.XLOOKUP(R26:AF26,增益!$A:$A,增益!$T:$T,0))</f>
        <v>1.35</v>
      </c>
      <c r="BN26" s="27">
        <f t="shared" si="9"/>
        <v>0.9105</v>
      </c>
      <c r="BO26" s="27">
        <f t="shared" si="10"/>
        <v>0</v>
      </c>
      <c r="BP26" s="27">
        <f>IF(VLOOKUP($Q26,武学奇术!$A:$ZZ,22,FALSE)=1,0,(1-$BI26))*(1-$BL26)</f>
        <v>0</v>
      </c>
      <c r="BQ26" s="27" cm="1">
        <f t="array" ref="BQ26">SUM(_xlfn.XLOOKUP(R26:AF26,增益!$A:$A,增益!$W:$W,0))+$I$5</f>
        <v>0.11</v>
      </c>
    </row>
    <row r="27" spans="1:69">
      <c r="A27" t="s">
        <v>150</v>
      </c>
      <c r="B27">
        <v>1</v>
      </c>
      <c r="D27">
        <v>2.5</v>
      </c>
      <c r="G27">
        <v>-10</v>
      </c>
      <c r="K27" s="39">
        <f t="shared" si="0"/>
        <v>32488.9245961848</v>
      </c>
      <c r="L27" s="39">
        <f>((($AN27+($AO27-$AN27)*IF(VLOOKUP($Q27,武学奇术!$A:$ZZ,31,FALSE)=1,$F$18,0.5))*$AH27+$AI27)*(1+$AP27)*(1+$AQ27)+(($AS27+($AT27-$AS27)*IF(VLOOKUP($Q27,武学奇术!$A:$ZZ,31,FALSE)=1,$F$18,0.5))*IF($G$1="鸣金",$AJ27,$AH27)+IF($G$1="鸣金",$AK27*1.5,0))*(1+$AU27)*(1+$AV27)+(($AW27+($AX27-$AW27)*IF(VLOOKUP($Q27,武学奇术!$A:$ZZ,31,FALSE)=1,$F$18,0.5))*IF($G$1="裂石",$AJ27,$AH27)+IF($G$1="裂石",$AK27*1.5,0))*(1+$AY27)*(1+$AZ27)+(($BA27+($BB27-$BA27)*IF(VLOOKUP($Q27,武学奇术!$A:$ZZ,31,FALSE)=1,$F$18,0.5))*IF($G$1="牵丝",$AJ27,$AH27)+IF($G$1="牵丝",$AK27*1.5,0))*(1+$BC27)*(1+$BD27)+(($BE27+($BF27-$BE27)*IF(VLOOKUP($Q27,武学奇术!$A:$ZZ,31,FALSE)=1,$F$18,0.5))*IF($G$1="破竹",$AJ27,$AH27)+IF($G$1="破竹",$AK27*1.5,0))*(1+$BG27)*(1+$BH27))*(1+$AL27)*$BK27*$P27*(1+IF(VLOOKUP($Q27,武学奇术!$A:$ZZ,30,FALSE)="蓄力技",$B$21,0))*(1+$BQ27)</f>
        <v>32669.7382858407</v>
      </c>
      <c r="M27" s="39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30649.4735969476</v>
      </c>
      <c r="N27" s="39">
        <f>((($AN27+($AO27-$AN27)*IF(VLOOKUP($Q27,武学奇术!$A:$ZZ,31,FALSE)=1,$F$18,0.5))*$AH27+$AI27)*(1+$AP27)*(1+$AQ27)+(($AS27+($AT27-$AS27)*IF(VLOOKUP($Q27,武学奇术!$A:$ZZ,31,FALSE)=1,$F$18,0.5))*IF($G$1="鸣金",$AJ27,$AH27)+IF($G$1="鸣金",$AK27*1.5,0))*(1+$AU27)*(1+$AV27)+(($AW27+($AX27-$AW27)*IF(VLOOKUP($Q27,武学奇术!$A:$ZZ,31,FALSE)=1,$F$18,0.5))*IF($G$1="裂石",$AJ27,$AH27)+IF($G$1="裂石",$AK27*1.5,0))*(1+$AY27)*(1+$AZ27)+(($BA27+($BB27-$BA27)*IF(VLOOKUP($Q27,武学奇术!$A:$ZZ,31,FALSE)=1,$F$18,0.5))*IF($G$1="牵丝",$AJ27,$AH27)+IF($G$1="牵丝",$AK27*1.5,0))*(1+$BC27)*(1+$BD27)+(($BE27+($BF27-$BE27)*IF(VLOOKUP($Q27,武学奇术!$A:$ZZ,31,FALSE)=1,$F$18,0.5))*IF($G$1="破竹",$AJ27,$AH27)+IF($G$1="破竹",$AK27*1.5,0))*(1+$BG27)*(1+$BH27))*(1+$AL27)*$P27*(1+IF(VLOOKUP($Q27,武学奇术!$A:$ZZ,30,FALSE)="蓄力技",$B$21,0))*(1+$BQ27)</f>
        <v>20418.5864286504</v>
      </c>
      <c r="O27" s="39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18133.8590817841</v>
      </c>
      <c r="P27" s="40">
        <v>1</v>
      </c>
      <c r="Q27" s="41" t="s">
        <v>151</v>
      </c>
      <c r="R27" s="41" t="s">
        <v>93</v>
      </c>
      <c r="S27" s="41" t="s">
        <v>72</v>
      </c>
      <c r="T27" s="41" t="s">
        <v>72</v>
      </c>
      <c r="U27" s="41" t="s">
        <v>72</v>
      </c>
      <c r="V27" s="41" t="s">
        <v>72</v>
      </c>
      <c r="W27" s="41" t="s">
        <v>72</v>
      </c>
      <c r="X27" s="41" t="s">
        <v>146</v>
      </c>
      <c r="Y27" s="41" t="s">
        <v>72</v>
      </c>
      <c r="Z27" s="41" t="s">
        <v>72</v>
      </c>
      <c r="AA27" s="41" t="s">
        <v>72</v>
      </c>
      <c r="AB27" s="41" t="s">
        <v>72</v>
      </c>
      <c r="AC27" s="41" t="s">
        <v>72</v>
      </c>
      <c r="AD27" s="41" t="s">
        <v>72</v>
      </c>
      <c r="AE27" s="41" t="s">
        <v>75</v>
      </c>
      <c r="AF27" s="41" t="s">
        <v>76</v>
      </c>
      <c r="AG27" t="str">
        <f>VLOOKUP($Q27,武学奇术!$A:$ZZ,25,FALSE)</f>
        <v>绳镖</v>
      </c>
      <c r="AH27" s="27">
        <f>VLOOKUP($Q27,武学奇术!$A:$ZZ,26,FALSE)</f>
        <v>1.6584</v>
      </c>
      <c r="AI27" s="28">
        <f>VLOOKUP($Q27,武学奇术!$A:$ZZ,27,FALSE)*(1+IF(OR($AG27=$F$4,$AG27=$F$5),$B$22,0))</f>
        <v>641.2</v>
      </c>
      <c r="AJ27" s="27">
        <f>VLOOKUP($Q27,武学奇术!$A:$ZZ,28,FALSE)</f>
        <v>2.4876</v>
      </c>
      <c r="AK27" s="28">
        <f>VLOOKUP($Q27,武学奇术!$A:$ZZ,29,FALSE)*(1+IF(OR($AG27=$F$4,$AG27=$F$5),$B$22,0))</f>
        <v>350</v>
      </c>
      <c r="AL27" s="27" cm="1">
        <f t="array" ref="AL27">$G$3+IFERROR(VLOOKUP($AG27,$F$4:$G$7,2,FALSE),0)+VLOOKUP($Q27,武学奇术!$A:$ZZ,2,FALSE)+SUM(_xlfn.XLOOKUP($R27:$AF27,增益!$A:$A,增益!$B:$B,0))</f>
        <v>0.3189</v>
      </c>
      <c r="AM27" s="27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3804.006</v>
      </c>
      <c r="AO27" cm="1">
        <f t="array" ref="AO27">$E$10*(1+$AM27)+VLOOKUP($Q27,武学奇术!$A:$ZZ,4,FALSE)+SUM(_xlfn.XLOOKUP($R27:$AF27,增益!$A:$A,增益!$D:$D,0))-$I$2</f>
        <v>3804.006</v>
      </c>
      <c r="AP27" s="33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0.317</v>
      </c>
      <c r="AQ27" s="33" cm="1">
        <f t="array" ref="AQ27">$G$10+VLOOKUP($Q27,武学奇术!$A:$ZZ,7,FALSE)+SUM(_xlfn.XLOOKUP(R27:AF27,增益!$A:$A,增益!$G:$G,0))</f>
        <v>0.09</v>
      </c>
      <c r="AR27" s="27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3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3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3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3" cm="1">
        <f t="array" ref="AZ27">$G$12+VLOOKUP($Q27,武学奇术!$A:$ZZ,12,FALSE)+SUM(_xlfn.XLOOKUP(R27:AF27,增益!$A:$A,增益!$L:$L,0))</f>
        <v>0</v>
      </c>
      <c r="BA27">
        <f t="shared" si="5"/>
        <v>0</v>
      </c>
      <c r="BB27">
        <f t="shared" si="6"/>
        <v>0</v>
      </c>
      <c r="BC27" s="33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-0.3</v>
      </c>
      <c r="BD27" s="33" cm="1">
        <f t="array" ref="BD27">$G$13+VLOOKUP($Q27,武学奇术!$A:$ZZ,14,FALSE)+SUM(_xlfn.XLOOKUP(R27:AF27,增益!$A:$A,增益!$N:$N,0))</f>
        <v>0</v>
      </c>
      <c r="BE27">
        <f t="shared" si="7"/>
        <v>570.28</v>
      </c>
      <c r="BF27">
        <f t="shared" si="8"/>
        <v>1582.156</v>
      </c>
      <c r="BG27" s="33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</v>
      </c>
      <c r="BH27" s="33" cm="1">
        <f t="array" ref="BH27">$G$14+VLOOKUP($Q27,武学奇术!$A:$ZZ,16,FALSE)+SUM(_xlfn.XLOOKUP(R27:AF27,增益!$A:$A,增益!$P:$P,0))</f>
        <v>0.24</v>
      </c>
      <c r="BI27" s="27">
        <f>MIN(IF(VLOOKUP($Q27,武学奇术!$A:$ZZ,23,FALSE)=1,100%,$B$8),100%)</f>
        <v>1</v>
      </c>
      <c r="BJ27" s="27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+MIN(IF(VLOOKUP($Q27,武学奇术!$A:$ZZ,32,FALSE)=1,IF(VLOOKUP($Q27,武学奇术!$A:$ZZ,24,FALSE)=1,100%,MIN(40%,$B$10+VLOOKUP($Q27,武学奇术!$A:$ZZ,19,FALSE)+SUM(_xlfn.XLOOKUP(R27:AF27,增益!$A:$A,增益!$S:$S,0)))+$B$12+SUM(_xlfn.XLOOKUP(R27:AF27,增益!$A:$A,增益!$V:$V,0))),0),12%)</f>
        <v>0.918</v>
      </c>
      <c r="BK27" s="27" cm="1">
        <f t="array" ref="BK27">1+$B$13+VLOOKUP($Q27,武学奇术!$A:$ZZ,18,FALSE)+SUM(_xlfn.XLOOKUP(R27:AF27,增益!$A:$A,增益!$R:$R,0))</f>
        <v>1.6</v>
      </c>
      <c r="BL27" s="27" cm="1">
        <f t="array" ref="BL27">MAX(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-IF(VLOOKUP($Q27,武学奇术!$A:$ZZ,32,FALSE)=1,12%,0),0)</f>
        <v>0.0895</v>
      </c>
      <c r="BM27" s="27" cm="1">
        <f t="array" ref="BM27">1+$B$14+VLOOKUP($Q27,武学奇术!$A:$ZZ,20,FALSE)+SUM(_xlfn.XLOOKUP(R27:AF27,增益!$A:$A,增益!$T:$T,0))</f>
        <v>1.35</v>
      </c>
      <c r="BN27" s="27">
        <f t="shared" si="9"/>
        <v>0.9105</v>
      </c>
      <c r="BO27" s="27">
        <f t="shared" si="10"/>
        <v>0</v>
      </c>
      <c r="BP27" s="27">
        <f>IF(VLOOKUP($Q27,武学奇术!$A:$ZZ,22,FALSE)=1,0,(1-$BI27))*(1-$BL27)</f>
        <v>0</v>
      </c>
      <c r="BQ27" s="27" cm="1">
        <f t="array" ref="BQ27">SUM(_xlfn.XLOOKUP(R27:AF27,增益!$A:$A,增益!$W:$W,0))+$I$5</f>
        <v>0.11</v>
      </c>
    </row>
    <row r="28" spans="1:69">
      <c r="A28" s="4" t="s">
        <v>152</v>
      </c>
      <c r="B28" s="4">
        <v>0.9</v>
      </c>
      <c r="D28">
        <v>22.5</v>
      </c>
      <c r="K28" s="39">
        <f t="shared" si="0"/>
        <v>59844.1059915712</v>
      </c>
      <c r="L28" s="39">
        <f>((($AN28+($AO28-$AN28)*IF(VLOOKUP($Q28,武学奇术!$A:$ZZ,31,FALSE)=1,$F$18,0.5))*$AH28+$AI28)*(1+$AP28)*(1+$AQ28)+(($AS28+($AT28-$AS28)*IF(VLOOKUP($Q28,武学奇术!$A:$ZZ,31,FALSE)=1,$F$18,0.5))*IF($G$1="鸣金",$AJ28,$AH28)+IF($G$1="鸣金",$AK28*1.5,0))*(1+$AU28)*(1+$AV28)+(($AW28+($AX28-$AW28)*IF(VLOOKUP($Q28,武学奇术!$A:$ZZ,31,FALSE)=1,$F$18,0.5))*IF($G$1="裂石",$AJ28,$AH28)+IF($G$1="裂石",$AK28*1.5,0))*(1+$AY28)*(1+$AZ28)+(($BA28+($BB28-$BA28)*IF(VLOOKUP($Q28,武学奇术!$A:$ZZ,31,FALSE)=1,$F$18,0.5))*IF($G$1="牵丝",$AJ28,$AH28)+IF($G$1="牵丝",$AK28*1.5,0))*(1+$BC28)*(1+$BD28)+(($BE28+($BF28-$BE28)*IF(VLOOKUP($Q28,武学奇术!$A:$ZZ,31,FALSE)=1,$F$18,0.5))*IF($G$1="破竹",$AJ28,$AH28)+IF($G$1="破竹",$AK28*1.5,0))*(1+$BG28)*(1+$BH28))*(1+$AL28)*$BK28*$P28*(1+IF(VLOOKUP($Q28,武学奇术!$A:$ZZ,30,FALSE)="蓄力技",$B$21,0))*(1+$BQ28)</f>
        <v>60931.5769540487</v>
      </c>
      <c r="M28" s="39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48781.0634068141</v>
      </c>
      <c r="N28" s="39">
        <f>((($AN28+($AO28-$AN28)*IF(VLOOKUP($Q28,武学奇术!$A:$ZZ,31,FALSE)=1,$F$18,0.5))*$AH28+$AI28)*(1+$AP28)*(1+$AQ28)+(($AS28+($AT28-$AS28)*IF(VLOOKUP($Q28,武学奇术!$A:$ZZ,31,FALSE)=1,$F$18,0.5))*IF($G$1="鸣金",$AJ28,$AH28)+IF($G$1="鸣金",$AK28*1.5,0))*(1+$AU28)*(1+$AV28)+(($AW28+($AX28-$AW28)*IF(VLOOKUP($Q28,武学奇术!$A:$ZZ,31,FALSE)=1,$F$18,0.5))*IF($G$1="裂石",$AJ28,$AH28)+IF($G$1="裂石",$AK28*1.5,0))*(1+$AY28)*(1+$AZ28)+(($BA28+($BB28-$BA28)*IF(VLOOKUP($Q28,武学奇术!$A:$ZZ,31,FALSE)=1,$F$18,0.5))*IF($G$1="牵丝",$AJ28,$AH28)+IF($G$1="牵丝",$AK28*1.5,0))*(1+$BC28)*(1+$BD28)+(($BE28+($BF28-$BE28)*IF(VLOOKUP($Q28,武学奇术!$A:$ZZ,31,FALSE)=1,$F$18,0.5))*IF($G$1="破竹",$AJ28,$AH28)+IF($G$1="破竹",$AK28*1.5,0))*(1+$BG28)*(1+$BH28))*(1+$AL28)*$P28*(1+IF(VLOOKUP($Q28,武学奇术!$A:$ZZ,30,FALSE)="蓄力技",$B$21,0))*(1+$BQ28)</f>
        <v>32069.2510284467</v>
      </c>
      <c r="O28" s="39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28004.3810148088</v>
      </c>
      <c r="P28" s="40">
        <v>1</v>
      </c>
      <c r="Q28" s="41" t="s">
        <v>100</v>
      </c>
      <c r="R28" s="41" t="s">
        <v>93</v>
      </c>
      <c r="S28" s="41" t="s">
        <v>72</v>
      </c>
      <c r="T28" s="41" t="s">
        <v>72</v>
      </c>
      <c r="U28" s="41" t="s">
        <v>72</v>
      </c>
      <c r="V28" s="41" t="s">
        <v>72</v>
      </c>
      <c r="W28" s="41" t="s">
        <v>72</v>
      </c>
      <c r="X28" s="41" t="s">
        <v>146</v>
      </c>
      <c r="Y28" s="41" t="s">
        <v>72</v>
      </c>
      <c r="Z28" s="41" t="s">
        <v>101</v>
      </c>
      <c r="AA28" s="41" t="s">
        <v>72</v>
      </c>
      <c r="AB28" s="41" t="s">
        <v>72</v>
      </c>
      <c r="AC28" s="41" t="s">
        <v>72</v>
      </c>
      <c r="AD28" s="41" t="s">
        <v>72</v>
      </c>
      <c r="AE28" s="41" t="s">
        <v>75</v>
      </c>
      <c r="AF28" s="41" t="s">
        <v>76</v>
      </c>
      <c r="AG28" t="str">
        <f>VLOOKUP($Q28,武学奇术!$A:$ZZ,25,FALSE)</f>
        <v>绳镖</v>
      </c>
      <c r="AH28" s="27">
        <f>VLOOKUP($Q28,武学奇术!$A:$ZZ,26,FALSE)</f>
        <v>2.33376</v>
      </c>
      <c r="AI28" s="28">
        <f>VLOOKUP($Q28,武学奇术!$A:$ZZ,27,FALSE)*(1+IF(OR($AG28=$F$4,$AG28=$F$5),$B$22,0))</f>
        <v>0</v>
      </c>
      <c r="AJ28" s="27">
        <f>VLOOKUP($Q28,武学奇术!$A:$ZZ,28,FALSE)</f>
        <v>3.50064</v>
      </c>
      <c r="AK28" s="28">
        <f>VLOOKUP($Q28,武学奇术!$A:$ZZ,29,FALSE)*(1+IF(OR($AG28=$F$4,$AG28=$F$5),$B$22,0))</f>
        <v>0</v>
      </c>
      <c r="AL28" s="27" cm="1">
        <f t="array" ref="AL28">$G$3+IFERROR(VLOOKUP($AG28,$F$4:$G$7,2,FALSE),0)+VLOOKUP($Q28,武学奇术!$A:$ZZ,2,FALSE)+SUM(_xlfn.XLOOKUP($R28:$AF28,增益!$A:$A,增益!$B:$B,0))</f>
        <v>0.6189</v>
      </c>
      <c r="AM28" s="27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3804.006</v>
      </c>
      <c r="AO28" cm="1">
        <f t="array" ref="AO28">$E$10*(1+$AM28)+VLOOKUP($Q28,武学奇术!$A:$ZZ,4,FALSE)+SUM(_xlfn.XLOOKUP($R28:$AF28,增益!$A:$A,增益!$D:$D,0))-$I$2</f>
        <v>3804.006</v>
      </c>
      <c r="AP28" s="33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0.347</v>
      </c>
      <c r="AQ28" s="33" cm="1">
        <f t="array" ref="AQ28">$G$10+VLOOKUP($Q28,武学奇术!$A:$ZZ,7,FALSE)+SUM(_xlfn.XLOOKUP(R28:AF28,增益!$A:$A,增益!$G:$G,0))</f>
        <v>0.09</v>
      </c>
      <c r="AR28" s="27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3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-0.24</v>
      </c>
      <c r="AV28" s="33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3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-0.24</v>
      </c>
      <c r="AZ28" s="33" cm="1">
        <f t="array" ref="AZ28">$G$12+VLOOKUP($Q28,武学奇术!$A:$ZZ,12,FALSE)+SUM(_xlfn.XLOOKUP(R28:AF28,增益!$A:$A,增益!$L:$L,0))</f>
        <v>0</v>
      </c>
      <c r="BA28">
        <f t="shared" si="5"/>
        <v>0</v>
      </c>
      <c r="BB28">
        <f t="shared" si="6"/>
        <v>0</v>
      </c>
      <c r="BC28" s="33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-0.24</v>
      </c>
      <c r="BD28" s="33" cm="1">
        <f t="array" ref="BD28">$G$13+VLOOKUP($Q28,武学奇术!$A:$ZZ,14,FALSE)+SUM(_xlfn.XLOOKUP(R28:AF28,增益!$A:$A,增益!$N:$N,0))</f>
        <v>0</v>
      </c>
      <c r="BE28">
        <f t="shared" si="7"/>
        <v>570.28</v>
      </c>
      <c r="BF28">
        <f t="shared" si="8"/>
        <v>1582.156</v>
      </c>
      <c r="BG28" s="33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0.03</v>
      </c>
      <c r="BH28" s="33" cm="1">
        <f t="array" ref="BH28">$G$14+VLOOKUP($Q28,武学奇术!$A:$ZZ,16,FALSE)+SUM(_xlfn.XLOOKUP(R28:AF28,增益!$A:$A,增益!$P:$P,0))</f>
        <v>0.24</v>
      </c>
      <c r="BI28" s="27">
        <f>MIN(IF(VLOOKUP($Q28,武学奇术!$A:$ZZ,23,FALSE)=1,100%,$B$8),100%)</f>
        <v>1</v>
      </c>
      <c r="BJ28" s="27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+MIN(IF(VLOOKUP($Q28,武学奇术!$A:$ZZ,32,FALSE)=1,IF(VLOOKUP($Q28,武学奇术!$A:$ZZ,24,FALSE)=1,100%,MIN(40%,$B$10+VLOOKUP($Q28,武学奇术!$A:$ZZ,19,FALSE)+SUM(_xlfn.XLOOKUP(R28:AF28,增益!$A:$A,增益!$S:$S,0)))+$B$12+SUM(_xlfn.XLOOKUP(R28:AF28,增益!$A:$A,增益!$V:$V,0))),0),12%)</f>
        <v>0.918</v>
      </c>
      <c r="BK28" s="27" cm="1">
        <f t="array" ref="BK28">1+$B$13+VLOOKUP($Q28,武学奇术!$A:$ZZ,18,FALSE)+SUM(_xlfn.XLOOKUP(R28:AF28,增益!$A:$A,增益!$R:$R,0))</f>
        <v>1.9</v>
      </c>
      <c r="BL28" s="27" cm="1">
        <f t="array" ref="BL28">MAX(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-IF(VLOOKUP($Q28,武学奇术!$A:$ZZ,32,FALSE)=1,12%,0),0)</f>
        <v>0.0895</v>
      </c>
      <c r="BM28" s="27" cm="1">
        <f t="array" ref="BM28">1+$B$14+VLOOKUP($Q28,武学奇术!$A:$ZZ,20,FALSE)+SUM(_xlfn.XLOOKUP(R28:AF28,增益!$A:$A,增益!$T:$T,0))</f>
        <v>1.35</v>
      </c>
      <c r="BN28" s="27">
        <f t="shared" si="9"/>
        <v>0.9105</v>
      </c>
      <c r="BO28" s="27">
        <f t="shared" si="10"/>
        <v>0</v>
      </c>
      <c r="BP28" s="27">
        <f>IF(VLOOKUP($Q28,武学奇术!$A:$ZZ,22,FALSE)=1,0,(1-$BI28))*(1-$BL28)</f>
        <v>0</v>
      </c>
      <c r="BQ28" s="27" cm="1">
        <f t="array" ref="BQ28">SUM(_xlfn.XLOOKUP(R28:AF28,增益!$A:$A,增益!$W:$W,0))+$I$5</f>
        <v>0.11</v>
      </c>
    </row>
    <row r="29" spans="1:69">
      <c r="A29" t="s">
        <v>153</v>
      </c>
      <c r="B29">
        <v>0.1</v>
      </c>
      <c r="D29">
        <v>43.3</v>
      </c>
      <c r="K29" s="39">
        <f t="shared" si="0"/>
        <v>51213.9086609275</v>
      </c>
      <c r="L29" s="39">
        <f>((($AN29+($AO29-$AN29)*IF(VLOOKUP($Q29,武学奇术!$A:$ZZ,31,FALSE)=1,$F$18,0.5))*$AH29+$AI29)*(1+$AP29)*(1+$AQ29)+(($AS29+($AT29-$AS29)*IF(VLOOKUP($Q29,武学奇术!$A:$ZZ,31,FALSE)=1,$F$18,0.5))*IF($G$1="鸣金",$AJ29,$AH29)+IF($G$1="鸣金",$AK29*1.5,0))*(1+$AU29)*(1+$AV29)+(($AW29+($AX29-$AW29)*IF(VLOOKUP($Q29,武学奇术!$A:$ZZ,31,FALSE)=1,$F$18,0.5))*IF($G$1="裂石",$AJ29,$AH29)+IF($G$1="裂石",$AK29*1.5,0))*(1+$AY29)*(1+$AZ29)+(($BA29+($BB29-$BA29)*IF(VLOOKUP($Q29,武学奇术!$A:$ZZ,31,FALSE)=1,$F$18,0.5))*IF($G$1="牵丝",$AJ29,$AH29)+IF($G$1="牵丝",$AK29*1.5,0))*(1+$BC29)*(1+$BD29)+(($BE29+($BF29-$BE29)*IF(VLOOKUP($Q29,武学奇术!$A:$ZZ,31,FALSE)=1,$F$18,0.5))*IF($G$1="破竹",$AJ29,$AH29)+IF($G$1="破竹",$AK29*1.5,0))*(1+$BG29)*(1+$BH29))*(1+$AL29)*$BK29*$P29*(1+IF(VLOOKUP($Q29,武学奇术!$A:$ZZ,30,FALSE)="蓄力技",$B$21,0))*(1+$BQ29)</f>
        <v>51525.8391396744</v>
      </c>
      <c r="M29" s="39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48040.582393899</v>
      </c>
      <c r="N29" s="39">
        <f>((($AN29+($AO29-$AN29)*IF(VLOOKUP($Q29,武学奇术!$A:$ZZ,31,FALSE)=1,$F$18,0.5))*$AH29+$AI29)*(1+$AP29)*(1+$AQ29)+(($AS29+($AT29-$AS29)*IF(VLOOKUP($Q29,武学奇术!$A:$ZZ,31,FALSE)=1,$F$18,0.5))*IF($G$1="鸣金",$AJ29,$AH29)+IF($G$1="鸣金",$AK29*1.5,0))*(1+$AU29)*(1+$AV29)+(($AW29+($AX29-$AW29)*IF(VLOOKUP($Q29,武学奇术!$A:$ZZ,31,FALSE)=1,$F$18,0.5))*IF($G$1="裂石",$AJ29,$AH29)+IF($G$1="裂石",$AK29*1.5,0))*(1+$AY29)*(1+$AZ29)+(($BA29+($BB29-$BA29)*IF(VLOOKUP($Q29,武学奇术!$A:$ZZ,31,FALSE)=1,$F$18,0.5))*IF($G$1="牵丝",$AJ29,$AH29)+IF($G$1="牵丝",$AK29*1.5,0))*(1+$BC29)*(1+$BD29)+(($BE29+($BF29-$BE29)*IF(VLOOKUP($Q29,武学奇术!$A:$ZZ,31,FALSE)=1,$F$18,0.5))*IF($G$1="破竹",$AJ29,$AH29)+IF($G$1="破竹",$AK29*1.5,0))*(1+$BG29)*(1+$BH29))*(1+$AL29)*$P29*(1+IF(VLOOKUP($Q29,武学奇术!$A:$ZZ,30,FALSE)="蓄力技",$B$21,0))*(1+$BQ29)</f>
        <v>32003.6267948288</v>
      </c>
      <c r="O29" s="39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28421.6370015843</v>
      </c>
      <c r="P29" s="40">
        <v>1</v>
      </c>
      <c r="Q29" s="41" t="s">
        <v>111</v>
      </c>
      <c r="R29" s="41" t="s">
        <v>93</v>
      </c>
      <c r="S29" s="41" t="s">
        <v>72</v>
      </c>
      <c r="T29" s="41" t="s">
        <v>72</v>
      </c>
      <c r="U29" s="41" t="s">
        <v>72</v>
      </c>
      <c r="V29" s="41" t="s">
        <v>72</v>
      </c>
      <c r="W29" s="41" t="s">
        <v>72</v>
      </c>
      <c r="X29" s="41" t="s">
        <v>154</v>
      </c>
      <c r="Y29" s="41" t="s">
        <v>72</v>
      </c>
      <c r="Z29" s="41" t="s">
        <v>72</v>
      </c>
      <c r="AA29" s="41" t="s">
        <v>72</v>
      </c>
      <c r="AB29" s="41" t="s">
        <v>72</v>
      </c>
      <c r="AC29" s="41" t="s">
        <v>72</v>
      </c>
      <c r="AD29" s="41" t="s">
        <v>72</v>
      </c>
      <c r="AE29" s="41" t="s">
        <v>75</v>
      </c>
      <c r="AF29" s="41" t="s">
        <v>76</v>
      </c>
      <c r="AG29" t="str">
        <f>VLOOKUP($Q29,武学奇术!$A:$ZZ,25,FALSE)</f>
        <v>拳甲</v>
      </c>
      <c r="AH29" s="27">
        <f>VLOOKUP($Q29,武学奇术!$A:$ZZ,26,FALSE)</f>
        <v>2.4421</v>
      </c>
      <c r="AI29" s="28">
        <f>VLOOKUP($Q29,武学奇术!$A:$ZZ,27,FALSE)*(1+IF(OR($AG29=$F$4,$AG29=$F$5),$B$22,0))</f>
        <v>945</v>
      </c>
      <c r="AJ29" s="27">
        <f>VLOOKUP($Q29,武学奇术!$A:$ZZ,28,FALSE)</f>
        <v>3.6634</v>
      </c>
      <c r="AK29" s="28">
        <f>VLOOKUP($Q29,武学奇术!$A:$ZZ,29,FALSE)*(1+IF(OR($AG29=$F$4,$AG29=$F$5),$B$22,0))</f>
        <v>512.4</v>
      </c>
      <c r="AL29" s="27" cm="1">
        <f t="array" ref="AL29">$G$3+IFERROR(VLOOKUP($AG29,$F$4:$G$7,2,FALSE),0)+VLOOKUP($Q29,武学奇术!$A:$ZZ,2,FALSE)+SUM(_xlfn.XLOOKUP($R29:$AF29,增益!$A:$A,增益!$B:$B,0))</f>
        <v>0.4041</v>
      </c>
      <c r="AM29" s="27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3804.006</v>
      </c>
      <c r="AO29" cm="1">
        <f t="array" ref="AO29">$E$10*(1+$AM29)+VLOOKUP($Q29,武学奇术!$A:$ZZ,4,FALSE)+SUM(_xlfn.XLOOKUP($R29:$AF29,增益!$A:$A,增益!$D:$D,0))-$I$2</f>
        <v>3804.006</v>
      </c>
      <c r="AP29" s="33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0.317</v>
      </c>
      <c r="AQ29" s="33" cm="1">
        <f t="array" ref="AQ29">$G$10+VLOOKUP($Q29,武学奇术!$A:$ZZ,7,FALSE)+SUM(_xlfn.XLOOKUP(R29:AF29,增益!$A:$A,增益!$G:$G,0))</f>
        <v>0.09</v>
      </c>
      <c r="AR29" s="27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3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3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3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3" cm="1">
        <f t="array" ref="AZ29">$G$12+VLOOKUP($Q29,武学奇术!$A:$ZZ,12,FALSE)+SUM(_xlfn.XLOOKUP(R29:AF29,增益!$A:$A,增益!$L:$L,0))</f>
        <v>0</v>
      </c>
      <c r="BA29">
        <f t="shared" si="5"/>
        <v>0</v>
      </c>
      <c r="BB29">
        <f t="shared" si="6"/>
        <v>0</v>
      </c>
      <c r="BC29" s="33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-0.3</v>
      </c>
      <c r="BD29" s="33" cm="1">
        <f t="array" ref="BD29">$G$13+VLOOKUP($Q29,武学奇术!$A:$ZZ,14,FALSE)+SUM(_xlfn.XLOOKUP(R29:AF29,增益!$A:$A,增益!$N:$N,0))</f>
        <v>0</v>
      </c>
      <c r="BE29">
        <f t="shared" si="7"/>
        <v>570.28</v>
      </c>
      <c r="BF29">
        <f t="shared" si="8"/>
        <v>1582.156</v>
      </c>
      <c r="BG29" s="33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</v>
      </c>
      <c r="BH29" s="33" cm="1">
        <f t="array" ref="BH29">$G$14+VLOOKUP($Q29,武学奇术!$A:$ZZ,16,FALSE)+SUM(_xlfn.XLOOKUP(R29:AF29,增益!$A:$A,增益!$P:$P,0))</f>
        <v>0.24</v>
      </c>
      <c r="BI29" s="27">
        <f>MIN(IF(VLOOKUP($Q29,武学奇术!$A:$ZZ,23,FALSE)=1,100%,$B$8),100%)</f>
        <v>1</v>
      </c>
      <c r="BJ29" s="27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+MIN(IF(VLOOKUP($Q29,武学奇术!$A:$ZZ,32,FALSE)=1,IF(VLOOKUP($Q29,武学奇术!$A:$ZZ,24,FALSE)=1,100%,MIN(40%,$B$10+VLOOKUP($Q29,武学奇术!$A:$ZZ,19,FALSE)+SUM(_xlfn.XLOOKUP(R29:AF29,增益!$A:$A,增益!$S:$S,0)))+$B$12+SUM(_xlfn.XLOOKUP(R29:AF29,增益!$A:$A,增益!$V:$V,0))),0),12%)</f>
        <v>0.918</v>
      </c>
      <c r="BK29" s="27" cm="1">
        <f t="array" ref="BK29">1+$B$13+VLOOKUP($Q29,武学奇术!$A:$ZZ,18,FALSE)+SUM(_xlfn.XLOOKUP(R29:AF29,增益!$A:$A,增益!$R:$R,0))</f>
        <v>1.61</v>
      </c>
      <c r="BL29" s="27" cm="1">
        <f t="array" ref="BL29">MAX(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-IF(VLOOKUP($Q29,武学奇术!$A:$ZZ,32,FALSE)=1,12%,0),0)</f>
        <v>0.0895</v>
      </c>
      <c r="BM29" s="27" cm="1">
        <f t="array" ref="BM29">1+$B$14+VLOOKUP($Q29,武学奇术!$A:$ZZ,20,FALSE)+SUM(_xlfn.XLOOKUP(R29:AF29,增益!$A:$A,增益!$T:$T,0))</f>
        <v>1.35</v>
      </c>
      <c r="BN29" s="27">
        <f t="shared" si="9"/>
        <v>0.9105</v>
      </c>
      <c r="BO29" s="27">
        <f t="shared" si="10"/>
        <v>0</v>
      </c>
      <c r="BP29" s="27">
        <f>IF(VLOOKUP($Q29,武学奇术!$A:$ZZ,22,FALSE)=1,0,(1-$BI29))*(1-$BL29)</f>
        <v>0</v>
      </c>
      <c r="BQ29" s="27" cm="1">
        <f t="array" ref="BQ29">SUM(_xlfn.XLOOKUP(R29:AF29,增益!$A:$A,增益!$W:$W,0))+$I$5</f>
        <v>0.11</v>
      </c>
    </row>
    <row r="30" spans="1:69">
      <c r="A30" t="s">
        <v>155</v>
      </c>
      <c r="B30">
        <v>0.9</v>
      </c>
      <c r="D30">
        <v>75.5</v>
      </c>
      <c r="K30" s="39">
        <f t="shared" si="0"/>
        <v>27025.3109098822</v>
      </c>
      <c r="L30" s="39">
        <f>((($AN30+($AO30-$AN30)*IF(VLOOKUP($Q30,武学奇术!$A:$ZZ,31,FALSE)=1,$F$18,0.5))*$AH30+$AI30)*(1+$AP30)*(1+$AQ30)+(($AS30+($AT30-$AS30)*IF(VLOOKUP($Q30,武学奇术!$A:$ZZ,31,FALSE)=1,$F$18,0.5))*IF($G$1="鸣金",$AJ30,$AH30)+IF($G$1="鸣金",$AK30*1.5,0))*(1+$AU30)*(1+$AV30)+(($AW30+($AX30-$AW30)*IF(VLOOKUP($Q30,武学奇术!$A:$ZZ,31,FALSE)=1,$F$18,0.5))*IF($G$1="裂石",$AJ30,$AH30)+IF($G$1="裂石",$AK30*1.5,0))*(1+$AY30)*(1+$AZ30)+(($BA30+($BB30-$BA30)*IF(VLOOKUP($Q30,武学奇术!$A:$ZZ,31,FALSE)=1,$F$18,0.5))*IF($G$1="牵丝",$AJ30,$AH30)+IF($G$1="牵丝",$AK30*1.5,0))*(1+$BC30)*(1+$BD30)+(($BE30+($BF30-$BE30)*IF(VLOOKUP($Q30,武学奇术!$A:$ZZ,31,FALSE)=1,$F$18,0.5))*IF($G$1="破竹",$AJ30,$AH30)+IF($G$1="破竹",$AK30*1.5,0))*(1+$BG30)*(1+$BH30))*(1+$AL30)*$BK30*$P30*(1+IF(VLOOKUP($Q30,武学奇术!$A:$ZZ,30,FALSE)="蓄力技",$B$21,0))*(1+$BQ30)</f>
        <v>27190.1375855006</v>
      </c>
      <c r="M30" s="39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25348.4987517751</v>
      </c>
      <c r="N30" s="39">
        <f>((($AN30+($AO30-$AN30)*IF(VLOOKUP($Q30,武学奇术!$A:$ZZ,31,FALSE)=1,$F$18,0.5))*$AH30+$AI30)*(1+$AP30)*(1+$AQ30)+(($AS30+($AT30-$AS30)*IF(VLOOKUP($Q30,武学奇术!$A:$ZZ,31,FALSE)=1,$F$18,0.5))*IF($G$1="鸣金",$AJ30,$AH30)+IF($G$1="鸣金",$AK30*1.5,0))*(1+$AU30)*(1+$AV30)+(($AW30+($AX30-$AW30)*IF(VLOOKUP($Q30,武学奇术!$A:$ZZ,31,FALSE)=1,$F$18,0.5))*IF($G$1="裂石",$AJ30,$AH30)+IF($G$1="裂石",$AK30*1.5,0))*(1+$AY30)*(1+$AZ30)+(($BA30+($BB30-$BA30)*IF(VLOOKUP($Q30,武学奇术!$A:$ZZ,31,FALSE)=1,$F$18,0.5))*IF($G$1="牵丝",$AJ30,$AH30)+IF($G$1="牵丝",$AK30*1.5,0))*(1+$BC30)*(1+$BD30)+(($BE30+($BF30-$BE30)*IF(VLOOKUP($Q30,武学奇术!$A:$ZZ,31,FALSE)=1,$F$18,0.5))*IF($G$1="破竹",$AJ30,$AH30)+IF($G$1="破竹",$AK30*1.5,0))*(1+$BG30)*(1+$BH30))*(1+$AL30)*$P30*(1+IF(VLOOKUP($Q30,武学奇术!$A:$ZZ,30,FALSE)="蓄力技",$B$21,0))*(1+$BQ30)</f>
        <v>16888.2842145966</v>
      </c>
      <c r="O30" s="39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14999.9026871377</v>
      </c>
      <c r="P30" s="40">
        <v>1</v>
      </c>
      <c r="Q30" s="41" t="s">
        <v>106</v>
      </c>
      <c r="R30" s="41" t="s">
        <v>93</v>
      </c>
      <c r="S30" s="41" t="s">
        <v>72</v>
      </c>
      <c r="T30" s="41" t="s">
        <v>72</v>
      </c>
      <c r="U30" s="41" t="s">
        <v>72</v>
      </c>
      <c r="V30" s="41" t="s">
        <v>72</v>
      </c>
      <c r="W30" s="41" t="s">
        <v>72</v>
      </c>
      <c r="X30" s="41" t="s">
        <v>154</v>
      </c>
      <c r="Y30" s="41" t="s">
        <v>72</v>
      </c>
      <c r="Z30" s="41" t="s">
        <v>72</v>
      </c>
      <c r="AA30" s="41" t="s">
        <v>72</v>
      </c>
      <c r="AB30" s="41" t="s">
        <v>72</v>
      </c>
      <c r="AC30" s="41" t="s">
        <v>72</v>
      </c>
      <c r="AD30" s="41" t="s">
        <v>72</v>
      </c>
      <c r="AE30" s="41" t="s">
        <v>75</v>
      </c>
      <c r="AF30" s="41" t="s">
        <v>76</v>
      </c>
      <c r="AG30" t="str">
        <f>VLOOKUP($Q30,武学奇术!$A:$ZZ,25,FALSE)</f>
        <v>拳甲</v>
      </c>
      <c r="AH30" s="27">
        <f>VLOOKUP($Q30,武学奇术!$A:$ZZ,26,FALSE)</f>
        <v>1.2876</v>
      </c>
      <c r="AI30" s="28">
        <f>VLOOKUP($Q30,武学奇术!$A:$ZZ,27,FALSE)*(1+IF(OR($AG30=$F$4,$AG30=$F$5),$B$22,0))</f>
        <v>501.2</v>
      </c>
      <c r="AJ30" s="27">
        <f>VLOOKUP($Q30,武学奇术!$A:$ZZ,28,FALSE)</f>
        <v>1.9313</v>
      </c>
      <c r="AK30" s="28">
        <f>VLOOKUP($Q30,武学奇术!$A:$ZZ,29,FALSE)*(1+IF(OR($AG30=$F$4,$AG30=$F$5),$B$22,0))</f>
        <v>273</v>
      </c>
      <c r="AL30" s="27" cm="1">
        <f t="array" ref="AL30">$G$3+IFERROR(VLOOKUP($AG30,$F$4:$G$7,2,FALSE),0)+VLOOKUP($Q30,武学奇术!$A:$ZZ,2,FALSE)+SUM(_xlfn.XLOOKUP($R30:$AF30,增益!$A:$A,增益!$B:$B,0))</f>
        <v>0.4041</v>
      </c>
      <c r="AM30" s="27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3804.006</v>
      </c>
      <c r="AO30" cm="1">
        <f t="array" ref="AO30">$E$10*(1+$AM30)+VLOOKUP($Q30,武学奇术!$A:$ZZ,4,FALSE)+SUM(_xlfn.XLOOKUP($R30:$AF30,增益!$A:$A,增益!$D:$D,0))-$I$2</f>
        <v>3804.006</v>
      </c>
      <c r="AP30" s="33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0.317</v>
      </c>
      <c r="AQ30" s="33" cm="1">
        <f t="array" ref="AQ30">$G$10+VLOOKUP($Q30,武学奇术!$A:$ZZ,7,FALSE)+SUM(_xlfn.XLOOKUP(R30:AF30,增益!$A:$A,增益!$G:$G,0))</f>
        <v>0.09</v>
      </c>
      <c r="AR30" s="27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3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3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3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3" cm="1">
        <f t="array" ref="AZ30">$G$12+VLOOKUP($Q30,武学奇术!$A:$ZZ,12,FALSE)+SUM(_xlfn.XLOOKUP(R30:AF30,增益!$A:$A,增益!$L:$L,0))</f>
        <v>0</v>
      </c>
      <c r="BA30">
        <f t="shared" si="5"/>
        <v>0</v>
      </c>
      <c r="BB30">
        <f t="shared" si="6"/>
        <v>0</v>
      </c>
      <c r="BC30" s="33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-0.3</v>
      </c>
      <c r="BD30" s="33" cm="1">
        <f t="array" ref="BD30">$G$13+VLOOKUP($Q30,武学奇术!$A:$ZZ,14,FALSE)+SUM(_xlfn.XLOOKUP(R30:AF30,增益!$A:$A,增益!$N:$N,0))</f>
        <v>0</v>
      </c>
      <c r="BE30">
        <f t="shared" si="7"/>
        <v>570.28</v>
      </c>
      <c r="BF30">
        <f t="shared" si="8"/>
        <v>1582.156</v>
      </c>
      <c r="BG30" s="33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0</v>
      </c>
      <c r="BH30" s="33" cm="1">
        <f t="array" ref="BH30">$G$14+VLOOKUP($Q30,武学奇术!$A:$ZZ,16,FALSE)+SUM(_xlfn.XLOOKUP(R30:AF30,增益!$A:$A,增益!$P:$P,0))</f>
        <v>0.24</v>
      </c>
      <c r="BI30" s="27">
        <f>MIN(IF(VLOOKUP($Q30,武学奇术!$A:$ZZ,23,FALSE)=1,100%,$B$8),100%)</f>
        <v>1</v>
      </c>
      <c r="BJ30" s="27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+MIN(IF(VLOOKUP($Q30,武学奇术!$A:$ZZ,32,FALSE)=1,IF(VLOOKUP($Q30,武学奇术!$A:$ZZ,24,FALSE)=1,100%,MIN(40%,$B$10+VLOOKUP($Q30,武学奇术!$A:$ZZ,19,FALSE)+SUM(_xlfn.XLOOKUP(R30:AF30,增益!$A:$A,增益!$S:$S,0)))+$B$12+SUM(_xlfn.XLOOKUP(R30:AF30,增益!$A:$A,增益!$V:$V,0))),0),12%)</f>
        <v>0.918</v>
      </c>
      <c r="BK30" s="27" cm="1">
        <f t="array" ref="BK30">1+$B$13+VLOOKUP($Q30,武学奇术!$A:$ZZ,18,FALSE)+SUM(_xlfn.XLOOKUP(R30:AF30,增益!$A:$A,增益!$R:$R,0))</f>
        <v>1.61</v>
      </c>
      <c r="BL30" s="27" cm="1">
        <f t="array" ref="BL30">MAX(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-IF(VLOOKUP($Q30,武学奇术!$A:$ZZ,32,FALSE)=1,12%,0),0)</f>
        <v>0.0895</v>
      </c>
      <c r="BM30" s="27" cm="1">
        <f t="array" ref="BM30">1+$B$14+VLOOKUP($Q30,武学奇术!$A:$ZZ,20,FALSE)+SUM(_xlfn.XLOOKUP(R30:AF30,增益!$A:$A,增益!$T:$T,0))</f>
        <v>1.35</v>
      </c>
      <c r="BN30" s="27">
        <f t="shared" si="9"/>
        <v>0.9105</v>
      </c>
      <c r="BO30" s="27">
        <f t="shared" si="10"/>
        <v>0</v>
      </c>
      <c r="BP30" s="27">
        <f>IF(VLOOKUP($Q30,武学奇术!$A:$ZZ,22,FALSE)=1,0,(1-$BI30))*(1-$BL30)</f>
        <v>0</v>
      </c>
      <c r="BQ30" s="27" cm="1">
        <f t="array" ref="BQ30">SUM(_xlfn.XLOOKUP(R30:AF30,增益!$A:$A,增益!$W:$W,0))+$I$5</f>
        <v>0.11</v>
      </c>
    </row>
    <row r="31" spans="1:69">
      <c r="A31" t="s">
        <v>156</v>
      </c>
      <c r="B31">
        <v>1.3</v>
      </c>
      <c r="D31">
        <v>95.5</v>
      </c>
      <c r="G31">
        <v>-50</v>
      </c>
      <c r="K31" s="39">
        <f t="shared" si="0"/>
        <v>63300.9587271948</v>
      </c>
      <c r="L31" s="39">
        <f>((($AN31+($AO31-$AN31)*IF(VLOOKUP($Q31,武学奇术!$A:$ZZ,31,FALSE)=1,$F$18,0.5))*$AH31+$AI31)*(1+$AP31)*(1+$AQ31)+(($AS31+($AT31-$AS31)*IF(VLOOKUP($Q31,武学奇术!$A:$ZZ,31,FALSE)=1,$F$18,0.5))*IF($G$1="鸣金",$AJ31,$AH31)+IF($G$1="鸣金",$AK31*1.5,0))*(1+$AU31)*(1+$AV31)+(($AW31+($AX31-$AW31)*IF(VLOOKUP($Q31,武学奇术!$A:$ZZ,31,FALSE)=1,$F$18,0.5))*IF($G$1="裂石",$AJ31,$AH31)+IF($G$1="裂石",$AK31*1.5,0))*(1+$AY31)*(1+$AZ31)+(($BA31+($BB31-$BA31)*IF(VLOOKUP($Q31,武学奇术!$A:$ZZ,31,FALSE)=1,$F$18,0.5))*IF($G$1="牵丝",$AJ31,$AH31)+IF($G$1="牵丝",$AK31*1.5,0))*(1+$BC31)*(1+$BD31)+(($BE31+($BF31-$BE31)*IF(VLOOKUP($Q31,武学奇术!$A:$ZZ,31,FALSE)=1,$F$18,0.5))*IF($G$1="破竹",$AJ31,$AH31)+IF($G$1="破竹",$AK31*1.5,0))*(1+$BG31)*(1+$BH31))*(1+$AL31)*$BK31*$P31*(1+IF(VLOOKUP($Q31,武学奇术!$A:$ZZ,30,FALSE)="蓄力技",$B$21,0))*(1+$BQ31)</f>
        <v>64475.8739849096</v>
      </c>
      <c r="M31" s="39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51348.3292059744</v>
      </c>
      <c r="N31" s="39">
        <f>((($AN31+($AO31-$AN31)*IF(VLOOKUP($Q31,武学奇术!$A:$ZZ,31,FALSE)=1,$F$18,0.5))*$AH31+$AI31)*(1+$AP31)*(1+$AQ31)+(($AS31+($AT31-$AS31)*IF(VLOOKUP($Q31,武学奇术!$A:$ZZ,31,FALSE)=1,$F$18,0.5))*IF($G$1="鸣金",$AJ31,$AH31)+IF($G$1="鸣金",$AK31*1.5,0))*(1+$AU31)*(1+$AV31)+(($AW31+($AX31-$AW31)*IF(VLOOKUP($Q31,武学奇术!$A:$ZZ,31,FALSE)=1,$F$18,0.5))*IF($G$1="裂石",$AJ31,$AH31)+IF($G$1="裂石",$AK31*1.5,0))*(1+$AY31)*(1+$AZ31)+(($BA31+($BB31-$BA31)*IF(VLOOKUP($Q31,武学奇术!$A:$ZZ,31,FALSE)=1,$F$18,0.5))*IF($G$1="牵丝",$AJ31,$AH31)+IF($G$1="牵丝",$AK31*1.5,0))*(1+$BC31)*(1+$BD31)+(($BE31+($BF31-$BE31)*IF(VLOOKUP($Q31,武学奇术!$A:$ZZ,31,FALSE)=1,$F$18,0.5))*IF($G$1="破竹",$AJ31,$AH31)+IF($G$1="破竹",$AK31*1.5,0))*(1+$BG31)*(1+$BH31))*(1+$AL31)*$P31*(1+IF(VLOOKUP($Q31,武学奇术!$A:$ZZ,30,FALSE)="蓄力技",$B$21,0))*(1+$BQ31)</f>
        <v>33757.0020863401</v>
      </c>
      <c r="O31" s="39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29478.2047608473</v>
      </c>
      <c r="P31" s="40">
        <v>1</v>
      </c>
      <c r="Q31" s="41" t="s">
        <v>108</v>
      </c>
      <c r="R31" s="41" t="s">
        <v>93</v>
      </c>
      <c r="S31" s="41" t="s">
        <v>72</v>
      </c>
      <c r="T31" s="41" t="s">
        <v>72</v>
      </c>
      <c r="U31" s="41" t="s">
        <v>72</v>
      </c>
      <c r="V31" s="41" t="s">
        <v>72</v>
      </c>
      <c r="W31" s="41" t="s">
        <v>72</v>
      </c>
      <c r="X31" s="41" t="s">
        <v>154</v>
      </c>
      <c r="Y31" s="41" t="s">
        <v>72</v>
      </c>
      <c r="Z31" s="41" t="s">
        <v>101</v>
      </c>
      <c r="AA31" s="41" t="s">
        <v>72</v>
      </c>
      <c r="AB31" s="41" t="s">
        <v>72</v>
      </c>
      <c r="AC31" s="41" t="s">
        <v>72</v>
      </c>
      <c r="AD31" s="41" t="s">
        <v>72</v>
      </c>
      <c r="AE31" s="41" t="s">
        <v>75</v>
      </c>
      <c r="AF31" s="41" t="s">
        <v>76</v>
      </c>
      <c r="AG31" t="str">
        <f>VLOOKUP($Q31,武学奇术!$A:$ZZ,25,FALSE)</f>
        <v>拳甲</v>
      </c>
      <c r="AH31" s="27">
        <f>VLOOKUP($Q31,武学奇术!$A:$ZZ,26,FALSE)</f>
        <v>2.33376</v>
      </c>
      <c r="AI31" s="28">
        <f>VLOOKUP($Q31,武学奇术!$A:$ZZ,27,FALSE)*(1+IF(OR($AG31=$F$4,$AG31=$F$5),$B$22,0))</f>
        <v>0</v>
      </c>
      <c r="AJ31" s="27">
        <f>VLOOKUP($Q31,武学奇术!$A:$ZZ,28,FALSE)</f>
        <v>3.50064</v>
      </c>
      <c r="AK31" s="28">
        <f>VLOOKUP($Q31,武学奇术!$A:$ZZ,29,FALSE)*(1+IF(OR($AG31=$F$4,$AG31=$F$5),$B$22,0))</f>
        <v>0</v>
      </c>
      <c r="AL31" s="27" cm="1">
        <f t="array" ref="AL31">$G$3+IFERROR(VLOOKUP($AG31,$F$4:$G$7,2,FALSE),0)+VLOOKUP($Q31,武学奇术!$A:$ZZ,2,FALSE)+SUM(_xlfn.XLOOKUP($R31:$AF31,增益!$A:$A,增益!$B:$B,0))</f>
        <v>0.7041</v>
      </c>
      <c r="AM31" s="27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3804.006</v>
      </c>
      <c r="AO31" cm="1">
        <f t="array" ref="AO31">$E$10*(1+$AM31)+VLOOKUP($Q31,武学奇术!$A:$ZZ,4,FALSE)+SUM(_xlfn.XLOOKUP($R31:$AF31,增益!$A:$A,增益!$D:$D,0))-$I$2</f>
        <v>3804.006</v>
      </c>
      <c r="AP31" s="33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0.347</v>
      </c>
      <c r="AQ31" s="33" cm="1">
        <f t="array" ref="AQ31">$G$10+VLOOKUP($Q31,武学奇术!$A:$ZZ,7,FALSE)+SUM(_xlfn.XLOOKUP(R31:AF31,增益!$A:$A,增益!$G:$G,0))</f>
        <v>0.09</v>
      </c>
      <c r="AR31" s="27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3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-0.24</v>
      </c>
      <c r="AV31" s="33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3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-0.24</v>
      </c>
      <c r="AZ31" s="33" cm="1">
        <f t="array" ref="AZ31">$G$12+VLOOKUP($Q31,武学奇术!$A:$ZZ,12,FALSE)+SUM(_xlfn.XLOOKUP(R31:AF31,增益!$A:$A,增益!$L:$L,0))</f>
        <v>0</v>
      </c>
      <c r="BA31">
        <f t="shared" si="5"/>
        <v>0</v>
      </c>
      <c r="BB31">
        <f t="shared" si="6"/>
        <v>0</v>
      </c>
      <c r="BC31" s="33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-0.24</v>
      </c>
      <c r="BD31" s="33" cm="1">
        <f t="array" ref="BD31">$G$13+VLOOKUP($Q31,武学奇术!$A:$ZZ,14,FALSE)+SUM(_xlfn.XLOOKUP(R31:AF31,增益!$A:$A,增益!$N:$N,0))</f>
        <v>0</v>
      </c>
      <c r="BE31">
        <f t="shared" si="7"/>
        <v>570.28</v>
      </c>
      <c r="BF31">
        <f t="shared" si="8"/>
        <v>1582.156</v>
      </c>
      <c r="BG31" s="33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0.03</v>
      </c>
      <c r="BH31" s="33" cm="1">
        <f t="array" ref="BH31">$G$14+VLOOKUP($Q31,武学奇术!$A:$ZZ,16,FALSE)+SUM(_xlfn.XLOOKUP(R31:AF31,增益!$A:$A,增益!$P:$P,0))</f>
        <v>0.24</v>
      </c>
      <c r="BI31" s="27">
        <f>MIN(IF(VLOOKUP($Q31,武学奇术!$A:$ZZ,23,FALSE)=1,100%,$B$8),100%)</f>
        <v>1</v>
      </c>
      <c r="BJ31" s="27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+MIN(IF(VLOOKUP($Q31,武学奇术!$A:$ZZ,32,FALSE)=1,IF(VLOOKUP($Q31,武学奇术!$A:$ZZ,24,FALSE)=1,100%,MIN(40%,$B$10+VLOOKUP($Q31,武学奇术!$A:$ZZ,19,FALSE)+SUM(_xlfn.XLOOKUP(R31:AF31,增益!$A:$A,增益!$S:$S,0)))+$B$12+SUM(_xlfn.XLOOKUP(R31:AF31,增益!$A:$A,增益!$V:$V,0))),0),12%)</f>
        <v>0.918</v>
      </c>
      <c r="BK31" s="27" cm="1">
        <f t="array" ref="BK31">1+$B$13+VLOOKUP($Q31,武学奇术!$A:$ZZ,18,FALSE)+SUM(_xlfn.XLOOKUP(R31:AF31,增益!$A:$A,增益!$R:$R,0))</f>
        <v>1.91</v>
      </c>
      <c r="BL31" s="27" cm="1">
        <f t="array" ref="BL31">MAX(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-IF(VLOOKUP($Q31,武学奇术!$A:$ZZ,32,FALSE)=1,12%,0),0)</f>
        <v>0.0895</v>
      </c>
      <c r="BM31" s="27" cm="1">
        <f t="array" ref="BM31">1+$B$14+VLOOKUP($Q31,武学奇术!$A:$ZZ,20,FALSE)+SUM(_xlfn.XLOOKUP(R31:AF31,增益!$A:$A,增益!$T:$T,0))</f>
        <v>1.35</v>
      </c>
      <c r="BN31" s="27">
        <f t="shared" si="9"/>
        <v>0.9105</v>
      </c>
      <c r="BO31" s="27">
        <f t="shared" si="10"/>
        <v>0</v>
      </c>
      <c r="BP31" s="27">
        <f>IF(VLOOKUP($Q31,武学奇术!$A:$ZZ,22,FALSE)=1,0,(1-$BI31))*(1-$BL31)</f>
        <v>0</v>
      </c>
      <c r="BQ31" s="27" cm="1">
        <f t="array" ref="BQ31">SUM(_xlfn.XLOOKUP(R31:AF31,增益!$A:$A,增益!$W:$W,0))+$I$5</f>
        <v>0.11</v>
      </c>
    </row>
    <row r="32" spans="1:69">
      <c r="A32" t="s">
        <v>153</v>
      </c>
      <c r="B32">
        <v>0.1</v>
      </c>
      <c r="K32" s="39">
        <f t="shared" si="0"/>
        <v>67966.6912857804</v>
      </c>
      <c r="L32" s="39">
        <f>((($AN32+($AO32-$AN32)*IF(VLOOKUP($Q32,武学奇术!$A:$ZZ,31,FALSE)=1,$F$18,0.5))*$AH32+$AI32)*(1+$AP32)*(1+$AQ32)+(($AS32+($AT32-$AS32)*IF(VLOOKUP($Q32,武学奇术!$A:$ZZ,31,FALSE)=1,$F$18,0.5))*IF($G$1="鸣金",$AJ32,$AH32)+IF($G$1="鸣金",$AK32*1.5,0))*(1+$AU32)*(1+$AV32)+(($AW32+($AX32-$AW32)*IF(VLOOKUP($Q32,武学奇术!$A:$ZZ,31,FALSE)=1,$F$18,0.5))*IF($G$1="裂石",$AJ32,$AH32)+IF($G$1="裂石",$AK32*1.5,0))*(1+$AY32)*(1+$AZ32)+(($BA32+($BB32-$BA32)*IF(VLOOKUP($Q32,武学奇术!$A:$ZZ,31,FALSE)=1,$F$18,0.5))*IF($G$1="牵丝",$AJ32,$AH32)+IF($G$1="牵丝",$AK32*1.5,0))*(1+$BC32)*(1+$BD32)+(($BE32+($BF32-$BE32)*IF(VLOOKUP($Q32,武学奇术!$A:$ZZ,31,FALSE)=1,$F$18,0.5))*IF($G$1="破竹",$AJ32,$AH32)+IF($G$1="破竹",$AK32*1.5,0))*(1+$BG32)*(1+$BH32))*(1+$AL32)*$BK32*$P32*(1+IF(VLOOKUP($Q32,武学奇术!$A:$ZZ,30,FALSE)="蓄力技",$B$21,0))*(1+$BQ32)</f>
        <v>68365.9249628029</v>
      </c>
      <c r="M32" s="39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63905.2134876908</v>
      </c>
      <c r="N32" s="39">
        <f>((($AN32+($AO32-$AN32)*IF(VLOOKUP($Q32,武学奇术!$A:$ZZ,31,FALSE)=1,$F$18,0.5))*$AH32+$AI32)*(1+$AP32)*(1+$AQ32)+(($AS32+($AT32-$AS32)*IF(VLOOKUP($Q32,武学奇术!$A:$ZZ,31,FALSE)=1,$F$18,0.5))*IF($G$1="鸣金",$AJ32,$AH32)+IF($G$1="鸣金",$AK32*1.5,0))*(1+$AU32)*(1+$AV32)+(($AW32+($AX32-$AW32)*IF(VLOOKUP($Q32,武学奇术!$A:$ZZ,31,FALSE)=1,$F$18,0.5))*IF($G$1="裂石",$AJ32,$AH32)+IF($G$1="裂石",$AK32*1.5,0))*(1+$AY32)*(1+$AZ32)+(($BA32+($BB32-$BA32)*IF(VLOOKUP($Q32,武学奇术!$A:$ZZ,31,FALSE)=1,$F$18,0.5))*IF($G$1="牵丝",$AJ32,$AH32)+IF($G$1="牵丝",$AK32*1.5,0))*(1+$BC32)*(1+$BD32)+(($BE32+($BF32-$BE32)*IF(VLOOKUP($Q32,武学奇术!$A:$ZZ,31,FALSE)=1,$F$18,0.5))*IF($G$1="破竹",$AJ32,$AH32)+IF($G$1="破竹",$AK32*1.5,0))*(1+$BG32)*(1+$BH32))*(1+$AL32)*$P32*(1+IF(VLOOKUP($Q32,武学奇术!$A:$ZZ,30,FALSE)="蓄力技",$B$21,0))*(1+$BQ32)</f>
        <v>42201.1882486438</v>
      </c>
      <c r="O32" s="39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37065.1813212202</v>
      </c>
      <c r="P32" s="40">
        <v>1</v>
      </c>
      <c r="Q32" s="41" t="s">
        <v>157</v>
      </c>
      <c r="R32" s="41" t="s">
        <v>93</v>
      </c>
      <c r="S32" s="41" t="s">
        <v>72</v>
      </c>
      <c r="T32" s="41" t="s">
        <v>72</v>
      </c>
      <c r="U32" s="41" t="s">
        <v>72</v>
      </c>
      <c r="V32" s="41" t="s">
        <v>72</v>
      </c>
      <c r="W32" s="41" t="s">
        <v>72</v>
      </c>
      <c r="X32" s="41" t="s">
        <v>158</v>
      </c>
      <c r="Y32" s="41" t="s">
        <v>72</v>
      </c>
      <c r="Z32" s="41" t="s">
        <v>72</v>
      </c>
      <c r="AA32" s="41" t="s">
        <v>72</v>
      </c>
      <c r="AB32" s="41" t="s">
        <v>72</v>
      </c>
      <c r="AC32" s="41" t="s">
        <v>72</v>
      </c>
      <c r="AD32" s="41" t="s">
        <v>72</v>
      </c>
      <c r="AE32" s="41" t="s">
        <v>75</v>
      </c>
      <c r="AF32" s="41" t="s">
        <v>76</v>
      </c>
      <c r="AG32" t="str">
        <f>VLOOKUP($Q32,武学奇术!$A:$ZZ,25,FALSE)</f>
        <v>单体奇术</v>
      </c>
      <c r="AH32" s="27">
        <f>VLOOKUP($Q32,武学奇术!$A:$ZZ,26,FALSE)</f>
        <v>3.9855</v>
      </c>
      <c r="AI32" s="28">
        <f>VLOOKUP($Q32,武学奇术!$A:$ZZ,27,FALSE)*(1+IF(OR($AG32=$F$4,$AG32=$F$5),$B$22,0))</f>
        <v>749</v>
      </c>
      <c r="AJ32" s="27">
        <f>VLOOKUP($Q32,武学奇术!$A:$ZZ,28,FALSE)</f>
        <v>5.97825</v>
      </c>
      <c r="AK32" s="28">
        <f>VLOOKUP($Q32,武学奇术!$A:$ZZ,29,FALSE)*(1+IF(OR($AG32=$F$4,$AG32=$F$5),$B$22,0))</f>
        <v>0</v>
      </c>
      <c r="AL32" s="27" cm="1">
        <f t="array" ref="AL32">$G$3+IFERROR(VLOOKUP($AG32,$F$4:$G$7,2,FALSE),0)+VLOOKUP($Q32,武学奇术!$A:$ZZ,2,FALSE)+SUM(_xlfn.XLOOKUP($R32:$AF32,增益!$A:$A,增益!$B:$B,0))</f>
        <v>0.2337</v>
      </c>
      <c r="AM32" s="27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3804.006</v>
      </c>
      <c r="AO32" cm="1">
        <f t="array" ref="AO32">$E$10*(1+$AM32)+VLOOKUP($Q32,武学奇术!$A:$ZZ,4,FALSE)+SUM(_xlfn.XLOOKUP($R32:$AF32,增益!$A:$A,增益!$D:$D,0))-$I$2</f>
        <v>3804.006</v>
      </c>
      <c r="AP32" s="33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0.317</v>
      </c>
      <c r="AQ32" s="33" cm="1">
        <f t="array" ref="AQ32">$G$10+VLOOKUP($Q32,武学奇术!$A:$ZZ,7,FALSE)+SUM(_xlfn.XLOOKUP(R32:AF32,增益!$A:$A,增益!$G:$G,0))</f>
        <v>0.09</v>
      </c>
      <c r="AR32" s="27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3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3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3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3" cm="1">
        <f t="array" ref="AZ32">$G$12+VLOOKUP($Q32,武学奇术!$A:$ZZ,12,FALSE)+SUM(_xlfn.XLOOKUP(R32:AF32,增益!$A:$A,增益!$L:$L,0))</f>
        <v>0</v>
      </c>
      <c r="BA32">
        <f t="shared" si="5"/>
        <v>0</v>
      </c>
      <c r="BB32">
        <f t="shared" si="6"/>
        <v>0</v>
      </c>
      <c r="BC32" s="33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-0.3</v>
      </c>
      <c r="BD32" s="33" cm="1">
        <f t="array" ref="BD32">$G$13+VLOOKUP($Q32,武学奇术!$A:$ZZ,14,FALSE)+SUM(_xlfn.XLOOKUP(R32:AF32,增益!$A:$A,增益!$N:$N,0))</f>
        <v>0</v>
      </c>
      <c r="BE32">
        <f t="shared" si="7"/>
        <v>570.28</v>
      </c>
      <c r="BF32">
        <f t="shared" si="8"/>
        <v>1582.156</v>
      </c>
      <c r="BG32" s="33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</v>
      </c>
      <c r="BH32" s="33" cm="1">
        <f t="array" ref="BH32">$G$14+VLOOKUP($Q32,武学奇术!$A:$ZZ,16,FALSE)+SUM(_xlfn.XLOOKUP(R32:AF32,增益!$A:$A,增益!$P:$P,0))</f>
        <v>0.24</v>
      </c>
      <c r="BI32" s="27">
        <f>MIN(IF(VLOOKUP($Q32,武学奇术!$A:$ZZ,23,FALSE)=1,100%,$B$8),100%)</f>
        <v>1</v>
      </c>
      <c r="BJ32" s="27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+MIN(IF(VLOOKUP($Q32,武学奇术!$A:$ZZ,32,FALSE)=1,IF(VLOOKUP($Q32,武学奇术!$A:$ZZ,24,FALSE)=1,100%,MIN(40%,$B$10+VLOOKUP($Q32,武学奇术!$A:$ZZ,19,FALSE)+SUM(_xlfn.XLOOKUP(R32:AF32,增益!$A:$A,增益!$S:$S,0)))+$B$12+SUM(_xlfn.XLOOKUP(R32:AF32,增益!$A:$A,增益!$V:$V,0))),0),12%)</f>
        <v>0.918</v>
      </c>
      <c r="BK32" s="27" cm="1">
        <f t="array" ref="BK32">1+$B$13+VLOOKUP($Q32,武学奇术!$A:$ZZ,18,FALSE)+SUM(_xlfn.XLOOKUP(R32:AF32,增益!$A:$A,增益!$R:$R,0))</f>
        <v>1.62</v>
      </c>
      <c r="BL32" s="27" cm="1">
        <f t="array" ref="BL32">MAX(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-IF(VLOOKUP($Q32,武学奇术!$A:$ZZ,32,FALSE)=1,12%,0),0)</f>
        <v>0.0895</v>
      </c>
      <c r="BM32" s="27" cm="1">
        <f t="array" ref="BM32">1+$B$14+VLOOKUP($Q32,武学奇术!$A:$ZZ,20,FALSE)+SUM(_xlfn.XLOOKUP(R32:AF32,增益!$A:$A,增益!$T:$T,0))</f>
        <v>1.35</v>
      </c>
      <c r="BN32" s="27">
        <f t="shared" si="9"/>
        <v>0.9105</v>
      </c>
      <c r="BO32" s="27">
        <f t="shared" si="10"/>
        <v>0</v>
      </c>
      <c r="BP32" s="27">
        <f>IF(VLOOKUP($Q32,武学奇术!$A:$ZZ,22,FALSE)=1,0,(1-$BI32))*(1-$BL32)</f>
        <v>0</v>
      </c>
      <c r="BQ32" s="27" cm="1">
        <f t="array" ref="BQ32">SUM(_xlfn.XLOOKUP(R32:AF32,增益!$A:$A,增益!$W:$W,0))+$I$5</f>
        <v>0.11</v>
      </c>
    </row>
    <row r="33" spans="1:69">
      <c r="A33" t="s">
        <v>159</v>
      </c>
      <c r="B33">
        <v>0.4</v>
      </c>
      <c r="K33" s="39">
        <f t="shared" si="0"/>
        <v>14516.5696855681</v>
      </c>
      <c r="L33" s="39">
        <f>((($AN33+($AO33-$AN33)*IF(VLOOKUP($Q33,武学奇术!$A:$ZZ,31,FALSE)=1,$F$18,0.5))*$AH33+$AI33)*(1+$AP33)*(1+$AQ33)+(($AS33+($AT33-$AS33)*IF(VLOOKUP($Q33,武学奇术!$A:$ZZ,31,FALSE)=1,$F$18,0.5))*IF($G$1="鸣金",$AJ33,$AH33)+IF($G$1="鸣金",$AK33*1.5,0))*(1+$AU33)*(1+$AV33)+(($AW33+($AX33-$AW33)*IF(VLOOKUP($Q33,武学奇术!$A:$ZZ,31,FALSE)=1,$F$18,0.5))*IF($G$1="裂石",$AJ33,$AH33)+IF($G$1="裂石",$AK33*1.5,0))*(1+$AY33)*(1+$AZ33)+(($BA33+($BB33-$BA33)*IF(VLOOKUP($Q33,武学奇术!$A:$ZZ,31,FALSE)=1,$F$18,0.5))*IF($G$1="牵丝",$AJ33,$AH33)+IF($G$1="牵丝",$AK33*1.5,0))*(1+$BC33)*(1+$BD33)+(($BE33+($BF33-$BE33)*IF(VLOOKUP($Q33,武学奇术!$A:$ZZ,31,FALSE)=1,$F$18,0.5))*IF($G$1="破竹",$AJ33,$AH33)+IF($G$1="破竹",$AK33*1.5,0))*(1+$BG33)*(1+$BH33))*(1+$AL33)*$BK33*$P33*(1+IF(VLOOKUP($Q33,武学奇术!$A:$ZZ,30,FALSE)="蓄力技",$B$21,0))*(1+$BQ33)</f>
        <v>14601.8025425171</v>
      </c>
      <c r="M33" s="39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13649.4801185061</v>
      </c>
      <c r="N33" s="39">
        <f>((($AN33+($AO33-$AN33)*IF(VLOOKUP($Q33,武学奇术!$A:$ZZ,31,FALSE)=1,$F$18,0.5))*$AH33+$AI33)*(1+$AP33)*(1+$AQ33)+(($AS33+($AT33-$AS33)*IF(VLOOKUP($Q33,武学奇术!$A:$ZZ,31,FALSE)=1,$F$18,0.5))*IF($G$1="鸣金",$AJ33,$AH33)+IF($G$1="鸣金",$AK33*1.5,0))*(1+$AU33)*(1+$AV33)+(($AW33+($AX33-$AW33)*IF(VLOOKUP($Q33,武学奇术!$A:$ZZ,31,FALSE)=1,$F$18,0.5))*IF($G$1="裂石",$AJ33,$AH33)+IF($G$1="裂石",$AK33*1.5,0))*(1+$AY33)*(1+$AZ33)+(($BA33+($BB33-$BA33)*IF(VLOOKUP($Q33,武学奇术!$A:$ZZ,31,FALSE)=1,$F$18,0.5))*IF($G$1="牵丝",$AJ33,$AH33)+IF($G$1="牵丝",$AK33*1.5,0))*(1+$BC33)*(1+$BD33)+(($BE33+($BF33-$BE33)*IF(VLOOKUP($Q33,武学奇术!$A:$ZZ,31,FALSE)=1,$F$18,0.5))*IF($G$1="破竹",$AJ33,$AH33)+IF($G$1="破竹",$AK33*1.5,0))*(1+$BG33)*(1+$BH33))*(1+$AL33)*$P33*(1+IF(VLOOKUP($Q33,武学奇术!$A:$ZZ,30,FALSE)="蓄力技",$B$21,0))*(1+$BQ33)</f>
        <v>9013.45835957844</v>
      </c>
      <c r="O33" s="39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7916.19070544868</v>
      </c>
      <c r="P33" s="40">
        <v>3</v>
      </c>
      <c r="Q33" s="41" t="s">
        <v>160</v>
      </c>
      <c r="R33" s="41" t="s">
        <v>93</v>
      </c>
      <c r="S33" s="41" t="s">
        <v>72</v>
      </c>
      <c r="T33" s="41" t="s">
        <v>72</v>
      </c>
      <c r="U33" s="41" t="s">
        <v>72</v>
      </c>
      <c r="V33" s="41" t="s">
        <v>72</v>
      </c>
      <c r="W33" s="41" t="s">
        <v>72</v>
      </c>
      <c r="X33" s="41" t="s">
        <v>158</v>
      </c>
      <c r="Y33" s="41" t="s">
        <v>72</v>
      </c>
      <c r="Z33" s="41" t="s">
        <v>72</v>
      </c>
      <c r="AA33" s="41" t="s">
        <v>161</v>
      </c>
      <c r="AB33" s="41" t="s">
        <v>72</v>
      </c>
      <c r="AC33" s="41" t="s">
        <v>72</v>
      </c>
      <c r="AD33" s="41" t="s">
        <v>72</v>
      </c>
      <c r="AE33" s="41" t="s">
        <v>75</v>
      </c>
      <c r="AF33" s="41" t="s">
        <v>76</v>
      </c>
      <c r="AG33" t="str">
        <f>VLOOKUP($Q33,武学奇术!$A:$ZZ,25,FALSE)</f>
        <v>单体奇术</v>
      </c>
      <c r="AH33" s="27">
        <f>VLOOKUP($Q33,武学奇术!$A:$ZZ,26,FALSE)</f>
        <v>0.236</v>
      </c>
      <c r="AI33" s="28">
        <f>VLOOKUP($Q33,武学奇术!$A:$ZZ,27,FALSE)*(1+IF(OR($AG33=$F$4,$AG33=$F$5),$B$22,0))</f>
        <v>44</v>
      </c>
      <c r="AJ33" s="27">
        <f>VLOOKUP($Q33,武学奇术!$A:$ZZ,28,FALSE)</f>
        <v>0.354</v>
      </c>
      <c r="AK33" s="28">
        <f>VLOOKUP($Q33,武学奇术!$A:$ZZ,29,FALSE)*(1+IF(OR($AG33=$F$4,$AG33=$F$5),$B$22,0))</f>
        <v>0</v>
      </c>
      <c r="AL33" s="27" cm="1">
        <f t="array" ref="AL33">$G$3+IFERROR(VLOOKUP($AG33,$F$4:$G$7,2,FALSE),0)+VLOOKUP($Q33,武学奇术!$A:$ZZ,2,FALSE)+SUM(_xlfn.XLOOKUP($R33:$AF33,增益!$A:$A,增益!$B:$B,0))</f>
        <v>0.4837</v>
      </c>
      <c r="AM33" s="27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3804.006</v>
      </c>
      <c r="AO33" cm="1">
        <f t="array" ref="AO33">$E$10*(1+$AM33)+VLOOKUP($Q33,武学奇术!$A:$ZZ,4,FALSE)+SUM(_xlfn.XLOOKUP($R33:$AF33,增益!$A:$A,增益!$D:$D,0))-$I$2</f>
        <v>3804.006</v>
      </c>
      <c r="AP33" s="33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0.317</v>
      </c>
      <c r="AQ33" s="33" cm="1">
        <f t="array" ref="AQ33">$G$10+VLOOKUP($Q33,武学奇术!$A:$ZZ,7,FALSE)+SUM(_xlfn.XLOOKUP(R33:AF33,增益!$A:$A,增益!$G:$G,0))</f>
        <v>0.09</v>
      </c>
      <c r="AR33" s="27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3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3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3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3" cm="1">
        <f t="array" ref="AZ33">$G$12+VLOOKUP($Q33,武学奇术!$A:$ZZ,12,FALSE)+SUM(_xlfn.XLOOKUP(R33:AF33,增益!$A:$A,增益!$L:$L,0))</f>
        <v>0</v>
      </c>
      <c r="BA33">
        <f t="shared" si="5"/>
        <v>0</v>
      </c>
      <c r="BB33">
        <f t="shared" si="6"/>
        <v>0</v>
      </c>
      <c r="BC33" s="33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-0.3</v>
      </c>
      <c r="BD33" s="33" cm="1">
        <f t="array" ref="BD33">$G$13+VLOOKUP($Q33,武学奇术!$A:$ZZ,14,FALSE)+SUM(_xlfn.XLOOKUP(R33:AF33,增益!$A:$A,增益!$N:$N,0))</f>
        <v>0</v>
      </c>
      <c r="BE33">
        <f t="shared" si="7"/>
        <v>570.28</v>
      </c>
      <c r="BF33">
        <f t="shared" si="8"/>
        <v>1582.156</v>
      </c>
      <c r="BG33" s="33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0</v>
      </c>
      <c r="BH33" s="33" cm="1">
        <f t="array" ref="BH33">$G$14+VLOOKUP($Q33,武学奇术!$A:$ZZ,16,FALSE)+SUM(_xlfn.XLOOKUP(R33:AF33,增益!$A:$A,增益!$P:$P,0))</f>
        <v>0.24</v>
      </c>
      <c r="BI33" s="27">
        <f>MIN(IF(VLOOKUP($Q33,武学奇术!$A:$ZZ,23,FALSE)=1,100%,$B$8),100%)</f>
        <v>1</v>
      </c>
      <c r="BJ33" s="27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+MIN(IF(VLOOKUP($Q33,武学奇术!$A:$ZZ,32,FALSE)=1,IF(VLOOKUP($Q33,武学奇术!$A:$ZZ,24,FALSE)=1,100%,MIN(40%,$B$10+VLOOKUP($Q33,武学奇术!$A:$ZZ,19,FALSE)+SUM(_xlfn.XLOOKUP(R33:AF33,增益!$A:$A,增益!$S:$S,0)))+$B$12+SUM(_xlfn.XLOOKUP(R33:AF33,增益!$A:$A,增益!$V:$V,0))),0),12%)</f>
        <v>0.918</v>
      </c>
      <c r="BK33" s="27" cm="1">
        <f t="array" ref="BK33">1+$B$13+VLOOKUP($Q33,武学奇术!$A:$ZZ,18,FALSE)+SUM(_xlfn.XLOOKUP(R33:AF33,增益!$A:$A,增益!$R:$R,0))</f>
        <v>1.62</v>
      </c>
      <c r="BL33" s="27" cm="1">
        <f t="array" ref="BL33">MAX(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-IF(VLOOKUP($Q33,武学奇术!$A:$ZZ,32,FALSE)=1,12%,0),0)</f>
        <v>0.0895</v>
      </c>
      <c r="BM33" s="27" cm="1">
        <f t="array" ref="BM33">1+$B$14+VLOOKUP($Q33,武学奇术!$A:$ZZ,20,FALSE)+SUM(_xlfn.XLOOKUP(R33:AF33,增益!$A:$A,增益!$T:$T,0))</f>
        <v>1.35</v>
      </c>
      <c r="BN33" s="27">
        <f t="shared" si="9"/>
        <v>0.9105</v>
      </c>
      <c r="BO33" s="27">
        <f t="shared" si="10"/>
        <v>0</v>
      </c>
      <c r="BP33" s="27">
        <f>IF(VLOOKUP($Q33,武学奇术!$A:$ZZ,22,FALSE)=1,0,(1-$BI33))*(1-$BL33)</f>
        <v>0</v>
      </c>
      <c r="BQ33" s="27" cm="1">
        <f t="array" ref="BQ33">SUM(_xlfn.XLOOKUP(R33:AF33,增益!$A:$A,增益!$W:$W,0))+$I$5</f>
        <v>0.11</v>
      </c>
    </row>
    <row r="34" spans="1:69">
      <c r="A34" t="s">
        <v>162</v>
      </c>
      <c r="B34">
        <v>0.6</v>
      </c>
      <c r="K34" s="39">
        <f t="shared" si="0"/>
        <v>19902.7415646362</v>
      </c>
      <c r="L34" s="39">
        <f>((($AN34+($AO34-$AN34)*IF(VLOOKUP($Q34,武学奇术!$A:$ZZ,31,FALSE)=1,$F$18,0.5))*$AH34+$AI34)*(1+$AP34)*(1+$AQ34)+(($AS34+($AT34-$AS34)*IF(VLOOKUP($Q34,武学奇术!$A:$ZZ,31,FALSE)=1,$F$18,0.5))*IF($G$1="鸣金",$AJ34,$AH34)+IF($G$1="鸣金",$AK34*1.5,0))*(1+$AU34)*(1+$AV34)+(($AW34+($AX34-$AW34)*IF(VLOOKUP($Q34,武学奇术!$A:$ZZ,31,FALSE)=1,$F$18,0.5))*IF($G$1="裂石",$AJ34,$AH34)+IF($G$1="裂石",$AK34*1.5,0))*(1+$AY34)*(1+$AZ34)+(($BA34+($BB34-$BA34)*IF(VLOOKUP($Q34,武学奇术!$A:$ZZ,31,FALSE)=1,$F$18,0.5))*IF($G$1="牵丝",$AJ34,$AH34)+IF($G$1="牵丝",$AK34*1.5,0))*(1+$BC34)*(1+$BD34)+(($BE34+($BF34-$BE34)*IF(VLOOKUP($Q34,武学奇术!$A:$ZZ,31,FALSE)=1,$F$18,0.5))*IF($G$1="破竹",$AJ34,$AH34)+IF($G$1="破竹",$AK34*1.5,0))*(1+$BG34)*(1+$BH34))*(1+$AL34)*$BK34*$P34*(1+IF(VLOOKUP($Q34,武学奇术!$A:$ZZ,30,FALSE)="蓄力技",$B$21,0))*(1+$BQ34)</f>
        <v>20249.0342543308</v>
      </c>
      <c r="M34" s="39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16379.8421907041</v>
      </c>
      <c r="N34" s="39">
        <f>((($AN34+($AO34-$AN34)*IF(VLOOKUP($Q34,武学奇术!$A:$ZZ,31,FALSE)=1,$F$18,0.5))*$AH34+$AI34)*(1+$AP34)*(1+$AQ34)+(($AS34+($AT34-$AS34)*IF(VLOOKUP($Q34,武学奇术!$A:$ZZ,31,FALSE)=1,$F$18,0.5))*IF($G$1="鸣金",$AJ34,$AH34)+IF($G$1="鸣金",$AK34*1.5,0))*(1+$AU34)*(1+$AV34)+(($AW34+($AX34-$AW34)*IF(VLOOKUP($Q34,武学奇术!$A:$ZZ,31,FALSE)=1,$F$18,0.5))*IF($G$1="裂石",$AJ34,$AH34)+IF($G$1="裂石",$AK34*1.5,0))*(1+$AY34)*(1+$AZ34)+(($BA34+($BB34-$BA34)*IF(VLOOKUP($Q34,武学奇术!$A:$ZZ,31,FALSE)=1,$F$18,0.5))*IF($G$1="牵丝",$AJ34,$AH34)+IF($G$1="牵丝",$AK34*1.5,0))*(1+$BC34)*(1+$BD34)+(($BE34+($BF34-$BE34)*IF(VLOOKUP($Q34,武学奇术!$A:$ZZ,31,FALSE)=1,$F$18,0.5))*IF($G$1="破竹",$AJ34,$AH34)+IF($G$1="破竹",$AK34*1.5,0))*(1+$BG34)*(1+$BH34))*(1+$AL34)*$P34*(1+IF(VLOOKUP($Q34,武学奇术!$A:$ZZ,30,FALSE)="蓄力技",$B$21,0))*(1+$BQ34)</f>
        <v>10828.3605638133</v>
      </c>
      <c r="O34" s="39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9523.50469006794</v>
      </c>
      <c r="P34" s="40">
        <v>3</v>
      </c>
      <c r="Q34" s="41" t="s">
        <v>160</v>
      </c>
      <c r="R34" s="41" t="s">
        <v>93</v>
      </c>
      <c r="S34" s="41" t="s">
        <v>118</v>
      </c>
      <c r="T34" s="41" t="s">
        <v>119</v>
      </c>
      <c r="U34" s="41" t="s">
        <v>72</v>
      </c>
      <c r="V34" s="41" t="s">
        <v>72</v>
      </c>
      <c r="W34" s="41" t="s">
        <v>72</v>
      </c>
      <c r="X34" s="41" t="s">
        <v>158</v>
      </c>
      <c r="Y34" s="41" t="s">
        <v>81</v>
      </c>
      <c r="Z34" s="41" t="s">
        <v>72</v>
      </c>
      <c r="AA34" s="41" t="s">
        <v>161</v>
      </c>
      <c r="AB34" s="41" t="s">
        <v>72</v>
      </c>
      <c r="AC34" s="41" t="s">
        <v>72</v>
      </c>
      <c r="AD34" s="41" t="s">
        <v>72</v>
      </c>
      <c r="AE34" s="41" t="s">
        <v>75</v>
      </c>
      <c r="AF34" s="41" t="s">
        <v>76</v>
      </c>
      <c r="AG34" t="str">
        <f>VLOOKUP($Q34,武学奇术!$A:$ZZ,25,FALSE)</f>
        <v>单体奇术</v>
      </c>
      <c r="AH34" s="27">
        <f>VLOOKUP($Q34,武学奇术!$A:$ZZ,26,FALSE)</f>
        <v>0.236</v>
      </c>
      <c r="AI34" s="28">
        <f>VLOOKUP($Q34,武学奇术!$A:$ZZ,27,FALSE)*(1+IF(OR($AG34=$F$4,$AG34=$F$5),$B$22,0))</f>
        <v>44</v>
      </c>
      <c r="AJ34" s="27">
        <f>VLOOKUP($Q34,武学奇术!$A:$ZZ,28,FALSE)</f>
        <v>0.354</v>
      </c>
      <c r="AK34" s="28">
        <f>VLOOKUP($Q34,武学奇术!$A:$ZZ,29,FALSE)*(1+IF(OR($AG34=$F$4,$AG34=$F$5),$B$22,0))</f>
        <v>0</v>
      </c>
      <c r="AL34" s="27" cm="1">
        <f t="array" ref="AL34">$G$3+IFERROR(VLOOKUP($AG34,$F$4:$G$7,2,FALSE),0)+VLOOKUP($Q34,武学奇术!$A:$ZZ,2,FALSE)+SUM(_xlfn.XLOOKUP($R34:$AF34,增益!$A:$A,增益!$B:$B,0))</f>
        <v>0.6337</v>
      </c>
      <c r="AM34" s="27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3804.006</v>
      </c>
      <c r="AO34" cm="1">
        <f t="array" ref="AO34">$E$10*(1+$AM34)+VLOOKUP($Q34,武学奇术!$A:$ZZ,4,FALSE)+SUM(_xlfn.XLOOKUP($R34:$AF34,增益!$A:$A,增益!$D:$D,0))-$I$2</f>
        <v>3804.006</v>
      </c>
      <c r="AP34" s="33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0.442</v>
      </c>
      <c r="AQ34" s="33" cm="1">
        <f t="array" ref="AQ34">$G$10+VLOOKUP($Q34,武学奇术!$A:$ZZ,7,FALSE)+SUM(_xlfn.XLOOKUP(R34:AF34,增益!$A:$A,增益!$G:$G,0))</f>
        <v>0.09</v>
      </c>
      <c r="AR34" s="27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3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-0.14</v>
      </c>
      <c r="AV34" s="33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3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-0.14</v>
      </c>
      <c r="AZ34" s="33" cm="1">
        <f t="array" ref="AZ34">$G$12+VLOOKUP($Q34,武学奇术!$A:$ZZ,12,FALSE)+SUM(_xlfn.XLOOKUP(R34:AF34,增益!$A:$A,增益!$L:$L,0))</f>
        <v>0</v>
      </c>
      <c r="BA34">
        <f t="shared" si="5"/>
        <v>0</v>
      </c>
      <c r="BB34">
        <f t="shared" si="6"/>
        <v>0</v>
      </c>
      <c r="BC34" s="33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-0.14</v>
      </c>
      <c r="BD34" s="33" cm="1">
        <f t="array" ref="BD34">$G$13+VLOOKUP($Q34,武学奇术!$A:$ZZ,14,FALSE)+SUM(_xlfn.XLOOKUP(R34:AF34,增益!$A:$A,增益!$N:$N,0))</f>
        <v>0</v>
      </c>
      <c r="BE34">
        <f t="shared" si="7"/>
        <v>570.28</v>
      </c>
      <c r="BF34">
        <f t="shared" si="8"/>
        <v>1582.156</v>
      </c>
      <c r="BG34" s="33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0.08</v>
      </c>
      <c r="BH34" s="33" cm="1">
        <f t="array" ref="BH34">$G$14+VLOOKUP($Q34,武学奇术!$A:$ZZ,16,FALSE)+SUM(_xlfn.XLOOKUP(R34:AF34,增益!$A:$A,增益!$P:$P,0))</f>
        <v>0.24</v>
      </c>
      <c r="BI34" s="27">
        <f>MIN(IF(VLOOKUP($Q34,武学奇术!$A:$ZZ,23,FALSE)=1,100%,$B$8),100%)</f>
        <v>1</v>
      </c>
      <c r="BJ34" s="27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+MIN(IF(VLOOKUP($Q34,武学奇术!$A:$ZZ,32,FALSE)=1,IF(VLOOKUP($Q34,武学奇术!$A:$ZZ,24,FALSE)=1,100%,MIN(40%,$B$10+VLOOKUP($Q34,武学奇术!$A:$ZZ,19,FALSE)+SUM(_xlfn.XLOOKUP(R34:AF34,增益!$A:$A,增益!$S:$S,0)))+$B$12+SUM(_xlfn.XLOOKUP(R34:AF34,增益!$A:$A,增益!$V:$V,0))),0),12%)</f>
        <v>0.918</v>
      </c>
      <c r="BK34" s="27" cm="1">
        <f t="array" ref="BK34">1+$B$13+VLOOKUP($Q34,武学奇术!$A:$ZZ,18,FALSE)+SUM(_xlfn.XLOOKUP(R34:AF34,增益!$A:$A,增益!$R:$R,0))</f>
        <v>1.87</v>
      </c>
      <c r="BL34" s="27" cm="1">
        <f t="array" ref="BL34">MAX(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-IF(VLOOKUP($Q34,武学奇术!$A:$ZZ,32,FALSE)=1,12%,0),0)</f>
        <v>0.0895</v>
      </c>
      <c r="BM34" s="27" cm="1">
        <f t="array" ref="BM34">1+$B$14+VLOOKUP($Q34,武学奇术!$A:$ZZ,20,FALSE)+SUM(_xlfn.XLOOKUP(R34:AF34,增益!$A:$A,增益!$T:$T,0))</f>
        <v>1.35</v>
      </c>
      <c r="BN34" s="27">
        <f t="shared" si="9"/>
        <v>0.9105</v>
      </c>
      <c r="BO34" s="27">
        <f t="shared" si="10"/>
        <v>0</v>
      </c>
      <c r="BP34" s="27">
        <f>IF(VLOOKUP($Q34,武学奇术!$A:$ZZ,22,FALSE)=1,0,(1-$BI34))*(1-$BL34)</f>
        <v>0</v>
      </c>
      <c r="BQ34" s="27" cm="1">
        <f t="array" ref="BQ34">SUM(_xlfn.XLOOKUP(R34:AF34,增益!$A:$A,增益!$W:$W,0))+$I$5</f>
        <v>0.11</v>
      </c>
    </row>
    <row r="35" spans="1:69">
      <c r="A35" t="s">
        <v>153</v>
      </c>
      <c r="B35">
        <v>0.1</v>
      </c>
      <c r="K35" s="39">
        <f t="shared" ref="K35:K60" si="11">($L35*$BN35+$M35*$BL35+$N35*$BO35+$O35*$BP35)</f>
        <v>40002.6675751395</v>
      </c>
      <c r="L35" s="39">
        <f>((($AN35+($AO35-$AN35)*IF(VLOOKUP($Q35,武学奇术!$A:$ZZ,31,FALSE)=1,$F$18,0.5))*$AH35+$AI35)*(1+$AP35)*(1+$AQ35)+(($AS35+($AT35-$AS35)*IF(VLOOKUP($Q35,武学奇术!$A:$ZZ,31,FALSE)=1,$F$18,0.5))*IF($G$1="鸣金",$AJ35,$AH35)+IF($G$1="鸣金",$AK35*1.5,0))*(1+$AU35)*(1+$AV35)+(($AW35+($AX35-$AW35)*IF(VLOOKUP($Q35,武学奇术!$A:$ZZ,31,FALSE)=1,$F$18,0.5))*IF($G$1="裂石",$AJ35,$AH35)+IF($G$1="裂石",$AK35*1.5,0))*(1+$AY35)*(1+$AZ35)+(($BA35+($BB35-$BA35)*IF(VLOOKUP($Q35,武学奇术!$A:$ZZ,31,FALSE)=1,$F$18,0.5))*IF($G$1="牵丝",$AJ35,$AH35)+IF($G$1="牵丝",$AK35*1.5,0))*(1+$BC35)*(1+$BD35)+(($BE35+($BF35-$BE35)*IF(VLOOKUP($Q35,武学奇术!$A:$ZZ,31,FALSE)=1,$F$18,0.5))*IF($G$1="破竹",$AJ35,$AH35)+IF($G$1="破竹",$AK35*1.5,0))*(1+$BG35)*(1+$BH35))*(1+$AL35)*$BK35*$P35*(1+IF(VLOOKUP($Q35,武学奇术!$A:$ZZ,30,FALSE)="蓄力技",$B$21,0))*(1+$BQ35)</f>
        <v>40714.6357199379</v>
      </c>
      <c r="M35" s="39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32759.6843814082</v>
      </c>
      <c r="N35" s="39">
        <f>((($AN35+($AO35-$AN35)*IF(VLOOKUP($Q35,武学奇术!$A:$ZZ,31,FALSE)=1,$F$18,0.5))*$AH35+$AI35)*(1+$AP35)*(1+$AQ35)+(($AS35+($AT35-$AS35)*IF(VLOOKUP($Q35,武学奇术!$A:$ZZ,31,FALSE)=1,$F$18,0.5))*IF($G$1="鸣金",$AJ35,$AH35)+IF($G$1="鸣金",$AK35*1.5,0))*(1+$AU35)*(1+$AV35)+(($AW35+($AX35-$AW35)*IF(VLOOKUP($Q35,武学奇术!$A:$ZZ,31,FALSE)=1,$F$18,0.5))*IF($G$1="裂石",$AJ35,$AH35)+IF($G$1="裂石",$AK35*1.5,0))*(1+$AY35)*(1+$AZ35)+(($BA35+($BB35-$BA35)*IF(VLOOKUP($Q35,武学奇术!$A:$ZZ,31,FALSE)=1,$F$18,0.5))*IF($G$1="牵丝",$AJ35,$AH35)+IF($G$1="牵丝",$AK35*1.5,0))*(1+$BC35)*(1+$BD35)+(($BE35+($BF35-$BE35)*IF(VLOOKUP($Q35,武学奇术!$A:$ZZ,31,FALSE)=1,$F$18,0.5))*IF($G$1="破竹",$AJ35,$AH35)+IF($G$1="破竹",$AK35*1.5,0))*(1+$BG35)*(1+$BH35))*(1+$AL35)*$P35*(1+IF(VLOOKUP($Q35,武学奇术!$A:$ZZ,30,FALSE)="蓄力技",$B$21,0))*(1+$BQ35)</f>
        <v>21656.7211276266</v>
      </c>
      <c r="O35" s="39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19047.0093801359</v>
      </c>
      <c r="P35" s="40">
        <v>6</v>
      </c>
      <c r="Q35" s="41" t="s">
        <v>160</v>
      </c>
      <c r="R35" s="41" t="s">
        <v>93</v>
      </c>
      <c r="S35" s="41" t="s">
        <v>118</v>
      </c>
      <c r="T35" s="41" t="s">
        <v>119</v>
      </c>
      <c r="U35" s="41" t="s">
        <v>72</v>
      </c>
      <c r="V35" s="41" t="s">
        <v>72</v>
      </c>
      <c r="W35" s="41" t="s">
        <v>72</v>
      </c>
      <c r="X35" s="41" t="s">
        <v>163</v>
      </c>
      <c r="Y35" s="41" t="s">
        <v>81</v>
      </c>
      <c r="Z35" s="41" t="s">
        <v>72</v>
      </c>
      <c r="AA35" s="41" t="s">
        <v>161</v>
      </c>
      <c r="AB35" s="41" t="s">
        <v>72</v>
      </c>
      <c r="AC35" s="41" t="s">
        <v>72</v>
      </c>
      <c r="AD35" s="41" t="s">
        <v>72</v>
      </c>
      <c r="AE35" s="41" t="s">
        <v>75</v>
      </c>
      <c r="AF35" s="41" t="s">
        <v>76</v>
      </c>
      <c r="AG35" t="str">
        <f>VLOOKUP($Q35,武学奇术!$A:$ZZ,25,FALSE)</f>
        <v>单体奇术</v>
      </c>
      <c r="AH35" s="27">
        <f>VLOOKUP($Q35,武学奇术!$A:$ZZ,26,FALSE)</f>
        <v>0.236</v>
      </c>
      <c r="AI35" s="28">
        <f>VLOOKUP($Q35,武学奇术!$A:$ZZ,27,FALSE)*(1+IF(OR($AG35=$F$4,$AG35=$F$5),$B$22,0))</f>
        <v>44</v>
      </c>
      <c r="AJ35" s="27">
        <f>VLOOKUP($Q35,武学奇术!$A:$ZZ,28,FALSE)</f>
        <v>0.354</v>
      </c>
      <c r="AK35" s="28">
        <f>VLOOKUP($Q35,武学奇术!$A:$ZZ,29,FALSE)*(1+IF(OR($AG35=$F$4,$AG35=$F$5),$B$22,0))</f>
        <v>0</v>
      </c>
      <c r="AL35" s="27" cm="1">
        <f t="array" ref="AL35">$G$3+IFERROR(VLOOKUP($AG35,$F$4:$G$7,2,FALSE),0)+VLOOKUP($Q35,武学奇术!$A:$ZZ,2,FALSE)+SUM(_xlfn.XLOOKUP($R35:$AF35,增益!$A:$A,增益!$B:$B,0))</f>
        <v>0.6337</v>
      </c>
      <c r="AM35" s="27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3804.006</v>
      </c>
      <c r="AO35" cm="1">
        <f t="array" ref="AO35">$E$10*(1+$AM35)+VLOOKUP($Q35,武学奇术!$A:$ZZ,4,FALSE)+SUM(_xlfn.XLOOKUP($R35:$AF35,增益!$A:$A,增益!$D:$D,0))-$I$2</f>
        <v>3804.006</v>
      </c>
      <c r="AP35" s="33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0.442</v>
      </c>
      <c r="AQ35" s="33" cm="1">
        <f t="array" ref="AQ35">$G$10+VLOOKUP($Q35,武学奇术!$A:$ZZ,7,FALSE)+SUM(_xlfn.XLOOKUP(R35:AF35,增益!$A:$A,增益!$G:$G,0))</f>
        <v>0.09</v>
      </c>
      <c r="AR35" s="27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3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-0.14</v>
      </c>
      <c r="AV35" s="33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3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-0.14</v>
      </c>
      <c r="AZ35" s="33" cm="1">
        <f t="array" ref="AZ35">$G$12+VLOOKUP($Q35,武学奇术!$A:$ZZ,12,FALSE)+SUM(_xlfn.XLOOKUP(R35:AF35,增益!$A:$A,增益!$L:$L,0))</f>
        <v>0</v>
      </c>
      <c r="BA35">
        <f t="shared" ref="BA35:BA60" si="12">$D$13*(1+$AR35)</f>
        <v>0</v>
      </c>
      <c r="BB35">
        <f t="shared" ref="BB35:BB60" si="13">$E$13*(1+$AR35)</f>
        <v>0</v>
      </c>
      <c r="BC35" s="33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-0.14</v>
      </c>
      <c r="BD35" s="33" cm="1">
        <f t="array" ref="BD35">$G$13+VLOOKUP($Q35,武学奇术!$A:$ZZ,14,FALSE)+SUM(_xlfn.XLOOKUP(R35:AF35,增益!$A:$A,增益!$N:$N,0))</f>
        <v>0</v>
      </c>
      <c r="BE35">
        <f t="shared" ref="BE35:BE60" si="14">$D$14*(1+$AR35)</f>
        <v>570.28</v>
      </c>
      <c r="BF35">
        <f t="shared" ref="BF35:BF60" si="15">$E$14*(1+$AR35)</f>
        <v>1582.156</v>
      </c>
      <c r="BG35" s="33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0.08</v>
      </c>
      <c r="BH35" s="33" cm="1">
        <f t="array" ref="BH35">$G$14+VLOOKUP($Q35,武学奇术!$A:$ZZ,16,FALSE)+SUM(_xlfn.XLOOKUP(R35:AF35,增益!$A:$A,增益!$P:$P,0))</f>
        <v>0.24</v>
      </c>
      <c r="BI35" s="27">
        <f>MIN(IF(VLOOKUP($Q35,武学奇术!$A:$ZZ,23,FALSE)=1,100%,$B$8),100%)</f>
        <v>1</v>
      </c>
      <c r="BJ35" s="27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+MIN(IF(VLOOKUP($Q35,武学奇术!$A:$ZZ,32,FALSE)=1,IF(VLOOKUP($Q35,武学奇术!$A:$ZZ,24,FALSE)=1,100%,MIN(40%,$B$10+VLOOKUP($Q35,武学奇术!$A:$ZZ,19,FALSE)+SUM(_xlfn.XLOOKUP(R35:AF35,增益!$A:$A,增益!$S:$S,0)))+$B$12+SUM(_xlfn.XLOOKUP(R35:AF35,增益!$A:$A,增益!$V:$V,0))),0),12%)</f>
        <v>0.918</v>
      </c>
      <c r="BK35" s="27" cm="1">
        <f t="array" ref="BK35">1+$B$13+VLOOKUP($Q35,武学奇术!$A:$ZZ,18,FALSE)+SUM(_xlfn.XLOOKUP(R35:AF35,增益!$A:$A,增益!$R:$R,0))</f>
        <v>1.88</v>
      </c>
      <c r="BL35" s="27" cm="1">
        <f t="array" ref="BL35">MAX(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-IF(VLOOKUP($Q35,武学奇术!$A:$ZZ,32,FALSE)=1,12%,0),0)</f>
        <v>0.0895</v>
      </c>
      <c r="BM35" s="27" cm="1">
        <f t="array" ref="BM35">1+$B$14+VLOOKUP($Q35,武学奇术!$A:$ZZ,20,FALSE)+SUM(_xlfn.XLOOKUP(R35:AF35,增益!$A:$A,增益!$T:$T,0))</f>
        <v>1.35</v>
      </c>
      <c r="BN35" s="27">
        <f t="shared" ref="BN35:BN66" si="16">MIN((1-BL35)*BI35,BI35*BJ35)</f>
        <v>0.9105</v>
      </c>
      <c r="BO35" s="27">
        <f t="shared" ref="BO35:BO66" si="17">1-BL35-BN35-BP35</f>
        <v>0</v>
      </c>
      <c r="BP35" s="27">
        <f>IF(VLOOKUP($Q35,武学奇术!$A:$ZZ,22,FALSE)=1,0,(1-$BI35))*(1-$BL35)</f>
        <v>0</v>
      </c>
      <c r="BQ35" s="27" cm="1">
        <f t="array" ref="BQ35">SUM(_xlfn.XLOOKUP(R35:AF35,增益!$A:$A,增益!$W:$W,0))+$I$5</f>
        <v>0.11</v>
      </c>
    </row>
    <row r="36" spans="1:69">
      <c r="A36" t="s">
        <v>164</v>
      </c>
      <c r="B36">
        <v>1.23</v>
      </c>
      <c r="K36" s="39">
        <f t="shared" si="11"/>
        <v>6699.97533683443</v>
      </c>
      <c r="L36" s="39">
        <f>((($AN36+($AO36-$AN36)*IF(VLOOKUP($Q36,武学奇术!$A:$ZZ,31,FALSE)=1,$F$18,0.5))*$AH36+$AI36)*(1+$AP36)*(1+$AQ36)+(($AS36+($AT36-$AS36)*IF(VLOOKUP($Q36,武学奇术!$A:$ZZ,31,FALSE)=1,$F$18,0.5))*IF($G$1="鸣金",$AJ36,$AH36)+IF($G$1="鸣金",$AK36*1.5,0))*(1+$AU36)*(1+$AV36)+(($AW36+($AX36-$AW36)*IF(VLOOKUP($Q36,武学奇术!$A:$ZZ,31,FALSE)=1,$F$18,0.5))*IF($G$1="裂石",$AJ36,$AH36)+IF($G$1="裂石",$AK36*1.5,0))*(1+$AY36)*(1+$AZ36)+(($BA36+($BB36-$BA36)*IF(VLOOKUP($Q36,武学奇术!$A:$ZZ,31,FALSE)=1,$F$18,0.5))*IF($G$1="牵丝",$AJ36,$AH36)+IF($G$1="牵丝",$AK36*1.5,0))*(1+$BC36)*(1+$BD36)+(($BE36+($BF36-$BE36)*IF(VLOOKUP($Q36,武学奇术!$A:$ZZ,31,FALSE)=1,$F$18,0.5))*IF($G$1="破竹",$AJ36,$AH36)+IF($G$1="破竹",$AK36*1.5,0))*(1+$BG36)*(1+$BH36))*(1+$AL36)*$BK36*$P36*(1+IF(VLOOKUP($Q36,武学奇术!$A:$ZZ,30,FALSE)="蓄力技",$B$21,0))*(1+$BQ36)</f>
        <v>6821.86715520236</v>
      </c>
      <c r="M36" s="39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5459.94739690137</v>
      </c>
      <c r="N36" s="39">
        <f>((($AN36+($AO36-$AN36)*IF(VLOOKUP($Q36,武学奇术!$A:$ZZ,31,FALSE)=1,$F$18,0.5))*$AH36+$AI36)*(1+$AP36)*(1+$AQ36)+(($AS36+($AT36-$AS36)*IF(VLOOKUP($Q36,武学奇术!$A:$ZZ,31,FALSE)=1,$F$18,0.5))*IF($G$1="鸣金",$AJ36,$AH36)+IF($G$1="鸣金",$AK36*1.5,0))*(1+$AU36)*(1+$AV36)+(($AW36+($AX36-$AW36)*IF(VLOOKUP($Q36,武学奇术!$A:$ZZ,31,FALSE)=1,$F$18,0.5))*IF($G$1="裂石",$AJ36,$AH36)+IF($G$1="裂石",$AK36*1.5,0))*(1+$AY36)*(1+$AZ36)+(($BA36+($BB36-$BA36)*IF(VLOOKUP($Q36,武学奇术!$A:$ZZ,31,FALSE)=1,$F$18,0.5))*IF($G$1="牵丝",$AJ36,$AH36)+IF($G$1="牵丝",$AK36*1.5,0))*(1+$BC36)*(1+$BD36)+(($BE36+($BF36-$BE36)*IF(VLOOKUP($Q36,武学奇术!$A:$ZZ,31,FALSE)=1,$F$18,0.5))*IF($G$1="破竹",$AJ36,$AH36)+IF($G$1="破竹",$AK36*1.5,0))*(1+$BG36)*(1+$BH36))*(1+$AL36)*$P36*(1+IF(VLOOKUP($Q36,武学奇术!$A:$ZZ,30,FALSE)="蓄力技",$B$21,0))*(1+$BQ36)</f>
        <v>3609.45352127109</v>
      </c>
      <c r="O36" s="39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3174.50156335598</v>
      </c>
      <c r="P36" s="40">
        <v>1</v>
      </c>
      <c r="Q36" s="41" t="s">
        <v>160</v>
      </c>
      <c r="R36" s="41" t="s">
        <v>93</v>
      </c>
      <c r="S36" s="41" t="s">
        <v>118</v>
      </c>
      <c r="T36" s="41" t="s">
        <v>119</v>
      </c>
      <c r="U36" s="41" t="s">
        <v>72</v>
      </c>
      <c r="V36" s="41" t="s">
        <v>72</v>
      </c>
      <c r="W36" s="41" t="s">
        <v>72</v>
      </c>
      <c r="X36" s="41" t="s">
        <v>165</v>
      </c>
      <c r="Y36" s="41" t="s">
        <v>81</v>
      </c>
      <c r="Z36" s="41" t="s">
        <v>72</v>
      </c>
      <c r="AA36" s="41" t="s">
        <v>161</v>
      </c>
      <c r="AB36" s="41" t="s">
        <v>72</v>
      </c>
      <c r="AC36" s="41" t="s">
        <v>72</v>
      </c>
      <c r="AD36" s="41" t="s">
        <v>72</v>
      </c>
      <c r="AE36" s="41" t="s">
        <v>75</v>
      </c>
      <c r="AF36" s="41" t="s">
        <v>76</v>
      </c>
      <c r="AG36" t="str">
        <f>VLOOKUP($Q36,武学奇术!$A:$ZZ,25,FALSE)</f>
        <v>单体奇术</v>
      </c>
      <c r="AH36" s="27">
        <f>VLOOKUP($Q36,武学奇术!$A:$ZZ,26,FALSE)</f>
        <v>0.236</v>
      </c>
      <c r="AI36" s="28">
        <f>VLOOKUP($Q36,武学奇术!$A:$ZZ,27,FALSE)*(1+IF(OR($AG36=$F$4,$AG36=$F$5),$B$22,0))</f>
        <v>44</v>
      </c>
      <c r="AJ36" s="27">
        <f>VLOOKUP($Q36,武学奇术!$A:$ZZ,28,FALSE)</f>
        <v>0.354</v>
      </c>
      <c r="AK36" s="28">
        <f>VLOOKUP($Q36,武学奇术!$A:$ZZ,29,FALSE)*(1+IF(OR($AG36=$F$4,$AG36=$F$5),$B$22,0))</f>
        <v>0</v>
      </c>
      <c r="AL36" s="27" cm="1">
        <f t="array" ref="AL36">$G$3+IFERROR(VLOOKUP($AG36,$F$4:$G$7,2,FALSE),0)+VLOOKUP($Q36,武学奇术!$A:$ZZ,2,FALSE)+SUM(_xlfn.XLOOKUP($R36:$AF36,增益!$A:$A,增益!$B:$B,0))</f>
        <v>0.6337</v>
      </c>
      <c r="AM36" s="27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3804.006</v>
      </c>
      <c r="AO36" cm="1">
        <f t="array" ref="AO36">$E$10*(1+$AM36)+VLOOKUP($Q36,武学奇术!$A:$ZZ,4,FALSE)+SUM(_xlfn.XLOOKUP($R36:$AF36,增益!$A:$A,增益!$D:$D,0))-$I$2</f>
        <v>3804.006</v>
      </c>
      <c r="AP36" s="33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0.442</v>
      </c>
      <c r="AQ36" s="33" cm="1">
        <f t="array" ref="AQ36">$G$10+VLOOKUP($Q36,武学奇术!$A:$ZZ,7,FALSE)+SUM(_xlfn.XLOOKUP(R36:AF36,增益!$A:$A,增益!$G:$G,0))</f>
        <v>0.09</v>
      </c>
      <c r="AR36" s="27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3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-0.14</v>
      </c>
      <c r="AV36" s="33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3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-0.14</v>
      </c>
      <c r="AZ36" s="33" cm="1">
        <f t="array" ref="AZ36">$G$12+VLOOKUP($Q36,武学奇术!$A:$ZZ,12,FALSE)+SUM(_xlfn.XLOOKUP(R36:AF36,增益!$A:$A,增益!$L:$L,0))</f>
        <v>0</v>
      </c>
      <c r="BA36">
        <f t="shared" si="12"/>
        <v>0</v>
      </c>
      <c r="BB36">
        <f t="shared" si="13"/>
        <v>0</v>
      </c>
      <c r="BC36" s="33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-0.14</v>
      </c>
      <c r="BD36" s="33" cm="1">
        <f t="array" ref="BD36">$G$13+VLOOKUP($Q36,武学奇术!$A:$ZZ,14,FALSE)+SUM(_xlfn.XLOOKUP(R36:AF36,增益!$A:$A,增益!$N:$N,0))</f>
        <v>0</v>
      </c>
      <c r="BE36">
        <f t="shared" si="14"/>
        <v>570.28</v>
      </c>
      <c r="BF36">
        <f t="shared" si="15"/>
        <v>1582.156</v>
      </c>
      <c r="BG36" s="33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0.08</v>
      </c>
      <c r="BH36" s="33" cm="1">
        <f t="array" ref="BH36">$G$14+VLOOKUP($Q36,武学奇术!$A:$ZZ,16,FALSE)+SUM(_xlfn.XLOOKUP(R36:AF36,增益!$A:$A,增益!$P:$P,0))</f>
        <v>0.24</v>
      </c>
      <c r="BI36" s="27">
        <f>MIN(IF(VLOOKUP($Q36,武学奇术!$A:$ZZ,23,FALSE)=1,100%,$B$8),100%)</f>
        <v>1</v>
      </c>
      <c r="BJ36" s="27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+MIN(IF(VLOOKUP($Q36,武学奇术!$A:$ZZ,32,FALSE)=1,IF(VLOOKUP($Q36,武学奇术!$A:$ZZ,24,FALSE)=1,100%,MIN(40%,$B$10+VLOOKUP($Q36,武学奇术!$A:$ZZ,19,FALSE)+SUM(_xlfn.XLOOKUP(R36:AF36,增益!$A:$A,增益!$S:$S,0)))+$B$12+SUM(_xlfn.XLOOKUP(R36:AF36,增益!$A:$A,增益!$V:$V,0))),0),12%)</f>
        <v>0.918</v>
      </c>
      <c r="BK36" s="27" cm="1">
        <f t="array" ref="BK36">1+$B$13+VLOOKUP($Q36,武学奇术!$A:$ZZ,18,FALSE)+SUM(_xlfn.XLOOKUP(R36:AF36,增益!$A:$A,增益!$R:$R,0))</f>
        <v>1.89</v>
      </c>
      <c r="BL36" s="27" cm="1">
        <f t="array" ref="BL36">MAX(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-IF(VLOOKUP($Q36,武学奇术!$A:$ZZ,32,FALSE)=1,12%,0),0)</f>
        <v>0.0895</v>
      </c>
      <c r="BM36" s="27" cm="1">
        <f t="array" ref="BM36">1+$B$14+VLOOKUP($Q36,武学奇术!$A:$ZZ,20,FALSE)+SUM(_xlfn.XLOOKUP(R36:AF36,增益!$A:$A,增益!$T:$T,0))</f>
        <v>1.35</v>
      </c>
      <c r="BN36" s="27">
        <f t="shared" si="16"/>
        <v>0.9105</v>
      </c>
      <c r="BO36" s="27">
        <f t="shared" si="17"/>
        <v>0</v>
      </c>
      <c r="BP36" s="27">
        <f>IF(VLOOKUP($Q36,武学奇术!$A:$ZZ,22,FALSE)=1,0,(1-$BI36))*(1-$BL36)</f>
        <v>0</v>
      </c>
      <c r="BQ36" s="27" cm="1">
        <f t="array" ref="BQ36">SUM(_xlfn.XLOOKUP(R36:AF36,增益!$A:$A,增益!$W:$W,0))+$I$5</f>
        <v>0.11</v>
      </c>
    </row>
    <row r="37" spans="1:69">
      <c r="A37" s="4" t="s">
        <v>166</v>
      </c>
      <c r="B37" s="91">
        <v>1.16</v>
      </c>
      <c r="D37" s="40" t="s">
        <v>156</v>
      </c>
      <c r="F37" s="40" t="s">
        <v>167</v>
      </c>
      <c r="K37" s="39">
        <f t="shared" si="11"/>
        <v>33016.8724578533</v>
      </c>
      <c r="L37" s="39">
        <f>((($AN37+($AO37-$AN37)*IF(VLOOKUP($Q37,武学奇术!$A:$ZZ,31,FALSE)=1,$F$18,0.5))*$AH37+$AI37)*(1+$AP37)*(1+$AQ37)+(($AS37+($AT37-$AS37)*IF(VLOOKUP($Q37,武学奇术!$A:$ZZ,31,FALSE)=1,$F$18,0.5))*IF($G$1="鸣金",$AJ37,$AH37)+IF($G$1="鸣金",$AK37*1.5,0))*(1+$AU37)*(1+$AV37)+(($AW37+($AX37-$AW37)*IF(VLOOKUP($Q37,武学奇术!$A:$ZZ,31,FALSE)=1,$F$18,0.5))*IF($G$1="裂石",$AJ37,$AH37)+IF($G$1="裂石",$AK37*1.5,0))*(1+$AY37)*(1+$AZ37)+(($BA37+($BB37-$BA37)*IF(VLOOKUP($Q37,武学奇术!$A:$ZZ,31,FALSE)=1,$F$18,0.5))*IF($G$1="牵丝",$AJ37,$AH37)+IF($G$1="牵丝",$AK37*1.5,0))*(1+$BC37)*(1+$BD37)+(($BE37+($BF37-$BE37)*IF(VLOOKUP($Q37,武学奇术!$A:$ZZ,31,FALSE)=1,$F$18,0.5))*IF($G$1="破竹",$AJ37,$AH37)+IF($G$1="破竹",$AK37*1.5,0))*(1+$BG37)*(1+$BH37))*(1+$AL37)*$BK37*$P37*(1+IF(VLOOKUP($Q37,武学奇术!$A:$ZZ,30,FALSE)="蓄力技",$B$21,0))*(1+$BQ37)</f>
        <v>33227.4184542431</v>
      </c>
      <c r="M37" s="39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30874.9492208369</v>
      </c>
      <c r="N37" s="39">
        <f>((($AN37+($AO37-$AN37)*IF(VLOOKUP($Q37,武学奇术!$A:$ZZ,31,FALSE)=1,$F$18,0.5))*$AH37+$AI37)*(1+$AP37)*(1+$AQ37)+(($AS37+($AT37-$AS37)*IF(VLOOKUP($Q37,武学奇术!$A:$ZZ,31,FALSE)=1,$F$18,0.5))*IF($G$1="鸣金",$AJ37,$AH37)+IF($G$1="鸣金",$AK37*1.5,0))*(1+$AU37)*(1+$AV37)+(($AW37+($AX37-$AW37)*IF(VLOOKUP($Q37,武学奇术!$A:$ZZ,31,FALSE)=1,$F$18,0.5))*IF($G$1="裂石",$AJ37,$AH37)+IF($G$1="裂石",$AK37*1.5,0))*(1+$AY37)*(1+$AZ37)+(($BA37+($BB37-$BA37)*IF(VLOOKUP($Q37,武学奇术!$A:$ZZ,31,FALSE)=1,$F$18,0.5))*IF($G$1="牵丝",$AJ37,$AH37)+IF($G$1="牵丝",$AK37*1.5,0))*(1+$BC37)*(1+$BD37)+(($BE37+($BF37-$BE37)*IF(VLOOKUP($Q37,武学奇术!$A:$ZZ,31,FALSE)=1,$F$18,0.5))*IF($G$1="破竹",$AJ37,$AH37)+IF($G$1="破竹",$AK37*1.5,0))*(1+$BG37)*(1+$BH37))*(1+$AL37)*$P37*(1+IF(VLOOKUP($Q37,武学奇术!$A:$ZZ,30,FALSE)="蓄力技",$B$21,0))*(1+$BQ37)</f>
        <v>20260.6210086848</v>
      </c>
      <c r="O37" s="39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17650.9092611942</v>
      </c>
      <c r="P37" s="40">
        <v>6</v>
      </c>
      <c r="Q37" s="41" t="s">
        <v>160</v>
      </c>
      <c r="R37" s="41" t="s">
        <v>93</v>
      </c>
      <c r="S37" s="41" t="s">
        <v>72</v>
      </c>
      <c r="T37" s="41" t="s">
        <v>119</v>
      </c>
      <c r="U37" s="41" t="s">
        <v>72</v>
      </c>
      <c r="V37" s="41" t="s">
        <v>72</v>
      </c>
      <c r="W37" s="41" t="s">
        <v>72</v>
      </c>
      <c r="X37" s="41" t="s">
        <v>165</v>
      </c>
      <c r="Y37" s="41" t="s">
        <v>81</v>
      </c>
      <c r="Z37" s="41" t="s">
        <v>72</v>
      </c>
      <c r="AA37" s="41" t="s">
        <v>161</v>
      </c>
      <c r="AB37" s="41" t="s">
        <v>72</v>
      </c>
      <c r="AC37" s="41" t="s">
        <v>72</v>
      </c>
      <c r="AD37" s="41" t="s">
        <v>72</v>
      </c>
      <c r="AE37" s="41" t="s">
        <v>75</v>
      </c>
      <c r="AF37" s="41" t="s">
        <v>76</v>
      </c>
      <c r="AG37" t="str">
        <f>VLOOKUP($Q37,武学奇术!$A:$ZZ,25,FALSE)</f>
        <v>单体奇术</v>
      </c>
      <c r="AH37" s="27">
        <f>VLOOKUP($Q37,武学奇术!$A:$ZZ,26,FALSE)</f>
        <v>0.236</v>
      </c>
      <c r="AI37" s="28">
        <f>VLOOKUP($Q37,武学奇术!$A:$ZZ,27,FALSE)*(1+IF(OR($AG37=$F$4,$AG37=$F$5),$B$22,0))</f>
        <v>44</v>
      </c>
      <c r="AJ37" s="27">
        <f>VLOOKUP($Q37,武学奇术!$A:$ZZ,28,FALSE)</f>
        <v>0.354</v>
      </c>
      <c r="AK37" s="28">
        <f>VLOOKUP($Q37,武学奇术!$A:$ZZ,29,FALSE)*(1+IF(OR($AG37=$F$4,$AG37=$F$5),$B$22,0))</f>
        <v>0</v>
      </c>
      <c r="AL37" s="27" cm="1">
        <f t="array" ref="AL37">$G$3+IFERROR(VLOOKUP($AG37,$F$4:$G$7,2,FALSE),0)+VLOOKUP($Q37,武学奇术!$A:$ZZ,2,FALSE)+SUM(_xlfn.XLOOKUP($R37:$AF37,增益!$A:$A,增益!$B:$B,0))</f>
        <v>0.6337</v>
      </c>
      <c r="AM37" s="27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3804.006</v>
      </c>
      <c r="AO37" cm="1">
        <f t="array" ref="AO37">$E$10*(1+$AM37)+VLOOKUP($Q37,武学奇术!$A:$ZZ,4,FALSE)+SUM(_xlfn.XLOOKUP($R37:$AF37,增益!$A:$A,增益!$D:$D,0))-$I$2</f>
        <v>3804.006</v>
      </c>
      <c r="AP37" s="33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0.317</v>
      </c>
      <c r="AQ37" s="33" cm="1">
        <f t="array" ref="AQ37">$G$10+VLOOKUP($Q37,武学奇术!$A:$ZZ,7,FALSE)+SUM(_xlfn.XLOOKUP(R37:AF37,增益!$A:$A,增益!$G:$G,0))</f>
        <v>0.09</v>
      </c>
      <c r="AR37" s="27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3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-0.14</v>
      </c>
      <c r="AV37" s="33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3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-0.14</v>
      </c>
      <c r="AZ37" s="33" cm="1">
        <f t="array" ref="AZ37">$G$12+VLOOKUP($Q37,武学奇术!$A:$ZZ,12,FALSE)+SUM(_xlfn.XLOOKUP(R37:AF37,增益!$A:$A,增益!$L:$L,0))</f>
        <v>0</v>
      </c>
      <c r="BA37">
        <f t="shared" si="12"/>
        <v>0</v>
      </c>
      <c r="BB37">
        <f t="shared" si="13"/>
        <v>0</v>
      </c>
      <c r="BC37" s="33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-0.14</v>
      </c>
      <c r="BD37" s="33" cm="1">
        <f t="array" ref="BD37">$G$13+VLOOKUP($Q37,武学奇术!$A:$ZZ,14,FALSE)+SUM(_xlfn.XLOOKUP(R37:AF37,增益!$A:$A,增益!$N:$N,0))</f>
        <v>0</v>
      </c>
      <c r="BE37">
        <f t="shared" si="14"/>
        <v>570.28</v>
      </c>
      <c r="BF37">
        <f t="shared" si="15"/>
        <v>1582.156</v>
      </c>
      <c r="BG37" s="33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0.08</v>
      </c>
      <c r="BH37" s="33" cm="1">
        <f t="array" ref="BH37">$G$14+VLOOKUP($Q37,武学奇术!$A:$ZZ,16,FALSE)+SUM(_xlfn.XLOOKUP(R37:AF37,增益!$A:$A,增益!$P:$P,0))</f>
        <v>0.24</v>
      </c>
      <c r="BI37" s="27">
        <f>MIN(IF(VLOOKUP($Q37,武学奇术!$A:$ZZ,23,FALSE)=1,100%,$B$8),100%)</f>
        <v>1</v>
      </c>
      <c r="BJ37" s="27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+MIN(IF(VLOOKUP($Q37,武学奇术!$A:$ZZ,32,FALSE)=1,IF(VLOOKUP($Q37,武学奇术!$A:$ZZ,24,FALSE)=1,100%,MIN(40%,$B$10+VLOOKUP($Q37,武学奇术!$A:$ZZ,19,FALSE)+SUM(_xlfn.XLOOKUP(R37:AF37,增益!$A:$A,增益!$S:$S,0)))+$B$12+SUM(_xlfn.XLOOKUP(R37:AF37,增益!$A:$A,增益!$V:$V,0))),0),12%)</f>
        <v>0.918</v>
      </c>
      <c r="BK37" s="27" cm="1">
        <f t="array" ref="BK37">1+$B$13+VLOOKUP($Q37,武学奇术!$A:$ZZ,18,FALSE)+SUM(_xlfn.XLOOKUP(R37:AF37,增益!$A:$A,增益!$R:$R,0))</f>
        <v>1.64</v>
      </c>
      <c r="BL37" s="27" cm="1">
        <f t="array" ref="BL37">MAX(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-IF(VLOOKUP($Q37,武学奇术!$A:$ZZ,32,FALSE)=1,12%,0),0)</f>
        <v>0.0895</v>
      </c>
      <c r="BM37" s="27" cm="1">
        <f t="array" ref="BM37">1+$B$14+VLOOKUP($Q37,武学奇术!$A:$ZZ,20,FALSE)+SUM(_xlfn.XLOOKUP(R37:AF37,增益!$A:$A,增益!$T:$T,0))</f>
        <v>1.35</v>
      </c>
      <c r="BN37" s="27">
        <f t="shared" si="16"/>
        <v>0.9105</v>
      </c>
      <c r="BO37" s="27">
        <f t="shared" si="17"/>
        <v>0</v>
      </c>
      <c r="BP37" s="27">
        <f>IF(VLOOKUP($Q37,武学奇术!$A:$ZZ,22,FALSE)=1,0,(1-$BI37))*(1-$BL37)</f>
        <v>0</v>
      </c>
      <c r="BQ37" s="27" cm="1">
        <f t="array" ref="BQ37">SUM(_xlfn.XLOOKUP(R37:AF37,增益!$A:$A,增益!$W:$W,0))+$I$5</f>
        <v>0.11</v>
      </c>
    </row>
    <row r="38" spans="1:69">
      <c r="A38" s="4" t="s">
        <v>168</v>
      </c>
      <c r="B38" s="4">
        <v>1</v>
      </c>
      <c r="D38" s="40"/>
      <c r="F38" s="40"/>
      <c r="K38" s="39">
        <f t="shared" si="11"/>
        <v>9995.13041270672</v>
      </c>
      <c r="L38" s="39">
        <f>((($AN38+($AO38-$AN38)*IF(VLOOKUP($Q38,武学奇术!$A:$ZZ,31,FALSE)=1,$F$18,0.5))*$AH38+$AI38)*(1+$AP38)*(1+$AQ38)+(($AS38+($AT38-$AS38)*IF(VLOOKUP($Q38,武学奇术!$A:$ZZ,31,FALSE)=1,$F$18,0.5))*IF($G$1="鸣金",$AJ38,$AH38)+IF($G$1="鸣金",$AK38*1.5,0))*(1+$AU38)*(1+$AV38)+(($AW38+($AX38-$AW38)*IF(VLOOKUP($Q38,武学奇术!$A:$ZZ,31,FALSE)=1,$F$18,0.5))*IF($G$1="裂石",$AJ38,$AH38)+IF($G$1="裂石",$AK38*1.5,0))*(1+$AY38)*(1+$AZ38)+(($BA38+($BB38-$BA38)*IF(VLOOKUP($Q38,武学奇术!$A:$ZZ,31,FALSE)=1,$F$18,0.5))*IF($G$1="牵丝",$AJ38,$AH38)+IF($G$1="牵丝",$AK38*1.5,0))*(1+$BC38)*(1+$BD38)+(($BE38+($BF38-$BE38)*IF(VLOOKUP($Q38,武学奇术!$A:$ZZ,31,FALSE)=1,$F$18,0.5))*IF($G$1="破竹",$AJ38,$AH38)+IF($G$1="破竹",$AK38*1.5,0))*(1+$BG38)*(1+$BH38))*(1+$AL38)*$BK38*$P38*(1+IF(VLOOKUP($Q38,武学奇术!$A:$ZZ,30,FALSE)="蓄力技",$B$21,0))*(1+$BQ38)</f>
        <v>10058.8685724757</v>
      </c>
      <c r="M38" s="39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9346.71036276668</v>
      </c>
      <c r="N38" s="39">
        <f>((($AN38+($AO38-$AN38)*IF(VLOOKUP($Q38,武学奇术!$A:$ZZ,31,FALSE)=1,$F$18,0.5))*$AH38+$AI38)*(1+$AP38)*(1+$AQ38)+(($AS38+($AT38-$AS38)*IF(VLOOKUP($Q38,武学奇术!$A:$ZZ,31,FALSE)=1,$F$18,0.5))*IF($G$1="鸣金",$AJ38,$AH38)+IF($G$1="鸣金",$AK38*1.5,0))*(1+$AU38)*(1+$AV38)+(($AW38+($AX38-$AW38)*IF(VLOOKUP($Q38,武学奇术!$A:$ZZ,31,FALSE)=1,$F$18,0.5))*IF($G$1="裂石",$AJ38,$AH38)+IF($G$1="裂石",$AK38*1.5,0))*(1+$AY38)*(1+$AZ38)+(($BA38+($BB38-$BA38)*IF(VLOOKUP($Q38,武学奇术!$A:$ZZ,31,FALSE)=1,$F$18,0.5))*IF($G$1="牵丝",$AJ38,$AH38)+IF($G$1="牵丝",$AK38*1.5,0))*(1+$BC38)*(1+$BD38)+(($BE38+($BF38-$BE38)*IF(VLOOKUP($Q38,武学奇术!$A:$ZZ,31,FALSE)=1,$F$18,0.5))*IF($G$1="破竹",$AJ38,$AH38)+IF($G$1="破竹",$AK38*1.5,0))*(1+$BG38)*(1+$BH38))*(1+$AL38)*$P38*(1+IF(VLOOKUP($Q38,武学奇术!$A:$ZZ,30,FALSE)="蓄力技",$B$21,0))*(1+$BQ38)</f>
        <v>6133.45644663151</v>
      </c>
      <c r="O38" s="39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5343.42373565807</v>
      </c>
      <c r="P38" s="40">
        <v>2</v>
      </c>
      <c r="Q38" s="41" t="s">
        <v>160</v>
      </c>
      <c r="R38" s="41" t="s">
        <v>93</v>
      </c>
      <c r="S38" s="41" t="s">
        <v>72</v>
      </c>
      <c r="T38" s="41" t="s">
        <v>72</v>
      </c>
      <c r="U38" s="41" t="s">
        <v>72</v>
      </c>
      <c r="V38" s="41" t="s">
        <v>72</v>
      </c>
      <c r="W38" s="41" t="s">
        <v>72</v>
      </c>
      <c r="X38" s="41" t="s">
        <v>165</v>
      </c>
      <c r="Y38" s="41" t="s">
        <v>81</v>
      </c>
      <c r="Z38" s="41" t="s">
        <v>72</v>
      </c>
      <c r="AA38" s="41" t="s">
        <v>161</v>
      </c>
      <c r="AB38" s="41" t="s">
        <v>72</v>
      </c>
      <c r="AC38" s="41" t="s">
        <v>72</v>
      </c>
      <c r="AD38" s="41" t="s">
        <v>72</v>
      </c>
      <c r="AE38" s="41" t="s">
        <v>75</v>
      </c>
      <c r="AF38" s="41" t="s">
        <v>76</v>
      </c>
      <c r="AG38" t="str">
        <f>VLOOKUP($Q38,武学奇术!$A:$ZZ,25,FALSE)</f>
        <v>单体奇术</v>
      </c>
      <c r="AH38" s="27">
        <f>VLOOKUP($Q38,武学奇术!$A:$ZZ,26,FALSE)</f>
        <v>0.236</v>
      </c>
      <c r="AI38" s="28">
        <f>VLOOKUP($Q38,武学奇术!$A:$ZZ,27,FALSE)*(1+IF(OR($AG38=$F$4,$AG38=$F$5),$B$22,0))</f>
        <v>44</v>
      </c>
      <c r="AJ38" s="27">
        <f>VLOOKUP($Q38,武学奇术!$A:$ZZ,28,FALSE)</f>
        <v>0.354</v>
      </c>
      <c r="AK38" s="28">
        <f>VLOOKUP($Q38,武学奇术!$A:$ZZ,29,FALSE)*(1+IF(OR($AG38=$F$4,$AG38=$F$5),$B$22,0))</f>
        <v>0</v>
      </c>
      <c r="AL38" s="27" cm="1">
        <f t="array" ref="AL38">$G$3+IFERROR(VLOOKUP($AG38,$F$4:$G$7,2,FALSE),0)+VLOOKUP($Q38,武学奇术!$A:$ZZ,2,FALSE)+SUM(_xlfn.XLOOKUP($R38:$AF38,增益!$A:$A,增益!$B:$B,0))</f>
        <v>0.4837</v>
      </c>
      <c r="AM38" s="27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3804.006</v>
      </c>
      <c r="AO38" cm="1">
        <f t="array" ref="AO38">$E$10*(1+$AM38)+VLOOKUP($Q38,武学奇术!$A:$ZZ,4,FALSE)+SUM(_xlfn.XLOOKUP($R38:$AF38,增益!$A:$A,增益!$D:$D,0))-$I$2</f>
        <v>3804.006</v>
      </c>
      <c r="AP38" s="33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0.317</v>
      </c>
      <c r="AQ38" s="33" cm="1">
        <f t="array" ref="AQ38">$G$10+VLOOKUP($Q38,武学奇术!$A:$ZZ,7,FALSE)+SUM(_xlfn.XLOOKUP(R38:AF38,增益!$A:$A,增益!$G:$G,0))</f>
        <v>0.09</v>
      </c>
      <c r="AR38" s="27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3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-0.14</v>
      </c>
      <c r="AV38" s="33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3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-0.14</v>
      </c>
      <c r="AZ38" s="33" cm="1">
        <f t="array" ref="AZ38">$G$12+VLOOKUP($Q38,武学奇术!$A:$ZZ,12,FALSE)+SUM(_xlfn.XLOOKUP(R38:AF38,增益!$A:$A,增益!$L:$L,0))</f>
        <v>0</v>
      </c>
      <c r="BA38">
        <f t="shared" si="12"/>
        <v>0</v>
      </c>
      <c r="BB38">
        <f t="shared" si="13"/>
        <v>0</v>
      </c>
      <c r="BC38" s="33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-0.14</v>
      </c>
      <c r="BD38" s="33" cm="1">
        <f t="array" ref="BD38">$G$13+VLOOKUP($Q38,武学奇术!$A:$ZZ,14,FALSE)+SUM(_xlfn.XLOOKUP(R38:AF38,增益!$A:$A,增益!$N:$N,0))</f>
        <v>0</v>
      </c>
      <c r="BE38">
        <f t="shared" si="14"/>
        <v>570.28</v>
      </c>
      <c r="BF38">
        <f t="shared" si="15"/>
        <v>1582.156</v>
      </c>
      <c r="BG38" s="33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0.08</v>
      </c>
      <c r="BH38" s="33" cm="1">
        <f t="array" ref="BH38">$G$14+VLOOKUP($Q38,武学奇术!$A:$ZZ,16,FALSE)+SUM(_xlfn.XLOOKUP(R38:AF38,增益!$A:$A,增益!$P:$P,0))</f>
        <v>0.24</v>
      </c>
      <c r="BI38" s="27">
        <f>MIN(IF(VLOOKUP($Q38,武学奇术!$A:$ZZ,23,FALSE)=1,100%,$B$8),100%)</f>
        <v>1</v>
      </c>
      <c r="BJ38" s="27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+MIN(IF(VLOOKUP($Q38,武学奇术!$A:$ZZ,32,FALSE)=1,IF(VLOOKUP($Q38,武学奇术!$A:$ZZ,24,FALSE)=1,100%,MIN(40%,$B$10+VLOOKUP($Q38,武学奇术!$A:$ZZ,19,FALSE)+SUM(_xlfn.XLOOKUP(R38:AF38,增益!$A:$A,增益!$S:$S,0)))+$B$12+SUM(_xlfn.XLOOKUP(R38:AF38,增益!$A:$A,增益!$V:$V,0))),0),12%)</f>
        <v>0.918</v>
      </c>
      <c r="BK38" s="27" cm="1">
        <f t="array" ref="BK38">1+$B$13+VLOOKUP($Q38,武学奇术!$A:$ZZ,18,FALSE)+SUM(_xlfn.XLOOKUP(R38:AF38,增益!$A:$A,增益!$R:$R,0))</f>
        <v>1.64</v>
      </c>
      <c r="BL38" s="27" cm="1">
        <f t="array" ref="BL38">MAX(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-IF(VLOOKUP($Q38,武学奇术!$A:$ZZ,32,FALSE)=1,12%,0),0)</f>
        <v>0.0895</v>
      </c>
      <c r="BM38" s="27" cm="1">
        <f t="array" ref="BM38">1+$B$14+VLOOKUP($Q38,武学奇术!$A:$ZZ,20,FALSE)+SUM(_xlfn.XLOOKUP(R38:AF38,增益!$A:$A,增益!$T:$T,0))</f>
        <v>1.35</v>
      </c>
      <c r="BN38" s="27">
        <f t="shared" si="16"/>
        <v>0.9105</v>
      </c>
      <c r="BO38" s="27">
        <f t="shared" si="17"/>
        <v>0</v>
      </c>
      <c r="BP38" s="27">
        <f>IF(VLOOKUP($Q38,武学奇术!$A:$ZZ,22,FALSE)=1,0,(1-$BI38))*(1-$BL38)</f>
        <v>0</v>
      </c>
      <c r="BQ38" s="27" cm="1">
        <f t="array" ref="BQ38">SUM(_xlfn.XLOOKUP(R38:AF38,增益!$A:$A,增益!$W:$W,0))+$I$5</f>
        <v>0.11</v>
      </c>
    </row>
    <row r="39" spans="1:69">
      <c r="A39" s="4" t="s">
        <v>166</v>
      </c>
      <c r="B39" s="91">
        <v>1.16</v>
      </c>
      <c r="D39" s="40"/>
      <c r="E39" s="4"/>
      <c r="F39" s="40"/>
      <c r="K39" s="39">
        <f t="shared" si="11"/>
        <v>37448.0689117272</v>
      </c>
      <c r="L39" s="39">
        <f>((($AN39+($AO39-$AN39)*IF(VLOOKUP($Q39,武学奇术!$A:$ZZ,31,FALSE)=1,$F$18,0.5))*$AH39+$AI39)*(1+$AP39)*(1+$AQ39)+(($AS39+($AT39-$AS39)*IF(VLOOKUP($Q39,武学奇术!$A:$ZZ,31,FALSE)=1,$F$18,0.5))*IF($G$1="鸣金",$AJ39,$AH39)+IF($G$1="鸣金",$AK39*1.5,0))*(1+$AU39)*(1+$AV39)+(($AW39+($AX39-$AW39)*IF(VLOOKUP($Q39,武学奇术!$A:$ZZ,31,FALSE)=1,$F$18,0.5))*IF($G$1="裂石",$AJ39,$AH39)+IF($G$1="裂石",$AK39*1.5,0))*(1+$AY39)*(1+$AZ39)+(($BA39+($BB39-$BA39)*IF(VLOOKUP($Q39,武学奇术!$A:$ZZ,31,FALSE)=1,$F$18,0.5))*IF($G$1="牵丝",$AJ39,$AH39)+IF($G$1="牵丝",$AK39*1.5,0))*(1+$BC39)*(1+$BD39)+(($BE39+($BF39-$BE39)*IF(VLOOKUP($Q39,武学奇术!$A:$ZZ,31,FALSE)=1,$F$18,0.5))*IF($G$1="破竹",$AJ39,$AH39)+IF($G$1="破竹",$AK39*1.5,0))*(1+$BG39)*(1+$BH39))*(1+$AL39)*$BK39*$P39*(1+IF(VLOOKUP($Q39,武学奇术!$A:$ZZ,30,FALSE)="蓄力技",$B$21,0))*(1+$BQ39)</f>
        <v>38124.1498365357</v>
      </c>
      <c r="M39" s="39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30570.1730230324</v>
      </c>
      <c r="N39" s="39">
        <f>((($AN39+($AO39-$AN39)*IF(VLOOKUP($Q39,武学奇术!$A:$ZZ,31,FALSE)=1,$F$18,0.5))*$AH39+$AI39)*(1+$AP39)*(1+$AQ39)+(($AS39+($AT39-$AS39)*IF(VLOOKUP($Q39,武学奇术!$A:$ZZ,31,FALSE)=1,$F$18,0.5))*IF($G$1="鸣金",$AJ39,$AH39)+IF($G$1="鸣金",$AK39*1.5,0))*(1+$AU39)*(1+$AV39)+(($AW39+($AX39-$AW39)*IF(VLOOKUP($Q39,武学奇术!$A:$ZZ,31,FALSE)=1,$F$18,0.5))*IF($G$1="裂石",$AJ39,$AH39)+IF($G$1="裂石",$AK39*1.5,0))*(1+$AY39)*(1+$AZ39)+(($BA39+($BB39-$BA39)*IF(VLOOKUP($Q39,武学奇术!$A:$ZZ,31,FALSE)=1,$F$18,0.5))*IF($G$1="牵丝",$AJ39,$AH39)+IF($G$1="牵丝",$AK39*1.5,0))*(1+$BC39)*(1+$BD39)+(($BE39+($BF39-$BE39)*IF(VLOOKUP($Q39,武学奇术!$A:$ZZ,31,FALSE)=1,$F$18,0.5))*IF($G$1="破竹",$AJ39,$AH39)+IF($G$1="破竹",$AK39*1.5,0))*(1+$BG39)*(1+$BH39))*(1+$AL39)*$P39*(1+IF(VLOOKUP($Q39,武学奇术!$A:$ZZ,30,FALSE)="蓄力技",$B$21,0))*(1+$BQ39)</f>
        <v>20387.2459018908</v>
      </c>
      <c r="O39" s="39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18129.9191941279</v>
      </c>
      <c r="P39" s="40">
        <v>1</v>
      </c>
      <c r="Q39" s="41" t="s">
        <v>106</v>
      </c>
      <c r="R39" s="41" t="s">
        <v>93</v>
      </c>
      <c r="S39" s="41" t="s">
        <v>118</v>
      </c>
      <c r="T39" s="41" t="s">
        <v>119</v>
      </c>
      <c r="U39" s="41" t="s">
        <v>72</v>
      </c>
      <c r="V39" s="41" t="s">
        <v>72</v>
      </c>
      <c r="W39" s="41" t="s">
        <v>72</v>
      </c>
      <c r="X39" s="41" t="s">
        <v>158</v>
      </c>
      <c r="Y39" s="41" t="s">
        <v>81</v>
      </c>
      <c r="Z39" s="41" t="s">
        <v>72</v>
      </c>
      <c r="AA39" s="41" t="s">
        <v>72</v>
      </c>
      <c r="AB39" s="41" t="s">
        <v>72</v>
      </c>
      <c r="AC39" s="41" t="s">
        <v>72</v>
      </c>
      <c r="AD39" s="41" t="s">
        <v>72</v>
      </c>
      <c r="AE39" s="41" t="s">
        <v>75</v>
      </c>
      <c r="AF39" s="41" t="s">
        <v>76</v>
      </c>
      <c r="AG39" t="str">
        <f>VLOOKUP($Q39,武学奇术!$A:$ZZ,25,FALSE)</f>
        <v>拳甲</v>
      </c>
      <c r="AH39" s="27">
        <f>VLOOKUP($Q39,武学奇术!$A:$ZZ,26,FALSE)</f>
        <v>1.2876</v>
      </c>
      <c r="AI39" s="28">
        <f>VLOOKUP($Q39,武学奇术!$A:$ZZ,27,FALSE)*(1+IF(OR($AG39=$F$4,$AG39=$F$5),$B$22,0))</f>
        <v>501.2</v>
      </c>
      <c r="AJ39" s="27">
        <f>VLOOKUP($Q39,武学奇术!$A:$ZZ,28,FALSE)</f>
        <v>1.9313</v>
      </c>
      <c r="AK39" s="28">
        <f>VLOOKUP($Q39,武学奇术!$A:$ZZ,29,FALSE)*(1+IF(OR($AG39=$F$4,$AG39=$F$5),$B$22,0))</f>
        <v>273</v>
      </c>
      <c r="AL39" s="27" cm="1">
        <f t="array" ref="AL39">$G$3+IFERROR(VLOOKUP($AG39,$F$4:$G$7,2,FALSE),0)+VLOOKUP($Q39,武学奇术!$A:$ZZ,2,FALSE)+SUM(_xlfn.XLOOKUP($R39:$AF39,增益!$A:$A,增益!$B:$B,0))</f>
        <v>0.5541</v>
      </c>
      <c r="AM39" s="27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3804.006</v>
      </c>
      <c r="AO39" cm="1">
        <f t="array" ref="AO39">$E$10*(1+$AM39)+VLOOKUP($Q39,武学奇术!$A:$ZZ,4,FALSE)+SUM(_xlfn.XLOOKUP($R39:$AF39,增益!$A:$A,增益!$D:$D,0))-$I$2</f>
        <v>3804.006</v>
      </c>
      <c r="AP39" s="33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0.442</v>
      </c>
      <c r="AQ39" s="33" cm="1">
        <f t="array" ref="AQ39">$G$10+VLOOKUP($Q39,武学奇术!$A:$ZZ,7,FALSE)+SUM(_xlfn.XLOOKUP(R39:AF39,增益!$A:$A,增益!$G:$G,0))</f>
        <v>0.09</v>
      </c>
      <c r="AR39" s="27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3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-0.14</v>
      </c>
      <c r="AV39" s="33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3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-0.14</v>
      </c>
      <c r="AZ39" s="33" cm="1">
        <f t="array" ref="AZ39">$G$12+VLOOKUP($Q39,武学奇术!$A:$ZZ,12,FALSE)+SUM(_xlfn.XLOOKUP(R39:AF39,增益!$A:$A,增益!$L:$L,0))</f>
        <v>0</v>
      </c>
      <c r="BA39">
        <f t="shared" si="12"/>
        <v>0</v>
      </c>
      <c r="BB39">
        <f t="shared" si="13"/>
        <v>0</v>
      </c>
      <c r="BC39" s="33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-0.14</v>
      </c>
      <c r="BD39" s="33" cm="1">
        <f t="array" ref="BD39">$G$13+VLOOKUP($Q39,武学奇术!$A:$ZZ,14,FALSE)+SUM(_xlfn.XLOOKUP(R39:AF39,增益!$A:$A,增益!$N:$N,0))</f>
        <v>0</v>
      </c>
      <c r="BE39">
        <f t="shared" si="14"/>
        <v>570.28</v>
      </c>
      <c r="BF39">
        <f t="shared" si="15"/>
        <v>1582.156</v>
      </c>
      <c r="BG39" s="33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0.08</v>
      </c>
      <c r="BH39" s="33" cm="1">
        <f t="array" ref="BH39">$G$14+VLOOKUP($Q39,武学奇术!$A:$ZZ,16,FALSE)+SUM(_xlfn.XLOOKUP(R39:AF39,增益!$A:$A,增益!$P:$P,0))</f>
        <v>0.24</v>
      </c>
      <c r="BI39" s="27">
        <f>MIN(IF(VLOOKUP($Q39,武学奇术!$A:$ZZ,23,FALSE)=1,100%,$B$8),100%)</f>
        <v>1</v>
      </c>
      <c r="BJ39" s="27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+MIN(IF(VLOOKUP($Q39,武学奇术!$A:$ZZ,32,FALSE)=1,IF(VLOOKUP($Q39,武学奇术!$A:$ZZ,24,FALSE)=1,100%,MIN(40%,$B$10+VLOOKUP($Q39,武学奇术!$A:$ZZ,19,FALSE)+SUM(_xlfn.XLOOKUP(R39:AF39,增益!$A:$A,增益!$S:$S,0)))+$B$12+SUM(_xlfn.XLOOKUP(R39:AF39,增益!$A:$A,增益!$V:$V,0))),0),12%)</f>
        <v>0.918</v>
      </c>
      <c r="BK39" s="27" cm="1">
        <f t="array" ref="BK39">1+$B$13+VLOOKUP($Q39,武学奇术!$A:$ZZ,18,FALSE)+SUM(_xlfn.XLOOKUP(R39:AF39,增益!$A:$A,增益!$R:$R,0))</f>
        <v>1.87</v>
      </c>
      <c r="BL39" s="27" cm="1">
        <f t="array" ref="BL39">MAX(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-IF(VLOOKUP($Q39,武学奇术!$A:$ZZ,32,FALSE)=1,12%,0),0)</f>
        <v>0.0895</v>
      </c>
      <c r="BM39" s="27" cm="1">
        <f t="array" ref="BM39">1+$B$14+VLOOKUP($Q39,武学奇术!$A:$ZZ,20,FALSE)+SUM(_xlfn.XLOOKUP(R39:AF39,增益!$A:$A,增益!$T:$T,0))</f>
        <v>1.35</v>
      </c>
      <c r="BN39" s="27">
        <f t="shared" si="16"/>
        <v>0.9105</v>
      </c>
      <c r="BO39" s="27">
        <f t="shared" si="17"/>
        <v>0</v>
      </c>
      <c r="BP39" s="27">
        <f>IF(VLOOKUP($Q39,武学奇术!$A:$ZZ,22,FALSE)=1,0,(1-$BI39))*(1-$BL39)</f>
        <v>0</v>
      </c>
      <c r="BQ39" s="27" cm="1">
        <f t="array" ref="BQ39">SUM(_xlfn.XLOOKUP(R39:AF39,增益!$A:$A,增益!$W:$W,0))+$I$5</f>
        <v>0.11</v>
      </c>
    </row>
    <row r="40" spans="1:69">
      <c r="A40" t="s">
        <v>169</v>
      </c>
      <c r="B40">
        <v>0.5</v>
      </c>
      <c r="C40" s="40" t="s">
        <v>119</v>
      </c>
      <c r="D40" s="40"/>
      <c r="E40" s="40" t="s">
        <v>170</v>
      </c>
      <c r="F40" s="40"/>
      <c r="G40">
        <v>-27</v>
      </c>
      <c r="K40" s="39">
        <f t="shared" si="11"/>
        <v>84443.1699793292</v>
      </c>
      <c r="L40" s="39">
        <f>((($AN40+($AO40-$AN40)*IF(VLOOKUP($Q40,武学奇术!$A:$ZZ,31,FALSE)=1,$F$18,0.5))*$AH40+$AI40)*(1+$AP40)*(1+$AQ40)+(($AS40+($AT40-$AS40)*IF(VLOOKUP($Q40,武学奇术!$A:$ZZ,31,FALSE)=1,$F$18,0.5))*IF($G$1="鸣金",$AJ40,$AH40)+IF($G$1="鸣金",$AK40*1.5,0))*(1+$AU40)*(1+$AV40)+(($AW40+($AX40-$AW40)*IF(VLOOKUP($Q40,武学奇术!$A:$ZZ,31,FALSE)=1,$F$18,0.5))*IF($G$1="裂石",$AJ40,$AH40)+IF($G$1="裂石",$AK40*1.5,0))*(1+$AY40)*(1+$AZ40)+(($BA40+($BB40-$BA40)*IF(VLOOKUP($Q40,武学奇术!$A:$ZZ,31,FALSE)=1,$F$18,0.5))*IF($G$1="牵丝",$AJ40,$AH40)+IF($G$1="牵丝",$AK40*1.5,0))*(1+$BC40)*(1+$BD40)+(($BE40+($BF40-$BE40)*IF(VLOOKUP($Q40,武学奇术!$A:$ZZ,31,FALSE)=1,$F$18,0.5))*IF($G$1="破竹",$AJ40,$AH40)+IF($G$1="破竹",$AK40*1.5,0))*(1+$BG40)*(1+$BH40))*(1+$AL40)*$BK40*$P40*(1+IF(VLOOKUP($Q40,武学奇术!$A:$ZZ,30,FALSE)="蓄力技",$B$21,0))*(1+$BQ40)</f>
        <v>86771.6294354357</v>
      </c>
      <c r="M40" s="39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60755.3226632968</v>
      </c>
      <c r="N40" s="39">
        <f>((($AN40+($AO40-$AN40)*IF(VLOOKUP($Q40,武学奇术!$A:$ZZ,31,FALSE)=1,$F$18,0.5))*$AH40+$AI40)*(1+$AP40)*(1+$AQ40)+(($AS40+($AT40-$AS40)*IF(VLOOKUP($Q40,武学奇术!$A:$ZZ,31,FALSE)=1,$F$18,0.5))*IF($G$1="鸣金",$AJ40,$AH40)+IF($G$1="鸣金",$AK40*1.5,0))*(1+$AU40)*(1+$AV40)+(($AW40+($AX40-$AW40)*IF(VLOOKUP($Q40,武学奇术!$A:$ZZ,31,FALSE)=1,$F$18,0.5))*IF($G$1="裂石",$AJ40,$AH40)+IF($G$1="裂石",$AK40*1.5,0))*(1+$AY40)*(1+$AZ40)+(($BA40+($BB40-$BA40)*IF(VLOOKUP($Q40,武学奇术!$A:$ZZ,31,FALSE)=1,$F$18,0.5))*IF($G$1="牵丝",$AJ40,$AH40)+IF($G$1="牵丝",$AK40*1.5,0))*(1+$BC40)*(1+$BD40)+(($BE40+($BF40-$BE40)*IF(VLOOKUP($Q40,武学奇术!$A:$ZZ,31,FALSE)=1,$F$18,0.5))*IF($G$1="破竹",$AJ40,$AH40)+IF($G$1="破竹",$AK40*1.5,0))*(1+$BG40)*(1+$BH40))*(1+$AL40)*$P40*(1+IF(VLOOKUP($Q40,武学奇术!$A:$ZZ,30,FALSE)="蓄力技",$B$21,0))*(1+$BQ40)</f>
        <v>39986.9260071132</v>
      </c>
      <c r="O40" s="39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34969.9093006732</v>
      </c>
      <c r="P40" s="40">
        <v>1</v>
      </c>
      <c r="Q40" s="41" t="s">
        <v>108</v>
      </c>
      <c r="R40" s="41" t="s">
        <v>93</v>
      </c>
      <c r="S40" s="41" t="s">
        <v>118</v>
      </c>
      <c r="T40" s="41" t="s">
        <v>119</v>
      </c>
      <c r="U40" s="41" t="s">
        <v>72</v>
      </c>
      <c r="V40" s="41" t="s">
        <v>72</v>
      </c>
      <c r="W40" s="41" t="s">
        <v>72</v>
      </c>
      <c r="X40" s="41" t="s">
        <v>158</v>
      </c>
      <c r="Y40" s="41" t="s">
        <v>81</v>
      </c>
      <c r="Z40" s="41" t="s">
        <v>101</v>
      </c>
      <c r="AA40" s="41" t="s">
        <v>72</v>
      </c>
      <c r="AB40" s="41" t="s">
        <v>72</v>
      </c>
      <c r="AC40" s="41" t="s">
        <v>72</v>
      </c>
      <c r="AD40" s="41" t="s">
        <v>72</v>
      </c>
      <c r="AE40" s="41" t="s">
        <v>75</v>
      </c>
      <c r="AF40" s="41" t="s">
        <v>76</v>
      </c>
      <c r="AG40" t="str">
        <f>VLOOKUP($Q40,武学奇术!$A:$ZZ,25,FALSE)</f>
        <v>拳甲</v>
      </c>
      <c r="AH40" s="27">
        <f>VLOOKUP($Q40,武学奇术!$A:$ZZ,26,FALSE)</f>
        <v>2.33376</v>
      </c>
      <c r="AI40" s="28">
        <f>VLOOKUP($Q40,武学奇术!$A:$ZZ,27,FALSE)*(1+IF(OR($AG40=$F$4,$AG40=$F$5),$B$22,0))</f>
        <v>0</v>
      </c>
      <c r="AJ40" s="27">
        <f>VLOOKUP($Q40,武学奇术!$A:$ZZ,28,FALSE)</f>
        <v>3.50064</v>
      </c>
      <c r="AK40" s="28">
        <f>VLOOKUP($Q40,武学奇术!$A:$ZZ,29,FALSE)*(1+IF(OR($AG40=$F$4,$AG40=$F$5),$B$22,0))</f>
        <v>0</v>
      </c>
      <c r="AL40" s="27" cm="1">
        <f t="array" ref="AL40">$G$3+IFERROR(VLOOKUP($AG40,$F$4:$G$7,2,FALSE),0)+VLOOKUP($Q40,武学奇术!$A:$ZZ,2,FALSE)+SUM(_xlfn.XLOOKUP($R40:$AF40,增益!$A:$A,增益!$B:$B,0))</f>
        <v>0.8541</v>
      </c>
      <c r="AM40" s="27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3804.006</v>
      </c>
      <c r="AO40" cm="1">
        <f t="array" ref="AO40">$E$10*(1+$AM40)+VLOOKUP($Q40,武学奇术!$A:$ZZ,4,FALSE)+SUM(_xlfn.XLOOKUP($R40:$AF40,增益!$A:$A,增益!$D:$D,0))-$I$2</f>
        <v>3804.006</v>
      </c>
      <c r="AP40" s="33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0.472</v>
      </c>
      <c r="AQ40" s="33" cm="1">
        <f t="array" ref="AQ40">$G$10+VLOOKUP($Q40,武学奇术!$A:$ZZ,7,FALSE)+SUM(_xlfn.XLOOKUP(R40:AF40,增益!$A:$A,增益!$G:$G,0))</f>
        <v>0.09</v>
      </c>
      <c r="AR40" s="27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3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-0.08</v>
      </c>
      <c r="AV40" s="33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3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-0.08</v>
      </c>
      <c r="AZ40" s="33" cm="1">
        <f t="array" ref="AZ40">$G$12+VLOOKUP($Q40,武学奇术!$A:$ZZ,12,FALSE)+SUM(_xlfn.XLOOKUP(R40:AF40,增益!$A:$A,增益!$L:$L,0))</f>
        <v>0</v>
      </c>
      <c r="BA40">
        <f t="shared" si="12"/>
        <v>0</v>
      </c>
      <c r="BB40">
        <f t="shared" si="13"/>
        <v>0</v>
      </c>
      <c r="BC40" s="33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-0.08</v>
      </c>
      <c r="BD40" s="33" cm="1">
        <f t="array" ref="BD40">$G$13+VLOOKUP($Q40,武学奇术!$A:$ZZ,14,FALSE)+SUM(_xlfn.XLOOKUP(R40:AF40,增益!$A:$A,增益!$N:$N,0))</f>
        <v>0</v>
      </c>
      <c r="BE40">
        <f t="shared" si="14"/>
        <v>570.28</v>
      </c>
      <c r="BF40">
        <f t="shared" si="15"/>
        <v>1582.156</v>
      </c>
      <c r="BG40" s="33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0.11</v>
      </c>
      <c r="BH40" s="33" cm="1">
        <f t="array" ref="BH40">$G$14+VLOOKUP($Q40,武学奇术!$A:$ZZ,16,FALSE)+SUM(_xlfn.XLOOKUP(R40:AF40,增益!$A:$A,增益!$P:$P,0))</f>
        <v>0.24</v>
      </c>
      <c r="BI40" s="27">
        <f>MIN(IF(VLOOKUP($Q40,武学奇术!$A:$ZZ,23,FALSE)=1,100%,$B$8),100%)</f>
        <v>1</v>
      </c>
      <c r="BJ40" s="27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+MIN(IF(VLOOKUP($Q40,武学奇术!$A:$ZZ,32,FALSE)=1,IF(VLOOKUP($Q40,武学奇术!$A:$ZZ,24,FALSE)=1,100%,MIN(40%,$B$10+VLOOKUP($Q40,武学奇术!$A:$ZZ,19,FALSE)+SUM(_xlfn.XLOOKUP(R40:AF40,增益!$A:$A,增益!$S:$S,0)))+$B$12+SUM(_xlfn.XLOOKUP(R40:AF40,增益!$A:$A,增益!$V:$V,0))),0),12%)</f>
        <v>0.918</v>
      </c>
      <c r="BK40" s="27" cm="1">
        <f t="array" ref="BK40">1+$B$13+VLOOKUP($Q40,武学奇术!$A:$ZZ,18,FALSE)+SUM(_xlfn.XLOOKUP(R40:AF40,增益!$A:$A,增益!$R:$R,0))</f>
        <v>2.17</v>
      </c>
      <c r="BL40" s="27" cm="1">
        <f t="array" ref="BL40">MAX(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-IF(VLOOKUP($Q40,武学奇术!$A:$ZZ,32,FALSE)=1,12%,0),0)</f>
        <v>0.0895</v>
      </c>
      <c r="BM40" s="27" cm="1">
        <f t="array" ref="BM40">1+$B$14+VLOOKUP($Q40,武学奇术!$A:$ZZ,20,FALSE)+SUM(_xlfn.XLOOKUP(R40:AF40,增益!$A:$A,增益!$T:$T,0))</f>
        <v>1.35</v>
      </c>
      <c r="BN40" s="27">
        <f t="shared" si="16"/>
        <v>0.9105</v>
      </c>
      <c r="BO40" s="27">
        <f t="shared" si="17"/>
        <v>0</v>
      </c>
      <c r="BP40" s="27">
        <f>IF(VLOOKUP($Q40,武学奇术!$A:$ZZ,22,FALSE)=1,0,(1-$BI40))*(1-$BL40)</f>
        <v>0</v>
      </c>
      <c r="BQ40" s="27" cm="1">
        <f t="array" ref="BQ40">SUM(_xlfn.XLOOKUP(R40:AF40,增益!$A:$A,增益!$W:$W,0))+$I$5</f>
        <v>0.11</v>
      </c>
    </row>
    <row r="41" spans="1:69">
      <c r="A41" s="4" t="s">
        <v>166</v>
      </c>
      <c r="B41" s="91">
        <v>1.16</v>
      </c>
      <c r="C41" s="40"/>
      <c r="D41" s="40"/>
      <c r="E41" s="40"/>
      <c r="F41" s="40"/>
      <c r="K41" s="39">
        <f t="shared" si="11"/>
        <v>1024008.70913194</v>
      </c>
      <c r="L41" s="39">
        <f>((($AN41+($AO41-$AN41)*IF(VLOOKUP($Q41,武学奇术!$A:$ZZ,31,FALSE)=1,$F$18,0.5))*$AH41+$AI41)*(1+$AP41)*(1+$AQ41)+(($AS41+($AT41-$AS41)*IF(VLOOKUP($Q41,武学奇术!$A:$ZZ,31,FALSE)=1,$F$18,0.5))*IF($G$1="鸣金",$AJ41,$AH41)+IF($G$1="鸣金",$AK41*1.5,0))*(1+$AU41)*(1+$AV41)+(($AW41+($AX41-$AW41)*IF(VLOOKUP($Q41,武学奇术!$A:$ZZ,31,FALSE)=1,$F$18,0.5))*IF($G$1="裂石",$AJ41,$AH41)+IF($G$1="裂石",$AK41*1.5,0))*(1+$AY41)*(1+$AZ41)+(($BA41+($BB41-$BA41)*IF(VLOOKUP($Q41,武学奇术!$A:$ZZ,31,FALSE)=1,$F$18,0.5))*IF($G$1="牵丝",$AJ41,$AH41)+IF($G$1="牵丝",$AK41*1.5,0))*(1+$BC41)*(1+$BD41)+(($BE41+($BF41-$BE41)*IF(VLOOKUP($Q41,武学奇术!$A:$ZZ,31,FALSE)=1,$F$18,0.5))*IF($G$1="破竹",$AJ41,$AH41)+IF($G$1="破竹",$AK41*1.5,0))*(1+$BG41)*(1+$BH41))*(1+$AL41)*$BK41*$P41*(1+IF(VLOOKUP($Q41,武学奇术!$A:$ZZ,30,FALSE)="蓄力技",$B$21,0))*(1+$BQ41)</f>
        <v>1024008.70913194</v>
      </c>
      <c r="M41" s="39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642814.641923196</v>
      </c>
      <c r="N41" s="39">
        <f>((($AN41+($AO41-$AN41)*IF(VLOOKUP($Q41,武学奇术!$A:$ZZ,31,FALSE)=1,$F$18,0.5))*$AH41+$AI41)*(1+$AP41)*(1+$AQ41)+(($AS41+($AT41-$AS41)*IF(VLOOKUP($Q41,武学奇术!$A:$ZZ,31,FALSE)=1,$F$18,0.5))*IF($G$1="鸣金",$AJ41,$AH41)+IF($G$1="鸣金",$AK41*1.5,0))*(1+$AU41)*(1+$AV41)+(($AW41+($AX41-$AW41)*IF(VLOOKUP($Q41,武学奇术!$A:$ZZ,31,FALSE)=1,$F$18,0.5))*IF($G$1="裂石",$AJ41,$AH41)+IF($G$1="裂石",$AK41*1.5,0))*(1+$AY41)*(1+$AZ41)+(($BA41+($BB41-$BA41)*IF(VLOOKUP($Q41,武学奇术!$A:$ZZ,31,FALSE)=1,$F$18,0.5))*IF($G$1="牵丝",$AJ41,$AH41)+IF($G$1="牵丝",$AK41*1.5,0))*(1+$BC41)*(1+$BD41)+(($BE41+($BF41-$BE41)*IF(VLOOKUP($Q41,武学奇术!$A:$ZZ,31,FALSE)=1,$F$18,0.5))*IF($G$1="破竹",$AJ41,$AH41)+IF($G$1="破竹",$AK41*1.5,0))*(1+$BG41)*(1+$BH41))*(1+$AL41)*$P41*(1+IF(VLOOKUP($Q41,武学奇术!$A:$ZZ,30,FALSE)="蓄力技",$B$21,0))*(1+$BQ41)</f>
        <v>428455.526833449</v>
      </c>
      <c r="O41" s="39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380752.059649715</v>
      </c>
      <c r="P41" s="40">
        <v>1</v>
      </c>
      <c r="Q41" s="41" t="s">
        <v>125</v>
      </c>
      <c r="R41" s="41" t="s">
        <v>93</v>
      </c>
      <c r="S41" s="41" t="s">
        <v>118</v>
      </c>
      <c r="T41" s="41" t="s">
        <v>119</v>
      </c>
      <c r="U41" s="41" t="s">
        <v>72</v>
      </c>
      <c r="V41" s="41" t="s">
        <v>72</v>
      </c>
      <c r="W41" s="41" t="s">
        <v>72</v>
      </c>
      <c r="X41" s="41" t="s">
        <v>165</v>
      </c>
      <c r="Y41" s="41" t="s">
        <v>81</v>
      </c>
      <c r="Z41" s="41" t="s">
        <v>101</v>
      </c>
      <c r="AA41" s="41" t="s">
        <v>72</v>
      </c>
      <c r="AB41" s="41" t="s">
        <v>72</v>
      </c>
      <c r="AC41" s="41" t="s">
        <v>72</v>
      </c>
      <c r="AD41" s="41" t="s">
        <v>72</v>
      </c>
      <c r="AE41" s="41" t="s">
        <v>75</v>
      </c>
      <c r="AF41" s="41" t="s">
        <v>76</v>
      </c>
      <c r="AG41" t="str">
        <f>VLOOKUP($Q41,武学奇术!$A:$ZZ,25,FALSE)</f>
        <v>拳甲</v>
      </c>
      <c r="AH41" s="27">
        <f>VLOOKUP($Q41,武学奇术!$A:$ZZ,26,FALSE)</f>
        <v>16.8107</v>
      </c>
      <c r="AI41" s="28">
        <f>VLOOKUP($Q41,武学奇术!$A:$ZZ,27,FALSE)*(1+IF(OR($AG41=$F$4,$AG41=$F$5),$B$22,0))</f>
        <v>6505.8</v>
      </c>
      <c r="AJ41" s="27">
        <f>VLOOKUP($Q41,武学奇术!$A:$ZZ,28,FALSE)</f>
        <v>25.2161</v>
      </c>
      <c r="AK41" s="28">
        <f>VLOOKUP($Q41,武学奇术!$A:$ZZ,29,FALSE)*(1+IF(OR($AG41=$F$4,$AG41=$F$5),$B$22,0))</f>
        <v>3546.2</v>
      </c>
      <c r="AL41" s="27" cm="1">
        <f t="array" ref="AL41">$G$3+IFERROR(VLOOKUP($AG41,$F$4:$G$7,2,FALSE),0)+VLOOKUP($Q41,武学奇术!$A:$ZZ,2,FALSE)+SUM(_xlfn.XLOOKUP($R41:$AF41,增益!$A:$A,增益!$B:$B,0))</f>
        <v>0.8541</v>
      </c>
      <c r="AM41" s="27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3804.006</v>
      </c>
      <c r="AO41" cm="1">
        <f t="array" ref="AO41">$E$10*(1+$AM41)+VLOOKUP($Q41,武学奇术!$A:$ZZ,4,FALSE)+SUM(_xlfn.XLOOKUP($R41:$AF41,增益!$A:$A,增益!$D:$D,0))-$I$2</f>
        <v>3804.006</v>
      </c>
      <c r="AP41" s="33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0.472</v>
      </c>
      <c r="AQ41" s="33" cm="1">
        <f t="array" ref="AQ41">$G$10+VLOOKUP($Q41,武学奇术!$A:$ZZ,7,FALSE)+SUM(_xlfn.XLOOKUP(R41:AF41,增益!$A:$A,增益!$G:$G,0))</f>
        <v>0.09</v>
      </c>
      <c r="AR41" s="27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3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-0.08</v>
      </c>
      <c r="AV41" s="33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3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-0.08</v>
      </c>
      <c r="AZ41" s="33" cm="1">
        <f t="array" ref="AZ41">$G$12+VLOOKUP($Q41,武学奇术!$A:$ZZ,12,FALSE)+SUM(_xlfn.XLOOKUP(R41:AF41,增益!$A:$A,增益!$L:$L,0))</f>
        <v>0</v>
      </c>
      <c r="BA41">
        <f t="shared" si="12"/>
        <v>0</v>
      </c>
      <c r="BB41">
        <f t="shared" si="13"/>
        <v>0</v>
      </c>
      <c r="BC41" s="33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-0.08</v>
      </c>
      <c r="BD41" s="33" cm="1">
        <f t="array" ref="BD41">$G$13+VLOOKUP($Q41,武学奇术!$A:$ZZ,14,FALSE)+SUM(_xlfn.XLOOKUP(R41:AF41,增益!$A:$A,增益!$N:$N,0))</f>
        <v>0</v>
      </c>
      <c r="BE41">
        <f t="shared" si="14"/>
        <v>570.28</v>
      </c>
      <c r="BF41">
        <f t="shared" si="15"/>
        <v>1582.156</v>
      </c>
      <c r="BG41" s="33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0.11</v>
      </c>
      <c r="BH41" s="33" cm="1">
        <f t="array" ref="BH41">$G$14+VLOOKUP($Q41,武学奇术!$A:$ZZ,16,FALSE)+SUM(_xlfn.XLOOKUP(R41:AF41,增益!$A:$A,增益!$P:$P,0))</f>
        <v>0.24</v>
      </c>
      <c r="BI41" s="27">
        <f>MIN(IF(VLOOKUP($Q41,武学奇术!$A:$ZZ,23,FALSE)=1,100%,$B$8),100%)</f>
        <v>1</v>
      </c>
      <c r="BJ41" s="27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+MIN(IF(VLOOKUP($Q41,武学奇术!$A:$ZZ,32,FALSE)=1,IF(VLOOKUP($Q41,武学奇术!$A:$ZZ,24,FALSE)=1,100%,MIN(40%,$B$10+VLOOKUP($Q41,武学奇术!$A:$ZZ,19,FALSE)+SUM(_xlfn.XLOOKUP(R41:AF41,增益!$A:$A,增益!$S:$S,0)))+$B$12+SUM(_xlfn.XLOOKUP(R41:AF41,增益!$A:$A,增益!$V:$V,0))),0),12%)</f>
        <v>1.0075</v>
      </c>
      <c r="BK41" s="27" cm="1">
        <f t="array" ref="BK41">1+$B$13+VLOOKUP($Q41,武学奇术!$A:$ZZ,18,FALSE)+SUM(_xlfn.XLOOKUP(R41:AF41,增益!$A:$A,增益!$R:$R,0))</f>
        <v>2.39</v>
      </c>
      <c r="BL41" s="27" cm="1">
        <f t="array" ref="BL41">MAX(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-IF(VLOOKUP($Q41,武学奇术!$A:$ZZ,32,FALSE)=1,12%,0),0)</f>
        <v>0</v>
      </c>
      <c r="BM41" s="27" cm="1">
        <f t="array" ref="BM41">1+$B$14+VLOOKUP($Q41,武学奇术!$A:$ZZ,20,FALSE)+SUM(_xlfn.XLOOKUP(R41:AF41,增益!$A:$A,增益!$T:$T,0))</f>
        <v>1.35</v>
      </c>
      <c r="BN41" s="27">
        <f t="shared" si="16"/>
        <v>1</v>
      </c>
      <c r="BO41" s="27">
        <f t="shared" si="17"/>
        <v>0</v>
      </c>
      <c r="BP41" s="27">
        <f>IF(VLOOKUP($Q41,武学奇术!$A:$ZZ,22,FALSE)=1,0,(1-$BI41))*(1-$BL41)</f>
        <v>0</v>
      </c>
      <c r="BQ41" s="27" cm="1">
        <f t="array" ref="BQ41">SUM(_xlfn.XLOOKUP(R41:AF41,增益!$A:$A,增益!$W:$W,0))+$I$5</f>
        <v>0.11</v>
      </c>
    </row>
    <row r="42" spans="1:69">
      <c r="A42" s="4" t="s">
        <v>171</v>
      </c>
      <c r="B42" s="91">
        <v>0.7</v>
      </c>
      <c r="C42" s="40"/>
      <c r="D42" s="40"/>
      <c r="E42" s="40"/>
      <c r="F42" s="40"/>
      <c r="K42" s="39">
        <f t="shared" si="11"/>
        <v>394256.271208089</v>
      </c>
      <c r="L42" s="39">
        <f>((($AN42+($AO42-$AN42)*IF(VLOOKUP($Q42,武学奇术!$A:$ZZ,31,FALSE)=1,$F$18,0.5))*$AH42+$AI42)*(1+$AP42)*(1+$AQ42)+(($AS42+($AT42-$AS42)*IF(VLOOKUP($Q42,武学奇术!$A:$ZZ,31,FALSE)=1,$F$18,0.5))*IF($G$1="鸣金",$AJ42,$AH42)+IF($G$1="鸣金",$AK42*1.5,0))*(1+$AU42)*(1+$AV42)+(($AW42+($AX42-$AW42)*IF(VLOOKUP($Q42,武学奇术!$A:$ZZ,31,FALSE)=1,$F$18,0.5))*IF($G$1="裂石",$AJ42,$AH42)+IF($G$1="裂石",$AK42*1.5,0))*(1+$AY42)*(1+$AZ42)+(($BA42+($BB42-$BA42)*IF(VLOOKUP($Q42,武学奇术!$A:$ZZ,31,FALSE)=1,$F$18,0.5))*IF($G$1="牵丝",$AJ42,$AH42)+IF($G$1="牵丝",$AK42*1.5,0))*(1+$BC42)*(1+$BD42)+(($BE42+($BF42-$BE42)*IF(VLOOKUP($Q42,武学奇术!$A:$ZZ,31,FALSE)=1,$F$18,0.5))*IF($G$1="破竹",$AJ42,$AH42)+IF($G$1="破竹",$AK42*1.5,0))*(1+$BG42)*(1+$BH42))*(1+$AL42)*$BK42*$P42*(1+IF(VLOOKUP($Q42,武学奇术!$A:$ZZ,30,FALSE)="蓄力技",$B$21,0))*(1+$BQ42)</f>
        <v>394256.271208089</v>
      </c>
      <c r="M42" s="39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247491.142171054</v>
      </c>
      <c r="N42" s="39">
        <f>((($AN42+($AO42-$AN42)*IF(VLOOKUP($Q42,武学奇术!$A:$ZZ,31,FALSE)=1,$F$18,0.5))*$AH42+$AI42)*(1+$AP42)*(1+$AQ42)+(($AS42+($AT42-$AS42)*IF(VLOOKUP($Q42,武学奇术!$A:$ZZ,31,FALSE)=1,$F$18,0.5))*IF($G$1="鸣金",$AJ42,$AH42)+IF($G$1="鸣金",$AK42*1.5,0))*(1+$AU42)*(1+$AV42)+(($AW42+($AX42-$AW42)*IF(VLOOKUP($Q42,武学奇术!$A:$ZZ,31,FALSE)=1,$F$18,0.5))*IF($G$1="裂石",$AJ42,$AH42)+IF($G$1="裂石",$AK42*1.5,0))*(1+$AY42)*(1+$AZ42)+(($BA42+($BB42-$BA42)*IF(VLOOKUP($Q42,武学奇术!$A:$ZZ,31,FALSE)=1,$F$18,0.5))*IF($G$1="牵丝",$AJ42,$AH42)+IF($G$1="牵丝",$AK42*1.5,0))*(1+$BC42)*(1+$BD42)+(($BE42+($BF42-$BE42)*IF(VLOOKUP($Q42,武学奇术!$A:$ZZ,31,FALSE)=1,$F$18,0.5))*IF($G$1="破竹",$AJ42,$AH42)+IF($G$1="破竹",$AK42*1.5,0))*(1+$BG42)*(1+$BH42))*(1+$AL42)*$P42*(1+IF(VLOOKUP($Q42,武学奇术!$A:$ZZ,30,FALSE)="蓄力技",$B$21,0))*(1+$BQ42)</f>
        <v>164960.782932255</v>
      </c>
      <c r="O42" s="39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146594.793885951</v>
      </c>
      <c r="P42" s="40">
        <v>1</v>
      </c>
      <c r="Q42" s="41" t="s">
        <v>129</v>
      </c>
      <c r="R42" s="41" t="s">
        <v>93</v>
      </c>
      <c r="S42" s="41" t="s">
        <v>118</v>
      </c>
      <c r="T42" s="41" t="s">
        <v>119</v>
      </c>
      <c r="U42" s="41" t="s">
        <v>72</v>
      </c>
      <c r="V42" s="41" t="s">
        <v>72</v>
      </c>
      <c r="W42" s="41" t="s">
        <v>72</v>
      </c>
      <c r="X42" s="41" t="s">
        <v>165</v>
      </c>
      <c r="Y42" s="41" t="s">
        <v>81</v>
      </c>
      <c r="Z42" s="41" t="s">
        <v>101</v>
      </c>
      <c r="AA42" s="41" t="s">
        <v>72</v>
      </c>
      <c r="AB42" s="41" t="s">
        <v>72</v>
      </c>
      <c r="AC42" s="41" t="s">
        <v>72</v>
      </c>
      <c r="AD42" s="41" t="s">
        <v>72</v>
      </c>
      <c r="AE42" s="41" t="s">
        <v>75</v>
      </c>
      <c r="AF42" s="41" t="s">
        <v>76</v>
      </c>
      <c r="AG42" t="str">
        <f>VLOOKUP($Q42,武学奇术!$A:$ZZ,25,FALSE)</f>
        <v>拳甲</v>
      </c>
      <c r="AH42" s="27">
        <f>VLOOKUP($Q42,武学奇术!$A:$ZZ,26,FALSE)</f>
        <v>6.4722</v>
      </c>
      <c r="AI42" s="28">
        <f>VLOOKUP($Q42,武学奇术!$A:$ZZ,27,FALSE)*(1+IF(OR($AG42=$F$4,$AG42=$F$5),$B$22,0))</f>
        <v>2504.88</v>
      </c>
      <c r="AJ42" s="27">
        <f>VLOOKUP($Q42,武学奇术!$A:$ZZ,28,FALSE)</f>
        <v>9.70828</v>
      </c>
      <c r="AK42" s="28">
        <f>VLOOKUP($Q42,武学奇术!$A:$ZZ,29,FALSE)*(1+IF(OR($AG42=$F$4,$AG42=$F$5),$B$22,0))</f>
        <v>1365.84</v>
      </c>
      <c r="AL42" s="27" cm="1">
        <f t="array" ref="AL42">$G$3+IFERROR(VLOOKUP($AG42,$F$4:$G$7,2,FALSE),0)+VLOOKUP($Q42,武学奇术!$A:$ZZ,2,FALSE)+SUM(_xlfn.XLOOKUP($R42:$AF42,增益!$A:$A,增益!$B:$B,0))</f>
        <v>0.8541</v>
      </c>
      <c r="AM42" s="27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3804.006</v>
      </c>
      <c r="AO42" cm="1">
        <f t="array" ref="AO42">$E$10*(1+$AM42)+VLOOKUP($Q42,武学奇术!$A:$ZZ,4,FALSE)+SUM(_xlfn.XLOOKUP($R42:$AF42,增益!$A:$A,增益!$D:$D,0))-$I$2</f>
        <v>3804.006</v>
      </c>
      <c r="AP42" s="33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0.472</v>
      </c>
      <c r="AQ42" s="33" cm="1">
        <f t="array" ref="AQ42">$G$10+VLOOKUP($Q42,武学奇术!$A:$ZZ,7,FALSE)+SUM(_xlfn.XLOOKUP(R42:AF42,增益!$A:$A,增益!$G:$G,0))</f>
        <v>0.09</v>
      </c>
      <c r="AR42" s="27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3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-0.08</v>
      </c>
      <c r="AV42" s="33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3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-0.08</v>
      </c>
      <c r="AZ42" s="33" cm="1">
        <f t="array" ref="AZ42">$G$12+VLOOKUP($Q42,武学奇术!$A:$ZZ,12,FALSE)+SUM(_xlfn.XLOOKUP(R42:AF42,增益!$A:$A,增益!$L:$L,0))</f>
        <v>0</v>
      </c>
      <c r="BA42">
        <f t="shared" si="12"/>
        <v>0</v>
      </c>
      <c r="BB42">
        <f t="shared" si="13"/>
        <v>0</v>
      </c>
      <c r="BC42" s="33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-0.08</v>
      </c>
      <c r="BD42" s="33" cm="1">
        <f t="array" ref="BD42">$G$13+VLOOKUP($Q42,武学奇术!$A:$ZZ,14,FALSE)+SUM(_xlfn.XLOOKUP(R42:AF42,增益!$A:$A,增益!$N:$N,0))</f>
        <v>0</v>
      </c>
      <c r="BE42">
        <f t="shared" si="14"/>
        <v>570.28</v>
      </c>
      <c r="BF42">
        <f t="shared" si="15"/>
        <v>1582.156</v>
      </c>
      <c r="BG42" s="33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0.11</v>
      </c>
      <c r="BH42" s="33" cm="1">
        <f t="array" ref="BH42">$G$14+VLOOKUP($Q42,武学奇术!$A:$ZZ,16,FALSE)+SUM(_xlfn.XLOOKUP(R42:AF42,增益!$A:$A,增益!$P:$P,0))</f>
        <v>0.24</v>
      </c>
      <c r="BI42" s="27">
        <f>MIN(IF(VLOOKUP($Q42,武学奇术!$A:$ZZ,23,FALSE)=1,100%,$B$8),100%)</f>
        <v>1</v>
      </c>
      <c r="BJ42" s="27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+MIN(IF(VLOOKUP($Q42,武学奇术!$A:$ZZ,32,FALSE)=1,IF(VLOOKUP($Q42,武学奇术!$A:$ZZ,24,FALSE)=1,100%,MIN(40%,$B$10+VLOOKUP($Q42,武学奇术!$A:$ZZ,19,FALSE)+SUM(_xlfn.XLOOKUP(R42:AF42,增益!$A:$A,增益!$S:$S,0)))+$B$12+SUM(_xlfn.XLOOKUP(R42:AF42,增益!$A:$A,增益!$V:$V,0))),0),12%)</f>
        <v>1.0075</v>
      </c>
      <c r="BK42" s="27" cm="1">
        <f t="array" ref="BK42">1+$B$13+VLOOKUP($Q42,武学奇术!$A:$ZZ,18,FALSE)+SUM(_xlfn.XLOOKUP(R42:AF42,增益!$A:$A,增益!$R:$R,0))</f>
        <v>2.39</v>
      </c>
      <c r="BL42" s="27" cm="1">
        <f t="array" ref="BL42">MAX(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-IF(VLOOKUP($Q42,武学奇术!$A:$ZZ,32,FALSE)=1,12%,0),0)</f>
        <v>0</v>
      </c>
      <c r="BM42" s="27" cm="1">
        <f t="array" ref="BM42">1+$B$14+VLOOKUP($Q42,武学奇术!$A:$ZZ,20,FALSE)+SUM(_xlfn.XLOOKUP(R42:AF42,增益!$A:$A,增益!$T:$T,0))</f>
        <v>1.35</v>
      </c>
      <c r="BN42" s="27">
        <f t="shared" si="16"/>
        <v>1</v>
      </c>
      <c r="BO42" s="27">
        <f t="shared" si="17"/>
        <v>0</v>
      </c>
      <c r="BP42" s="27">
        <f>IF(VLOOKUP($Q42,武学奇术!$A:$ZZ,22,FALSE)=1,0,(1-$BI42))*(1-$BL42)</f>
        <v>0</v>
      </c>
      <c r="BQ42" s="27" cm="1">
        <f t="array" ref="BQ42">SUM(_xlfn.XLOOKUP(R42:AF42,增益!$A:$A,增益!$W:$W,0))+$I$5</f>
        <v>0.11</v>
      </c>
    </row>
    <row r="43" spans="1:69">
      <c r="A43" s="4" t="s">
        <v>172</v>
      </c>
      <c r="B43" s="4">
        <v>0.8</v>
      </c>
      <c r="C43" s="40"/>
      <c r="D43" s="40"/>
      <c r="E43" s="40"/>
      <c r="F43" s="40"/>
      <c r="K43" s="39">
        <f t="shared" si="11"/>
        <v>58992.2352186541</v>
      </c>
      <c r="L43" s="39">
        <f>((($AN43+($AO43-$AN43)*IF(VLOOKUP($Q43,武学奇术!$A:$ZZ,31,FALSE)=1,$F$18,0.5))*$AH43+$AI43)*(1+$AP43)*(1+$AQ43)+(($AS43+($AT43-$AS43)*IF(VLOOKUP($Q43,武学奇术!$A:$ZZ,31,FALSE)=1,$F$18,0.5))*IF($G$1="鸣金",$AJ43,$AH43)+IF($G$1="鸣金",$AK43*1.5,0))*(1+$AU43)*(1+$AV43)+(($AW43+($AX43-$AW43)*IF(VLOOKUP($Q43,武学奇术!$A:$ZZ,31,FALSE)=1,$F$18,0.5))*IF($G$1="裂石",$AJ43,$AH43)+IF($G$1="裂石",$AK43*1.5,0))*(1+$AY43)*(1+$AZ43)+(($BA43+($BB43-$BA43)*IF(VLOOKUP($Q43,武学奇术!$A:$ZZ,31,FALSE)=1,$F$18,0.5))*IF($G$1="牵丝",$AJ43,$AH43)+IF($G$1="牵丝",$AK43*1.5,0))*(1+$BC43)*(1+$BD43)+(($BE43+($BF43-$BE43)*IF(VLOOKUP($Q43,武学奇术!$A:$ZZ,31,FALSE)=1,$F$18,0.5))*IF($G$1="破竹",$AJ43,$AH43)+IF($G$1="破竹",$AK43*1.5,0))*(1+$BG43)*(1+$BH43))*(1+$AL43)*$BK43*$P43*(1+IF(VLOOKUP($Q43,武学奇术!$A:$ZZ,30,FALSE)="蓄力技",$B$21,0))*(1+$BQ43)</f>
        <v>59415.2016085013</v>
      </c>
      <c r="M43" s="39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54689.3201576945</v>
      </c>
      <c r="N43" s="39">
        <f>((($AN43+($AO43-$AN43)*IF(VLOOKUP($Q43,武学奇术!$A:$ZZ,31,FALSE)=1,$F$18,0.5))*$AH43+$AI43)*(1+$AP43)*(1+$AQ43)+(($AS43+($AT43-$AS43)*IF(VLOOKUP($Q43,武学奇术!$A:$ZZ,31,FALSE)=1,$F$18,0.5))*IF($G$1="鸣金",$AJ43,$AH43)+IF($G$1="鸣金",$AK43*1.5,0))*(1+$AU43)*(1+$AV43)+(($AW43+($AX43-$AW43)*IF(VLOOKUP($Q43,武学奇术!$A:$ZZ,31,FALSE)=1,$F$18,0.5))*IF($G$1="裂石",$AJ43,$AH43)+IF($G$1="裂石",$AK43*1.5,0))*(1+$AY43)*(1+$AZ43)+(($BA43+($BB43-$BA43)*IF(VLOOKUP($Q43,武学奇术!$A:$ZZ,31,FALSE)=1,$F$18,0.5))*IF($G$1="牵丝",$AJ43,$AH43)+IF($G$1="牵丝",$AK43*1.5,0))*(1+$BC43)*(1+$BD43)+(($BE43+($BF43-$BE43)*IF(VLOOKUP($Q43,武学奇术!$A:$ZZ,31,FALSE)=1,$F$18,0.5))*IF($G$1="破竹",$AJ43,$AH43)+IF($G$1="破竹",$AK43*1.5,0))*(1+$BG43)*(1+$BH43))*(1+$AL43)*$P43*(1+IF(VLOOKUP($Q43,武学奇术!$A:$ZZ,30,FALSE)="蓄力技",$B$21,0))*(1+$BQ43)</f>
        <v>36228.7814685983</v>
      </c>
      <c r="O43" s="39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31946.9554129785</v>
      </c>
      <c r="P43" s="40">
        <v>1</v>
      </c>
      <c r="Q43" s="41" t="s">
        <v>111</v>
      </c>
      <c r="R43" s="41" t="s">
        <v>93</v>
      </c>
      <c r="S43" s="41" t="s">
        <v>72</v>
      </c>
      <c r="T43" s="41" t="s">
        <v>119</v>
      </c>
      <c r="U43" s="41" t="s">
        <v>72</v>
      </c>
      <c r="V43" s="41" t="s">
        <v>72</v>
      </c>
      <c r="W43" s="41" t="s">
        <v>72</v>
      </c>
      <c r="X43" s="41" t="s">
        <v>165</v>
      </c>
      <c r="Y43" s="41" t="s">
        <v>81</v>
      </c>
      <c r="Z43" s="41" t="s">
        <v>72</v>
      </c>
      <c r="AA43" s="41" t="s">
        <v>72</v>
      </c>
      <c r="AB43" s="41" t="s">
        <v>72</v>
      </c>
      <c r="AC43" s="41" t="s">
        <v>72</v>
      </c>
      <c r="AD43" s="41" t="s">
        <v>72</v>
      </c>
      <c r="AE43" s="41" t="s">
        <v>75</v>
      </c>
      <c r="AF43" s="41" t="s">
        <v>76</v>
      </c>
      <c r="AG43" t="str">
        <f>VLOOKUP($Q43,武学奇术!$A:$ZZ,25,FALSE)</f>
        <v>拳甲</v>
      </c>
      <c r="AH43" s="27">
        <f>VLOOKUP($Q43,武学奇术!$A:$ZZ,26,FALSE)</f>
        <v>2.4421</v>
      </c>
      <c r="AI43" s="28">
        <f>VLOOKUP($Q43,武学奇术!$A:$ZZ,27,FALSE)*(1+IF(OR($AG43=$F$4,$AG43=$F$5),$B$22,0))</f>
        <v>945</v>
      </c>
      <c r="AJ43" s="27">
        <f>VLOOKUP($Q43,武学奇术!$A:$ZZ,28,FALSE)</f>
        <v>3.6634</v>
      </c>
      <c r="AK43" s="28">
        <f>VLOOKUP($Q43,武学奇术!$A:$ZZ,29,FALSE)*(1+IF(OR($AG43=$F$4,$AG43=$F$5),$B$22,0))</f>
        <v>512.4</v>
      </c>
      <c r="AL43" s="27" cm="1">
        <f t="array" ref="AL43">$G$3+IFERROR(VLOOKUP($AG43,$F$4:$G$7,2,FALSE),0)+VLOOKUP($Q43,武学奇术!$A:$ZZ,2,FALSE)+SUM(_xlfn.XLOOKUP($R43:$AF43,增益!$A:$A,增益!$B:$B,0))</f>
        <v>0.5541</v>
      </c>
      <c r="AM43" s="27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3804.006</v>
      </c>
      <c r="AO43" cm="1">
        <f t="array" ref="AO43">$E$10*(1+$AM43)+VLOOKUP($Q43,武学奇术!$A:$ZZ,4,FALSE)+SUM(_xlfn.XLOOKUP($R43:$AF43,增益!$A:$A,增益!$D:$D,0))-$I$2</f>
        <v>3804.006</v>
      </c>
      <c r="AP43" s="33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0.317</v>
      </c>
      <c r="AQ43" s="33" cm="1">
        <f t="array" ref="AQ43">$G$10+VLOOKUP($Q43,武学奇术!$A:$ZZ,7,FALSE)+SUM(_xlfn.XLOOKUP(R43:AF43,增益!$A:$A,增益!$G:$G,0))</f>
        <v>0.09</v>
      </c>
      <c r="AR43" s="27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3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-0.14</v>
      </c>
      <c r="AV43" s="33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3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-0.14</v>
      </c>
      <c r="AZ43" s="33" cm="1">
        <f t="array" ref="AZ43">$G$12+VLOOKUP($Q43,武学奇术!$A:$ZZ,12,FALSE)+SUM(_xlfn.XLOOKUP(R43:AF43,增益!$A:$A,增益!$L:$L,0))</f>
        <v>0</v>
      </c>
      <c r="BA43">
        <f t="shared" si="12"/>
        <v>0</v>
      </c>
      <c r="BB43">
        <f t="shared" si="13"/>
        <v>0</v>
      </c>
      <c r="BC43" s="33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-0.14</v>
      </c>
      <c r="BD43" s="33" cm="1">
        <f t="array" ref="BD43">$G$13+VLOOKUP($Q43,武学奇术!$A:$ZZ,14,FALSE)+SUM(_xlfn.XLOOKUP(R43:AF43,增益!$A:$A,增益!$N:$N,0))</f>
        <v>0</v>
      </c>
      <c r="BE43">
        <f t="shared" si="14"/>
        <v>570.28</v>
      </c>
      <c r="BF43">
        <f t="shared" si="15"/>
        <v>1582.156</v>
      </c>
      <c r="BG43" s="33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0.08</v>
      </c>
      <c r="BH43" s="33" cm="1">
        <f t="array" ref="BH43">$G$14+VLOOKUP($Q43,武学奇术!$A:$ZZ,16,FALSE)+SUM(_xlfn.XLOOKUP(R43:AF43,增益!$A:$A,增益!$P:$P,0))</f>
        <v>0.24</v>
      </c>
      <c r="BI43" s="27">
        <f>MIN(IF(VLOOKUP($Q43,武学奇术!$A:$ZZ,23,FALSE)=1,100%,$B$8),100%)</f>
        <v>1</v>
      </c>
      <c r="BJ43" s="27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+MIN(IF(VLOOKUP($Q43,武学奇术!$A:$ZZ,32,FALSE)=1,IF(VLOOKUP($Q43,武学奇术!$A:$ZZ,24,FALSE)=1,100%,MIN(40%,$B$10+VLOOKUP($Q43,武学奇术!$A:$ZZ,19,FALSE)+SUM(_xlfn.XLOOKUP(R43:AF43,增益!$A:$A,增益!$S:$S,0)))+$B$12+SUM(_xlfn.XLOOKUP(R43:AF43,增益!$A:$A,增益!$V:$V,0))),0),12%)</f>
        <v>0.918</v>
      </c>
      <c r="BK43" s="27" cm="1">
        <f t="array" ref="BK43">1+$B$13+VLOOKUP($Q43,武学奇术!$A:$ZZ,18,FALSE)+SUM(_xlfn.XLOOKUP(R43:AF43,增益!$A:$A,增益!$R:$R,0))</f>
        <v>1.64</v>
      </c>
      <c r="BL43" s="27" cm="1">
        <f t="array" ref="BL43">MAX(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-IF(VLOOKUP($Q43,武学奇术!$A:$ZZ,32,FALSE)=1,12%,0),0)</f>
        <v>0.0895</v>
      </c>
      <c r="BM43" s="27" cm="1">
        <f t="array" ref="BM43">1+$B$14+VLOOKUP($Q43,武学奇术!$A:$ZZ,20,FALSE)+SUM(_xlfn.XLOOKUP(R43:AF43,增益!$A:$A,增益!$T:$T,0))</f>
        <v>1.35</v>
      </c>
      <c r="BN43" s="27">
        <f t="shared" si="16"/>
        <v>0.9105</v>
      </c>
      <c r="BO43" s="27">
        <f t="shared" si="17"/>
        <v>0</v>
      </c>
      <c r="BP43" s="27">
        <f>IF(VLOOKUP($Q43,武学奇术!$A:$ZZ,22,FALSE)=1,0,(1-$BI43))*(1-$BL43)</f>
        <v>0</v>
      </c>
      <c r="BQ43" s="27" cm="1">
        <f t="array" ref="BQ43">SUM(_xlfn.XLOOKUP(R43:AF43,增益!$A:$A,增益!$W:$W,0))+$I$5</f>
        <v>0.11</v>
      </c>
    </row>
    <row r="44" spans="1:69">
      <c r="A44" s="4" t="s">
        <v>173</v>
      </c>
      <c r="B44" s="4">
        <v>2.15</v>
      </c>
      <c r="C44" s="40"/>
      <c r="D44" s="40"/>
      <c r="E44" s="40"/>
      <c r="F44" s="40"/>
      <c r="K44" s="39">
        <f t="shared" si="11"/>
        <v>31130.4067982459</v>
      </c>
      <c r="L44" s="39">
        <f>((($AN44+($AO44-$AN44)*IF(VLOOKUP($Q44,武学奇术!$A:$ZZ,31,FALSE)=1,$F$18,0.5))*$AH44+$AI44)*(1+$AP44)*(1+$AQ44)+(($AS44+($AT44-$AS44)*IF(VLOOKUP($Q44,武学奇术!$A:$ZZ,31,FALSE)=1,$F$18,0.5))*IF($G$1="鸣金",$AJ44,$AH44)+IF($G$1="鸣金",$AK44*1.5,0))*(1+$AU44)*(1+$AV44)+(($AW44+($AX44-$AW44)*IF(VLOOKUP($Q44,武学奇术!$A:$ZZ,31,FALSE)=1,$F$18,0.5))*IF($G$1="裂石",$AJ44,$AH44)+IF($G$1="裂石",$AK44*1.5,0))*(1+$AY44)*(1+$AZ44)+(($BA44+($BB44-$BA44)*IF(VLOOKUP($Q44,武学奇术!$A:$ZZ,31,FALSE)=1,$F$18,0.5))*IF($G$1="牵丝",$AJ44,$AH44)+IF($G$1="牵丝",$AK44*1.5,0))*(1+$BC44)*(1+$BD44)+(($BE44+($BF44-$BE44)*IF(VLOOKUP($Q44,武学奇术!$A:$ZZ,31,FALSE)=1,$F$18,0.5))*IF($G$1="破竹",$AJ44,$AH44)+IF($G$1="破竹",$AK44*1.5,0))*(1+$BG44)*(1+$BH44))*(1+$AL44)*$BK44*$P44*(1+IF(VLOOKUP($Q44,武学奇术!$A:$ZZ,30,FALSE)="蓄力技",$B$21,0))*(1+$BQ44)</f>
        <v>31353.878665093</v>
      </c>
      <c r="M44" s="39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28856.9862980869</v>
      </c>
      <c r="N44" s="39">
        <f>((($AN44+($AO44-$AN44)*IF(VLOOKUP($Q44,武学奇术!$A:$ZZ,31,FALSE)=1,$F$18,0.5))*$AH44+$AI44)*(1+$AP44)*(1+$AQ44)+(($AS44+($AT44-$AS44)*IF(VLOOKUP($Q44,武学奇术!$A:$ZZ,31,FALSE)=1,$F$18,0.5))*IF($G$1="鸣金",$AJ44,$AH44)+IF($G$1="鸣金",$AK44*1.5,0))*(1+$AU44)*(1+$AV44)+(($AW44+($AX44-$AW44)*IF(VLOOKUP($Q44,武学奇术!$A:$ZZ,31,FALSE)=1,$F$18,0.5))*IF($G$1="裂石",$AJ44,$AH44)+IF($G$1="裂石",$AK44*1.5,0))*(1+$AY44)*(1+$AZ44)+(($BA44+($BB44-$BA44)*IF(VLOOKUP($Q44,武学奇术!$A:$ZZ,31,FALSE)=1,$F$18,0.5))*IF($G$1="牵丝",$AJ44,$AH44)+IF($G$1="牵丝",$AK44*1.5,0))*(1+$BC44)*(1+$BD44)+(($BE44+($BF44-$BE44)*IF(VLOOKUP($Q44,武学奇术!$A:$ZZ,31,FALSE)=1,$F$18,0.5))*IF($G$1="破竹",$AJ44,$AH44)+IF($G$1="破竹",$AK44*1.5,0))*(1+$BG44)*(1+$BH44))*(1+$AL44)*$P44*(1+IF(VLOOKUP($Q44,武学奇术!$A:$ZZ,30,FALSE)="蓄力技",$B$21,0))*(1+$BQ44)</f>
        <v>19118.2186982274</v>
      </c>
      <c r="O44" s="39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16860.8919904645</v>
      </c>
      <c r="P44" s="40">
        <v>1</v>
      </c>
      <c r="Q44" s="41" t="s">
        <v>106</v>
      </c>
      <c r="R44" s="41" t="s">
        <v>93</v>
      </c>
      <c r="S44" s="41" t="s">
        <v>72</v>
      </c>
      <c r="T44" s="41" t="s">
        <v>119</v>
      </c>
      <c r="U44" s="41" t="s">
        <v>72</v>
      </c>
      <c r="V44" s="41" t="s">
        <v>72</v>
      </c>
      <c r="W44" s="41" t="s">
        <v>72</v>
      </c>
      <c r="X44" s="41" t="s">
        <v>165</v>
      </c>
      <c r="Y44" s="41" t="s">
        <v>81</v>
      </c>
      <c r="Z44" s="41" t="s">
        <v>72</v>
      </c>
      <c r="AA44" s="41" t="s">
        <v>72</v>
      </c>
      <c r="AB44" s="41" t="s">
        <v>72</v>
      </c>
      <c r="AC44" s="41" t="s">
        <v>72</v>
      </c>
      <c r="AD44" s="41" t="s">
        <v>72</v>
      </c>
      <c r="AE44" s="41" t="s">
        <v>75</v>
      </c>
      <c r="AF44" s="41" t="s">
        <v>76</v>
      </c>
      <c r="AG44" t="str">
        <f>VLOOKUP($Q44,武学奇术!$A:$ZZ,25,FALSE)</f>
        <v>拳甲</v>
      </c>
      <c r="AH44" s="27">
        <f>VLOOKUP($Q44,武学奇术!$A:$ZZ,26,FALSE)</f>
        <v>1.2876</v>
      </c>
      <c r="AI44" s="28">
        <f>VLOOKUP($Q44,武学奇术!$A:$ZZ,27,FALSE)*(1+IF(OR($AG44=$F$4,$AG44=$F$5),$B$22,0))</f>
        <v>501.2</v>
      </c>
      <c r="AJ44" s="27">
        <f>VLOOKUP($Q44,武学奇术!$A:$ZZ,28,FALSE)</f>
        <v>1.9313</v>
      </c>
      <c r="AK44" s="28">
        <f>VLOOKUP($Q44,武学奇术!$A:$ZZ,29,FALSE)*(1+IF(OR($AG44=$F$4,$AG44=$F$5),$B$22,0))</f>
        <v>273</v>
      </c>
      <c r="AL44" s="27" cm="1">
        <f t="array" ref="AL44">$G$3+IFERROR(VLOOKUP($AG44,$F$4:$G$7,2,FALSE),0)+VLOOKUP($Q44,武学奇术!$A:$ZZ,2,FALSE)+SUM(_xlfn.XLOOKUP($R44:$AF44,增益!$A:$A,增益!$B:$B,0))</f>
        <v>0.5541</v>
      </c>
      <c r="AM44" s="27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3804.006</v>
      </c>
      <c r="AO44" cm="1">
        <f t="array" ref="AO44">$E$10*(1+$AM44)+VLOOKUP($Q44,武学奇术!$A:$ZZ,4,FALSE)+SUM(_xlfn.XLOOKUP($R44:$AF44,增益!$A:$A,增益!$D:$D,0))-$I$2</f>
        <v>3804.006</v>
      </c>
      <c r="AP44" s="33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0.317</v>
      </c>
      <c r="AQ44" s="33" cm="1">
        <f t="array" ref="AQ44">$G$10+VLOOKUP($Q44,武学奇术!$A:$ZZ,7,FALSE)+SUM(_xlfn.XLOOKUP(R44:AF44,增益!$A:$A,增益!$G:$G,0))</f>
        <v>0.09</v>
      </c>
      <c r="AR44" s="27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3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-0.14</v>
      </c>
      <c r="AV44" s="33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33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-0.14</v>
      </c>
      <c r="AZ44" s="33" cm="1">
        <f t="array" ref="AZ44">$G$12+VLOOKUP($Q44,武学奇术!$A:$ZZ,12,FALSE)+SUM(_xlfn.XLOOKUP(R44:AF44,增益!$A:$A,增益!$L:$L,0))</f>
        <v>0</v>
      </c>
      <c r="BA44">
        <f t="shared" si="12"/>
        <v>0</v>
      </c>
      <c r="BB44">
        <f t="shared" si="13"/>
        <v>0</v>
      </c>
      <c r="BC44" s="33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-0.14</v>
      </c>
      <c r="BD44" s="33" cm="1">
        <f t="array" ref="BD44">$G$13+VLOOKUP($Q44,武学奇术!$A:$ZZ,14,FALSE)+SUM(_xlfn.XLOOKUP(R44:AF44,增益!$A:$A,增益!$N:$N,0))</f>
        <v>0</v>
      </c>
      <c r="BE44">
        <f t="shared" si="14"/>
        <v>570.28</v>
      </c>
      <c r="BF44">
        <f t="shared" si="15"/>
        <v>1582.156</v>
      </c>
      <c r="BG44" s="33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0.08</v>
      </c>
      <c r="BH44" s="33" cm="1">
        <f t="array" ref="BH44">$G$14+VLOOKUP($Q44,武学奇术!$A:$ZZ,16,FALSE)+SUM(_xlfn.XLOOKUP(R44:AF44,增益!$A:$A,增益!$P:$P,0))</f>
        <v>0.24</v>
      </c>
      <c r="BI44" s="27">
        <f>MIN(IF(VLOOKUP($Q44,武学奇术!$A:$ZZ,23,FALSE)=1,100%,$B$8),100%)</f>
        <v>1</v>
      </c>
      <c r="BJ44" s="27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+MIN(IF(VLOOKUP($Q44,武学奇术!$A:$ZZ,32,FALSE)=1,IF(VLOOKUP($Q44,武学奇术!$A:$ZZ,24,FALSE)=1,100%,MIN(40%,$B$10+VLOOKUP($Q44,武学奇术!$A:$ZZ,19,FALSE)+SUM(_xlfn.XLOOKUP(R44:AF44,增益!$A:$A,增益!$S:$S,0)))+$B$12+SUM(_xlfn.XLOOKUP(R44:AF44,增益!$A:$A,增益!$V:$V,0))),0),12%)</f>
        <v>0.918</v>
      </c>
      <c r="BK44" s="27" cm="1">
        <f t="array" ref="BK44">1+$B$13+VLOOKUP($Q44,武学奇术!$A:$ZZ,18,FALSE)+SUM(_xlfn.XLOOKUP(R44:AF44,增益!$A:$A,增益!$R:$R,0))</f>
        <v>1.64</v>
      </c>
      <c r="BL44" s="27" cm="1">
        <f t="array" ref="BL44">MAX(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-IF(VLOOKUP($Q44,武学奇术!$A:$ZZ,32,FALSE)=1,12%,0),0)</f>
        <v>0.0895</v>
      </c>
      <c r="BM44" s="27" cm="1">
        <f t="array" ref="BM44">1+$B$14+VLOOKUP($Q44,武学奇术!$A:$ZZ,20,FALSE)+SUM(_xlfn.XLOOKUP(R44:AF44,增益!$A:$A,增益!$T:$T,0))</f>
        <v>1.35</v>
      </c>
      <c r="BN44" s="27">
        <f t="shared" si="16"/>
        <v>0.9105</v>
      </c>
      <c r="BO44" s="27">
        <f t="shared" si="17"/>
        <v>0</v>
      </c>
      <c r="BP44" s="27">
        <f>IF(VLOOKUP($Q44,武学奇术!$A:$ZZ,22,FALSE)=1,0,(1-$BI44))*(1-$BL44)</f>
        <v>0</v>
      </c>
      <c r="BQ44" s="27" cm="1">
        <f t="array" ref="BQ44">SUM(_xlfn.XLOOKUP(R44:AF44,增益!$A:$A,增益!$W:$W,0))+$I$5</f>
        <v>0.11</v>
      </c>
    </row>
    <row r="45" spans="1:69">
      <c r="A45" s="4" t="s">
        <v>168</v>
      </c>
      <c r="B45" s="4">
        <v>1</v>
      </c>
      <c r="C45" s="40"/>
      <c r="D45" s="40"/>
      <c r="F45" s="40"/>
      <c r="K45" s="39">
        <f t="shared" si="11"/>
        <v>71371.3750070923</v>
      </c>
      <c r="L45" s="39">
        <f>((($AN45+($AO45-$AN45)*IF(VLOOKUP($Q45,武学奇术!$A:$ZZ,31,FALSE)=1,$F$18,0.5))*$AH45+$AI45)*(1+$AP45)*(1+$AQ45)+(($AS45+($AT45-$AS45)*IF(VLOOKUP($Q45,武学奇术!$A:$ZZ,31,FALSE)=1,$F$18,0.5))*IF($G$1="鸣金",$AJ45,$AH45)+IF($G$1="鸣金",$AK45*1.5,0))*(1+$AU45)*(1+$AV45)+(($AW45+($AX45-$AW45)*IF(VLOOKUP($Q45,武学奇术!$A:$ZZ,31,FALSE)=1,$F$18,0.5))*IF($G$1="裂石",$AJ45,$AH45)+IF($G$1="裂石",$AK45*1.5,0))*(1+$AY45)*(1+$AZ45)+(($BA45+($BB45-$BA45)*IF(VLOOKUP($Q45,武学奇术!$A:$ZZ,31,FALSE)=1,$F$18,0.5))*IF($G$1="牵丝",$AJ45,$AH45)+IF($G$1="牵丝",$AK45*1.5,0))*(1+$BC45)*(1+$BD45)+(($BE45+($BF45-$BE45)*IF(VLOOKUP($Q45,武学奇术!$A:$ZZ,31,FALSE)=1,$F$18,0.5))*IF($G$1="破竹",$AJ45,$AH45)+IF($G$1="破竹",$AK45*1.5,0))*(1+$BG45)*(1+$BH45))*(1+$AL45)*$BK45*$P45*(1+IF(VLOOKUP($Q45,武学奇术!$A:$ZZ,30,FALSE)="蓄力技",$B$21,0))*(1+$BQ45)</f>
        <v>72745.2522337444</v>
      </c>
      <c r="M45" s="39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57394.6686957326</v>
      </c>
      <c r="N45" s="39">
        <f>((($AN45+($AO45-$AN45)*IF(VLOOKUP($Q45,武学奇术!$A:$ZZ,31,FALSE)=1,$F$18,0.5))*$AH45+$AI45)*(1+$AP45)*(1+$AQ45)+(($AS45+($AT45-$AS45)*IF(VLOOKUP($Q45,武学奇术!$A:$ZZ,31,FALSE)=1,$F$18,0.5))*IF($G$1="鸣金",$AJ45,$AH45)+IF($G$1="鸣金",$AK45*1.5,0))*(1+$AU45)*(1+$AV45)+(($AW45+($AX45-$AW45)*IF(VLOOKUP($Q45,武学奇术!$A:$ZZ,31,FALSE)=1,$F$18,0.5))*IF($G$1="裂石",$AJ45,$AH45)+IF($G$1="裂石",$AK45*1.5,0))*(1+$AY45)*(1+$AZ45)+(($BA45+($BB45-$BA45)*IF(VLOOKUP($Q45,武学奇术!$A:$ZZ,31,FALSE)=1,$F$18,0.5))*IF($G$1="牵丝",$AJ45,$AH45)+IF($G$1="牵丝",$AK45*1.5,0))*(1+$BC45)*(1+$BD45)+(($BE45+($BF45-$BE45)*IF(VLOOKUP($Q45,武学奇术!$A:$ZZ,31,FALSE)=1,$F$18,0.5))*IF($G$1="破竹",$AJ45,$AH45)+IF($G$1="破竹",$AK45*1.5,0))*(1+$BG45)*(1+$BH45))*(1+$AL45)*$P45*(1+IF(VLOOKUP($Q45,武学奇术!$A:$ZZ,30,FALSE)="蓄力技",$B$21,0))*(1+$BQ45)</f>
        <v>37497.5526978064</v>
      </c>
      <c r="O45" s="39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32480.5359913664</v>
      </c>
      <c r="P45" s="40">
        <v>1</v>
      </c>
      <c r="Q45" s="41" t="s">
        <v>108</v>
      </c>
      <c r="R45" s="41" t="s">
        <v>93</v>
      </c>
      <c r="S45" s="41" t="s">
        <v>72</v>
      </c>
      <c r="T45" s="41" t="s">
        <v>119</v>
      </c>
      <c r="U45" s="41" t="s">
        <v>72</v>
      </c>
      <c r="V45" s="41" t="s">
        <v>72</v>
      </c>
      <c r="W45" s="41" t="s">
        <v>72</v>
      </c>
      <c r="X45" s="41" t="s">
        <v>165</v>
      </c>
      <c r="Y45" s="41" t="s">
        <v>81</v>
      </c>
      <c r="Z45" s="41" t="s">
        <v>101</v>
      </c>
      <c r="AA45" s="41" t="s">
        <v>72</v>
      </c>
      <c r="AB45" s="41" t="s">
        <v>72</v>
      </c>
      <c r="AC45" s="41" t="s">
        <v>72</v>
      </c>
      <c r="AD45" s="41" t="s">
        <v>72</v>
      </c>
      <c r="AE45" s="41" t="s">
        <v>75</v>
      </c>
      <c r="AF45" s="41" t="s">
        <v>76</v>
      </c>
      <c r="AG45" t="str">
        <f>VLOOKUP($Q45,武学奇术!$A:$ZZ,25,FALSE)</f>
        <v>拳甲</v>
      </c>
      <c r="AH45" s="27">
        <f>VLOOKUP($Q45,武学奇术!$A:$ZZ,26,FALSE)</f>
        <v>2.33376</v>
      </c>
      <c r="AI45" s="28">
        <f>VLOOKUP($Q45,武学奇术!$A:$ZZ,27,FALSE)*(1+IF(OR($AG45=$F$4,$AG45=$F$5),$B$22,0))</f>
        <v>0</v>
      </c>
      <c r="AJ45" s="27">
        <f>VLOOKUP($Q45,武学奇术!$A:$ZZ,28,FALSE)</f>
        <v>3.50064</v>
      </c>
      <c r="AK45" s="28">
        <f>VLOOKUP($Q45,武学奇术!$A:$ZZ,29,FALSE)*(1+IF(OR($AG45=$F$4,$AG45=$F$5),$B$22,0))</f>
        <v>0</v>
      </c>
      <c r="AL45" s="27" cm="1">
        <f t="array" ref="AL45">$G$3+IFERROR(VLOOKUP($AG45,$F$4:$G$7,2,FALSE),0)+VLOOKUP($Q45,武学奇术!$A:$ZZ,2,FALSE)+SUM(_xlfn.XLOOKUP($R45:$AF45,增益!$A:$A,增益!$B:$B,0))</f>
        <v>0.8541</v>
      </c>
      <c r="AM45" s="27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3804.006</v>
      </c>
      <c r="AO45" cm="1">
        <f t="array" ref="AO45">$E$10*(1+$AM45)+VLOOKUP($Q45,武学奇术!$A:$ZZ,4,FALSE)+SUM(_xlfn.XLOOKUP($R45:$AF45,增益!$A:$A,增益!$D:$D,0))-$I$2</f>
        <v>3804.006</v>
      </c>
      <c r="AP45" s="33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0.347</v>
      </c>
      <c r="AQ45" s="33" cm="1">
        <f t="array" ref="AQ45">$G$10+VLOOKUP($Q45,武学奇术!$A:$ZZ,7,FALSE)+SUM(_xlfn.XLOOKUP(R45:AF45,增益!$A:$A,增益!$G:$G,0))</f>
        <v>0.09</v>
      </c>
      <c r="AR45" s="27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3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-0.08</v>
      </c>
      <c r="AV45" s="33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33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-0.08</v>
      </c>
      <c r="AZ45" s="33" cm="1">
        <f t="array" ref="AZ45">$G$12+VLOOKUP($Q45,武学奇术!$A:$ZZ,12,FALSE)+SUM(_xlfn.XLOOKUP(R45:AF45,增益!$A:$A,增益!$L:$L,0))</f>
        <v>0</v>
      </c>
      <c r="BA45">
        <f t="shared" si="12"/>
        <v>0</v>
      </c>
      <c r="BB45">
        <f t="shared" si="13"/>
        <v>0</v>
      </c>
      <c r="BC45" s="33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-0.08</v>
      </c>
      <c r="BD45" s="33" cm="1">
        <f t="array" ref="BD45">$G$13+VLOOKUP($Q45,武学奇术!$A:$ZZ,14,FALSE)+SUM(_xlfn.XLOOKUP(R45:AF45,增益!$A:$A,增益!$N:$N,0))</f>
        <v>0</v>
      </c>
      <c r="BE45">
        <f t="shared" si="14"/>
        <v>570.28</v>
      </c>
      <c r="BF45">
        <f t="shared" si="15"/>
        <v>1582.156</v>
      </c>
      <c r="BG45" s="33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0.11</v>
      </c>
      <c r="BH45" s="33" cm="1">
        <f t="array" ref="BH45">$G$14+VLOOKUP($Q45,武学奇术!$A:$ZZ,16,FALSE)+SUM(_xlfn.XLOOKUP(R45:AF45,增益!$A:$A,增益!$P:$P,0))</f>
        <v>0.24</v>
      </c>
      <c r="BI45" s="27">
        <f>MIN(IF(VLOOKUP($Q45,武学奇术!$A:$ZZ,23,FALSE)=1,100%,$B$8),100%)</f>
        <v>1</v>
      </c>
      <c r="BJ45" s="27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+MIN(IF(VLOOKUP($Q45,武学奇术!$A:$ZZ,32,FALSE)=1,IF(VLOOKUP($Q45,武学奇术!$A:$ZZ,24,FALSE)=1,100%,MIN(40%,$B$10+VLOOKUP($Q45,武学奇术!$A:$ZZ,19,FALSE)+SUM(_xlfn.XLOOKUP(R45:AF45,增益!$A:$A,增益!$S:$S,0)))+$B$12+SUM(_xlfn.XLOOKUP(R45:AF45,增益!$A:$A,增益!$V:$V,0))),0),12%)</f>
        <v>0.918</v>
      </c>
      <c r="BK45" s="27" cm="1">
        <f t="array" ref="BK45">1+$B$13+VLOOKUP($Q45,武学奇术!$A:$ZZ,18,FALSE)+SUM(_xlfn.XLOOKUP(R45:AF45,增益!$A:$A,增益!$R:$R,0))</f>
        <v>1.94</v>
      </c>
      <c r="BL45" s="27" cm="1">
        <f t="array" ref="BL45">MAX(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-IF(VLOOKUP($Q45,武学奇术!$A:$ZZ,32,FALSE)=1,12%,0),0)</f>
        <v>0.0895</v>
      </c>
      <c r="BM45" s="27" cm="1">
        <f t="array" ref="BM45">1+$B$14+VLOOKUP($Q45,武学奇术!$A:$ZZ,20,FALSE)+SUM(_xlfn.XLOOKUP(R45:AF45,增益!$A:$A,增益!$T:$T,0))</f>
        <v>1.35</v>
      </c>
      <c r="BN45" s="27">
        <f t="shared" si="16"/>
        <v>0.9105</v>
      </c>
      <c r="BO45" s="27">
        <f t="shared" si="17"/>
        <v>0</v>
      </c>
      <c r="BP45" s="27">
        <f>IF(VLOOKUP($Q45,武学奇术!$A:$ZZ,22,FALSE)=1,0,(1-$BI45))*(1-$BL45)</f>
        <v>0</v>
      </c>
      <c r="BQ45" s="27" cm="1">
        <f t="array" ref="BQ45">SUM(_xlfn.XLOOKUP(R45:AF45,增益!$A:$A,增益!$W:$W,0))+$I$5</f>
        <v>0.11</v>
      </c>
    </row>
    <row r="46" spans="1:69">
      <c r="A46" s="4" t="s">
        <v>166</v>
      </c>
      <c r="B46" s="91">
        <v>1.16</v>
      </c>
      <c r="C46" s="40"/>
      <c r="D46" s="40"/>
      <c r="F46" s="40"/>
      <c r="K46" s="39">
        <f t="shared" si="11"/>
        <v>24022.2140458623</v>
      </c>
      <c r="L46" s="39">
        <f>((($AN46+($AO46-$AN46)*IF(VLOOKUP($Q46,武学奇术!$A:$ZZ,31,FALSE)=1,$F$18,0.5))*$AH46+$AI46)*(1+$AP46)*(1+$AQ46)+(($AS46+($AT46-$AS46)*IF(VLOOKUP($Q46,武学奇术!$A:$ZZ,31,FALSE)=1,$F$18,0.5))*IF($G$1="鸣金",$AJ46,$AH46)+IF($G$1="鸣金",$AK46*1.5,0))*(1+$AU46)*(1+$AV46)+(($AW46+($AX46-$AW46)*IF(VLOOKUP($Q46,武学奇术!$A:$ZZ,31,FALSE)=1,$F$18,0.5))*IF($G$1="裂石",$AJ46,$AH46)+IF($G$1="裂石",$AK46*1.5,0))*(1+$AY46)*(1+$AZ46)+(($BA46+($BB46-$BA46)*IF(VLOOKUP($Q46,武学奇术!$A:$ZZ,31,FALSE)=1,$F$18,0.5))*IF($G$1="牵丝",$AJ46,$AH46)+IF($G$1="牵丝",$AK46*1.5,0))*(1+$BC46)*(1+$BD46)+(($BE46+($BF46-$BE46)*IF(VLOOKUP($Q46,武学奇术!$A:$ZZ,31,FALSE)=1,$F$18,0.5))*IF($G$1="破竹",$AJ46,$AH46)+IF($G$1="破竹",$AK46*1.5,0))*(1+$BG46)*(1+$BH46))*(1+$AL46)*$BK46*$P46*(1+IF(VLOOKUP($Q46,武学奇术!$A:$ZZ,30,FALSE)="蓄力技",$B$21,0))*(1+$BQ46)</f>
        <v>24194.506906807</v>
      </c>
      <c r="M46" s="39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22269.4470079836</v>
      </c>
      <c r="N46" s="39">
        <f>((($AN46+($AO46-$AN46)*IF(VLOOKUP($Q46,武学奇术!$A:$ZZ,31,FALSE)=1,$F$18,0.5))*$AH46+$AI46)*(1+$AP46)*(1+$AQ46)+(($AS46+($AT46-$AS46)*IF(VLOOKUP($Q46,武学奇术!$A:$ZZ,31,FALSE)=1,$F$18,0.5))*IF($G$1="鸣金",$AJ46,$AH46)+IF($G$1="鸣金",$AK46*1.5,0))*(1+$AU46)*(1+$AV46)+(($AW46+($AX46-$AW46)*IF(VLOOKUP($Q46,武学奇术!$A:$ZZ,31,FALSE)=1,$F$18,0.5))*IF($G$1="裂石",$AJ46,$AH46)+IF($G$1="裂石",$AK46*1.5,0))*(1+$AY46)*(1+$AZ46)+(($BA46+($BB46-$BA46)*IF(VLOOKUP($Q46,武学奇术!$A:$ZZ,31,FALSE)=1,$F$18,0.5))*IF($G$1="牵丝",$AJ46,$AH46)+IF($G$1="牵丝",$AK46*1.5,0))*(1+$BC46)*(1+$BD46)+(($BE46+($BF46-$BE46)*IF(VLOOKUP($Q46,武学奇术!$A:$ZZ,31,FALSE)=1,$F$18,0.5))*IF($G$1="破竹",$AJ46,$AH46)+IF($G$1="破竹",$AK46*1.5,0))*(1+$BG46)*(1+$BH46))*(1+$AL46)*$P46*(1+IF(VLOOKUP($Q46,武学奇术!$A:$ZZ,30,FALSE)="蓄力技",$B$21,0))*(1+$BQ46)</f>
        <v>14752.7481139067</v>
      </c>
      <c r="O46" s="39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13009.609555233</v>
      </c>
      <c r="P46" s="40">
        <v>1</v>
      </c>
      <c r="Q46" s="41" t="s">
        <v>140</v>
      </c>
      <c r="R46" s="41" t="s">
        <v>93</v>
      </c>
      <c r="S46" s="41" t="s">
        <v>72</v>
      </c>
      <c r="T46" s="41" t="s">
        <v>72</v>
      </c>
      <c r="U46" s="41" t="s">
        <v>72</v>
      </c>
      <c r="V46" s="41" t="s">
        <v>72</v>
      </c>
      <c r="W46" s="41" t="s">
        <v>72</v>
      </c>
      <c r="X46" s="41" t="s">
        <v>165</v>
      </c>
      <c r="Y46" s="41" t="s">
        <v>81</v>
      </c>
      <c r="Z46" s="41" t="s">
        <v>72</v>
      </c>
      <c r="AA46" s="41" t="s">
        <v>72</v>
      </c>
      <c r="AB46" s="41" t="s">
        <v>72</v>
      </c>
      <c r="AC46" s="41" t="s">
        <v>72</v>
      </c>
      <c r="AD46" s="41" t="s">
        <v>72</v>
      </c>
      <c r="AE46" s="41" t="s">
        <v>75</v>
      </c>
      <c r="AF46" s="41" t="s">
        <v>76</v>
      </c>
      <c r="AG46" t="str">
        <f>VLOOKUP($Q46,武学奇术!$A:$ZZ,25,FALSE)</f>
        <v>拳甲</v>
      </c>
      <c r="AH46" s="27">
        <f>VLOOKUP($Q46,武学奇术!$A:$ZZ,26,FALSE)</f>
        <v>1.1005</v>
      </c>
      <c r="AI46" s="28">
        <f>VLOOKUP($Q46,武学奇术!$A:$ZZ,27,FALSE)*(1+IF(OR($AG46=$F$4,$AG46=$F$5),$B$22,0))</f>
        <v>427</v>
      </c>
      <c r="AJ46" s="27">
        <f>VLOOKUP($Q46,武学奇术!$A:$ZZ,28,FALSE)</f>
        <v>1.6507</v>
      </c>
      <c r="AK46" s="28">
        <f>VLOOKUP($Q46,武学奇术!$A:$ZZ,29,FALSE)*(1+IF(OR($AG46=$F$4,$AG46=$F$5),$B$22,0))</f>
        <v>231</v>
      </c>
      <c r="AL46" s="27" cm="1">
        <f t="array" ref="AL46">$G$3+IFERROR(VLOOKUP($AG46,$F$4:$G$7,2,FALSE),0)+VLOOKUP($Q46,武学奇术!$A:$ZZ,2,FALSE)+SUM(_xlfn.XLOOKUP($R46:$AF46,增益!$A:$A,增益!$B:$B,0))</f>
        <v>0.4041</v>
      </c>
      <c r="AM46" s="27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3804.006</v>
      </c>
      <c r="AO46" cm="1">
        <f t="array" ref="AO46">$E$10*(1+$AM46)+VLOOKUP($Q46,武学奇术!$A:$ZZ,4,FALSE)+SUM(_xlfn.XLOOKUP($R46:$AF46,增益!$A:$A,增益!$D:$D,0))-$I$2</f>
        <v>3804.006</v>
      </c>
      <c r="AP46" s="33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0.317</v>
      </c>
      <c r="AQ46" s="33" cm="1">
        <f t="array" ref="AQ46">$G$10+VLOOKUP($Q46,武学奇术!$A:$ZZ,7,FALSE)+SUM(_xlfn.XLOOKUP(R46:AF46,增益!$A:$A,增益!$G:$G,0))</f>
        <v>0.09</v>
      </c>
      <c r="AR46" s="27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3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-0.14</v>
      </c>
      <c r="AV46" s="33" cm="1">
        <f t="array" ref="AV46">$G$11+VLOOKUP($Q46,武学奇术!$A:$ZZ,10,FALSE)+SUM(_xlfn.XLOOKUP(R46:AF46,增益!$A:$A,增益!$J:$J,0))</f>
        <v>0</v>
      </c>
      <c r="AW46">
        <f t="shared" si="20"/>
        <v>0</v>
      </c>
      <c r="AX46">
        <f t="shared" si="21"/>
        <v>0</v>
      </c>
      <c r="AY46" s="33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-0.14</v>
      </c>
      <c r="AZ46" s="33" cm="1">
        <f t="array" ref="AZ46">$G$12+VLOOKUP($Q46,武学奇术!$A:$ZZ,12,FALSE)+SUM(_xlfn.XLOOKUP(R46:AF46,增益!$A:$A,增益!$L:$L,0))</f>
        <v>0</v>
      </c>
      <c r="BA46">
        <f t="shared" si="12"/>
        <v>0</v>
      </c>
      <c r="BB46">
        <f t="shared" si="13"/>
        <v>0</v>
      </c>
      <c r="BC46" s="33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-0.14</v>
      </c>
      <c r="BD46" s="33" cm="1">
        <f t="array" ref="BD46">$G$13+VLOOKUP($Q46,武学奇术!$A:$ZZ,14,FALSE)+SUM(_xlfn.XLOOKUP(R46:AF46,增益!$A:$A,增益!$N:$N,0))</f>
        <v>0</v>
      </c>
      <c r="BE46">
        <f t="shared" si="14"/>
        <v>570.28</v>
      </c>
      <c r="BF46">
        <f t="shared" si="15"/>
        <v>1582.156</v>
      </c>
      <c r="BG46" s="33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0.08</v>
      </c>
      <c r="BH46" s="33" cm="1">
        <f t="array" ref="BH46">$G$14+VLOOKUP($Q46,武学奇术!$A:$ZZ,16,FALSE)+SUM(_xlfn.XLOOKUP(R46:AF46,增益!$A:$A,增益!$P:$P,0))</f>
        <v>0.24</v>
      </c>
      <c r="BI46" s="27">
        <f>MIN(IF(VLOOKUP($Q46,武学奇术!$A:$ZZ,23,FALSE)=1,100%,$B$8),100%)</f>
        <v>1</v>
      </c>
      <c r="BJ46" s="27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+MIN(IF(VLOOKUP($Q46,武学奇术!$A:$ZZ,32,FALSE)=1,IF(VLOOKUP($Q46,武学奇术!$A:$ZZ,24,FALSE)=1,100%,MIN(40%,$B$10+VLOOKUP($Q46,武学奇术!$A:$ZZ,19,FALSE)+SUM(_xlfn.XLOOKUP(R46:AF46,增益!$A:$A,增益!$S:$S,0)))+$B$12+SUM(_xlfn.XLOOKUP(R46:AF46,增益!$A:$A,增益!$V:$V,0))),0),12%)</f>
        <v>0.918</v>
      </c>
      <c r="BK46" s="27" cm="1">
        <f t="array" ref="BK46">1+$B$13+VLOOKUP($Q46,武学奇术!$A:$ZZ,18,FALSE)+SUM(_xlfn.XLOOKUP(R46:AF46,增益!$A:$A,增益!$R:$R,0))</f>
        <v>1.64</v>
      </c>
      <c r="BL46" s="27" cm="1">
        <f t="array" ref="BL46">MAX(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-IF(VLOOKUP($Q46,武学奇术!$A:$ZZ,32,FALSE)=1,12%,0),0)</f>
        <v>0.0895</v>
      </c>
      <c r="BM46" s="27" cm="1">
        <f t="array" ref="BM46">1+$B$14+VLOOKUP($Q46,武学奇术!$A:$ZZ,20,FALSE)+SUM(_xlfn.XLOOKUP(R46:AF46,增益!$A:$A,增益!$T:$T,0))</f>
        <v>1.35</v>
      </c>
      <c r="BN46" s="27">
        <f t="shared" si="16"/>
        <v>0.9105</v>
      </c>
      <c r="BO46" s="27">
        <f t="shared" si="17"/>
        <v>0</v>
      </c>
      <c r="BP46" s="27">
        <f>IF(VLOOKUP($Q46,武学奇术!$A:$ZZ,22,FALSE)=1,0,(1-$BI46))*(1-$BL46)</f>
        <v>0</v>
      </c>
      <c r="BQ46" s="27" cm="1">
        <f t="array" ref="BQ46">SUM(_xlfn.XLOOKUP(R46:AF46,增益!$A:$A,增益!$W:$W,0))+$I$5</f>
        <v>0.11</v>
      </c>
    </row>
    <row r="47" spans="1:69">
      <c r="A47" t="s">
        <v>155</v>
      </c>
      <c r="B47">
        <v>0.9</v>
      </c>
      <c r="C47" s="40"/>
      <c r="D47" s="40"/>
      <c r="F47" s="40"/>
      <c r="K47" s="39">
        <f t="shared" si="11"/>
        <v>87140.1130169111</v>
      </c>
      <c r="L47" s="39">
        <f>((($AN47+($AO47-$AN47)*IF(VLOOKUP($Q47,武学奇术!$A:$ZZ,31,FALSE)=1,$F$18,0.5))*$AH47+$AI47)*(1+$AP47)*(1+$AQ47)+(($AS47+($AT47-$AS47)*IF(VLOOKUP($Q47,武学奇术!$A:$ZZ,31,FALSE)=1,$F$18,0.5))*IF($G$1="鸣金",$AJ47,$AH47)+IF($G$1="鸣金",$AK47*1.5,0))*(1+$AU47)*(1+$AV47)+(($AW47+($AX47-$AW47)*IF(VLOOKUP($Q47,武学奇术!$A:$ZZ,31,FALSE)=1,$F$18,0.5))*IF($G$1="裂石",$AJ47,$AH47)+IF($G$1="裂石",$AK47*1.5,0))*(1+$AY47)*(1+$AZ47)+(($BA47+($BB47-$BA47)*IF(VLOOKUP($Q47,武学奇术!$A:$ZZ,31,FALSE)=1,$F$18,0.5))*IF($G$1="牵丝",$AJ47,$AH47)+IF($G$1="牵丝",$AK47*1.5,0))*(1+$BC47)*(1+$BD47)+(($BE47+($BF47-$BE47)*IF(VLOOKUP($Q47,武学奇术!$A:$ZZ,31,FALSE)=1,$F$18,0.5))*IF($G$1="破竹",$AJ47,$AH47)+IF($G$1="破竹",$AK47*1.5,0))*(1+$BG47)*(1+$BH47))*(1+$AL47)*$BK47*$P47*(1+IF(VLOOKUP($Q47,武学奇术!$A:$ZZ,30,FALSE)="蓄力技",$B$21,0))*(1+$BQ47)</f>
        <v>88903.0223968154</v>
      </c>
      <c r="M47" s="39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69205.7108895051</v>
      </c>
      <c r="N47" s="39">
        <f>((($AN47+($AO47-$AN47)*IF(VLOOKUP($Q47,武学奇术!$A:$ZZ,31,FALSE)=1,$F$18,0.5))*$AH47+$AI47)*(1+$AP47)*(1+$AQ47)+(($AS47+($AT47-$AS47)*IF(VLOOKUP($Q47,武学奇术!$A:$ZZ,31,FALSE)=1,$F$18,0.5))*IF($G$1="鸣金",$AJ47,$AH47)+IF($G$1="鸣金",$AK47*1.5,0))*(1+$AU47)*(1+$AV47)+(($AW47+($AX47-$AW47)*IF(VLOOKUP($Q47,武学奇术!$A:$ZZ,31,FALSE)=1,$F$18,0.5))*IF($G$1="裂石",$AJ47,$AH47)+IF($G$1="裂石",$AK47*1.5,0))*(1+$AY47)*(1+$AZ47)+(($BA47+($BB47-$BA47)*IF(VLOOKUP($Q47,武学奇术!$A:$ZZ,31,FALSE)=1,$F$18,0.5))*IF($G$1="牵丝",$AJ47,$AH47)+IF($G$1="牵丝",$AK47*1.5,0))*(1+$BC47)*(1+$BD47)+(($BE47+($BF47-$BE47)*IF(VLOOKUP($Q47,武学奇术!$A:$ZZ,31,FALSE)=1,$F$18,0.5))*IF($G$1="破竹",$AJ47,$AH47)+IF($G$1="破竹",$AK47*1.5,0))*(1+$BG47)*(1+$BH47))*(1+$AL47)*$P47*(1+IF(VLOOKUP($Q47,武学奇术!$A:$ZZ,30,FALSE)="蓄力技",$B$21,0))*(1+$BQ47)</f>
        <v>45826.300204544</v>
      </c>
      <c r="O47" s="39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40389.1108613065</v>
      </c>
      <c r="P47" s="40">
        <v>1</v>
      </c>
      <c r="Q47" s="41" t="s">
        <v>103</v>
      </c>
      <c r="R47" s="41" t="s">
        <v>93</v>
      </c>
      <c r="S47" s="41" t="s">
        <v>72</v>
      </c>
      <c r="T47" s="41" t="s">
        <v>72</v>
      </c>
      <c r="U47" s="41" t="s">
        <v>72</v>
      </c>
      <c r="V47" s="41" t="s">
        <v>72</v>
      </c>
      <c r="W47" s="41" t="s">
        <v>72</v>
      </c>
      <c r="X47" s="41" t="s">
        <v>165</v>
      </c>
      <c r="Y47" s="41" t="s">
        <v>81</v>
      </c>
      <c r="Z47" s="41" t="s">
        <v>101</v>
      </c>
      <c r="AA47" s="41" t="s">
        <v>72</v>
      </c>
      <c r="AB47" s="41" t="s">
        <v>72</v>
      </c>
      <c r="AC47" s="41" t="s">
        <v>72</v>
      </c>
      <c r="AD47" s="41" t="s">
        <v>72</v>
      </c>
      <c r="AE47" s="41" t="s">
        <v>75</v>
      </c>
      <c r="AF47" s="41" t="s">
        <v>76</v>
      </c>
      <c r="AG47" t="str">
        <f>VLOOKUP($Q47,武学奇术!$A:$ZZ,25,FALSE)</f>
        <v>拳甲</v>
      </c>
      <c r="AH47" s="27">
        <f>VLOOKUP($Q47,武学奇术!$A:$ZZ,26,FALSE)</f>
        <v>2.75166</v>
      </c>
      <c r="AI47" s="28">
        <f>VLOOKUP($Q47,武学奇术!$A:$ZZ,27,FALSE)*(1+IF(OR($AG47=$F$4,$AG47=$F$5),$B$22,0))</f>
        <v>1060.92</v>
      </c>
      <c r="AJ47" s="27">
        <f>VLOOKUP($Q47,武学奇术!$A:$ZZ,28,FALSE)</f>
        <v>4.12776</v>
      </c>
      <c r="AK47" s="28">
        <f>VLOOKUP($Q47,武学奇术!$A:$ZZ,29,FALSE)*(1+IF(OR($AG47=$F$4,$AG47=$F$5),$B$22,0))</f>
        <v>574.56</v>
      </c>
      <c r="AL47" s="27" cm="1">
        <f t="array" ref="AL47">$G$3+IFERROR(VLOOKUP($AG47,$F$4:$G$7,2,FALSE),0)+VLOOKUP($Q47,武学奇术!$A:$ZZ,2,FALSE)+SUM(_xlfn.XLOOKUP($R47:$AF47,增益!$A:$A,增益!$B:$B,0))</f>
        <v>0.7041</v>
      </c>
      <c r="AM47" s="27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3804.006</v>
      </c>
      <c r="AO47" cm="1">
        <f t="array" ref="AO47">$E$10*(1+$AM47)+VLOOKUP($Q47,武学奇术!$A:$ZZ,4,FALSE)+SUM(_xlfn.XLOOKUP($R47:$AF47,增益!$A:$A,增益!$D:$D,0))-$I$2</f>
        <v>3804.006</v>
      </c>
      <c r="AP47" s="33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0.347</v>
      </c>
      <c r="AQ47" s="33" cm="1">
        <f t="array" ref="AQ47">$G$10+VLOOKUP($Q47,武学奇术!$A:$ZZ,7,FALSE)+SUM(_xlfn.XLOOKUP(R47:AF47,增益!$A:$A,增益!$G:$G,0))</f>
        <v>0.09</v>
      </c>
      <c r="AR47" s="27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3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-0.08</v>
      </c>
      <c r="AV47" s="33" cm="1">
        <f t="array" ref="AV47">$G$11+VLOOKUP($Q47,武学奇术!$A:$ZZ,10,FALSE)+SUM(_xlfn.XLOOKUP(R47:AF47,增益!$A:$A,增益!$J:$J,0))</f>
        <v>0</v>
      </c>
      <c r="AW47">
        <f t="shared" si="20"/>
        <v>0</v>
      </c>
      <c r="AX47">
        <f t="shared" si="21"/>
        <v>0</v>
      </c>
      <c r="AY47" s="33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-0.08</v>
      </c>
      <c r="AZ47" s="33" cm="1">
        <f t="array" ref="AZ47">$G$12+VLOOKUP($Q47,武学奇术!$A:$ZZ,12,FALSE)+SUM(_xlfn.XLOOKUP(R47:AF47,增益!$A:$A,增益!$L:$L,0))</f>
        <v>0</v>
      </c>
      <c r="BA47">
        <f t="shared" si="12"/>
        <v>0</v>
      </c>
      <c r="BB47">
        <f t="shared" si="13"/>
        <v>0</v>
      </c>
      <c r="BC47" s="33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-0.08</v>
      </c>
      <c r="BD47" s="33" cm="1">
        <f t="array" ref="BD47">$G$13+VLOOKUP($Q47,武学奇术!$A:$ZZ,14,FALSE)+SUM(_xlfn.XLOOKUP(R47:AF47,增益!$A:$A,增益!$N:$N,0))</f>
        <v>0</v>
      </c>
      <c r="BE47">
        <f t="shared" si="14"/>
        <v>570.28</v>
      </c>
      <c r="BF47">
        <f t="shared" si="15"/>
        <v>1582.156</v>
      </c>
      <c r="BG47" s="33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0.11</v>
      </c>
      <c r="BH47" s="33" cm="1">
        <f t="array" ref="BH47">$G$14+VLOOKUP($Q47,武学奇术!$A:$ZZ,16,FALSE)+SUM(_xlfn.XLOOKUP(R47:AF47,增益!$A:$A,增益!$P:$P,0))</f>
        <v>0.24</v>
      </c>
      <c r="BI47" s="27">
        <f>MIN(IF(VLOOKUP($Q47,武学奇术!$A:$ZZ,23,FALSE)=1,100%,$B$8),100%)</f>
        <v>1</v>
      </c>
      <c r="BJ47" s="27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+MIN(IF(VLOOKUP($Q47,武学奇术!$A:$ZZ,32,FALSE)=1,IF(VLOOKUP($Q47,武学奇术!$A:$ZZ,24,FALSE)=1,100%,MIN(40%,$B$10+VLOOKUP($Q47,武学奇术!$A:$ZZ,19,FALSE)+SUM(_xlfn.XLOOKUP(R47:AF47,增益!$A:$A,增益!$S:$S,0)))+$B$12+SUM(_xlfn.XLOOKUP(R47:AF47,增益!$A:$A,增益!$V:$V,0))),0),12%)</f>
        <v>0.918</v>
      </c>
      <c r="BK47" s="27" cm="1">
        <f t="array" ref="BK47">1+$B$13+VLOOKUP($Q47,武学奇术!$A:$ZZ,18,FALSE)+SUM(_xlfn.XLOOKUP(R47:AF47,增益!$A:$A,增益!$R:$R,0))</f>
        <v>1.94</v>
      </c>
      <c r="BL47" s="27" cm="1">
        <f t="array" ref="BL47">MAX(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-IF(VLOOKUP($Q47,武学奇术!$A:$ZZ,32,FALSE)=1,12%,0),0)</f>
        <v>0.0895</v>
      </c>
      <c r="BM47" s="27" cm="1">
        <f t="array" ref="BM47">1+$B$14+VLOOKUP($Q47,武学奇术!$A:$ZZ,20,FALSE)+SUM(_xlfn.XLOOKUP(R47:AF47,增益!$A:$A,增益!$T:$T,0))</f>
        <v>1.35</v>
      </c>
      <c r="BN47" s="27">
        <f t="shared" si="16"/>
        <v>0.9105</v>
      </c>
      <c r="BO47" s="27">
        <f t="shared" si="17"/>
        <v>0</v>
      </c>
      <c r="BP47" s="27">
        <f>IF(VLOOKUP($Q47,武学奇术!$A:$ZZ,22,FALSE)=1,0,(1-$BI47))*(1-$BL47)</f>
        <v>0</v>
      </c>
      <c r="BQ47" s="27" cm="1">
        <f t="array" ref="BQ47">SUM(_xlfn.XLOOKUP(R47:AF47,增益!$A:$A,增益!$W:$W,0))+$I$5</f>
        <v>0.11</v>
      </c>
    </row>
    <row r="48" spans="1:69">
      <c r="A48" t="s">
        <v>164</v>
      </c>
      <c r="B48">
        <v>1.23</v>
      </c>
      <c r="D48" s="40"/>
      <c r="F48" s="40"/>
      <c r="K48" s="39">
        <f t="shared" si="11"/>
        <v>28125.7346280272</v>
      </c>
      <c r="L48" s="39">
        <f>((($AN48+($AO48-$AN48)*IF(VLOOKUP($Q48,武学奇术!$A:$ZZ,31,FALSE)=1,$F$18,0.5))*$AH48+$AI48)*(1+$AP48)*(1+$AQ48)+(($AS48+($AT48-$AS48)*IF(VLOOKUP($Q48,武学奇术!$A:$ZZ,31,FALSE)=1,$F$18,0.5))*IF($G$1="鸣金",$AJ48,$AH48)+IF($G$1="鸣金",$AK48*1.5,0))*(1+$AU48)*(1+$AV48)+(($AW48+($AX48-$AW48)*IF(VLOOKUP($Q48,武学奇术!$A:$ZZ,31,FALSE)=1,$F$18,0.5))*IF($G$1="裂石",$AJ48,$AH48)+IF($G$1="裂石",$AK48*1.5,0))*(1+$AY48)*(1+$AZ48)+(($BA48+($BB48-$BA48)*IF(VLOOKUP($Q48,武学奇术!$A:$ZZ,31,FALSE)=1,$F$18,0.5))*IF($G$1="牵丝",$AJ48,$AH48)+IF($G$1="牵丝",$AK48*1.5,0))*(1+$BC48)*(1+$BD48)+(($BE48+($BF48-$BE48)*IF(VLOOKUP($Q48,武学奇术!$A:$ZZ,31,FALSE)=1,$F$18,0.5))*IF($G$1="破竹",$AJ48,$AH48)+IF($G$1="破竹",$AK48*1.5,0))*(1+$BG48)*(1+$BH48))*(1+$AL48)*$BK48*$P48*(1+IF(VLOOKUP($Q48,武学奇术!$A:$ZZ,30,FALSE)="蓄力技",$B$21,0))*(1+$BQ48)</f>
        <v>28327.6372393392</v>
      </c>
      <c r="M48" s="39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26071.7421408814</v>
      </c>
      <c r="N48" s="39">
        <f>((($AN48+($AO48-$AN48)*IF(VLOOKUP($Q48,武学奇术!$A:$ZZ,31,FALSE)=1,$F$18,0.5))*$AH48+$AI48)*(1+$AP48)*(1+$AQ48)+(($AS48+($AT48-$AS48)*IF(VLOOKUP($Q48,武学奇术!$A:$ZZ,31,FALSE)=1,$F$18,0.5))*IF($G$1="鸣金",$AJ48,$AH48)+IF($G$1="鸣金",$AK48*1.5,0))*(1+$AU48)*(1+$AV48)+(($AW48+($AX48-$AW48)*IF(VLOOKUP($Q48,武学奇术!$A:$ZZ,31,FALSE)=1,$F$18,0.5))*IF($G$1="裂石",$AJ48,$AH48)+IF($G$1="裂石",$AK48*1.5,0))*(1+$AY48)*(1+$AZ48)+(($BA48+($BB48-$BA48)*IF(VLOOKUP($Q48,武学奇术!$A:$ZZ,31,FALSE)=1,$F$18,0.5))*IF($G$1="牵丝",$AJ48,$AH48)+IF($G$1="牵丝",$AK48*1.5,0))*(1+$BC48)*(1+$BD48)+(($BE48+($BF48-$BE48)*IF(VLOOKUP($Q48,武学奇术!$A:$ZZ,31,FALSE)=1,$F$18,0.5))*IF($G$1="破竹",$AJ48,$AH48)+IF($G$1="破竹",$AK48*1.5,0))*(1+$BG48)*(1+$BH48))*(1+$AL48)*$P48*(1+IF(VLOOKUP($Q48,武学奇术!$A:$ZZ,30,FALSE)="蓄力技",$B$21,0))*(1+$BQ48)</f>
        <v>17272.9495361824</v>
      </c>
      <c r="O48" s="39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15233.4974865268</v>
      </c>
      <c r="P48" s="40">
        <v>1</v>
      </c>
      <c r="Q48" s="41" t="s">
        <v>106</v>
      </c>
      <c r="R48" s="41" t="s">
        <v>93</v>
      </c>
      <c r="S48" s="41" t="s">
        <v>72</v>
      </c>
      <c r="T48" s="41" t="s">
        <v>72</v>
      </c>
      <c r="U48" s="41" t="s">
        <v>72</v>
      </c>
      <c r="V48" s="41" t="s">
        <v>72</v>
      </c>
      <c r="W48" s="41" t="s">
        <v>72</v>
      </c>
      <c r="X48" s="41" t="s">
        <v>165</v>
      </c>
      <c r="Y48" s="41" t="s">
        <v>81</v>
      </c>
      <c r="Z48" s="41" t="s">
        <v>72</v>
      </c>
      <c r="AA48" s="41" t="s">
        <v>72</v>
      </c>
      <c r="AB48" s="41" t="s">
        <v>72</v>
      </c>
      <c r="AC48" s="41" t="s">
        <v>72</v>
      </c>
      <c r="AD48" s="41" t="s">
        <v>72</v>
      </c>
      <c r="AE48" s="41" t="s">
        <v>75</v>
      </c>
      <c r="AF48" s="41" t="s">
        <v>76</v>
      </c>
      <c r="AG48" t="str">
        <f>VLOOKUP($Q48,武学奇术!$A:$ZZ,25,FALSE)</f>
        <v>拳甲</v>
      </c>
      <c r="AH48" s="27">
        <f>VLOOKUP($Q48,武学奇术!$A:$ZZ,26,FALSE)</f>
        <v>1.2876</v>
      </c>
      <c r="AI48" s="28">
        <f>VLOOKUP($Q48,武学奇术!$A:$ZZ,27,FALSE)*(1+IF(OR($AG48=$F$4,$AG48=$F$5),$B$22,0))</f>
        <v>501.2</v>
      </c>
      <c r="AJ48" s="27">
        <f>VLOOKUP($Q48,武学奇术!$A:$ZZ,28,FALSE)</f>
        <v>1.9313</v>
      </c>
      <c r="AK48" s="28">
        <f>VLOOKUP($Q48,武学奇术!$A:$ZZ,29,FALSE)*(1+IF(OR($AG48=$F$4,$AG48=$F$5),$B$22,0))</f>
        <v>273</v>
      </c>
      <c r="AL48" s="27" cm="1">
        <f t="array" ref="AL48">$G$3+IFERROR(VLOOKUP($AG48,$F$4:$G$7,2,FALSE),0)+VLOOKUP($Q48,武学奇术!$A:$ZZ,2,FALSE)+SUM(_xlfn.XLOOKUP($R48:$AF48,增益!$A:$A,增益!$B:$B,0))</f>
        <v>0.4041</v>
      </c>
      <c r="AM48" s="27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3804.006</v>
      </c>
      <c r="AO48" cm="1">
        <f t="array" ref="AO48">$E$10*(1+$AM48)+VLOOKUP($Q48,武学奇术!$A:$ZZ,4,FALSE)+SUM(_xlfn.XLOOKUP($R48:$AF48,增益!$A:$A,增益!$D:$D,0))-$I$2</f>
        <v>3804.006</v>
      </c>
      <c r="AP48" s="33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0.317</v>
      </c>
      <c r="AQ48" s="33" cm="1">
        <f t="array" ref="AQ48">$G$10+VLOOKUP($Q48,武学奇术!$A:$ZZ,7,FALSE)+SUM(_xlfn.XLOOKUP(R48:AF48,增益!$A:$A,增益!$G:$G,0))</f>
        <v>0.09</v>
      </c>
      <c r="AR48" s="27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3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-0.14</v>
      </c>
      <c r="AV48" s="33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33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-0.14</v>
      </c>
      <c r="AZ48" s="33" cm="1">
        <f t="array" ref="AZ48">$G$12+VLOOKUP($Q48,武学奇术!$A:$ZZ,12,FALSE)+SUM(_xlfn.XLOOKUP(R48:AF48,增益!$A:$A,增益!$L:$L,0))</f>
        <v>0</v>
      </c>
      <c r="BA48">
        <f t="shared" si="12"/>
        <v>0</v>
      </c>
      <c r="BB48">
        <f t="shared" si="13"/>
        <v>0</v>
      </c>
      <c r="BC48" s="33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-0.14</v>
      </c>
      <c r="BD48" s="33" cm="1">
        <f t="array" ref="BD48">$G$13+VLOOKUP($Q48,武学奇术!$A:$ZZ,14,FALSE)+SUM(_xlfn.XLOOKUP(R48:AF48,增益!$A:$A,增益!$N:$N,0))</f>
        <v>0</v>
      </c>
      <c r="BE48">
        <f t="shared" si="14"/>
        <v>570.28</v>
      </c>
      <c r="BF48">
        <f t="shared" si="15"/>
        <v>1582.156</v>
      </c>
      <c r="BG48" s="33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0.08</v>
      </c>
      <c r="BH48" s="33" cm="1">
        <f t="array" ref="BH48">$G$14+VLOOKUP($Q48,武学奇术!$A:$ZZ,16,FALSE)+SUM(_xlfn.XLOOKUP(R48:AF48,增益!$A:$A,增益!$P:$P,0))</f>
        <v>0.24</v>
      </c>
      <c r="BI48" s="27">
        <f>MIN(IF(VLOOKUP($Q48,武学奇术!$A:$ZZ,23,FALSE)=1,100%,$B$8),100%)</f>
        <v>1</v>
      </c>
      <c r="BJ48" s="27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+MIN(IF(VLOOKUP($Q48,武学奇术!$A:$ZZ,32,FALSE)=1,IF(VLOOKUP($Q48,武学奇术!$A:$ZZ,24,FALSE)=1,100%,MIN(40%,$B$10+VLOOKUP($Q48,武学奇术!$A:$ZZ,19,FALSE)+SUM(_xlfn.XLOOKUP(R48:AF48,增益!$A:$A,增益!$S:$S,0)))+$B$12+SUM(_xlfn.XLOOKUP(R48:AF48,增益!$A:$A,增益!$V:$V,0))),0),12%)</f>
        <v>0.918</v>
      </c>
      <c r="BK48" s="27" cm="1">
        <f t="array" ref="BK48">1+$B$13+VLOOKUP($Q48,武学奇术!$A:$ZZ,18,FALSE)+SUM(_xlfn.XLOOKUP(R48:AF48,增益!$A:$A,增益!$R:$R,0))</f>
        <v>1.64</v>
      </c>
      <c r="BL48" s="27" cm="1">
        <f t="array" ref="BL48">MAX(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-IF(VLOOKUP($Q48,武学奇术!$A:$ZZ,32,FALSE)=1,12%,0),0)</f>
        <v>0.0895</v>
      </c>
      <c r="BM48" s="27" cm="1">
        <f t="array" ref="BM48">1+$B$14+VLOOKUP($Q48,武学奇术!$A:$ZZ,20,FALSE)+SUM(_xlfn.XLOOKUP(R48:AF48,增益!$A:$A,增益!$T:$T,0))</f>
        <v>1.35</v>
      </c>
      <c r="BN48" s="27">
        <f t="shared" si="16"/>
        <v>0.9105</v>
      </c>
      <c r="BO48" s="27">
        <f t="shared" si="17"/>
        <v>0</v>
      </c>
      <c r="BP48" s="27">
        <f>IF(VLOOKUP($Q48,武学奇术!$A:$ZZ,22,FALSE)=1,0,(1-$BI48))*(1-$BL48)</f>
        <v>0</v>
      </c>
      <c r="BQ48" s="27" cm="1">
        <f t="array" ref="BQ48">SUM(_xlfn.XLOOKUP(R48:AF48,增益!$A:$A,增益!$W:$W,0))+$I$5</f>
        <v>0.11</v>
      </c>
    </row>
    <row r="49" spans="1:69">
      <c r="A49" s="4" t="s">
        <v>166</v>
      </c>
      <c r="B49" s="91">
        <v>1.16</v>
      </c>
      <c r="F49" s="40"/>
      <c r="K49" s="39">
        <f t="shared" si="11"/>
        <v>65597.3033545041</v>
      </c>
      <c r="L49" s="39">
        <f>((($AN49+($AO49-$AN49)*IF(VLOOKUP($Q49,武学奇术!$A:$ZZ,31,FALSE)=1,$F$18,0.5))*$AH49+$AI49)*(1+$AP49)*(1+$AQ49)+(($AS49+($AT49-$AS49)*IF(VLOOKUP($Q49,武学奇术!$A:$ZZ,31,FALSE)=1,$F$18,0.5))*IF($G$1="鸣金",$AJ49,$AH49)+IF($G$1="鸣金",$AK49*1.5,0))*(1+$AU49)*(1+$AV49)+(($AW49+($AX49-$AW49)*IF(VLOOKUP($Q49,武学奇术!$A:$ZZ,31,FALSE)=1,$F$18,0.5))*IF($G$1="裂石",$AJ49,$AH49)+IF($G$1="裂石",$AK49*1.5,0))*(1+$AY49)*(1+$AZ49)+(($BA49+($BB49-$BA49)*IF(VLOOKUP($Q49,武学奇术!$A:$ZZ,31,FALSE)=1,$F$18,0.5))*IF($G$1="牵丝",$AJ49,$AH49)+IF($G$1="牵丝",$AK49*1.5,0))*(1+$BC49)*(1+$BD49)+(($BE49+($BF49-$BE49)*IF(VLOOKUP($Q49,武学奇术!$A:$ZZ,31,FALSE)=1,$F$18,0.5))*IF($G$1="破竹",$AJ49,$AH49)+IF($G$1="破竹",$AK49*1.5,0))*(1+$BG49)*(1+$BH49))*(1+$AL49)*$BK49*$P49*(1+IF(VLOOKUP($Q49,武学奇术!$A:$ZZ,30,FALSE)="蓄力技",$B$21,0))*(1+$BQ49)</f>
        <v>66860.0314608294</v>
      </c>
      <c r="M49" s="39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52751.3375354069</v>
      </c>
      <c r="N49" s="39">
        <f>((($AN49+($AO49-$AN49)*IF(VLOOKUP($Q49,武学奇术!$A:$ZZ,31,FALSE)=1,$F$18,0.5))*$AH49+$AI49)*(1+$AP49)*(1+$AQ49)+(($AS49+($AT49-$AS49)*IF(VLOOKUP($Q49,武学奇术!$A:$ZZ,31,FALSE)=1,$F$18,0.5))*IF($G$1="鸣金",$AJ49,$AH49)+IF($G$1="鸣金",$AK49*1.5,0))*(1+$AU49)*(1+$AV49)+(($AW49+($AX49-$AW49)*IF(VLOOKUP($Q49,武学奇术!$A:$ZZ,31,FALSE)=1,$F$18,0.5))*IF($G$1="裂石",$AJ49,$AH49)+IF($G$1="裂石",$AK49*1.5,0))*(1+$AY49)*(1+$AZ49)+(($BA49+($BB49-$BA49)*IF(VLOOKUP($Q49,武学奇术!$A:$ZZ,31,FALSE)=1,$F$18,0.5))*IF($G$1="牵丝",$AJ49,$AH49)+IF($G$1="牵丝",$AK49*1.5,0))*(1+$BC49)*(1+$BD49)+(($BE49+($BF49-$BE49)*IF(VLOOKUP($Q49,武学奇术!$A:$ZZ,31,FALSE)=1,$F$18,0.5))*IF($G$1="破竹",$AJ49,$AH49)+IF($G$1="破竹",$AK49*1.5,0))*(1+$BG49)*(1+$BH49))*(1+$AL49)*$P49*(1+IF(VLOOKUP($Q49,武学奇术!$A:$ZZ,30,FALSE)="蓄力技",$B$21,0))*(1+$BQ49)</f>
        <v>34463.9337426956</v>
      </c>
      <c r="O49" s="39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29852.802644349</v>
      </c>
      <c r="P49" s="40">
        <v>1</v>
      </c>
      <c r="Q49" s="41" t="s">
        <v>108</v>
      </c>
      <c r="R49" s="41" t="s">
        <v>93</v>
      </c>
      <c r="S49" s="41" t="s">
        <v>72</v>
      </c>
      <c r="T49" s="41" t="s">
        <v>72</v>
      </c>
      <c r="U49" s="41" t="s">
        <v>72</v>
      </c>
      <c r="V49" s="41" t="s">
        <v>72</v>
      </c>
      <c r="W49" s="41" t="s">
        <v>72</v>
      </c>
      <c r="X49" s="41" t="s">
        <v>165</v>
      </c>
      <c r="Y49" s="41" t="s">
        <v>81</v>
      </c>
      <c r="Z49" s="41" t="s">
        <v>101</v>
      </c>
      <c r="AA49" s="41" t="s">
        <v>72</v>
      </c>
      <c r="AB49" s="41" t="s">
        <v>72</v>
      </c>
      <c r="AC49" s="41" t="s">
        <v>72</v>
      </c>
      <c r="AD49" s="41" t="s">
        <v>72</v>
      </c>
      <c r="AE49" s="41" t="s">
        <v>75</v>
      </c>
      <c r="AF49" s="41" t="s">
        <v>76</v>
      </c>
      <c r="AG49" t="str">
        <f>VLOOKUP($Q49,武学奇术!$A:$ZZ,25,FALSE)</f>
        <v>拳甲</v>
      </c>
      <c r="AH49" s="27">
        <f>VLOOKUP($Q49,武学奇术!$A:$ZZ,26,FALSE)</f>
        <v>2.33376</v>
      </c>
      <c r="AI49" s="28">
        <f>VLOOKUP($Q49,武学奇术!$A:$ZZ,27,FALSE)*(1+IF(OR($AG49=$F$4,$AG49=$F$5),$B$22,0))</f>
        <v>0</v>
      </c>
      <c r="AJ49" s="27">
        <f>VLOOKUP($Q49,武学奇术!$A:$ZZ,28,FALSE)</f>
        <v>3.50064</v>
      </c>
      <c r="AK49" s="28">
        <f>VLOOKUP($Q49,武学奇术!$A:$ZZ,29,FALSE)*(1+IF(OR($AG49=$F$4,$AG49=$F$5),$B$22,0))</f>
        <v>0</v>
      </c>
      <c r="AL49" s="27" cm="1">
        <f t="array" ref="AL49">$G$3+IFERROR(VLOOKUP($AG49,$F$4:$G$7,2,FALSE),0)+VLOOKUP($Q49,武学奇术!$A:$ZZ,2,FALSE)+SUM(_xlfn.XLOOKUP($R49:$AF49,增益!$A:$A,增益!$B:$B,0))</f>
        <v>0.7041</v>
      </c>
      <c r="AM49" s="27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3804.006</v>
      </c>
      <c r="AO49" cm="1">
        <f t="array" ref="AO49">$E$10*(1+$AM49)+VLOOKUP($Q49,武学奇术!$A:$ZZ,4,FALSE)+SUM(_xlfn.XLOOKUP($R49:$AF49,增益!$A:$A,增益!$D:$D,0))-$I$2</f>
        <v>3804.006</v>
      </c>
      <c r="AP49" s="33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0.347</v>
      </c>
      <c r="AQ49" s="33" cm="1">
        <f t="array" ref="AQ49">$G$10+VLOOKUP($Q49,武学奇术!$A:$ZZ,7,FALSE)+SUM(_xlfn.XLOOKUP(R49:AF49,增益!$A:$A,增益!$G:$G,0))</f>
        <v>0.09</v>
      </c>
      <c r="AR49" s="27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3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-0.08</v>
      </c>
      <c r="AV49" s="33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33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-0.08</v>
      </c>
      <c r="AZ49" s="33" cm="1">
        <f t="array" ref="AZ49">$G$12+VLOOKUP($Q49,武学奇术!$A:$ZZ,12,FALSE)+SUM(_xlfn.XLOOKUP(R49:AF49,增益!$A:$A,增益!$L:$L,0))</f>
        <v>0</v>
      </c>
      <c r="BA49">
        <f t="shared" si="12"/>
        <v>0</v>
      </c>
      <c r="BB49">
        <f t="shared" si="13"/>
        <v>0</v>
      </c>
      <c r="BC49" s="33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-0.08</v>
      </c>
      <c r="BD49" s="33" cm="1">
        <f t="array" ref="BD49">$G$13+VLOOKUP($Q49,武学奇术!$A:$ZZ,14,FALSE)+SUM(_xlfn.XLOOKUP(R49:AF49,增益!$A:$A,增益!$N:$N,0))</f>
        <v>0</v>
      </c>
      <c r="BE49">
        <f t="shared" si="14"/>
        <v>570.28</v>
      </c>
      <c r="BF49">
        <f t="shared" si="15"/>
        <v>1582.156</v>
      </c>
      <c r="BG49" s="33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0.11</v>
      </c>
      <c r="BH49" s="33" cm="1">
        <f t="array" ref="BH49">$G$14+VLOOKUP($Q49,武学奇术!$A:$ZZ,16,FALSE)+SUM(_xlfn.XLOOKUP(R49:AF49,增益!$A:$A,增益!$P:$P,0))</f>
        <v>0.24</v>
      </c>
      <c r="BI49" s="27">
        <f>MIN(IF(VLOOKUP($Q49,武学奇术!$A:$ZZ,23,FALSE)=1,100%,$B$8),100%)</f>
        <v>1</v>
      </c>
      <c r="BJ49" s="27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+MIN(IF(VLOOKUP($Q49,武学奇术!$A:$ZZ,32,FALSE)=1,IF(VLOOKUP($Q49,武学奇术!$A:$ZZ,24,FALSE)=1,100%,MIN(40%,$B$10+VLOOKUP($Q49,武学奇术!$A:$ZZ,19,FALSE)+SUM(_xlfn.XLOOKUP(R49:AF49,增益!$A:$A,增益!$S:$S,0)))+$B$12+SUM(_xlfn.XLOOKUP(R49:AF49,增益!$A:$A,增益!$V:$V,0))),0),12%)</f>
        <v>0.918</v>
      </c>
      <c r="BK49" s="27" cm="1">
        <f t="array" ref="BK49">1+$B$13+VLOOKUP($Q49,武学奇术!$A:$ZZ,18,FALSE)+SUM(_xlfn.XLOOKUP(R49:AF49,增益!$A:$A,增益!$R:$R,0))</f>
        <v>1.94</v>
      </c>
      <c r="BL49" s="27" cm="1">
        <f t="array" ref="BL49">MAX(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-IF(VLOOKUP($Q49,武学奇术!$A:$ZZ,32,FALSE)=1,12%,0),0)</f>
        <v>0.0895</v>
      </c>
      <c r="BM49" s="27" cm="1">
        <f t="array" ref="BM49">1+$B$14+VLOOKUP($Q49,武学奇术!$A:$ZZ,20,FALSE)+SUM(_xlfn.XLOOKUP(R49:AF49,增益!$A:$A,增益!$T:$T,0))</f>
        <v>1.35</v>
      </c>
      <c r="BN49" s="27">
        <f t="shared" si="16"/>
        <v>0.9105</v>
      </c>
      <c r="BO49" s="27">
        <f t="shared" si="17"/>
        <v>0</v>
      </c>
      <c r="BP49" s="27">
        <f>IF(VLOOKUP($Q49,武学奇术!$A:$ZZ,22,FALSE)=1,0,(1-$BI49))*(1-$BL49)</f>
        <v>0</v>
      </c>
      <c r="BQ49" s="27" cm="1">
        <f t="array" ref="BQ49">SUM(_xlfn.XLOOKUP(R49:AF49,增益!$A:$A,增益!$W:$W,0))+$I$5</f>
        <v>0.11</v>
      </c>
    </row>
    <row r="50" spans="1:69">
      <c r="A50" t="s">
        <v>153</v>
      </c>
      <c r="B50">
        <v>0.1</v>
      </c>
      <c r="F50" s="40"/>
      <c r="K50" s="39">
        <f t="shared" si="11"/>
        <v>25648.9535911696</v>
      </c>
      <c r="L50" s="39">
        <f>((($AN50+($AO50-$AN50)*IF(VLOOKUP($Q50,武学奇术!$A:$ZZ,31,FALSE)=1,$F$18,0.5))*$AH50+$AI50)*(1+$AP50)*(1+$AQ50)+(($AS50+($AT50-$AS50)*IF(VLOOKUP($Q50,武学奇术!$A:$ZZ,31,FALSE)=1,$F$18,0.5))*IF($G$1="鸣金",$AJ50,$AH50)+IF($G$1="鸣金",$AK50*1.5,0))*(1+$AU50)*(1+$AV50)+(($AW50+($AX50-$AW50)*IF(VLOOKUP($Q50,武学奇术!$A:$ZZ,31,FALSE)=1,$F$18,0.5))*IF($G$1="裂石",$AJ50,$AH50)+IF($G$1="裂石",$AK50*1.5,0))*(1+$AY50)*(1+$AZ50)+(($BA50+($BB50-$BA50)*IF(VLOOKUP($Q50,武学奇术!$A:$ZZ,31,FALSE)=1,$F$18,0.5))*IF($G$1="牵丝",$AJ50,$AH50)+IF($G$1="牵丝",$AK50*1.5,0))*(1+$BC50)*(1+$BD50)+(($BE50+($BF50-$BE50)*IF(VLOOKUP($Q50,武学奇术!$A:$ZZ,31,FALSE)=1,$F$18,0.5))*IF($G$1="破竹",$AJ50,$AH50)+IF($G$1="破竹",$AK50*1.5,0))*(1+$BG50)*(1+$BH50))*(1+$AL50)*$BK50*$P50*(1+IF(VLOOKUP($Q50,武学奇术!$A:$ZZ,30,FALSE)="蓄力技",$B$21,0))*(1+$BQ50)</f>
        <v>25833.0157823011</v>
      </c>
      <c r="M50" s="39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23776.4549875358</v>
      </c>
      <c r="N50" s="39">
        <f>((($AN50+($AO50-$AN50)*IF(VLOOKUP($Q50,武学奇术!$A:$ZZ,31,FALSE)=1,$F$18,0.5))*$AH50+$AI50)*(1+$AP50)*(1+$AQ50)+(($AS50+($AT50-$AS50)*IF(VLOOKUP($Q50,武学奇术!$A:$ZZ,31,FALSE)=1,$F$18,0.5))*IF($G$1="鸣金",$AJ50,$AH50)+IF($G$1="鸣金",$AK50*1.5,0))*(1+$AU50)*(1+$AV50)+(($AW50+($AX50-$AW50)*IF(VLOOKUP($Q50,武学奇术!$A:$ZZ,31,FALSE)=1,$F$18,0.5))*IF($G$1="裂石",$AJ50,$AH50)+IF($G$1="裂石",$AK50*1.5,0))*(1+$AY50)*(1+$AZ50)+(($BA50+($BB50-$BA50)*IF(VLOOKUP($Q50,武学奇术!$A:$ZZ,31,FALSE)=1,$F$18,0.5))*IF($G$1="牵丝",$AJ50,$AH50)+IF($G$1="牵丝",$AK50*1.5,0))*(1+$BC50)*(1+$BD50)+(($BE50+($BF50-$BE50)*IF(VLOOKUP($Q50,武学奇术!$A:$ZZ,31,FALSE)=1,$F$18,0.5))*IF($G$1="破竹",$AJ50,$AH50)+IF($G$1="破竹",$AK50*1.5,0))*(1+$BG50)*(1+$BH50))*(1+$AL50)*$P50*(1+IF(VLOOKUP($Q50,武学奇术!$A:$ZZ,30,FALSE)="蓄力技",$B$21,0))*(1+$BQ50)</f>
        <v>15751.838891647</v>
      </c>
      <c r="O50" s="39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13891.4889036378</v>
      </c>
      <c r="P50" s="40">
        <v>1</v>
      </c>
      <c r="Q50" s="41" t="s">
        <v>148</v>
      </c>
      <c r="R50" s="41" t="s">
        <v>93</v>
      </c>
      <c r="S50" s="41" t="s">
        <v>72</v>
      </c>
      <c r="T50" s="41" t="s">
        <v>72</v>
      </c>
      <c r="U50" s="41" t="s">
        <v>72</v>
      </c>
      <c r="V50" s="41" t="s">
        <v>72</v>
      </c>
      <c r="W50" s="41" t="s">
        <v>72</v>
      </c>
      <c r="X50" s="41" t="s">
        <v>165</v>
      </c>
      <c r="Y50" s="41" t="s">
        <v>81</v>
      </c>
      <c r="Z50" s="41" t="s">
        <v>72</v>
      </c>
      <c r="AA50" s="41" t="s">
        <v>72</v>
      </c>
      <c r="AB50" s="41" t="s">
        <v>72</v>
      </c>
      <c r="AC50" s="41" t="s">
        <v>72</v>
      </c>
      <c r="AD50" s="41" t="s">
        <v>72</v>
      </c>
      <c r="AE50" s="41" t="s">
        <v>75</v>
      </c>
      <c r="AF50" s="41" t="s">
        <v>76</v>
      </c>
      <c r="AG50" t="str">
        <f>VLOOKUP($Q50,武学奇术!$A:$ZZ,25,FALSE)</f>
        <v>绳镖</v>
      </c>
      <c r="AH50" s="27">
        <f>VLOOKUP($Q50,武学奇术!$A:$ZZ,26,FALSE)</f>
        <v>1.2503</v>
      </c>
      <c r="AI50" s="28">
        <f>VLOOKUP($Q50,武学奇术!$A:$ZZ,27,FALSE)*(1+IF(OR($AG50=$F$4,$AG50=$F$5),$B$22,0))</f>
        <v>485.8</v>
      </c>
      <c r="AJ50" s="27">
        <f>VLOOKUP($Q50,武学奇术!$A:$ZZ,28,FALSE)</f>
        <v>1.8755</v>
      </c>
      <c r="AK50" s="28">
        <f>VLOOKUP($Q50,武学奇术!$A:$ZZ,29,FALSE)*(1+IF(OR($AG50=$F$4,$AG50=$F$5),$B$22,0))</f>
        <v>264.6</v>
      </c>
      <c r="AL50" s="27" cm="1">
        <f t="array" ref="AL50">$G$3+IFERROR(VLOOKUP($AG50,$F$4:$G$7,2,FALSE),0)+VLOOKUP($Q50,武学奇术!$A:$ZZ,2,FALSE)+SUM(_xlfn.XLOOKUP($R50:$AF50,增益!$A:$A,增益!$B:$B,0))</f>
        <v>0.3189</v>
      </c>
      <c r="AM50" s="27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3804.006</v>
      </c>
      <c r="AO50" cm="1">
        <f t="array" ref="AO50">$E$10*(1+$AM50)+VLOOKUP($Q50,武学奇术!$A:$ZZ,4,FALSE)+SUM(_xlfn.XLOOKUP($R50:$AF50,增益!$A:$A,增益!$D:$D,0))-$I$2</f>
        <v>3804.006</v>
      </c>
      <c r="AP50" s="33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0.317</v>
      </c>
      <c r="AQ50" s="33" cm="1">
        <f t="array" ref="AQ50">$G$10+VLOOKUP($Q50,武学奇术!$A:$ZZ,7,FALSE)+SUM(_xlfn.XLOOKUP(R50:AF50,增益!$A:$A,增益!$G:$G,0))</f>
        <v>0.09</v>
      </c>
      <c r="AR50" s="27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3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-0.14</v>
      </c>
      <c r="AV50" s="33" cm="1">
        <f t="array" ref="AV50">$G$11+VLOOKUP($Q50,武学奇术!$A:$ZZ,10,FALSE)+SUM(_xlfn.XLOOKUP(R50:AF50,增益!$A:$A,增益!$J:$J,0))</f>
        <v>0</v>
      </c>
      <c r="AW50">
        <f t="shared" si="20"/>
        <v>0</v>
      </c>
      <c r="AX50">
        <f t="shared" si="21"/>
        <v>0</v>
      </c>
      <c r="AY50" s="33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-0.14</v>
      </c>
      <c r="AZ50" s="33" cm="1">
        <f t="array" ref="AZ50">$G$12+VLOOKUP($Q50,武学奇术!$A:$ZZ,12,FALSE)+SUM(_xlfn.XLOOKUP(R50:AF50,增益!$A:$A,增益!$L:$L,0))</f>
        <v>0</v>
      </c>
      <c r="BA50">
        <f t="shared" si="12"/>
        <v>0</v>
      </c>
      <c r="BB50">
        <f t="shared" si="13"/>
        <v>0</v>
      </c>
      <c r="BC50" s="33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-0.14</v>
      </c>
      <c r="BD50" s="33" cm="1">
        <f t="array" ref="BD50">$G$13+VLOOKUP($Q50,武学奇术!$A:$ZZ,14,FALSE)+SUM(_xlfn.XLOOKUP(R50:AF50,增益!$A:$A,增益!$N:$N,0))</f>
        <v>0</v>
      </c>
      <c r="BE50">
        <f t="shared" si="14"/>
        <v>570.28</v>
      </c>
      <c r="BF50">
        <f t="shared" si="15"/>
        <v>1582.156</v>
      </c>
      <c r="BG50" s="33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0.08</v>
      </c>
      <c r="BH50" s="33" cm="1">
        <f t="array" ref="BH50">$G$14+VLOOKUP($Q50,武学奇术!$A:$ZZ,16,FALSE)+SUM(_xlfn.XLOOKUP(R50:AF50,增益!$A:$A,增益!$P:$P,0))</f>
        <v>0.24</v>
      </c>
      <c r="BI50" s="27">
        <f>MIN(IF(VLOOKUP($Q50,武学奇术!$A:$ZZ,23,FALSE)=1,100%,$B$8),100%)</f>
        <v>1</v>
      </c>
      <c r="BJ50" s="27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+MIN(IF(VLOOKUP($Q50,武学奇术!$A:$ZZ,32,FALSE)=1,IF(VLOOKUP($Q50,武学奇术!$A:$ZZ,24,FALSE)=1,100%,MIN(40%,$B$10+VLOOKUP($Q50,武学奇术!$A:$ZZ,19,FALSE)+SUM(_xlfn.XLOOKUP(R50:AF50,增益!$A:$A,增益!$S:$S,0)))+$B$12+SUM(_xlfn.XLOOKUP(R50:AF50,增益!$A:$A,增益!$V:$V,0))),0),12%)</f>
        <v>0.918</v>
      </c>
      <c r="BK50" s="27" cm="1">
        <f t="array" ref="BK50">1+$B$13+VLOOKUP($Q50,武学奇术!$A:$ZZ,18,FALSE)+SUM(_xlfn.XLOOKUP(R50:AF50,增益!$A:$A,增益!$R:$R,0))</f>
        <v>1.64</v>
      </c>
      <c r="BL50" s="27" cm="1">
        <f t="array" ref="BL50">MAX(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-IF(VLOOKUP($Q50,武学奇术!$A:$ZZ,32,FALSE)=1,12%,0),0)</f>
        <v>0.0895</v>
      </c>
      <c r="BM50" s="27" cm="1">
        <f t="array" ref="BM50">1+$B$14+VLOOKUP($Q50,武学奇术!$A:$ZZ,20,FALSE)+SUM(_xlfn.XLOOKUP(R50:AF50,增益!$A:$A,增益!$T:$T,0))</f>
        <v>1.35</v>
      </c>
      <c r="BN50" s="27">
        <f t="shared" si="16"/>
        <v>0.9105</v>
      </c>
      <c r="BO50" s="27">
        <f t="shared" si="17"/>
        <v>0</v>
      </c>
      <c r="BP50" s="27">
        <f>IF(VLOOKUP($Q50,武学奇术!$A:$ZZ,22,FALSE)=1,0,(1-$BI50))*(1-$BL50)</f>
        <v>0</v>
      </c>
      <c r="BQ50" s="27" cm="1">
        <f t="array" ref="BQ50">SUM(_xlfn.XLOOKUP(R50:AF50,增益!$A:$A,增益!$W:$W,0))+$I$5</f>
        <v>0.11</v>
      </c>
    </row>
    <row r="51" spans="1:69">
      <c r="A51" s="4" t="s">
        <v>152</v>
      </c>
      <c r="B51" s="4">
        <v>0.9</v>
      </c>
      <c r="F51" s="40"/>
      <c r="K51" s="39">
        <f t="shared" si="11"/>
        <v>51931.3588798617</v>
      </c>
      <c r="L51" s="39">
        <f>((($AN51+($AO51-$AN51)*IF(VLOOKUP($Q51,武学奇术!$A:$ZZ,31,FALSE)=1,$F$18,0.5))*$AH51+$AI51)*(1+$AP51)*(1+$AQ51)+(($AS51+($AT51-$AS51)*IF(VLOOKUP($Q51,武学奇术!$A:$ZZ,31,FALSE)=1,$F$18,0.5))*IF($G$1="鸣金",$AJ51,$AH51)+IF($G$1="鸣金",$AK51*1.5,0))*(1+$AU51)*(1+$AV51)+(($AW51+($AX51-$AW51)*IF(VLOOKUP($Q51,武学奇术!$A:$ZZ,31,FALSE)=1,$F$18,0.5))*IF($G$1="裂石",$AJ51,$AH51)+IF($G$1="裂石",$AK51*1.5,0))*(1+$AY51)*(1+$AZ51)+(($BA51+($BB51-$BA51)*IF(VLOOKUP($Q51,武学奇术!$A:$ZZ,31,FALSE)=1,$F$18,0.5))*IF($G$1="牵丝",$AJ51,$AH51)+IF($G$1="牵丝",$AK51*1.5,0))*(1+$BC51)*(1+$BD51)+(($BE51+($BF51-$BE51)*IF(VLOOKUP($Q51,武学奇术!$A:$ZZ,31,FALSE)=1,$F$18,0.5))*IF($G$1="破竹",$AJ51,$AH51)+IF($G$1="破竹",$AK51*1.5,0))*(1+$BG51)*(1+$BH51))*(1+$AL51)*$BK51*$P51*(1+IF(VLOOKUP($Q51,武学奇术!$A:$ZZ,30,FALSE)="蓄力技",$B$21,0))*(1+$BQ51)</f>
        <v>52931.0217181781</v>
      </c>
      <c r="M51" s="39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41761.6045302849</v>
      </c>
      <c r="N51" s="39">
        <f>((($AN51+($AO51-$AN51)*IF(VLOOKUP($Q51,武学奇术!$A:$ZZ,31,FALSE)=1,$F$18,0.5))*$AH51+$AI51)*(1+$AP51)*(1+$AQ51)+(($AS51+($AT51-$AS51)*IF(VLOOKUP($Q51,武学奇术!$A:$ZZ,31,FALSE)=1,$F$18,0.5))*IF($G$1="鸣金",$AJ51,$AH51)+IF($G$1="鸣金",$AK51*1.5,0))*(1+$AU51)*(1+$AV51)+(($AW51+($AX51-$AW51)*IF(VLOOKUP($Q51,武学奇术!$A:$ZZ,31,FALSE)=1,$F$18,0.5))*IF($G$1="裂石",$AJ51,$AH51)+IF($G$1="裂石",$AK51*1.5,0))*(1+$AY51)*(1+$AZ51)+(($BA51+($BB51-$BA51)*IF(VLOOKUP($Q51,武学奇术!$A:$ZZ,31,FALSE)=1,$F$18,0.5))*IF($G$1="牵丝",$AJ51,$AH51)+IF($G$1="牵丝",$AK51*1.5,0))*(1+$BC51)*(1+$BD51)+(($BE51+($BF51-$BE51)*IF(VLOOKUP($Q51,武学奇术!$A:$ZZ,31,FALSE)=1,$F$18,0.5))*IF($G$1="破竹",$AJ51,$AH51)+IF($G$1="破竹",$AK51*1.5,0))*(1+$BG51)*(1+$BH51))*(1+$AL51)*$P51*(1+IF(VLOOKUP($Q51,武学奇术!$A:$ZZ,30,FALSE)="蓄力技",$B$21,0))*(1+$BQ51)</f>
        <v>27284.0318134939</v>
      </c>
      <c r="O51" s="39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23633.5417527026</v>
      </c>
      <c r="P51" s="40">
        <v>1</v>
      </c>
      <c r="Q51" s="41" t="s">
        <v>149</v>
      </c>
      <c r="R51" s="41" t="s">
        <v>93</v>
      </c>
      <c r="S51" s="41" t="s">
        <v>72</v>
      </c>
      <c r="T51" s="41" t="s">
        <v>72</v>
      </c>
      <c r="U51" s="41" t="s">
        <v>72</v>
      </c>
      <c r="V51" s="41" t="s">
        <v>72</v>
      </c>
      <c r="W51" s="41" t="s">
        <v>72</v>
      </c>
      <c r="X51" s="41" t="s">
        <v>165</v>
      </c>
      <c r="Y51" s="41" t="s">
        <v>81</v>
      </c>
      <c r="Z51" s="41" t="s">
        <v>101</v>
      </c>
      <c r="AA51" s="41" t="s">
        <v>72</v>
      </c>
      <c r="AB51" s="41" t="s">
        <v>72</v>
      </c>
      <c r="AC51" s="41" t="s">
        <v>72</v>
      </c>
      <c r="AD51" s="41" t="s">
        <v>72</v>
      </c>
      <c r="AE51" s="41" t="s">
        <v>75</v>
      </c>
      <c r="AF51" s="41" t="s">
        <v>76</v>
      </c>
      <c r="AG51" t="str">
        <f>VLOOKUP($Q51,武学奇术!$A:$ZZ,25,FALSE)</f>
        <v>绳镖</v>
      </c>
      <c r="AH51" s="27">
        <f>VLOOKUP($Q51,武学奇术!$A:$ZZ,26,FALSE)</f>
        <v>1.9448</v>
      </c>
      <c r="AI51" s="28">
        <f>VLOOKUP($Q51,武学奇术!$A:$ZZ,27,FALSE)*(1+IF(OR($AG51=$F$4,$AG51=$F$5),$B$22,0))</f>
        <v>0</v>
      </c>
      <c r="AJ51" s="27">
        <f>VLOOKUP($Q51,武学奇术!$A:$ZZ,28,FALSE)</f>
        <v>2.9172</v>
      </c>
      <c r="AK51" s="28">
        <f>VLOOKUP($Q51,武学奇术!$A:$ZZ,29,FALSE)*(1+IF(OR($AG51=$F$4,$AG51=$F$5),$B$22,0))</f>
        <v>0</v>
      </c>
      <c r="AL51" s="27" cm="1">
        <f t="array" ref="AL51">$G$3+IFERROR(VLOOKUP($AG51,$F$4:$G$7,2,FALSE),0)+VLOOKUP($Q51,武学奇术!$A:$ZZ,2,FALSE)+SUM(_xlfn.XLOOKUP($R51:$AF51,增益!$A:$A,增益!$B:$B,0))</f>
        <v>0.6189</v>
      </c>
      <c r="AM51" s="27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3804.006</v>
      </c>
      <c r="AO51" cm="1">
        <f t="array" ref="AO51">$E$10*(1+$AM51)+VLOOKUP($Q51,武学奇术!$A:$ZZ,4,FALSE)+SUM(_xlfn.XLOOKUP($R51:$AF51,增益!$A:$A,增益!$D:$D,0))-$I$2</f>
        <v>3804.006</v>
      </c>
      <c r="AP51" s="33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0.347</v>
      </c>
      <c r="AQ51" s="33" cm="1">
        <f t="array" ref="AQ51">$G$10+VLOOKUP($Q51,武学奇术!$A:$ZZ,7,FALSE)+SUM(_xlfn.XLOOKUP(R51:AF51,增益!$A:$A,增益!$G:$G,0))</f>
        <v>0.09</v>
      </c>
      <c r="AR51" s="27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3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-0.08</v>
      </c>
      <c r="AV51" s="33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33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-0.08</v>
      </c>
      <c r="AZ51" s="33" cm="1">
        <f t="array" ref="AZ51">$G$12+VLOOKUP($Q51,武学奇术!$A:$ZZ,12,FALSE)+SUM(_xlfn.XLOOKUP(R51:AF51,增益!$A:$A,增益!$L:$L,0))</f>
        <v>0</v>
      </c>
      <c r="BA51">
        <f t="shared" si="12"/>
        <v>0</v>
      </c>
      <c r="BB51">
        <f t="shared" si="13"/>
        <v>0</v>
      </c>
      <c r="BC51" s="33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-0.08</v>
      </c>
      <c r="BD51" s="33" cm="1">
        <f t="array" ref="BD51">$G$13+VLOOKUP($Q51,武学奇术!$A:$ZZ,14,FALSE)+SUM(_xlfn.XLOOKUP(R51:AF51,增益!$A:$A,增益!$N:$N,0))</f>
        <v>0</v>
      </c>
      <c r="BE51">
        <f t="shared" si="14"/>
        <v>570.28</v>
      </c>
      <c r="BF51">
        <f t="shared" si="15"/>
        <v>1582.156</v>
      </c>
      <c r="BG51" s="33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0.11</v>
      </c>
      <c r="BH51" s="33" cm="1">
        <f t="array" ref="BH51">$G$14+VLOOKUP($Q51,武学奇术!$A:$ZZ,16,FALSE)+SUM(_xlfn.XLOOKUP(R51:AF51,增益!$A:$A,增益!$P:$P,0))</f>
        <v>0.24</v>
      </c>
      <c r="BI51" s="27">
        <f>MIN(IF(VLOOKUP($Q51,武学奇术!$A:$ZZ,23,FALSE)=1,100%,$B$8),100%)</f>
        <v>1</v>
      </c>
      <c r="BJ51" s="27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+MIN(IF(VLOOKUP($Q51,武学奇术!$A:$ZZ,32,FALSE)=1,IF(VLOOKUP($Q51,武学奇术!$A:$ZZ,24,FALSE)=1,100%,MIN(40%,$B$10+VLOOKUP($Q51,武学奇术!$A:$ZZ,19,FALSE)+SUM(_xlfn.XLOOKUP(R51:AF51,增益!$A:$A,增益!$S:$S,0)))+$B$12+SUM(_xlfn.XLOOKUP(R51:AF51,增益!$A:$A,增益!$V:$V,0))),0),12%)</f>
        <v>0.918</v>
      </c>
      <c r="BK51" s="27" cm="1">
        <f t="array" ref="BK51">1+$B$13+VLOOKUP($Q51,武学奇术!$A:$ZZ,18,FALSE)+SUM(_xlfn.XLOOKUP(R51:AF51,增益!$A:$A,增益!$R:$R,0))</f>
        <v>1.94</v>
      </c>
      <c r="BL51" s="27" cm="1">
        <f t="array" ref="BL51">MAX(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-IF(VLOOKUP($Q51,武学奇术!$A:$ZZ,32,FALSE)=1,12%,0),0)</f>
        <v>0.0895</v>
      </c>
      <c r="BM51" s="27" cm="1">
        <f t="array" ref="BM51">1+$B$14+VLOOKUP($Q51,武学奇术!$A:$ZZ,20,FALSE)+SUM(_xlfn.XLOOKUP(R51:AF51,增益!$A:$A,增益!$T:$T,0))</f>
        <v>1.35</v>
      </c>
      <c r="BN51" s="27">
        <f t="shared" si="16"/>
        <v>0.9105</v>
      </c>
      <c r="BO51" s="27">
        <f t="shared" si="17"/>
        <v>0</v>
      </c>
      <c r="BP51" s="27">
        <f>IF(VLOOKUP($Q51,武学奇术!$A:$ZZ,22,FALSE)=1,0,(1-$BI51))*(1-$BL51)</f>
        <v>0</v>
      </c>
      <c r="BQ51" s="27" cm="1">
        <f t="array" ref="BQ51">SUM(_xlfn.XLOOKUP(R51:AF51,增益!$A:$A,增益!$W:$W,0))+$I$5</f>
        <v>0.11</v>
      </c>
    </row>
    <row r="52" spans="1:69">
      <c r="A52" t="s">
        <v>174</v>
      </c>
      <c r="B52">
        <v>1.7</v>
      </c>
      <c r="K52" s="39">
        <f t="shared" si="11"/>
        <v>10199.4900540284</v>
      </c>
      <c r="L52" s="39">
        <f>((($AN52+($AO52-$AN52)*IF(VLOOKUP($Q52,武学奇术!$A:$ZZ,31,FALSE)=1,$F$18,0.5))*$AH52+$AI52)*(1+$AP52)*(1+$AQ52)+(($AS52+($AT52-$AS52)*IF(VLOOKUP($Q52,武学奇术!$A:$ZZ,31,FALSE)=1,$F$18,0.5))*IF($G$1="鸣金",$AJ52,$AH52)+IF($G$1="鸣金",$AK52*1.5,0))*(1+$AU52)*(1+$AV52)+(($AW52+($AX52-$AW52)*IF(VLOOKUP($Q52,武学奇术!$A:$ZZ,31,FALSE)=1,$F$18,0.5))*IF($G$1="裂石",$AJ52,$AH52)+IF($G$1="裂石",$AK52*1.5,0))*(1+$AY52)*(1+$AZ52)+(($BA52+($BB52-$BA52)*IF(VLOOKUP($Q52,武学奇术!$A:$ZZ,31,FALSE)=1,$F$18,0.5))*IF($G$1="牵丝",$AJ52,$AH52)+IF($G$1="牵丝",$AK52*1.5,0))*(1+$BC52)*(1+$BD52)+(($BE52+($BF52-$BE52)*IF(VLOOKUP($Q52,武学奇术!$A:$ZZ,31,FALSE)=1,$F$18,0.5))*IF($G$1="破竹",$AJ52,$AH52)+IF($G$1="破竹",$AK52*1.5,0))*(1+$BG52)*(1+$BH52))*(1+$AL52)*$BK52*$P52*(1+IF(VLOOKUP($Q52,武学奇术!$A:$ZZ,30,FALSE)="蓄力技",$B$21,0))*(1+$BQ52)</f>
        <v>10272.6235453778</v>
      </c>
      <c r="M52" s="39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9455.4895638198</v>
      </c>
      <c r="N52" s="39">
        <f>((($AN52+($AO52-$AN52)*IF(VLOOKUP($Q52,武学奇术!$A:$ZZ,31,FALSE)=1,$F$18,0.5))*$AH52+$AI52)*(1+$AP52)*(1+$AQ52)+(($AS52+($AT52-$AS52)*IF(VLOOKUP($Q52,武学奇术!$A:$ZZ,31,FALSE)=1,$F$18,0.5))*IF($G$1="鸣金",$AJ52,$AH52)+IF($G$1="鸣金",$AK52*1.5,0))*(1+$AU52)*(1+$AV52)+(($AW52+($AX52-$AW52)*IF(VLOOKUP($Q52,武学奇术!$A:$ZZ,31,FALSE)=1,$F$18,0.5))*IF($G$1="裂石",$AJ52,$AH52)+IF($G$1="裂石",$AK52*1.5,0))*(1+$AY52)*(1+$AZ52)+(($BA52+($BB52-$BA52)*IF(VLOOKUP($Q52,武学奇术!$A:$ZZ,31,FALSE)=1,$F$18,0.5))*IF($G$1="牵丝",$AJ52,$AH52)+IF($G$1="牵丝",$AK52*1.5,0))*(1+$BC52)*(1+$BD52)+(($BE52+($BF52-$BE52)*IF(VLOOKUP($Q52,武学奇术!$A:$ZZ,31,FALSE)=1,$F$18,0.5))*IF($G$1="破竹",$AJ52,$AH52)+IF($G$1="破竹",$AK52*1.5,0))*(1+$BG52)*(1+$BH52))*(1+$AL52)*$P52*(1+IF(VLOOKUP($Q52,武学奇术!$A:$ZZ,30,FALSE)="蓄力技",$B$21,0))*(1+$BQ52)</f>
        <v>6263.79484474258</v>
      </c>
      <c r="O52" s="39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5523.52334591493</v>
      </c>
      <c r="P52" s="40">
        <v>1</v>
      </c>
      <c r="Q52" s="41" t="s">
        <v>96</v>
      </c>
      <c r="R52" s="41" t="s">
        <v>93</v>
      </c>
      <c r="S52" s="41" t="s">
        <v>72</v>
      </c>
      <c r="T52" s="41" t="s">
        <v>72</v>
      </c>
      <c r="U52" s="41" t="s">
        <v>72</v>
      </c>
      <c r="V52" s="41" t="s">
        <v>72</v>
      </c>
      <c r="W52" s="41" t="s">
        <v>72</v>
      </c>
      <c r="X52" s="41" t="s">
        <v>165</v>
      </c>
      <c r="Y52" s="41" t="s">
        <v>81</v>
      </c>
      <c r="Z52" s="41" t="s">
        <v>72</v>
      </c>
      <c r="AA52" s="41" t="s">
        <v>72</v>
      </c>
      <c r="AB52" s="41" t="s">
        <v>72</v>
      </c>
      <c r="AC52" s="41" t="s">
        <v>72</v>
      </c>
      <c r="AD52" s="41" t="s">
        <v>72</v>
      </c>
      <c r="AE52" s="41" t="s">
        <v>75</v>
      </c>
      <c r="AF52" s="41" t="s">
        <v>76</v>
      </c>
      <c r="AG52" t="str">
        <f>VLOOKUP($Q52,武学奇术!$A:$ZZ,25,FALSE)</f>
        <v>绳镖</v>
      </c>
      <c r="AH52" s="27">
        <f>VLOOKUP($Q52,武学奇术!$A:$ZZ,26,FALSE)</f>
        <v>0.4975</v>
      </c>
      <c r="AI52" s="28">
        <f>VLOOKUP($Q52,武学奇术!$A:$ZZ,27,FALSE)*(1+IF(OR($AG52=$F$4,$AG52=$F$5),$B$22,0))</f>
        <v>191.8</v>
      </c>
      <c r="AJ52" s="27">
        <f>VLOOKUP($Q52,武学奇术!$A:$ZZ,28,FALSE)</f>
        <v>0.7463</v>
      </c>
      <c r="AK52" s="28">
        <f>VLOOKUP($Q52,武学奇术!$A:$ZZ,29,FALSE)*(1+IF(OR($AG52=$F$4,$AG52=$F$5),$B$22,0))</f>
        <v>105</v>
      </c>
      <c r="AL52" s="27" cm="1">
        <f t="array" ref="AL52">$G$3+IFERROR(VLOOKUP($AG52,$F$4:$G$7,2,FALSE),0)+VLOOKUP($Q52,武学奇术!$A:$ZZ,2,FALSE)+SUM(_xlfn.XLOOKUP($R52:$AF52,增益!$A:$A,增益!$B:$B,0))</f>
        <v>0.3189</v>
      </c>
      <c r="AM52" s="27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3804.006</v>
      </c>
      <c r="AO52" cm="1">
        <f t="array" ref="AO52">$E$10*(1+$AM52)+VLOOKUP($Q52,武学奇术!$A:$ZZ,4,FALSE)+SUM(_xlfn.XLOOKUP($R52:$AF52,增益!$A:$A,增益!$D:$D,0))-$I$2</f>
        <v>3804.006</v>
      </c>
      <c r="AP52" s="33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0.317</v>
      </c>
      <c r="AQ52" s="33" cm="1">
        <f t="array" ref="AQ52">$G$10+VLOOKUP($Q52,武学奇术!$A:$ZZ,7,FALSE)+SUM(_xlfn.XLOOKUP(R52:AF52,增益!$A:$A,增益!$G:$G,0))</f>
        <v>0.09</v>
      </c>
      <c r="AR52" s="27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3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-0.14</v>
      </c>
      <c r="AV52" s="33" cm="1">
        <f t="array" ref="AV52">$G$11+VLOOKUP($Q52,武学奇术!$A:$ZZ,10,FALSE)+SUM(_xlfn.XLOOKUP(R52:AF52,增益!$A:$A,增益!$J:$J,0))</f>
        <v>0</v>
      </c>
      <c r="AW52">
        <f t="shared" si="20"/>
        <v>0</v>
      </c>
      <c r="AX52">
        <f t="shared" si="21"/>
        <v>0</v>
      </c>
      <c r="AY52" s="33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-0.14</v>
      </c>
      <c r="AZ52" s="33" cm="1">
        <f t="array" ref="AZ52">$G$12+VLOOKUP($Q52,武学奇术!$A:$ZZ,12,FALSE)+SUM(_xlfn.XLOOKUP(R52:AF52,增益!$A:$A,增益!$L:$L,0))</f>
        <v>0</v>
      </c>
      <c r="BA52">
        <f t="shared" si="12"/>
        <v>0</v>
      </c>
      <c r="BB52">
        <f t="shared" si="13"/>
        <v>0</v>
      </c>
      <c r="BC52" s="33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-0.14</v>
      </c>
      <c r="BD52" s="33" cm="1">
        <f t="array" ref="BD52">$G$13+VLOOKUP($Q52,武学奇术!$A:$ZZ,14,FALSE)+SUM(_xlfn.XLOOKUP(R52:AF52,增益!$A:$A,增益!$N:$N,0))</f>
        <v>0</v>
      </c>
      <c r="BE52">
        <f t="shared" si="14"/>
        <v>570.28</v>
      </c>
      <c r="BF52">
        <f t="shared" si="15"/>
        <v>1582.156</v>
      </c>
      <c r="BG52" s="33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0.08</v>
      </c>
      <c r="BH52" s="33" cm="1">
        <f t="array" ref="BH52">$G$14+VLOOKUP($Q52,武学奇术!$A:$ZZ,16,FALSE)+SUM(_xlfn.XLOOKUP(R52:AF52,增益!$A:$A,增益!$P:$P,0))</f>
        <v>0.24</v>
      </c>
      <c r="BI52" s="27">
        <f>MIN(IF(VLOOKUP($Q52,武学奇术!$A:$ZZ,23,FALSE)=1,100%,$B$8),100%)</f>
        <v>1</v>
      </c>
      <c r="BJ52" s="27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+MIN(IF(VLOOKUP($Q52,武学奇术!$A:$ZZ,32,FALSE)=1,IF(VLOOKUP($Q52,武学奇术!$A:$ZZ,24,FALSE)=1,100%,MIN(40%,$B$10+VLOOKUP($Q52,武学奇术!$A:$ZZ,19,FALSE)+SUM(_xlfn.XLOOKUP(R52:AF52,增益!$A:$A,增益!$S:$S,0)))+$B$12+SUM(_xlfn.XLOOKUP(R52:AF52,增益!$A:$A,增益!$V:$V,0))),0),12%)</f>
        <v>0.918</v>
      </c>
      <c r="BK52" s="27" cm="1">
        <f t="array" ref="BK52">1+$B$13+VLOOKUP($Q52,武学奇术!$A:$ZZ,18,FALSE)+SUM(_xlfn.XLOOKUP(R52:AF52,增益!$A:$A,增益!$R:$R,0))</f>
        <v>1.64</v>
      </c>
      <c r="BL52" s="27" cm="1">
        <f t="array" ref="BL52">MAX(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-IF(VLOOKUP($Q52,武学奇术!$A:$ZZ,32,FALSE)=1,12%,0),0)</f>
        <v>0.0895</v>
      </c>
      <c r="BM52" s="27" cm="1">
        <f t="array" ref="BM52">1+$B$14+VLOOKUP($Q52,武学奇术!$A:$ZZ,20,FALSE)+SUM(_xlfn.XLOOKUP(R52:AF52,增益!$A:$A,增益!$T:$T,0))</f>
        <v>1.35</v>
      </c>
      <c r="BN52" s="27">
        <f t="shared" si="16"/>
        <v>0.9105</v>
      </c>
      <c r="BO52" s="27">
        <f t="shared" si="17"/>
        <v>0</v>
      </c>
      <c r="BP52" s="27">
        <f>IF(VLOOKUP($Q52,武学奇术!$A:$ZZ,22,FALSE)=1,0,(1-$BI52))*(1-$BL52)</f>
        <v>0</v>
      </c>
      <c r="BQ52" s="27" cm="1">
        <f t="array" ref="BQ52">SUM(_xlfn.XLOOKUP(R52:AF52,增益!$A:$A,增益!$W:$W,0))+$I$5</f>
        <v>0.11</v>
      </c>
    </row>
    <row r="53" spans="1:69">
      <c r="A53" t="s">
        <v>175</v>
      </c>
      <c r="B53">
        <v>0.5</v>
      </c>
      <c r="C53" s="40" t="s">
        <v>119</v>
      </c>
      <c r="G53">
        <v>20</v>
      </c>
      <c r="K53" s="39">
        <f t="shared" si="11"/>
        <v>62317.630655834</v>
      </c>
      <c r="L53" s="39">
        <f>((($AN53+($AO53-$AN53)*IF(VLOOKUP($Q53,武学奇术!$A:$ZZ,31,FALSE)=1,$F$18,0.5))*$AH53+$AI53)*(1+$AP53)*(1+$AQ53)+(($AS53+($AT53-$AS53)*IF(VLOOKUP($Q53,武学奇术!$A:$ZZ,31,FALSE)=1,$F$18,0.5))*IF($G$1="鸣金",$AJ53,$AH53)+IF($G$1="鸣金",$AK53*1.5,0))*(1+$AU53)*(1+$AV53)+(($AW53+($AX53-$AW53)*IF(VLOOKUP($Q53,武学奇术!$A:$ZZ,31,FALSE)=1,$F$18,0.5))*IF($G$1="裂石",$AJ53,$AH53)+IF($G$1="裂石",$AK53*1.5,0))*(1+$AY53)*(1+$AZ53)+(($BA53+($BB53-$BA53)*IF(VLOOKUP($Q53,武学奇术!$A:$ZZ,31,FALSE)=1,$F$18,0.5))*IF($G$1="牵丝",$AJ53,$AH53)+IF($G$1="牵丝",$AK53*1.5,0))*(1+$BC53)*(1+$BD53)+(($BE53+($BF53-$BE53)*IF(VLOOKUP($Q53,武学奇术!$A:$ZZ,31,FALSE)=1,$F$18,0.5))*IF($G$1="破竹",$AJ53,$AH53)+IF($G$1="破竹",$AK53*1.5,0))*(1+$BG53)*(1+$BH53))*(1+$AL53)*$BK53*$P53*(1+IF(VLOOKUP($Q53,武学奇术!$A:$ZZ,30,FALSE)="蓄力技",$B$21,0))*(1+$BQ53)</f>
        <v>63517.2260618137</v>
      </c>
      <c r="M53" s="39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50113.9254363419</v>
      </c>
      <c r="N53" s="39">
        <f>((($AN53+($AO53-$AN53)*IF(VLOOKUP($Q53,武学奇术!$A:$ZZ,31,FALSE)=1,$F$18,0.5))*$AH53+$AI53)*(1+$AP53)*(1+$AQ53)+(($AS53+($AT53-$AS53)*IF(VLOOKUP($Q53,武学奇术!$A:$ZZ,31,FALSE)=1,$F$18,0.5))*IF($G$1="鸣金",$AJ53,$AH53)+IF($G$1="鸣金",$AK53*1.5,0))*(1+$AU53)*(1+$AV53)+(($AW53+($AX53-$AW53)*IF(VLOOKUP($Q53,武学奇术!$A:$ZZ,31,FALSE)=1,$F$18,0.5))*IF($G$1="裂石",$AJ53,$AH53)+IF($G$1="裂石",$AK53*1.5,0))*(1+$AY53)*(1+$AZ53)+(($BA53+($BB53-$BA53)*IF(VLOOKUP($Q53,武学奇术!$A:$ZZ,31,FALSE)=1,$F$18,0.5))*IF($G$1="牵丝",$AJ53,$AH53)+IF($G$1="牵丝",$AK53*1.5,0))*(1+$BC53)*(1+$BD53)+(($BE53+($BF53-$BE53)*IF(VLOOKUP($Q53,武学奇术!$A:$ZZ,31,FALSE)=1,$F$18,0.5))*IF($G$1="破竹",$AJ53,$AH53)+IF($G$1="破竹",$AK53*1.5,0))*(1+$BG53)*(1+$BH53))*(1+$AL53)*$P53*(1+IF(VLOOKUP($Q53,武学奇术!$A:$ZZ,30,FALSE)="蓄力技",$B$21,0))*(1+$BQ53)</f>
        <v>32740.8381761926</v>
      </c>
      <c r="O53" s="39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28360.2501032431</v>
      </c>
      <c r="P53" s="40">
        <v>1</v>
      </c>
      <c r="Q53" s="41" t="s">
        <v>100</v>
      </c>
      <c r="R53" s="41" t="s">
        <v>93</v>
      </c>
      <c r="S53" s="41" t="s">
        <v>72</v>
      </c>
      <c r="T53" s="41" t="s">
        <v>72</v>
      </c>
      <c r="U53" s="41" t="s">
        <v>72</v>
      </c>
      <c r="V53" s="41" t="s">
        <v>72</v>
      </c>
      <c r="W53" s="41" t="s">
        <v>72</v>
      </c>
      <c r="X53" s="41" t="s">
        <v>165</v>
      </c>
      <c r="Y53" s="41" t="s">
        <v>81</v>
      </c>
      <c r="Z53" s="41" t="s">
        <v>101</v>
      </c>
      <c r="AA53" s="41" t="s">
        <v>72</v>
      </c>
      <c r="AB53" s="41" t="s">
        <v>72</v>
      </c>
      <c r="AC53" s="41" t="s">
        <v>72</v>
      </c>
      <c r="AD53" s="41" t="s">
        <v>72</v>
      </c>
      <c r="AE53" s="41" t="s">
        <v>75</v>
      </c>
      <c r="AF53" s="41" t="s">
        <v>76</v>
      </c>
      <c r="AG53" t="str">
        <f>VLOOKUP($Q53,武学奇术!$A:$ZZ,25,FALSE)</f>
        <v>绳镖</v>
      </c>
      <c r="AH53" s="27">
        <f>VLOOKUP($Q53,武学奇术!$A:$ZZ,26,FALSE)</f>
        <v>2.33376</v>
      </c>
      <c r="AI53" s="28">
        <f>VLOOKUP($Q53,武学奇术!$A:$ZZ,27,FALSE)*(1+IF(OR($AG53=$F$4,$AG53=$F$5),$B$22,0))</f>
        <v>0</v>
      </c>
      <c r="AJ53" s="27">
        <f>VLOOKUP($Q53,武学奇术!$A:$ZZ,28,FALSE)</f>
        <v>3.50064</v>
      </c>
      <c r="AK53" s="28">
        <f>VLOOKUP($Q53,武学奇术!$A:$ZZ,29,FALSE)*(1+IF(OR($AG53=$F$4,$AG53=$F$5),$B$22,0))</f>
        <v>0</v>
      </c>
      <c r="AL53" s="27" cm="1">
        <f t="array" ref="AL53">$G$3+IFERROR(VLOOKUP($AG53,$F$4:$G$7,2,FALSE),0)+VLOOKUP($Q53,武学奇术!$A:$ZZ,2,FALSE)+SUM(_xlfn.XLOOKUP($R53:$AF53,增益!$A:$A,增益!$B:$B,0))</f>
        <v>0.6189</v>
      </c>
      <c r="AM53" s="27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3804.006</v>
      </c>
      <c r="AO53" cm="1">
        <f t="array" ref="AO53">$E$10*(1+$AM53)+VLOOKUP($Q53,武学奇术!$A:$ZZ,4,FALSE)+SUM(_xlfn.XLOOKUP($R53:$AF53,增益!$A:$A,增益!$D:$D,0))-$I$2</f>
        <v>3804.006</v>
      </c>
      <c r="AP53" s="33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0.347</v>
      </c>
      <c r="AQ53" s="33" cm="1">
        <f t="array" ref="AQ53">$G$10+VLOOKUP($Q53,武学奇术!$A:$ZZ,7,FALSE)+SUM(_xlfn.XLOOKUP(R53:AF53,增益!$A:$A,增益!$G:$G,0))</f>
        <v>0.09</v>
      </c>
      <c r="AR53" s="27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3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-0.08</v>
      </c>
      <c r="AV53" s="33" cm="1">
        <f t="array" ref="AV53">$G$11+VLOOKUP($Q53,武学奇术!$A:$ZZ,10,FALSE)+SUM(_xlfn.XLOOKUP(R53:AF53,增益!$A:$A,增益!$J:$J,0))</f>
        <v>0</v>
      </c>
      <c r="AW53">
        <f t="shared" si="20"/>
        <v>0</v>
      </c>
      <c r="AX53">
        <f t="shared" si="21"/>
        <v>0</v>
      </c>
      <c r="AY53" s="33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-0.08</v>
      </c>
      <c r="AZ53" s="33" cm="1">
        <f t="array" ref="AZ53">$G$12+VLOOKUP($Q53,武学奇术!$A:$ZZ,12,FALSE)+SUM(_xlfn.XLOOKUP(R53:AF53,增益!$A:$A,增益!$L:$L,0))</f>
        <v>0</v>
      </c>
      <c r="BA53">
        <f t="shared" si="12"/>
        <v>0</v>
      </c>
      <c r="BB53">
        <f t="shared" si="13"/>
        <v>0</v>
      </c>
      <c r="BC53" s="33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-0.08</v>
      </c>
      <c r="BD53" s="33" cm="1">
        <f t="array" ref="BD53">$G$13+VLOOKUP($Q53,武学奇术!$A:$ZZ,14,FALSE)+SUM(_xlfn.XLOOKUP(R53:AF53,增益!$A:$A,增益!$N:$N,0))</f>
        <v>0</v>
      </c>
      <c r="BE53">
        <f t="shared" si="14"/>
        <v>570.28</v>
      </c>
      <c r="BF53">
        <f t="shared" si="15"/>
        <v>1582.156</v>
      </c>
      <c r="BG53" s="33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0.11</v>
      </c>
      <c r="BH53" s="33" cm="1">
        <f t="array" ref="BH53">$G$14+VLOOKUP($Q53,武学奇术!$A:$ZZ,16,FALSE)+SUM(_xlfn.XLOOKUP(R53:AF53,增益!$A:$A,增益!$P:$P,0))</f>
        <v>0.24</v>
      </c>
      <c r="BI53" s="27">
        <f>MIN(IF(VLOOKUP($Q53,武学奇术!$A:$ZZ,23,FALSE)=1,100%,$B$8),100%)</f>
        <v>1</v>
      </c>
      <c r="BJ53" s="27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+MIN(IF(VLOOKUP($Q53,武学奇术!$A:$ZZ,32,FALSE)=1,IF(VLOOKUP($Q53,武学奇术!$A:$ZZ,24,FALSE)=1,100%,MIN(40%,$B$10+VLOOKUP($Q53,武学奇术!$A:$ZZ,19,FALSE)+SUM(_xlfn.XLOOKUP(R53:AF53,增益!$A:$A,增益!$S:$S,0)))+$B$12+SUM(_xlfn.XLOOKUP(R53:AF53,增益!$A:$A,增益!$V:$V,0))),0),12%)</f>
        <v>0.918</v>
      </c>
      <c r="BK53" s="27" cm="1">
        <f t="array" ref="BK53">1+$B$13+VLOOKUP($Q53,武学奇术!$A:$ZZ,18,FALSE)+SUM(_xlfn.XLOOKUP(R53:AF53,增益!$A:$A,增益!$R:$R,0))</f>
        <v>1.94</v>
      </c>
      <c r="BL53" s="27" cm="1">
        <f t="array" ref="BL53">MAX(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-IF(VLOOKUP($Q53,武学奇术!$A:$ZZ,32,FALSE)=1,12%,0),0)</f>
        <v>0.0895</v>
      </c>
      <c r="BM53" s="27" cm="1">
        <f t="array" ref="BM53">1+$B$14+VLOOKUP($Q53,武学奇术!$A:$ZZ,20,FALSE)+SUM(_xlfn.XLOOKUP(R53:AF53,增益!$A:$A,增益!$T:$T,0))</f>
        <v>1.35</v>
      </c>
      <c r="BN53" s="27">
        <f t="shared" si="16"/>
        <v>0.9105</v>
      </c>
      <c r="BO53" s="27">
        <f t="shared" si="17"/>
        <v>0</v>
      </c>
      <c r="BP53" s="27">
        <f>IF(VLOOKUP($Q53,武学奇术!$A:$ZZ,22,FALSE)=1,0,(1-$BI53))*(1-$BL53)</f>
        <v>0</v>
      </c>
      <c r="BQ53" s="27" cm="1">
        <f t="array" ref="BQ53">SUM(_xlfn.XLOOKUP(R53:AF53,增益!$A:$A,增益!$W:$W,0))+$I$5</f>
        <v>0.11</v>
      </c>
    </row>
    <row r="54" spans="1:69">
      <c r="A54" s="4" t="s">
        <v>168</v>
      </c>
      <c r="B54" s="4">
        <v>1</v>
      </c>
      <c r="C54" s="40"/>
      <c r="K54" s="39">
        <f t="shared" si="11"/>
        <v>32439.1575271145</v>
      </c>
      <c r="L54" s="39">
        <f>((($AN54+($AO54-$AN54)*IF(VLOOKUP($Q54,武学奇术!$A:$ZZ,31,FALSE)=1,$F$18,0.5))*$AH54+$AI54)*(1+$AP54)*(1+$AQ54)+(($AS54+($AT54-$AS54)*IF(VLOOKUP($Q54,武学奇术!$A:$ZZ,31,FALSE)=1,$F$18,0.5))*IF($G$1="鸣金",$AJ54,$AH54)+IF($G$1="鸣金",$AK54*1.5,0))*(1+$AU54)*(1+$AV54)+(($AW54+($AX54-$AW54)*IF(VLOOKUP($Q54,武学奇术!$A:$ZZ,31,FALSE)=1,$F$18,0.5))*IF($G$1="裂石",$AJ54,$AH54)+IF($G$1="裂石",$AK54*1.5,0))*(1+$AY54)*(1+$AZ54)+(($BA54+($BB54-$BA54)*IF(VLOOKUP($Q54,武学奇术!$A:$ZZ,31,FALSE)=1,$F$18,0.5))*IF($G$1="牵丝",$AJ54,$AH54)+IF($G$1="牵丝",$AK54*1.5,0))*(1+$BC54)*(1+$BD54)+(($BE54+($BF54-$BE54)*IF(VLOOKUP($Q54,武学奇术!$A:$ZZ,31,FALSE)=1,$F$18,0.5))*IF($G$1="破竹",$AJ54,$AH54)+IF($G$1="破竹",$AK54*1.5,0))*(1+$BG54)*(1+$BH54))*(1+$AL54)*$BK54*$P54*(1+IF(VLOOKUP($Q54,武学奇术!$A:$ZZ,30,FALSE)="蓄力技",$B$21,0))*(1+$BQ54)</f>
        <v>32687.1980239995</v>
      </c>
      <c r="M54" s="39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29915.795824167</v>
      </c>
      <c r="N54" s="39">
        <f>((($AN54+($AO54-$AN54)*IF(VLOOKUP($Q54,武学奇术!$A:$ZZ,31,FALSE)=1,$F$18,0.5))*$AH54+$AI54)*(1+$AP54)*(1+$AQ54)+(($AS54+($AT54-$AS54)*IF(VLOOKUP($Q54,武学奇术!$A:$ZZ,31,FALSE)=1,$F$18,0.5))*IF($G$1="鸣金",$AJ54,$AH54)+IF($G$1="鸣金",$AK54*1.5,0))*(1+$AU54)*(1+$AV54)+(($AW54+($AX54-$AW54)*IF(VLOOKUP($Q54,武学奇术!$A:$ZZ,31,FALSE)=1,$F$18,0.5))*IF($G$1="裂石",$AJ54,$AH54)+IF($G$1="裂石",$AK54*1.5,0))*(1+$AY54)*(1+$AZ54)+(($BA54+($BB54-$BA54)*IF(VLOOKUP($Q54,武学奇术!$A:$ZZ,31,FALSE)=1,$F$18,0.5))*IF($G$1="牵丝",$AJ54,$AH54)+IF($G$1="牵丝",$AK54*1.5,0))*(1+$BC54)*(1+$BD54)+(($BE54+($BF54-$BE54)*IF(VLOOKUP($Q54,武学奇术!$A:$ZZ,31,FALSE)=1,$F$18,0.5))*IF($G$1="破竹",$AJ54,$AH54)+IF($G$1="破竹",$AK54*1.5,0))*(1+$BG54)*(1+$BH54))*(1+$AL54)*$P54*(1+IF(VLOOKUP($Q54,武学奇术!$A:$ZZ,30,FALSE)="蓄力技",$B$21,0))*(1+$BQ54)</f>
        <v>19931.2183073168</v>
      </c>
      <c r="O54" s="39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17702.5878559913</v>
      </c>
      <c r="P54" s="40">
        <v>1</v>
      </c>
      <c r="Q54" s="41" t="s">
        <v>106</v>
      </c>
      <c r="R54" s="41" t="s">
        <v>93</v>
      </c>
      <c r="S54" s="41" t="s">
        <v>72</v>
      </c>
      <c r="T54" s="41" t="s">
        <v>72</v>
      </c>
      <c r="U54" s="41" t="s">
        <v>72</v>
      </c>
      <c r="V54" s="41" t="s">
        <v>176</v>
      </c>
      <c r="W54" s="41" t="s">
        <v>177</v>
      </c>
      <c r="X54" s="41" t="s">
        <v>165</v>
      </c>
      <c r="Y54" s="41" t="s">
        <v>72</v>
      </c>
      <c r="Z54" s="41" t="s">
        <v>72</v>
      </c>
      <c r="AA54" s="41" t="s">
        <v>72</v>
      </c>
      <c r="AB54" s="41" t="s">
        <v>72</v>
      </c>
      <c r="AC54" s="41" t="s">
        <v>72</v>
      </c>
      <c r="AD54" s="41" t="s">
        <v>72</v>
      </c>
      <c r="AE54" s="41" t="s">
        <v>75</v>
      </c>
      <c r="AF54" s="41" t="s">
        <v>76</v>
      </c>
      <c r="AG54" t="str">
        <f>VLOOKUP($Q54,武学奇术!$A:$ZZ,25,FALSE)</f>
        <v>拳甲</v>
      </c>
      <c r="AH54" s="27">
        <f>VLOOKUP($Q54,武学奇术!$A:$ZZ,26,FALSE)</f>
        <v>1.2876</v>
      </c>
      <c r="AI54" s="28">
        <f>VLOOKUP($Q54,武学奇术!$A:$ZZ,27,FALSE)*(1+IF(OR($AG54=$F$4,$AG54=$F$5),$B$22,0))</f>
        <v>501.2</v>
      </c>
      <c r="AJ54" s="27">
        <f>VLOOKUP($Q54,武学奇术!$A:$ZZ,28,FALSE)</f>
        <v>1.9313</v>
      </c>
      <c r="AK54" s="28">
        <f>VLOOKUP($Q54,武学奇术!$A:$ZZ,29,FALSE)*(1+IF(OR($AG54=$F$4,$AG54=$F$5),$B$22,0))</f>
        <v>273</v>
      </c>
      <c r="AL54" s="27" cm="1">
        <f t="array" ref="AL54">$G$3+IFERROR(VLOOKUP($AG54,$F$4:$G$7,2,FALSE),0)+VLOOKUP($Q54,武学奇术!$A:$ZZ,2,FALSE)+SUM(_xlfn.XLOOKUP($R54:$AF54,增益!$A:$A,增益!$B:$B,0))</f>
        <v>0.4041</v>
      </c>
      <c r="AM54" s="27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3804.006</v>
      </c>
      <c r="AO54" cm="1">
        <f t="array" ref="AO54">$E$10*(1+$AM54)+VLOOKUP($Q54,武学奇术!$A:$ZZ,4,FALSE)+SUM(_xlfn.XLOOKUP($R54:$AF54,增益!$A:$A,增益!$D:$D,0))-$I$2</f>
        <v>3804.006</v>
      </c>
      <c r="AP54" s="33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0.317</v>
      </c>
      <c r="AQ54" s="33" cm="1">
        <f t="array" ref="AQ54">$G$10+VLOOKUP($Q54,武学奇术!$A:$ZZ,7,FALSE)+SUM(_xlfn.XLOOKUP(R54:AF54,增益!$A:$A,增益!$G:$G,0))</f>
        <v>0.09</v>
      </c>
      <c r="AR54" s="27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3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3" cm="1">
        <f t="array" ref="AV54">$G$11+VLOOKUP($Q54,武学奇术!$A:$ZZ,10,FALSE)+SUM(_xlfn.XLOOKUP(R54:AF54,增益!$A:$A,增益!$J:$J,0))</f>
        <v>0.1</v>
      </c>
      <c r="AW54">
        <f t="shared" si="20"/>
        <v>0</v>
      </c>
      <c r="AX54">
        <f t="shared" si="21"/>
        <v>0</v>
      </c>
      <c r="AY54" s="33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3" cm="1">
        <f t="array" ref="AZ54">$G$12+VLOOKUP($Q54,武学奇术!$A:$ZZ,12,FALSE)+SUM(_xlfn.XLOOKUP(R54:AF54,增益!$A:$A,增益!$L:$L,0))</f>
        <v>0</v>
      </c>
      <c r="BA54">
        <f t="shared" si="12"/>
        <v>0</v>
      </c>
      <c r="BB54">
        <f t="shared" si="13"/>
        <v>0</v>
      </c>
      <c r="BC54" s="33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-0.3</v>
      </c>
      <c r="BD54" s="33" cm="1">
        <f t="array" ref="BD54">$G$13+VLOOKUP($Q54,武学奇术!$A:$ZZ,14,FALSE)+SUM(_xlfn.XLOOKUP(R54:AF54,增益!$A:$A,增益!$N:$N,0))</f>
        <v>0</v>
      </c>
      <c r="BE54">
        <f t="shared" si="14"/>
        <v>570.28</v>
      </c>
      <c r="BF54">
        <f t="shared" si="15"/>
        <v>1582.156</v>
      </c>
      <c r="BG54" s="33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0</v>
      </c>
      <c r="BH54" s="33" cm="1">
        <f t="array" ref="BH54">$G$14+VLOOKUP($Q54,武学奇术!$A:$ZZ,16,FALSE)+SUM(_xlfn.XLOOKUP(R54:AF54,增益!$A:$A,增益!$P:$P,0))</f>
        <v>0.24</v>
      </c>
      <c r="BI54" s="27">
        <f>MIN(IF(VLOOKUP($Q54,武学奇术!$A:$ZZ,23,FALSE)=1,100%,$B$8),100%)</f>
        <v>1</v>
      </c>
      <c r="BJ54" s="27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+MIN(IF(VLOOKUP($Q54,武学奇术!$A:$ZZ,32,FALSE)=1,IF(VLOOKUP($Q54,武学奇术!$A:$ZZ,24,FALSE)=1,100%,MIN(40%,$B$10+VLOOKUP($Q54,武学奇术!$A:$ZZ,19,FALSE)+SUM(_xlfn.XLOOKUP(R54:AF54,增益!$A:$A,增益!$S:$S,0)))+$B$12+SUM(_xlfn.XLOOKUP(R54:AF54,增益!$A:$A,增益!$V:$V,0))),0),12%)</f>
        <v>0.918</v>
      </c>
      <c r="BK54" s="27" cm="1">
        <f t="array" ref="BK54">1+$B$13+VLOOKUP($Q54,武学奇术!$A:$ZZ,18,FALSE)+SUM(_xlfn.XLOOKUP(R54:AF54,增益!$A:$A,增益!$R:$R,0))</f>
        <v>1.64</v>
      </c>
      <c r="BL54" s="27" cm="1">
        <f t="array" ref="BL54">MAX(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-IF(VLOOKUP($Q54,武学奇术!$A:$ZZ,32,FALSE)=1,12%,0),0)</f>
        <v>0.0895</v>
      </c>
      <c r="BM54" s="27" cm="1">
        <f t="array" ref="BM54">1+$B$14+VLOOKUP($Q54,武学奇术!$A:$ZZ,20,FALSE)+SUM(_xlfn.XLOOKUP(R54:AF54,增益!$A:$A,增益!$T:$T,0))</f>
        <v>1.35</v>
      </c>
      <c r="BN54" s="27">
        <f t="shared" si="16"/>
        <v>0.9105</v>
      </c>
      <c r="BO54" s="27">
        <f t="shared" si="17"/>
        <v>0</v>
      </c>
      <c r="BP54" s="27">
        <f>IF(VLOOKUP($Q54,武学奇术!$A:$ZZ,22,FALSE)=1,0,(1-$BI54))*(1-$BL54)</f>
        <v>0</v>
      </c>
      <c r="BQ54" s="27" cm="1">
        <f t="array" ref="BQ54">SUM(_xlfn.XLOOKUP(R54:AF54,增益!$A:$A,增益!$W:$W,0))+$I$5</f>
        <v>0.31</v>
      </c>
    </row>
    <row r="55" spans="1:69">
      <c r="A55" s="4" t="s">
        <v>166</v>
      </c>
      <c r="B55" s="91">
        <v>1.16</v>
      </c>
      <c r="C55" s="40"/>
      <c r="G55">
        <v>21</v>
      </c>
      <c r="K55" s="39">
        <f t="shared" si="11"/>
        <v>90573.6734085724</v>
      </c>
      <c r="L55" s="39">
        <f>((($AN55+($AO55-$AN55)*IF(VLOOKUP($Q55,武学奇术!$A:$ZZ,31,FALSE)=1,$F$18,0.5))*$AH55+$AI55)*(1+$AP55)*(1+$AQ55)+(($AS55+($AT55-$AS55)*IF(VLOOKUP($Q55,武学奇术!$A:$ZZ,31,FALSE)=1,$F$18,0.5))*IF($G$1="鸣金",$AJ55,$AH55)+IF($G$1="鸣金",$AK55*1.5,0))*(1+$AU55)*(1+$AV55)+(($AW55+($AX55-$AW55)*IF(VLOOKUP($Q55,武学奇术!$A:$ZZ,31,FALSE)=1,$F$18,0.5))*IF($G$1="裂石",$AJ55,$AH55)+IF($G$1="裂石",$AK55*1.5,0))*(1+$AY55)*(1+$AZ55)+(($BA55+($BB55-$BA55)*IF(VLOOKUP($Q55,武学奇术!$A:$ZZ,31,FALSE)=1,$F$18,0.5))*IF($G$1="牵丝",$AJ55,$AH55)+IF($G$1="牵丝",$AK55*1.5,0))*(1+$BC55)*(1+$BD55)+(($BE55+($BF55-$BE55)*IF(VLOOKUP($Q55,武学奇术!$A:$ZZ,31,FALSE)=1,$F$18,0.5))*IF($G$1="破竹",$AJ55,$AH55)+IF($G$1="破竹",$AK55*1.5,0))*(1+$BG55)*(1+$BH55))*(1+$AL55)*$BK55*$P55*(1+IF(VLOOKUP($Q55,武学奇术!$A:$ZZ,30,FALSE)="蓄力技",$B$21,0))*(1+$BQ55)</f>
        <v>93161.6621523588</v>
      </c>
      <c r="M55" s="39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64245.5868027903</v>
      </c>
      <c r="N55" s="39">
        <f>((($AN55+($AO55-$AN55)*IF(VLOOKUP($Q55,武学奇术!$A:$ZZ,31,FALSE)=1,$F$18,0.5))*$AH55+$AI55)*(1+$AP55)*(1+$AQ55)+(($AS55+($AT55-$AS55)*IF(VLOOKUP($Q55,武学奇术!$A:$ZZ,31,FALSE)=1,$F$18,0.5))*IF($G$1="鸣金",$AJ55,$AH55)+IF($G$1="鸣金",$AK55*1.5,0))*(1+$AU55)*(1+$AV55)+(($AW55+($AX55-$AW55)*IF(VLOOKUP($Q55,武学奇术!$A:$ZZ,31,FALSE)=1,$F$18,0.5))*IF($G$1="裂石",$AJ55,$AH55)+IF($G$1="裂石",$AK55*1.5,0))*(1+$AY55)*(1+$AZ55)+(($BA55+($BB55-$BA55)*IF(VLOOKUP($Q55,武学奇术!$A:$ZZ,31,FALSE)=1,$F$18,0.5))*IF($G$1="牵丝",$AJ55,$AH55)+IF($G$1="牵丝",$AK55*1.5,0))*(1+$BC55)*(1+$BD55)+(($BE55+($BF55-$BE55)*IF(VLOOKUP($Q55,武学奇术!$A:$ZZ,31,FALSE)=1,$F$18,0.5))*IF($G$1="破竹",$AJ55,$AH55)+IF($G$1="破竹",$AK55*1.5,0))*(1+$BG55)*(1+$BH55))*(1+$AL55)*$P55*(1+IF(VLOOKUP($Q55,武学奇术!$A:$ZZ,30,FALSE)="蓄力技",$B$21,0))*(1+$BQ55)</f>
        <v>42539.5717590679</v>
      </c>
      <c r="O55" s="39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37489.8199605134</v>
      </c>
      <c r="P55" s="40">
        <v>1</v>
      </c>
      <c r="Q55" s="41" t="s">
        <v>108</v>
      </c>
      <c r="R55" s="41" t="s">
        <v>93</v>
      </c>
      <c r="S55" s="41" t="s">
        <v>118</v>
      </c>
      <c r="T55" s="41" t="s">
        <v>72</v>
      </c>
      <c r="U55" s="41" t="s">
        <v>72</v>
      </c>
      <c r="V55" s="41" t="s">
        <v>176</v>
      </c>
      <c r="W55" s="41" t="s">
        <v>177</v>
      </c>
      <c r="X55" s="41" t="s">
        <v>165</v>
      </c>
      <c r="Y55" s="41" t="s">
        <v>72</v>
      </c>
      <c r="Z55" s="41" t="s">
        <v>101</v>
      </c>
      <c r="AA55" s="41" t="s">
        <v>72</v>
      </c>
      <c r="AB55" s="41" t="s">
        <v>72</v>
      </c>
      <c r="AC55" s="41" t="s">
        <v>72</v>
      </c>
      <c r="AD55" s="41" t="s">
        <v>72</v>
      </c>
      <c r="AE55" s="41" t="s">
        <v>75</v>
      </c>
      <c r="AF55" s="41" t="s">
        <v>76</v>
      </c>
      <c r="AG55" t="str">
        <f>VLOOKUP($Q55,武学奇术!$A:$ZZ,25,FALSE)</f>
        <v>拳甲</v>
      </c>
      <c r="AH55" s="27">
        <f>VLOOKUP($Q55,武学奇术!$A:$ZZ,26,FALSE)</f>
        <v>2.33376</v>
      </c>
      <c r="AI55" s="28">
        <f>VLOOKUP($Q55,武学奇术!$A:$ZZ,27,FALSE)*(1+IF(OR($AG55=$F$4,$AG55=$F$5),$B$22,0))</f>
        <v>0</v>
      </c>
      <c r="AJ55" s="27">
        <f>VLOOKUP($Q55,武学奇术!$A:$ZZ,28,FALSE)</f>
        <v>3.50064</v>
      </c>
      <c r="AK55" s="28">
        <f>VLOOKUP($Q55,武学奇术!$A:$ZZ,29,FALSE)*(1+IF(OR($AG55=$F$4,$AG55=$F$5),$B$22,0))</f>
        <v>0</v>
      </c>
      <c r="AL55" s="27" cm="1">
        <f t="array" ref="AL55">$G$3+IFERROR(VLOOKUP($AG55,$F$4:$G$7,2,FALSE),0)+VLOOKUP($Q55,武学奇术!$A:$ZZ,2,FALSE)+SUM(_xlfn.XLOOKUP($R55:$AF55,增益!$A:$A,增益!$B:$B,0))</f>
        <v>0.7041</v>
      </c>
      <c r="AM55" s="27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3804.006</v>
      </c>
      <c r="AO55" cm="1">
        <f t="array" ref="AO55">$E$10*(1+$AM55)+VLOOKUP($Q55,武学奇术!$A:$ZZ,4,FALSE)+SUM(_xlfn.XLOOKUP($R55:$AF55,增益!$A:$A,增益!$D:$D,0))-$I$2</f>
        <v>3804.006</v>
      </c>
      <c r="AP55" s="33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0.472</v>
      </c>
      <c r="AQ55" s="33" cm="1">
        <f t="array" ref="AQ55">$G$10+VLOOKUP($Q55,武学奇术!$A:$ZZ,7,FALSE)+SUM(_xlfn.XLOOKUP(R55:AF55,增益!$A:$A,增益!$G:$G,0))</f>
        <v>0.09</v>
      </c>
      <c r="AR55" s="27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3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-0.24</v>
      </c>
      <c r="AV55" s="33" cm="1">
        <f t="array" ref="AV55">$G$11+VLOOKUP($Q55,武学奇术!$A:$ZZ,10,FALSE)+SUM(_xlfn.XLOOKUP(R55:AF55,增益!$A:$A,增益!$J:$J,0))</f>
        <v>0.1</v>
      </c>
      <c r="AW55">
        <f t="shared" si="20"/>
        <v>0</v>
      </c>
      <c r="AX55">
        <f t="shared" si="21"/>
        <v>0</v>
      </c>
      <c r="AY55" s="33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-0.24</v>
      </c>
      <c r="AZ55" s="33" cm="1">
        <f t="array" ref="AZ55">$G$12+VLOOKUP($Q55,武学奇术!$A:$ZZ,12,FALSE)+SUM(_xlfn.XLOOKUP(R55:AF55,增益!$A:$A,增益!$L:$L,0))</f>
        <v>0</v>
      </c>
      <c r="BA55">
        <f t="shared" si="12"/>
        <v>0</v>
      </c>
      <c r="BB55">
        <f t="shared" si="13"/>
        <v>0</v>
      </c>
      <c r="BC55" s="33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-0.24</v>
      </c>
      <c r="BD55" s="33" cm="1">
        <f t="array" ref="BD55">$G$13+VLOOKUP($Q55,武学奇术!$A:$ZZ,14,FALSE)+SUM(_xlfn.XLOOKUP(R55:AF55,增益!$A:$A,增益!$N:$N,0))</f>
        <v>0</v>
      </c>
      <c r="BE55">
        <f t="shared" si="14"/>
        <v>570.28</v>
      </c>
      <c r="BF55">
        <f t="shared" si="15"/>
        <v>1582.156</v>
      </c>
      <c r="BG55" s="33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0.03</v>
      </c>
      <c r="BH55" s="33" cm="1">
        <f t="array" ref="BH55">$G$14+VLOOKUP($Q55,武学奇术!$A:$ZZ,16,FALSE)+SUM(_xlfn.XLOOKUP(R55:AF55,增益!$A:$A,增益!$P:$P,0))</f>
        <v>0.24</v>
      </c>
      <c r="BI55" s="27">
        <f>MIN(IF(VLOOKUP($Q55,武学奇术!$A:$ZZ,23,FALSE)=1,100%,$B$8),100%)</f>
        <v>1</v>
      </c>
      <c r="BJ55" s="27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+MIN(IF(VLOOKUP($Q55,武学奇术!$A:$ZZ,32,FALSE)=1,IF(VLOOKUP($Q55,武学奇术!$A:$ZZ,24,FALSE)=1,100%,MIN(40%,$B$10+VLOOKUP($Q55,武学奇术!$A:$ZZ,19,FALSE)+SUM(_xlfn.XLOOKUP(R55:AF55,增益!$A:$A,增益!$S:$S,0)))+$B$12+SUM(_xlfn.XLOOKUP(R55:AF55,增益!$A:$A,增益!$V:$V,0))),0),12%)</f>
        <v>0.918</v>
      </c>
      <c r="BK55" s="27" cm="1">
        <f t="array" ref="BK55">1+$B$13+VLOOKUP($Q55,武学奇术!$A:$ZZ,18,FALSE)+SUM(_xlfn.XLOOKUP(R55:AF55,增益!$A:$A,增益!$R:$R,0))</f>
        <v>2.19</v>
      </c>
      <c r="BL55" s="27" cm="1">
        <f t="array" ref="BL55">MAX(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-IF(VLOOKUP($Q55,武学奇术!$A:$ZZ,32,FALSE)=1,12%,0),0)</f>
        <v>0.0895</v>
      </c>
      <c r="BM55" s="27" cm="1">
        <f t="array" ref="BM55">1+$B$14+VLOOKUP($Q55,武学奇术!$A:$ZZ,20,FALSE)+SUM(_xlfn.XLOOKUP(R55:AF55,增益!$A:$A,增益!$T:$T,0))</f>
        <v>1.35</v>
      </c>
      <c r="BN55" s="27">
        <f t="shared" si="16"/>
        <v>0.9105</v>
      </c>
      <c r="BO55" s="27">
        <f t="shared" si="17"/>
        <v>0</v>
      </c>
      <c r="BP55" s="27">
        <f>IF(VLOOKUP($Q55,武学奇术!$A:$ZZ,22,FALSE)=1,0,(1-$BI55))*(1-$BL55)</f>
        <v>0</v>
      </c>
      <c r="BQ55" s="27" cm="1">
        <f t="array" ref="BQ55">SUM(_xlfn.XLOOKUP(R55:AF55,增益!$A:$A,增益!$W:$W,0))+$I$5</f>
        <v>0.31</v>
      </c>
    </row>
    <row r="56" spans="1:69">
      <c r="A56" t="s">
        <v>178</v>
      </c>
      <c r="B56">
        <v>1.5</v>
      </c>
      <c r="C56" s="40"/>
      <c r="G56">
        <v>-20</v>
      </c>
      <c r="K56" s="39">
        <f t="shared" si="11"/>
        <v>74794.5784572469</v>
      </c>
      <c r="L56" s="39">
        <f>((($AN56+($AO56-$AN56)*IF(VLOOKUP($Q56,武学奇术!$A:$ZZ,31,FALSE)=1,$F$18,0.5))*$AH56+$AI56)*(1+$AP56)*(1+$AQ56)+(($AS56+($AT56-$AS56)*IF(VLOOKUP($Q56,武学奇术!$A:$ZZ,31,FALSE)=1,$F$18,0.5))*IF($G$1="鸣金",$AJ56,$AH56)+IF($G$1="鸣金",$AK56*1.5,0))*(1+$AU56)*(1+$AV56)+(($AW56+($AX56-$AW56)*IF(VLOOKUP($Q56,武学奇术!$A:$ZZ,31,FALSE)=1,$F$18,0.5))*IF($G$1="裂石",$AJ56,$AH56)+IF($G$1="裂石",$AK56*1.5,0))*(1+$AY56)*(1+$AZ56)+(($BA56+($BB56-$BA56)*IF(VLOOKUP($Q56,武学奇术!$A:$ZZ,31,FALSE)=1,$F$18,0.5))*IF($G$1="牵丝",$AJ56,$AH56)+IF($G$1="牵丝",$AK56*1.5,0))*(1+$BC56)*(1+$BD56)+(($BE56+($BF56-$BE56)*IF(VLOOKUP($Q56,武学奇术!$A:$ZZ,31,FALSE)=1,$F$18,0.5))*IF($G$1="破竹",$AJ56,$AH56)+IF($G$1="破竹",$AK56*1.5,0))*(1+$BG56)*(1+$BH56))*(1+$AL56)*$BK56*$P56*(1+IF(VLOOKUP($Q56,武学奇术!$A:$ZZ,30,FALSE)="蓄力技",$B$21,0))*(1+$BQ56)</f>
        <v>76233.1953646118</v>
      </c>
      <c r="M56" s="39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60159.2634387472</v>
      </c>
      <c r="N56" s="39">
        <f>((($AN56+($AO56-$AN56)*IF(VLOOKUP($Q56,武学奇术!$A:$ZZ,31,FALSE)=1,$F$18,0.5))*$AH56+$AI56)*(1+$AP56)*(1+$AQ56)+(($AS56+($AT56-$AS56)*IF(VLOOKUP($Q56,武学奇术!$A:$ZZ,31,FALSE)=1,$F$18,0.5))*IF($G$1="鸣金",$AJ56,$AH56)+IF($G$1="鸣金",$AK56*1.5,0))*(1+$AU56)*(1+$AV56)+(($AW56+($AX56-$AW56)*IF(VLOOKUP($Q56,武学奇术!$A:$ZZ,31,FALSE)=1,$F$18,0.5))*IF($G$1="裂石",$AJ56,$AH56)+IF($G$1="裂石",$AK56*1.5,0))*(1+$AY56)*(1+$AZ56)+(($BA56+($BB56-$BA56)*IF(VLOOKUP($Q56,武学奇术!$A:$ZZ,31,FALSE)=1,$F$18,0.5))*IF($G$1="牵丝",$AJ56,$AH56)+IF($G$1="牵丝",$AK56*1.5,0))*(1+$BC56)*(1+$BD56)+(($BE56+($BF56-$BE56)*IF(VLOOKUP($Q56,武学奇术!$A:$ZZ,31,FALSE)=1,$F$18,0.5))*IF($G$1="破竹",$AJ56,$AH56)+IF($G$1="破竹",$AK56*1.5,0))*(1+$BG56)*(1+$BH56))*(1+$AL56)*$P56*(1+IF(VLOOKUP($Q56,武学奇术!$A:$ZZ,30,FALSE)="蓄力技",$B$21,0))*(1+$BQ56)</f>
        <v>40335.0240024401</v>
      </c>
      <c r="O56" s="39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36107.6306428452</v>
      </c>
      <c r="P56" s="40">
        <v>1</v>
      </c>
      <c r="Q56" s="41" t="s">
        <v>111</v>
      </c>
      <c r="R56" s="41" t="s">
        <v>93</v>
      </c>
      <c r="S56" s="41" t="s">
        <v>118</v>
      </c>
      <c r="T56" s="41" t="s">
        <v>72</v>
      </c>
      <c r="U56" s="41" t="s">
        <v>72</v>
      </c>
      <c r="V56" s="41" t="s">
        <v>176</v>
      </c>
      <c r="W56" s="41" t="s">
        <v>177</v>
      </c>
      <c r="X56" s="41" t="s">
        <v>165</v>
      </c>
      <c r="Y56" s="41" t="s">
        <v>72</v>
      </c>
      <c r="Z56" s="41" t="s">
        <v>72</v>
      </c>
      <c r="AA56" s="41" t="s">
        <v>72</v>
      </c>
      <c r="AB56" s="41" t="s">
        <v>72</v>
      </c>
      <c r="AC56" s="41" t="s">
        <v>72</v>
      </c>
      <c r="AD56" s="41" t="s">
        <v>72</v>
      </c>
      <c r="AE56" s="41" t="s">
        <v>75</v>
      </c>
      <c r="AF56" s="41" t="s">
        <v>76</v>
      </c>
      <c r="AG56" t="str">
        <f>VLOOKUP($Q56,武学奇术!$A:$ZZ,25,FALSE)</f>
        <v>拳甲</v>
      </c>
      <c r="AH56" s="27">
        <f>VLOOKUP($Q56,武学奇术!$A:$ZZ,26,FALSE)</f>
        <v>2.4421</v>
      </c>
      <c r="AI56" s="28">
        <f>VLOOKUP($Q56,武学奇术!$A:$ZZ,27,FALSE)*(1+IF(OR($AG56=$F$4,$AG56=$F$5),$B$22,0))</f>
        <v>945</v>
      </c>
      <c r="AJ56" s="27">
        <f>VLOOKUP($Q56,武学奇术!$A:$ZZ,28,FALSE)</f>
        <v>3.6634</v>
      </c>
      <c r="AK56" s="28">
        <f>VLOOKUP($Q56,武学奇术!$A:$ZZ,29,FALSE)*(1+IF(OR($AG56=$F$4,$AG56=$F$5),$B$22,0))</f>
        <v>512.4</v>
      </c>
      <c r="AL56" s="27" cm="1">
        <f t="array" ref="AL56">$G$3+IFERROR(VLOOKUP($AG56,$F$4:$G$7,2,FALSE),0)+VLOOKUP($Q56,武学奇术!$A:$ZZ,2,FALSE)+SUM(_xlfn.XLOOKUP($R56:$AF56,增益!$A:$A,增益!$B:$B,0))</f>
        <v>0.4041</v>
      </c>
      <c r="AM56" s="27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3804.006</v>
      </c>
      <c r="AO56" cm="1">
        <f t="array" ref="AO56">$E$10*(1+$AM56)+VLOOKUP($Q56,武学奇术!$A:$ZZ,4,FALSE)+SUM(_xlfn.XLOOKUP($R56:$AF56,增益!$A:$A,增益!$D:$D,0))-$I$2</f>
        <v>3804.006</v>
      </c>
      <c r="AP56" s="33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0.442</v>
      </c>
      <c r="AQ56" s="33" cm="1">
        <f t="array" ref="AQ56">$G$10+VLOOKUP($Q56,武学奇术!$A:$ZZ,7,FALSE)+SUM(_xlfn.XLOOKUP(R56:AF56,增益!$A:$A,增益!$G:$G,0))</f>
        <v>0.09</v>
      </c>
      <c r="AR56" s="27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3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3" cm="1">
        <f t="array" ref="AV56">$G$11+VLOOKUP($Q56,武学奇术!$A:$ZZ,10,FALSE)+SUM(_xlfn.XLOOKUP(R56:AF56,增益!$A:$A,增益!$J:$J,0))</f>
        <v>0.1</v>
      </c>
      <c r="AW56">
        <f t="shared" si="20"/>
        <v>0</v>
      </c>
      <c r="AX56">
        <f t="shared" si="21"/>
        <v>0</v>
      </c>
      <c r="AY56" s="33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3" cm="1">
        <f t="array" ref="AZ56">$G$12+VLOOKUP($Q56,武学奇术!$A:$ZZ,12,FALSE)+SUM(_xlfn.XLOOKUP(R56:AF56,增益!$A:$A,增益!$L:$L,0))</f>
        <v>0</v>
      </c>
      <c r="BA56">
        <f t="shared" si="12"/>
        <v>0</v>
      </c>
      <c r="BB56">
        <f t="shared" si="13"/>
        <v>0</v>
      </c>
      <c r="BC56" s="33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-0.3</v>
      </c>
      <c r="BD56" s="33" cm="1">
        <f t="array" ref="BD56">$G$13+VLOOKUP($Q56,武学奇术!$A:$ZZ,14,FALSE)+SUM(_xlfn.XLOOKUP(R56:AF56,增益!$A:$A,增益!$N:$N,0))</f>
        <v>0</v>
      </c>
      <c r="BE56">
        <f t="shared" si="14"/>
        <v>570.28</v>
      </c>
      <c r="BF56">
        <f t="shared" si="15"/>
        <v>1582.156</v>
      </c>
      <c r="BG56" s="33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</v>
      </c>
      <c r="BH56" s="33" cm="1">
        <f t="array" ref="BH56">$G$14+VLOOKUP($Q56,武学奇术!$A:$ZZ,16,FALSE)+SUM(_xlfn.XLOOKUP(R56:AF56,增益!$A:$A,增益!$P:$P,0))</f>
        <v>0.24</v>
      </c>
      <c r="BI56" s="27">
        <f>MIN(IF(VLOOKUP($Q56,武学奇术!$A:$ZZ,23,FALSE)=1,100%,$B$8),100%)</f>
        <v>1</v>
      </c>
      <c r="BJ56" s="27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+MIN(IF(VLOOKUP($Q56,武学奇术!$A:$ZZ,32,FALSE)=1,IF(VLOOKUP($Q56,武学奇术!$A:$ZZ,24,FALSE)=1,100%,MIN(40%,$B$10+VLOOKUP($Q56,武学奇术!$A:$ZZ,19,FALSE)+SUM(_xlfn.XLOOKUP(R56:AF56,增益!$A:$A,增益!$S:$S,0)))+$B$12+SUM(_xlfn.XLOOKUP(R56:AF56,增益!$A:$A,增益!$V:$V,0))),0),12%)</f>
        <v>0.918</v>
      </c>
      <c r="BK56" s="27" cm="1">
        <f t="array" ref="BK56">1+$B$13+VLOOKUP($Q56,武学奇术!$A:$ZZ,18,FALSE)+SUM(_xlfn.XLOOKUP(R56:AF56,增益!$A:$A,增益!$R:$R,0))</f>
        <v>1.89</v>
      </c>
      <c r="BL56" s="27" cm="1">
        <f t="array" ref="BL56">MAX(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-IF(VLOOKUP($Q56,武学奇术!$A:$ZZ,32,FALSE)=1,12%,0),0)</f>
        <v>0.0895</v>
      </c>
      <c r="BM56" s="27" cm="1">
        <f t="array" ref="BM56">1+$B$14+VLOOKUP($Q56,武学奇术!$A:$ZZ,20,FALSE)+SUM(_xlfn.XLOOKUP(R56:AF56,增益!$A:$A,增益!$T:$T,0))</f>
        <v>1.35</v>
      </c>
      <c r="BN56" s="27">
        <f t="shared" si="16"/>
        <v>0.9105</v>
      </c>
      <c r="BO56" s="27">
        <f t="shared" si="17"/>
        <v>0</v>
      </c>
      <c r="BP56" s="27">
        <f>IF(VLOOKUP($Q56,武学奇术!$A:$ZZ,22,FALSE)=1,0,(1-$BI56))*(1-$BL56)</f>
        <v>0</v>
      </c>
      <c r="BQ56" s="27" cm="1">
        <f t="array" ref="BQ56">SUM(_xlfn.XLOOKUP(R56:AF56,增益!$A:$A,增益!$W:$W,0))+$I$5</f>
        <v>0.31</v>
      </c>
    </row>
    <row r="57" spans="1:69">
      <c r="A57" t="s">
        <v>179</v>
      </c>
      <c r="B57">
        <v>1</v>
      </c>
      <c r="C57" s="40"/>
      <c r="D57" s="4"/>
      <c r="E57" s="4"/>
      <c r="F57" s="40" t="s">
        <v>167</v>
      </c>
      <c r="K57" s="39">
        <f t="shared" si="11"/>
        <v>39468.0131642014</v>
      </c>
      <c r="L57" s="39">
        <f>((($AN57+($AO57-$AN57)*IF(VLOOKUP($Q57,武学奇术!$A:$ZZ,31,FALSE)=1,$F$18,0.5))*$AH57+$AI57)*(1+$AP57)*(1+$AQ57)+(($AS57+($AT57-$AS57)*IF(VLOOKUP($Q57,武学奇术!$A:$ZZ,31,FALSE)=1,$F$18,0.5))*IF($G$1="鸣金",$AJ57,$AH57)+IF($G$1="鸣金",$AK57*1.5,0))*(1+$AU57)*(1+$AV57)+(($AW57+($AX57-$AW57)*IF(VLOOKUP($Q57,武学奇术!$A:$ZZ,31,FALSE)=1,$F$18,0.5))*IF($G$1="裂石",$AJ57,$AH57)+IF($G$1="裂石",$AK57*1.5,0))*(1+$AY57)*(1+$AZ57)+(($BA57+($BB57-$BA57)*IF(VLOOKUP($Q57,武学奇术!$A:$ZZ,31,FALSE)=1,$F$18,0.5))*IF($G$1="牵丝",$AJ57,$AH57)+IF($G$1="牵丝",$AK57*1.5,0))*(1+$BC57)*(1+$BD57)+(($BE57+($BF57-$BE57)*IF(VLOOKUP($Q57,武学奇术!$A:$ZZ,31,FALSE)=1,$F$18,0.5))*IF($G$1="破竹",$AJ57,$AH57)+IF($G$1="破竹",$AK57*1.5,0))*(1+$BG57)*(1+$BH57))*(1+$AL57)*$BK57*$P57*(1+IF(VLOOKUP($Q57,武学奇术!$A:$ZZ,30,FALSE)="蓄力技",$B$21,0))*(1+$BQ57)</f>
        <v>40227.4112636622</v>
      </c>
      <c r="M57" s="39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31742.5162976195</v>
      </c>
      <c r="N57" s="39">
        <f>((($AN57+($AO57-$AN57)*IF(VLOOKUP($Q57,武学奇术!$A:$ZZ,31,FALSE)=1,$F$18,0.5))*$AH57+$AI57)*(1+$AP57)*(1+$AQ57)+(($AS57+($AT57-$AS57)*IF(VLOOKUP($Q57,武学奇术!$A:$ZZ,31,FALSE)=1,$F$18,0.5))*IF($G$1="鸣金",$AJ57,$AH57)+IF($G$1="鸣金",$AK57*1.5,0))*(1+$AU57)*(1+$AV57)+(($AW57+($AX57-$AW57)*IF(VLOOKUP($Q57,武学奇术!$A:$ZZ,31,FALSE)=1,$F$18,0.5))*IF($G$1="裂石",$AJ57,$AH57)+IF($G$1="裂石",$AK57*1.5,0))*(1+$AY57)*(1+$AZ57)+(($BA57+($BB57-$BA57)*IF(VLOOKUP($Q57,武学奇术!$A:$ZZ,31,FALSE)=1,$F$18,0.5))*IF($G$1="牵丝",$AJ57,$AH57)+IF($G$1="牵丝",$AK57*1.5,0))*(1+$BC57)*(1+$BD57)+(($BE57+($BF57-$BE57)*IF(VLOOKUP($Q57,武学奇术!$A:$ZZ,31,FALSE)=1,$F$18,0.5))*IF($G$1="破竹",$AJ57,$AH57)+IF($G$1="破竹",$AK57*1.5,0))*(1+$BG57)*(1+$BH57))*(1+$AL57)*$P57*(1+IF(VLOOKUP($Q57,武学奇术!$A:$ZZ,30,FALSE)="蓄力技",$B$21,0))*(1+$BQ57)</f>
        <v>21284.3445839483</v>
      </c>
      <c r="O57" s="39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19055.7141326228</v>
      </c>
      <c r="P57" s="40">
        <v>1</v>
      </c>
      <c r="Q57" s="41" t="s">
        <v>106</v>
      </c>
      <c r="R57" s="41" t="s">
        <v>93</v>
      </c>
      <c r="S57" s="41" t="s">
        <v>118</v>
      </c>
      <c r="T57" s="41" t="s">
        <v>72</v>
      </c>
      <c r="U57" s="41" t="s">
        <v>72</v>
      </c>
      <c r="V57" s="41" t="s">
        <v>176</v>
      </c>
      <c r="W57" s="41" t="s">
        <v>177</v>
      </c>
      <c r="X57" s="41" t="s">
        <v>165</v>
      </c>
      <c r="Y57" s="41" t="s">
        <v>72</v>
      </c>
      <c r="Z57" s="41" t="s">
        <v>72</v>
      </c>
      <c r="AA57" s="41" t="s">
        <v>72</v>
      </c>
      <c r="AB57" s="41" t="s">
        <v>72</v>
      </c>
      <c r="AC57" s="41" t="s">
        <v>72</v>
      </c>
      <c r="AD57" s="41" t="s">
        <v>72</v>
      </c>
      <c r="AE57" s="41" t="s">
        <v>75</v>
      </c>
      <c r="AF57" s="41" t="s">
        <v>76</v>
      </c>
      <c r="AG57" t="str">
        <f>VLOOKUP($Q57,武学奇术!$A:$ZZ,25,FALSE)</f>
        <v>拳甲</v>
      </c>
      <c r="AH57" s="27">
        <f>VLOOKUP($Q57,武学奇术!$A:$ZZ,26,FALSE)</f>
        <v>1.2876</v>
      </c>
      <c r="AI57" s="28">
        <f>VLOOKUP($Q57,武学奇术!$A:$ZZ,27,FALSE)*(1+IF(OR($AG57=$F$4,$AG57=$F$5),$B$22,0))</f>
        <v>501.2</v>
      </c>
      <c r="AJ57" s="27">
        <f>VLOOKUP($Q57,武学奇术!$A:$ZZ,28,FALSE)</f>
        <v>1.9313</v>
      </c>
      <c r="AK57" s="28">
        <f>VLOOKUP($Q57,武学奇术!$A:$ZZ,29,FALSE)*(1+IF(OR($AG57=$F$4,$AG57=$F$5),$B$22,0))</f>
        <v>273</v>
      </c>
      <c r="AL57" s="27" cm="1">
        <f t="array" ref="AL57">$G$3+IFERROR(VLOOKUP($AG57,$F$4:$G$7,2,FALSE),0)+VLOOKUP($Q57,武学奇术!$A:$ZZ,2,FALSE)+SUM(_xlfn.XLOOKUP($R57:$AF57,增益!$A:$A,增益!$B:$B,0))</f>
        <v>0.4041</v>
      </c>
      <c r="AM57" s="27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3804.006</v>
      </c>
      <c r="AO57" cm="1">
        <f t="array" ref="AO57">$E$10*(1+$AM57)+VLOOKUP($Q57,武学奇术!$A:$ZZ,4,FALSE)+SUM(_xlfn.XLOOKUP($R57:$AF57,增益!$A:$A,增益!$D:$D,0))-$I$2</f>
        <v>3804.006</v>
      </c>
      <c r="AP57" s="33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0.442</v>
      </c>
      <c r="AQ57" s="33" cm="1">
        <f t="array" ref="AQ57">$G$10+VLOOKUP($Q57,武学奇术!$A:$ZZ,7,FALSE)+SUM(_xlfn.XLOOKUP(R57:AF57,增益!$A:$A,增益!$G:$G,0))</f>
        <v>0.09</v>
      </c>
      <c r="AR57" s="27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3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3" cm="1">
        <f t="array" ref="AV57">$G$11+VLOOKUP($Q57,武学奇术!$A:$ZZ,10,FALSE)+SUM(_xlfn.XLOOKUP(R57:AF57,增益!$A:$A,增益!$J:$J,0))</f>
        <v>0.1</v>
      </c>
      <c r="AW57">
        <f t="shared" si="20"/>
        <v>0</v>
      </c>
      <c r="AX57">
        <f t="shared" si="21"/>
        <v>0</v>
      </c>
      <c r="AY57" s="33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3" cm="1">
        <f t="array" ref="AZ57">$G$12+VLOOKUP($Q57,武学奇术!$A:$ZZ,12,FALSE)+SUM(_xlfn.XLOOKUP(R57:AF57,增益!$A:$A,增益!$L:$L,0))</f>
        <v>0</v>
      </c>
      <c r="BA57">
        <f t="shared" si="12"/>
        <v>0</v>
      </c>
      <c r="BB57">
        <f t="shared" si="13"/>
        <v>0</v>
      </c>
      <c r="BC57" s="33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3" cm="1">
        <f t="array" ref="BD57">$G$13+VLOOKUP($Q57,武学奇术!$A:$ZZ,14,FALSE)+SUM(_xlfn.XLOOKUP(R57:AF57,增益!$A:$A,增益!$N:$N,0))</f>
        <v>0</v>
      </c>
      <c r="BE57">
        <f t="shared" si="14"/>
        <v>570.28</v>
      </c>
      <c r="BF57">
        <f t="shared" si="15"/>
        <v>1582.156</v>
      </c>
      <c r="BG57" s="33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0</v>
      </c>
      <c r="BH57" s="33" cm="1">
        <f t="array" ref="BH57">$G$14+VLOOKUP($Q57,武学奇术!$A:$ZZ,16,FALSE)+SUM(_xlfn.XLOOKUP(R57:AF57,增益!$A:$A,增益!$P:$P,0))</f>
        <v>0.24</v>
      </c>
      <c r="BI57" s="27">
        <f>MIN(IF(VLOOKUP($Q57,武学奇术!$A:$ZZ,23,FALSE)=1,100%,$B$8),100%)</f>
        <v>1</v>
      </c>
      <c r="BJ57" s="27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+MIN(IF(VLOOKUP($Q57,武学奇术!$A:$ZZ,32,FALSE)=1,IF(VLOOKUP($Q57,武学奇术!$A:$ZZ,24,FALSE)=1,100%,MIN(40%,$B$10+VLOOKUP($Q57,武学奇术!$A:$ZZ,19,FALSE)+SUM(_xlfn.XLOOKUP(R57:AF57,增益!$A:$A,增益!$S:$S,0)))+$B$12+SUM(_xlfn.XLOOKUP(R57:AF57,增益!$A:$A,增益!$V:$V,0))),0),12%)</f>
        <v>0.918</v>
      </c>
      <c r="BK57" s="27" cm="1">
        <f t="array" ref="BK57">1+$B$13+VLOOKUP($Q57,武学奇术!$A:$ZZ,18,FALSE)+SUM(_xlfn.XLOOKUP(R57:AF57,增益!$A:$A,增益!$R:$R,0))</f>
        <v>1.89</v>
      </c>
      <c r="BL57" s="27" cm="1">
        <f t="array" ref="BL57">MAX(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-IF(VLOOKUP($Q57,武学奇术!$A:$ZZ,32,FALSE)=1,12%,0),0)</f>
        <v>0.0895</v>
      </c>
      <c r="BM57" s="27" cm="1">
        <f t="array" ref="BM57">1+$B$14+VLOOKUP($Q57,武学奇术!$A:$ZZ,20,FALSE)+SUM(_xlfn.XLOOKUP(R57:AF57,增益!$A:$A,增益!$T:$T,0))</f>
        <v>1.35</v>
      </c>
      <c r="BN57" s="27">
        <f t="shared" si="16"/>
        <v>0.9105</v>
      </c>
      <c r="BO57" s="27">
        <f t="shared" si="17"/>
        <v>0</v>
      </c>
      <c r="BP57" s="27">
        <f>IF(VLOOKUP($Q57,武学奇术!$A:$ZZ,22,FALSE)=1,0,(1-$BI57))*(1-$BL57)</f>
        <v>0</v>
      </c>
      <c r="BQ57" s="27" cm="1">
        <f t="array" ref="BQ57">SUM(_xlfn.XLOOKUP(R57:AF57,增益!$A:$A,增益!$W:$W,0))+$I$5</f>
        <v>0.31</v>
      </c>
    </row>
    <row r="58" spans="1:69">
      <c r="A58" s="4" t="s">
        <v>166</v>
      </c>
      <c r="B58" s="91">
        <v>1.16</v>
      </c>
      <c r="C58" s="40"/>
      <c r="D58" s="40" t="s">
        <v>170</v>
      </c>
      <c r="F58" s="40"/>
      <c r="G58">
        <v>19</v>
      </c>
      <c r="K58" s="39">
        <f t="shared" si="11"/>
        <v>90573.6734085724</v>
      </c>
      <c r="L58" s="39">
        <f>((($AN58+($AO58-$AN58)*IF(VLOOKUP($Q58,武学奇术!$A:$ZZ,31,FALSE)=1,$F$18,0.5))*$AH58+$AI58)*(1+$AP58)*(1+$AQ58)+(($AS58+($AT58-$AS58)*IF(VLOOKUP($Q58,武学奇术!$A:$ZZ,31,FALSE)=1,$F$18,0.5))*IF($G$1="鸣金",$AJ58,$AH58)+IF($G$1="鸣金",$AK58*1.5,0))*(1+$AU58)*(1+$AV58)+(($AW58+($AX58-$AW58)*IF(VLOOKUP($Q58,武学奇术!$A:$ZZ,31,FALSE)=1,$F$18,0.5))*IF($G$1="裂石",$AJ58,$AH58)+IF($G$1="裂石",$AK58*1.5,0))*(1+$AY58)*(1+$AZ58)+(($BA58+($BB58-$BA58)*IF(VLOOKUP($Q58,武学奇术!$A:$ZZ,31,FALSE)=1,$F$18,0.5))*IF($G$1="牵丝",$AJ58,$AH58)+IF($G$1="牵丝",$AK58*1.5,0))*(1+$BC58)*(1+$BD58)+(($BE58+($BF58-$BE58)*IF(VLOOKUP($Q58,武学奇术!$A:$ZZ,31,FALSE)=1,$F$18,0.5))*IF($G$1="破竹",$AJ58,$AH58)+IF($G$1="破竹",$AK58*1.5,0))*(1+$BG58)*(1+$BH58))*(1+$AL58)*$BK58*$P58*(1+IF(VLOOKUP($Q58,武学奇术!$A:$ZZ,30,FALSE)="蓄力技",$B$21,0))*(1+$BQ58)</f>
        <v>93161.6621523588</v>
      </c>
      <c r="M58" s="39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64245.5868027903</v>
      </c>
      <c r="N58" s="39">
        <f>((($AN58+($AO58-$AN58)*IF(VLOOKUP($Q58,武学奇术!$A:$ZZ,31,FALSE)=1,$F$18,0.5))*$AH58+$AI58)*(1+$AP58)*(1+$AQ58)+(($AS58+($AT58-$AS58)*IF(VLOOKUP($Q58,武学奇术!$A:$ZZ,31,FALSE)=1,$F$18,0.5))*IF($G$1="鸣金",$AJ58,$AH58)+IF($G$1="鸣金",$AK58*1.5,0))*(1+$AU58)*(1+$AV58)+(($AW58+($AX58-$AW58)*IF(VLOOKUP($Q58,武学奇术!$A:$ZZ,31,FALSE)=1,$F$18,0.5))*IF($G$1="裂石",$AJ58,$AH58)+IF($G$1="裂石",$AK58*1.5,0))*(1+$AY58)*(1+$AZ58)+(($BA58+($BB58-$BA58)*IF(VLOOKUP($Q58,武学奇术!$A:$ZZ,31,FALSE)=1,$F$18,0.5))*IF($G$1="牵丝",$AJ58,$AH58)+IF($G$1="牵丝",$AK58*1.5,0))*(1+$BC58)*(1+$BD58)+(($BE58+($BF58-$BE58)*IF(VLOOKUP($Q58,武学奇术!$A:$ZZ,31,FALSE)=1,$F$18,0.5))*IF($G$1="破竹",$AJ58,$AH58)+IF($G$1="破竹",$AK58*1.5,0))*(1+$BG58)*(1+$BH58))*(1+$AL58)*$P58*(1+IF(VLOOKUP($Q58,武学奇术!$A:$ZZ,30,FALSE)="蓄力技",$B$21,0))*(1+$BQ58)</f>
        <v>42539.5717590679</v>
      </c>
      <c r="O58" s="39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37489.8199605134</v>
      </c>
      <c r="P58" s="40">
        <v>1</v>
      </c>
      <c r="Q58" s="41" t="s">
        <v>108</v>
      </c>
      <c r="R58" s="41" t="s">
        <v>93</v>
      </c>
      <c r="S58" s="41" t="s">
        <v>118</v>
      </c>
      <c r="T58" s="41" t="s">
        <v>72</v>
      </c>
      <c r="U58" s="41" t="s">
        <v>72</v>
      </c>
      <c r="V58" s="41" t="s">
        <v>176</v>
      </c>
      <c r="W58" s="41" t="s">
        <v>177</v>
      </c>
      <c r="X58" s="41" t="s">
        <v>165</v>
      </c>
      <c r="Y58" s="41" t="s">
        <v>72</v>
      </c>
      <c r="Z58" s="41" t="s">
        <v>101</v>
      </c>
      <c r="AA58" s="41" t="s">
        <v>72</v>
      </c>
      <c r="AB58" s="41" t="s">
        <v>72</v>
      </c>
      <c r="AC58" s="41" t="s">
        <v>72</v>
      </c>
      <c r="AD58" s="41" t="s">
        <v>72</v>
      </c>
      <c r="AE58" s="41" t="s">
        <v>75</v>
      </c>
      <c r="AF58" s="41" t="s">
        <v>76</v>
      </c>
      <c r="AG58" t="str">
        <f>VLOOKUP($Q58,武学奇术!$A:$ZZ,25,FALSE)</f>
        <v>拳甲</v>
      </c>
      <c r="AH58" s="27">
        <f>VLOOKUP($Q58,武学奇术!$A:$ZZ,26,FALSE)</f>
        <v>2.33376</v>
      </c>
      <c r="AI58" s="28">
        <f>VLOOKUP($Q58,武学奇术!$A:$ZZ,27,FALSE)*(1+IF(OR($AG58=$F$4,$AG58=$F$5),$B$22,0))</f>
        <v>0</v>
      </c>
      <c r="AJ58" s="27">
        <f>VLOOKUP($Q58,武学奇术!$A:$ZZ,28,FALSE)</f>
        <v>3.50064</v>
      </c>
      <c r="AK58" s="28">
        <f>VLOOKUP($Q58,武学奇术!$A:$ZZ,29,FALSE)*(1+IF(OR($AG58=$F$4,$AG58=$F$5),$B$22,0))</f>
        <v>0</v>
      </c>
      <c r="AL58" s="27" cm="1">
        <f t="array" ref="AL58">$G$3+IFERROR(VLOOKUP($AG58,$F$4:$G$7,2,FALSE),0)+VLOOKUP($Q58,武学奇术!$A:$ZZ,2,FALSE)+SUM(_xlfn.XLOOKUP($R58:$AF58,增益!$A:$A,增益!$B:$B,0))</f>
        <v>0.7041</v>
      </c>
      <c r="AM58" s="27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3804.006</v>
      </c>
      <c r="AO58" cm="1">
        <f t="array" ref="AO58">$E$10*(1+$AM58)+VLOOKUP($Q58,武学奇术!$A:$ZZ,4,FALSE)+SUM(_xlfn.XLOOKUP($R58:$AF58,增益!$A:$A,增益!$D:$D,0))-$I$2</f>
        <v>3804.006</v>
      </c>
      <c r="AP58" s="33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0.472</v>
      </c>
      <c r="AQ58" s="33" cm="1">
        <f t="array" ref="AQ58">$G$10+VLOOKUP($Q58,武学奇术!$A:$ZZ,7,FALSE)+SUM(_xlfn.XLOOKUP(R58:AF58,增益!$A:$A,增益!$G:$G,0))</f>
        <v>0.09</v>
      </c>
      <c r="AR58" s="27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3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-0.24</v>
      </c>
      <c r="AV58" s="33" cm="1">
        <f t="array" ref="AV58">$G$11+VLOOKUP($Q58,武学奇术!$A:$ZZ,10,FALSE)+SUM(_xlfn.XLOOKUP(R58:AF58,增益!$A:$A,增益!$J:$J,0))</f>
        <v>0.1</v>
      </c>
      <c r="AW58">
        <f t="shared" si="20"/>
        <v>0</v>
      </c>
      <c r="AX58">
        <f t="shared" si="21"/>
        <v>0</v>
      </c>
      <c r="AY58" s="33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-0.24</v>
      </c>
      <c r="AZ58" s="33" cm="1">
        <f t="array" ref="AZ58">$G$12+VLOOKUP($Q58,武学奇术!$A:$ZZ,12,FALSE)+SUM(_xlfn.XLOOKUP(R58:AF58,增益!$A:$A,增益!$L:$L,0))</f>
        <v>0</v>
      </c>
      <c r="BA58">
        <f t="shared" si="12"/>
        <v>0</v>
      </c>
      <c r="BB58">
        <f t="shared" si="13"/>
        <v>0</v>
      </c>
      <c r="BC58" s="33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-0.24</v>
      </c>
      <c r="BD58" s="33" cm="1">
        <f t="array" ref="BD58">$G$13+VLOOKUP($Q58,武学奇术!$A:$ZZ,14,FALSE)+SUM(_xlfn.XLOOKUP(R58:AF58,增益!$A:$A,增益!$N:$N,0))</f>
        <v>0</v>
      </c>
      <c r="BE58">
        <f t="shared" si="14"/>
        <v>570.28</v>
      </c>
      <c r="BF58">
        <f t="shared" si="15"/>
        <v>1582.156</v>
      </c>
      <c r="BG58" s="33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0.03</v>
      </c>
      <c r="BH58" s="33" cm="1">
        <f t="array" ref="BH58">$G$14+VLOOKUP($Q58,武学奇术!$A:$ZZ,16,FALSE)+SUM(_xlfn.XLOOKUP(R58:AF58,增益!$A:$A,增益!$P:$P,0))</f>
        <v>0.24</v>
      </c>
      <c r="BI58" s="27">
        <f>MIN(IF(VLOOKUP($Q58,武学奇术!$A:$ZZ,23,FALSE)=1,100%,$B$8),100%)</f>
        <v>1</v>
      </c>
      <c r="BJ58" s="27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+MIN(IF(VLOOKUP($Q58,武学奇术!$A:$ZZ,32,FALSE)=1,IF(VLOOKUP($Q58,武学奇术!$A:$ZZ,24,FALSE)=1,100%,MIN(40%,$B$10+VLOOKUP($Q58,武学奇术!$A:$ZZ,19,FALSE)+SUM(_xlfn.XLOOKUP(R58:AF58,增益!$A:$A,增益!$S:$S,0)))+$B$12+SUM(_xlfn.XLOOKUP(R58:AF58,增益!$A:$A,增益!$V:$V,0))),0),12%)</f>
        <v>0.918</v>
      </c>
      <c r="BK58" s="27" cm="1">
        <f t="array" ref="BK58">1+$B$13+VLOOKUP($Q58,武学奇术!$A:$ZZ,18,FALSE)+SUM(_xlfn.XLOOKUP(R58:AF58,增益!$A:$A,增益!$R:$R,0))</f>
        <v>2.19</v>
      </c>
      <c r="BL58" s="27" cm="1">
        <f t="array" ref="BL58">MAX(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-IF(VLOOKUP($Q58,武学奇术!$A:$ZZ,32,FALSE)=1,12%,0),0)</f>
        <v>0.0895</v>
      </c>
      <c r="BM58" s="27" cm="1">
        <f t="array" ref="BM58">1+$B$14+VLOOKUP($Q58,武学奇术!$A:$ZZ,20,FALSE)+SUM(_xlfn.XLOOKUP(R58:AF58,增益!$A:$A,增益!$T:$T,0))</f>
        <v>1.35</v>
      </c>
      <c r="BN58" s="27">
        <f t="shared" si="16"/>
        <v>0.9105</v>
      </c>
      <c r="BO58" s="27">
        <f t="shared" si="17"/>
        <v>0</v>
      </c>
      <c r="BP58" s="27">
        <f>IF(VLOOKUP($Q58,武学奇术!$A:$ZZ,22,FALSE)=1,0,(1-$BI58))*(1-$BL58)</f>
        <v>0</v>
      </c>
      <c r="BQ58" s="27" cm="1">
        <f t="array" ref="BQ58">SUM(_xlfn.XLOOKUP(R58:AF58,增益!$A:$A,增益!$W:$W,0))+$I$5</f>
        <v>0.31</v>
      </c>
    </row>
    <row r="59" spans="1:69">
      <c r="C59" s="40"/>
      <c r="D59" s="40"/>
      <c r="F59" s="40"/>
      <c r="K59" s="39">
        <f t="shared" si="11"/>
        <v>1110743.77943675</v>
      </c>
      <c r="L59" s="39">
        <f>((($AN59+($AO59-$AN59)*IF(VLOOKUP($Q59,武学奇术!$A:$ZZ,31,FALSE)=1,$F$18,0.5))*$AH59+$AI59)*(1+$AP59)*(1+$AQ59)+(($AS59+($AT59-$AS59)*IF(VLOOKUP($Q59,武学奇术!$A:$ZZ,31,FALSE)=1,$F$18,0.5))*IF($G$1="鸣金",$AJ59,$AH59)+IF($G$1="鸣金",$AK59*1.5,0))*(1+$AU59)*(1+$AV59)+(($AW59+($AX59-$AW59)*IF(VLOOKUP($Q59,武学奇术!$A:$ZZ,31,FALSE)=1,$F$18,0.5))*IF($G$1="裂石",$AJ59,$AH59)+IF($G$1="裂石",$AK59*1.5,0))*(1+$AY59)*(1+$AZ59)+(($BA59+($BB59-$BA59)*IF(VLOOKUP($Q59,武学奇术!$A:$ZZ,31,FALSE)=1,$F$18,0.5))*IF($G$1="牵丝",$AJ59,$AH59)+IF($G$1="牵丝",$AK59*1.5,0))*(1+$BC59)*(1+$BD59)+(($BE59+($BF59-$BE59)*IF(VLOOKUP($Q59,武学奇术!$A:$ZZ,31,FALSE)=1,$F$18,0.5))*IF($G$1="破竹",$AJ59,$AH59)+IF($G$1="破竹",$AK59*1.5,0))*(1+$BG59)*(1+$BH59))*(1+$AL59)*$BK59*$P59*(1+IF(VLOOKUP($Q59,武学奇术!$A:$ZZ,30,FALSE)="蓄力技",$B$21,0))*(1+$BQ59)</f>
        <v>1110743.77943675</v>
      </c>
      <c r="M59" s="39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697262.004199472</v>
      </c>
      <c r="N59" s="39">
        <f>((($AN59+($AO59-$AN59)*IF(VLOOKUP($Q59,武学奇术!$A:$ZZ,31,FALSE)=1,$F$18,0.5))*$AH59+$AI59)*(1+$AP59)*(1+$AQ59)+(($AS59+($AT59-$AS59)*IF(VLOOKUP($Q59,武学奇术!$A:$ZZ,31,FALSE)=1,$F$18,0.5))*IF($G$1="鸣金",$AJ59,$AH59)+IF($G$1="鸣金",$AK59*1.5,0))*(1+$AU59)*(1+$AV59)+(($AW59+($AX59-$AW59)*IF(VLOOKUP($Q59,武学奇术!$A:$ZZ,31,FALSE)=1,$F$18,0.5))*IF($G$1="裂石",$AJ59,$AH59)+IF($G$1="裂石",$AK59*1.5,0))*(1+$AY59)*(1+$AZ59)+(($BA59+($BB59-$BA59)*IF(VLOOKUP($Q59,武学奇术!$A:$ZZ,31,FALSE)=1,$F$18,0.5))*IF($G$1="牵丝",$AJ59,$AH59)+IF($G$1="牵丝",$AK59*1.5,0))*(1+$BC59)*(1+$BD59)+(($BE59+($BF59-$BE59)*IF(VLOOKUP($Q59,武学奇术!$A:$ZZ,31,FALSE)=1,$F$18,0.5))*IF($G$1="破竹",$AJ59,$AH59)+IF($G$1="破竹",$AK59*1.5,0))*(1+$BG59)*(1+$BH59))*(1+$AL59)*$P59*(1+IF(VLOOKUP($Q59,武学奇术!$A:$ZZ,30,FALSE)="蓄力技",$B$21,0))*(1+$BQ59)</f>
        <v>464746.351228766</v>
      </c>
      <c r="O59" s="39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413002.328976441</v>
      </c>
      <c r="P59" s="40">
        <v>1</v>
      </c>
      <c r="Q59" s="41" t="s">
        <v>125</v>
      </c>
      <c r="R59" s="41" t="s">
        <v>93</v>
      </c>
      <c r="S59" s="41" t="s">
        <v>118</v>
      </c>
      <c r="T59" s="41" t="s">
        <v>72</v>
      </c>
      <c r="U59" s="41" t="s">
        <v>72</v>
      </c>
      <c r="V59" s="41" t="s">
        <v>176</v>
      </c>
      <c r="W59" s="41" t="s">
        <v>177</v>
      </c>
      <c r="X59" s="41" t="s">
        <v>165</v>
      </c>
      <c r="Y59" s="41" t="s">
        <v>81</v>
      </c>
      <c r="Z59" s="41" t="s">
        <v>101</v>
      </c>
      <c r="AA59" s="41" t="s">
        <v>72</v>
      </c>
      <c r="AB59" s="41" t="s">
        <v>72</v>
      </c>
      <c r="AC59" s="41" t="s">
        <v>72</v>
      </c>
      <c r="AD59" s="41" t="s">
        <v>72</v>
      </c>
      <c r="AE59" s="41" t="s">
        <v>75</v>
      </c>
      <c r="AF59" s="41" t="s">
        <v>76</v>
      </c>
      <c r="AG59" t="str">
        <f>VLOOKUP($Q59,武学奇术!$A:$ZZ,25,FALSE)</f>
        <v>拳甲</v>
      </c>
      <c r="AH59" s="27">
        <f>VLOOKUP($Q59,武学奇术!$A:$ZZ,26,FALSE)</f>
        <v>16.8107</v>
      </c>
      <c r="AI59" s="28">
        <f>VLOOKUP($Q59,武学奇术!$A:$ZZ,27,FALSE)*(1+IF(OR($AG59=$F$4,$AG59=$F$5),$B$22,0))</f>
        <v>6505.8</v>
      </c>
      <c r="AJ59" s="27">
        <f>VLOOKUP($Q59,武学奇术!$A:$ZZ,28,FALSE)</f>
        <v>25.2161</v>
      </c>
      <c r="AK59" s="28">
        <f>VLOOKUP($Q59,武学奇术!$A:$ZZ,29,FALSE)*(1+IF(OR($AG59=$F$4,$AG59=$F$5),$B$22,0))</f>
        <v>3546.2</v>
      </c>
      <c r="AL59" s="27" cm="1">
        <f t="array" ref="AL59">$G$3+IFERROR(VLOOKUP($AG59,$F$4:$G$7,2,FALSE),0)+VLOOKUP($Q59,武学奇术!$A:$ZZ,2,FALSE)+SUM(_xlfn.XLOOKUP($R59:$AF59,增益!$A:$A,增益!$B:$B,0))</f>
        <v>0.7041</v>
      </c>
      <c r="AM59" s="27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3804.006</v>
      </c>
      <c r="AO59" cm="1">
        <f t="array" ref="AO59">$E$10*(1+$AM59)+VLOOKUP($Q59,武学奇术!$A:$ZZ,4,FALSE)+SUM(_xlfn.XLOOKUP($R59:$AF59,增益!$A:$A,增益!$D:$D,0))-$I$2</f>
        <v>3804.006</v>
      </c>
      <c r="AP59" s="33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0.472</v>
      </c>
      <c r="AQ59" s="33" cm="1">
        <f t="array" ref="AQ59">$G$10+VLOOKUP($Q59,武学奇术!$A:$ZZ,7,FALSE)+SUM(_xlfn.XLOOKUP(R59:AF59,增益!$A:$A,增益!$G:$G,0))</f>
        <v>0.09</v>
      </c>
      <c r="AR59" s="27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3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-0.08</v>
      </c>
      <c r="AV59" s="33" cm="1">
        <f t="array" ref="AV59">$G$11+VLOOKUP($Q59,武学奇术!$A:$ZZ,10,FALSE)+SUM(_xlfn.XLOOKUP(R59:AF59,增益!$A:$A,增益!$J:$J,0))</f>
        <v>0.1</v>
      </c>
      <c r="AW59">
        <f t="shared" si="20"/>
        <v>0</v>
      </c>
      <c r="AX59">
        <f t="shared" si="21"/>
        <v>0</v>
      </c>
      <c r="AY59" s="33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-0.08</v>
      </c>
      <c r="AZ59" s="33" cm="1">
        <f t="array" ref="AZ59">$G$12+VLOOKUP($Q59,武学奇术!$A:$ZZ,12,FALSE)+SUM(_xlfn.XLOOKUP(R59:AF59,增益!$A:$A,增益!$L:$L,0))</f>
        <v>0</v>
      </c>
      <c r="BA59">
        <f t="shared" si="12"/>
        <v>0</v>
      </c>
      <c r="BB59">
        <f t="shared" si="13"/>
        <v>0</v>
      </c>
      <c r="BC59" s="33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-0.08</v>
      </c>
      <c r="BD59" s="33" cm="1">
        <f t="array" ref="BD59">$G$13+VLOOKUP($Q59,武学奇术!$A:$ZZ,14,FALSE)+SUM(_xlfn.XLOOKUP(R59:AF59,增益!$A:$A,增益!$N:$N,0))</f>
        <v>0</v>
      </c>
      <c r="BE59">
        <f t="shared" si="14"/>
        <v>570.28</v>
      </c>
      <c r="BF59">
        <f t="shared" si="15"/>
        <v>1582.156</v>
      </c>
      <c r="BG59" s="33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0.11</v>
      </c>
      <c r="BH59" s="33" cm="1">
        <f t="array" ref="BH59">$G$14+VLOOKUP($Q59,武学奇术!$A:$ZZ,16,FALSE)+SUM(_xlfn.XLOOKUP(R59:AF59,增益!$A:$A,增益!$P:$P,0))</f>
        <v>0.24</v>
      </c>
      <c r="BI59" s="27">
        <f>MIN(IF(VLOOKUP($Q59,武学奇术!$A:$ZZ,23,FALSE)=1,100%,$B$8),100%)</f>
        <v>1</v>
      </c>
      <c r="BJ59" s="27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+MIN(IF(VLOOKUP($Q59,武学奇术!$A:$ZZ,32,FALSE)=1,IF(VLOOKUP($Q59,武学奇术!$A:$ZZ,24,FALSE)=1,100%,MIN(40%,$B$10+VLOOKUP($Q59,武学奇术!$A:$ZZ,19,FALSE)+SUM(_xlfn.XLOOKUP(R59:AF59,增益!$A:$A,增益!$S:$S,0)))+$B$12+SUM(_xlfn.XLOOKUP(R59:AF59,增益!$A:$A,增益!$V:$V,0))),0),12%)</f>
        <v>1.0075</v>
      </c>
      <c r="BK59" s="27" cm="1">
        <f t="array" ref="BK59">1+$B$13+VLOOKUP($Q59,武学奇术!$A:$ZZ,18,FALSE)+SUM(_xlfn.XLOOKUP(R59:AF59,增益!$A:$A,增益!$R:$R,0))</f>
        <v>2.39</v>
      </c>
      <c r="BL59" s="27" cm="1">
        <f t="array" ref="BL59">MAX(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-IF(VLOOKUP($Q59,武学奇术!$A:$ZZ,32,FALSE)=1,12%,0),0)</f>
        <v>0</v>
      </c>
      <c r="BM59" s="27" cm="1">
        <f t="array" ref="BM59">1+$B$14+VLOOKUP($Q59,武学奇术!$A:$ZZ,20,FALSE)+SUM(_xlfn.XLOOKUP(R59:AF59,增益!$A:$A,增益!$T:$T,0))</f>
        <v>1.35</v>
      </c>
      <c r="BN59" s="27">
        <f t="shared" si="16"/>
        <v>1</v>
      </c>
      <c r="BO59" s="27">
        <f t="shared" si="17"/>
        <v>0</v>
      </c>
      <c r="BP59" s="27">
        <f>IF(VLOOKUP($Q59,武学奇术!$A:$ZZ,22,FALSE)=1,0,(1-$BI59))*(1-$BL59)</f>
        <v>0</v>
      </c>
      <c r="BQ59" s="27" cm="1">
        <f t="array" ref="BQ59">SUM(_xlfn.XLOOKUP(R59:AF59,增益!$A:$A,增益!$W:$W,0))+$I$5</f>
        <v>0.31</v>
      </c>
    </row>
    <row r="60" spans="1:69">
      <c r="A60" s="4" t="s">
        <v>171</v>
      </c>
      <c r="B60" s="91">
        <v>0.7</v>
      </c>
      <c r="C60" s="40"/>
      <c r="D60" s="40"/>
      <c r="F60" s="40"/>
      <c r="K60" s="39">
        <f t="shared" si="11"/>
        <v>427650.367465662</v>
      </c>
      <c r="L60" s="39">
        <f>((($AN60+($AO60-$AN60)*IF(VLOOKUP($Q60,武学奇术!$A:$ZZ,31,FALSE)=1,$F$18,0.5))*$AH60+$AI60)*(1+$AP60)*(1+$AQ60)+(($AS60+($AT60-$AS60)*IF(VLOOKUP($Q60,武学奇术!$A:$ZZ,31,FALSE)=1,$F$18,0.5))*IF($G$1="鸣金",$AJ60,$AH60)+IF($G$1="鸣金",$AK60*1.5,0))*(1+$AU60)*(1+$AV60)+(($AW60+($AX60-$AW60)*IF(VLOOKUP($Q60,武学奇术!$A:$ZZ,31,FALSE)=1,$F$18,0.5))*IF($G$1="裂石",$AJ60,$AH60)+IF($G$1="裂石",$AK60*1.5,0))*(1+$AY60)*(1+$AZ60)+(($BA60+($BB60-$BA60)*IF(VLOOKUP($Q60,武学奇术!$A:$ZZ,31,FALSE)=1,$F$18,0.5))*IF($G$1="牵丝",$AJ60,$AH60)+IF($G$1="牵丝",$AK60*1.5,0))*(1+$BC60)*(1+$BD60)+(($BE60+($BF60-$BE60)*IF(VLOOKUP($Q60,武学奇术!$A:$ZZ,31,FALSE)=1,$F$18,0.5))*IF($G$1="破竹",$AJ60,$AH60)+IF($G$1="破竹",$AK60*1.5,0))*(1+$BG60)*(1+$BH60))*(1+$AL60)*$BK60*$P60*(1+IF(VLOOKUP($Q60,武学奇术!$A:$ZZ,30,FALSE)="蓄力技",$B$21,0))*(1+$BQ60)</f>
        <v>427650.367465662</v>
      </c>
      <c r="M60" s="39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268454.012334747</v>
      </c>
      <c r="N60" s="39">
        <f>((($AN60+($AO60-$AN60)*IF(VLOOKUP($Q60,武学奇术!$A:$ZZ,31,FALSE)=1,$F$18,0.5))*$AH60+$AI60)*(1+$AP60)*(1+$AQ60)+(($AS60+($AT60-$AS60)*IF(VLOOKUP($Q60,武学奇术!$A:$ZZ,31,FALSE)=1,$F$18,0.5))*IF($G$1="鸣金",$AJ60,$AH60)+IF($G$1="鸣金",$AK60*1.5,0))*(1+$AU60)*(1+$AV60)+(($AW60+($AX60-$AW60)*IF(VLOOKUP($Q60,武学奇术!$A:$ZZ,31,FALSE)=1,$F$18,0.5))*IF($G$1="裂石",$AJ60,$AH60)+IF($G$1="裂石",$AK60*1.5,0))*(1+$AY60)*(1+$AZ60)+(($BA60+($BB60-$BA60)*IF(VLOOKUP($Q60,武学奇术!$A:$ZZ,31,FALSE)=1,$F$18,0.5))*IF($G$1="牵丝",$AJ60,$AH60)+IF($G$1="牵丝",$AK60*1.5,0))*(1+$BC60)*(1+$BD60)+(($BE60+($BF60-$BE60)*IF(VLOOKUP($Q60,武学奇术!$A:$ZZ,31,FALSE)=1,$F$18,0.5))*IF($G$1="破竹",$AJ60,$AH60)+IF($G$1="破竹",$AK60*1.5,0))*(1+$BG60)*(1+$BH60))*(1+$AL60)*$P60*(1+IF(VLOOKUP($Q60,武学奇术!$A:$ZZ,30,FALSE)="蓄力技",$B$21,0))*(1+$BQ60)</f>
        <v>178933.208144628</v>
      </c>
      <c r="O60" s="39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159011.592337593</v>
      </c>
      <c r="P60" s="40">
        <v>1</v>
      </c>
      <c r="Q60" s="41" t="s">
        <v>129</v>
      </c>
      <c r="R60" s="41" t="s">
        <v>93</v>
      </c>
      <c r="S60" s="41" t="s">
        <v>118</v>
      </c>
      <c r="T60" s="41" t="s">
        <v>72</v>
      </c>
      <c r="U60" s="41" t="s">
        <v>72</v>
      </c>
      <c r="V60" s="41" t="s">
        <v>176</v>
      </c>
      <c r="W60" s="41" t="s">
        <v>177</v>
      </c>
      <c r="X60" s="41" t="s">
        <v>165</v>
      </c>
      <c r="Y60" s="41" t="s">
        <v>81</v>
      </c>
      <c r="Z60" s="41" t="s">
        <v>101</v>
      </c>
      <c r="AA60" s="41" t="s">
        <v>72</v>
      </c>
      <c r="AB60" s="41" t="s">
        <v>72</v>
      </c>
      <c r="AC60" s="41" t="s">
        <v>72</v>
      </c>
      <c r="AD60" s="41" t="s">
        <v>72</v>
      </c>
      <c r="AE60" s="41" t="s">
        <v>75</v>
      </c>
      <c r="AF60" s="41" t="s">
        <v>76</v>
      </c>
      <c r="AG60" t="str">
        <f>VLOOKUP($Q60,武学奇术!$A:$ZZ,25,FALSE)</f>
        <v>拳甲</v>
      </c>
      <c r="AH60" s="27">
        <f>VLOOKUP($Q60,武学奇术!$A:$ZZ,26,FALSE)</f>
        <v>6.4722</v>
      </c>
      <c r="AI60" s="28">
        <f>VLOOKUP($Q60,武学奇术!$A:$ZZ,27,FALSE)*(1+IF(OR($AG60=$F$4,$AG60=$F$5),$B$22,0))</f>
        <v>2504.88</v>
      </c>
      <c r="AJ60" s="27">
        <f>VLOOKUP($Q60,武学奇术!$A:$ZZ,28,FALSE)</f>
        <v>9.70828</v>
      </c>
      <c r="AK60" s="28">
        <f>VLOOKUP($Q60,武学奇术!$A:$ZZ,29,FALSE)*(1+IF(OR($AG60=$F$4,$AG60=$F$5),$B$22,0))</f>
        <v>1365.84</v>
      </c>
      <c r="AL60" s="27" cm="1">
        <f t="array" ref="AL60">$G$3+IFERROR(VLOOKUP($AG60,$F$4:$G$7,2,FALSE),0)+VLOOKUP($Q60,武学奇术!$A:$ZZ,2,FALSE)+SUM(_xlfn.XLOOKUP($R60:$AF60,增益!$A:$A,增益!$B:$B,0))</f>
        <v>0.7041</v>
      </c>
      <c r="AM60" s="27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3804.006</v>
      </c>
      <c r="AO60" cm="1">
        <f t="array" ref="AO60">$E$10*(1+$AM60)+VLOOKUP($Q60,武学奇术!$A:$ZZ,4,FALSE)+SUM(_xlfn.XLOOKUP($R60:$AF60,增益!$A:$A,增益!$D:$D,0))-$I$2</f>
        <v>3804.006</v>
      </c>
      <c r="AP60" s="33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0.472</v>
      </c>
      <c r="AQ60" s="33" cm="1">
        <f t="array" ref="AQ60">$G$10+VLOOKUP($Q60,武学奇术!$A:$ZZ,7,FALSE)+SUM(_xlfn.XLOOKUP(R60:AF60,增益!$A:$A,增益!$G:$G,0))</f>
        <v>0.09</v>
      </c>
      <c r="AR60" s="27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3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-0.08</v>
      </c>
      <c r="AV60" s="33" cm="1">
        <f t="array" ref="AV60">$G$11+VLOOKUP($Q60,武学奇术!$A:$ZZ,10,FALSE)+SUM(_xlfn.XLOOKUP(R60:AF60,增益!$A:$A,增益!$J:$J,0))</f>
        <v>0.1</v>
      </c>
      <c r="AW60">
        <f t="shared" si="20"/>
        <v>0</v>
      </c>
      <c r="AX60">
        <f t="shared" si="21"/>
        <v>0</v>
      </c>
      <c r="AY60" s="33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-0.08</v>
      </c>
      <c r="AZ60" s="33" cm="1">
        <f t="array" ref="AZ60">$G$12+VLOOKUP($Q60,武学奇术!$A:$ZZ,12,FALSE)+SUM(_xlfn.XLOOKUP(R60:AF60,增益!$A:$A,增益!$L:$L,0))</f>
        <v>0</v>
      </c>
      <c r="BA60">
        <f t="shared" si="12"/>
        <v>0</v>
      </c>
      <c r="BB60">
        <f t="shared" si="13"/>
        <v>0</v>
      </c>
      <c r="BC60" s="33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-0.08</v>
      </c>
      <c r="BD60" s="33" cm="1">
        <f t="array" ref="BD60">$G$13+VLOOKUP($Q60,武学奇术!$A:$ZZ,14,FALSE)+SUM(_xlfn.XLOOKUP(R60:AF60,增益!$A:$A,增益!$N:$N,0))</f>
        <v>0</v>
      </c>
      <c r="BE60">
        <f t="shared" si="14"/>
        <v>570.28</v>
      </c>
      <c r="BF60">
        <f t="shared" si="15"/>
        <v>1582.156</v>
      </c>
      <c r="BG60" s="33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0.11</v>
      </c>
      <c r="BH60" s="33" cm="1">
        <f t="array" ref="BH60">$G$14+VLOOKUP($Q60,武学奇术!$A:$ZZ,16,FALSE)+SUM(_xlfn.XLOOKUP(R60:AF60,增益!$A:$A,增益!$P:$P,0))</f>
        <v>0.24</v>
      </c>
      <c r="BI60" s="27">
        <f>MIN(IF(VLOOKUP($Q60,武学奇术!$A:$ZZ,23,FALSE)=1,100%,$B$8),100%)</f>
        <v>1</v>
      </c>
      <c r="BJ60" s="27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+MIN(IF(VLOOKUP($Q60,武学奇术!$A:$ZZ,32,FALSE)=1,IF(VLOOKUP($Q60,武学奇术!$A:$ZZ,24,FALSE)=1,100%,MIN(40%,$B$10+VLOOKUP($Q60,武学奇术!$A:$ZZ,19,FALSE)+SUM(_xlfn.XLOOKUP(R60:AF60,增益!$A:$A,增益!$S:$S,0)))+$B$12+SUM(_xlfn.XLOOKUP(R60:AF60,增益!$A:$A,增益!$V:$V,0))),0),12%)</f>
        <v>1.0075</v>
      </c>
      <c r="BK60" s="27" cm="1">
        <f t="array" ref="BK60">1+$B$13+VLOOKUP($Q60,武学奇术!$A:$ZZ,18,FALSE)+SUM(_xlfn.XLOOKUP(R60:AF60,增益!$A:$A,增益!$R:$R,0))</f>
        <v>2.39</v>
      </c>
      <c r="BL60" s="27" cm="1">
        <f t="array" ref="BL60">MAX(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-IF(VLOOKUP($Q60,武学奇术!$A:$ZZ,32,FALSE)=1,12%,0),0)</f>
        <v>0</v>
      </c>
      <c r="BM60" s="27" cm="1">
        <f t="array" ref="BM60">1+$B$14+VLOOKUP($Q60,武学奇术!$A:$ZZ,20,FALSE)+SUM(_xlfn.XLOOKUP(R60:AF60,增益!$A:$A,增益!$T:$T,0))</f>
        <v>1.35</v>
      </c>
      <c r="BN60" s="27">
        <f t="shared" si="16"/>
        <v>1</v>
      </c>
      <c r="BO60" s="27">
        <f t="shared" si="17"/>
        <v>0</v>
      </c>
      <c r="BP60" s="27">
        <f>IF(VLOOKUP($Q60,武学奇术!$A:$ZZ,22,FALSE)=1,0,(1-$BI60))*(1-$BL60)</f>
        <v>0</v>
      </c>
      <c r="BQ60" s="27" cm="1">
        <f t="array" ref="BQ60">SUM(_xlfn.XLOOKUP(R60:AF60,增益!$A:$A,增益!$W:$W,0))+$I$5</f>
        <v>0.31</v>
      </c>
    </row>
    <row r="61" spans="1:69">
      <c r="A61" s="4" t="s">
        <v>172</v>
      </c>
      <c r="B61" s="4">
        <v>0.8</v>
      </c>
      <c r="C61" s="40"/>
      <c r="D61" s="40"/>
      <c r="F61" s="40"/>
      <c r="K61" s="39">
        <f t="shared" ref="K61:K73" si="22">($L61*$BN61+$M61*$BL61+$N61*$BO61+$O61*$BP61)</f>
        <v>100867.037435705</v>
      </c>
      <c r="L61" s="39">
        <f>((($AN61+($AO61-$AN61)*IF(VLOOKUP($Q61,武学奇术!$A:$ZZ,31,FALSE)=1,$F$18,0.5))*$AH61+$AI61)*(1+$AP61)*(1+$AQ61)+(($AS61+($AT61-$AS61)*IF(VLOOKUP($Q61,武学奇术!$A:$ZZ,31,FALSE)=1,$F$18,0.5))*IF($G$1="鸣金",$AJ61,$AH61)+IF($G$1="鸣金",$AK61*1.5,0))*(1+$AU61)*(1+$AV61)+(($AW61+($AX61-$AW61)*IF(VLOOKUP($Q61,武学奇术!$A:$ZZ,31,FALSE)=1,$F$18,0.5))*IF($G$1="裂石",$AJ61,$AH61)+IF($G$1="裂石",$AK61*1.5,0))*(1+$AY61)*(1+$AZ61)+(($BA61+($BB61-$BA61)*IF(VLOOKUP($Q61,武学奇术!$A:$ZZ,31,FALSE)=1,$F$18,0.5))*IF($G$1="牵丝",$AJ61,$AH61)+IF($G$1="牵丝",$AK61*1.5,0))*(1+$BC61)*(1+$BD61)+(($BE61+($BF61-$BE61)*IF(VLOOKUP($Q61,武学奇术!$A:$ZZ,31,FALSE)=1,$F$18,0.5))*IF($G$1="破竹",$AJ61,$AH61)+IF($G$1="破竹",$AK61*1.5,0))*(1+$BG61)*(1+$BH61))*(1+$AL61)*$BK61*$P61*(1+IF(VLOOKUP($Q61,武学奇术!$A:$ZZ,30,FALSE)="蓄力技",$B$21,0))*(1+$BQ61)</f>
        <v>102702.322623184</v>
      </c>
      <c r="M61" s="39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82196.3428748203</v>
      </c>
      <c r="N61" s="39">
        <f>((($AN61+($AO61-$AN61)*IF(VLOOKUP($Q61,武学奇术!$A:$ZZ,31,FALSE)=1,$F$18,0.5))*$AH61+$AI61)*(1+$AP61)*(1+$AQ61)+(($AS61+($AT61-$AS61)*IF(VLOOKUP($Q61,武学奇术!$A:$ZZ,31,FALSE)=1,$F$18,0.5))*IF($G$1="鸣金",$AJ61,$AH61)+IF($G$1="鸣金",$AK61*1.5,0))*(1+$AU61)*(1+$AV61)+(($AW61+($AX61-$AW61)*IF(VLOOKUP($Q61,武学奇术!$A:$ZZ,31,FALSE)=1,$F$18,0.5))*IF($G$1="裂石",$AJ61,$AH61)+IF($G$1="裂石",$AK61*1.5,0))*(1+$AY61)*(1+$AZ61)+(($BA61+($BB61-$BA61)*IF(VLOOKUP($Q61,武学奇术!$A:$ZZ,31,FALSE)=1,$F$18,0.5))*IF($G$1="牵丝",$AJ61,$AH61)+IF($G$1="牵丝",$AK61*1.5,0))*(1+$BC61)*(1+$BD61)+(($BE61+($BF61-$BE61)*IF(VLOOKUP($Q61,武学奇术!$A:$ZZ,31,FALSE)=1,$F$18,0.5))*IF($G$1="破竹",$AJ61,$AH61)+IF($G$1="破竹",$AK61*1.5,0))*(1+$BG61)*(1+$BH61))*(1+$AL61)*$P61*(1+IF(VLOOKUP($Q61,武学奇术!$A:$ZZ,30,FALSE)="蓄力技",$B$21,0))*(1+$BQ61)</f>
        <v>54339.8532397799</v>
      </c>
      <c r="O61" s="39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47793.5265722855</v>
      </c>
      <c r="P61" s="40">
        <v>1</v>
      </c>
      <c r="Q61" s="41" t="s">
        <v>157</v>
      </c>
      <c r="R61" s="41" t="s">
        <v>93</v>
      </c>
      <c r="S61" s="41" t="s">
        <v>118</v>
      </c>
      <c r="T61" s="41" t="s">
        <v>72</v>
      </c>
      <c r="U61" s="41" t="s">
        <v>72</v>
      </c>
      <c r="V61" s="41" t="s">
        <v>176</v>
      </c>
      <c r="W61" s="41" t="s">
        <v>177</v>
      </c>
      <c r="X61" s="41" t="s">
        <v>165</v>
      </c>
      <c r="Y61" s="41" t="s">
        <v>81</v>
      </c>
      <c r="Z61" s="41" t="s">
        <v>72</v>
      </c>
      <c r="AA61" s="41" t="s">
        <v>72</v>
      </c>
      <c r="AB61" s="41" t="s">
        <v>72</v>
      </c>
      <c r="AC61" s="41" t="s">
        <v>72</v>
      </c>
      <c r="AD61" s="41" t="s">
        <v>72</v>
      </c>
      <c r="AE61" s="41" t="s">
        <v>75</v>
      </c>
      <c r="AF61" s="41" t="s">
        <v>76</v>
      </c>
      <c r="AG61" t="str">
        <f>VLOOKUP($Q61,武学奇术!$A:$ZZ,25,FALSE)</f>
        <v>单体奇术</v>
      </c>
      <c r="AH61" s="27">
        <f>VLOOKUP($Q61,武学奇术!$A:$ZZ,26,FALSE)</f>
        <v>3.9855</v>
      </c>
      <c r="AI61" s="28">
        <f>VLOOKUP($Q61,武学奇术!$A:$ZZ,27,FALSE)*(1+IF(OR($AG61=$F$4,$AG61=$F$5),$B$22,0))</f>
        <v>749</v>
      </c>
      <c r="AJ61" s="27">
        <f>VLOOKUP($Q61,武学奇术!$A:$ZZ,28,FALSE)</f>
        <v>5.97825</v>
      </c>
      <c r="AK61" s="28">
        <f>VLOOKUP($Q61,武学奇术!$A:$ZZ,29,FALSE)*(1+IF(OR($AG61=$F$4,$AG61=$F$5),$B$22,0))</f>
        <v>0</v>
      </c>
      <c r="AL61" s="27" cm="1">
        <f t="array" ref="AL61">$G$3+IFERROR(VLOOKUP($AG61,$F$4:$G$7,2,FALSE),0)+VLOOKUP($Q61,武学奇术!$A:$ZZ,2,FALSE)+SUM(_xlfn.XLOOKUP($R61:$AF61,增益!$A:$A,增益!$B:$B,0))</f>
        <v>0.2337</v>
      </c>
      <c r="AM61" s="27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3804.006</v>
      </c>
      <c r="AO61" cm="1">
        <f t="array" ref="AO61">$E$10*(1+$AM61)+VLOOKUP($Q61,武学奇术!$A:$ZZ,4,FALSE)+SUM(_xlfn.XLOOKUP($R61:$AF61,增益!$A:$A,增益!$D:$D,0))-$I$2</f>
        <v>3804.006</v>
      </c>
      <c r="AP61" s="33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0.442</v>
      </c>
      <c r="AQ61" s="33" cm="1">
        <f t="array" ref="AQ61">$G$10+VLOOKUP($Q61,武学奇术!$A:$ZZ,7,FALSE)+SUM(_xlfn.XLOOKUP(R61:AF61,增益!$A:$A,增益!$G:$G,0))</f>
        <v>0.09</v>
      </c>
      <c r="AR61" s="27" cm="1">
        <f t="array" ref="AR61">VLOOKUP($Q61,武学奇术!$A:$ZZ,8,FALSE)+SUM(_xlfn.XLOOKUP(R61:AF61,增益!$A:$A,增益!$H:$H,0))</f>
        <v>0</v>
      </c>
      <c r="AS61">
        <f t="shared" ref="AS61:AS73" si="23">$D$11*(1+$AR61)</f>
        <v>0</v>
      </c>
      <c r="AT61">
        <f t="shared" ref="AT61:AT73" si="24">$E$11*(1+$AR61)</f>
        <v>0</v>
      </c>
      <c r="AU61" s="33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-0.14</v>
      </c>
      <c r="AV61" s="33" cm="1">
        <f t="array" ref="AV61">$G$11+VLOOKUP($Q61,武学奇术!$A:$ZZ,10,FALSE)+SUM(_xlfn.XLOOKUP(R61:AF61,增益!$A:$A,增益!$J:$J,0))</f>
        <v>0.1</v>
      </c>
      <c r="AW61">
        <f t="shared" ref="AW61:AW73" si="25">$D$12*(1+$AR61)</f>
        <v>0</v>
      </c>
      <c r="AX61">
        <f t="shared" ref="AX61:AX73" si="26">$E$12*(1+$AR61)</f>
        <v>0</v>
      </c>
      <c r="AY61" s="33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-0.14</v>
      </c>
      <c r="AZ61" s="33" cm="1">
        <f t="array" ref="AZ61">$G$12+VLOOKUP($Q61,武学奇术!$A:$ZZ,12,FALSE)+SUM(_xlfn.XLOOKUP(R61:AF61,增益!$A:$A,增益!$L:$L,0))</f>
        <v>0</v>
      </c>
      <c r="BA61">
        <f t="shared" ref="BA61:BA73" si="27">$D$13*(1+$AR61)</f>
        <v>0</v>
      </c>
      <c r="BB61">
        <f t="shared" ref="BB61:BB73" si="28">$E$13*(1+$AR61)</f>
        <v>0</v>
      </c>
      <c r="BC61" s="33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-0.14</v>
      </c>
      <c r="BD61" s="33" cm="1">
        <f t="array" ref="BD61">$G$13+VLOOKUP($Q61,武学奇术!$A:$ZZ,14,FALSE)+SUM(_xlfn.XLOOKUP(R61:AF61,增益!$A:$A,增益!$N:$N,0))</f>
        <v>0</v>
      </c>
      <c r="BE61">
        <f t="shared" ref="BE61:BE73" si="29">$D$14*(1+$AR61)</f>
        <v>570.28</v>
      </c>
      <c r="BF61">
        <f t="shared" ref="BF61:BF73" si="30">$E$14*(1+$AR61)</f>
        <v>1582.156</v>
      </c>
      <c r="BG61" s="33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0.08</v>
      </c>
      <c r="BH61" s="33" cm="1">
        <f t="array" ref="BH61">$G$14+VLOOKUP($Q61,武学奇术!$A:$ZZ,16,FALSE)+SUM(_xlfn.XLOOKUP(R61:AF61,增益!$A:$A,增益!$P:$P,0))</f>
        <v>0.24</v>
      </c>
      <c r="BI61" s="27">
        <f>MIN(IF(VLOOKUP($Q61,武学奇术!$A:$ZZ,23,FALSE)=1,100%,$B$8),100%)</f>
        <v>1</v>
      </c>
      <c r="BJ61" s="27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+MIN(IF(VLOOKUP($Q61,武学奇术!$A:$ZZ,32,FALSE)=1,IF(VLOOKUP($Q61,武学奇术!$A:$ZZ,24,FALSE)=1,100%,MIN(40%,$B$10+VLOOKUP($Q61,武学奇术!$A:$ZZ,19,FALSE)+SUM(_xlfn.XLOOKUP(R61:AF61,增益!$A:$A,增益!$S:$S,0)))+$B$12+SUM(_xlfn.XLOOKUP(R61:AF61,增益!$A:$A,增益!$V:$V,0))),0),12%)</f>
        <v>0.918</v>
      </c>
      <c r="BK61" s="27" cm="1">
        <f t="array" ref="BK61">1+$B$13+VLOOKUP($Q61,武学奇术!$A:$ZZ,18,FALSE)+SUM(_xlfn.XLOOKUP(R61:AF61,增益!$A:$A,增益!$R:$R,0))</f>
        <v>1.89</v>
      </c>
      <c r="BL61" s="27" cm="1">
        <f t="array" ref="BL61">MAX(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-IF(VLOOKUP($Q61,武学奇术!$A:$ZZ,32,FALSE)=1,12%,0),0)</f>
        <v>0.0895</v>
      </c>
      <c r="BM61" s="27" cm="1">
        <f t="array" ref="BM61">1+$B$14+VLOOKUP($Q61,武学奇术!$A:$ZZ,20,FALSE)+SUM(_xlfn.XLOOKUP(R61:AF61,增益!$A:$A,增益!$T:$T,0))</f>
        <v>1.35</v>
      </c>
      <c r="BN61" s="27">
        <f t="shared" si="16"/>
        <v>0.9105</v>
      </c>
      <c r="BO61" s="27">
        <f t="shared" si="17"/>
        <v>0</v>
      </c>
      <c r="BP61" s="27">
        <f>IF(VLOOKUP($Q61,武学奇术!$A:$ZZ,22,FALSE)=1,0,(1-$BI61))*(1-$BL61)</f>
        <v>0</v>
      </c>
      <c r="BQ61" s="27" cm="1">
        <f t="array" ref="BQ61">SUM(_xlfn.XLOOKUP(R61:AF61,增益!$A:$A,增益!$W:$W,0))+$I$5</f>
        <v>0.31</v>
      </c>
    </row>
    <row r="62" spans="1:69">
      <c r="A62" s="4" t="s">
        <v>173</v>
      </c>
      <c r="B62" s="4">
        <v>2.15</v>
      </c>
      <c r="C62" s="40"/>
      <c r="D62" s="40"/>
      <c r="F62" s="40"/>
      <c r="K62" s="39">
        <f t="shared" si="22"/>
        <v>78992.8883028655</v>
      </c>
      <c r="L62" s="39">
        <f>((($AN62+($AO62-$AN62)*IF(VLOOKUP($Q62,武学奇术!$A:$ZZ,31,FALSE)=1,$F$18,0.5))*$AH62+$AI62)*(1+$AP62)*(1+$AQ62)+(($AS62+($AT62-$AS62)*IF(VLOOKUP($Q62,武学奇术!$A:$ZZ,31,FALSE)=1,$F$18,0.5))*IF($G$1="鸣金",$AJ62,$AH62)+IF($G$1="鸣金",$AK62*1.5,0))*(1+$AU62)*(1+$AV62)+(($AW62+($AX62-$AW62)*IF(VLOOKUP($Q62,武学奇术!$A:$ZZ,31,FALSE)=1,$F$18,0.5))*IF($G$1="裂石",$AJ62,$AH62)+IF($G$1="裂石",$AK62*1.5,0))*(1+$AY62)*(1+$AZ62)+(($BA62+($BB62-$BA62)*IF(VLOOKUP($Q62,武学奇术!$A:$ZZ,31,FALSE)=1,$F$18,0.5))*IF($G$1="牵丝",$AJ62,$AH62)+IF($G$1="牵丝",$AK62*1.5,0))*(1+$BC62)*(1+$BD62)+(($BE62+($BF62-$BE62)*IF(VLOOKUP($Q62,武学奇术!$A:$ZZ,31,FALSE)=1,$F$18,0.5))*IF($G$1="破竹",$AJ62,$AH62)+IF($G$1="破竹",$AK62*1.5,0))*(1+$BG62)*(1+$BH62))*(1+$AL62)*$BK62*$P62*(1+IF(VLOOKUP($Q62,武学奇术!$A:$ZZ,30,FALSE)="蓄力技",$B$21,0))*(1+$BQ62)</f>
        <v>80429.9960994325</v>
      </c>
      <c r="M62" s="39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64372.925746728</v>
      </c>
      <c r="N62" s="39">
        <f>((($AN62+($AO62-$AN62)*IF(VLOOKUP($Q62,武学奇术!$A:$ZZ,31,FALSE)=1,$F$18,0.5))*$AH62+$AI62)*(1+$AP62)*(1+$AQ62)+(($AS62+($AT62-$AS62)*IF(VLOOKUP($Q62,武学奇术!$A:$ZZ,31,FALSE)=1,$F$18,0.5))*IF($G$1="鸣金",$AJ62,$AH62)+IF($G$1="鸣金",$AK62*1.5,0))*(1+$AU62)*(1+$AV62)+(($AW62+($AX62-$AW62)*IF(VLOOKUP($Q62,武学奇术!$A:$ZZ,31,FALSE)=1,$F$18,0.5))*IF($G$1="裂石",$AJ62,$AH62)+IF($G$1="裂石",$AK62*1.5,0))*(1+$AY62)*(1+$AZ62)+(($BA62+($BB62-$BA62)*IF(VLOOKUP($Q62,武学奇术!$A:$ZZ,31,FALSE)=1,$F$18,0.5))*IF($G$1="牵丝",$AJ62,$AH62)+IF($G$1="牵丝",$AK62*1.5,0))*(1+$BC62)*(1+$BD62)+(($BE62+($BF62-$BE62)*IF(VLOOKUP($Q62,武学奇术!$A:$ZZ,31,FALSE)=1,$F$18,0.5))*IF($G$1="破竹",$AJ62,$AH62)+IF($G$1="破竹",$AK62*1.5,0))*(1+$BG62)*(1+$BH62))*(1+$AL62)*$P62*(1+IF(VLOOKUP($Q62,武学奇术!$A:$ZZ,30,FALSE)="蓄力技",$B$21,0))*(1+$BQ62)</f>
        <v>42555.5534917632</v>
      </c>
      <c r="O62" s="39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37427.4582822465</v>
      </c>
      <c r="P62" s="40">
        <v>11</v>
      </c>
      <c r="Q62" s="41" t="s">
        <v>160</v>
      </c>
      <c r="R62" s="41" t="s">
        <v>93</v>
      </c>
      <c r="S62" s="41" t="s">
        <v>118</v>
      </c>
      <c r="T62" s="41" t="s">
        <v>72</v>
      </c>
      <c r="U62" s="41" t="s">
        <v>72</v>
      </c>
      <c r="V62" s="41" t="s">
        <v>176</v>
      </c>
      <c r="W62" s="41" t="s">
        <v>177</v>
      </c>
      <c r="X62" s="41" t="s">
        <v>165</v>
      </c>
      <c r="Y62" s="41" t="s">
        <v>81</v>
      </c>
      <c r="Z62" s="41" t="s">
        <v>72</v>
      </c>
      <c r="AA62" s="41" t="s">
        <v>161</v>
      </c>
      <c r="AB62" s="41" t="s">
        <v>72</v>
      </c>
      <c r="AC62" s="41" t="s">
        <v>72</v>
      </c>
      <c r="AD62" s="41" t="s">
        <v>72</v>
      </c>
      <c r="AE62" s="41" t="s">
        <v>75</v>
      </c>
      <c r="AF62" s="41" t="s">
        <v>76</v>
      </c>
      <c r="AG62" t="str">
        <f>VLOOKUP($Q62,武学奇术!$A:$ZZ,25,FALSE)</f>
        <v>单体奇术</v>
      </c>
      <c r="AH62" s="27">
        <f>VLOOKUP($Q62,武学奇术!$A:$ZZ,26,FALSE)</f>
        <v>0.236</v>
      </c>
      <c r="AI62" s="28">
        <f>VLOOKUP($Q62,武学奇术!$A:$ZZ,27,FALSE)*(1+IF(OR($AG62=$F$4,$AG62=$F$5),$B$22,0))</f>
        <v>44</v>
      </c>
      <c r="AJ62" s="27">
        <f>VLOOKUP($Q62,武学奇术!$A:$ZZ,28,FALSE)</f>
        <v>0.354</v>
      </c>
      <c r="AK62" s="28">
        <f>VLOOKUP($Q62,武学奇术!$A:$ZZ,29,FALSE)*(1+IF(OR($AG62=$F$4,$AG62=$F$5),$B$22,0))</f>
        <v>0</v>
      </c>
      <c r="AL62" s="27" cm="1">
        <f t="array" ref="AL62">$G$3+IFERROR(VLOOKUP($AG62,$F$4:$G$7,2,FALSE),0)+VLOOKUP($Q62,武学奇术!$A:$ZZ,2,FALSE)+SUM(_xlfn.XLOOKUP($R62:$AF62,增益!$A:$A,增益!$B:$B,0))</f>
        <v>0.4837</v>
      </c>
      <c r="AM62" s="27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3804.006</v>
      </c>
      <c r="AO62" cm="1">
        <f t="array" ref="AO62">$E$10*(1+$AM62)+VLOOKUP($Q62,武学奇术!$A:$ZZ,4,FALSE)+SUM(_xlfn.XLOOKUP($R62:$AF62,增益!$A:$A,增益!$D:$D,0))-$I$2</f>
        <v>3804.006</v>
      </c>
      <c r="AP62" s="33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0.442</v>
      </c>
      <c r="AQ62" s="33" cm="1">
        <f t="array" ref="AQ62">$G$10+VLOOKUP($Q62,武学奇术!$A:$ZZ,7,FALSE)+SUM(_xlfn.XLOOKUP(R62:AF62,增益!$A:$A,增益!$G:$G,0))</f>
        <v>0.09</v>
      </c>
      <c r="AR62" s="27" cm="1">
        <f t="array" ref="AR62">VLOOKUP($Q62,武学奇术!$A:$ZZ,8,FALSE)+SUM(_xlfn.XLOOKUP(R62:AF62,增益!$A:$A,增益!$H:$H,0))</f>
        <v>0</v>
      </c>
      <c r="AS62">
        <f t="shared" si="23"/>
        <v>0</v>
      </c>
      <c r="AT62">
        <f t="shared" si="24"/>
        <v>0</v>
      </c>
      <c r="AU62" s="33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-0.14</v>
      </c>
      <c r="AV62" s="33" cm="1">
        <f t="array" ref="AV62">$G$11+VLOOKUP($Q62,武学奇术!$A:$ZZ,10,FALSE)+SUM(_xlfn.XLOOKUP(R62:AF62,增益!$A:$A,增益!$J:$J,0))</f>
        <v>0.1</v>
      </c>
      <c r="AW62">
        <f t="shared" si="25"/>
        <v>0</v>
      </c>
      <c r="AX62">
        <f t="shared" si="26"/>
        <v>0</v>
      </c>
      <c r="AY62" s="33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-0.14</v>
      </c>
      <c r="AZ62" s="33" cm="1">
        <f t="array" ref="AZ62">$G$12+VLOOKUP($Q62,武学奇术!$A:$ZZ,12,FALSE)+SUM(_xlfn.XLOOKUP(R62:AF62,增益!$A:$A,增益!$L:$L,0))</f>
        <v>0</v>
      </c>
      <c r="BA62">
        <f t="shared" si="27"/>
        <v>0</v>
      </c>
      <c r="BB62">
        <f t="shared" si="28"/>
        <v>0</v>
      </c>
      <c r="BC62" s="33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-0.14</v>
      </c>
      <c r="BD62" s="33" cm="1">
        <f t="array" ref="BD62">$G$13+VLOOKUP($Q62,武学奇术!$A:$ZZ,14,FALSE)+SUM(_xlfn.XLOOKUP(R62:AF62,增益!$A:$A,增益!$N:$N,0))</f>
        <v>0</v>
      </c>
      <c r="BE62">
        <f t="shared" si="29"/>
        <v>570.28</v>
      </c>
      <c r="BF62">
        <f t="shared" si="30"/>
        <v>1582.156</v>
      </c>
      <c r="BG62" s="33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0.08</v>
      </c>
      <c r="BH62" s="33" cm="1">
        <f t="array" ref="BH62">$G$14+VLOOKUP($Q62,武学奇术!$A:$ZZ,16,FALSE)+SUM(_xlfn.XLOOKUP(R62:AF62,增益!$A:$A,增益!$P:$P,0))</f>
        <v>0.24</v>
      </c>
      <c r="BI62" s="27">
        <f>MIN(IF(VLOOKUP($Q62,武学奇术!$A:$ZZ,23,FALSE)=1,100%,$B$8),100%)</f>
        <v>1</v>
      </c>
      <c r="BJ62" s="27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+MIN(IF(VLOOKUP($Q62,武学奇术!$A:$ZZ,32,FALSE)=1,IF(VLOOKUP($Q62,武学奇术!$A:$ZZ,24,FALSE)=1,100%,MIN(40%,$B$10+VLOOKUP($Q62,武学奇术!$A:$ZZ,19,FALSE)+SUM(_xlfn.XLOOKUP(R62:AF62,增益!$A:$A,增益!$S:$S,0)))+$B$12+SUM(_xlfn.XLOOKUP(R62:AF62,增益!$A:$A,增益!$V:$V,0))),0),12%)</f>
        <v>0.918</v>
      </c>
      <c r="BK62" s="27" cm="1">
        <f t="array" ref="BK62">1+$B$13+VLOOKUP($Q62,武学奇术!$A:$ZZ,18,FALSE)+SUM(_xlfn.XLOOKUP(R62:AF62,增益!$A:$A,增益!$R:$R,0))</f>
        <v>1.89</v>
      </c>
      <c r="BL62" s="27" cm="1">
        <f t="array" ref="BL62">MAX(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-IF(VLOOKUP($Q62,武学奇术!$A:$ZZ,32,FALSE)=1,12%,0),0)</f>
        <v>0.0895</v>
      </c>
      <c r="BM62" s="27" cm="1">
        <f t="array" ref="BM62">1+$B$14+VLOOKUP($Q62,武学奇术!$A:$ZZ,20,FALSE)+SUM(_xlfn.XLOOKUP(R62:AF62,增益!$A:$A,增益!$T:$T,0))</f>
        <v>1.35</v>
      </c>
      <c r="BN62" s="27">
        <f t="shared" si="16"/>
        <v>0.9105</v>
      </c>
      <c r="BO62" s="27">
        <f t="shared" si="17"/>
        <v>0</v>
      </c>
      <c r="BP62" s="27">
        <f>IF(VLOOKUP($Q62,武学奇术!$A:$ZZ,22,FALSE)=1,0,(1-$BI62))*(1-$BL62)</f>
        <v>0</v>
      </c>
      <c r="BQ62" s="27" cm="1">
        <f t="array" ref="BQ62">SUM(_xlfn.XLOOKUP(R62:AF62,增益!$A:$A,增益!$W:$W,0))+$I$5</f>
        <v>0.31</v>
      </c>
    </row>
    <row r="63" spans="1:69">
      <c r="A63" s="4" t="s">
        <v>168</v>
      </c>
      <c r="B63" s="4">
        <v>1</v>
      </c>
      <c r="C63" s="40"/>
      <c r="F63" s="40"/>
      <c r="K63" s="39">
        <f t="shared" si="22"/>
        <v>60848.0957780574</v>
      </c>
      <c r="L63" s="39">
        <f>((($AN63+($AO63-$AN63)*IF(VLOOKUP($Q63,武学奇术!$A:$ZZ,31,FALSE)=1,$F$18,0.5))*$AH63+$AI63)*(1+$AP63)*(1+$AQ63)+(($AS63+($AT63-$AS63)*IF(VLOOKUP($Q63,武学奇术!$A:$ZZ,31,FALSE)=1,$F$18,0.5))*IF($G$1="鸣金",$AJ63,$AH63)+IF($G$1="鸣金",$AK63*1.5,0))*(1+$AU63)*(1+$AV63)+(($AW63+($AX63-$AW63)*IF(VLOOKUP($Q63,武学奇术!$A:$ZZ,31,FALSE)=1,$F$18,0.5))*IF($G$1="裂石",$AJ63,$AH63)+IF($G$1="裂石",$AK63*1.5,0))*(1+$AY63)*(1+$AZ63)+(($BA63+($BB63-$BA63)*IF(VLOOKUP($Q63,武学奇术!$A:$ZZ,31,FALSE)=1,$F$18,0.5))*IF($G$1="牵丝",$AJ63,$AH63)+IF($G$1="牵丝",$AK63*1.5,0))*(1+$BC63)*(1+$BD63)+(($BE63+($BF63-$BE63)*IF(VLOOKUP($Q63,武学奇术!$A:$ZZ,31,FALSE)=1,$F$18,0.5))*IF($G$1="破竹",$AJ63,$AH63)+IF($G$1="破竹",$AK63*1.5,0))*(1+$BG63)*(1+$BH63))*(1+$AL63)*$BK63*$P63*(1+IF(VLOOKUP($Q63,武学奇术!$A:$ZZ,30,FALSE)="蓄力技",$B$21,0))*(1+$BQ63)</f>
        <v>61955.0976199654</v>
      </c>
      <c r="M63" s="39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49586.3619561888</v>
      </c>
      <c r="N63" s="39">
        <f>((($AN63+($AO63-$AN63)*IF(VLOOKUP($Q63,武学奇术!$A:$ZZ,31,FALSE)=1,$F$18,0.5))*$AH63+$AI63)*(1+$AP63)*(1+$AQ63)+(($AS63+($AT63-$AS63)*IF(VLOOKUP($Q63,武学奇术!$A:$ZZ,31,FALSE)=1,$F$18,0.5))*IF($G$1="鸣金",$AJ63,$AH63)+IF($G$1="鸣金",$AK63*1.5,0))*(1+$AU63)*(1+$AV63)+(($AW63+($AX63-$AW63)*IF(VLOOKUP($Q63,武学奇术!$A:$ZZ,31,FALSE)=1,$F$18,0.5))*IF($G$1="裂石",$AJ63,$AH63)+IF($G$1="裂石",$AK63*1.5,0))*(1+$AY63)*(1+$AZ63)+(($BA63+($BB63-$BA63)*IF(VLOOKUP($Q63,武学奇术!$A:$ZZ,31,FALSE)=1,$F$18,0.5))*IF($G$1="牵丝",$AJ63,$AH63)+IF($G$1="牵丝",$AK63*1.5,0))*(1+$BC63)*(1+$BD63)+(($BE63+($BF63-$BE63)*IF(VLOOKUP($Q63,武学奇术!$A:$ZZ,31,FALSE)=1,$F$18,0.5))*IF($G$1="破竹",$AJ63,$AH63)+IF($G$1="破竹",$AK63*1.5,0))*(1+$BG63)*(1+$BH63))*(1+$AL63)*$P63*(1+IF(VLOOKUP($Q63,武学奇术!$A:$ZZ,30,FALSE)="蓄力技",$B$21,0))*(1+$BQ63)</f>
        <v>32780.4749311986</v>
      </c>
      <c r="O63" s="39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28830.3113763314</v>
      </c>
      <c r="P63" s="40">
        <v>10</v>
      </c>
      <c r="Q63" s="41" t="s">
        <v>160</v>
      </c>
      <c r="R63" s="41" t="s">
        <v>93</v>
      </c>
      <c r="S63" s="41" t="s">
        <v>118</v>
      </c>
      <c r="T63" s="41" t="s">
        <v>72</v>
      </c>
      <c r="U63" s="41" t="s">
        <v>72</v>
      </c>
      <c r="V63" s="41" t="s">
        <v>72</v>
      </c>
      <c r="W63" s="41" t="s">
        <v>72</v>
      </c>
      <c r="X63" s="41" t="s">
        <v>165</v>
      </c>
      <c r="Y63" s="41" t="s">
        <v>81</v>
      </c>
      <c r="Z63" s="41" t="s">
        <v>72</v>
      </c>
      <c r="AA63" s="41" t="s">
        <v>161</v>
      </c>
      <c r="AB63" s="41" t="s">
        <v>72</v>
      </c>
      <c r="AC63" s="41" t="s">
        <v>72</v>
      </c>
      <c r="AD63" s="41" t="s">
        <v>72</v>
      </c>
      <c r="AE63" s="41" t="s">
        <v>75</v>
      </c>
      <c r="AF63" s="41" t="s">
        <v>76</v>
      </c>
      <c r="AG63" t="str">
        <f>VLOOKUP($Q63,武学奇术!$A:$ZZ,25,FALSE)</f>
        <v>单体奇术</v>
      </c>
      <c r="AH63" s="27">
        <f>VLOOKUP($Q63,武学奇术!$A:$ZZ,26,FALSE)</f>
        <v>0.236</v>
      </c>
      <c r="AI63" s="28">
        <f>VLOOKUP($Q63,武学奇术!$A:$ZZ,27,FALSE)*(1+IF(OR($AG63=$F$4,$AG63=$F$5),$B$22,0))</f>
        <v>44</v>
      </c>
      <c r="AJ63" s="27">
        <f>VLOOKUP($Q63,武学奇术!$A:$ZZ,28,FALSE)</f>
        <v>0.354</v>
      </c>
      <c r="AK63" s="28">
        <f>VLOOKUP($Q63,武学奇术!$A:$ZZ,29,FALSE)*(1+IF(OR($AG63=$F$4,$AG63=$F$5),$B$22,0))</f>
        <v>0</v>
      </c>
      <c r="AL63" s="27" cm="1">
        <f t="array" ref="AL63">$G$3+IFERROR(VLOOKUP($AG63,$F$4:$G$7,2,FALSE),0)+VLOOKUP($Q63,武学奇术!$A:$ZZ,2,FALSE)+SUM(_xlfn.XLOOKUP($R63:$AF63,增益!$A:$A,增益!$B:$B,0))</f>
        <v>0.4837</v>
      </c>
      <c r="AM63" s="27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3804.006</v>
      </c>
      <c r="AO63" cm="1">
        <f t="array" ref="AO63">$E$10*(1+$AM63)+VLOOKUP($Q63,武学奇术!$A:$ZZ,4,FALSE)+SUM(_xlfn.XLOOKUP($R63:$AF63,增益!$A:$A,增益!$D:$D,0))-$I$2</f>
        <v>3804.006</v>
      </c>
      <c r="AP63" s="33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0.442</v>
      </c>
      <c r="AQ63" s="33" cm="1">
        <f t="array" ref="AQ63">$G$10+VLOOKUP($Q63,武学奇术!$A:$ZZ,7,FALSE)+SUM(_xlfn.XLOOKUP(R63:AF63,增益!$A:$A,增益!$G:$G,0))</f>
        <v>0.09</v>
      </c>
      <c r="AR63" s="27" cm="1">
        <f t="array" ref="AR63">VLOOKUP($Q63,武学奇术!$A:$ZZ,8,FALSE)+SUM(_xlfn.XLOOKUP(R63:AF63,增益!$A:$A,增益!$H:$H,0))</f>
        <v>0</v>
      </c>
      <c r="AS63">
        <f t="shared" si="23"/>
        <v>0</v>
      </c>
      <c r="AT63">
        <f t="shared" si="24"/>
        <v>0</v>
      </c>
      <c r="AU63" s="33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-0.14</v>
      </c>
      <c r="AV63" s="33" cm="1">
        <f t="array" ref="AV63">$G$11+VLOOKUP($Q63,武学奇术!$A:$ZZ,10,FALSE)+SUM(_xlfn.XLOOKUP(R63:AF63,增益!$A:$A,增益!$J:$J,0))</f>
        <v>0</v>
      </c>
      <c r="AW63">
        <f t="shared" si="25"/>
        <v>0</v>
      </c>
      <c r="AX63">
        <f t="shared" si="26"/>
        <v>0</v>
      </c>
      <c r="AY63" s="33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-0.14</v>
      </c>
      <c r="AZ63" s="33" cm="1">
        <f t="array" ref="AZ63">$G$12+VLOOKUP($Q63,武学奇术!$A:$ZZ,12,FALSE)+SUM(_xlfn.XLOOKUP(R63:AF63,增益!$A:$A,增益!$L:$L,0))</f>
        <v>0</v>
      </c>
      <c r="BA63">
        <f t="shared" si="27"/>
        <v>0</v>
      </c>
      <c r="BB63">
        <f t="shared" si="28"/>
        <v>0</v>
      </c>
      <c r="BC63" s="33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-0.14</v>
      </c>
      <c r="BD63" s="33" cm="1">
        <f t="array" ref="BD63">$G$13+VLOOKUP($Q63,武学奇术!$A:$ZZ,14,FALSE)+SUM(_xlfn.XLOOKUP(R63:AF63,增益!$A:$A,增益!$N:$N,0))</f>
        <v>0</v>
      </c>
      <c r="BE63">
        <f t="shared" si="29"/>
        <v>570.28</v>
      </c>
      <c r="BF63">
        <f t="shared" si="30"/>
        <v>1582.156</v>
      </c>
      <c r="BG63" s="33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0.08</v>
      </c>
      <c r="BH63" s="33" cm="1">
        <f t="array" ref="BH63">$G$14+VLOOKUP($Q63,武学奇术!$A:$ZZ,16,FALSE)+SUM(_xlfn.XLOOKUP(R63:AF63,增益!$A:$A,增益!$P:$P,0))</f>
        <v>0.24</v>
      </c>
      <c r="BI63" s="27">
        <f>MIN(IF(VLOOKUP($Q63,武学奇术!$A:$ZZ,23,FALSE)=1,100%,$B$8),100%)</f>
        <v>1</v>
      </c>
      <c r="BJ63" s="27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+MIN(IF(VLOOKUP($Q63,武学奇术!$A:$ZZ,32,FALSE)=1,IF(VLOOKUP($Q63,武学奇术!$A:$ZZ,24,FALSE)=1,100%,MIN(40%,$B$10+VLOOKUP($Q63,武学奇术!$A:$ZZ,19,FALSE)+SUM(_xlfn.XLOOKUP(R63:AF63,增益!$A:$A,增益!$S:$S,0)))+$B$12+SUM(_xlfn.XLOOKUP(R63:AF63,增益!$A:$A,增益!$V:$V,0))),0),12%)</f>
        <v>0.918</v>
      </c>
      <c r="BK63" s="27" cm="1">
        <f t="array" ref="BK63">1+$B$13+VLOOKUP($Q63,武学奇术!$A:$ZZ,18,FALSE)+SUM(_xlfn.XLOOKUP(R63:AF63,增益!$A:$A,增益!$R:$R,0))</f>
        <v>1.89</v>
      </c>
      <c r="BL63" s="27" cm="1">
        <f t="array" ref="BL63">MAX(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-IF(VLOOKUP($Q63,武学奇术!$A:$ZZ,32,FALSE)=1,12%,0),0)</f>
        <v>0.0895</v>
      </c>
      <c r="BM63" s="27" cm="1">
        <f t="array" ref="BM63">1+$B$14+VLOOKUP($Q63,武学奇术!$A:$ZZ,20,FALSE)+SUM(_xlfn.XLOOKUP(R63:AF63,增益!$A:$A,增益!$T:$T,0))</f>
        <v>1.35</v>
      </c>
      <c r="BN63" s="27">
        <f t="shared" si="16"/>
        <v>0.9105</v>
      </c>
      <c r="BO63" s="27">
        <f t="shared" si="17"/>
        <v>0</v>
      </c>
      <c r="BP63" s="27">
        <f>IF(VLOOKUP($Q63,武学奇术!$A:$ZZ,22,FALSE)=1,0,(1-$BI63))*(1-$BL63)</f>
        <v>0</v>
      </c>
      <c r="BQ63" s="27" cm="1">
        <f t="array" ref="BQ63">SUM(_xlfn.XLOOKUP(R63:AF63,增益!$A:$A,增益!$W:$W,0))+$I$5</f>
        <v>0.11</v>
      </c>
    </row>
    <row r="64" spans="1:69">
      <c r="A64" s="4" t="s">
        <v>166</v>
      </c>
      <c r="B64" s="91">
        <v>1.16</v>
      </c>
      <c r="C64" s="40"/>
      <c r="F64" s="40"/>
      <c r="K64" s="39">
        <f t="shared" si="22"/>
        <v>34442.9644384127</v>
      </c>
      <c r="L64" s="39">
        <f>((($AN64+($AO64-$AN64)*IF(VLOOKUP($Q64,武学奇术!$A:$ZZ,31,FALSE)=1,$F$18,0.5))*$AH64+$AI64)*(1+$AP64)*(1+$AQ64)+(($AS64+($AT64-$AS64)*IF(VLOOKUP($Q64,武学奇术!$A:$ZZ,31,FALSE)=1,$F$18,0.5))*IF($G$1="鸣金",$AJ64,$AH64)+IF($G$1="鸣金",$AK64*1.5,0))*(1+$AU64)*(1+$AV64)+(($AW64+($AX64-$AW64)*IF(VLOOKUP($Q64,武学奇术!$A:$ZZ,31,FALSE)=1,$F$18,0.5))*IF($G$1="裂石",$AJ64,$AH64)+IF($G$1="裂石",$AK64*1.5,0))*(1+$AY64)*(1+$AZ64)+(($BA64+($BB64-$BA64)*IF(VLOOKUP($Q64,武学奇术!$A:$ZZ,31,FALSE)=1,$F$18,0.5))*IF($G$1="牵丝",$AJ64,$AH64)+IF($G$1="牵丝",$AK64*1.5,0))*(1+$BC64)*(1+$BD64)+(($BE64+($BF64-$BE64)*IF(VLOOKUP($Q64,武学奇术!$A:$ZZ,31,FALSE)=1,$F$18,0.5))*IF($G$1="破竹",$AJ64,$AH64)+IF($G$1="破竹",$AK64*1.5,0))*(1+$BG64)*(1+$BH64))*(1+$AL64)*$BK64*$P64*(1+IF(VLOOKUP($Q64,武学奇术!$A:$ZZ,30,FALSE)="蓄力技",$B$21,0))*(1+$BQ64)</f>
        <v>35091.7472323179</v>
      </c>
      <c r="M64" s="39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27842.7774680137</v>
      </c>
      <c r="N64" s="39">
        <f>((($AN64+($AO64-$AN64)*IF(VLOOKUP($Q64,武学奇术!$A:$ZZ,31,FALSE)=1,$F$18,0.5))*$AH64+$AI64)*(1+$AP64)*(1+$AQ64)+(($AS64+($AT64-$AS64)*IF(VLOOKUP($Q64,武学奇术!$A:$ZZ,31,FALSE)=1,$F$18,0.5))*IF($G$1="鸣金",$AJ64,$AH64)+IF($G$1="鸣金",$AK64*1.5,0))*(1+$AU64)*(1+$AV64)+(($AW64+($AX64-$AW64)*IF(VLOOKUP($Q64,武学奇术!$A:$ZZ,31,FALSE)=1,$F$18,0.5))*IF($G$1="裂石",$AJ64,$AH64)+IF($G$1="裂石",$AK64*1.5,0))*(1+$AY64)*(1+$AZ64)+(($BA64+($BB64-$BA64)*IF(VLOOKUP($Q64,武学奇术!$A:$ZZ,31,FALSE)=1,$F$18,0.5))*IF($G$1="牵丝",$AJ64,$AH64)+IF($G$1="牵丝",$AK64*1.5,0))*(1+$BC64)*(1+$BD64)+(($BE64+($BF64-$BE64)*IF(VLOOKUP($Q64,武学奇术!$A:$ZZ,31,FALSE)=1,$F$18,0.5))*IF($G$1="破竹",$AJ64,$AH64)+IF($G$1="破竹",$AK64*1.5,0))*(1+$BG64)*(1+$BH64))*(1+$AL64)*$P64*(1+IF(VLOOKUP($Q64,武学奇术!$A:$ZZ,30,FALSE)="蓄力技",$B$21,0))*(1+$BQ64)</f>
        <v>18567.0620276814</v>
      </c>
      <c r="O64" s="39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16509.8444494268</v>
      </c>
      <c r="P64" s="40">
        <v>1</v>
      </c>
      <c r="Q64" s="41" t="s">
        <v>140</v>
      </c>
      <c r="R64" s="41" t="s">
        <v>93</v>
      </c>
      <c r="S64" s="41" t="s">
        <v>118</v>
      </c>
      <c r="T64" s="41" t="s">
        <v>72</v>
      </c>
      <c r="U64" s="41" t="s">
        <v>72</v>
      </c>
      <c r="V64" s="41" t="s">
        <v>176</v>
      </c>
      <c r="W64" s="41" t="s">
        <v>177</v>
      </c>
      <c r="X64" s="41" t="s">
        <v>165</v>
      </c>
      <c r="Y64" s="41" t="s">
        <v>81</v>
      </c>
      <c r="Z64" s="41" t="s">
        <v>72</v>
      </c>
      <c r="AA64" s="41" t="s">
        <v>72</v>
      </c>
      <c r="AB64" s="41" t="s">
        <v>72</v>
      </c>
      <c r="AC64" s="41" t="s">
        <v>72</v>
      </c>
      <c r="AD64" s="41" t="s">
        <v>72</v>
      </c>
      <c r="AE64" s="41" t="s">
        <v>75</v>
      </c>
      <c r="AF64" s="41" t="s">
        <v>76</v>
      </c>
      <c r="AG64" t="str">
        <f>VLOOKUP($Q64,武学奇术!$A:$ZZ,25,FALSE)</f>
        <v>拳甲</v>
      </c>
      <c r="AH64" s="27">
        <f>VLOOKUP($Q64,武学奇术!$A:$ZZ,26,FALSE)</f>
        <v>1.1005</v>
      </c>
      <c r="AI64" s="28">
        <f>VLOOKUP($Q64,武学奇术!$A:$ZZ,27,FALSE)*(1+IF(OR($AG64=$F$4,$AG64=$F$5),$B$22,0))</f>
        <v>427</v>
      </c>
      <c r="AJ64" s="27">
        <f>VLOOKUP($Q64,武学奇术!$A:$ZZ,28,FALSE)</f>
        <v>1.6507</v>
      </c>
      <c r="AK64" s="28">
        <f>VLOOKUP($Q64,武学奇术!$A:$ZZ,29,FALSE)*(1+IF(OR($AG64=$F$4,$AG64=$F$5),$B$22,0))</f>
        <v>231</v>
      </c>
      <c r="AL64" s="27" cm="1">
        <f t="array" ref="AL64">$G$3+IFERROR(VLOOKUP($AG64,$F$4:$G$7,2,FALSE),0)+VLOOKUP($Q64,武学奇术!$A:$ZZ,2,FALSE)+SUM(_xlfn.XLOOKUP($R64:$AF64,增益!$A:$A,增益!$B:$B,0))</f>
        <v>0.4041</v>
      </c>
      <c r="AM64" s="27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3804.006</v>
      </c>
      <c r="AO64" cm="1">
        <f t="array" ref="AO64">$E$10*(1+$AM64)+VLOOKUP($Q64,武学奇术!$A:$ZZ,4,FALSE)+SUM(_xlfn.XLOOKUP($R64:$AF64,增益!$A:$A,增益!$D:$D,0))-$I$2</f>
        <v>3804.006</v>
      </c>
      <c r="AP64" s="33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0.442</v>
      </c>
      <c r="AQ64" s="33" cm="1">
        <f t="array" ref="AQ64">$G$10+VLOOKUP($Q64,武学奇术!$A:$ZZ,7,FALSE)+SUM(_xlfn.XLOOKUP(R64:AF64,增益!$A:$A,增益!$G:$G,0))</f>
        <v>0.09</v>
      </c>
      <c r="AR64" s="27" cm="1">
        <f t="array" ref="AR64">VLOOKUP($Q64,武学奇术!$A:$ZZ,8,FALSE)+SUM(_xlfn.XLOOKUP(R64:AF64,增益!$A:$A,增益!$H:$H,0))</f>
        <v>0</v>
      </c>
      <c r="AS64">
        <f t="shared" si="23"/>
        <v>0</v>
      </c>
      <c r="AT64">
        <f t="shared" si="24"/>
        <v>0</v>
      </c>
      <c r="AU64" s="33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-0.14</v>
      </c>
      <c r="AV64" s="33" cm="1">
        <f t="array" ref="AV64">$G$11+VLOOKUP($Q64,武学奇术!$A:$ZZ,10,FALSE)+SUM(_xlfn.XLOOKUP(R64:AF64,增益!$A:$A,增益!$J:$J,0))</f>
        <v>0.1</v>
      </c>
      <c r="AW64">
        <f t="shared" si="25"/>
        <v>0</v>
      </c>
      <c r="AX64">
        <f t="shared" si="26"/>
        <v>0</v>
      </c>
      <c r="AY64" s="33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-0.14</v>
      </c>
      <c r="AZ64" s="33" cm="1">
        <f t="array" ref="AZ64">$G$12+VLOOKUP($Q64,武学奇术!$A:$ZZ,12,FALSE)+SUM(_xlfn.XLOOKUP(R64:AF64,增益!$A:$A,增益!$L:$L,0))</f>
        <v>0</v>
      </c>
      <c r="BA64">
        <f t="shared" si="27"/>
        <v>0</v>
      </c>
      <c r="BB64">
        <f t="shared" si="28"/>
        <v>0</v>
      </c>
      <c r="BC64" s="33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-0.14</v>
      </c>
      <c r="BD64" s="33" cm="1">
        <f t="array" ref="BD64">$G$13+VLOOKUP($Q64,武学奇术!$A:$ZZ,14,FALSE)+SUM(_xlfn.XLOOKUP(R64:AF64,增益!$A:$A,增益!$N:$N,0))</f>
        <v>0</v>
      </c>
      <c r="BE64">
        <f t="shared" si="29"/>
        <v>570.28</v>
      </c>
      <c r="BF64">
        <f t="shared" si="30"/>
        <v>1582.156</v>
      </c>
      <c r="BG64" s="33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0.08</v>
      </c>
      <c r="BH64" s="33" cm="1">
        <f t="array" ref="BH64">$G$14+VLOOKUP($Q64,武学奇术!$A:$ZZ,16,FALSE)+SUM(_xlfn.XLOOKUP(R64:AF64,增益!$A:$A,增益!$P:$P,0))</f>
        <v>0.24</v>
      </c>
      <c r="BI64" s="27">
        <f>MIN(IF(VLOOKUP($Q64,武学奇术!$A:$ZZ,23,FALSE)=1,100%,$B$8),100%)</f>
        <v>1</v>
      </c>
      <c r="BJ64" s="27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+MIN(IF(VLOOKUP($Q64,武学奇术!$A:$ZZ,32,FALSE)=1,IF(VLOOKUP($Q64,武学奇术!$A:$ZZ,24,FALSE)=1,100%,MIN(40%,$B$10+VLOOKUP($Q64,武学奇术!$A:$ZZ,19,FALSE)+SUM(_xlfn.XLOOKUP(R64:AF64,增益!$A:$A,增益!$S:$S,0)))+$B$12+SUM(_xlfn.XLOOKUP(R64:AF64,增益!$A:$A,增益!$V:$V,0))),0),12%)</f>
        <v>0.918</v>
      </c>
      <c r="BK64" s="27" cm="1">
        <f t="array" ref="BK64">1+$B$13+VLOOKUP($Q64,武学奇术!$A:$ZZ,18,FALSE)+SUM(_xlfn.XLOOKUP(R64:AF64,增益!$A:$A,增益!$R:$R,0))</f>
        <v>1.89</v>
      </c>
      <c r="BL64" s="27" cm="1">
        <f t="array" ref="BL64">MAX(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-IF(VLOOKUP($Q64,武学奇术!$A:$ZZ,32,FALSE)=1,12%,0),0)</f>
        <v>0.0895</v>
      </c>
      <c r="BM64" s="27" cm="1">
        <f t="array" ref="BM64">1+$B$14+VLOOKUP($Q64,武学奇术!$A:$ZZ,20,FALSE)+SUM(_xlfn.XLOOKUP(R64:AF64,增益!$A:$A,增益!$T:$T,0))</f>
        <v>1.35</v>
      </c>
      <c r="BN64" s="27">
        <f t="shared" si="16"/>
        <v>0.9105</v>
      </c>
      <c r="BO64" s="27">
        <f t="shared" si="17"/>
        <v>0</v>
      </c>
      <c r="BP64" s="27">
        <f>IF(VLOOKUP($Q64,武学奇术!$A:$ZZ,22,FALSE)=1,0,(1-$BI64))*(1-$BL64)</f>
        <v>0</v>
      </c>
      <c r="BQ64" s="27" cm="1">
        <f t="array" ref="BQ64">SUM(_xlfn.XLOOKUP(R64:AF64,增益!$A:$A,增益!$W:$W,0))+$I$5</f>
        <v>0.31</v>
      </c>
    </row>
    <row r="65" spans="1:69">
      <c r="A65" t="s">
        <v>155</v>
      </c>
      <c r="B65">
        <v>0.9</v>
      </c>
      <c r="F65" s="40"/>
      <c r="K65" s="39">
        <f t="shared" si="22"/>
        <v>64751.6420099536</v>
      </c>
      <c r="L65" s="39">
        <f>((($AN65+($AO65-$AN65)*IF(VLOOKUP($Q65,武学奇术!$A:$ZZ,31,FALSE)=1,$F$18,0.5))*$AH65+$AI65)*(1+$AP65)*(1+$AQ65)+(($AS65+($AT65-$AS65)*IF(VLOOKUP($Q65,武学奇术!$A:$ZZ,31,FALSE)=1,$F$18,0.5))*IF($G$1="鸣金",$AJ65,$AH65)+IF($G$1="鸣金",$AK65*1.5,0))*(1+$AU65)*(1+$AV65)+(($AW65+($AX65-$AW65)*IF(VLOOKUP($Q65,武学奇术!$A:$ZZ,31,FALSE)=1,$F$18,0.5))*IF($G$1="裂石",$AJ65,$AH65)+IF($G$1="裂石",$AK65*1.5,0))*(1+$AY65)*(1+$AZ65)+(($BA65+($BB65-$BA65)*IF(VLOOKUP($Q65,武学奇术!$A:$ZZ,31,FALSE)=1,$F$18,0.5))*IF($G$1="牵丝",$AJ65,$AH65)+IF($G$1="牵丝",$AK65*1.5,0))*(1+$BC65)*(1+$BD65)+(($BE65+($BF65-$BE65)*IF(VLOOKUP($Q65,武学奇术!$A:$ZZ,31,FALSE)=1,$F$18,0.5))*IF($G$1="破竹",$AJ65,$AH65)+IF($G$1="破竹",$AK65*1.5,0))*(1+$BG65)*(1+$BH65))*(1+$AL65)*$BK65*$P65*(1+IF(VLOOKUP($Q65,武学奇术!$A:$ZZ,30,FALSE)="蓄力技",$B$21,0))*(1+$BQ65)</f>
        <v>65971.2024716176</v>
      </c>
      <c r="M65" s="39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52344.8285982773</v>
      </c>
      <c r="N65" s="39">
        <f>((($AN65+($AO65-$AN65)*IF(VLOOKUP($Q65,武学奇术!$A:$ZZ,31,FALSE)=1,$F$18,0.5))*$AH65+$AI65)*(1+$AP65)*(1+$AQ65)+(($AS65+($AT65-$AS65)*IF(VLOOKUP($Q65,武学奇术!$A:$ZZ,31,FALSE)=1,$F$18,0.5))*IF($G$1="鸣金",$AJ65,$AH65)+IF($G$1="鸣金",$AK65*1.5,0))*(1+$AU65)*(1+$AV65)+(($AW65+($AX65-$AW65)*IF(VLOOKUP($Q65,武学奇术!$A:$ZZ,31,FALSE)=1,$F$18,0.5))*IF($G$1="裂石",$AJ65,$AH65)+IF($G$1="裂石",$AK65*1.5,0))*(1+$AY65)*(1+$AZ65)+(($BA65+($BB65-$BA65)*IF(VLOOKUP($Q65,武学奇术!$A:$ZZ,31,FALSE)=1,$F$18,0.5))*IF($G$1="牵丝",$AJ65,$AH65)+IF($G$1="牵丝",$AK65*1.5,0))*(1+$BC65)*(1+$BD65)+(($BE65+($BF65-$BE65)*IF(VLOOKUP($Q65,武学奇术!$A:$ZZ,31,FALSE)=1,$F$18,0.5))*IF($G$1="破竹",$AJ65,$AH65)+IF($G$1="破竹",$AK65*1.5,0))*(1+$BG65)*(1+$BH65))*(1+$AL65)*$P65*(1+IF(VLOOKUP($Q65,武学奇术!$A:$ZZ,30,FALSE)="蓄力技",$B$21,0))*(1+$BQ65)</f>
        <v>34905.398133131</v>
      </c>
      <c r="O65" s="39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31036.8491564269</v>
      </c>
      <c r="P65" s="40">
        <v>1</v>
      </c>
      <c r="Q65" s="41" t="s">
        <v>111</v>
      </c>
      <c r="R65" s="41" t="s">
        <v>93</v>
      </c>
      <c r="S65" s="41" t="s">
        <v>118</v>
      </c>
      <c r="T65" s="41" t="s">
        <v>72</v>
      </c>
      <c r="U65" s="41" t="s">
        <v>72</v>
      </c>
      <c r="V65" s="41" t="s">
        <v>72</v>
      </c>
      <c r="W65" s="41" t="s">
        <v>72</v>
      </c>
      <c r="X65" s="41" t="s">
        <v>165</v>
      </c>
      <c r="Y65" s="41" t="s">
        <v>81</v>
      </c>
      <c r="Z65" s="41" t="s">
        <v>72</v>
      </c>
      <c r="AA65" s="41" t="s">
        <v>72</v>
      </c>
      <c r="AB65" s="41" t="s">
        <v>72</v>
      </c>
      <c r="AC65" s="41" t="s">
        <v>72</v>
      </c>
      <c r="AD65" s="41" t="s">
        <v>72</v>
      </c>
      <c r="AE65" s="41" t="s">
        <v>75</v>
      </c>
      <c r="AF65" s="41" t="s">
        <v>76</v>
      </c>
      <c r="AG65" t="str">
        <f>VLOOKUP($Q65,武学奇术!$A:$ZZ,25,FALSE)</f>
        <v>拳甲</v>
      </c>
      <c r="AH65" s="27">
        <f>VLOOKUP($Q65,武学奇术!$A:$ZZ,26,FALSE)</f>
        <v>2.4421</v>
      </c>
      <c r="AI65" s="28">
        <f>VLOOKUP($Q65,武学奇术!$A:$ZZ,27,FALSE)*(1+IF(OR($AG65=$F$4,$AG65=$F$5),$B$22,0))</f>
        <v>945</v>
      </c>
      <c r="AJ65" s="27">
        <f>VLOOKUP($Q65,武学奇术!$A:$ZZ,28,FALSE)</f>
        <v>3.6634</v>
      </c>
      <c r="AK65" s="28">
        <f>VLOOKUP($Q65,武学奇术!$A:$ZZ,29,FALSE)*(1+IF(OR($AG65=$F$4,$AG65=$F$5),$B$22,0))</f>
        <v>512.4</v>
      </c>
      <c r="AL65" s="27" cm="1">
        <f t="array" ref="AL65">$G$3+IFERROR(VLOOKUP($AG65,$F$4:$G$7,2,FALSE),0)+VLOOKUP($Q65,武学奇术!$A:$ZZ,2,FALSE)+SUM(_xlfn.XLOOKUP($R65:$AF65,增益!$A:$A,增益!$B:$B,0))</f>
        <v>0.4041</v>
      </c>
      <c r="AM65" s="27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3804.006</v>
      </c>
      <c r="AO65" cm="1">
        <f t="array" ref="AO65">$E$10*(1+$AM65)+VLOOKUP($Q65,武学奇术!$A:$ZZ,4,FALSE)+SUM(_xlfn.XLOOKUP($R65:$AF65,增益!$A:$A,增益!$D:$D,0))-$I$2</f>
        <v>3804.006</v>
      </c>
      <c r="AP65" s="33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0.442</v>
      </c>
      <c r="AQ65" s="33" cm="1">
        <f t="array" ref="AQ65">$G$10+VLOOKUP($Q65,武学奇术!$A:$ZZ,7,FALSE)+SUM(_xlfn.XLOOKUP(R65:AF65,增益!$A:$A,增益!$G:$G,0))</f>
        <v>0.09</v>
      </c>
      <c r="AR65" s="27" cm="1">
        <f t="array" ref="AR65">VLOOKUP($Q65,武学奇术!$A:$ZZ,8,FALSE)+SUM(_xlfn.XLOOKUP(R65:AF65,增益!$A:$A,增益!$H:$H,0))</f>
        <v>0</v>
      </c>
      <c r="AS65">
        <f t="shared" si="23"/>
        <v>0</v>
      </c>
      <c r="AT65">
        <f t="shared" si="24"/>
        <v>0</v>
      </c>
      <c r="AU65" s="33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-0.14</v>
      </c>
      <c r="AV65" s="33" cm="1">
        <f t="array" ref="AV65">$G$11+VLOOKUP($Q65,武学奇术!$A:$ZZ,10,FALSE)+SUM(_xlfn.XLOOKUP(R65:AF65,增益!$A:$A,增益!$J:$J,0))</f>
        <v>0</v>
      </c>
      <c r="AW65">
        <f t="shared" si="25"/>
        <v>0</v>
      </c>
      <c r="AX65">
        <f t="shared" si="26"/>
        <v>0</v>
      </c>
      <c r="AY65" s="33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-0.14</v>
      </c>
      <c r="AZ65" s="33" cm="1">
        <f t="array" ref="AZ65">$G$12+VLOOKUP($Q65,武学奇术!$A:$ZZ,12,FALSE)+SUM(_xlfn.XLOOKUP(R65:AF65,增益!$A:$A,增益!$L:$L,0))</f>
        <v>0</v>
      </c>
      <c r="BA65">
        <f t="shared" si="27"/>
        <v>0</v>
      </c>
      <c r="BB65">
        <f t="shared" si="28"/>
        <v>0</v>
      </c>
      <c r="BC65" s="33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-0.14</v>
      </c>
      <c r="BD65" s="33" cm="1">
        <f t="array" ref="BD65">$G$13+VLOOKUP($Q65,武学奇术!$A:$ZZ,14,FALSE)+SUM(_xlfn.XLOOKUP(R65:AF65,增益!$A:$A,增益!$N:$N,0))</f>
        <v>0</v>
      </c>
      <c r="BE65">
        <f t="shared" si="29"/>
        <v>570.28</v>
      </c>
      <c r="BF65">
        <f t="shared" si="30"/>
        <v>1582.156</v>
      </c>
      <c r="BG65" s="33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0.08</v>
      </c>
      <c r="BH65" s="33" cm="1">
        <f t="array" ref="BH65">$G$14+VLOOKUP($Q65,武学奇术!$A:$ZZ,16,FALSE)+SUM(_xlfn.XLOOKUP(R65:AF65,增益!$A:$A,增益!$P:$P,0))</f>
        <v>0.24</v>
      </c>
      <c r="BI65" s="27">
        <f>MIN(IF(VLOOKUP($Q65,武学奇术!$A:$ZZ,23,FALSE)=1,100%,$B$8),100%)</f>
        <v>1</v>
      </c>
      <c r="BJ65" s="27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+MIN(IF(VLOOKUP($Q65,武学奇术!$A:$ZZ,32,FALSE)=1,IF(VLOOKUP($Q65,武学奇术!$A:$ZZ,24,FALSE)=1,100%,MIN(40%,$B$10+VLOOKUP($Q65,武学奇术!$A:$ZZ,19,FALSE)+SUM(_xlfn.XLOOKUP(R65:AF65,增益!$A:$A,增益!$S:$S,0)))+$B$12+SUM(_xlfn.XLOOKUP(R65:AF65,增益!$A:$A,增益!$V:$V,0))),0),12%)</f>
        <v>0.918</v>
      </c>
      <c r="BK65" s="27" cm="1">
        <f t="array" ref="BK65">1+$B$13+VLOOKUP($Q65,武学奇术!$A:$ZZ,18,FALSE)+SUM(_xlfn.XLOOKUP(R65:AF65,增益!$A:$A,增益!$R:$R,0))</f>
        <v>1.89</v>
      </c>
      <c r="BL65" s="27" cm="1">
        <f t="array" ref="BL65">MAX(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-IF(VLOOKUP($Q65,武学奇术!$A:$ZZ,32,FALSE)=1,12%,0),0)</f>
        <v>0.0895</v>
      </c>
      <c r="BM65" s="27" cm="1">
        <f t="array" ref="BM65">1+$B$14+VLOOKUP($Q65,武学奇术!$A:$ZZ,20,FALSE)+SUM(_xlfn.XLOOKUP(R65:AF65,增益!$A:$A,增益!$T:$T,0))</f>
        <v>1.35</v>
      </c>
      <c r="BN65" s="27">
        <f t="shared" si="16"/>
        <v>0.9105</v>
      </c>
      <c r="BO65" s="27">
        <f t="shared" si="17"/>
        <v>0</v>
      </c>
      <c r="BP65" s="27">
        <f>IF(VLOOKUP($Q65,武学奇术!$A:$ZZ,22,FALSE)=1,0,(1-$BI65))*(1-$BL65)</f>
        <v>0</v>
      </c>
      <c r="BQ65" s="27" cm="1">
        <f t="array" ref="BQ65">SUM(_xlfn.XLOOKUP(R65:AF65,增益!$A:$A,增益!$W:$W,0))+$I$5</f>
        <v>0.11</v>
      </c>
    </row>
    <row r="66" spans="1:69">
      <c r="A66" t="s">
        <v>164</v>
      </c>
      <c r="B66">
        <v>1.23</v>
      </c>
      <c r="F66" s="40"/>
      <c r="K66" s="39">
        <f t="shared" si="22"/>
        <v>34169.0419780871</v>
      </c>
      <c r="L66" s="39">
        <f>((($AN66+($AO66-$AN66)*IF(VLOOKUP($Q66,武学奇术!$A:$ZZ,31,FALSE)=1,$F$18,0.5))*$AH66+$AI66)*(1+$AP66)*(1+$AQ66)+(($AS66+($AT66-$AS66)*IF(VLOOKUP($Q66,武学奇术!$A:$ZZ,31,FALSE)=1,$F$18,0.5))*IF($G$1="鸣金",$AJ66,$AH66)+IF($G$1="鸣金",$AK66*1.5,0))*(1+$AU66)*(1+$AV66)+(($AW66+($AX66-$AW66)*IF(VLOOKUP($Q66,武学奇术!$A:$ZZ,31,FALSE)=1,$F$18,0.5))*IF($G$1="裂石",$AJ66,$AH66)+IF($G$1="裂石",$AK66*1.5,0))*(1+$AY66)*(1+$AZ66)+(($BA66+($BB66-$BA66)*IF(VLOOKUP($Q66,武学奇术!$A:$ZZ,31,FALSE)=1,$F$18,0.5))*IF($G$1="牵丝",$AJ66,$AH66)+IF($G$1="牵丝",$AK66*1.5,0))*(1+$BC66)*(1+$BD66)+(($BE66+($BF66-$BE66)*IF(VLOOKUP($Q66,武学奇术!$A:$ZZ,31,FALSE)=1,$F$18,0.5))*IF($G$1="破竹",$AJ66,$AH66)+IF($G$1="破竹",$AK66*1.5,0))*(1+$BG66)*(1+$BH66))*(1+$AL66)*$BK66*$P66*(1+IF(VLOOKUP($Q66,武学奇术!$A:$ZZ,30,FALSE)="蓄力技",$B$21,0))*(1+$BQ66)</f>
        <v>34812.8392155567</v>
      </c>
      <c r="M66" s="39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27619.5739924328</v>
      </c>
      <c r="N66" s="39">
        <f>((($AN66+($AO66-$AN66)*IF(VLOOKUP($Q66,武学奇术!$A:$ZZ,31,FALSE)=1,$F$18,0.5))*$AH66+$AI66)*(1+$AP66)*(1+$AQ66)+(($AS66+($AT66-$AS66)*IF(VLOOKUP($Q66,武学奇术!$A:$ZZ,31,FALSE)=1,$F$18,0.5))*IF($G$1="鸣金",$AJ66,$AH66)+IF($G$1="鸣金",$AK66*1.5,0))*(1+$AU66)*(1+$AV66)+(($AW66+($AX66-$AW66)*IF(VLOOKUP($Q66,武学奇术!$A:$ZZ,31,FALSE)=1,$F$18,0.5))*IF($G$1="裂石",$AJ66,$AH66)+IF($G$1="裂石",$AK66*1.5,0))*(1+$AY66)*(1+$AZ66)+(($BA66+($BB66-$BA66)*IF(VLOOKUP($Q66,武学奇术!$A:$ZZ,31,FALSE)=1,$F$18,0.5))*IF($G$1="牵丝",$AJ66,$AH66)+IF($G$1="牵丝",$AK66*1.5,0))*(1+$BC66)*(1+$BD66)+(($BE66+($BF66-$BE66)*IF(VLOOKUP($Q66,武学奇术!$A:$ZZ,31,FALSE)=1,$F$18,0.5))*IF($G$1="破竹",$AJ66,$AH66)+IF($G$1="破竹",$AK66*1.5,0))*(1+$BG66)*(1+$BH66))*(1+$AL66)*$P66*(1+IF(VLOOKUP($Q66,武学奇术!$A:$ZZ,30,FALSE)="蓄力技",$B$21,0))*(1+$BQ66)</f>
        <v>18419.4916484427</v>
      </c>
      <c r="O66" s="39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16380.039598787</v>
      </c>
      <c r="P66" s="40">
        <v>1</v>
      </c>
      <c r="Q66" s="41" t="s">
        <v>106</v>
      </c>
      <c r="R66" s="41" t="s">
        <v>93</v>
      </c>
      <c r="S66" s="41" t="s">
        <v>118</v>
      </c>
      <c r="T66" s="41" t="s">
        <v>72</v>
      </c>
      <c r="U66" s="41" t="s">
        <v>72</v>
      </c>
      <c r="V66" s="41" t="s">
        <v>72</v>
      </c>
      <c r="W66" s="41" t="s">
        <v>72</v>
      </c>
      <c r="X66" s="41" t="s">
        <v>165</v>
      </c>
      <c r="Y66" s="41" t="s">
        <v>81</v>
      </c>
      <c r="Z66" s="41" t="s">
        <v>72</v>
      </c>
      <c r="AA66" s="41" t="s">
        <v>72</v>
      </c>
      <c r="AB66" s="41" t="s">
        <v>72</v>
      </c>
      <c r="AC66" s="41" t="s">
        <v>72</v>
      </c>
      <c r="AD66" s="41" t="s">
        <v>72</v>
      </c>
      <c r="AE66" s="41" t="s">
        <v>75</v>
      </c>
      <c r="AF66" s="41" t="s">
        <v>76</v>
      </c>
      <c r="AG66" t="str">
        <f>VLOOKUP($Q66,武学奇术!$A:$ZZ,25,FALSE)</f>
        <v>拳甲</v>
      </c>
      <c r="AH66" s="27">
        <f>VLOOKUP($Q66,武学奇术!$A:$ZZ,26,FALSE)</f>
        <v>1.2876</v>
      </c>
      <c r="AI66" s="28">
        <f>VLOOKUP($Q66,武学奇术!$A:$ZZ,27,FALSE)*(1+IF(OR($AG66=$F$4,$AG66=$F$5),$B$22,0))</f>
        <v>501.2</v>
      </c>
      <c r="AJ66" s="27">
        <f>VLOOKUP($Q66,武学奇术!$A:$ZZ,28,FALSE)</f>
        <v>1.9313</v>
      </c>
      <c r="AK66" s="28">
        <f>VLOOKUP($Q66,武学奇术!$A:$ZZ,29,FALSE)*(1+IF(OR($AG66=$F$4,$AG66=$F$5),$B$22,0))</f>
        <v>273</v>
      </c>
      <c r="AL66" s="27" cm="1">
        <f t="array" ref="AL66">$G$3+IFERROR(VLOOKUP($AG66,$F$4:$G$7,2,FALSE),0)+VLOOKUP($Q66,武学奇术!$A:$ZZ,2,FALSE)+SUM(_xlfn.XLOOKUP($R66:$AF66,增益!$A:$A,增益!$B:$B,0))</f>
        <v>0.4041</v>
      </c>
      <c r="AM66" s="27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3804.006</v>
      </c>
      <c r="AO66" cm="1">
        <f t="array" ref="AO66">$E$10*(1+$AM66)+VLOOKUP($Q66,武学奇术!$A:$ZZ,4,FALSE)+SUM(_xlfn.XLOOKUP($R66:$AF66,增益!$A:$A,增益!$D:$D,0))-$I$2</f>
        <v>3804.006</v>
      </c>
      <c r="AP66" s="33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0.442</v>
      </c>
      <c r="AQ66" s="33" cm="1">
        <f t="array" ref="AQ66">$G$10+VLOOKUP($Q66,武学奇术!$A:$ZZ,7,FALSE)+SUM(_xlfn.XLOOKUP(R66:AF66,增益!$A:$A,增益!$G:$G,0))</f>
        <v>0.09</v>
      </c>
      <c r="AR66" s="27" cm="1">
        <f t="array" ref="AR66">VLOOKUP($Q66,武学奇术!$A:$ZZ,8,FALSE)+SUM(_xlfn.XLOOKUP(R66:AF66,增益!$A:$A,增益!$H:$H,0))</f>
        <v>0</v>
      </c>
      <c r="AS66">
        <f t="shared" si="23"/>
        <v>0</v>
      </c>
      <c r="AT66">
        <f t="shared" si="24"/>
        <v>0</v>
      </c>
      <c r="AU66" s="33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-0.14</v>
      </c>
      <c r="AV66" s="33" cm="1">
        <f t="array" ref="AV66">$G$11+VLOOKUP($Q66,武学奇术!$A:$ZZ,10,FALSE)+SUM(_xlfn.XLOOKUP(R66:AF66,增益!$A:$A,增益!$J:$J,0))</f>
        <v>0</v>
      </c>
      <c r="AW66">
        <f t="shared" si="25"/>
        <v>0</v>
      </c>
      <c r="AX66">
        <f t="shared" si="26"/>
        <v>0</v>
      </c>
      <c r="AY66" s="33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-0.14</v>
      </c>
      <c r="AZ66" s="33" cm="1">
        <f t="array" ref="AZ66">$G$12+VLOOKUP($Q66,武学奇术!$A:$ZZ,12,FALSE)+SUM(_xlfn.XLOOKUP(R66:AF66,增益!$A:$A,增益!$L:$L,0))</f>
        <v>0</v>
      </c>
      <c r="BA66">
        <f t="shared" si="27"/>
        <v>0</v>
      </c>
      <c r="BB66">
        <f t="shared" si="28"/>
        <v>0</v>
      </c>
      <c r="BC66" s="33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-0.14</v>
      </c>
      <c r="BD66" s="33" cm="1">
        <f t="array" ref="BD66">$G$13+VLOOKUP($Q66,武学奇术!$A:$ZZ,14,FALSE)+SUM(_xlfn.XLOOKUP(R66:AF66,增益!$A:$A,增益!$N:$N,0))</f>
        <v>0</v>
      </c>
      <c r="BE66">
        <f t="shared" si="29"/>
        <v>570.28</v>
      </c>
      <c r="BF66">
        <f t="shared" si="30"/>
        <v>1582.156</v>
      </c>
      <c r="BG66" s="33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0.08</v>
      </c>
      <c r="BH66" s="33" cm="1">
        <f t="array" ref="BH66">$G$14+VLOOKUP($Q66,武学奇术!$A:$ZZ,16,FALSE)+SUM(_xlfn.XLOOKUP(R66:AF66,增益!$A:$A,增益!$P:$P,0))</f>
        <v>0.24</v>
      </c>
      <c r="BI66" s="27">
        <f>MIN(IF(VLOOKUP($Q66,武学奇术!$A:$ZZ,23,FALSE)=1,100%,$B$8),100%)</f>
        <v>1</v>
      </c>
      <c r="BJ66" s="27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+MIN(IF(VLOOKUP($Q66,武学奇术!$A:$ZZ,32,FALSE)=1,IF(VLOOKUP($Q66,武学奇术!$A:$ZZ,24,FALSE)=1,100%,MIN(40%,$B$10+VLOOKUP($Q66,武学奇术!$A:$ZZ,19,FALSE)+SUM(_xlfn.XLOOKUP(R66:AF66,增益!$A:$A,增益!$S:$S,0)))+$B$12+SUM(_xlfn.XLOOKUP(R66:AF66,增益!$A:$A,增益!$V:$V,0))),0),12%)</f>
        <v>0.918</v>
      </c>
      <c r="BK66" s="27" cm="1">
        <f t="array" ref="BK66">1+$B$13+VLOOKUP($Q66,武学奇术!$A:$ZZ,18,FALSE)+SUM(_xlfn.XLOOKUP(R66:AF66,增益!$A:$A,增益!$R:$R,0))</f>
        <v>1.89</v>
      </c>
      <c r="BL66" s="27" cm="1">
        <f t="array" ref="BL66">MAX(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-IF(VLOOKUP($Q66,武学奇术!$A:$ZZ,32,FALSE)=1,12%,0),0)</f>
        <v>0.0895</v>
      </c>
      <c r="BM66" s="27" cm="1">
        <f t="array" ref="BM66">1+$B$14+VLOOKUP($Q66,武学奇术!$A:$ZZ,20,FALSE)+SUM(_xlfn.XLOOKUP(R66:AF66,增益!$A:$A,增益!$T:$T,0))</f>
        <v>1.35</v>
      </c>
      <c r="BN66" s="27">
        <f t="shared" si="16"/>
        <v>0.9105</v>
      </c>
      <c r="BO66" s="27">
        <f t="shared" si="17"/>
        <v>0</v>
      </c>
      <c r="BP66" s="27">
        <f>IF(VLOOKUP($Q66,武学奇术!$A:$ZZ,22,FALSE)=1,0,(1-$BI66))*(1-$BL66)</f>
        <v>0</v>
      </c>
      <c r="BQ66" s="27" cm="1">
        <f t="array" ref="BQ66">SUM(_xlfn.XLOOKUP(R66:AF66,增益!$A:$A,增益!$W:$W,0))+$I$5</f>
        <v>0.11</v>
      </c>
    </row>
    <row r="67" spans="1:69">
      <c r="A67" s="4" t="s">
        <v>166</v>
      </c>
      <c r="B67" s="91">
        <v>1.16</v>
      </c>
      <c r="F67" s="40"/>
      <c r="K67" s="39">
        <f t="shared" si="22"/>
        <v>78280.8191004044</v>
      </c>
      <c r="L67" s="39">
        <f>((($AN67+($AO67-$AN67)*IF(VLOOKUP($Q67,武学奇术!$A:$ZZ,31,FALSE)=1,$F$18,0.5))*$AH67+$AI67)*(1+$AP67)*(1+$AQ67)+(($AS67+($AT67-$AS67)*IF(VLOOKUP($Q67,武学奇术!$A:$ZZ,31,FALSE)=1,$F$18,0.5))*IF($G$1="鸣金",$AJ67,$AH67)+IF($G$1="鸣金",$AK67*1.5,0))*(1+$AU67)*(1+$AV67)+(($AW67+($AX67-$AW67)*IF(VLOOKUP($Q67,武学奇术!$A:$ZZ,31,FALSE)=1,$F$18,0.5))*IF($G$1="裂石",$AJ67,$AH67)+IF($G$1="裂石",$AK67*1.5,0))*(1+$AY67)*(1+$AZ67)+(($BA67+($BB67-$BA67)*IF(VLOOKUP($Q67,武学奇术!$A:$ZZ,31,FALSE)=1,$F$18,0.5))*IF($G$1="牵丝",$AJ67,$AH67)+IF($G$1="牵丝",$AK67*1.5,0))*(1+$BC67)*(1+$BD67)+(($BE67+($BF67-$BE67)*IF(VLOOKUP($Q67,武学奇术!$A:$ZZ,31,FALSE)=1,$F$18,0.5))*IF($G$1="破竹",$AJ67,$AH67)+IF($G$1="破竹",$AK67*1.5,0))*(1+$BG67)*(1+$BH67))*(1+$AL67)*$BK67*$P67*(1+IF(VLOOKUP($Q67,武学奇术!$A:$ZZ,30,FALSE)="蓄力技",$B$21,0))*(1+$BQ67)</f>
        <v>80486.6879526996</v>
      </c>
      <c r="M67" s="39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55840.1085974457</v>
      </c>
      <c r="N67" s="39">
        <f>((($AN67+($AO67-$AN67)*IF(VLOOKUP($Q67,武学奇术!$A:$ZZ,31,FALSE)=1,$F$18,0.5))*$AH67+$AI67)*(1+$AP67)*(1+$AQ67)+(($AS67+($AT67-$AS67)*IF(VLOOKUP($Q67,武学奇术!$A:$ZZ,31,FALSE)=1,$F$18,0.5))*IF($G$1="鸣金",$AJ67,$AH67)+IF($G$1="鸣金",$AK67*1.5,0))*(1+$AU67)*(1+$AV67)+(($AW67+($AX67-$AW67)*IF(VLOOKUP($Q67,武学奇术!$A:$ZZ,31,FALSE)=1,$F$18,0.5))*IF($G$1="裂石",$AJ67,$AH67)+IF($G$1="裂石",$AK67*1.5,0))*(1+$AY67)*(1+$AZ67)+(($BA67+($BB67-$BA67)*IF(VLOOKUP($Q67,武学奇术!$A:$ZZ,31,FALSE)=1,$F$18,0.5))*IF($G$1="牵丝",$AJ67,$AH67)+IF($G$1="牵丝",$AK67*1.5,0))*(1+$BC67)*(1+$BD67)+(($BE67+($BF67-$BE67)*IF(VLOOKUP($Q67,武学奇术!$A:$ZZ,31,FALSE)=1,$F$18,0.5))*IF($G$1="破竹",$AJ67,$AH67)+IF($G$1="破竹",$AK67*1.5,0))*(1+$BG67)*(1+$BH67))*(1+$AL67)*$P67*(1+IF(VLOOKUP($Q67,武学奇术!$A:$ZZ,30,FALSE)="蓄力技",$B$21,0))*(1+$BQ67)</f>
        <v>36751.9123071688</v>
      </c>
      <c r="O67" s="39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32140.7812088222</v>
      </c>
      <c r="P67" s="40">
        <v>1</v>
      </c>
      <c r="Q67" s="41" t="s">
        <v>108</v>
      </c>
      <c r="R67" s="41" t="s">
        <v>93</v>
      </c>
      <c r="S67" s="41" t="s">
        <v>118</v>
      </c>
      <c r="T67" s="41" t="s">
        <v>72</v>
      </c>
      <c r="U67" s="41" t="s">
        <v>72</v>
      </c>
      <c r="V67" s="41" t="s">
        <v>72</v>
      </c>
      <c r="W67" s="41" t="s">
        <v>72</v>
      </c>
      <c r="X67" s="41" t="s">
        <v>165</v>
      </c>
      <c r="Y67" s="41" t="s">
        <v>81</v>
      </c>
      <c r="Z67" s="41" t="s">
        <v>101</v>
      </c>
      <c r="AA67" s="41" t="s">
        <v>72</v>
      </c>
      <c r="AB67" s="41" t="s">
        <v>72</v>
      </c>
      <c r="AC67" s="41" t="s">
        <v>72</v>
      </c>
      <c r="AD67" s="41" t="s">
        <v>72</v>
      </c>
      <c r="AE67" s="41" t="s">
        <v>75</v>
      </c>
      <c r="AF67" s="41" t="s">
        <v>76</v>
      </c>
      <c r="AG67" t="str">
        <f>VLOOKUP($Q67,武学奇术!$A:$ZZ,25,FALSE)</f>
        <v>拳甲</v>
      </c>
      <c r="AH67" s="27">
        <f>VLOOKUP($Q67,武学奇术!$A:$ZZ,26,FALSE)</f>
        <v>2.33376</v>
      </c>
      <c r="AI67" s="28">
        <f>VLOOKUP($Q67,武学奇术!$A:$ZZ,27,FALSE)*(1+IF(OR($AG67=$F$4,$AG67=$F$5),$B$22,0))</f>
        <v>0</v>
      </c>
      <c r="AJ67" s="27">
        <f>VLOOKUP($Q67,武学奇术!$A:$ZZ,28,FALSE)</f>
        <v>3.50064</v>
      </c>
      <c r="AK67" s="28">
        <f>VLOOKUP($Q67,武学奇术!$A:$ZZ,29,FALSE)*(1+IF(OR($AG67=$F$4,$AG67=$F$5),$B$22,0))</f>
        <v>0</v>
      </c>
      <c r="AL67" s="27" cm="1">
        <f t="array" ref="AL67">$G$3+IFERROR(VLOOKUP($AG67,$F$4:$G$7,2,FALSE),0)+VLOOKUP($Q67,武学奇术!$A:$ZZ,2,FALSE)+SUM(_xlfn.XLOOKUP($R67:$AF67,增益!$A:$A,增益!$B:$B,0))</f>
        <v>0.7041</v>
      </c>
      <c r="AM67" s="27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3804.006</v>
      </c>
      <c r="AO67" cm="1">
        <f t="array" ref="AO67">$E$10*(1+$AM67)+VLOOKUP($Q67,武学奇术!$A:$ZZ,4,FALSE)+SUM(_xlfn.XLOOKUP($R67:$AF67,增益!$A:$A,增益!$D:$D,0))-$I$2</f>
        <v>3804.006</v>
      </c>
      <c r="AP67" s="33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0.472</v>
      </c>
      <c r="AQ67" s="33" cm="1">
        <f t="array" ref="AQ67">$G$10+VLOOKUP($Q67,武学奇术!$A:$ZZ,7,FALSE)+SUM(_xlfn.XLOOKUP(R67:AF67,增益!$A:$A,增益!$G:$G,0))</f>
        <v>0.09</v>
      </c>
      <c r="AR67" s="27" cm="1">
        <f t="array" ref="AR67">VLOOKUP($Q67,武学奇术!$A:$ZZ,8,FALSE)+SUM(_xlfn.XLOOKUP(R67:AF67,增益!$A:$A,增益!$H:$H,0))</f>
        <v>0</v>
      </c>
      <c r="AS67">
        <f t="shared" si="23"/>
        <v>0</v>
      </c>
      <c r="AT67">
        <f t="shared" si="24"/>
        <v>0</v>
      </c>
      <c r="AU67" s="33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-0.08</v>
      </c>
      <c r="AV67" s="33" cm="1">
        <f t="array" ref="AV67">$G$11+VLOOKUP($Q67,武学奇术!$A:$ZZ,10,FALSE)+SUM(_xlfn.XLOOKUP(R67:AF67,增益!$A:$A,增益!$J:$J,0))</f>
        <v>0</v>
      </c>
      <c r="AW67">
        <f t="shared" si="25"/>
        <v>0</v>
      </c>
      <c r="AX67">
        <f t="shared" si="26"/>
        <v>0</v>
      </c>
      <c r="AY67" s="33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-0.08</v>
      </c>
      <c r="AZ67" s="33" cm="1">
        <f t="array" ref="AZ67">$G$12+VLOOKUP($Q67,武学奇术!$A:$ZZ,12,FALSE)+SUM(_xlfn.XLOOKUP(R67:AF67,增益!$A:$A,增益!$L:$L,0))</f>
        <v>0</v>
      </c>
      <c r="BA67">
        <f t="shared" si="27"/>
        <v>0</v>
      </c>
      <c r="BB67">
        <f t="shared" si="28"/>
        <v>0</v>
      </c>
      <c r="BC67" s="33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-0.08</v>
      </c>
      <c r="BD67" s="33" cm="1">
        <f t="array" ref="BD67">$G$13+VLOOKUP($Q67,武学奇术!$A:$ZZ,14,FALSE)+SUM(_xlfn.XLOOKUP(R67:AF67,增益!$A:$A,增益!$N:$N,0))</f>
        <v>0</v>
      </c>
      <c r="BE67">
        <f t="shared" si="29"/>
        <v>570.28</v>
      </c>
      <c r="BF67">
        <f t="shared" si="30"/>
        <v>1582.156</v>
      </c>
      <c r="BG67" s="33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0.11</v>
      </c>
      <c r="BH67" s="33" cm="1">
        <f t="array" ref="BH67">$G$14+VLOOKUP($Q67,武学奇术!$A:$ZZ,16,FALSE)+SUM(_xlfn.XLOOKUP(R67:AF67,增益!$A:$A,增益!$P:$P,0))</f>
        <v>0.24</v>
      </c>
      <c r="BI67" s="27">
        <f>MIN(IF(VLOOKUP($Q67,武学奇术!$A:$ZZ,23,FALSE)=1,100%,$B$8),100%)</f>
        <v>1</v>
      </c>
      <c r="BJ67" s="27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+MIN(IF(VLOOKUP($Q67,武学奇术!$A:$ZZ,32,FALSE)=1,IF(VLOOKUP($Q67,武学奇术!$A:$ZZ,24,FALSE)=1,100%,MIN(40%,$B$10+VLOOKUP($Q67,武学奇术!$A:$ZZ,19,FALSE)+SUM(_xlfn.XLOOKUP(R67:AF67,增益!$A:$A,增益!$S:$S,0)))+$B$12+SUM(_xlfn.XLOOKUP(R67:AF67,增益!$A:$A,增益!$V:$V,0))),0),12%)</f>
        <v>0.918</v>
      </c>
      <c r="BK67" s="27" cm="1">
        <f t="array" ref="BK67">1+$B$13+VLOOKUP($Q67,武学奇术!$A:$ZZ,18,FALSE)+SUM(_xlfn.XLOOKUP(R67:AF67,增益!$A:$A,增益!$R:$R,0))</f>
        <v>2.19</v>
      </c>
      <c r="BL67" s="27" cm="1">
        <f t="array" ref="BL67">MAX(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-IF(VLOOKUP($Q67,武学奇术!$A:$ZZ,32,FALSE)=1,12%,0),0)</f>
        <v>0.0895</v>
      </c>
      <c r="BM67" s="27" cm="1">
        <f t="array" ref="BM67">1+$B$14+VLOOKUP($Q67,武学奇术!$A:$ZZ,20,FALSE)+SUM(_xlfn.XLOOKUP(R67:AF67,增益!$A:$A,增益!$T:$T,0))</f>
        <v>1.35</v>
      </c>
      <c r="BN67" s="27">
        <f t="shared" ref="BN67:BN130" si="31">MIN((1-BL67)*BI67,BI67*BJ67)</f>
        <v>0.9105</v>
      </c>
      <c r="BO67" s="27">
        <f t="shared" ref="BO67:BO130" si="32">1-BL67-BN67-BP67</f>
        <v>0</v>
      </c>
      <c r="BP67" s="27">
        <f>IF(VLOOKUP($Q67,武学奇术!$A:$ZZ,22,FALSE)=1,0,(1-$BI67))*(1-$BL67)</f>
        <v>0</v>
      </c>
      <c r="BQ67" s="27" cm="1">
        <f t="array" ref="BQ67">SUM(_xlfn.XLOOKUP(R67:AF67,增益!$A:$A,增益!$W:$W,0))+$I$5</f>
        <v>0.11</v>
      </c>
    </row>
    <row r="68" spans="1:69">
      <c r="A68" t="s">
        <v>153</v>
      </c>
      <c r="B68">
        <v>0.1</v>
      </c>
      <c r="F68" s="40"/>
      <c r="K68" s="39">
        <f t="shared" si="22"/>
        <v>103854.676808377</v>
      </c>
      <c r="L68" s="39">
        <f>((($AN68+($AO68-$AN68)*IF(VLOOKUP($Q68,武学奇术!$A:$ZZ,31,FALSE)=1,$F$18,0.5))*$AH68+$AI68)*(1+$AP68)*(1+$AQ68)+(($AS68+($AT68-$AS68)*IF(VLOOKUP($Q68,武学奇术!$A:$ZZ,31,FALSE)=1,$F$18,0.5))*IF($G$1="鸣金",$AJ68,$AH68)+IF($G$1="鸣金",$AK68*1.5,0))*(1+$AU68)*(1+$AV68)+(($AW68+($AX68-$AW68)*IF(VLOOKUP($Q68,武学奇术!$A:$ZZ,31,FALSE)=1,$F$18,0.5))*IF($G$1="裂石",$AJ68,$AH68)+IF($G$1="裂石",$AK68*1.5,0))*(1+$AY68)*(1+$AZ68)+(($BA68+($BB68-$BA68)*IF(VLOOKUP($Q68,武学奇术!$A:$ZZ,31,FALSE)=1,$F$18,0.5))*IF($G$1="牵丝",$AJ68,$AH68)+IF($G$1="牵丝",$AK68*1.5,0))*(1+$BC68)*(1+$BD68)+(($BE68+($BF68-$BE68)*IF(VLOOKUP($Q68,武学奇术!$A:$ZZ,31,FALSE)=1,$F$18,0.5))*IF($G$1="破竹",$AJ68,$AH68)+IF($G$1="破竹",$AK68*1.5,0))*(1+$BG68)*(1+$BH68))*(1+$AL68)*$BK68*$P68*(1+IF(VLOOKUP($Q68,武学奇术!$A:$ZZ,30,FALSE)="蓄力技",$B$21,0))*(1+$BQ68)</f>
        <v>106866.317326816</v>
      </c>
      <c r="M68" s="39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73216.7025956545</v>
      </c>
      <c r="N68" s="39">
        <f>((($AN68+($AO68-$AN68)*IF(VLOOKUP($Q68,武学奇术!$A:$ZZ,31,FALSE)=1,$F$18,0.5))*$AH68+$AI68)*(1+$AP68)*(1+$AQ68)+(($AS68+($AT68-$AS68)*IF(VLOOKUP($Q68,武学奇术!$A:$ZZ,31,FALSE)=1,$F$18,0.5))*IF($G$1="鸣金",$AJ68,$AH68)+IF($G$1="鸣金",$AK68*1.5,0))*(1+$AU68)*(1+$AV68)+(($AW68+($AX68-$AW68)*IF(VLOOKUP($Q68,武学奇术!$A:$ZZ,31,FALSE)=1,$F$18,0.5))*IF($G$1="裂石",$AJ68,$AH68)+IF($G$1="裂石",$AK68*1.5,0))*(1+$AY68)*(1+$AZ68)+(($BA68+($BB68-$BA68)*IF(VLOOKUP($Q68,武学奇术!$A:$ZZ,31,FALSE)=1,$F$18,0.5))*IF($G$1="牵丝",$AJ68,$AH68)+IF($G$1="牵丝",$AK68*1.5,0))*(1+$BC68)*(1+$BD68)+(($BE68+($BF68-$BE68)*IF(VLOOKUP($Q68,武学奇术!$A:$ZZ,31,FALSE)=1,$F$18,0.5))*IF($G$1="破竹",$AJ68,$AH68)+IF($G$1="破竹",$AK68*1.5,0))*(1+$BG68)*(1+$BH68))*(1+$AL68)*$P68*(1+IF(VLOOKUP($Q68,武学奇术!$A:$ZZ,30,FALSE)="蓄力技",$B$21,0))*(1+$BQ68)</f>
        <v>48797.4051720621</v>
      </c>
      <c r="O68" s="39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43360.2158288245</v>
      </c>
      <c r="P68" s="40">
        <v>1</v>
      </c>
      <c r="Q68" s="41" t="s">
        <v>103</v>
      </c>
      <c r="R68" s="41" t="s">
        <v>93</v>
      </c>
      <c r="S68" s="41" t="s">
        <v>118</v>
      </c>
      <c r="T68" s="41" t="s">
        <v>72</v>
      </c>
      <c r="U68" s="41" t="s">
        <v>72</v>
      </c>
      <c r="V68" s="41" t="s">
        <v>72</v>
      </c>
      <c r="W68" s="41" t="s">
        <v>72</v>
      </c>
      <c r="X68" s="41" t="s">
        <v>165</v>
      </c>
      <c r="Y68" s="41" t="s">
        <v>81</v>
      </c>
      <c r="Z68" s="41" t="s">
        <v>101</v>
      </c>
      <c r="AA68" s="41" t="s">
        <v>72</v>
      </c>
      <c r="AB68" s="41" t="s">
        <v>72</v>
      </c>
      <c r="AC68" s="41" t="s">
        <v>72</v>
      </c>
      <c r="AD68" s="41" t="s">
        <v>72</v>
      </c>
      <c r="AE68" s="41" t="s">
        <v>75</v>
      </c>
      <c r="AF68" s="41" t="s">
        <v>76</v>
      </c>
      <c r="AG68" t="str">
        <f>VLOOKUP($Q68,武学奇术!$A:$ZZ,25,FALSE)</f>
        <v>拳甲</v>
      </c>
      <c r="AH68" s="27">
        <f>VLOOKUP($Q68,武学奇术!$A:$ZZ,26,FALSE)</f>
        <v>2.75166</v>
      </c>
      <c r="AI68" s="28">
        <f>VLOOKUP($Q68,武学奇术!$A:$ZZ,27,FALSE)*(1+IF(OR($AG68=$F$4,$AG68=$F$5),$B$22,0))</f>
        <v>1060.92</v>
      </c>
      <c r="AJ68" s="27">
        <f>VLOOKUP($Q68,武学奇术!$A:$ZZ,28,FALSE)</f>
        <v>4.12776</v>
      </c>
      <c r="AK68" s="28">
        <f>VLOOKUP($Q68,武学奇术!$A:$ZZ,29,FALSE)*(1+IF(OR($AG68=$F$4,$AG68=$F$5),$B$22,0))</f>
        <v>574.56</v>
      </c>
      <c r="AL68" s="27" cm="1">
        <f t="array" ref="AL68">$G$3+IFERROR(VLOOKUP($AG68,$F$4:$G$7,2,FALSE),0)+VLOOKUP($Q68,武学奇术!$A:$ZZ,2,FALSE)+SUM(_xlfn.XLOOKUP($R68:$AF68,增益!$A:$A,增益!$B:$B,0))</f>
        <v>0.7041</v>
      </c>
      <c r="AM68" s="27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3804.006</v>
      </c>
      <c r="AO68" cm="1">
        <f t="array" ref="AO68">$E$10*(1+$AM68)+VLOOKUP($Q68,武学奇术!$A:$ZZ,4,FALSE)+SUM(_xlfn.XLOOKUP($R68:$AF68,增益!$A:$A,增益!$D:$D,0))-$I$2</f>
        <v>3804.006</v>
      </c>
      <c r="AP68" s="33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0.472</v>
      </c>
      <c r="AQ68" s="33" cm="1">
        <f t="array" ref="AQ68">$G$10+VLOOKUP($Q68,武学奇术!$A:$ZZ,7,FALSE)+SUM(_xlfn.XLOOKUP(R68:AF68,增益!$A:$A,增益!$G:$G,0))</f>
        <v>0.09</v>
      </c>
      <c r="AR68" s="27" cm="1">
        <f t="array" ref="AR68">VLOOKUP($Q68,武学奇术!$A:$ZZ,8,FALSE)+SUM(_xlfn.XLOOKUP(R68:AF68,增益!$A:$A,增益!$H:$H,0))</f>
        <v>0</v>
      </c>
      <c r="AS68">
        <f t="shared" si="23"/>
        <v>0</v>
      </c>
      <c r="AT68">
        <f t="shared" si="24"/>
        <v>0</v>
      </c>
      <c r="AU68" s="33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-0.08</v>
      </c>
      <c r="AV68" s="33" cm="1">
        <f t="array" ref="AV68">$G$11+VLOOKUP($Q68,武学奇术!$A:$ZZ,10,FALSE)+SUM(_xlfn.XLOOKUP(R68:AF68,增益!$A:$A,增益!$J:$J,0))</f>
        <v>0</v>
      </c>
      <c r="AW68">
        <f t="shared" si="25"/>
        <v>0</v>
      </c>
      <c r="AX68">
        <f t="shared" si="26"/>
        <v>0</v>
      </c>
      <c r="AY68" s="33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-0.08</v>
      </c>
      <c r="AZ68" s="33" cm="1">
        <f t="array" ref="AZ68">$G$12+VLOOKUP($Q68,武学奇术!$A:$ZZ,12,FALSE)+SUM(_xlfn.XLOOKUP(R68:AF68,增益!$A:$A,增益!$L:$L,0))</f>
        <v>0</v>
      </c>
      <c r="BA68">
        <f t="shared" si="27"/>
        <v>0</v>
      </c>
      <c r="BB68">
        <f t="shared" si="28"/>
        <v>0</v>
      </c>
      <c r="BC68" s="33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-0.08</v>
      </c>
      <c r="BD68" s="33" cm="1">
        <f t="array" ref="BD68">$G$13+VLOOKUP($Q68,武学奇术!$A:$ZZ,14,FALSE)+SUM(_xlfn.XLOOKUP(R68:AF68,增益!$A:$A,增益!$N:$N,0))</f>
        <v>0</v>
      </c>
      <c r="BE68">
        <f t="shared" si="29"/>
        <v>570.28</v>
      </c>
      <c r="BF68">
        <f t="shared" si="30"/>
        <v>1582.156</v>
      </c>
      <c r="BG68" s="33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0.11</v>
      </c>
      <c r="BH68" s="33" cm="1">
        <f t="array" ref="BH68">$G$14+VLOOKUP($Q68,武学奇术!$A:$ZZ,16,FALSE)+SUM(_xlfn.XLOOKUP(R68:AF68,增益!$A:$A,增益!$P:$P,0))</f>
        <v>0.24</v>
      </c>
      <c r="BI68" s="27">
        <f>MIN(IF(VLOOKUP($Q68,武学奇术!$A:$ZZ,23,FALSE)=1,100%,$B$8),100%)</f>
        <v>1</v>
      </c>
      <c r="BJ68" s="27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+MIN(IF(VLOOKUP($Q68,武学奇术!$A:$ZZ,32,FALSE)=1,IF(VLOOKUP($Q68,武学奇术!$A:$ZZ,24,FALSE)=1,100%,MIN(40%,$B$10+VLOOKUP($Q68,武学奇术!$A:$ZZ,19,FALSE)+SUM(_xlfn.XLOOKUP(R68:AF68,增益!$A:$A,增益!$S:$S,0)))+$B$12+SUM(_xlfn.XLOOKUP(R68:AF68,增益!$A:$A,增益!$V:$V,0))),0),12%)</f>
        <v>0.918</v>
      </c>
      <c r="BK68" s="27" cm="1">
        <f t="array" ref="BK68">1+$B$13+VLOOKUP($Q68,武学奇术!$A:$ZZ,18,FALSE)+SUM(_xlfn.XLOOKUP(R68:AF68,增益!$A:$A,增益!$R:$R,0))</f>
        <v>2.19</v>
      </c>
      <c r="BL68" s="27" cm="1">
        <f t="array" ref="BL68">MAX(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-IF(VLOOKUP($Q68,武学奇术!$A:$ZZ,32,FALSE)=1,12%,0),0)</f>
        <v>0.0895</v>
      </c>
      <c r="BM68" s="27" cm="1">
        <f t="array" ref="BM68">1+$B$14+VLOOKUP($Q68,武学奇术!$A:$ZZ,20,FALSE)+SUM(_xlfn.XLOOKUP(R68:AF68,增益!$A:$A,增益!$T:$T,0))</f>
        <v>1.35</v>
      </c>
      <c r="BN68" s="27">
        <f t="shared" si="31"/>
        <v>0.9105</v>
      </c>
      <c r="BO68" s="27">
        <f t="shared" si="32"/>
        <v>0</v>
      </c>
      <c r="BP68" s="27">
        <f>IF(VLOOKUP($Q68,武学奇术!$A:$ZZ,22,FALSE)=1,0,(1-$BI68))*(1-$BL68)</f>
        <v>0</v>
      </c>
      <c r="BQ68" s="27" cm="1">
        <f t="array" ref="BQ68">SUM(_xlfn.XLOOKUP(R68:AF68,增益!$A:$A,增益!$W:$W,0))+$I$5</f>
        <v>0.11</v>
      </c>
    </row>
    <row r="69" spans="1:69">
      <c r="A69" s="4" t="s">
        <v>152</v>
      </c>
      <c r="B69" s="4">
        <v>0.9</v>
      </c>
      <c r="F69" s="40"/>
      <c r="K69" s="39">
        <f t="shared" si="22"/>
        <v>34169.0419780871</v>
      </c>
      <c r="L69" s="39">
        <f>((($AN69+($AO69-$AN69)*IF(VLOOKUP($Q69,武学奇术!$A:$ZZ,31,FALSE)=1,$F$18,0.5))*$AH69+$AI69)*(1+$AP69)*(1+$AQ69)+(($AS69+($AT69-$AS69)*IF(VLOOKUP($Q69,武学奇术!$A:$ZZ,31,FALSE)=1,$F$18,0.5))*IF($G$1="鸣金",$AJ69,$AH69)+IF($G$1="鸣金",$AK69*1.5,0))*(1+$AU69)*(1+$AV69)+(($AW69+($AX69-$AW69)*IF(VLOOKUP($Q69,武学奇术!$A:$ZZ,31,FALSE)=1,$F$18,0.5))*IF($G$1="裂石",$AJ69,$AH69)+IF($G$1="裂石",$AK69*1.5,0))*(1+$AY69)*(1+$AZ69)+(($BA69+($BB69-$BA69)*IF(VLOOKUP($Q69,武学奇术!$A:$ZZ,31,FALSE)=1,$F$18,0.5))*IF($G$1="牵丝",$AJ69,$AH69)+IF($G$1="牵丝",$AK69*1.5,0))*(1+$BC69)*(1+$BD69)+(($BE69+($BF69-$BE69)*IF(VLOOKUP($Q69,武学奇术!$A:$ZZ,31,FALSE)=1,$F$18,0.5))*IF($G$1="破竹",$AJ69,$AH69)+IF($G$1="破竹",$AK69*1.5,0))*(1+$BG69)*(1+$BH69))*(1+$AL69)*$BK69*$P69*(1+IF(VLOOKUP($Q69,武学奇术!$A:$ZZ,30,FALSE)="蓄力技",$B$21,0))*(1+$BQ69)</f>
        <v>34812.8392155567</v>
      </c>
      <c r="M69" s="39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27619.5739924328</v>
      </c>
      <c r="N69" s="39">
        <f>((($AN69+($AO69-$AN69)*IF(VLOOKUP($Q69,武学奇术!$A:$ZZ,31,FALSE)=1,$F$18,0.5))*$AH69+$AI69)*(1+$AP69)*(1+$AQ69)+(($AS69+($AT69-$AS69)*IF(VLOOKUP($Q69,武学奇术!$A:$ZZ,31,FALSE)=1,$F$18,0.5))*IF($G$1="鸣金",$AJ69,$AH69)+IF($G$1="鸣金",$AK69*1.5,0))*(1+$AU69)*(1+$AV69)+(($AW69+($AX69-$AW69)*IF(VLOOKUP($Q69,武学奇术!$A:$ZZ,31,FALSE)=1,$F$18,0.5))*IF($G$1="裂石",$AJ69,$AH69)+IF($G$1="裂石",$AK69*1.5,0))*(1+$AY69)*(1+$AZ69)+(($BA69+($BB69-$BA69)*IF(VLOOKUP($Q69,武学奇术!$A:$ZZ,31,FALSE)=1,$F$18,0.5))*IF($G$1="牵丝",$AJ69,$AH69)+IF($G$1="牵丝",$AK69*1.5,0))*(1+$BC69)*(1+$BD69)+(($BE69+($BF69-$BE69)*IF(VLOOKUP($Q69,武学奇术!$A:$ZZ,31,FALSE)=1,$F$18,0.5))*IF($G$1="破竹",$AJ69,$AH69)+IF($G$1="破竹",$AK69*1.5,0))*(1+$BG69)*(1+$BH69))*(1+$AL69)*$P69*(1+IF(VLOOKUP($Q69,武学奇术!$A:$ZZ,30,FALSE)="蓄力技",$B$21,0))*(1+$BQ69)</f>
        <v>18419.4916484427</v>
      </c>
      <c r="O69" s="39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16380.039598787</v>
      </c>
      <c r="P69" s="40">
        <v>1</v>
      </c>
      <c r="Q69" s="41" t="s">
        <v>106</v>
      </c>
      <c r="R69" s="41" t="s">
        <v>93</v>
      </c>
      <c r="S69" s="41" t="s">
        <v>118</v>
      </c>
      <c r="T69" s="41" t="s">
        <v>72</v>
      </c>
      <c r="U69" s="41" t="s">
        <v>72</v>
      </c>
      <c r="V69" s="41" t="s">
        <v>72</v>
      </c>
      <c r="W69" s="41" t="s">
        <v>72</v>
      </c>
      <c r="X69" s="41" t="s">
        <v>165</v>
      </c>
      <c r="Y69" s="41" t="s">
        <v>81</v>
      </c>
      <c r="Z69" s="41" t="s">
        <v>72</v>
      </c>
      <c r="AA69" s="41" t="s">
        <v>72</v>
      </c>
      <c r="AB69" s="41" t="s">
        <v>72</v>
      </c>
      <c r="AC69" s="41" t="s">
        <v>72</v>
      </c>
      <c r="AD69" s="41" t="s">
        <v>72</v>
      </c>
      <c r="AE69" s="41" t="s">
        <v>75</v>
      </c>
      <c r="AF69" s="41" t="s">
        <v>76</v>
      </c>
      <c r="AG69" t="str">
        <f>VLOOKUP($Q69,武学奇术!$A:$ZZ,25,FALSE)</f>
        <v>拳甲</v>
      </c>
      <c r="AH69" s="27">
        <f>VLOOKUP($Q69,武学奇术!$A:$ZZ,26,FALSE)</f>
        <v>1.2876</v>
      </c>
      <c r="AI69" s="28">
        <f>VLOOKUP($Q69,武学奇术!$A:$ZZ,27,FALSE)*(1+IF(OR($AG69=$F$4,$AG69=$F$5),$B$22,0))</f>
        <v>501.2</v>
      </c>
      <c r="AJ69" s="27">
        <f>VLOOKUP($Q69,武学奇术!$A:$ZZ,28,FALSE)</f>
        <v>1.9313</v>
      </c>
      <c r="AK69" s="28">
        <f>VLOOKUP($Q69,武学奇术!$A:$ZZ,29,FALSE)*(1+IF(OR($AG69=$F$4,$AG69=$F$5),$B$22,0))</f>
        <v>273</v>
      </c>
      <c r="AL69" s="27" cm="1">
        <f t="array" ref="AL69">$G$3+IFERROR(VLOOKUP($AG69,$F$4:$G$7,2,FALSE),0)+VLOOKUP($Q69,武学奇术!$A:$ZZ,2,FALSE)+SUM(_xlfn.XLOOKUP($R69:$AF69,增益!$A:$A,增益!$B:$B,0))</f>
        <v>0.4041</v>
      </c>
      <c r="AM69" s="27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3804.006</v>
      </c>
      <c r="AO69" cm="1">
        <f t="array" ref="AO69">$E$10*(1+$AM69)+VLOOKUP($Q69,武学奇术!$A:$ZZ,4,FALSE)+SUM(_xlfn.XLOOKUP($R69:$AF69,增益!$A:$A,增益!$D:$D,0))-$I$2</f>
        <v>3804.006</v>
      </c>
      <c r="AP69" s="33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0.442</v>
      </c>
      <c r="AQ69" s="33" cm="1">
        <f t="array" ref="AQ69">$G$10+VLOOKUP($Q69,武学奇术!$A:$ZZ,7,FALSE)+SUM(_xlfn.XLOOKUP(R69:AF69,增益!$A:$A,增益!$G:$G,0))</f>
        <v>0.09</v>
      </c>
      <c r="AR69" s="27" cm="1">
        <f t="array" ref="AR69">VLOOKUP($Q69,武学奇术!$A:$ZZ,8,FALSE)+SUM(_xlfn.XLOOKUP(R69:AF69,增益!$A:$A,增益!$H:$H,0))</f>
        <v>0</v>
      </c>
      <c r="AS69">
        <f t="shared" si="23"/>
        <v>0</v>
      </c>
      <c r="AT69">
        <f t="shared" si="24"/>
        <v>0</v>
      </c>
      <c r="AU69" s="33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-0.14</v>
      </c>
      <c r="AV69" s="33" cm="1">
        <f t="array" ref="AV69">$G$11+VLOOKUP($Q69,武学奇术!$A:$ZZ,10,FALSE)+SUM(_xlfn.XLOOKUP(R69:AF69,增益!$A:$A,增益!$J:$J,0))</f>
        <v>0</v>
      </c>
      <c r="AW69">
        <f t="shared" si="25"/>
        <v>0</v>
      </c>
      <c r="AX69">
        <f t="shared" si="26"/>
        <v>0</v>
      </c>
      <c r="AY69" s="33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-0.14</v>
      </c>
      <c r="AZ69" s="33" cm="1">
        <f t="array" ref="AZ69">$G$12+VLOOKUP($Q69,武学奇术!$A:$ZZ,12,FALSE)+SUM(_xlfn.XLOOKUP(R69:AF69,增益!$A:$A,增益!$L:$L,0))</f>
        <v>0</v>
      </c>
      <c r="BA69">
        <f t="shared" si="27"/>
        <v>0</v>
      </c>
      <c r="BB69">
        <f t="shared" si="28"/>
        <v>0</v>
      </c>
      <c r="BC69" s="33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-0.14</v>
      </c>
      <c r="BD69" s="33" cm="1">
        <f t="array" ref="BD69">$G$13+VLOOKUP($Q69,武学奇术!$A:$ZZ,14,FALSE)+SUM(_xlfn.XLOOKUP(R69:AF69,增益!$A:$A,增益!$N:$N,0))</f>
        <v>0</v>
      </c>
      <c r="BE69">
        <f t="shared" si="29"/>
        <v>570.28</v>
      </c>
      <c r="BF69">
        <f t="shared" si="30"/>
        <v>1582.156</v>
      </c>
      <c r="BG69" s="33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0.08</v>
      </c>
      <c r="BH69" s="33" cm="1">
        <f t="array" ref="BH69">$G$14+VLOOKUP($Q69,武学奇术!$A:$ZZ,16,FALSE)+SUM(_xlfn.XLOOKUP(R69:AF69,增益!$A:$A,增益!$P:$P,0))</f>
        <v>0.24</v>
      </c>
      <c r="BI69" s="27">
        <f>MIN(IF(VLOOKUP($Q69,武学奇术!$A:$ZZ,23,FALSE)=1,100%,$B$8),100%)</f>
        <v>1</v>
      </c>
      <c r="BJ69" s="27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+MIN(IF(VLOOKUP($Q69,武学奇术!$A:$ZZ,32,FALSE)=1,IF(VLOOKUP($Q69,武学奇术!$A:$ZZ,24,FALSE)=1,100%,MIN(40%,$B$10+VLOOKUP($Q69,武学奇术!$A:$ZZ,19,FALSE)+SUM(_xlfn.XLOOKUP(R69:AF69,增益!$A:$A,增益!$S:$S,0)))+$B$12+SUM(_xlfn.XLOOKUP(R69:AF69,增益!$A:$A,增益!$V:$V,0))),0),12%)</f>
        <v>0.918</v>
      </c>
      <c r="BK69" s="27" cm="1">
        <f t="array" ref="BK69">1+$B$13+VLOOKUP($Q69,武学奇术!$A:$ZZ,18,FALSE)+SUM(_xlfn.XLOOKUP(R69:AF69,增益!$A:$A,增益!$R:$R,0))</f>
        <v>1.89</v>
      </c>
      <c r="BL69" s="27" cm="1">
        <f t="array" ref="BL69">MAX(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-IF(VLOOKUP($Q69,武学奇术!$A:$ZZ,32,FALSE)=1,12%,0),0)</f>
        <v>0.0895</v>
      </c>
      <c r="BM69" s="27" cm="1">
        <f t="array" ref="BM69">1+$B$14+VLOOKUP($Q69,武学奇术!$A:$ZZ,20,FALSE)+SUM(_xlfn.XLOOKUP(R69:AF69,增益!$A:$A,增益!$T:$T,0))</f>
        <v>1.35</v>
      </c>
      <c r="BN69" s="27">
        <f t="shared" si="31"/>
        <v>0.9105</v>
      </c>
      <c r="BO69" s="27">
        <f t="shared" si="32"/>
        <v>0</v>
      </c>
      <c r="BP69" s="27">
        <f>IF(VLOOKUP($Q69,武学奇术!$A:$ZZ,22,FALSE)=1,0,(1-$BI69))*(1-$BL69)</f>
        <v>0</v>
      </c>
      <c r="BQ69" s="27" cm="1">
        <f t="array" ref="BQ69">SUM(_xlfn.XLOOKUP(R69:AF69,增益!$A:$A,增益!$W:$W,0))+$I$5</f>
        <v>0.11</v>
      </c>
    </row>
    <row r="70" spans="1:69">
      <c r="A70" t="s">
        <v>162</v>
      </c>
      <c r="B70">
        <v>1</v>
      </c>
      <c r="F70" s="40"/>
      <c r="K70" s="39">
        <f t="shared" si="22"/>
        <v>78280.8191004044</v>
      </c>
      <c r="L70" s="39">
        <f>((($AN70+($AO70-$AN70)*IF(VLOOKUP($Q70,武学奇术!$A:$ZZ,31,FALSE)=1,$F$18,0.5))*$AH70+$AI70)*(1+$AP70)*(1+$AQ70)+(($AS70+($AT70-$AS70)*IF(VLOOKUP($Q70,武学奇术!$A:$ZZ,31,FALSE)=1,$F$18,0.5))*IF($G$1="鸣金",$AJ70,$AH70)+IF($G$1="鸣金",$AK70*1.5,0))*(1+$AU70)*(1+$AV70)+(($AW70+($AX70-$AW70)*IF(VLOOKUP($Q70,武学奇术!$A:$ZZ,31,FALSE)=1,$F$18,0.5))*IF($G$1="裂石",$AJ70,$AH70)+IF($G$1="裂石",$AK70*1.5,0))*(1+$AY70)*(1+$AZ70)+(($BA70+($BB70-$BA70)*IF(VLOOKUP($Q70,武学奇术!$A:$ZZ,31,FALSE)=1,$F$18,0.5))*IF($G$1="牵丝",$AJ70,$AH70)+IF($G$1="牵丝",$AK70*1.5,0))*(1+$BC70)*(1+$BD70)+(($BE70+($BF70-$BE70)*IF(VLOOKUP($Q70,武学奇术!$A:$ZZ,31,FALSE)=1,$F$18,0.5))*IF($G$1="破竹",$AJ70,$AH70)+IF($G$1="破竹",$AK70*1.5,0))*(1+$BG70)*(1+$BH70))*(1+$AL70)*$BK70*$P70*(1+IF(VLOOKUP($Q70,武学奇术!$A:$ZZ,30,FALSE)="蓄力技",$B$21,0))*(1+$BQ70)</f>
        <v>80486.6879526996</v>
      </c>
      <c r="M70" s="39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55840.1085974457</v>
      </c>
      <c r="N70" s="39">
        <f>((($AN70+($AO70-$AN70)*IF(VLOOKUP($Q70,武学奇术!$A:$ZZ,31,FALSE)=1,$F$18,0.5))*$AH70+$AI70)*(1+$AP70)*(1+$AQ70)+(($AS70+($AT70-$AS70)*IF(VLOOKUP($Q70,武学奇术!$A:$ZZ,31,FALSE)=1,$F$18,0.5))*IF($G$1="鸣金",$AJ70,$AH70)+IF($G$1="鸣金",$AK70*1.5,0))*(1+$AU70)*(1+$AV70)+(($AW70+($AX70-$AW70)*IF(VLOOKUP($Q70,武学奇术!$A:$ZZ,31,FALSE)=1,$F$18,0.5))*IF($G$1="裂石",$AJ70,$AH70)+IF($G$1="裂石",$AK70*1.5,0))*(1+$AY70)*(1+$AZ70)+(($BA70+($BB70-$BA70)*IF(VLOOKUP($Q70,武学奇术!$A:$ZZ,31,FALSE)=1,$F$18,0.5))*IF($G$1="牵丝",$AJ70,$AH70)+IF($G$1="牵丝",$AK70*1.5,0))*(1+$BC70)*(1+$BD70)+(($BE70+($BF70-$BE70)*IF(VLOOKUP($Q70,武学奇术!$A:$ZZ,31,FALSE)=1,$F$18,0.5))*IF($G$1="破竹",$AJ70,$AH70)+IF($G$1="破竹",$AK70*1.5,0))*(1+$BG70)*(1+$BH70))*(1+$AL70)*$P70*(1+IF(VLOOKUP($Q70,武学奇术!$A:$ZZ,30,FALSE)="蓄力技",$B$21,0))*(1+$BQ70)</f>
        <v>36751.9123071688</v>
      </c>
      <c r="O70" s="39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32140.7812088222</v>
      </c>
      <c r="P70" s="40">
        <v>1</v>
      </c>
      <c r="Q70" s="41" t="s">
        <v>108</v>
      </c>
      <c r="R70" s="41" t="s">
        <v>93</v>
      </c>
      <c r="S70" s="41" t="s">
        <v>118</v>
      </c>
      <c r="T70" s="41" t="s">
        <v>72</v>
      </c>
      <c r="U70" s="41" t="s">
        <v>72</v>
      </c>
      <c r="V70" s="41" t="s">
        <v>72</v>
      </c>
      <c r="W70" s="41" t="s">
        <v>72</v>
      </c>
      <c r="X70" s="41" t="s">
        <v>165</v>
      </c>
      <c r="Y70" s="41" t="s">
        <v>81</v>
      </c>
      <c r="Z70" s="41" t="s">
        <v>101</v>
      </c>
      <c r="AA70" s="41" t="s">
        <v>72</v>
      </c>
      <c r="AB70" s="41" t="s">
        <v>72</v>
      </c>
      <c r="AC70" s="41" t="s">
        <v>72</v>
      </c>
      <c r="AD70" s="41" t="s">
        <v>72</v>
      </c>
      <c r="AE70" s="41" t="s">
        <v>75</v>
      </c>
      <c r="AF70" s="41" t="s">
        <v>76</v>
      </c>
      <c r="AG70" t="str">
        <f>VLOOKUP($Q70,武学奇术!$A:$ZZ,25,FALSE)</f>
        <v>拳甲</v>
      </c>
      <c r="AH70" s="27">
        <f>VLOOKUP($Q70,武学奇术!$A:$ZZ,26,FALSE)</f>
        <v>2.33376</v>
      </c>
      <c r="AI70" s="28">
        <f>VLOOKUP($Q70,武学奇术!$A:$ZZ,27,FALSE)*(1+IF(OR($AG70=$F$4,$AG70=$F$5),$B$22,0))</f>
        <v>0</v>
      </c>
      <c r="AJ70" s="27">
        <f>VLOOKUP($Q70,武学奇术!$A:$ZZ,28,FALSE)</f>
        <v>3.50064</v>
      </c>
      <c r="AK70" s="28">
        <f>VLOOKUP($Q70,武学奇术!$A:$ZZ,29,FALSE)*(1+IF(OR($AG70=$F$4,$AG70=$F$5),$B$22,0))</f>
        <v>0</v>
      </c>
      <c r="AL70" s="27" cm="1">
        <f t="array" ref="AL70">$G$3+IFERROR(VLOOKUP($AG70,$F$4:$G$7,2,FALSE),0)+VLOOKUP($Q70,武学奇术!$A:$ZZ,2,FALSE)+SUM(_xlfn.XLOOKUP($R70:$AF70,增益!$A:$A,增益!$B:$B,0))</f>
        <v>0.7041</v>
      </c>
      <c r="AM70" s="27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3804.006</v>
      </c>
      <c r="AO70" cm="1">
        <f t="array" ref="AO70">$E$10*(1+$AM70)+VLOOKUP($Q70,武学奇术!$A:$ZZ,4,FALSE)+SUM(_xlfn.XLOOKUP($R70:$AF70,增益!$A:$A,增益!$D:$D,0))-$I$2</f>
        <v>3804.006</v>
      </c>
      <c r="AP70" s="33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0.472</v>
      </c>
      <c r="AQ70" s="33" cm="1">
        <f t="array" ref="AQ70">$G$10+VLOOKUP($Q70,武学奇术!$A:$ZZ,7,FALSE)+SUM(_xlfn.XLOOKUP(R70:AF70,增益!$A:$A,增益!$G:$G,0))</f>
        <v>0.09</v>
      </c>
      <c r="AR70" s="27" cm="1">
        <f t="array" ref="AR70">VLOOKUP($Q70,武学奇术!$A:$ZZ,8,FALSE)+SUM(_xlfn.XLOOKUP(R70:AF70,增益!$A:$A,增益!$H:$H,0))</f>
        <v>0</v>
      </c>
      <c r="AS70">
        <f t="shared" si="23"/>
        <v>0</v>
      </c>
      <c r="AT70">
        <f t="shared" si="24"/>
        <v>0</v>
      </c>
      <c r="AU70" s="33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-0.08</v>
      </c>
      <c r="AV70" s="33" cm="1">
        <f t="array" ref="AV70">$G$11+VLOOKUP($Q70,武学奇术!$A:$ZZ,10,FALSE)+SUM(_xlfn.XLOOKUP(R70:AF70,增益!$A:$A,增益!$J:$J,0))</f>
        <v>0</v>
      </c>
      <c r="AW70">
        <f t="shared" si="25"/>
        <v>0</v>
      </c>
      <c r="AX70">
        <f t="shared" si="26"/>
        <v>0</v>
      </c>
      <c r="AY70" s="33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-0.08</v>
      </c>
      <c r="AZ70" s="33" cm="1">
        <f t="array" ref="AZ70">$G$12+VLOOKUP($Q70,武学奇术!$A:$ZZ,12,FALSE)+SUM(_xlfn.XLOOKUP(R70:AF70,增益!$A:$A,增益!$L:$L,0))</f>
        <v>0</v>
      </c>
      <c r="BA70">
        <f t="shared" si="27"/>
        <v>0</v>
      </c>
      <c r="BB70">
        <f t="shared" si="28"/>
        <v>0</v>
      </c>
      <c r="BC70" s="33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-0.08</v>
      </c>
      <c r="BD70" s="33" cm="1">
        <f t="array" ref="BD70">$G$13+VLOOKUP($Q70,武学奇术!$A:$ZZ,14,FALSE)+SUM(_xlfn.XLOOKUP(R70:AF70,增益!$A:$A,增益!$N:$N,0))</f>
        <v>0</v>
      </c>
      <c r="BE70">
        <f t="shared" si="29"/>
        <v>570.28</v>
      </c>
      <c r="BF70">
        <f t="shared" si="30"/>
        <v>1582.156</v>
      </c>
      <c r="BG70" s="33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0.11</v>
      </c>
      <c r="BH70" s="33" cm="1">
        <f t="array" ref="BH70">$G$14+VLOOKUP($Q70,武学奇术!$A:$ZZ,16,FALSE)+SUM(_xlfn.XLOOKUP(R70:AF70,增益!$A:$A,增益!$P:$P,0))</f>
        <v>0.24</v>
      </c>
      <c r="BI70" s="27">
        <f>MIN(IF(VLOOKUP($Q70,武学奇术!$A:$ZZ,23,FALSE)=1,100%,$B$8),100%)</f>
        <v>1</v>
      </c>
      <c r="BJ70" s="27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+MIN(IF(VLOOKUP($Q70,武学奇术!$A:$ZZ,32,FALSE)=1,IF(VLOOKUP($Q70,武学奇术!$A:$ZZ,24,FALSE)=1,100%,MIN(40%,$B$10+VLOOKUP($Q70,武学奇术!$A:$ZZ,19,FALSE)+SUM(_xlfn.XLOOKUP(R70:AF70,增益!$A:$A,增益!$S:$S,0)))+$B$12+SUM(_xlfn.XLOOKUP(R70:AF70,增益!$A:$A,增益!$V:$V,0))),0),12%)</f>
        <v>0.918</v>
      </c>
      <c r="BK70" s="27" cm="1">
        <f t="array" ref="BK70">1+$B$13+VLOOKUP($Q70,武学奇术!$A:$ZZ,18,FALSE)+SUM(_xlfn.XLOOKUP(R70:AF70,增益!$A:$A,增益!$R:$R,0))</f>
        <v>2.19</v>
      </c>
      <c r="BL70" s="27" cm="1">
        <f t="array" ref="BL70">MAX(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-IF(VLOOKUP($Q70,武学奇术!$A:$ZZ,32,FALSE)=1,12%,0),0)</f>
        <v>0.0895</v>
      </c>
      <c r="BM70" s="27" cm="1">
        <f t="array" ref="BM70">1+$B$14+VLOOKUP($Q70,武学奇术!$A:$ZZ,20,FALSE)+SUM(_xlfn.XLOOKUP(R70:AF70,增益!$A:$A,增益!$T:$T,0))</f>
        <v>1.35</v>
      </c>
      <c r="BN70" s="27">
        <f t="shared" si="31"/>
        <v>0.9105</v>
      </c>
      <c r="BO70" s="27">
        <f t="shared" si="32"/>
        <v>0</v>
      </c>
      <c r="BP70" s="27">
        <f>IF(VLOOKUP($Q70,武学奇术!$A:$ZZ,22,FALSE)=1,0,(1-$BI70))*(1-$BL70)</f>
        <v>0</v>
      </c>
      <c r="BQ70" s="27" cm="1">
        <f t="array" ref="BQ70">SUM(_xlfn.XLOOKUP(R70:AF70,增益!$A:$A,增益!$W:$W,0))+$I$5</f>
        <v>0.11</v>
      </c>
    </row>
    <row r="71" spans="1:69">
      <c r="A71" t="s">
        <v>153</v>
      </c>
      <c r="B71">
        <v>0.1</v>
      </c>
      <c r="F71" s="40"/>
      <c r="K71" s="39">
        <f t="shared" si="22"/>
        <v>34005.25720924</v>
      </c>
      <c r="L71" s="39">
        <f>((($AN71+($AO71-$AN71)*IF(VLOOKUP($Q71,武学奇术!$A:$ZZ,31,FALSE)=1,$F$18,0.5))*$AH71+$AI71)*(1+$AP71)*(1+$AQ71)+(($AS71+($AT71-$AS71)*IF(VLOOKUP($Q71,武学奇术!$A:$ZZ,31,FALSE)=1,$F$18,0.5))*IF($G$1="鸣金",$AJ71,$AH71)+IF($G$1="鸣金",$AK71*1.5,0))*(1+$AU71)*(1+$AV71)+(($AW71+($AX71-$AW71)*IF(VLOOKUP($Q71,武学奇术!$A:$ZZ,31,FALSE)=1,$F$18,0.5))*IF($G$1="裂石",$AJ71,$AH71)+IF($G$1="裂石",$AK71*1.5,0))*(1+$AY71)*(1+$AZ71)+(($BA71+($BB71-$BA71)*IF(VLOOKUP($Q71,武学奇术!$A:$ZZ,31,FALSE)=1,$F$18,0.5))*IF($G$1="牵丝",$AJ71,$AH71)+IF($G$1="牵丝",$AK71*1.5,0))*(1+$BC71)*(1+$BD71)+(($BE71+($BF71-$BE71)*IF(VLOOKUP($Q71,武学奇术!$A:$ZZ,31,FALSE)=1,$F$18,0.5))*IF($G$1="破竹",$AJ71,$AH71)+IF($G$1="破竹",$AK71*1.5,0))*(1+$BG71)*(1+$BH71))*(1+$AL71)*$BK71*$P71*(1+IF(VLOOKUP($Q71,武学奇术!$A:$ZZ,30,FALSE)="蓄力技",$B$21,0))*(1+$BQ71)</f>
        <v>34249.155506168</v>
      </c>
      <c r="M71" s="39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31524.0348701011</v>
      </c>
      <c r="N71" s="39">
        <f>((($AN71+($AO71-$AN71)*IF(VLOOKUP($Q71,武学奇术!$A:$ZZ,31,FALSE)=1,$F$18,0.5))*$AH71+$AI71)*(1+$AP71)*(1+$AQ71)+(($AS71+($AT71-$AS71)*IF(VLOOKUP($Q71,武学奇术!$A:$ZZ,31,FALSE)=1,$F$18,0.5))*IF($G$1="鸣金",$AJ71,$AH71)+IF($G$1="鸣金",$AK71*1.5,0))*(1+$AU71)*(1+$AV71)+(($AW71+($AX71-$AW71)*IF(VLOOKUP($Q71,武学奇术!$A:$ZZ,31,FALSE)=1,$F$18,0.5))*IF($G$1="裂石",$AJ71,$AH71)+IF($G$1="裂石",$AK71*1.5,0))*(1+$AY71)*(1+$AZ71)+(($BA71+($BB71-$BA71)*IF(VLOOKUP($Q71,武学奇术!$A:$ZZ,31,FALSE)=1,$F$18,0.5))*IF($G$1="牵丝",$AJ71,$AH71)+IF($G$1="牵丝",$AK71*1.5,0))*(1+$BC71)*(1+$BD71)+(($BE71+($BF71-$BE71)*IF(VLOOKUP($Q71,武学奇术!$A:$ZZ,31,FALSE)=1,$F$18,0.5))*IF($G$1="破竹",$AJ71,$AH71)+IF($G$1="破竹",$AK71*1.5,0))*(1+$BG71)*(1+$BH71))*(1+$AL71)*$P71*(1+IF(VLOOKUP($Q71,武学奇术!$A:$ZZ,30,FALSE)="蓄力技",$B$21,0))*(1+$BQ71)</f>
        <v>20883.6314062</v>
      </c>
      <c r="O71" s="39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18416.1258715844</v>
      </c>
      <c r="P71" s="40">
        <v>1</v>
      </c>
      <c r="Q71" s="41" t="s">
        <v>151</v>
      </c>
      <c r="R71" s="41" t="s">
        <v>93</v>
      </c>
      <c r="S71" s="41" t="s">
        <v>72</v>
      </c>
      <c r="T71" s="41" t="s">
        <v>72</v>
      </c>
      <c r="U71" s="41" t="s">
        <v>72</v>
      </c>
      <c r="V71" s="41" t="s">
        <v>72</v>
      </c>
      <c r="W71" s="41" t="s">
        <v>72</v>
      </c>
      <c r="X71" s="41" t="s">
        <v>165</v>
      </c>
      <c r="Y71" s="41" t="s">
        <v>81</v>
      </c>
      <c r="Z71" s="41" t="s">
        <v>72</v>
      </c>
      <c r="AA71" s="41" t="s">
        <v>72</v>
      </c>
      <c r="AB71" s="41" t="s">
        <v>72</v>
      </c>
      <c r="AC71" s="41" t="s">
        <v>72</v>
      </c>
      <c r="AD71" s="41" t="s">
        <v>72</v>
      </c>
      <c r="AE71" s="41" t="s">
        <v>75</v>
      </c>
      <c r="AF71" s="41" t="s">
        <v>76</v>
      </c>
      <c r="AG71" t="str">
        <f>VLOOKUP($Q71,武学奇术!$A:$ZZ,25,FALSE)</f>
        <v>绳镖</v>
      </c>
      <c r="AH71" s="27">
        <f>VLOOKUP($Q71,武学奇术!$A:$ZZ,26,FALSE)</f>
        <v>1.6584</v>
      </c>
      <c r="AI71" s="28">
        <f>VLOOKUP($Q71,武学奇术!$A:$ZZ,27,FALSE)*(1+IF(OR($AG71=$F$4,$AG71=$F$5),$B$22,0))</f>
        <v>641.2</v>
      </c>
      <c r="AJ71" s="27">
        <f>VLOOKUP($Q71,武学奇术!$A:$ZZ,28,FALSE)</f>
        <v>2.4876</v>
      </c>
      <c r="AK71" s="28">
        <f>VLOOKUP($Q71,武学奇术!$A:$ZZ,29,FALSE)*(1+IF(OR($AG71=$F$4,$AG71=$F$5),$B$22,0))</f>
        <v>350</v>
      </c>
      <c r="AL71" s="27" cm="1">
        <f t="array" ref="AL71">$G$3+IFERROR(VLOOKUP($AG71,$F$4:$G$7,2,FALSE),0)+VLOOKUP($Q71,武学奇术!$A:$ZZ,2,FALSE)+SUM(_xlfn.XLOOKUP($R71:$AF71,增益!$A:$A,增益!$B:$B,0))</f>
        <v>0.3189</v>
      </c>
      <c r="AM71" s="27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3804.006</v>
      </c>
      <c r="AO71" cm="1">
        <f t="array" ref="AO71">$E$10*(1+$AM71)+VLOOKUP($Q71,武学奇术!$A:$ZZ,4,FALSE)+SUM(_xlfn.XLOOKUP($R71:$AF71,增益!$A:$A,增益!$D:$D,0))-$I$2</f>
        <v>3804.006</v>
      </c>
      <c r="AP71" s="33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0.317</v>
      </c>
      <c r="AQ71" s="33" cm="1">
        <f t="array" ref="AQ71">$G$10+VLOOKUP($Q71,武学奇术!$A:$ZZ,7,FALSE)+SUM(_xlfn.XLOOKUP(R71:AF71,增益!$A:$A,增益!$G:$G,0))</f>
        <v>0.09</v>
      </c>
      <c r="AR71" s="27" cm="1">
        <f t="array" ref="AR71">VLOOKUP($Q71,武学奇术!$A:$ZZ,8,FALSE)+SUM(_xlfn.XLOOKUP(R71:AF71,增益!$A:$A,增益!$H:$H,0))</f>
        <v>0</v>
      </c>
      <c r="AS71">
        <f t="shared" si="23"/>
        <v>0</v>
      </c>
      <c r="AT71">
        <f t="shared" si="24"/>
        <v>0</v>
      </c>
      <c r="AU71" s="33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-0.14</v>
      </c>
      <c r="AV71" s="33" cm="1">
        <f t="array" ref="AV71">$G$11+VLOOKUP($Q71,武学奇术!$A:$ZZ,10,FALSE)+SUM(_xlfn.XLOOKUP(R71:AF71,增益!$A:$A,增益!$J:$J,0))</f>
        <v>0</v>
      </c>
      <c r="AW71">
        <f t="shared" si="25"/>
        <v>0</v>
      </c>
      <c r="AX71">
        <f t="shared" si="26"/>
        <v>0</v>
      </c>
      <c r="AY71" s="33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-0.14</v>
      </c>
      <c r="AZ71" s="33" cm="1">
        <f t="array" ref="AZ71">$G$12+VLOOKUP($Q71,武学奇术!$A:$ZZ,12,FALSE)+SUM(_xlfn.XLOOKUP(R71:AF71,增益!$A:$A,增益!$L:$L,0))</f>
        <v>0</v>
      </c>
      <c r="BA71">
        <f t="shared" si="27"/>
        <v>0</v>
      </c>
      <c r="BB71">
        <f t="shared" si="28"/>
        <v>0</v>
      </c>
      <c r="BC71" s="33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-0.14</v>
      </c>
      <c r="BD71" s="33" cm="1">
        <f t="array" ref="BD71">$G$13+VLOOKUP($Q71,武学奇术!$A:$ZZ,14,FALSE)+SUM(_xlfn.XLOOKUP(R71:AF71,增益!$A:$A,增益!$N:$N,0))</f>
        <v>0</v>
      </c>
      <c r="BE71">
        <f t="shared" si="29"/>
        <v>570.28</v>
      </c>
      <c r="BF71">
        <f t="shared" si="30"/>
        <v>1582.156</v>
      </c>
      <c r="BG71" s="33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0.08</v>
      </c>
      <c r="BH71" s="33" cm="1">
        <f t="array" ref="BH71">$G$14+VLOOKUP($Q71,武学奇术!$A:$ZZ,16,FALSE)+SUM(_xlfn.XLOOKUP(R71:AF71,增益!$A:$A,增益!$P:$P,0))</f>
        <v>0.24</v>
      </c>
      <c r="BI71" s="27">
        <f>MIN(IF(VLOOKUP($Q71,武学奇术!$A:$ZZ,23,FALSE)=1,100%,$B$8),100%)</f>
        <v>1</v>
      </c>
      <c r="BJ71" s="27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+MIN(IF(VLOOKUP($Q71,武学奇术!$A:$ZZ,32,FALSE)=1,IF(VLOOKUP($Q71,武学奇术!$A:$ZZ,24,FALSE)=1,100%,MIN(40%,$B$10+VLOOKUP($Q71,武学奇术!$A:$ZZ,19,FALSE)+SUM(_xlfn.XLOOKUP(R71:AF71,增益!$A:$A,增益!$S:$S,0)))+$B$12+SUM(_xlfn.XLOOKUP(R71:AF71,增益!$A:$A,增益!$V:$V,0))),0),12%)</f>
        <v>0.918</v>
      </c>
      <c r="BK71" s="27" cm="1">
        <f t="array" ref="BK71">1+$B$13+VLOOKUP($Q71,武学奇术!$A:$ZZ,18,FALSE)+SUM(_xlfn.XLOOKUP(R71:AF71,增益!$A:$A,增益!$R:$R,0))</f>
        <v>1.64</v>
      </c>
      <c r="BL71" s="27" cm="1">
        <f t="array" ref="BL71">MAX(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-IF(VLOOKUP($Q71,武学奇术!$A:$ZZ,32,FALSE)=1,12%,0),0)</f>
        <v>0.0895</v>
      </c>
      <c r="BM71" s="27" cm="1">
        <f t="array" ref="BM71">1+$B$14+VLOOKUP($Q71,武学奇术!$A:$ZZ,20,FALSE)+SUM(_xlfn.XLOOKUP(R71:AF71,增益!$A:$A,增益!$T:$T,0))</f>
        <v>1.35</v>
      </c>
      <c r="BN71" s="27">
        <f t="shared" si="31"/>
        <v>0.9105</v>
      </c>
      <c r="BO71" s="27">
        <f t="shared" si="32"/>
        <v>0</v>
      </c>
      <c r="BP71" s="27">
        <f>IF(VLOOKUP($Q71,武学奇术!$A:$ZZ,22,FALSE)=1,0,(1-$BI71))*(1-$BL71)</f>
        <v>0</v>
      </c>
      <c r="BQ71" s="27" cm="1">
        <f t="array" ref="BQ71">SUM(_xlfn.XLOOKUP(R71:AF71,增益!$A:$A,增益!$W:$W,0))+$I$5</f>
        <v>0.11</v>
      </c>
    </row>
    <row r="72" spans="1:69">
      <c r="A72" t="s">
        <v>180</v>
      </c>
      <c r="B72">
        <v>0.5</v>
      </c>
      <c r="F72" s="40"/>
      <c r="K72" s="39">
        <f t="shared" si="22"/>
        <v>62317.630655834</v>
      </c>
      <c r="L72" s="39">
        <f>((($AN72+($AO72-$AN72)*IF(VLOOKUP($Q72,武学奇术!$A:$ZZ,31,FALSE)=1,$F$18,0.5))*$AH72+$AI72)*(1+$AP72)*(1+$AQ72)+(($AS72+($AT72-$AS72)*IF(VLOOKUP($Q72,武学奇术!$A:$ZZ,31,FALSE)=1,$F$18,0.5))*IF($G$1="鸣金",$AJ72,$AH72)+IF($G$1="鸣金",$AK72*1.5,0))*(1+$AU72)*(1+$AV72)+(($AW72+($AX72-$AW72)*IF(VLOOKUP($Q72,武学奇术!$A:$ZZ,31,FALSE)=1,$F$18,0.5))*IF($G$1="裂石",$AJ72,$AH72)+IF($G$1="裂石",$AK72*1.5,0))*(1+$AY72)*(1+$AZ72)+(($BA72+($BB72-$BA72)*IF(VLOOKUP($Q72,武学奇术!$A:$ZZ,31,FALSE)=1,$F$18,0.5))*IF($G$1="牵丝",$AJ72,$AH72)+IF($G$1="牵丝",$AK72*1.5,0))*(1+$BC72)*(1+$BD72)+(($BE72+($BF72-$BE72)*IF(VLOOKUP($Q72,武学奇术!$A:$ZZ,31,FALSE)=1,$F$18,0.5))*IF($G$1="破竹",$AJ72,$AH72)+IF($G$1="破竹",$AK72*1.5,0))*(1+$BG72)*(1+$BH72))*(1+$AL72)*$BK72*$P72*(1+IF(VLOOKUP($Q72,武学奇术!$A:$ZZ,30,FALSE)="蓄力技",$B$21,0))*(1+$BQ72)</f>
        <v>63517.2260618137</v>
      </c>
      <c r="M72" s="39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50113.9254363419</v>
      </c>
      <c r="N72" s="39">
        <f>((($AN72+($AO72-$AN72)*IF(VLOOKUP($Q72,武学奇术!$A:$ZZ,31,FALSE)=1,$F$18,0.5))*$AH72+$AI72)*(1+$AP72)*(1+$AQ72)+(($AS72+($AT72-$AS72)*IF(VLOOKUP($Q72,武学奇术!$A:$ZZ,31,FALSE)=1,$F$18,0.5))*IF($G$1="鸣金",$AJ72,$AH72)+IF($G$1="鸣金",$AK72*1.5,0))*(1+$AU72)*(1+$AV72)+(($AW72+($AX72-$AW72)*IF(VLOOKUP($Q72,武学奇术!$A:$ZZ,31,FALSE)=1,$F$18,0.5))*IF($G$1="裂石",$AJ72,$AH72)+IF($G$1="裂石",$AK72*1.5,0))*(1+$AY72)*(1+$AZ72)+(($BA72+($BB72-$BA72)*IF(VLOOKUP($Q72,武学奇术!$A:$ZZ,31,FALSE)=1,$F$18,0.5))*IF($G$1="牵丝",$AJ72,$AH72)+IF($G$1="牵丝",$AK72*1.5,0))*(1+$BC72)*(1+$BD72)+(($BE72+($BF72-$BE72)*IF(VLOOKUP($Q72,武学奇术!$A:$ZZ,31,FALSE)=1,$F$18,0.5))*IF($G$1="破竹",$AJ72,$AH72)+IF($G$1="破竹",$AK72*1.5,0))*(1+$BG72)*(1+$BH72))*(1+$AL72)*$P72*(1+IF(VLOOKUP($Q72,武学奇术!$A:$ZZ,30,FALSE)="蓄力技",$B$21,0))*(1+$BQ72)</f>
        <v>32740.8381761926</v>
      </c>
      <c r="O72" s="39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28360.2501032431</v>
      </c>
      <c r="P72" s="40">
        <v>1</v>
      </c>
      <c r="Q72" s="41" t="s">
        <v>100</v>
      </c>
      <c r="R72" s="41" t="s">
        <v>93</v>
      </c>
      <c r="S72" s="41" t="s">
        <v>72</v>
      </c>
      <c r="T72" s="41" t="s">
        <v>72</v>
      </c>
      <c r="U72" s="41" t="s">
        <v>72</v>
      </c>
      <c r="V72" s="41" t="s">
        <v>72</v>
      </c>
      <c r="W72" s="41" t="s">
        <v>72</v>
      </c>
      <c r="X72" s="41" t="s">
        <v>165</v>
      </c>
      <c r="Y72" s="41" t="s">
        <v>81</v>
      </c>
      <c r="Z72" s="41" t="s">
        <v>101</v>
      </c>
      <c r="AA72" s="41" t="s">
        <v>72</v>
      </c>
      <c r="AB72" s="41" t="s">
        <v>72</v>
      </c>
      <c r="AC72" s="41" t="s">
        <v>72</v>
      </c>
      <c r="AD72" s="41" t="s">
        <v>72</v>
      </c>
      <c r="AE72" s="41" t="s">
        <v>75</v>
      </c>
      <c r="AF72" s="41" t="s">
        <v>76</v>
      </c>
      <c r="AG72" t="str">
        <f>VLOOKUP($Q72,武学奇术!$A:$ZZ,25,FALSE)</f>
        <v>绳镖</v>
      </c>
      <c r="AH72" s="27">
        <f>VLOOKUP($Q72,武学奇术!$A:$ZZ,26,FALSE)</f>
        <v>2.33376</v>
      </c>
      <c r="AI72" s="28">
        <f>VLOOKUP($Q72,武学奇术!$A:$ZZ,27,FALSE)*(1+IF(OR($AG72=$F$4,$AG72=$F$5),$B$22,0))</f>
        <v>0</v>
      </c>
      <c r="AJ72" s="27">
        <f>VLOOKUP($Q72,武学奇术!$A:$ZZ,28,FALSE)</f>
        <v>3.50064</v>
      </c>
      <c r="AK72" s="28">
        <f>VLOOKUP($Q72,武学奇术!$A:$ZZ,29,FALSE)*(1+IF(OR($AG72=$F$4,$AG72=$F$5),$B$22,0))</f>
        <v>0</v>
      </c>
      <c r="AL72" s="27" cm="1">
        <f t="array" ref="AL72">$G$3+IFERROR(VLOOKUP($AG72,$F$4:$G$7,2,FALSE),0)+VLOOKUP($Q72,武学奇术!$A:$ZZ,2,FALSE)+SUM(_xlfn.XLOOKUP($R72:$AF72,增益!$A:$A,增益!$B:$B,0))</f>
        <v>0.6189</v>
      </c>
      <c r="AM72" s="27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3804.006</v>
      </c>
      <c r="AO72" cm="1">
        <f t="array" ref="AO72">$E$10*(1+$AM72)+VLOOKUP($Q72,武学奇术!$A:$ZZ,4,FALSE)+SUM(_xlfn.XLOOKUP($R72:$AF72,增益!$A:$A,增益!$D:$D,0))-$I$2</f>
        <v>3804.006</v>
      </c>
      <c r="AP72" s="33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0.347</v>
      </c>
      <c r="AQ72" s="33" cm="1">
        <f t="array" ref="AQ72">$G$10+VLOOKUP($Q72,武学奇术!$A:$ZZ,7,FALSE)+SUM(_xlfn.XLOOKUP(R72:AF72,增益!$A:$A,增益!$G:$G,0))</f>
        <v>0.09</v>
      </c>
      <c r="AR72" s="27" cm="1">
        <f t="array" ref="AR72">VLOOKUP($Q72,武学奇术!$A:$ZZ,8,FALSE)+SUM(_xlfn.XLOOKUP(R72:AF72,增益!$A:$A,增益!$H:$H,0))</f>
        <v>0</v>
      </c>
      <c r="AS72">
        <f t="shared" si="23"/>
        <v>0</v>
      </c>
      <c r="AT72">
        <f t="shared" si="24"/>
        <v>0</v>
      </c>
      <c r="AU72" s="33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-0.08</v>
      </c>
      <c r="AV72" s="33" cm="1">
        <f t="array" ref="AV72">$G$11+VLOOKUP($Q72,武学奇术!$A:$ZZ,10,FALSE)+SUM(_xlfn.XLOOKUP(R72:AF72,增益!$A:$A,增益!$J:$J,0))</f>
        <v>0</v>
      </c>
      <c r="AW72">
        <f t="shared" si="25"/>
        <v>0</v>
      </c>
      <c r="AX72">
        <f t="shared" si="26"/>
        <v>0</v>
      </c>
      <c r="AY72" s="33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-0.08</v>
      </c>
      <c r="AZ72" s="33" cm="1">
        <f t="array" ref="AZ72">$G$12+VLOOKUP($Q72,武学奇术!$A:$ZZ,12,FALSE)+SUM(_xlfn.XLOOKUP(R72:AF72,增益!$A:$A,增益!$L:$L,0))</f>
        <v>0</v>
      </c>
      <c r="BA72">
        <f t="shared" si="27"/>
        <v>0</v>
      </c>
      <c r="BB72">
        <f t="shared" si="28"/>
        <v>0</v>
      </c>
      <c r="BC72" s="33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-0.08</v>
      </c>
      <c r="BD72" s="33" cm="1">
        <f t="array" ref="BD72">$G$13+VLOOKUP($Q72,武学奇术!$A:$ZZ,14,FALSE)+SUM(_xlfn.XLOOKUP(R72:AF72,增益!$A:$A,增益!$N:$N,0))</f>
        <v>0</v>
      </c>
      <c r="BE72">
        <f t="shared" si="29"/>
        <v>570.28</v>
      </c>
      <c r="BF72">
        <f t="shared" si="30"/>
        <v>1582.156</v>
      </c>
      <c r="BG72" s="33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0.11</v>
      </c>
      <c r="BH72" s="33" cm="1">
        <f t="array" ref="BH72">$G$14+VLOOKUP($Q72,武学奇术!$A:$ZZ,16,FALSE)+SUM(_xlfn.XLOOKUP(R72:AF72,增益!$A:$A,增益!$P:$P,0))</f>
        <v>0.24</v>
      </c>
      <c r="BI72" s="27">
        <f>MIN(IF(VLOOKUP($Q72,武学奇术!$A:$ZZ,23,FALSE)=1,100%,$B$8),100%)</f>
        <v>1</v>
      </c>
      <c r="BJ72" s="27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+MIN(IF(VLOOKUP($Q72,武学奇术!$A:$ZZ,32,FALSE)=1,IF(VLOOKUP($Q72,武学奇术!$A:$ZZ,24,FALSE)=1,100%,MIN(40%,$B$10+VLOOKUP($Q72,武学奇术!$A:$ZZ,19,FALSE)+SUM(_xlfn.XLOOKUP(R72:AF72,增益!$A:$A,增益!$S:$S,0)))+$B$12+SUM(_xlfn.XLOOKUP(R72:AF72,增益!$A:$A,增益!$V:$V,0))),0),12%)</f>
        <v>0.918</v>
      </c>
      <c r="BK72" s="27" cm="1">
        <f t="array" ref="BK72">1+$B$13+VLOOKUP($Q72,武学奇术!$A:$ZZ,18,FALSE)+SUM(_xlfn.XLOOKUP(R72:AF72,增益!$A:$A,增益!$R:$R,0))</f>
        <v>1.94</v>
      </c>
      <c r="BL72" s="27" cm="1">
        <f t="array" ref="BL72">MAX(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-IF(VLOOKUP($Q72,武学奇术!$A:$ZZ,32,FALSE)=1,12%,0),0)</f>
        <v>0.0895</v>
      </c>
      <c r="BM72" s="27" cm="1">
        <f t="array" ref="BM72">1+$B$14+VLOOKUP($Q72,武学奇术!$A:$ZZ,20,FALSE)+SUM(_xlfn.XLOOKUP(R72:AF72,增益!$A:$A,增益!$T:$T,0))</f>
        <v>1.35</v>
      </c>
      <c r="BN72" s="27">
        <f t="shared" si="31"/>
        <v>0.9105</v>
      </c>
      <c r="BO72" s="27">
        <f t="shared" si="32"/>
        <v>0</v>
      </c>
      <c r="BP72" s="27">
        <f>IF(VLOOKUP($Q72,武学奇术!$A:$ZZ,22,FALSE)=1,0,(1-$BI72))*(1-$BL72)</f>
        <v>0</v>
      </c>
      <c r="BQ72" s="27" cm="1">
        <f t="array" ref="BQ72">SUM(_xlfn.XLOOKUP(R72:AF72,增益!$A:$A,增益!$W:$W,0))+$I$5</f>
        <v>0.11</v>
      </c>
    </row>
    <row r="73" spans="1:69">
      <c r="A73" s="4" t="s">
        <v>166</v>
      </c>
      <c r="B73" s="91">
        <v>1.16</v>
      </c>
      <c r="D73" s="40" t="s">
        <v>181</v>
      </c>
      <c r="K73" s="39">
        <f t="shared" si="22"/>
        <v>25648.9535911696</v>
      </c>
      <c r="L73" s="39">
        <f>((($AN73+($AO73-$AN73)*IF(VLOOKUP($Q73,武学奇术!$A:$ZZ,31,FALSE)=1,$F$18,0.5))*$AH73+$AI73)*(1+$AP73)*(1+$AQ73)+(($AS73+($AT73-$AS73)*IF(VLOOKUP($Q73,武学奇术!$A:$ZZ,31,FALSE)=1,$F$18,0.5))*IF($G$1="鸣金",$AJ73,$AH73)+IF($G$1="鸣金",$AK73*1.5,0))*(1+$AU73)*(1+$AV73)+(($AW73+($AX73-$AW73)*IF(VLOOKUP($Q73,武学奇术!$A:$ZZ,31,FALSE)=1,$F$18,0.5))*IF($G$1="裂石",$AJ73,$AH73)+IF($G$1="裂石",$AK73*1.5,0))*(1+$AY73)*(1+$AZ73)+(($BA73+($BB73-$BA73)*IF(VLOOKUP($Q73,武学奇术!$A:$ZZ,31,FALSE)=1,$F$18,0.5))*IF($G$1="牵丝",$AJ73,$AH73)+IF($G$1="牵丝",$AK73*1.5,0))*(1+$BC73)*(1+$BD73)+(($BE73+($BF73-$BE73)*IF(VLOOKUP($Q73,武学奇术!$A:$ZZ,31,FALSE)=1,$F$18,0.5))*IF($G$1="破竹",$AJ73,$AH73)+IF($G$1="破竹",$AK73*1.5,0))*(1+$BG73)*(1+$BH73))*(1+$AL73)*$BK73*$P73*(1+IF(VLOOKUP($Q73,武学奇术!$A:$ZZ,30,FALSE)="蓄力技",$B$21,0))*(1+$BQ73)</f>
        <v>25833.0157823011</v>
      </c>
      <c r="M73" s="39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23776.4549875358</v>
      </c>
      <c r="N73" s="39">
        <f>((($AN73+($AO73-$AN73)*IF(VLOOKUP($Q73,武学奇术!$A:$ZZ,31,FALSE)=1,$F$18,0.5))*$AH73+$AI73)*(1+$AP73)*(1+$AQ73)+(($AS73+($AT73-$AS73)*IF(VLOOKUP($Q73,武学奇术!$A:$ZZ,31,FALSE)=1,$F$18,0.5))*IF($G$1="鸣金",$AJ73,$AH73)+IF($G$1="鸣金",$AK73*1.5,0))*(1+$AU73)*(1+$AV73)+(($AW73+($AX73-$AW73)*IF(VLOOKUP($Q73,武学奇术!$A:$ZZ,31,FALSE)=1,$F$18,0.5))*IF($G$1="裂石",$AJ73,$AH73)+IF($G$1="裂石",$AK73*1.5,0))*(1+$AY73)*(1+$AZ73)+(($BA73+($BB73-$BA73)*IF(VLOOKUP($Q73,武学奇术!$A:$ZZ,31,FALSE)=1,$F$18,0.5))*IF($G$1="牵丝",$AJ73,$AH73)+IF($G$1="牵丝",$AK73*1.5,0))*(1+$BC73)*(1+$BD73)+(($BE73+($BF73-$BE73)*IF(VLOOKUP($Q73,武学奇术!$A:$ZZ,31,FALSE)=1,$F$18,0.5))*IF($G$1="破竹",$AJ73,$AH73)+IF($G$1="破竹",$AK73*1.5,0))*(1+$BG73)*(1+$BH73))*(1+$AL73)*$P73*(1+IF(VLOOKUP($Q73,武学奇术!$A:$ZZ,30,FALSE)="蓄力技",$B$21,0))*(1+$BQ73)</f>
        <v>15751.838891647</v>
      </c>
      <c r="O73" s="39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13891.4889036378</v>
      </c>
      <c r="P73" s="40">
        <v>1</v>
      </c>
      <c r="Q73" s="41" t="s">
        <v>148</v>
      </c>
      <c r="R73" s="41" t="s">
        <v>93</v>
      </c>
      <c r="S73" s="41" t="s">
        <v>72</v>
      </c>
      <c r="T73" s="41" t="s">
        <v>72</v>
      </c>
      <c r="U73" s="41" t="s">
        <v>72</v>
      </c>
      <c r="V73" s="41" t="s">
        <v>72</v>
      </c>
      <c r="W73" s="41" t="s">
        <v>72</v>
      </c>
      <c r="X73" s="41" t="s">
        <v>165</v>
      </c>
      <c r="Y73" s="41" t="s">
        <v>81</v>
      </c>
      <c r="Z73" s="41" t="s">
        <v>72</v>
      </c>
      <c r="AA73" s="41" t="s">
        <v>72</v>
      </c>
      <c r="AB73" s="41" t="s">
        <v>72</v>
      </c>
      <c r="AC73" s="41" t="s">
        <v>72</v>
      </c>
      <c r="AD73" s="41" t="s">
        <v>72</v>
      </c>
      <c r="AE73" s="41" t="s">
        <v>75</v>
      </c>
      <c r="AF73" s="41" t="s">
        <v>76</v>
      </c>
      <c r="AG73" t="str">
        <f>VLOOKUP($Q73,武学奇术!$A:$ZZ,25,FALSE)</f>
        <v>绳镖</v>
      </c>
      <c r="AH73" s="27">
        <f>VLOOKUP($Q73,武学奇术!$A:$ZZ,26,FALSE)</f>
        <v>1.2503</v>
      </c>
      <c r="AI73" s="28">
        <f>VLOOKUP($Q73,武学奇术!$A:$ZZ,27,FALSE)*(1+IF(OR($AG73=$F$4,$AG73=$F$5),$B$22,0))</f>
        <v>485.8</v>
      </c>
      <c r="AJ73" s="27">
        <f>VLOOKUP($Q73,武学奇术!$A:$ZZ,28,FALSE)</f>
        <v>1.8755</v>
      </c>
      <c r="AK73" s="28">
        <f>VLOOKUP($Q73,武学奇术!$A:$ZZ,29,FALSE)*(1+IF(OR($AG73=$F$4,$AG73=$F$5),$B$22,0))</f>
        <v>264.6</v>
      </c>
      <c r="AL73" s="27" cm="1">
        <f t="array" ref="AL73">$G$3+IFERROR(VLOOKUP($AG73,$F$4:$G$7,2,FALSE),0)+VLOOKUP($Q73,武学奇术!$A:$ZZ,2,FALSE)+SUM(_xlfn.XLOOKUP($R73:$AF73,增益!$A:$A,增益!$B:$B,0))</f>
        <v>0.3189</v>
      </c>
      <c r="AM73" s="27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3804.006</v>
      </c>
      <c r="AO73" cm="1">
        <f t="array" ref="AO73">$E$10*(1+$AM73)+VLOOKUP($Q73,武学奇术!$A:$ZZ,4,FALSE)+SUM(_xlfn.XLOOKUP($R73:$AF73,增益!$A:$A,增益!$D:$D,0))-$I$2</f>
        <v>3804.006</v>
      </c>
      <c r="AP73" s="33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0.317</v>
      </c>
      <c r="AQ73" s="33" cm="1">
        <f t="array" ref="AQ73">$G$10+VLOOKUP($Q73,武学奇术!$A:$ZZ,7,FALSE)+SUM(_xlfn.XLOOKUP(R73:AF73,增益!$A:$A,增益!$G:$G,0))</f>
        <v>0.09</v>
      </c>
      <c r="AR73" s="27" cm="1">
        <f t="array" ref="AR73">VLOOKUP($Q73,武学奇术!$A:$ZZ,8,FALSE)+SUM(_xlfn.XLOOKUP(R73:AF73,增益!$A:$A,增益!$H:$H,0))</f>
        <v>0</v>
      </c>
      <c r="AS73">
        <f t="shared" si="23"/>
        <v>0</v>
      </c>
      <c r="AT73">
        <f t="shared" si="24"/>
        <v>0</v>
      </c>
      <c r="AU73" s="33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-0.14</v>
      </c>
      <c r="AV73" s="33" cm="1">
        <f t="array" ref="AV73">$G$11+VLOOKUP($Q73,武学奇术!$A:$ZZ,10,FALSE)+SUM(_xlfn.XLOOKUP(R73:AF73,增益!$A:$A,增益!$J:$J,0))</f>
        <v>0</v>
      </c>
      <c r="AW73">
        <f t="shared" si="25"/>
        <v>0</v>
      </c>
      <c r="AX73">
        <f t="shared" si="26"/>
        <v>0</v>
      </c>
      <c r="AY73" s="33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-0.14</v>
      </c>
      <c r="AZ73" s="33" cm="1">
        <f t="array" ref="AZ73">$G$12+VLOOKUP($Q73,武学奇术!$A:$ZZ,12,FALSE)+SUM(_xlfn.XLOOKUP(R73:AF73,增益!$A:$A,增益!$L:$L,0))</f>
        <v>0</v>
      </c>
      <c r="BA73">
        <f t="shared" si="27"/>
        <v>0</v>
      </c>
      <c r="BB73">
        <f t="shared" si="28"/>
        <v>0</v>
      </c>
      <c r="BC73" s="33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-0.14</v>
      </c>
      <c r="BD73" s="33" cm="1">
        <f t="array" ref="BD73">$G$13+VLOOKUP($Q73,武学奇术!$A:$ZZ,14,FALSE)+SUM(_xlfn.XLOOKUP(R73:AF73,增益!$A:$A,增益!$N:$N,0))</f>
        <v>0</v>
      </c>
      <c r="BE73">
        <f t="shared" si="29"/>
        <v>570.28</v>
      </c>
      <c r="BF73">
        <f t="shared" si="30"/>
        <v>1582.156</v>
      </c>
      <c r="BG73" s="33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0.08</v>
      </c>
      <c r="BH73" s="33" cm="1">
        <f t="array" ref="BH73">$G$14+VLOOKUP($Q73,武学奇术!$A:$ZZ,16,FALSE)+SUM(_xlfn.XLOOKUP(R73:AF73,增益!$A:$A,增益!$P:$P,0))</f>
        <v>0.24</v>
      </c>
      <c r="BI73" s="27">
        <f>MIN(IF(VLOOKUP($Q73,武学奇术!$A:$ZZ,23,FALSE)=1,100%,$B$8),100%)</f>
        <v>1</v>
      </c>
      <c r="BJ73" s="27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+MIN(IF(VLOOKUP($Q73,武学奇术!$A:$ZZ,32,FALSE)=1,IF(VLOOKUP($Q73,武学奇术!$A:$ZZ,24,FALSE)=1,100%,MIN(40%,$B$10+VLOOKUP($Q73,武学奇术!$A:$ZZ,19,FALSE)+SUM(_xlfn.XLOOKUP(R73:AF73,增益!$A:$A,增益!$S:$S,0)))+$B$12+SUM(_xlfn.XLOOKUP(R73:AF73,增益!$A:$A,增益!$V:$V,0))),0),12%)</f>
        <v>0.918</v>
      </c>
      <c r="BK73" s="27" cm="1">
        <f t="array" ref="BK73">1+$B$13+VLOOKUP($Q73,武学奇术!$A:$ZZ,18,FALSE)+SUM(_xlfn.XLOOKUP(R73:AF73,增益!$A:$A,增益!$R:$R,0))</f>
        <v>1.64</v>
      </c>
      <c r="BL73" s="27" cm="1">
        <f t="array" ref="BL73">MAX(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-IF(VLOOKUP($Q73,武学奇术!$A:$ZZ,32,FALSE)=1,12%,0),0)</f>
        <v>0.0895</v>
      </c>
      <c r="BM73" s="27" cm="1">
        <f t="array" ref="BM73">1+$B$14+VLOOKUP($Q73,武学奇术!$A:$ZZ,20,FALSE)+SUM(_xlfn.XLOOKUP(R73:AF73,增益!$A:$A,增益!$T:$T,0))</f>
        <v>1.35</v>
      </c>
      <c r="BN73" s="27">
        <f t="shared" si="31"/>
        <v>0.9105</v>
      </c>
      <c r="BO73" s="27">
        <f t="shared" si="32"/>
        <v>0</v>
      </c>
      <c r="BP73" s="27">
        <f>IF(VLOOKUP($Q73,武学奇术!$A:$ZZ,22,FALSE)=1,0,(1-$BI73))*(1-$BL73)</f>
        <v>0</v>
      </c>
      <c r="BQ73" s="27" cm="1">
        <f t="array" ref="BQ73">SUM(_xlfn.XLOOKUP(R73:AF73,增益!$A:$A,增益!$W:$W,0))+$I$5</f>
        <v>0.11</v>
      </c>
    </row>
    <row r="74" spans="1:69">
      <c r="A74" s="4" t="s">
        <v>168</v>
      </c>
      <c r="B74" s="4">
        <v>1</v>
      </c>
      <c r="D74" s="40"/>
      <c r="K74" s="39">
        <f t="shared" ref="K74:K136" si="33">($L74*$BN74+$M74*$BL74+$N74*$BO74+$O74*$BP74)</f>
        <v>51931.3588798617</v>
      </c>
      <c r="L74" s="39">
        <f>((($AN74+($AO74-$AN74)*IF(VLOOKUP($Q74,武学奇术!$A:$ZZ,31,FALSE)=1,$F$18,0.5))*$AH74+$AI74)*(1+$AP74)*(1+$AQ74)+(($AS74+($AT74-$AS74)*IF(VLOOKUP($Q74,武学奇术!$A:$ZZ,31,FALSE)=1,$F$18,0.5))*IF($G$1="鸣金",$AJ74,$AH74)+IF($G$1="鸣金",$AK74*1.5,0))*(1+$AU74)*(1+$AV74)+(($AW74+($AX74-$AW74)*IF(VLOOKUP($Q74,武学奇术!$A:$ZZ,31,FALSE)=1,$F$18,0.5))*IF($G$1="裂石",$AJ74,$AH74)+IF($G$1="裂石",$AK74*1.5,0))*(1+$AY74)*(1+$AZ74)+(($BA74+($BB74-$BA74)*IF(VLOOKUP($Q74,武学奇术!$A:$ZZ,31,FALSE)=1,$F$18,0.5))*IF($G$1="牵丝",$AJ74,$AH74)+IF($G$1="牵丝",$AK74*1.5,0))*(1+$BC74)*(1+$BD74)+(($BE74+($BF74-$BE74)*IF(VLOOKUP($Q74,武学奇术!$A:$ZZ,31,FALSE)=1,$F$18,0.5))*IF($G$1="破竹",$AJ74,$AH74)+IF($G$1="破竹",$AK74*1.5,0))*(1+$BG74)*(1+$BH74))*(1+$AL74)*$BK74*$P74*(1+IF(VLOOKUP($Q74,武学奇术!$A:$ZZ,30,FALSE)="蓄力技",$B$21,0))*(1+$BQ74)</f>
        <v>52931.0217181781</v>
      </c>
      <c r="M74" s="39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41761.6045302849</v>
      </c>
      <c r="N74" s="39">
        <f>((($AN74+($AO74-$AN74)*IF(VLOOKUP($Q74,武学奇术!$A:$ZZ,31,FALSE)=1,$F$18,0.5))*$AH74+$AI74)*(1+$AP74)*(1+$AQ74)+(($AS74+($AT74-$AS74)*IF(VLOOKUP($Q74,武学奇术!$A:$ZZ,31,FALSE)=1,$F$18,0.5))*IF($G$1="鸣金",$AJ74,$AH74)+IF($G$1="鸣金",$AK74*1.5,0))*(1+$AU74)*(1+$AV74)+(($AW74+($AX74-$AW74)*IF(VLOOKUP($Q74,武学奇术!$A:$ZZ,31,FALSE)=1,$F$18,0.5))*IF($G$1="裂石",$AJ74,$AH74)+IF($G$1="裂石",$AK74*1.5,0))*(1+$AY74)*(1+$AZ74)+(($BA74+($BB74-$BA74)*IF(VLOOKUP($Q74,武学奇术!$A:$ZZ,31,FALSE)=1,$F$18,0.5))*IF($G$1="牵丝",$AJ74,$AH74)+IF($G$1="牵丝",$AK74*1.5,0))*(1+$BC74)*(1+$BD74)+(($BE74+($BF74-$BE74)*IF(VLOOKUP($Q74,武学奇术!$A:$ZZ,31,FALSE)=1,$F$18,0.5))*IF($G$1="破竹",$AJ74,$AH74)+IF($G$1="破竹",$AK74*1.5,0))*(1+$BG74)*(1+$BH74))*(1+$AL74)*$P74*(1+IF(VLOOKUP($Q74,武学奇术!$A:$ZZ,30,FALSE)="蓄力技",$B$21,0))*(1+$BQ74)</f>
        <v>27284.0318134939</v>
      </c>
      <c r="O74" s="39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23633.5417527026</v>
      </c>
      <c r="P74" s="40">
        <v>1</v>
      </c>
      <c r="Q74" s="41" t="s">
        <v>149</v>
      </c>
      <c r="R74" s="41" t="s">
        <v>93</v>
      </c>
      <c r="S74" s="41" t="s">
        <v>72</v>
      </c>
      <c r="T74" s="41" t="s">
        <v>72</v>
      </c>
      <c r="U74" s="41" t="s">
        <v>72</v>
      </c>
      <c r="V74" s="41" t="s">
        <v>72</v>
      </c>
      <c r="W74" s="41" t="s">
        <v>72</v>
      </c>
      <c r="X74" s="41" t="s">
        <v>165</v>
      </c>
      <c r="Y74" s="41" t="s">
        <v>81</v>
      </c>
      <c r="Z74" s="41" t="s">
        <v>101</v>
      </c>
      <c r="AA74" s="41" t="s">
        <v>72</v>
      </c>
      <c r="AB74" s="41" t="s">
        <v>72</v>
      </c>
      <c r="AC74" s="41" t="s">
        <v>72</v>
      </c>
      <c r="AD74" s="41" t="s">
        <v>72</v>
      </c>
      <c r="AE74" s="41" t="s">
        <v>75</v>
      </c>
      <c r="AF74" s="41" t="s">
        <v>76</v>
      </c>
      <c r="AG74" t="str">
        <f>VLOOKUP($Q74,武学奇术!$A:$ZZ,25,FALSE)</f>
        <v>绳镖</v>
      </c>
      <c r="AH74" s="27">
        <f>VLOOKUP($Q74,武学奇术!$A:$ZZ,26,FALSE)</f>
        <v>1.9448</v>
      </c>
      <c r="AI74" s="28">
        <f>VLOOKUP($Q74,武学奇术!$A:$ZZ,27,FALSE)*(1+IF(OR($AG74=$F$4,$AG74=$F$5),$B$22,0))</f>
        <v>0</v>
      </c>
      <c r="AJ74" s="27">
        <f>VLOOKUP($Q74,武学奇术!$A:$ZZ,28,FALSE)</f>
        <v>2.9172</v>
      </c>
      <c r="AK74" s="28">
        <f>VLOOKUP($Q74,武学奇术!$A:$ZZ,29,FALSE)*(1+IF(OR($AG74=$F$4,$AG74=$F$5),$B$22,0))</f>
        <v>0</v>
      </c>
      <c r="AL74" s="27" cm="1">
        <f t="array" ref="AL74">$G$3+IFERROR(VLOOKUP($AG74,$F$4:$G$7,2,FALSE),0)+VLOOKUP($Q74,武学奇术!$A:$ZZ,2,FALSE)+SUM(_xlfn.XLOOKUP($R74:$AF74,增益!$A:$A,增益!$B:$B,0))</f>
        <v>0.6189</v>
      </c>
      <c r="AM74" s="27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3804.006</v>
      </c>
      <c r="AO74" cm="1">
        <f t="array" ref="AO74">$E$10*(1+$AM74)+VLOOKUP($Q74,武学奇术!$A:$ZZ,4,FALSE)+SUM(_xlfn.XLOOKUP($R74:$AF74,增益!$A:$A,增益!$D:$D,0))-$I$2</f>
        <v>3804.006</v>
      </c>
      <c r="AP74" s="33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0.347</v>
      </c>
      <c r="AQ74" s="33" cm="1">
        <f t="array" ref="AQ74">$G$10+VLOOKUP($Q74,武学奇术!$A:$ZZ,7,FALSE)+SUM(_xlfn.XLOOKUP(R74:AF74,增益!$A:$A,增益!$G:$G,0))</f>
        <v>0.09</v>
      </c>
      <c r="AR74" s="27" cm="1">
        <f t="array" ref="AR74">VLOOKUP($Q74,武学奇术!$A:$ZZ,8,FALSE)+SUM(_xlfn.XLOOKUP(R74:AF74,增益!$A:$A,增益!$H:$H,0))</f>
        <v>0</v>
      </c>
      <c r="AS74">
        <f t="shared" ref="AS74:AS136" si="34">$D$11*(1+$AR74)</f>
        <v>0</v>
      </c>
      <c r="AT74">
        <f t="shared" ref="AT74:AT136" si="35">$E$11*(1+$AR74)</f>
        <v>0</v>
      </c>
      <c r="AU74" s="33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-0.08</v>
      </c>
      <c r="AV74" s="33" cm="1">
        <f t="array" ref="AV74">$G$11+VLOOKUP($Q74,武学奇术!$A:$ZZ,10,FALSE)+SUM(_xlfn.XLOOKUP(R74:AF74,增益!$A:$A,增益!$J:$J,0))</f>
        <v>0</v>
      </c>
      <c r="AW74">
        <f t="shared" ref="AW74:AW136" si="36">$D$12*(1+$AR74)</f>
        <v>0</v>
      </c>
      <c r="AX74">
        <f t="shared" ref="AX74:AX136" si="37">$E$12*(1+$AR74)</f>
        <v>0</v>
      </c>
      <c r="AY74" s="33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-0.08</v>
      </c>
      <c r="AZ74" s="33" cm="1">
        <f t="array" ref="AZ74">$G$12+VLOOKUP($Q74,武学奇术!$A:$ZZ,12,FALSE)+SUM(_xlfn.XLOOKUP(R74:AF74,增益!$A:$A,增益!$L:$L,0))</f>
        <v>0</v>
      </c>
      <c r="BA74">
        <f t="shared" ref="BA74:BA136" si="38">$D$13*(1+$AR74)</f>
        <v>0</v>
      </c>
      <c r="BB74">
        <f t="shared" ref="BB74:BB136" si="39">$E$13*(1+$AR74)</f>
        <v>0</v>
      </c>
      <c r="BC74" s="33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-0.08</v>
      </c>
      <c r="BD74" s="33" cm="1">
        <f t="array" ref="BD74">$G$13+VLOOKUP($Q74,武学奇术!$A:$ZZ,14,FALSE)+SUM(_xlfn.XLOOKUP(R74:AF74,增益!$A:$A,增益!$N:$N,0))</f>
        <v>0</v>
      </c>
      <c r="BE74">
        <f t="shared" ref="BE74:BE136" si="40">$D$14*(1+$AR74)</f>
        <v>570.28</v>
      </c>
      <c r="BF74">
        <f t="shared" ref="BF74:BF136" si="41">$E$14*(1+$AR74)</f>
        <v>1582.156</v>
      </c>
      <c r="BG74" s="33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0.11</v>
      </c>
      <c r="BH74" s="33" cm="1">
        <f t="array" ref="BH74">$G$14+VLOOKUP($Q74,武学奇术!$A:$ZZ,16,FALSE)+SUM(_xlfn.XLOOKUP(R74:AF74,增益!$A:$A,增益!$P:$P,0))</f>
        <v>0.24</v>
      </c>
      <c r="BI74" s="27">
        <f>MIN(IF(VLOOKUP($Q74,武学奇术!$A:$ZZ,23,FALSE)=1,100%,$B$8),100%)</f>
        <v>1</v>
      </c>
      <c r="BJ74" s="27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+MIN(IF(VLOOKUP($Q74,武学奇术!$A:$ZZ,32,FALSE)=1,IF(VLOOKUP($Q74,武学奇术!$A:$ZZ,24,FALSE)=1,100%,MIN(40%,$B$10+VLOOKUP($Q74,武学奇术!$A:$ZZ,19,FALSE)+SUM(_xlfn.XLOOKUP(R74:AF74,增益!$A:$A,增益!$S:$S,0)))+$B$12+SUM(_xlfn.XLOOKUP(R74:AF74,增益!$A:$A,增益!$V:$V,0))),0),12%)</f>
        <v>0.918</v>
      </c>
      <c r="BK74" s="27" cm="1">
        <f t="array" ref="BK74">1+$B$13+VLOOKUP($Q74,武学奇术!$A:$ZZ,18,FALSE)+SUM(_xlfn.XLOOKUP(R74:AF74,增益!$A:$A,增益!$R:$R,0))</f>
        <v>1.94</v>
      </c>
      <c r="BL74" s="27" cm="1">
        <f t="array" ref="BL74">MAX(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-IF(VLOOKUP($Q74,武学奇术!$A:$ZZ,32,FALSE)=1,12%,0),0)</f>
        <v>0.0895</v>
      </c>
      <c r="BM74" s="27" cm="1">
        <f t="array" ref="BM74">1+$B$14+VLOOKUP($Q74,武学奇术!$A:$ZZ,20,FALSE)+SUM(_xlfn.XLOOKUP(R74:AF74,增益!$A:$A,增益!$T:$T,0))</f>
        <v>1.35</v>
      </c>
      <c r="BN74" s="27">
        <f t="shared" si="31"/>
        <v>0.9105</v>
      </c>
      <c r="BO74" s="27">
        <f t="shared" si="32"/>
        <v>0</v>
      </c>
      <c r="BP74" s="27">
        <f>IF(VLOOKUP($Q74,武学奇术!$A:$ZZ,22,FALSE)=1,0,(1-$BI74))*(1-$BL74)</f>
        <v>0</v>
      </c>
      <c r="BQ74" s="27" cm="1">
        <f t="array" ref="BQ74">SUM(_xlfn.XLOOKUP(R74:AF74,增益!$A:$A,增益!$W:$W,0))+$I$5</f>
        <v>0.11</v>
      </c>
    </row>
    <row r="75" spans="1:69">
      <c r="A75" s="4" t="s">
        <v>166</v>
      </c>
      <c r="B75" s="91">
        <v>1.16</v>
      </c>
      <c r="D75" s="40"/>
      <c r="K75" s="39">
        <f t="shared" si="33"/>
        <v>53298.3704205085</v>
      </c>
      <c r="L75" s="39">
        <f>((($AN75+($AO75-$AN75)*IF(VLOOKUP($Q75,武学奇术!$A:$ZZ,31,FALSE)=1,$F$18,0.5))*$AH75+$AI75)*(1+$AP75)*(1+$AQ75)+(($AS75+($AT75-$AS75)*IF(VLOOKUP($Q75,武学奇术!$A:$ZZ,31,FALSE)=1,$F$18,0.5))*IF($G$1="鸣金",$AJ75,$AH75)+IF($G$1="鸣金",$AK75*1.5,0))*(1+$AU75)*(1+$AV75)+(($AW75+($AX75-$AW75)*IF(VLOOKUP($Q75,武学奇术!$A:$ZZ,31,FALSE)=1,$F$18,0.5))*IF($G$1="裂石",$AJ75,$AH75)+IF($G$1="裂石",$AK75*1.5,0))*(1+$AY75)*(1+$AZ75)+(($BA75+($BB75-$BA75)*IF(VLOOKUP($Q75,武学奇术!$A:$ZZ,31,FALSE)=1,$F$18,0.5))*IF($G$1="牵丝",$AJ75,$AH75)+IF($G$1="牵丝",$AK75*1.5,0))*(1+$BC75)*(1+$BD75)+(($BE75+($BF75-$BE75)*IF(VLOOKUP($Q75,武学奇术!$A:$ZZ,31,FALSE)=1,$F$18,0.5))*IF($G$1="破竹",$AJ75,$AH75)+IF($G$1="破竹",$AK75*1.5,0))*(1+$BG75)*(1+$BH75))*(1+$AL75)*$BK75*$P75*(1+IF(VLOOKUP($Q75,武学奇术!$A:$ZZ,30,FALSE)="蓄力技",$B$21,0))*(1+$BQ75)</f>
        <v>53680.5125657916</v>
      </c>
      <c r="M75" s="39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49410.767925757</v>
      </c>
      <c r="N75" s="39">
        <f>((($AN75+($AO75-$AN75)*IF(VLOOKUP($Q75,武学奇术!$A:$ZZ,31,FALSE)=1,$F$18,0.5))*$AH75+$AI75)*(1+$AP75)*(1+$AQ75)+(($AS75+($AT75-$AS75)*IF(VLOOKUP($Q75,武学奇术!$A:$ZZ,31,FALSE)=1,$F$18,0.5))*IF($G$1="鸣金",$AJ75,$AH75)+IF($G$1="鸣金",$AK75*1.5,0))*(1+$AU75)*(1+$AV75)+(($AW75+($AX75-$AW75)*IF(VLOOKUP($Q75,武学奇术!$A:$ZZ,31,FALSE)=1,$F$18,0.5))*IF($G$1="裂石",$AJ75,$AH75)+IF($G$1="裂石",$AK75*1.5,0))*(1+$AY75)*(1+$AZ75)+(($BA75+($BB75-$BA75)*IF(VLOOKUP($Q75,武学奇术!$A:$ZZ,31,FALSE)=1,$F$18,0.5))*IF($G$1="牵丝",$AJ75,$AH75)+IF($G$1="牵丝",$AK75*1.5,0))*(1+$BC75)*(1+$BD75)+(($BE75+($BF75-$BE75)*IF(VLOOKUP($Q75,武学奇术!$A:$ZZ,31,FALSE)=1,$F$18,0.5))*IF($G$1="破竹",$AJ75,$AH75)+IF($G$1="破竹",$AK75*1.5,0))*(1+$BG75)*(1+$BH75))*(1+$AL75)*$P75*(1+IF(VLOOKUP($Q75,武学奇术!$A:$ZZ,30,FALSE)="蓄力技",$B$21,0))*(1+$BQ75)</f>
        <v>32732.01985719</v>
      </c>
      <c r="O75" s="39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28863.4708804859</v>
      </c>
      <c r="P75" s="40">
        <v>1</v>
      </c>
      <c r="Q75" s="41" t="s">
        <v>111</v>
      </c>
      <c r="R75" s="41" t="s">
        <v>93</v>
      </c>
      <c r="S75" s="41" t="s">
        <v>72</v>
      </c>
      <c r="T75" s="41" t="s">
        <v>72</v>
      </c>
      <c r="U75" s="41" t="s">
        <v>72</v>
      </c>
      <c r="V75" s="41" t="s">
        <v>72</v>
      </c>
      <c r="W75" s="41" t="s">
        <v>72</v>
      </c>
      <c r="X75" s="41" t="s">
        <v>165</v>
      </c>
      <c r="Y75" s="41" t="s">
        <v>81</v>
      </c>
      <c r="Z75" s="41" t="s">
        <v>72</v>
      </c>
      <c r="AA75" s="41" t="s">
        <v>72</v>
      </c>
      <c r="AB75" s="41" t="s">
        <v>72</v>
      </c>
      <c r="AC75" s="41" t="s">
        <v>72</v>
      </c>
      <c r="AD75" s="41" t="s">
        <v>72</v>
      </c>
      <c r="AE75" s="41" t="s">
        <v>75</v>
      </c>
      <c r="AF75" s="41" t="s">
        <v>76</v>
      </c>
      <c r="AG75" t="str">
        <f>VLOOKUP($Q75,武学奇术!$A:$ZZ,25,FALSE)</f>
        <v>拳甲</v>
      </c>
      <c r="AH75" s="27">
        <f>VLOOKUP($Q75,武学奇术!$A:$ZZ,26,FALSE)</f>
        <v>2.4421</v>
      </c>
      <c r="AI75" s="28">
        <f>VLOOKUP($Q75,武学奇术!$A:$ZZ,27,FALSE)*(1+IF(OR($AG75=$F$4,$AG75=$F$5),$B$22,0))</f>
        <v>945</v>
      </c>
      <c r="AJ75" s="27">
        <f>VLOOKUP($Q75,武学奇术!$A:$ZZ,28,FALSE)</f>
        <v>3.6634</v>
      </c>
      <c r="AK75" s="28">
        <f>VLOOKUP($Q75,武学奇术!$A:$ZZ,29,FALSE)*(1+IF(OR($AG75=$F$4,$AG75=$F$5),$B$22,0))</f>
        <v>512.4</v>
      </c>
      <c r="AL75" s="27" cm="1">
        <f t="array" ref="AL75">$G$3+IFERROR(VLOOKUP($AG75,$F$4:$G$7,2,FALSE),0)+VLOOKUP($Q75,武学奇术!$A:$ZZ,2,FALSE)+SUM(_xlfn.XLOOKUP($R75:$AF75,增益!$A:$A,增益!$B:$B,0))</f>
        <v>0.4041</v>
      </c>
      <c r="AM75" s="27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3804.006</v>
      </c>
      <c r="AO75" cm="1">
        <f t="array" ref="AO75">$E$10*(1+$AM75)+VLOOKUP($Q75,武学奇术!$A:$ZZ,4,FALSE)+SUM(_xlfn.XLOOKUP($R75:$AF75,增益!$A:$A,增益!$D:$D,0))-$I$2</f>
        <v>3804.006</v>
      </c>
      <c r="AP75" s="33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0.317</v>
      </c>
      <c r="AQ75" s="33" cm="1">
        <f t="array" ref="AQ75">$G$10+VLOOKUP($Q75,武学奇术!$A:$ZZ,7,FALSE)+SUM(_xlfn.XLOOKUP(R75:AF75,增益!$A:$A,增益!$G:$G,0))</f>
        <v>0.09</v>
      </c>
      <c r="AR75" s="27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3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-0.14</v>
      </c>
      <c r="AV75" s="33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33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-0.14</v>
      </c>
      <c r="AZ75" s="33" cm="1">
        <f t="array" ref="AZ75">$G$12+VLOOKUP($Q75,武学奇术!$A:$ZZ,12,FALSE)+SUM(_xlfn.XLOOKUP(R75:AF75,增益!$A:$A,增益!$L:$L,0))</f>
        <v>0</v>
      </c>
      <c r="BA75">
        <f t="shared" si="38"/>
        <v>0</v>
      </c>
      <c r="BB75">
        <f t="shared" si="39"/>
        <v>0</v>
      </c>
      <c r="BC75" s="33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-0.14</v>
      </c>
      <c r="BD75" s="33" cm="1">
        <f t="array" ref="BD75">$G$13+VLOOKUP($Q75,武学奇术!$A:$ZZ,14,FALSE)+SUM(_xlfn.XLOOKUP(R75:AF75,增益!$A:$A,增益!$N:$N,0))</f>
        <v>0</v>
      </c>
      <c r="BE75">
        <f t="shared" si="40"/>
        <v>570.28</v>
      </c>
      <c r="BF75">
        <f t="shared" si="41"/>
        <v>1582.156</v>
      </c>
      <c r="BG75" s="33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0.08</v>
      </c>
      <c r="BH75" s="33" cm="1">
        <f t="array" ref="BH75">$G$14+VLOOKUP($Q75,武学奇术!$A:$ZZ,16,FALSE)+SUM(_xlfn.XLOOKUP(R75:AF75,增益!$A:$A,增益!$P:$P,0))</f>
        <v>0.24</v>
      </c>
      <c r="BI75" s="27">
        <f>MIN(IF(VLOOKUP($Q75,武学奇术!$A:$ZZ,23,FALSE)=1,100%,$B$8),100%)</f>
        <v>1</v>
      </c>
      <c r="BJ75" s="27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+MIN(IF(VLOOKUP($Q75,武学奇术!$A:$ZZ,32,FALSE)=1,IF(VLOOKUP($Q75,武学奇术!$A:$ZZ,24,FALSE)=1,100%,MIN(40%,$B$10+VLOOKUP($Q75,武学奇术!$A:$ZZ,19,FALSE)+SUM(_xlfn.XLOOKUP(R75:AF75,增益!$A:$A,增益!$S:$S,0)))+$B$12+SUM(_xlfn.XLOOKUP(R75:AF75,增益!$A:$A,增益!$V:$V,0))),0),12%)</f>
        <v>0.918</v>
      </c>
      <c r="BK75" s="27" cm="1">
        <f t="array" ref="BK75">1+$B$13+VLOOKUP($Q75,武学奇术!$A:$ZZ,18,FALSE)+SUM(_xlfn.XLOOKUP(R75:AF75,增益!$A:$A,增益!$R:$R,0))</f>
        <v>1.64</v>
      </c>
      <c r="BL75" s="27" cm="1">
        <f t="array" ref="BL75">MAX(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-IF(VLOOKUP($Q75,武学奇术!$A:$ZZ,32,FALSE)=1,12%,0),0)</f>
        <v>0.0895</v>
      </c>
      <c r="BM75" s="27" cm="1">
        <f t="array" ref="BM75">1+$B$14+VLOOKUP($Q75,武学奇术!$A:$ZZ,20,FALSE)+SUM(_xlfn.XLOOKUP(R75:AF75,增益!$A:$A,增益!$T:$T,0))</f>
        <v>1.35</v>
      </c>
      <c r="BN75" s="27">
        <f t="shared" si="31"/>
        <v>0.9105</v>
      </c>
      <c r="BO75" s="27">
        <f t="shared" si="32"/>
        <v>0</v>
      </c>
      <c r="BP75" s="27">
        <f>IF(VLOOKUP($Q75,武学奇术!$A:$ZZ,22,FALSE)=1,0,(1-$BI75))*(1-$BL75)</f>
        <v>0</v>
      </c>
      <c r="BQ75" s="27" cm="1">
        <f t="array" ref="BQ75">SUM(_xlfn.XLOOKUP(R75:AF75,增益!$A:$A,增益!$W:$W,0))+$I$5</f>
        <v>0.11</v>
      </c>
    </row>
    <row r="76" spans="1:69">
      <c r="A76" s="4" t="s">
        <v>178</v>
      </c>
      <c r="B76" s="91">
        <v>2.5</v>
      </c>
      <c r="D76" s="40"/>
      <c r="G76">
        <v>-20</v>
      </c>
      <c r="K76" s="39">
        <f t="shared" si="33"/>
        <v>28125.7346280272</v>
      </c>
      <c r="L76" s="39">
        <f>((($AN76+($AO76-$AN76)*IF(VLOOKUP($Q76,武学奇术!$A:$ZZ,31,FALSE)=1,$F$18,0.5))*$AH76+$AI76)*(1+$AP76)*(1+$AQ76)+(($AS76+($AT76-$AS76)*IF(VLOOKUP($Q76,武学奇术!$A:$ZZ,31,FALSE)=1,$F$18,0.5))*IF($G$1="鸣金",$AJ76,$AH76)+IF($G$1="鸣金",$AK76*1.5,0))*(1+$AU76)*(1+$AV76)+(($AW76+($AX76-$AW76)*IF(VLOOKUP($Q76,武学奇术!$A:$ZZ,31,FALSE)=1,$F$18,0.5))*IF($G$1="裂石",$AJ76,$AH76)+IF($G$1="裂石",$AK76*1.5,0))*(1+$AY76)*(1+$AZ76)+(($BA76+($BB76-$BA76)*IF(VLOOKUP($Q76,武学奇术!$A:$ZZ,31,FALSE)=1,$F$18,0.5))*IF($G$1="牵丝",$AJ76,$AH76)+IF($G$1="牵丝",$AK76*1.5,0))*(1+$BC76)*(1+$BD76)+(($BE76+($BF76-$BE76)*IF(VLOOKUP($Q76,武学奇术!$A:$ZZ,31,FALSE)=1,$F$18,0.5))*IF($G$1="破竹",$AJ76,$AH76)+IF($G$1="破竹",$AK76*1.5,0))*(1+$BG76)*(1+$BH76))*(1+$AL76)*$BK76*$P76*(1+IF(VLOOKUP($Q76,武学奇术!$A:$ZZ,30,FALSE)="蓄力技",$B$21,0))*(1+$BQ76)</f>
        <v>28327.6372393392</v>
      </c>
      <c r="M76" s="39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26071.7421408814</v>
      </c>
      <c r="N76" s="39">
        <f>((($AN76+($AO76-$AN76)*IF(VLOOKUP($Q76,武学奇术!$A:$ZZ,31,FALSE)=1,$F$18,0.5))*$AH76+$AI76)*(1+$AP76)*(1+$AQ76)+(($AS76+($AT76-$AS76)*IF(VLOOKUP($Q76,武学奇术!$A:$ZZ,31,FALSE)=1,$F$18,0.5))*IF($G$1="鸣金",$AJ76,$AH76)+IF($G$1="鸣金",$AK76*1.5,0))*(1+$AU76)*(1+$AV76)+(($AW76+($AX76-$AW76)*IF(VLOOKUP($Q76,武学奇术!$A:$ZZ,31,FALSE)=1,$F$18,0.5))*IF($G$1="裂石",$AJ76,$AH76)+IF($G$1="裂石",$AK76*1.5,0))*(1+$AY76)*(1+$AZ76)+(($BA76+($BB76-$BA76)*IF(VLOOKUP($Q76,武学奇术!$A:$ZZ,31,FALSE)=1,$F$18,0.5))*IF($G$1="牵丝",$AJ76,$AH76)+IF($G$1="牵丝",$AK76*1.5,0))*(1+$BC76)*(1+$BD76)+(($BE76+($BF76-$BE76)*IF(VLOOKUP($Q76,武学奇术!$A:$ZZ,31,FALSE)=1,$F$18,0.5))*IF($G$1="破竹",$AJ76,$AH76)+IF($G$1="破竹",$AK76*1.5,0))*(1+$BG76)*(1+$BH76))*(1+$AL76)*$P76*(1+IF(VLOOKUP($Q76,武学奇术!$A:$ZZ,30,FALSE)="蓄力技",$B$21,0))*(1+$BQ76)</f>
        <v>17272.9495361824</v>
      </c>
      <c r="O76" s="39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15233.4974865268</v>
      </c>
      <c r="P76" s="40">
        <v>1</v>
      </c>
      <c r="Q76" s="41" t="s">
        <v>106</v>
      </c>
      <c r="R76" s="41" t="s">
        <v>93</v>
      </c>
      <c r="S76" s="41" t="s">
        <v>72</v>
      </c>
      <c r="T76" s="41" t="s">
        <v>72</v>
      </c>
      <c r="U76" s="41" t="s">
        <v>72</v>
      </c>
      <c r="V76" s="41" t="s">
        <v>72</v>
      </c>
      <c r="W76" s="41" t="s">
        <v>72</v>
      </c>
      <c r="X76" s="41" t="s">
        <v>165</v>
      </c>
      <c r="Y76" s="41" t="s">
        <v>81</v>
      </c>
      <c r="Z76" s="41" t="s">
        <v>72</v>
      </c>
      <c r="AA76" s="41" t="s">
        <v>72</v>
      </c>
      <c r="AB76" s="41" t="s">
        <v>72</v>
      </c>
      <c r="AC76" s="41" t="s">
        <v>72</v>
      </c>
      <c r="AD76" s="41" t="s">
        <v>72</v>
      </c>
      <c r="AE76" s="41" t="s">
        <v>75</v>
      </c>
      <c r="AF76" s="41" t="s">
        <v>76</v>
      </c>
      <c r="AG76" t="str">
        <f>VLOOKUP($Q76,武学奇术!$A:$ZZ,25,FALSE)</f>
        <v>拳甲</v>
      </c>
      <c r="AH76" s="27">
        <f>VLOOKUP($Q76,武学奇术!$A:$ZZ,26,FALSE)</f>
        <v>1.2876</v>
      </c>
      <c r="AI76" s="28">
        <f>VLOOKUP($Q76,武学奇术!$A:$ZZ,27,FALSE)*(1+IF(OR($AG76=$F$4,$AG76=$F$5),$B$22,0))</f>
        <v>501.2</v>
      </c>
      <c r="AJ76" s="27">
        <f>VLOOKUP($Q76,武学奇术!$A:$ZZ,28,FALSE)</f>
        <v>1.9313</v>
      </c>
      <c r="AK76" s="28">
        <f>VLOOKUP($Q76,武学奇术!$A:$ZZ,29,FALSE)*(1+IF(OR($AG76=$F$4,$AG76=$F$5),$B$22,0))</f>
        <v>273</v>
      </c>
      <c r="AL76" s="27" cm="1">
        <f t="array" ref="AL76">$G$3+IFERROR(VLOOKUP($AG76,$F$4:$G$7,2,FALSE),0)+VLOOKUP($Q76,武学奇术!$A:$ZZ,2,FALSE)+SUM(_xlfn.XLOOKUP($R76:$AF76,增益!$A:$A,增益!$B:$B,0))</f>
        <v>0.4041</v>
      </c>
      <c r="AM76" s="27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3804.006</v>
      </c>
      <c r="AO76" cm="1">
        <f t="array" ref="AO76">$E$10*(1+$AM76)+VLOOKUP($Q76,武学奇术!$A:$ZZ,4,FALSE)+SUM(_xlfn.XLOOKUP($R76:$AF76,增益!$A:$A,增益!$D:$D,0))-$I$2</f>
        <v>3804.006</v>
      </c>
      <c r="AP76" s="33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0.317</v>
      </c>
      <c r="AQ76" s="33" cm="1">
        <f t="array" ref="AQ76">$G$10+VLOOKUP($Q76,武学奇术!$A:$ZZ,7,FALSE)+SUM(_xlfn.XLOOKUP(R76:AF76,增益!$A:$A,增益!$G:$G,0))</f>
        <v>0.09</v>
      </c>
      <c r="AR76" s="27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3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-0.14</v>
      </c>
      <c r="AV76" s="33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33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-0.14</v>
      </c>
      <c r="AZ76" s="33" cm="1">
        <f t="array" ref="AZ76">$G$12+VLOOKUP($Q76,武学奇术!$A:$ZZ,12,FALSE)+SUM(_xlfn.XLOOKUP(R76:AF76,增益!$A:$A,增益!$L:$L,0))</f>
        <v>0</v>
      </c>
      <c r="BA76">
        <f t="shared" si="38"/>
        <v>0</v>
      </c>
      <c r="BB76">
        <f t="shared" si="39"/>
        <v>0</v>
      </c>
      <c r="BC76" s="33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-0.14</v>
      </c>
      <c r="BD76" s="33" cm="1">
        <f t="array" ref="BD76">$G$13+VLOOKUP($Q76,武学奇术!$A:$ZZ,14,FALSE)+SUM(_xlfn.XLOOKUP(R76:AF76,增益!$A:$A,增益!$N:$N,0))</f>
        <v>0</v>
      </c>
      <c r="BE76">
        <f t="shared" si="40"/>
        <v>570.28</v>
      </c>
      <c r="BF76">
        <f t="shared" si="41"/>
        <v>1582.156</v>
      </c>
      <c r="BG76" s="33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0.08</v>
      </c>
      <c r="BH76" s="33" cm="1">
        <f t="array" ref="BH76">$G$14+VLOOKUP($Q76,武学奇术!$A:$ZZ,16,FALSE)+SUM(_xlfn.XLOOKUP(R76:AF76,增益!$A:$A,增益!$P:$P,0))</f>
        <v>0.24</v>
      </c>
      <c r="BI76" s="27">
        <f>MIN(IF(VLOOKUP($Q76,武学奇术!$A:$ZZ,23,FALSE)=1,100%,$B$8),100%)</f>
        <v>1</v>
      </c>
      <c r="BJ76" s="27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+MIN(IF(VLOOKUP($Q76,武学奇术!$A:$ZZ,32,FALSE)=1,IF(VLOOKUP($Q76,武学奇术!$A:$ZZ,24,FALSE)=1,100%,MIN(40%,$B$10+VLOOKUP($Q76,武学奇术!$A:$ZZ,19,FALSE)+SUM(_xlfn.XLOOKUP(R76:AF76,增益!$A:$A,增益!$S:$S,0)))+$B$12+SUM(_xlfn.XLOOKUP(R76:AF76,增益!$A:$A,增益!$V:$V,0))),0),12%)</f>
        <v>0.918</v>
      </c>
      <c r="BK76" s="27" cm="1">
        <f t="array" ref="BK76">1+$B$13+VLOOKUP($Q76,武学奇术!$A:$ZZ,18,FALSE)+SUM(_xlfn.XLOOKUP(R76:AF76,增益!$A:$A,增益!$R:$R,0))</f>
        <v>1.64</v>
      </c>
      <c r="BL76" s="27" cm="1">
        <f t="array" ref="BL76">MAX(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-IF(VLOOKUP($Q76,武学奇术!$A:$ZZ,32,FALSE)=1,12%,0),0)</f>
        <v>0.0895</v>
      </c>
      <c r="BM76" s="27" cm="1">
        <f t="array" ref="BM76">1+$B$14+VLOOKUP($Q76,武学奇术!$A:$ZZ,20,FALSE)+SUM(_xlfn.XLOOKUP(R76:AF76,增益!$A:$A,增益!$T:$T,0))</f>
        <v>1.35</v>
      </c>
      <c r="BN76" s="27">
        <f t="shared" si="31"/>
        <v>0.9105</v>
      </c>
      <c r="BO76" s="27">
        <f t="shared" si="32"/>
        <v>0</v>
      </c>
      <c r="BP76" s="27">
        <f>IF(VLOOKUP($Q76,武学奇术!$A:$ZZ,22,FALSE)=1,0,(1-$BI76))*(1-$BL76)</f>
        <v>0</v>
      </c>
      <c r="BQ76" s="27" cm="1">
        <f t="array" ref="BQ76">SUM(_xlfn.XLOOKUP(R76:AF76,增益!$A:$A,增益!$W:$W,0))+$I$5</f>
        <v>0.11</v>
      </c>
    </row>
    <row r="77" spans="1:69">
      <c r="A77" s="4" t="s">
        <v>171</v>
      </c>
      <c r="B77" s="91">
        <v>0.7</v>
      </c>
      <c r="D77" s="40"/>
      <c r="K77" s="39">
        <f t="shared" si="33"/>
        <v>65597.3033545041</v>
      </c>
      <c r="L77" s="39">
        <f>((($AN77+($AO77-$AN77)*IF(VLOOKUP($Q77,武学奇术!$A:$ZZ,31,FALSE)=1,$F$18,0.5))*$AH77+$AI77)*(1+$AP77)*(1+$AQ77)+(($AS77+($AT77-$AS77)*IF(VLOOKUP($Q77,武学奇术!$A:$ZZ,31,FALSE)=1,$F$18,0.5))*IF($G$1="鸣金",$AJ77,$AH77)+IF($G$1="鸣金",$AK77*1.5,0))*(1+$AU77)*(1+$AV77)+(($AW77+($AX77-$AW77)*IF(VLOOKUP($Q77,武学奇术!$A:$ZZ,31,FALSE)=1,$F$18,0.5))*IF($G$1="裂石",$AJ77,$AH77)+IF($G$1="裂石",$AK77*1.5,0))*(1+$AY77)*(1+$AZ77)+(($BA77+($BB77-$BA77)*IF(VLOOKUP($Q77,武学奇术!$A:$ZZ,31,FALSE)=1,$F$18,0.5))*IF($G$1="牵丝",$AJ77,$AH77)+IF($G$1="牵丝",$AK77*1.5,0))*(1+$BC77)*(1+$BD77)+(($BE77+($BF77-$BE77)*IF(VLOOKUP($Q77,武学奇术!$A:$ZZ,31,FALSE)=1,$F$18,0.5))*IF($G$1="破竹",$AJ77,$AH77)+IF($G$1="破竹",$AK77*1.5,0))*(1+$BG77)*(1+$BH77))*(1+$AL77)*$BK77*$P77*(1+IF(VLOOKUP($Q77,武学奇术!$A:$ZZ,30,FALSE)="蓄力技",$B$21,0))*(1+$BQ77)</f>
        <v>66860.0314608294</v>
      </c>
      <c r="M77" s="39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52751.3375354069</v>
      </c>
      <c r="N77" s="39">
        <f>((($AN77+($AO77-$AN77)*IF(VLOOKUP($Q77,武学奇术!$A:$ZZ,31,FALSE)=1,$F$18,0.5))*$AH77+$AI77)*(1+$AP77)*(1+$AQ77)+(($AS77+($AT77-$AS77)*IF(VLOOKUP($Q77,武学奇术!$A:$ZZ,31,FALSE)=1,$F$18,0.5))*IF($G$1="鸣金",$AJ77,$AH77)+IF($G$1="鸣金",$AK77*1.5,0))*(1+$AU77)*(1+$AV77)+(($AW77+($AX77-$AW77)*IF(VLOOKUP($Q77,武学奇术!$A:$ZZ,31,FALSE)=1,$F$18,0.5))*IF($G$1="裂石",$AJ77,$AH77)+IF($G$1="裂石",$AK77*1.5,0))*(1+$AY77)*(1+$AZ77)+(($BA77+($BB77-$BA77)*IF(VLOOKUP($Q77,武学奇术!$A:$ZZ,31,FALSE)=1,$F$18,0.5))*IF($G$1="牵丝",$AJ77,$AH77)+IF($G$1="牵丝",$AK77*1.5,0))*(1+$BC77)*(1+$BD77)+(($BE77+($BF77-$BE77)*IF(VLOOKUP($Q77,武学奇术!$A:$ZZ,31,FALSE)=1,$F$18,0.5))*IF($G$1="破竹",$AJ77,$AH77)+IF($G$1="破竹",$AK77*1.5,0))*(1+$BG77)*(1+$BH77))*(1+$AL77)*$P77*(1+IF(VLOOKUP($Q77,武学奇术!$A:$ZZ,30,FALSE)="蓄力技",$B$21,0))*(1+$BQ77)</f>
        <v>34463.9337426956</v>
      </c>
      <c r="O77" s="39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29852.802644349</v>
      </c>
      <c r="P77" s="40">
        <v>1</v>
      </c>
      <c r="Q77" s="41" t="s">
        <v>108</v>
      </c>
      <c r="R77" s="41" t="s">
        <v>93</v>
      </c>
      <c r="S77" s="41" t="s">
        <v>72</v>
      </c>
      <c r="T77" s="41" t="s">
        <v>72</v>
      </c>
      <c r="U77" s="41" t="s">
        <v>72</v>
      </c>
      <c r="V77" s="41" t="s">
        <v>72</v>
      </c>
      <c r="W77" s="41" t="s">
        <v>72</v>
      </c>
      <c r="X77" s="41" t="s">
        <v>165</v>
      </c>
      <c r="Y77" s="41" t="s">
        <v>81</v>
      </c>
      <c r="Z77" s="41" t="s">
        <v>101</v>
      </c>
      <c r="AA77" s="41" t="s">
        <v>72</v>
      </c>
      <c r="AB77" s="41" t="s">
        <v>72</v>
      </c>
      <c r="AC77" s="41" t="s">
        <v>72</v>
      </c>
      <c r="AD77" s="41" t="s">
        <v>72</v>
      </c>
      <c r="AE77" s="41" t="s">
        <v>75</v>
      </c>
      <c r="AF77" s="41" t="s">
        <v>76</v>
      </c>
      <c r="AG77" t="str">
        <f>VLOOKUP($Q77,武学奇术!$A:$ZZ,25,FALSE)</f>
        <v>拳甲</v>
      </c>
      <c r="AH77" s="27">
        <f>VLOOKUP($Q77,武学奇术!$A:$ZZ,26,FALSE)</f>
        <v>2.33376</v>
      </c>
      <c r="AI77" s="28">
        <f>VLOOKUP($Q77,武学奇术!$A:$ZZ,27,FALSE)*(1+IF(OR($AG77=$F$4,$AG77=$F$5),$B$22,0))</f>
        <v>0</v>
      </c>
      <c r="AJ77" s="27">
        <f>VLOOKUP($Q77,武学奇术!$A:$ZZ,28,FALSE)</f>
        <v>3.50064</v>
      </c>
      <c r="AK77" s="28">
        <f>VLOOKUP($Q77,武学奇术!$A:$ZZ,29,FALSE)*(1+IF(OR($AG77=$F$4,$AG77=$F$5),$B$22,0))</f>
        <v>0</v>
      </c>
      <c r="AL77" s="27" cm="1">
        <f t="array" ref="AL77">$G$3+IFERROR(VLOOKUP($AG77,$F$4:$G$7,2,FALSE),0)+VLOOKUP($Q77,武学奇术!$A:$ZZ,2,FALSE)+SUM(_xlfn.XLOOKUP($R77:$AF77,增益!$A:$A,增益!$B:$B,0))</f>
        <v>0.7041</v>
      </c>
      <c r="AM77" s="27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3804.006</v>
      </c>
      <c r="AO77" cm="1">
        <f t="array" ref="AO77">$E$10*(1+$AM77)+VLOOKUP($Q77,武学奇术!$A:$ZZ,4,FALSE)+SUM(_xlfn.XLOOKUP($R77:$AF77,增益!$A:$A,增益!$D:$D,0))-$I$2</f>
        <v>3804.006</v>
      </c>
      <c r="AP77" s="33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0.347</v>
      </c>
      <c r="AQ77" s="33" cm="1">
        <f t="array" ref="AQ77">$G$10+VLOOKUP($Q77,武学奇术!$A:$ZZ,7,FALSE)+SUM(_xlfn.XLOOKUP(R77:AF77,增益!$A:$A,增益!$G:$G,0))</f>
        <v>0.09</v>
      </c>
      <c r="AR77" s="27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3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-0.08</v>
      </c>
      <c r="AV77" s="33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33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-0.08</v>
      </c>
      <c r="AZ77" s="33" cm="1">
        <f t="array" ref="AZ77">$G$12+VLOOKUP($Q77,武学奇术!$A:$ZZ,12,FALSE)+SUM(_xlfn.XLOOKUP(R77:AF77,增益!$A:$A,增益!$L:$L,0))</f>
        <v>0</v>
      </c>
      <c r="BA77">
        <f t="shared" si="38"/>
        <v>0</v>
      </c>
      <c r="BB77">
        <f t="shared" si="39"/>
        <v>0</v>
      </c>
      <c r="BC77" s="33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-0.08</v>
      </c>
      <c r="BD77" s="33" cm="1">
        <f t="array" ref="BD77">$G$13+VLOOKUP($Q77,武学奇术!$A:$ZZ,14,FALSE)+SUM(_xlfn.XLOOKUP(R77:AF77,增益!$A:$A,增益!$N:$N,0))</f>
        <v>0</v>
      </c>
      <c r="BE77">
        <f t="shared" si="40"/>
        <v>570.28</v>
      </c>
      <c r="BF77">
        <f t="shared" si="41"/>
        <v>1582.156</v>
      </c>
      <c r="BG77" s="33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0.11</v>
      </c>
      <c r="BH77" s="33" cm="1">
        <f t="array" ref="BH77">$G$14+VLOOKUP($Q77,武学奇术!$A:$ZZ,16,FALSE)+SUM(_xlfn.XLOOKUP(R77:AF77,增益!$A:$A,增益!$P:$P,0))</f>
        <v>0.24</v>
      </c>
      <c r="BI77" s="27">
        <f>MIN(IF(VLOOKUP($Q77,武学奇术!$A:$ZZ,23,FALSE)=1,100%,$B$8),100%)</f>
        <v>1</v>
      </c>
      <c r="BJ77" s="27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+MIN(IF(VLOOKUP($Q77,武学奇术!$A:$ZZ,32,FALSE)=1,IF(VLOOKUP($Q77,武学奇术!$A:$ZZ,24,FALSE)=1,100%,MIN(40%,$B$10+VLOOKUP($Q77,武学奇术!$A:$ZZ,19,FALSE)+SUM(_xlfn.XLOOKUP(R77:AF77,增益!$A:$A,增益!$S:$S,0)))+$B$12+SUM(_xlfn.XLOOKUP(R77:AF77,增益!$A:$A,增益!$V:$V,0))),0),12%)</f>
        <v>0.918</v>
      </c>
      <c r="BK77" s="27" cm="1">
        <f t="array" ref="BK77">1+$B$13+VLOOKUP($Q77,武学奇术!$A:$ZZ,18,FALSE)+SUM(_xlfn.XLOOKUP(R77:AF77,增益!$A:$A,增益!$R:$R,0))</f>
        <v>1.94</v>
      </c>
      <c r="BL77" s="27" cm="1">
        <f t="array" ref="BL77">MAX(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-IF(VLOOKUP($Q77,武学奇术!$A:$ZZ,32,FALSE)=1,12%,0),0)</f>
        <v>0.0895</v>
      </c>
      <c r="BM77" s="27" cm="1">
        <f t="array" ref="BM77">1+$B$14+VLOOKUP($Q77,武学奇术!$A:$ZZ,20,FALSE)+SUM(_xlfn.XLOOKUP(R77:AF77,增益!$A:$A,增益!$T:$T,0))</f>
        <v>1.35</v>
      </c>
      <c r="BN77" s="27">
        <f t="shared" si="31"/>
        <v>0.9105</v>
      </c>
      <c r="BO77" s="27">
        <f t="shared" si="32"/>
        <v>0</v>
      </c>
      <c r="BP77" s="27">
        <f>IF(VLOOKUP($Q77,武学奇术!$A:$ZZ,22,FALSE)=1,0,(1-$BI77))*(1-$BL77)</f>
        <v>0</v>
      </c>
      <c r="BQ77" s="27" cm="1">
        <f t="array" ref="BQ77">SUM(_xlfn.XLOOKUP(R77:AF77,增益!$A:$A,增益!$W:$W,0))+$I$5</f>
        <v>0.11</v>
      </c>
    </row>
    <row r="78" spans="1:69">
      <c r="A78" s="4" t="s">
        <v>172</v>
      </c>
      <c r="B78" s="4">
        <v>0.8</v>
      </c>
      <c r="D78" s="40"/>
      <c r="F78" s="40" t="s">
        <v>167</v>
      </c>
      <c r="K78" s="39">
        <f t="shared" si="33"/>
        <v>9501.07353699674</v>
      </c>
      <c r="L78" s="39">
        <f>((($AN78+($AO78-$AN78)*IF(VLOOKUP($Q78,武学奇术!$A:$ZZ,31,FALSE)=1,$F$18,0.5))*$AH78+$AI78)*(1+$AP78)*(1+$AQ78)+(($AS78+($AT78-$AS78)*IF(VLOOKUP($Q78,武学奇术!$A:$ZZ,31,FALSE)=1,$F$18,0.5))*IF($G$1="鸣金",$AJ78,$AH78)+IF($G$1="鸣金",$AK78*1.5,0))*(1+$AU78)*(1+$AV78)+(($AW78+($AX78-$AW78)*IF(VLOOKUP($Q78,武学奇术!$A:$ZZ,31,FALSE)=1,$F$18,0.5))*IF($G$1="裂石",$AJ78,$AH78)+IF($G$1="裂石",$AK78*1.5,0))*(1+$AY78)*(1+$AZ78)+(($BA78+($BB78-$BA78)*IF(VLOOKUP($Q78,武学奇术!$A:$ZZ,31,FALSE)=1,$F$18,0.5))*IF($G$1="牵丝",$AJ78,$AH78)+IF($G$1="牵丝",$AK78*1.5,0))*(1+$BC78)*(1+$BD78)+(($BE78+($BF78-$BE78)*IF(VLOOKUP($Q78,武学奇术!$A:$ZZ,31,FALSE)=1,$F$18,0.5))*IF($G$1="破竹",$AJ78,$AH78)+IF($G$1="破竹",$AK78*1.5,0))*(1+$BG78)*(1+$BH78))*(1+$AL78)*$BK78*$P78*(1+IF(VLOOKUP($Q78,武学奇术!$A:$ZZ,30,FALSE)="蓄力技",$B$21,0))*(1+$BQ78)</f>
        <v>9569.2915362869</v>
      </c>
      <c r="M78" s="39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8807.07925371525</v>
      </c>
      <c r="N78" s="39">
        <f>((($AN78+($AO78-$AN78)*IF(VLOOKUP($Q78,武学奇术!$A:$ZZ,31,FALSE)=1,$F$18,0.5))*$AH78+$AI78)*(1+$AP78)*(1+$AQ78)+(($AS78+($AT78-$AS78)*IF(VLOOKUP($Q78,武学奇术!$A:$ZZ,31,FALSE)=1,$F$18,0.5))*IF($G$1="鸣金",$AJ78,$AH78)+IF($G$1="鸣金",$AK78*1.5,0))*(1+$AU78)*(1+$AV78)+(($AW78+($AX78-$AW78)*IF(VLOOKUP($Q78,武学奇术!$A:$ZZ,31,FALSE)=1,$F$18,0.5))*IF($G$1="裂石",$AJ78,$AH78)+IF($G$1="裂石",$AK78*1.5,0))*(1+$AY78)*(1+$AZ78)+(($BA78+($BB78-$BA78)*IF(VLOOKUP($Q78,武学奇术!$A:$ZZ,31,FALSE)=1,$F$18,0.5))*IF($G$1="牵丝",$AJ78,$AH78)+IF($G$1="牵丝",$AK78*1.5,0))*(1+$BC78)*(1+$BD78)+(($BE78+($BF78-$BE78)*IF(VLOOKUP($Q78,武学奇术!$A:$ZZ,31,FALSE)=1,$F$18,0.5))*IF($G$1="破竹",$AJ78,$AH78)+IF($G$1="破竹",$AK78*1.5,0))*(1+$BG78)*(1+$BH78))*(1+$AL78)*$P78*(1+IF(VLOOKUP($Q78,武学奇术!$A:$ZZ,30,FALSE)="蓄力技",$B$21,0))*(1+$BQ78)</f>
        <v>5834.93386358957</v>
      </c>
      <c r="O78" s="39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5146.1053170197</v>
      </c>
      <c r="P78" s="40">
        <v>1</v>
      </c>
      <c r="Q78" s="41" t="s">
        <v>182</v>
      </c>
      <c r="R78" s="41" t="s">
        <v>93</v>
      </c>
      <c r="S78" s="41" t="s">
        <v>72</v>
      </c>
      <c r="T78" s="41" t="s">
        <v>72</v>
      </c>
      <c r="U78" s="41" t="s">
        <v>72</v>
      </c>
      <c r="V78" s="41" t="s">
        <v>72</v>
      </c>
      <c r="W78" s="41" t="s">
        <v>72</v>
      </c>
      <c r="X78" s="41" t="s">
        <v>165</v>
      </c>
      <c r="Y78" s="41" t="s">
        <v>81</v>
      </c>
      <c r="Z78" s="41" t="s">
        <v>72</v>
      </c>
      <c r="AA78" s="41" t="s">
        <v>72</v>
      </c>
      <c r="AB78" s="41" t="s">
        <v>72</v>
      </c>
      <c r="AC78" s="41" t="s">
        <v>72</v>
      </c>
      <c r="AD78" s="41" t="s">
        <v>72</v>
      </c>
      <c r="AE78" s="41" t="s">
        <v>75</v>
      </c>
      <c r="AF78" s="41" t="s">
        <v>76</v>
      </c>
      <c r="AG78" t="str">
        <f>VLOOKUP($Q78,武学奇术!$A:$ZZ,25,FALSE)</f>
        <v>拳甲</v>
      </c>
      <c r="AH78" s="27">
        <f>VLOOKUP($Q78,武学奇术!$A:$ZZ,26,FALSE)</f>
        <v>0.4349</v>
      </c>
      <c r="AI78" s="28">
        <f>VLOOKUP($Q78,武学奇术!$A:$ZZ,27,FALSE)*(1+IF(OR($AG78=$F$4,$AG78=$F$5),$B$22,0))</f>
        <v>169.4</v>
      </c>
      <c r="AJ78" s="27">
        <f>VLOOKUP($Q78,武学奇术!$A:$ZZ,28,FALSE)</f>
        <v>0.6523</v>
      </c>
      <c r="AK78" s="28">
        <f>VLOOKUP($Q78,武学奇术!$A:$ZZ,29,FALSE)*(1+IF(OR($AG78=$F$4,$AG78=$F$5),$B$22,0))</f>
        <v>92.4</v>
      </c>
      <c r="AL78" s="27" cm="1">
        <f t="array" ref="AL78">$G$3+IFERROR(VLOOKUP($AG78,$F$4:$G$7,2,FALSE),0)+VLOOKUP($Q78,武学奇术!$A:$ZZ,2,FALSE)+SUM(_xlfn.XLOOKUP($R78:$AF78,增益!$A:$A,增益!$B:$B,0))</f>
        <v>0.4041</v>
      </c>
      <c r="AM78" s="27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3804.006</v>
      </c>
      <c r="AO78" cm="1">
        <f t="array" ref="AO78">$E$10*(1+$AM78)+VLOOKUP($Q78,武学奇术!$A:$ZZ,4,FALSE)+SUM(_xlfn.XLOOKUP($R78:$AF78,增益!$A:$A,增益!$D:$D,0))-$I$2</f>
        <v>3804.006</v>
      </c>
      <c r="AP78" s="33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0.317</v>
      </c>
      <c r="AQ78" s="33" cm="1">
        <f t="array" ref="AQ78">$G$10+VLOOKUP($Q78,武学奇术!$A:$ZZ,7,FALSE)+SUM(_xlfn.XLOOKUP(R78:AF78,增益!$A:$A,增益!$G:$G,0))</f>
        <v>0.09</v>
      </c>
      <c r="AR78" s="27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3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-0.14</v>
      </c>
      <c r="AV78" s="33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33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-0.14</v>
      </c>
      <c r="AZ78" s="33" cm="1">
        <f t="array" ref="AZ78">$G$12+VLOOKUP($Q78,武学奇术!$A:$ZZ,12,FALSE)+SUM(_xlfn.XLOOKUP(R78:AF78,增益!$A:$A,增益!$L:$L,0))</f>
        <v>0</v>
      </c>
      <c r="BA78">
        <f t="shared" si="38"/>
        <v>0</v>
      </c>
      <c r="BB78">
        <f t="shared" si="39"/>
        <v>0</v>
      </c>
      <c r="BC78" s="33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-0.14</v>
      </c>
      <c r="BD78" s="33" cm="1">
        <f t="array" ref="BD78">$G$13+VLOOKUP($Q78,武学奇术!$A:$ZZ,14,FALSE)+SUM(_xlfn.XLOOKUP(R78:AF78,增益!$A:$A,增益!$N:$N,0))</f>
        <v>0</v>
      </c>
      <c r="BE78">
        <f t="shared" si="40"/>
        <v>570.28</v>
      </c>
      <c r="BF78">
        <f t="shared" si="41"/>
        <v>1582.156</v>
      </c>
      <c r="BG78" s="33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0.08</v>
      </c>
      <c r="BH78" s="33" cm="1">
        <f t="array" ref="BH78">$G$14+VLOOKUP($Q78,武学奇术!$A:$ZZ,16,FALSE)+SUM(_xlfn.XLOOKUP(R78:AF78,增益!$A:$A,增益!$P:$P,0))</f>
        <v>0.24</v>
      </c>
      <c r="BI78" s="27">
        <f>MIN(IF(VLOOKUP($Q78,武学奇术!$A:$ZZ,23,FALSE)=1,100%,$B$8),100%)</f>
        <v>1</v>
      </c>
      <c r="BJ78" s="27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+MIN(IF(VLOOKUP($Q78,武学奇术!$A:$ZZ,32,FALSE)=1,IF(VLOOKUP($Q78,武学奇术!$A:$ZZ,24,FALSE)=1,100%,MIN(40%,$B$10+VLOOKUP($Q78,武学奇术!$A:$ZZ,19,FALSE)+SUM(_xlfn.XLOOKUP(R78:AF78,增益!$A:$A,增益!$S:$S,0)))+$B$12+SUM(_xlfn.XLOOKUP(R78:AF78,增益!$A:$A,增益!$V:$V,0))),0),12%)</f>
        <v>0.918</v>
      </c>
      <c r="BK78" s="27" cm="1">
        <f t="array" ref="BK78">1+$B$13+VLOOKUP($Q78,武学奇术!$A:$ZZ,18,FALSE)+SUM(_xlfn.XLOOKUP(R78:AF78,增益!$A:$A,增益!$R:$R,0))</f>
        <v>1.64</v>
      </c>
      <c r="BL78" s="27" cm="1">
        <f t="array" ref="BL78">MAX(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-IF(VLOOKUP($Q78,武学奇术!$A:$ZZ,32,FALSE)=1,12%,0),0)</f>
        <v>0.0895</v>
      </c>
      <c r="BM78" s="27" cm="1">
        <f t="array" ref="BM78">1+$B$14+VLOOKUP($Q78,武学奇术!$A:$ZZ,20,FALSE)+SUM(_xlfn.XLOOKUP(R78:AF78,增益!$A:$A,增益!$T:$T,0))</f>
        <v>1.35</v>
      </c>
      <c r="BN78" s="27">
        <f t="shared" si="31"/>
        <v>0.9105</v>
      </c>
      <c r="BO78" s="27">
        <f t="shared" si="32"/>
        <v>0</v>
      </c>
      <c r="BP78" s="27">
        <f>IF(VLOOKUP($Q78,武学奇术!$A:$ZZ,22,FALSE)=1,0,(1-$BI78))*(1-$BL78)</f>
        <v>0</v>
      </c>
      <c r="BQ78" s="27" cm="1">
        <f t="array" ref="BQ78">SUM(_xlfn.XLOOKUP(R78:AF78,增益!$A:$A,增益!$W:$W,0))+$I$5</f>
        <v>0.11</v>
      </c>
    </row>
    <row r="79" spans="1:69">
      <c r="A79" s="4" t="s">
        <v>173</v>
      </c>
      <c r="B79" s="4">
        <v>2.15</v>
      </c>
      <c r="D79" s="40"/>
      <c r="F79" s="40"/>
      <c r="K79" s="39">
        <f t="shared" si="33"/>
        <v>12486.6875399808</v>
      </c>
      <c r="L79" s="39">
        <f>((($AN79+($AO79-$AN79)*IF(VLOOKUP($Q79,武学奇术!$A:$ZZ,31,FALSE)=1,$F$18,0.5))*$AH79+$AI79)*(1+$AP79)*(1+$AQ79)+(($AS79+($AT79-$AS79)*IF(VLOOKUP($Q79,武学奇术!$A:$ZZ,31,FALSE)=1,$F$18,0.5))*IF($G$1="鸣金",$AJ79,$AH79)+IF($G$1="鸣金",$AK79*1.5,0))*(1+$AU79)*(1+$AV79)+(($AW79+($AX79-$AW79)*IF(VLOOKUP($Q79,武学奇术!$A:$ZZ,31,FALSE)=1,$F$18,0.5))*IF($G$1="裂石",$AJ79,$AH79)+IF($G$1="裂石",$AK79*1.5,0))*(1+$AY79)*(1+$AZ79)+(($BA79+($BB79-$BA79)*IF(VLOOKUP($Q79,武学奇术!$A:$ZZ,31,FALSE)=1,$F$18,0.5))*IF($G$1="牵丝",$AJ79,$AH79)+IF($G$1="牵丝",$AK79*1.5,0))*(1+$BC79)*(1+$BD79)+(($BE79+($BF79-$BE79)*IF(VLOOKUP($Q79,武学奇术!$A:$ZZ,31,FALSE)=1,$F$18,0.5))*IF($G$1="破竹",$AJ79,$AH79)+IF($G$1="破竹",$AK79*1.5,0))*(1+$BG79)*(1+$BH79))*(1+$AL79)*$BK79*$P79*(1+IF(VLOOKUP($Q79,武学奇术!$A:$ZZ,30,FALSE)="蓄力技",$B$21,0))*(1+$BQ79)</f>
        <v>12576.4043763759</v>
      </c>
      <c r="M79" s="39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11573.9816233577</v>
      </c>
      <c r="N79" s="39">
        <f>((($AN79+($AO79-$AN79)*IF(VLOOKUP($Q79,武学奇术!$A:$ZZ,31,FALSE)=1,$F$18,0.5))*$AH79+$AI79)*(1+$AP79)*(1+$AQ79)+(($AS79+($AT79-$AS79)*IF(VLOOKUP($Q79,武学奇术!$A:$ZZ,31,FALSE)=1,$F$18,0.5))*IF($G$1="鸣金",$AJ79,$AH79)+IF($G$1="鸣金",$AK79*1.5,0))*(1+$AU79)*(1+$AV79)+(($AW79+($AX79-$AW79)*IF(VLOOKUP($Q79,武学奇术!$A:$ZZ,31,FALSE)=1,$F$18,0.5))*IF($G$1="裂石",$AJ79,$AH79)+IF($G$1="裂石",$AK79*1.5,0))*(1+$AY79)*(1+$AZ79)+(($BA79+($BB79-$BA79)*IF(VLOOKUP($Q79,武学奇术!$A:$ZZ,31,FALSE)=1,$F$18,0.5))*IF($G$1="牵丝",$AJ79,$AH79)+IF($G$1="牵丝",$AK79*1.5,0))*(1+$BC79)*(1+$BD79)+(($BE79+($BF79-$BE79)*IF(VLOOKUP($Q79,武学奇术!$A:$ZZ,31,FALSE)=1,$F$18,0.5))*IF($G$1="破竹",$AJ79,$AH79)+IF($G$1="破竹",$AK79*1.5,0))*(1+$BG79)*(1+$BH79))*(1+$AL79)*$P79*(1+IF(VLOOKUP($Q79,武学奇术!$A:$ZZ,30,FALSE)="蓄力技",$B$21,0))*(1+$BQ79)</f>
        <v>7668.53925388773</v>
      </c>
      <c r="O79" s="39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6763.75878676974</v>
      </c>
      <c r="P79" s="40">
        <v>1</v>
      </c>
      <c r="Q79" s="41" t="s">
        <v>117</v>
      </c>
      <c r="R79" s="41" t="s">
        <v>93</v>
      </c>
      <c r="S79" s="41" t="s">
        <v>72</v>
      </c>
      <c r="T79" s="41" t="s">
        <v>72</v>
      </c>
      <c r="U79" s="41" t="s">
        <v>72</v>
      </c>
      <c r="V79" s="41" t="s">
        <v>72</v>
      </c>
      <c r="W79" s="41" t="s">
        <v>72</v>
      </c>
      <c r="X79" s="41" t="s">
        <v>165</v>
      </c>
      <c r="Y79" s="41" t="s">
        <v>81</v>
      </c>
      <c r="Z79" s="41" t="s">
        <v>72</v>
      </c>
      <c r="AA79" s="41" t="s">
        <v>72</v>
      </c>
      <c r="AB79" s="41" t="s">
        <v>72</v>
      </c>
      <c r="AC79" s="41" t="s">
        <v>72</v>
      </c>
      <c r="AD79" s="41" t="s">
        <v>72</v>
      </c>
      <c r="AE79" s="41" t="s">
        <v>75</v>
      </c>
      <c r="AF79" s="41" t="s">
        <v>76</v>
      </c>
      <c r="AG79" t="str">
        <f>VLOOKUP($Q79,武学奇术!$A:$ZZ,25,FALSE)</f>
        <v>拳甲</v>
      </c>
      <c r="AH79" s="27">
        <f>VLOOKUP($Q79,武学奇术!$A:$ZZ,26,FALSE)</f>
        <v>0.5712</v>
      </c>
      <c r="AI79" s="28">
        <f>VLOOKUP($Q79,武学奇术!$A:$ZZ,27,FALSE)*(1+IF(OR($AG79=$F$4,$AG79=$F$5),$B$22,0))</f>
        <v>224</v>
      </c>
      <c r="AJ79" s="27">
        <f>VLOOKUP($Q79,武学奇术!$A:$ZZ,28,FALSE)</f>
        <v>0.8568</v>
      </c>
      <c r="AK79" s="28">
        <f>VLOOKUP($Q79,武学奇术!$A:$ZZ,29,FALSE)*(1+IF(OR($AG79=$F$4,$AG79=$F$5),$B$22,0))</f>
        <v>121.8</v>
      </c>
      <c r="AL79" s="27" cm="1">
        <f t="array" ref="AL79">$G$3+IFERROR(VLOOKUP($AG79,$F$4:$G$7,2,FALSE),0)+VLOOKUP($Q79,武学奇术!$A:$ZZ,2,FALSE)+SUM(_xlfn.XLOOKUP($R79:$AF79,增益!$A:$A,增益!$B:$B,0))</f>
        <v>0.4041</v>
      </c>
      <c r="AM79" s="27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3804.006</v>
      </c>
      <c r="AO79" cm="1">
        <f t="array" ref="AO79">$E$10*(1+$AM79)+VLOOKUP($Q79,武学奇术!$A:$ZZ,4,FALSE)+SUM(_xlfn.XLOOKUP($R79:$AF79,增益!$A:$A,增益!$D:$D,0))-$I$2</f>
        <v>3804.006</v>
      </c>
      <c r="AP79" s="33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0.317</v>
      </c>
      <c r="AQ79" s="33" cm="1">
        <f t="array" ref="AQ79">$G$10+VLOOKUP($Q79,武学奇术!$A:$ZZ,7,FALSE)+SUM(_xlfn.XLOOKUP(R79:AF79,增益!$A:$A,增益!$G:$G,0))</f>
        <v>0.09</v>
      </c>
      <c r="AR79" s="27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3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-0.14</v>
      </c>
      <c r="AV79" s="33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33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-0.14</v>
      </c>
      <c r="AZ79" s="33" cm="1">
        <f t="array" ref="AZ79">$G$12+VLOOKUP($Q79,武学奇术!$A:$ZZ,12,FALSE)+SUM(_xlfn.XLOOKUP(R79:AF79,增益!$A:$A,增益!$L:$L,0))</f>
        <v>0</v>
      </c>
      <c r="BA79">
        <f t="shared" si="38"/>
        <v>0</v>
      </c>
      <c r="BB79">
        <f t="shared" si="39"/>
        <v>0</v>
      </c>
      <c r="BC79" s="33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-0.14</v>
      </c>
      <c r="BD79" s="33" cm="1">
        <f t="array" ref="BD79">$G$13+VLOOKUP($Q79,武学奇术!$A:$ZZ,14,FALSE)+SUM(_xlfn.XLOOKUP(R79:AF79,增益!$A:$A,增益!$N:$N,0))</f>
        <v>0</v>
      </c>
      <c r="BE79">
        <f t="shared" si="40"/>
        <v>570.28</v>
      </c>
      <c r="BF79">
        <f t="shared" si="41"/>
        <v>1582.156</v>
      </c>
      <c r="BG79" s="33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0.08</v>
      </c>
      <c r="BH79" s="33" cm="1">
        <f t="array" ref="BH79">$G$14+VLOOKUP($Q79,武学奇术!$A:$ZZ,16,FALSE)+SUM(_xlfn.XLOOKUP(R79:AF79,增益!$A:$A,增益!$P:$P,0))</f>
        <v>0.24</v>
      </c>
      <c r="BI79" s="27">
        <f>MIN(IF(VLOOKUP($Q79,武学奇术!$A:$ZZ,23,FALSE)=1,100%,$B$8),100%)</f>
        <v>1</v>
      </c>
      <c r="BJ79" s="27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+MIN(IF(VLOOKUP($Q79,武学奇术!$A:$ZZ,32,FALSE)=1,IF(VLOOKUP($Q79,武学奇术!$A:$ZZ,24,FALSE)=1,100%,MIN(40%,$B$10+VLOOKUP($Q79,武学奇术!$A:$ZZ,19,FALSE)+SUM(_xlfn.XLOOKUP(R79:AF79,增益!$A:$A,增益!$S:$S,0)))+$B$12+SUM(_xlfn.XLOOKUP(R79:AF79,增益!$A:$A,增益!$V:$V,0))),0),12%)</f>
        <v>0.918</v>
      </c>
      <c r="BK79" s="27" cm="1">
        <f t="array" ref="BK79">1+$B$13+VLOOKUP($Q79,武学奇术!$A:$ZZ,18,FALSE)+SUM(_xlfn.XLOOKUP(R79:AF79,增益!$A:$A,增益!$R:$R,0))</f>
        <v>1.64</v>
      </c>
      <c r="BL79" s="27" cm="1">
        <f t="array" ref="BL79">MAX(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-IF(VLOOKUP($Q79,武学奇术!$A:$ZZ,32,FALSE)=1,12%,0),0)</f>
        <v>0.0895</v>
      </c>
      <c r="BM79" s="27" cm="1">
        <f t="array" ref="BM79">1+$B$14+VLOOKUP($Q79,武学奇术!$A:$ZZ,20,FALSE)+SUM(_xlfn.XLOOKUP(R79:AF79,增益!$A:$A,增益!$T:$T,0))</f>
        <v>1.35</v>
      </c>
      <c r="BN79" s="27">
        <f t="shared" si="31"/>
        <v>0.9105</v>
      </c>
      <c r="BO79" s="27">
        <f t="shared" si="32"/>
        <v>0</v>
      </c>
      <c r="BP79" s="27">
        <f>IF(VLOOKUP($Q79,武学奇术!$A:$ZZ,22,FALSE)=1,0,(1-$BI79))*(1-$BL79)</f>
        <v>0</v>
      </c>
      <c r="BQ79" s="27" cm="1">
        <f t="array" ref="BQ79">SUM(_xlfn.XLOOKUP(R79:AF79,增益!$A:$A,增益!$W:$W,0))+$I$5</f>
        <v>0.11</v>
      </c>
    </row>
    <row r="80" spans="1:69">
      <c r="A80" t="s">
        <v>155</v>
      </c>
      <c r="B80">
        <v>0.9</v>
      </c>
      <c r="D80" s="40"/>
      <c r="F80" s="40"/>
      <c r="K80" s="39">
        <f t="shared" si="33"/>
        <v>27486.6143932039</v>
      </c>
      <c r="L80" s="39">
        <f>((($AN80+($AO80-$AN80)*IF(VLOOKUP($Q80,武学奇术!$A:$ZZ,31,FALSE)=1,$F$18,0.5))*$AH80+$AI80)*(1+$AP80)*(1+$AQ80)+(($AS80+($AT80-$AS80)*IF(VLOOKUP($Q80,武学奇术!$A:$ZZ,31,FALSE)=1,$F$18,0.5))*IF($G$1="鸣金",$AJ80,$AH80)+IF($G$1="鸣金",$AK80*1.5,0))*(1+$AU80)*(1+$AV80)+(($AW80+($AX80-$AW80)*IF(VLOOKUP($Q80,武学奇术!$A:$ZZ,31,FALSE)=1,$F$18,0.5))*IF($G$1="裂石",$AJ80,$AH80)+IF($G$1="裂石",$AK80*1.5,0))*(1+$AY80)*(1+$AZ80)+(($BA80+($BB80-$BA80)*IF(VLOOKUP($Q80,武学奇术!$A:$ZZ,31,FALSE)=1,$F$18,0.5))*IF($G$1="牵丝",$AJ80,$AH80)+IF($G$1="牵丝",$AK80*1.5,0))*(1+$BC80)*(1+$BD80)+(($BE80+($BF80-$BE80)*IF(VLOOKUP($Q80,武学奇术!$A:$ZZ,31,FALSE)=1,$F$18,0.5))*IF($G$1="破竹",$AJ80,$AH80)+IF($G$1="破竹",$AK80*1.5,0))*(1+$BG80)*(1+$BH80))*(1+$AL80)*$BK80*$P80*(1+IF(VLOOKUP($Q80,武学奇术!$A:$ZZ,30,FALSE)="蓄力技",$B$21,0))*(1+$BQ80)</f>
        <v>27696.7861119385</v>
      </c>
      <c r="M80" s="39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25348.4987517751</v>
      </c>
      <c r="N80" s="39">
        <f>((($AN80+($AO80-$AN80)*IF(VLOOKUP($Q80,武学奇术!$A:$ZZ,31,FALSE)=1,$F$18,0.5))*$AH80+$AI80)*(1+$AP80)*(1+$AQ80)+(($AS80+($AT80-$AS80)*IF(VLOOKUP($Q80,武学奇术!$A:$ZZ,31,FALSE)=1,$F$18,0.5))*IF($G$1="鸣金",$AJ80,$AH80)+IF($G$1="鸣金",$AK80*1.5,0))*(1+$AU80)*(1+$AV80)+(($AW80+($AX80-$AW80)*IF(VLOOKUP($Q80,武学奇术!$A:$ZZ,31,FALSE)=1,$F$18,0.5))*IF($G$1="裂石",$AJ80,$AH80)+IF($G$1="裂石",$AK80*1.5,0))*(1+$AY80)*(1+$AZ80)+(($BA80+($BB80-$BA80)*IF(VLOOKUP($Q80,武学奇术!$A:$ZZ,31,FALSE)=1,$F$18,0.5))*IF($G$1="牵丝",$AJ80,$AH80)+IF($G$1="牵丝",$AK80*1.5,0))*(1+$BC80)*(1+$BD80)+(($BE80+($BF80-$BE80)*IF(VLOOKUP($Q80,武学奇术!$A:$ZZ,31,FALSE)=1,$F$18,0.5))*IF($G$1="破竹",$AJ80,$AH80)+IF($G$1="破竹",$AK80*1.5,0))*(1+$BG80)*(1+$BH80))*(1+$AL80)*$P80*(1+IF(VLOOKUP($Q80,武学奇术!$A:$ZZ,30,FALSE)="蓄力技",$B$21,0))*(1+$BQ80)</f>
        <v>16888.2842145966</v>
      </c>
      <c r="O80" s="39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14999.9026871377</v>
      </c>
      <c r="P80" s="40">
        <v>1</v>
      </c>
      <c r="Q80" s="41" t="s">
        <v>106</v>
      </c>
      <c r="R80" s="41" t="s">
        <v>93</v>
      </c>
      <c r="S80" s="41" t="s">
        <v>72</v>
      </c>
      <c r="T80" s="41" t="s">
        <v>72</v>
      </c>
      <c r="U80" s="41" t="s">
        <v>72</v>
      </c>
      <c r="V80" s="41" t="s">
        <v>72</v>
      </c>
      <c r="W80" s="41" t="s">
        <v>72</v>
      </c>
      <c r="X80" s="41" t="s">
        <v>165</v>
      </c>
      <c r="Y80" s="41" t="s">
        <v>72</v>
      </c>
      <c r="Z80" s="41" t="s">
        <v>72</v>
      </c>
      <c r="AA80" s="41" t="s">
        <v>72</v>
      </c>
      <c r="AB80" s="41" t="s">
        <v>72</v>
      </c>
      <c r="AC80" s="41" t="s">
        <v>72</v>
      </c>
      <c r="AD80" s="41" t="s">
        <v>72</v>
      </c>
      <c r="AE80" s="41" t="s">
        <v>75</v>
      </c>
      <c r="AF80" s="41" t="s">
        <v>76</v>
      </c>
      <c r="AG80" t="str">
        <f>VLOOKUP($Q80,武学奇术!$A:$ZZ,25,FALSE)</f>
        <v>拳甲</v>
      </c>
      <c r="AH80" s="27">
        <f>VLOOKUP($Q80,武学奇术!$A:$ZZ,26,FALSE)</f>
        <v>1.2876</v>
      </c>
      <c r="AI80" s="28">
        <f>VLOOKUP($Q80,武学奇术!$A:$ZZ,27,FALSE)*(1+IF(OR($AG80=$F$4,$AG80=$F$5),$B$22,0))</f>
        <v>501.2</v>
      </c>
      <c r="AJ80" s="27">
        <f>VLOOKUP($Q80,武学奇术!$A:$ZZ,28,FALSE)</f>
        <v>1.9313</v>
      </c>
      <c r="AK80" s="28">
        <f>VLOOKUP($Q80,武学奇术!$A:$ZZ,29,FALSE)*(1+IF(OR($AG80=$F$4,$AG80=$F$5),$B$22,0))</f>
        <v>273</v>
      </c>
      <c r="AL80" s="27" cm="1">
        <f t="array" ref="AL80">$G$3+IFERROR(VLOOKUP($AG80,$F$4:$G$7,2,FALSE),0)+VLOOKUP($Q80,武学奇术!$A:$ZZ,2,FALSE)+SUM(_xlfn.XLOOKUP($R80:$AF80,增益!$A:$A,增益!$B:$B,0))</f>
        <v>0.4041</v>
      </c>
      <c r="AM80" s="27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3804.006</v>
      </c>
      <c r="AO80" cm="1">
        <f t="array" ref="AO80">$E$10*(1+$AM80)+VLOOKUP($Q80,武学奇术!$A:$ZZ,4,FALSE)+SUM(_xlfn.XLOOKUP($R80:$AF80,增益!$A:$A,增益!$D:$D,0))-$I$2</f>
        <v>3804.006</v>
      </c>
      <c r="AP80" s="33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0.317</v>
      </c>
      <c r="AQ80" s="33" cm="1">
        <f t="array" ref="AQ80">$G$10+VLOOKUP($Q80,武学奇术!$A:$ZZ,7,FALSE)+SUM(_xlfn.XLOOKUP(R80:AF80,增益!$A:$A,增益!$G:$G,0))</f>
        <v>0.09</v>
      </c>
      <c r="AR80" s="27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3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3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33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3" cm="1">
        <f t="array" ref="AZ80">$G$12+VLOOKUP($Q80,武学奇术!$A:$ZZ,12,FALSE)+SUM(_xlfn.XLOOKUP(R80:AF80,增益!$A:$A,增益!$L:$L,0))</f>
        <v>0</v>
      </c>
      <c r="BA80">
        <f t="shared" si="38"/>
        <v>0</v>
      </c>
      <c r="BB80">
        <f t="shared" si="39"/>
        <v>0</v>
      </c>
      <c r="BC80" s="33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3" cm="1">
        <f t="array" ref="BD80">$G$13+VLOOKUP($Q80,武学奇术!$A:$ZZ,14,FALSE)+SUM(_xlfn.XLOOKUP(R80:AF80,增益!$A:$A,增益!$N:$N,0))</f>
        <v>0</v>
      </c>
      <c r="BE80">
        <f t="shared" si="40"/>
        <v>570.28</v>
      </c>
      <c r="BF80">
        <f t="shared" si="41"/>
        <v>1582.156</v>
      </c>
      <c r="BG80" s="33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0</v>
      </c>
      <c r="BH80" s="33" cm="1">
        <f t="array" ref="BH80">$G$14+VLOOKUP($Q80,武学奇术!$A:$ZZ,16,FALSE)+SUM(_xlfn.XLOOKUP(R80:AF80,增益!$A:$A,增益!$P:$P,0))</f>
        <v>0.24</v>
      </c>
      <c r="BI80" s="27">
        <f>MIN(IF(VLOOKUP($Q80,武学奇术!$A:$ZZ,23,FALSE)=1,100%,$B$8),100%)</f>
        <v>1</v>
      </c>
      <c r="BJ80" s="27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+MIN(IF(VLOOKUP($Q80,武学奇术!$A:$ZZ,32,FALSE)=1,IF(VLOOKUP($Q80,武学奇术!$A:$ZZ,24,FALSE)=1,100%,MIN(40%,$B$10+VLOOKUP($Q80,武学奇术!$A:$ZZ,19,FALSE)+SUM(_xlfn.XLOOKUP(R80:AF80,增益!$A:$A,增益!$S:$S,0)))+$B$12+SUM(_xlfn.XLOOKUP(R80:AF80,增益!$A:$A,增益!$V:$V,0))),0),12%)</f>
        <v>0.918</v>
      </c>
      <c r="BK80" s="27" cm="1">
        <f t="array" ref="BK80">1+$B$13+VLOOKUP($Q80,武学奇术!$A:$ZZ,18,FALSE)+SUM(_xlfn.XLOOKUP(R80:AF80,增益!$A:$A,增益!$R:$R,0))</f>
        <v>1.64</v>
      </c>
      <c r="BL80" s="27" cm="1">
        <f t="array" ref="BL80">MAX(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-IF(VLOOKUP($Q80,武学奇术!$A:$ZZ,32,FALSE)=1,12%,0),0)</f>
        <v>0.0895</v>
      </c>
      <c r="BM80" s="27" cm="1">
        <f t="array" ref="BM80">1+$B$14+VLOOKUP($Q80,武学奇术!$A:$ZZ,20,FALSE)+SUM(_xlfn.XLOOKUP(R80:AF80,增益!$A:$A,增益!$T:$T,0))</f>
        <v>1.35</v>
      </c>
      <c r="BN80" s="27">
        <f t="shared" si="31"/>
        <v>0.9105</v>
      </c>
      <c r="BO80" s="27">
        <f t="shared" si="32"/>
        <v>0</v>
      </c>
      <c r="BP80" s="27">
        <f>IF(VLOOKUP($Q80,武学奇术!$A:$ZZ,22,FALSE)=1,0,(1-$BI80))*(1-$BL80)</f>
        <v>0</v>
      </c>
      <c r="BQ80" s="27" cm="1">
        <f t="array" ref="BQ80">SUM(_xlfn.XLOOKUP(R80:AF80,增益!$A:$A,增益!$W:$W,0))+$I$5</f>
        <v>0.11</v>
      </c>
    </row>
    <row r="81" spans="1:69">
      <c r="A81" s="4" t="s">
        <v>168</v>
      </c>
      <c r="B81" s="4">
        <v>1</v>
      </c>
      <c r="D81" s="40" t="s">
        <v>170</v>
      </c>
      <c r="F81" s="40"/>
      <c r="K81" s="39">
        <f t="shared" si="33"/>
        <v>64223.0312391832</v>
      </c>
      <c r="L81" s="39">
        <f>((($AN81+($AO81-$AN81)*IF(VLOOKUP($Q81,武学奇术!$A:$ZZ,31,FALSE)=1,$F$18,0.5))*$AH81+$AI81)*(1+$AP81)*(1+$AQ81)+(($AS81+($AT81-$AS81)*IF(VLOOKUP($Q81,武学奇术!$A:$ZZ,31,FALSE)=1,$F$18,0.5))*IF($G$1="鸣金",$AJ81,$AH81)+IF($G$1="鸣金",$AK81*1.5,0))*(1+$AU81)*(1+$AV81)+(($AW81+($AX81-$AW81)*IF(VLOOKUP($Q81,武学奇术!$A:$ZZ,31,FALSE)=1,$F$18,0.5))*IF($G$1="裂石",$AJ81,$AH81)+IF($G$1="裂石",$AK81*1.5,0))*(1+$AY81)*(1+$AZ81)+(($BA81+($BB81-$BA81)*IF(VLOOKUP($Q81,武学奇术!$A:$ZZ,31,FALSE)=1,$F$18,0.5))*IF($G$1="牵丝",$AJ81,$AH81)+IF($G$1="牵丝",$AK81*1.5,0))*(1+$BC81)*(1+$BD81)+(($BE81+($BF81-$BE81)*IF(VLOOKUP($Q81,武学奇术!$A:$ZZ,31,FALSE)=1,$F$18,0.5))*IF($G$1="破竹",$AJ81,$AH81)+IF($G$1="破竹",$AK81*1.5,0))*(1+$BG81)*(1+$BH81))*(1+$AL81)*$BK81*$P81*(1+IF(VLOOKUP($Q81,武学奇术!$A:$ZZ,30,FALSE)="蓄力技",$B$21,0))*(1+$BQ81)</f>
        <v>65488.5840474998</v>
      </c>
      <c r="M81" s="39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51348.3292059744</v>
      </c>
      <c r="N81" s="39">
        <f>((($AN81+($AO81-$AN81)*IF(VLOOKUP($Q81,武学奇术!$A:$ZZ,31,FALSE)=1,$F$18,0.5))*$AH81+$AI81)*(1+$AP81)*(1+$AQ81)+(($AS81+($AT81-$AS81)*IF(VLOOKUP($Q81,武学奇术!$A:$ZZ,31,FALSE)=1,$F$18,0.5))*IF($G$1="鸣金",$AJ81,$AH81)+IF($G$1="鸣金",$AK81*1.5,0))*(1+$AU81)*(1+$AV81)+(($AW81+($AX81-$AW81)*IF(VLOOKUP($Q81,武学奇术!$A:$ZZ,31,FALSE)=1,$F$18,0.5))*IF($G$1="裂石",$AJ81,$AH81)+IF($G$1="裂石",$AK81*1.5,0))*(1+$AY81)*(1+$AZ81)+(($BA81+($BB81-$BA81)*IF(VLOOKUP($Q81,武学奇术!$A:$ZZ,31,FALSE)=1,$F$18,0.5))*IF($G$1="牵丝",$AJ81,$AH81)+IF($G$1="牵丝",$AK81*1.5,0))*(1+$BC81)*(1+$BD81)+(($BE81+($BF81-$BE81)*IF(VLOOKUP($Q81,武学奇术!$A:$ZZ,31,FALSE)=1,$F$18,0.5))*IF($G$1="破竹",$AJ81,$AH81)+IF($G$1="破竹",$AK81*1.5,0))*(1+$BG81)*(1+$BH81))*(1+$AL81)*$P81*(1+IF(VLOOKUP($Q81,武学奇术!$A:$ZZ,30,FALSE)="蓄力技",$B$21,0))*(1+$BQ81)</f>
        <v>33757.0020863401</v>
      </c>
      <c r="O81" s="39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29478.2047608473</v>
      </c>
      <c r="P81" s="40">
        <v>1</v>
      </c>
      <c r="Q81" s="41" t="s">
        <v>108</v>
      </c>
      <c r="R81" s="41" t="s">
        <v>93</v>
      </c>
      <c r="S81" s="41" t="s">
        <v>72</v>
      </c>
      <c r="T81" s="41" t="s">
        <v>72</v>
      </c>
      <c r="U81" s="41" t="s">
        <v>72</v>
      </c>
      <c r="V81" s="41" t="s">
        <v>72</v>
      </c>
      <c r="W81" s="41" t="s">
        <v>72</v>
      </c>
      <c r="X81" s="41" t="s">
        <v>165</v>
      </c>
      <c r="Y81" s="41" t="s">
        <v>72</v>
      </c>
      <c r="Z81" s="41" t="s">
        <v>101</v>
      </c>
      <c r="AA81" s="41" t="s">
        <v>72</v>
      </c>
      <c r="AB81" s="41" t="s">
        <v>72</v>
      </c>
      <c r="AC81" s="41" t="s">
        <v>72</v>
      </c>
      <c r="AD81" s="41" t="s">
        <v>72</v>
      </c>
      <c r="AE81" s="41" t="s">
        <v>75</v>
      </c>
      <c r="AF81" s="41" t="s">
        <v>76</v>
      </c>
      <c r="AG81" t="str">
        <f>VLOOKUP($Q81,武学奇术!$A:$ZZ,25,FALSE)</f>
        <v>拳甲</v>
      </c>
      <c r="AH81" s="27">
        <f>VLOOKUP($Q81,武学奇术!$A:$ZZ,26,FALSE)</f>
        <v>2.33376</v>
      </c>
      <c r="AI81" s="28">
        <f>VLOOKUP($Q81,武学奇术!$A:$ZZ,27,FALSE)*(1+IF(OR($AG81=$F$4,$AG81=$F$5),$B$22,0))</f>
        <v>0</v>
      </c>
      <c r="AJ81" s="27">
        <f>VLOOKUP($Q81,武学奇术!$A:$ZZ,28,FALSE)</f>
        <v>3.50064</v>
      </c>
      <c r="AK81" s="28">
        <f>VLOOKUP($Q81,武学奇术!$A:$ZZ,29,FALSE)*(1+IF(OR($AG81=$F$4,$AG81=$F$5),$B$22,0))</f>
        <v>0</v>
      </c>
      <c r="AL81" s="27" cm="1">
        <f t="array" ref="AL81">$G$3+IFERROR(VLOOKUP($AG81,$F$4:$G$7,2,FALSE),0)+VLOOKUP($Q81,武学奇术!$A:$ZZ,2,FALSE)+SUM(_xlfn.XLOOKUP($R81:$AF81,增益!$A:$A,增益!$B:$B,0))</f>
        <v>0.7041</v>
      </c>
      <c r="AM81" s="27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3804.006</v>
      </c>
      <c r="AO81" cm="1">
        <f t="array" ref="AO81">$E$10*(1+$AM81)+VLOOKUP($Q81,武学奇术!$A:$ZZ,4,FALSE)+SUM(_xlfn.XLOOKUP($R81:$AF81,增益!$A:$A,增益!$D:$D,0))-$I$2</f>
        <v>3804.006</v>
      </c>
      <c r="AP81" s="33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0.347</v>
      </c>
      <c r="AQ81" s="33" cm="1">
        <f t="array" ref="AQ81">$G$10+VLOOKUP($Q81,武学奇术!$A:$ZZ,7,FALSE)+SUM(_xlfn.XLOOKUP(R81:AF81,增益!$A:$A,增益!$G:$G,0))</f>
        <v>0.09</v>
      </c>
      <c r="AR81" s="27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3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-0.24</v>
      </c>
      <c r="AV81" s="33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33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-0.24</v>
      </c>
      <c r="AZ81" s="33" cm="1">
        <f t="array" ref="AZ81">$G$12+VLOOKUP($Q81,武学奇术!$A:$ZZ,12,FALSE)+SUM(_xlfn.XLOOKUP(R81:AF81,增益!$A:$A,增益!$L:$L,0))</f>
        <v>0</v>
      </c>
      <c r="BA81">
        <f t="shared" si="38"/>
        <v>0</v>
      </c>
      <c r="BB81">
        <f t="shared" si="39"/>
        <v>0</v>
      </c>
      <c r="BC81" s="33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-0.24</v>
      </c>
      <c r="BD81" s="33" cm="1">
        <f t="array" ref="BD81">$G$13+VLOOKUP($Q81,武学奇术!$A:$ZZ,14,FALSE)+SUM(_xlfn.XLOOKUP(R81:AF81,增益!$A:$A,增益!$N:$N,0))</f>
        <v>0</v>
      </c>
      <c r="BE81">
        <f t="shared" si="40"/>
        <v>570.28</v>
      </c>
      <c r="BF81">
        <f t="shared" si="41"/>
        <v>1582.156</v>
      </c>
      <c r="BG81" s="33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0.03</v>
      </c>
      <c r="BH81" s="33" cm="1">
        <f t="array" ref="BH81">$G$14+VLOOKUP($Q81,武学奇术!$A:$ZZ,16,FALSE)+SUM(_xlfn.XLOOKUP(R81:AF81,增益!$A:$A,增益!$P:$P,0))</f>
        <v>0.24</v>
      </c>
      <c r="BI81" s="27">
        <f>MIN(IF(VLOOKUP($Q81,武学奇术!$A:$ZZ,23,FALSE)=1,100%,$B$8),100%)</f>
        <v>1</v>
      </c>
      <c r="BJ81" s="27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+MIN(IF(VLOOKUP($Q81,武学奇术!$A:$ZZ,32,FALSE)=1,IF(VLOOKUP($Q81,武学奇术!$A:$ZZ,24,FALSE)=1,100%,MIN(40%,$B$10+VLOOKUP($Q81,武学奇术!$A:$ZZ,19,FALSE)+SUM(_xlfn.XLOOKUP(R81:AF81,增益!$A:$A,增益!$S:$S,0)))+$B$12+SUM(_xlfn.XLOOKUP(R81:AF81,增益!$A:$A,增益!$V:$V,0))),0),12%)</f>
        <v>0.918</v>
      </c>
      <c r="BK81" s="27" cm="1">
        <f t="array" ref="BK81">1+$B$13+VLOOKUP($Q81,武学奇术!$A:$ZZ,18,FALSE)+SUM(_xlfn.XLOOKUP(R81:AF81,增益!$A:$A,增益!$R:$R,0))</f>
        <v>1.94</v>
      </c>
      <c r="BL81" s="27" cm="1">
        <f t="array" ref="BL81">MAX(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-IF(VLOOKUP($Q81,武学奇术!$A:$ZZ,32,FALSE)=1,12%,0),0)</f>
        <v>0.0895</v>
      </c>
      <c r="BM81" s="27" cm="1">
        <f t="array" ref="BM81">1+$B$14+VLOOKUP($Q81,武学奇术!$A:$ZZ,20,FALSE)+SUM(_xlfn.XLOOKUP(R81:AF81,增益!$A:$A,增益!$T:$T,0))</f>
        <v>1.35</v>
      </c>
      <c r="BN81" s="27">
        <f t="shared" si="31"/>
        <v>0.9105</v>
      </c>
      <c r="BO81" s="27">
        <f t="shared" si="32"/>
        <v>0</v>
      </c>
      <c r="BP81" s="27">
        <f>IF(VLOOKUP($Q81,武学奇术!$A:$ZZ,22,FALSE)=1,0,(1-$BI81))*(1-$BL81)</f>
        <v>0</v>
      </c>
      <c r="BQ81" s="27" cm="1">
        <f t="array" ref="BQ81">SUM(_xlfn.XLOOKUP(R81:AF81,增益!$A:$A,增益!$W:$W,0))+$I$5</f>
        <v>0.11</v>
      </c>
    </row>
    <row r="82" spans="1:69">
      <c r="A82" s="4" t="s">
        <v>166</v>
      </c>
      <c r="B82" s="91">
        <v>1.16</v>
      </c>
      <c r="D82" s="40"/>
      <c r="F82" s="40"/>
      <c r="K82" s="39">
        <f t="shared" si="33"/>
        <v>68735.1749237882</v>
      </c>
      <c r="L82" s="39">
        <f>((($AN82+($AO82-$AN82)*IF(VLOOKUP($Q82,武学奇术!$A:$ZZ,31,FALSE)=1,$F$18,0.5))*$AH82+$AI82)*(1+$AP82)*(1+$AQ82)+(($AS82+($AT82-$AS82)*IF(VLOOKUP($Q82,武学奇术!$A:$ZZ,31,FALSE)=1,$F$18,0.5))*IF($G$1="鸣金",$AJ82,$AH82)+IF($G$1="鸣金",$AK82*1.5,0))*(1+$AU82)*(1+$AV82)+(($AW82+($AX82-$AW82)*IF(VLOOKUP($Q82,武学奇术!$A:$ZZ,31,FALSE)=1,$F$18,0.5))*IF($G$1="裂石",$AJ82,$AH82)+IF($G$1="裂石",$AK82*1.5,0))*(1+$AY82)*(1+$AZ82)+(($BA82+($BB82-$BA82)*IF(VLOOKUP($Q82,武学奇术!$A:$ZZ,31,FALSE)=1,$F$18,0.5))*IF($G$1="牵丝",$AJ82,$AH82)+IF($G$1="牵丝",$AK82*1.5,0))*(1+$BC82)*(1+$BD82)+(($BE82+($BF82-$BE82)*IF(VLOOKUP($Q82,武学奇术!$A:$ZZ,31,FALSE)=1,$F$18,0.5))*IF($G$1="破竹",$AJ82,$AH82)+IF($G$1="破竹",$AK82*1.5,0))*(1+$BG82)*(1+$BH82))*(1+$AL82)*$BK82*$P82*(1+IF(VLOOKUP($Q82,武学奇术!$A:$ZZ,30,FALSE)="蓄力技",$B$21,0))*(1+$BQ82)</f>
        <v>69209.9487277758</v>
      </c>
      <c r="M82" s="39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63905.2134876908</v>
      </c>
      <c r="N82" s="39">
        <f>((($AN82+($AO82-$AN82)*IF(VLOOKUP($Q82,武学奇术!$A:$ZZ,31,FALSE)=1,$F$18,0.5))*$AH82+$AI82)*(1+$AP82)*(1+$AQ82)+(($AS82+($AT82-$AS82)*IF(VLOOKUP($Q82,武学奇术!$A:$ZZ,31,FALSE)=1,$F$18,0.5))*IF($G$1="鸣金",$AJ82,$AH82)+IF($G$1="鸣金",$AK82*1.5,0))*(1+$AU82)*(1+$AV82)+(($AW82+($AX82-$AW82)*IF(VLOOKUP($Q82,武学奇术!$A:$ZZ,31,FALSE)=1,$F$18,0.5))*IF($G$1="裂石",$AJ82,$AH82)+IF($G$1="裂石",$AK82*1.5,0))*(1+$AY82)*(1+$AZ82)+(($BA82+($BB82-$BA82)*IF(VLOOKUP($Q82,武学奇术!$A:$ZZ,31,FALSE)=1,$F$18,0.5))*IF($G$1="牵丝",$AJ82,$AH82)+IF($G$1="牵丝",$AK82*1.5,0))*(1+$BC82)*(1+$BD82)+(($BE82+($BF82-$BE82)*IF(VLOOKUP($Q82,武学奇术!$A:$ZZ,31,FALSE)=1,$F$18,0.5))*IF($G$1="破竹",$AJ82,$AH82)+IF($G$1="破竹",$AK82*1.5,0))*(1+$BG82)*(1+$BH82))*(1+$AL82)*$P82*(1+IF(VLOOKUP($Q82,武学奇术!$A:$ZZ,30,FALSE)="蓄力技",$B$21,0))*(1+$BQ82)</f>
        <v>42201.1882486438</v>
      </c>
      <c r="O82" s="39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37065.1813212202</v>
      </c>
      <c r="P82" s="40">
        <v>1</v>
      </c>
      <c r="Q82" s="41" t="s">
        <v>157</v>
      </c>
      <c r="R82" s="41" t="s">
        <v>93</v>
      </c>
      <c r="S82" s="41" t="s">
        <v>72</v>
      </c>
      <c r="T82" s="41" t="s">
        <v>72</v>
      </c>
      <c r="U82" s="41" t="s">
        <v>72</v>
      </c>
      <c r="V82" s="41" t="s">
        <v>72</v>
      </c>
      <c r="W82" s="41" t="s">
        <v>72</v>
      </c>
      <c r="X82" s="41" t="s">
        <v>165</v>
      </c>
      <c r="Y82" s="41" t="s">
        <v>72</v>
      </c>
      <c r="Z82" s="41" t="s">
        <v>72</v>
      </c>
      <c r="AA82" s="41" t="s">
        <v>72</v>
      </c>
      <c r="AB82" s="41" t="s">
        <v>72</v>
      </c>
      <c r="AC82" s="41" t="s">
        <v>72</v>
      </c>
      <c r="AD82" s="41" t="s">
        <v>72</v>
      </c>
      <c r="AE82" s="41" t="s">
        <v>75</v>
      </c>
      <c r="AF82" s="41" t="s">
        <v>76</v>
      </c>
      <c r="AG82" t="str">
        <f>VLOOKUP($Q82,武学奇术!$A:$ZZ,25,FALSE)</f>
        <v>单体奇术</v>
      </c>
      <c r="AH82" s="27">
        <f>VLOOKUP($Q82,武学奇术!$A:$ZZ,26,FALSE)</f>
        <v>3.9855</v>
      </c>
      <c r="AI82" s="28">
        <f>VLOOKUP($Q82,武学奇术!$A:$ZZ,27,FALSE)*(1+IF(OR($AG82=$F$4,$AG82=$F$5),$B$22,0))</f>
        <v>749</v>
      </c>
      <c r="AJ82" s="27">
        <f>VLOOKUP($Q82,武学奇术!$A:$ZZ,28,FALSE)</f>
        <v>5.97825</v>
      </c>
      <c r="AK82" s="28">
        <f>VLOOKUP($Q82,武学奇术!$A:$ZZ,29,FALSE)*(1+IF(OR($AG82=$F$4,$AG82=$F$5),$B$22,0))</f>
        <v>0</v>
      </c>
      <c r="AL82" s="27" cm="1">
        <f t="array" ref="AL82">$G$3+IFERROR(VLOOKUP($AG82,$F$4:$G$7,2,FALSE),0)+VLOOKUP($Q82,武学奇术!$A:$ZZ,2,FALSE)+SUM(_xlfn.XLOOKUP($R82:$AF82,增益!$A:$A,增益!$B:$B,0))</f>
        <v>0.2337</v>
      </c>
      <c r="AM82" s="27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3804.006</v>
      </c>
      <c r="AO82" cm="1">
        <f t="array" ref="AO82">$E$10*(1+$AM82)+VLOOKUP($Q82,武学奇术!$A:$ZZ,4,FALSE)+SUM(_xlfn.XLOOKUP($R82:$AF82,增益!$A:$A,增益!$D:$D,0))-$I$2</f>
        <v>3804.006</v>
      </c>
      <c r="AP82" s="33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0.317</v>
      </c>
      <c r="AQ82" s="33" cm="1">
        <f t="array" ref="AQ82">$G$10+VLOOKUP($Q82,武学奇术!$A:$ZZ,7,FALSE)+SUM(_xlfn.XLOOKUP(R82:AF82,增益!$A:$A,增益!$G:$G,0))</f>
        <v>0.09</v>
      </c>
      <c r="AR82" s="27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3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3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33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3" cm="1">
        <f t="array" ref="AZ82">$G$12+VLOOKUP($Q82,武学奇术!$A:$ZZ,12,FALSE)+SUM(_xlfn.XLOOKUP(R82:AF82,增益!$A:$A,增益!$L:$L,0))</f>
        <v>0</v>
      </c>
      <c r="BA82">
        <f t="shared" si="38"/>
        <v>0</v>
      </c>
      <c r="BB82">
        <f t="shared" si="39"/>
        <v>0</v>
      </c>
      <c r="BC82" s="33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-0.3</v>
      </c>
      <c r="BD82" s="33" cm="1">
        <f t="array" ref="BD82">$G$13+VLOOKUP($Q82,武学奇术!$A:$ZZ,14,FALSE)+SUM(_xlfn.XLOOKUP(R82:AF82,增益!$A:$A,增益!$N:$N,0))</f>
        <v>0</v>
      </c>
      <c r="BE82">
        <f t="shared" si="40"/>
        <v>570.28</v>
      </c>
      <c r="BF82">
        <f t="shared" si="41"/>
        <v>1582.156</v>
      </c>
      <c r="BG82" s="33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</v>
      </c>
      <c r="BH82" s="33" cm="1">
        <f t="array" ref="BH82">$G$14+VLOOKUP($Q82,武学奇术!$A:$ZZ,16,FALSE)+SUM(_xlfn.XLOOKUP(R82:AF82,增益!$A:$A,增益!$P:$P,0))</f>
        <v>0.24</v>
      </c>
      <c r="BI82" s="27">
        <f>MIN(IF(VLOOKUP($Q82,武学奇术!$A:$ZZ,23,FALSE)=1,100%,$B$8),100%)</f>
        <v>1</v>
      </c>
      <c r="BJ82" s="27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+MIN(IF(VLOOKUP($Q82,武学奇术!$A:$ZZ,32,FALSE)=1,IF(VLOOKUP($Q82,武学奇术!$A:$ZZ,24,FALSE)=1,100%,MIN(40%,$B$10+VLOOKUP($Q82,武学奇术!$A:$ZZ,19,FALSE)+SUM(_xlfn.XLOOKUP(R82:AF82,增益!$A:$A,增益!$S:$S,0)))+$B$12+SUM(_xlfn.XLOOKUP(R82:AF82,增益!$A:$A,增益!$V:$V,0))),0),12%)</f>
        <v>0.918</v>
      </c>
      <c r="BK82" s="27" cm="1">
        <f t="array" ref="BK82">1+$B$13+VLOOKUP($Q82,武学奇术!$A:$ZZ,18,FALSE)+SUM(_xlfn.XLOOKUP(R82:AF82,增益!$A:$A,增益!$R:$R,0))</f>
        <v>1.64</v>
      </c>
      <c r="BL82" s="27" cm="1">
        <f t="array" ref="BL82">MAX(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-IF(VLOOKUP($Q82,武学奇术!$A:$ZZ,32,FALSE)=1,12%,0),0)</f>
        <v>0.0895</v>
      </c>
      <c r="BM82" s="27" cm="1">
        <f t="array" ref="BM82">1+$B$14+VLOOKUP($Q82,武学奇术!$A:$ZZ,20,FALSE)+SUM(_xlfn.XLOOKUP(R82:AF82,增益!$A:$A,增益!$T:$T,0))</f>
        <v>1.35</v>
      </c>
      <c r="BN82" s="27">
        <f t="shared" si="31"/>
        <v>0.9105</v>
      </c>
      <c r="BO82" s="27">
        <f t="shared" si="32"/>
        <v>0</v>
      </c>
      <c r="BP82" s="27">
        <f>IF(VLOOKUP($Q82,武学奇术!$A:$ZZ,22,FALSE)=1,0,(1-$BI82))*(1-$BL82)</f>
        <v>0</v>
      </c>
      <c r="BQ82" s="27" cm="1">
        <f t="array" ref="BQ82">SUM(_xlfn.XLOOKUP(R82:AF82,增益!$A:$A,增益!$W:$W,0))+$I$5</f>
        <v>0.11</v>
      </c>
    </row>
    <row r="83" spans="1:69">
      <c r="A83" t="s">
        <v>164</v>
      </c>
      <c r="B83">
        <v>1.23</v>
      </c>
      <c r="D83" s="40"/>
      <c r="F83" s="40"/>
      <c r="K83" s="39">
        <f t="shared" si="33"/>
        <v>93587.3077892264</v>
      </c>
      <c r="L83" s="39">
        <f>((($AN83+($AO83-$AN83)*IF(VLOOKUP($Q83,武学奇术!$A:$ZZ,31,FALSE)=1,$F$18,0.5))*$AH83+$AI83)*(1+$AP83)*(1+$AQ83)+(($AS83+($AT83-$AS83)*IF(VLOOKUP($Q83,武学奇术!$A:$ZZ,31,FALSE)=1,$F$18,0.5))*IF($G$1="鸣金",$AJ83,$AH83)+IF($G$1="鸣金",$AK83*1.5,0))*(1+$AU83)*(1+$AV83)+(($AW83+($AX83-$AW83)*IF(VLOOKUP($Q83,武学奇术!$A:$ZZ,31,FALSE)=1,$F$18,0.5))*IF($G$1="裂石",$AJ83,$AH83)+IF($G$1="裂石",$AK83*1.5,0))*(1+$AY83)*(1+$AZ83)+(($BA83+($BB83-$BA83)*IF(VLOOKUP($Q83,武学奇术!$A:$ZZ,31,FALSE)=1,$F$18,0.5))*IF($G$1="牵丝",$AJ83,$AH83)+IF($G$1="牵丝",$AK83*1.5,0))*(1+$BC83)*(1+$BD83)+(($BE83+($BF83-$BE83)*IF(VLOOKUP($Q83,武学奇术!$A:$ZZ,31,FALSE)=1,$F$18,0.5))*IF($G$1="破竹",$AJ83,$AH83)+IF($G$1="破竹",$AK83*1.5,0))*(1+$BG83)*(1+$BH83))*(1+$AL83)*$BK83*$P83*(1+IF(VLOOKUP($Q83,武学奇术!$A:$ZZ,30,FALSE)="蓄力技",$B$21,0))*(1+$BQ83)</f>
        <v>94233.5069915648</v>
      </c>
      <c r="M83" s="39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87013.4041721422</v>
      </c>
      <c r="N83" s="39">
        <f>((($AN83+($AO83-$AN83)*IF(VLOOKUP($Q83,武学奇术!$A:$ZZ,31,FALSE)=1,$F$18,0.5))*$AH83+$AI83)*(1+$AP83)*(1+$AQ83)+(($AS83+($AT83-$AS83)*IF(VLOOKUP($Q83,武学奇术!$A:$ZZ,31,FALSE)=1,$F$18,0.5))*IF($G$1="鸣金",$AJ83,$AH83)+IF($G$1="鸣金",$AK83*1.5,0))*(1+$AU83)*(1+$AV83)+(($AW83+($AX83-$AW83)*IF(VLOOKUP($Q83,武学奇术!$A:$ZZ,31,FALSE)=1,$F$18,0.5))*IF($G$1="裂石",$AJ83,$AH83)+IF($G$1="裂石",$AK83*1.5,0))*(1+$AY83)*(1+$AZ83)+(($BA83+($BB83-$BA83)*IF(VLOOKUP($Q83,武学奇术!$A:$ZZ,31,FALSE)=1,$F$18,0.5))*IF($G$1="牵丝",$AJ83,$AH83)+IF($G$1="牵丝",$AK83*1.5,0))*(1+$BC83)*(1+$BD83)+(($BE83+($BF83-$BE83)*IF(VLOOKUP($Q83,武学奇术!$A:$ZZ,31,FALSE)=1,$F$18,0.5))*IF($G$1="破竹",$AJ83,$AH83)+IF($G$1="破竹",$AK83*1.5,0))*(1+$BG83)*(1+$BH83))*(1+$AL83)*$P83*(1+IF(VLOOKUP($Q83,武学奇术!$A:$ZZ,30,FALSE)="蓄力技",$B$21,0))*(1+$BQ83)</f>
        <v>57459.4554826614</v>
      </c>
      <c r="O83" s="39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50464.5375044768</v>
      </c>
      <c r="P83" s="40">
        <v>23</v>
      </c>
      <c r="Q83" s="41" t="s">
        <v>160</v>
      </c>
      <c r="R83" s="41" t="s">
        <v>93</v>
      </c>
      <c r="S83" s="41" t="s">
        <v>72</v>
      </c>
      <c r="T83" s="41" t="s">
        <v>72</v>
      </c>
      <c r="U83" s="41" t="s">
        <v>72</v>
      </c>
      <c r="V83" s="41" t="s">
        <v>72</v>
      </c>
      <c r="W83" s="41" t="s">
        <v>72</v>
      </c>
      <c r="X83" s="41" t="s">
        <v>165</v>
      </c>
      <c r="Y83" s="41" t="s">
        <v>72</v>
      </c>
      <c r="Z83" s="41" t="s">
        <v>72</v>
      </c>
      <c r="AA83" s="41" t="s">
        <v>72</v>
      </c>
      <c r="AB83" s="41" t="s">
        <v>72</v>
      </c>
      <c r="AC83" s="41" t="s">
        <v>72</v>
      </c>
      <c r="AD83" s="41" t="s">
        <v>72</v>
      </c>
      <c r="AE83" s="41" t="s">
        <v>75</v>
      </c>
      <c r="AF83" s="41" t="s">
        <v>76</v>
      </c>
      <c r="AG83" t="str">
        <f>VLOOKUP($Q83,武学奇术!$A:$ZZ,25,FALSE)</f>
        <v>单体奇术</v>
      </c>
      <c r="AH83" s="27">
        <f>VLOOKUP($Q83,武学奇术!$A:$ZZ,26,FALSE)</f>
        <v>0.236</v>
      </c>
      <c r="AI83" s="28">
        <f>VLOOKUP($Q83,武学奇术!$A:$ZZ,27,FALSE)*(1+IF(OR($AG83=$F$4,$AG83=$F$5),$B$22,0))</f>
        <v>44</v>
      </c>
      <c r="AJ83" s="27">
        <f>VLOOKUP($Q83,武学奇术!$A:$ZZ,28,FALSE)</f>
        <v>0.354</v>
      </c>
      <c r="AK83" s="28">
        <f>VLOOKUP($Q83,武学奇术!$A:$ZZ,29,FALSE)*(1+IF(OR($AG83=$F$4,$AG83=$F$5),$B$22,0))</f>
        <v>0</v>
      </c>
      <c r="AL83" s="27" cm="1">
        <f t="array" ref="AL83">$G$3+IFERROR(VLOOKUP($AG83,$F$4:$G$7,2,FALSE),0)+VLOOKUP($Q83,武学奇术!$A:$ZZ,2,FALSE)+SUM(_xlfn.XLOOKUP($R83:$AF83,增益!$A:$A,增益!$B:$B,0))</f>
        <v>0.2337</v>
      </c>
      <c r="AM83" s="27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3804.006</v>
      </c>
      <c r="AO83" cm="1">
        <f t="array" ref="AO83">$E$10*(1+$AM83)+VLOOKUP($Q83,武学奇术!$A:$ZZ,4,FALSE)+SUM(_xlfn.XLOOKUP($R83:$AF83,增益!$A:$A,增益!$D:$D,0))-$I$2</f>
        <v>3804.006</v>
      </c>
      <c r="AP83" s="33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0.317</v>
      </c>
      <c r="AQ83" s="33" cm="1">
        <f t="array" ref="AQ83">$G$10+VLOOKUP($Q83,武学奇术!$A:$ZZ,7,FALSE)+SUM(_xlfn.XLOOKUP(R83:AF83,增益!$A:$A,增益!$G:$G,0))</f>
        <v>0.09</v>
      </c>
      <c r="AR83" s="27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3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3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33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3" cm="1">
        <f t="array" ref="AZ83">$G$12+VLOOKUP($Q83,武学奇术!$A:$ZZ,12,FALSE)+SUM(_xlfn.XLOOKUP(R83:AF83,增益!$A:$A,增益!$L:$L,0))</f>
        <v>0</v>
      </c>
      <c r="BA83">
        <f t="shared" si="38"/>
        <v>0</v>
      </c>
      <c r="BB83">
        <f t="shared" si="39"/>
        <v>0</v>
      </c>
      <c r="BC83" s="33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-0.3</v>
      </c>
      <c r="BD83" s="33" cm="1">
        <f t="array" ref="BD83">$G$13+VLOOKUP($Q83,武学奇术!$A:$ZZ,14,FALSE)+SUM(_xlfn.XLOOKUP(R83:AF83,增益!$A:$A,增益!$N:$N,0))</f>
        <v>0</v>
      </c>
      <c r="BE83">
        <f t="shared" si="40"/>
        <v>570.28</v>
      </c>
      <c r="BF83">
        <f t="shared" si="41"/>
        <v>1582.156</v>
      </c>
      <c r="BG83" s="33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</v>
      </c>
      <c r="BH83" s="33" cm="1">
        <f t="array" ref="BH83">$G$14+VLOOKUP($Q83,武学奇术!$A:$ZZ,16,FALSE)+SUM(_xlfn.XLOOKUP(R83:AF83,增益!$A:$A,增益!$P:$P,0))</f>
        <v>0.24</v>
      </c>
      <c r="BI83" s="27">
        <f>MIN(IF(VLOOKUP($Q83,武学奇术!$A:$ZZ,23,FALSE)=1,100%,$B$8),100%)</f>
        <v>1</v>
      </c>
      <c r="BJ83" s="27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+MIN(IF(VLOOKUP($Q83,武学奇术!$A:$ZZ,32,FALSE)=1,IF(VLOOKUP($Q83,武学奇术!$A:$ZZ,24,FALSE)=1,100%,MIN(40%,$B$10+VLOOKUP($Q83,武学奇术!$A:$ZZ,19,FALSE)+SUM(_xlfn.XLOOKUP(R83:AF83,增益!$A:$A,增益!$S:$S,0)))+$B$12+SUM(_xlfn.XLOOKUP(R83:AF83,增益!$A:$A,增益!$V:$V,0))),0),12%)</f>
        <v>0.918</v>
      </c>
      <c r="BK83" s="27" cm="1">
        <f t="array" ref="BK83">1+$B$13+VLOOKUP($Q83,武学奇术!$A:$ZZ,18,FALSE)+SUM(_xlfn.XLOOKUP(R83:AF83,增益!$A:$A,增益!$R:$R,0))</f>
        <v>1.64</v>
      </c>
      <c r="BL83" s="27" cm="1">
        <f t="array" ref="BL83">MAX(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-IF(VLOOKUP($Q83,武学奇术!$A:$ZZ,32,FALSE)=1,12%,0),0)</f>
        <v>0.0895</v>
      </c>
      <c r="BM83" s="27" cm="1">
        <f t="array" ref="BM83">1+$B$14+VLOOKUP($Q83,武学奇术!$A:$ZZ,20,FALSE)+SUM(_xlfn.XLOOKUP(R83:AF83,增益!$A:$A,增益!$T:$T,0))</f>
        <v>1.35</v>
      </c>
      <c r="BN83" s="27">
        <f t="shared" si="31"/>
        <v>0.9105</v>
      </c>
      <c r="BO83" s="27">
        <f t="shared" si="32"/>
        <v>0</v>
      </c>
      <c r="BP83" s="27">
        <f>IF(VLOOKUP($Q83,武学奇术!$A:$ZZ,22,FALSE)=1,0,(1-$BI83))*(1-$BL83)</f>
        <v>0</v>
      </c>
      <c r="BQ83" s="27" cm="1">
        <f t="array" ref="BQ83">SUM(_xlfn.XLOOKUP(R83:AF83,增益!$A:$A,增益!$W:$W,0))+$I$5</f>
        <v>0.11</v>
      </c>
    </row>
    <row r="84" spans="1:69">
      <c r="A84" s="4" t="s">
        <v>166</v>
      </c>
      <c r="B84" s="91">
        <v>1.16</v>
      </c>
      <c r="D84" s="40"/>
      <c r="F84" s="40"/>
      <c r="K84" s="39">
        <f t="shared" si="33"/>
        <v>1003103.60651156</v>
      </c>
      <c r="L84" s="39">
        <f>((($AN84+($AO84-$AN84)*IF(VLOOKUP($Q84,武学奇术!$A:$ZZ,31,FALSE)=1,$F$18,0.5))*$AH84+$AI84)*(1+$AP84)*(1+$AQ84)+(($AS84+($AT84-$AS84)*IF(VLOOKUP($Q84,武学奇术!$A:$ZZ,31,FALSE)=1,$F$18,0.5))*IF($G$1="鸣金",$AJ84,$AH84)+IF($G$1="鸣金",$AK84*1.5,0))*(1+$AU84)*(1+$AV84)+(($AW84+($AX84-$AW84)*IF(VLOOKUP($Q84,武学奇术!$A:$ZZ,31,FALSE)=1,$F$18,0.5))*IF($G$1="裂石",$AJ84,$AH84)+IF($G$1="裂石",$AK84*1.5,0))*(1+$AY84)*(1+$AZ84)+(($BA84+($BB84-$BA84)*IF(VLOOKUP($Q84,武学奇术!$A:$ZZ,31,FALSE)=1,$F$18,0.5))*IF($G$1="牵丝",$AJ84,$AH84)+IF($G$1="牵丝",$AK84*1.5,0))*(1+$BC84)*(1+$BD84)+(($BE84+($BF84-$BE84)*IF(VLOOKUP($Q84,武学奇术!$A:$ZZ,31,FALSE)=1,$F$18,0.5))*IF($G$1="破竹",$AJ84,$AH84)+IF($G$1="破竹",$AK84*1.5,0))*(1+$BG84)*(1+$BH84))*(1+$AL84)*$BK84*$P84*(1+IF(VLOOKUP($Q84,武学奇术!$A:$ZZ,30,FALSE)="蓄力技",$B$21,0))*(1+$BQ84)</f>
        <v>1003103.60651156</v>
      </c>
      <c r="M84" s="39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626364.901930694</v>
      </c>
      <c r="N84" s="39">
        <f>((($AN84+($AO84-$AN84)*IF(VLOOKUP($Q84,武学奇术!$A:$ZZ,31,FALSE)=1,$F$18,0.5))*$AH84+$AI84)*(1+$AP84)*(1+$AQ84)+(($AS84+($AT84-$AS84)*IF(VLOOKUP($Q84,武学奇术!$A:$ZZ,31,FALSE)=1,$F$18,0.5))*IF($G$1="鸣金",$AJ84,$AH84)+IF($G$1="鸣金",$AK84*1.5,0))*(1+$AU84)*(1+$AV84)+(($AW84+($AX84-$AW84)*IF(VLOOKUP($Q84,武学奇术!$A:$ZZ,31,FALSE)=1,$F$18,0.5))*IF($G$1="裂石",$AJ84,$AH84)+IF($G$1="裂石",$AK84*1.5,0))*(1+$AY84)*(1+$AZ84)+(($BA84+($BB84-$BA84)*IF(VLOOKUP($Q84,武学奇术!$A:$ZZ,31,FALSE)=1,$F$18,0.5))*IF($G$1="牵丝",$AJ84,$AH84)+IF($G$1="牵丝",$AK84*1.5,0))*(1+$BC84)*(1+$BD84)+(($BE84+($BF84-$BE84)*IF(VLOOKUP($Q84,武学奇术!$A:$ZZ,31,FALSE)=1,$F$18,0.5))*IF($G$1="破竹",$AJ84,$AH84)+IF($G$1="破竹",$AK84*1.5,0))*(1+$BG84)*(1+$BH84))*(1+$AL84)*$P84*(1+IF(VLOOKUP($Q84,武学奇术!$A:$ZZ,30,FALSE)="蓄力技",$B$21,0))*(1+$BQ84)</f>
        <v>419708.621971364</v>
      </c>
      <c r="O84" s="39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375443.242512584</v>
      </c>
      <c r="P84" s="40">
        <v>1</v>
      </c>
      <c r="Q84" s="41" t="s">
        <v>125</v>
      </c>
      <c r="R84" s="41" t="s">
        <v>93</v>
      </c>
      <c r="S84" s="41" t="s">
        <v>118</v>
      </c>
      <c r="T84" s="41" t="s">
        <v>119</v>
      </c>
      <c r="U84" s="41" t="s">
        <v>72</v>
      </c>
      <c r="V84" s="41" t="s">
        <v>72</v>
      </c>
      <c r="W84" s="41" t="s">
        <v>72</v>
      </c>
      <c r="X84" s="41" t="s">
        <v>165</v>
      </c>
      <c r="Y84" s="41" t="s">
        <v>72</v>
      </c>
      <c r="Z84" s="41" t="s">
        <v>101</v>
      </c>
      <c r="AA84" s="41" t="s">
        <v>72</v>
      </c>
      <c r="AB84" s="41" t="s">
        <v>72</v>
      </c>
      <c r="AC84" s="41" t="s">
        <v>72</v>
      </c>
      <c r="AD84" s="41" t="s">
        <v>72</v>
      </c>
      <c r="AE84" s="41" t="s">
        <v>75</v>
      </c>
      <c r="AF84" s="41" t="s">
        <v>76</v>
      </c>
      <c r="AG84" t="str">
        <f>VLOOKUP($Q84,武学奇术!$A:$ZZ,25,FALSE)</f>
        <v>拳甲</v>
      </c>
      <c r="AH84" s="27">
        <f>VLOOKUP($Q84,武学奇术!$A:$ZZ,26,FALSE)</f>
        <v>16.8107</v>
      </c>
      <c r="AI84" s="28">
        <f>VLOOKUP($Q84,武学奇术!$A:$ZZ,27,FALSE)*(1+IF(OR($AG84=$F$4,$AG84=$F$5),$B$22,0))</f>
        <v>6505.8</v>
      </c>
      <c r="AJ84" s="27">
        <f>VLOOKUP($Q84,武学奇术!$A:$ZZ,28,FALSE)</f>
        <v>25.2161</v>
      </c>
      <c r="AK84" s="28">
        <f>VLOOKUP($Q84,武学奇术!$A:$ZZ,29,FALSE)*(1+IF(OR($AG84=$F$4,$AG84=$F$5),$B$22,0))</f>
        <v>3546.2</v>
      </c>
      <c r="AL84" s="27" cm="1">
        <f t="array" ref="AL84">$G$3+IFERROR(VLOOKUP($AG84,$F$4:$G$7,2,FALSE),0)+VLOOKUP($Q84,武学奇术!$A:$ZZ,2,FALSE)+SUM(_xlfn.XLOOKUP($R84:$AF84,增益!$A:$A,增益!$B:$B,0))</f>
        <v>0.8541</v>
      </c>
      <c r="AM84" s="27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3804.006</v>
      </c>
      <c r="AO84" cm="1">
        <f t="array" ref="AO84">$E$10*(1+$AM84)+VLOOKUP($Q84,武学奇术!$A:$ZZ,4,FALSE)+SUM(_xlfn.XLOOKUP($R84:$AF84,增益!$A:$A,增益!$D:$D,0))-$I$2</f>
        <v>3804.006</v>
      </c>
      <c r="AP84" s="33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0.472</v>
      </c>
      <c r="AQ84" s="33" cm="1">
        <f t="array" ref="AQ84">$G$10+VLOOKUP($Q84,武学奇术!$A:$ZZ,7,FALSE)+SUM(_xlfn.XLOOKUP(R84:AF84,增益!$A:$A,增益!$G:$G,0))</f>
        <v>0.09</v>
      </c>
      <c r="AR84" s="27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3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-0.24</v>
      </c>
      <c r="AV84" s="33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33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-0.24</v>
      </c>
      <c r="AZ84" s="33" cm="1">
        <f t="array" ref="AZ84">$G$12+VLOOKUP($Q84,武学奇术!$A:$ZZ,12,FALSE)+SUM(_xlfn.XLOOKUP(R84:AF84,增益!$A:$A,增益!$L:$L,0))</f>
        <v>0</v>
      </c>
      <c r="BA84">
        <f t="shared" si="38"/>
        <v>0</v>
      </c>
      <c r="BB84">
        <f t="shared" si="39"/>
        <v>0</v>
      </c>
      <c r="BC84" s="33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-0.24</v>
      </c>
      <c r="BD84" s="33" cm="1">
        <f t="array" ref="BD84">$G$13+VLOOKUP($Q84,武学奇术!$A:$ZZ,14,FALSE)+SUM(_xlfn.XLOOKUP(R84:AF84,增益!$A:$A,增益!$N:$N,0))</f>
        <v>0</v>
      </c>
      <c r="BE84">
        <f t="shared" si="40"/>
        <v>570.28</v>
      </c>
      <c r="BF84">
        <f t="shared" si="41"/>
        <v>1582.156</v>
      </c>
      <c r="BG84" s="33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0.03</v>
      </c>
      <c r="BH84" s="33" cm="1">
        <f t="array" ref="BH84">$G$14+VLOOKUP($Q84,武学奇术!$A:$ZZ,16,FALSE)+SUM(_xlfn.XLOOKUP(R84:AF84,增益!$A:$A,增益!$P:$P,0))</f>
        <v>0.24</v>
      </c>
      <c r="BI84" s="27">
        <f>MIN(IF(VLOOKUP($Q84,武学奇术!$A:$ZZ,23,FALSE)=1,100%,$B$8),100%)</f>
        <v>1</v>
      </c>
      <c r="BJ84" s="27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+MIN(IF(VLOOKUP($Q84,武学奇术!$A:$ZZ,32,FALSE)=1,IF(VLOOKUP($Q84,武学奇术!$A:$ZZ,24,FALSE)=1,100%,MIN(40%,$B$10+VLOOKUP($Q84,武学奇术!$A:$ZZ,19,FALSE)+SUM(_xlfn.XLOOKUP(R84:AF84,增益!$A:$A,增益!$S:$S,0)))+$B$12+SUM(_xlfn.XLOOKUP(R84:AF84,增益!$A:$A,增益!$V:$V,0))),0),12%)</f>
        <v>1.0075</v>
      </c>
      <c r="BK84" s="27" cm="1">
        <f t="array" ref="BK84">1+$B$13+VLOOKUP($Q84,武学奇术!$A:$ZZ,18,FALSE)+SUM(_xlfn.XLOOKUP(R84:AF84,增益!$A:$A,增益!$R:$R,0))</f>
        <v>2.39</v>
      </c>
      <c r="BL84" s="27" cm="1">
        <f t="array" ref="BL84">MAX(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-IF(VLOOKUP($Q84,武学奇术!$A:$ZZ,32,FALSE)=1,12%,0),0)</f>
        <v>0</v>
      </c>
      <c r="BM84" s="27" cm="1">
        <f t="array" ref="BM84">1+$B$14+VLOOKUP($Q84,武学奇术!$A:$ZZ,20,FALSE)+SUM(_xlfn.XLOOKUP(R84:AF84,增益!$A:$A,增益!$T:$T,0))</f>
        <v>1.35</v>
      </c>
      <c r="BN84" s="27">
        <f t="shared" si="31"/>
        <v>1</v>
      </c>
      <c r="BO84" s="27">
        <f t="shared" si="32"/>
        <v>0</v>
      </c>
      <c r="BP84" s="27">
        <f>IF(VLOOKUP($Q84,武学奇术!$A:$ZZ,22,FALSE)=1,0,(1-$BI84))*(1-$BL84)</f>
        <v>0</v>
      </c>
      <c r="BQ84" s="27" cm="1">
        <f t="array" ref="BQ84">SUM(_xlfn.XLOOKUP(R84:AF84,增益!$A:$A,增益!$W:$W,0))+$I$5</f>
        <v>0.11</v>
      </c>
    </row>
    <row r="85" spans="1:69">
      <c r="A85" t="s">
        <v>153</v>
      </c>
      <c r="B85">
        <v>0.1</v>
      </c>
      <c r="F85" s="40"/>
      <c r="K85" s="39">
        <f t="shared" si="33"/>
        <v>386207.215941727</v>
      </c>
      <c r="L85" s="39">
        <f>((($AN85+($AO85-$AN85)*IF(VLOOKUP($Q85,武学奇术!$A:$ZZ,31,FALSE)=1,$F$18,0.5))*$AH85+$AI85)*(1+$AP85)*(1+$AQ85)+(($AS85+($AT85-$AS85)*IF(VLOOKUP($Q85,武学奇术!$A:$ZZ,31,FALSE)=1,$F$18,0.5))*IF($G$1="鸣金",$AJ85,$AH85)+IF($G$1="鸣金",$AK85*1.5,0))*(1+$AU85)*(1+$AV85)+(($AW85+($AX85-$AW85)*IF(VLOOKUP($Q85,武学奇术!$A:$ZZ,31,FALSE)=1,$F$18,0.5))*IF($G$1="裂石",$AJ85,$AH85)+IF($G$1="裂石",$AK85*1.5,0))*(1+$AY85)*(1+$AZ85)+(($BA85+($BB85-$BA85)*IF(VLOOKUP($Q85,武学奇术!$A:$ZZ,31,FALSE)=1,$F$18,0.5))*IF($G$1="牵丝",$AJ85,$AH85)+IF($G$1="牵丝",$AK85*1.5,0))*(1+$BC85)*(1+$BD85)+(($BE85+($BF85-$BE85)*IF(VLOOKUP($Q85,武学奇术!$A:$ZZ,31,FALSE)=1,$F$18,0.5))*IF($G$1="破竹",$AJ85,$AH85)+IF($G$1="破竹",$AK85*1.5,0))*(1+$BG85)*(1+$BH85))*(1+$AL85)*$BK85*$P85*(1+IF(VLOOKUP($Q85,武学奇术!$A:$ZZ,30,FALSE)="蓄力技",$B$21,0))*(1+$BQ85)</f>
        <v>386207.215941727</v>
      </c>
      <c r="M85" s="39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241157.643581105</v>
      </c>
      <c r="N85" s="39">
        <f>((($AN85+($AO85-$AN85)*IF(VLOOKUP($Q85,武学奇术!$A:$ZZ,31,FALSE)=1,$F$18,0.5))*$AH85+$AI85)*(1+$AP85)*(1+$AQ85)+(($AS85+($AT85-$AS85)*IF(VLOOKUP($Q85,武学奇术!$A:$ZZ,31,FALSE)=1,$F$18,0.5))*IF($G$1="鸣金",$AJ85,$AH85)+IF($G$1="鸣金",$AK85*1.5,0))*(1+$AU85)*(1+$AV85)+(($AW85+($AX85-$AW85)*IF(VLOOKUP($Q85,武学奇术!$A:$ZZ,31,FALSE)=1,$F$18,0.5))*IF($G$1="裂石",$AJ85,$AH85)+IF($G$1="裂石",$AK85*1.5,0))*(1+$AY85)*(1+$AZ85)+(($BA85+($BB85-$BA85)*IF(VLOOKUP($Q85,武学奇术!$A:$ZZ,31,FALSE)=1,$F$18,0.5))*IF($G$1="牵丝",$AJ85,$AH85)+IF($G$1="牵丝",$AK85*1.5,0))*(1+$BC85)*(1+$BD85)+(($BE85+($BF85-$BE85)*IF(VLOOKUP($Q85,武学奇术!$A:$ZZ,31,FALSE)=1,$F$18,0.5))*IF($G$1="破竹",$AJ85,$AH85)+IF($G$1="破竹",$AK85*1.5,0))*(1+$BG85)*(1+$BH85))*(1+$AL85)*$P85*(1+IF(VLOOKUP($Q85,武学奇术!$A:$ZZ,30,FALSE)="蓄力技",$B$21,0))*(1+$BQ85)</f>
        <v>161592.977381476</v>
      </c>
      <c r="O85" s="39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144550.663221392</v>
      </c>
      <c r="P85" s="40">
        <v>1</v>
      </c>
      <c r="Q85" s="41" t="s">
        <v>129</v>
      </c>
      <c r="R85" s="41" t="s">
        <v>93</v>
      </c>
      <c r="S85" s="41" t="s">
        <v>118</v>
      </c>
      <c r="T85" s="41" t="s">
        <v>119</v>
      </c>
      <c r="U85" s="41" t="s">
        <v>72</v>
      </c>
      <c r="V85" s="41" t="s">
        <v>72</v>
      </c>
      <c r="W85" s="41" t="s">
        <v>72</v>
      </c>
      <c r="X85" s="41" t="s">
        <v>165</v>
      </c>
      <c r="Y85" s="41" t="s">
        <v>72</v>
      </c>
      <c r="Z85" s="41" t="s">
        <v>101</v>
      </c>
      <c r="AA85" s="41" t="s">
        <v>72</v>
      </c>
      <c r="AB85" s="41" t="s">
        <v>72</v>
      </c>
      <c r="AC85" s="41" t="s">
        <v>72</v>
      </c>
      <c r="AD85" s="41" t="s">
        <v>72</v>
      </c>
      <c r="AE85" s="41" t="s">
        <v>75</v>
      </c>
      <c r="AF85" s="41" t="s">
        <v>76</v>
      </c>
      <c r="AG85" t="str">
        <f>VLOOKUP($Q85,武学奇术!$A:$ZZ,25,FALSE)</f>
        <v>拳甲</v>
      </c>
      <c r="AH85" s="27">
        <f>VLOOKUP($Q85,武学奇术!$A:$ZZ,26,FALSE)</f>
        <v>6.4722</v>
      </c>
      <c r="AI85" s="28">
        <f>VLOOKUP($Q85,武学奇术!$A:$ZZ,27,FALSE)*(1+IF(OR($AG85=$F$4,$AG85=$F$5),$B$22,0))</f>
        <v>2504.88</v>
      </c>
      <c r="AJ85" s="27">
        <f>VLOOKUP($Q85,武学奇术!$A:$ZZ,28,FALSE)</f>
        <v>9.70828</v>
      </c>
      <c r="AK85" s="28">
        <f>VLOOKUP($Q85,武学奇术!$A:$ZZ,29,FALSE)*(1+IF(OR($AG85=$F$4,$AG85=$F$5),$B$22,0))</f>
        <v>1365.84</v>
      </c>
      <c r="AL85" s="27" cm="1">
        <f t="array" ref="AL85">$G$3+IFERROR(VLOOKUP($AG85,$F$4:$G$7,2,FALSE),0)+VLOOKUP($Q85,武学奇术!$A:$ZZ,2,FALSE)+SUM(_xlfn.XLOOKUP($R85:$AF85,增益!$A:$A,增益!$B:$B,0))</f>
        <v>0.8541</v>
      </c>
      <c r="AM85" s="27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3804.006</v>
      </c>
      <c r="AO85" cm="1">
        <f t="array" ref="AO85">$E$10*(1+$AM85)+VLOOKUP($Q85,武学奇术!$A:$ZZ,4,FALSE)+SUM(_xlfn.XLOOKUP($R85:$AF85,增益!$A:$A,增益!$D:$D,0))-$I$2</f>
        <v>3804.006</v>
      </c>
      <c r="AP85" s="33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0.472</v>
      </c>
      <c r="AQ85" s="33" cm="1">
        <f t="array" ref="AQ85">$G$10+VLOOKUP($Q85,武学奇术!$A:$ZZ,7,FALSE)+SUM(_xlfn.XLOOKUP(R85:AF85,增益!$A:$A,增益!$G:$G,0))</f>
        <v>0.09</v>
      </c>
      <c r="AR85" s="27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3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-0.24</v>
      </c>
      <c r="AV85" s="33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33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-0.24</v>
      </c>
      <c r="AZ85" s="33" cm="1">
        <f t="array" ref="AZ85">$G$12+VLOOKUP($Q85,武学奇术!$A:$ZZ,12,FALSE)+SUM(_xlfn.XLOOKUP(R85:AF85,增益!$A:$A,增益!$L:$L,0))</f>
        <v>0</v>
      </c>
      <c r="BA85">
        <f t="shared" si="38"/>
        <v>0</v>
      </c>
      <c r="BB85">
        <f t="shared" si="39"/>
        <v>0</v>
      </c>
      <c r="BC85" s="33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-0.24</v>
      </c>
      <c r="BD85" s="33" cm="1">
        <f t="array" ref="BD85">$G$13+VLOOKUP($Q85,武学奇术!$A:$ZZ,14,FALSE)+SUM(_xlfn.XLOOKUP(R85:AF85,增益!$A:$A,增益!$N:$N,0))</f>
        <v>0</v>
      </c>
      <c r="BE85">
        <f t="shared" si="40"/>
        <v>570.28</v>
      </c>
      <c r="BF85">
        <f t="shared" si="41"/>
        <v>1582.156</v>
      </c>
      <c r="BG85" s="33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0.03</v>
      </c>
      <c r="BH85" s="33" cm="1">
        <f t="array" ref="BH85">$G$14+VLOOKUP($Q85,武学奇术!$A:$ZZ,16,FALSE)+SUM(_xlfn.XLOOKUP(R85:AF85,增益!$A:$A,增益!$P:$P,0))</f>
        <v>0.24</v>
      </c>
      <c r="BI85" s="27">
        <f>MIN(IF(VLOOKUP($Q85,武学奇术!$A:$ZZ,23,FALSE)=1,100%,$B$8),100%)</f>
        <v>1</v>
      </c>
      <c r="BJ85" s="27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+MIN(IF(VLOOKUP($Q85,武学奇术!$A:$ZZ,32,FALSE)=1,IF(VLOOKUP($Q85,武学奇术!$A:$ZZ,24,FALSE)=1,100%,MIN(40%,$B$10+VLOOKUP($Q85,武学奇术!$A:$ZZ,19,FALSE)+SUM(_xlfn.XLOOKUP(R85:AF85,增益!$A:$A,增益!$S:$S,0)))+$B$12+SUM(_xlfn.XLOOKUP(R85:AF85,增益!$A:$A,增益!$V:$V,0))),0),12%)</f>
        <v>1.0075</v>
      </c>
      <c r="BK85" s="27" cm="1">
        <f t="array" ref="BK85">1+$B$13+VLOOKUP($Q85,武学奇术!$A:$ZZ,18,FALSE)+SUM(_xlfn.XLOOKUP(R85:AF85,增益!$A:$A,增益!$R:$R,0))</f>
        <v>2.39</v>
      </c>
      <c r="BL85" s="27" cm="1">
        <f t="array" ref="BL85">MAX(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-IF(VLOOKUP($Q85,武学奇术!$A:$ZZ,32,FALSE)=1,12%,0),0)</f>
        <v>0</v>
      </c>
      <c r="BM85" s="27" cm="1">
        <f t="array" ref="BM85">1+$B$14+VLOOKUP($Q85,武学奇术!$A:$ZZ,20,FALSE)+SUM(_xlfn.XLOOKUP(R85:AF85,增益!$A:$A,增益!$T:$T,0))</f>
        <v>1.35</v>
      </c>
      <c r="BN85" s="27">
        <f t="shared" si="31"/>
        <v>1</v>
      </c>
      <c r="BO85" s="27">
        <f t="shared" si="32"/>
        <v>0</v>
      </c>
      <c r="BP85" s="27">
        <f>IF(VLOOKUP($Q85,武学奇术!$A:$ZZ,22,FALSE)=1,0,(1-$BI85))*(1-$BL85)</f>
        <v>0</v>
      </c>
      <c r="BQ85" s="27" cm="1">
        <f t="array" ref="BQ85">SUM(_xlfn.XLOOKUP(R85:AF85,增益!$A:$A,增益!$W:$W,0))+$I$5</f>
        <v>0.11</v>
      </c>
    </row>
    <row r="86" spans="1:69">
      <c r="A86" t="s">
        <v>174</v>
      </c>
      <c r="B86">
        <v>1.7</v>
      </c>
      <c r="F86" s="40"/>
      <c r="K86" s="39">
        <f t="shared" si="33"/>
        <v>28566.0383122822</v>
      </c>
      <c r="L86" s="39">
        <f>((($AN86+($AO86-$AN86)*IF(VLOOKUP($Q86,武学奇术!$A:$ZZ,31,FALSE)=1,$F$18,0.5))*$AH86+$AI86)*(1+$AP86)*(1+$AQ86)+(($AS86+($AT86-$AS86)*IF(VLOOKUP($Q86,武学奇术!$A:$ZZ,31,FALSE)=1,$F$18,0.5))*IF($G$1="鸣金",$AJ86,$AH86)+IF($G$1="鸣金",$AK86*1.5,0))*(1+$AU86)*(1+$AV86)+(($AW86+($AX86-$AW86)*IF(VLOOKUP($Q86,武学奇术!$A:$ZZ,31,FALSE)=1,$F$18,0.5))*IF($G$1="裂石",$AJ86,$AH86)+IF($G$1="裂石",$AK86*1.5,0))*(1+$AY86)*(1+$AZ86)+(($BA86+($BB86-$BA86)*IF(VLOOKUP($Q86,武学奇术!$A:$ZZ,31,FALSE)=1,$F$18,0.5))*IF($G$1="牵丝",$AJ86,$AH86)+IF($G$1="牵丝",$AK86*1.5,0))*(1+$BC86)*(1+$BD86)+(($BE86+($BF86-$BE86)*IF(VLOOKUP($Q86,武学奇术!$A:$ZZ,31,FALSE)=1,$F$18,0.5))*IF($G$1="破竹",$AJ86,$AH86)+IF($G$1="破竹",$AK86*1.5,0))*(1+$BG86)*(1+$BH86))*(1+$AL86)*$BK86*$P86*(1+IF(VLOOKUP($Q86,武学奇术!$A:$ZZ,30,FALSE)="蓄力技",$B$21,0))*(1+$BQ86)</f>
        <v>28771.0341061658</v>
      </c>
      <c r="M86" s="39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26480.578308584</v>
      </c>
      <c r="N86" s="39">
        <f>((($AN86+($AO86-$AN86)*IF(VLOOKUP($Q86,武学奇术!$A:$ZZ,31,FALSE)=1,$F$18,0.5))*$AH86+$AI86)*(1+$AP86)*(1+$AQ86)+(($AS86+($AT86-$AS86)*IF(VLOOKUP($Q86,武学奇术!$A:$ZZ,31,FALSE)=1,$F$18,0.5))*IF($G$1="鸣金",$AJ86,$AH86)+IF($G$1="鸣金",$AK86*1.5,0))*(1+$AU86)*(1+$AV86)+(($AW86+($AX86-$AW86)*IF(VLOOKUP($Q86,武学奇术!$A:$ZZ,31,FALSE)=1,$F$18,0.5))*IF($G$1="裂石",$AJ86,$AH86)+IF($G$1="裂石",$AK86*1.5,0))*(1+$AY86)*(1+$AZ86)+(($BA86+($BB86-$BA86)*IF(VLOOKUP($Q86,武学奇术!$A:$ZZ,31,FALSE)=1,$F$18,0.5))*IF($G$1="牵丝",$AJ86,$AH86)+IF($G$1="牵丝",$AK86*1.5,0))*(1+$BC86)*(1+$BD86)+(($BE86+($BF86-$BE86)*IF(VLOOKUP($Q86,武学奇术!$A:$ZZ,31,FALSE)=1,$F$18,0.5))*IF($G$1="破竹",$AJ86,$AH86)+IF($G$1="破竹",$AK86*1.5,0))*(1+$BG86)*(1+$BH86))*(1+$AL86)*$P86*(1+IF(VLOOKUP($Q86,武学奇术!$A:$ZZ,30,FALSE)="蓄力技",$B$21,0))*(1+$BQ86)</f>
        <v>17543.3134793694</v>
      </c>
      <c r="O86" s="39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15471.3837671951</v>
      </c>
      <c r="P86" s="40">
        <v>1</v>
      </c>
      <c r="Q86" s="41" t="s">
        <v>148</v>
      </c>
      <c r="R86" s="41" t="s">
        <v>93</v>
      </c>
      <c r="S86" s="41" t="s">
        <v>72</v>
      </c>
      <c r="T86" s="41" t="s">
        <v>119</v>
      </c>
      <c r="U86" s="41" t="s">
        <v>72</v>
      </c>
      <c r="V86" s="41" t="s">
        <v>72</v>
      </c>
      <c r="W86" s="41" t="s">
        <v>72</v>
      </c>
      <c r="X86" s="41" t="s">
        <v>165</v>
      </c>
      <c r="Y86" s="41" t="s">
        <v>81</v>
      </c>
      <c r="Z86" s="41" t="s">
        <v>72</v>
      </c>
      <c r="AA86" s="41" t="s">
        <v>72</v>
      </c>
      <c r="AB86" s="41" t="s">
        <v>72</v>
      </c>
      <c r="AC86" s="41" t="s">
        <v>72</v>
      </c>
      <c r="AD86" s="41" t="s">
        <v>72</v>
      </c>
      <c r="AE86" s="41" t="s">
        <v>75</v>
      </c>
      <c r="AF86" s="41" t="s">
        <v>76</v>
      </c>
      <c r="AG86" t="str">
        <f>VLOOKUP($Q86,武学奇术!$A:$ZZ,25,FALSE)</f>
        <v>绳镖</v>
      </c>
      <c r="AH86" s="27">
        <f>VLOOKUP($Q86,武学奇术!$A:$ZZ,26,FALSE)</f>
        <v>1.2503</v>
      </c>
      <c r="AI86" s="28">
        <f>VLOOKUP($Q86,武学奇术!$A:$ZZ,27,FALSE)*(1+IF(OR($AG86=$F$4,$AG86=$F$5),$B$22,0))</f>
        <v>485.8</v>
      </c>
      <c r="AJ86" s="27">
        <f>VLOOKUP($Q86,武学奇术!$A:$ZZ,28,FALSE)</f>
        <v>1.8755</v>
      </c>
      <c r="AK86" s="28">
        <f>VLOOKUP($Q86,武学奇术!$A:$ZZ,29,FALSE)*(1+IF(OR($AG86=$F$4,$AG86=$F$5),$B$22,0))</f>
        <v>264.6</v>
      </c>
      <c r="AL86" s="27" cm="1">
        <f t="array" ref="AL86">$G$3+IFERROR(VLOOKUP($AG86,$F$4:$G$7,2,FALSE),0)+VLOOKUP($Q86,武学奇术!$A:$ZZ,2,FALSE)+SUM(_xlfn.XLOOKUP($R86:$AF86,增益!$A:$A,增益!$B:$B,0))</f>
        <v>0.4689</v>
      </c>
      <c r="AM86" s="27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3804.006</v>
      </c>
      <c r="AO86" cm="1">
        <f t="array" ref="AO86">$E$10*(1+$AM86)+VLOOKUP($Q86,武学奇术!$A:$ZZ,4,FALSE)+SUM(_xlfn.XLOOKUP($R86:$AF86,增益!$A:$A,增益!$D:$D,0))-$I$2</f>
        <v>3804.006</v>
      </c>
      <c r="AP86" s="33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0.317</v>
      </c>
      <c r="AQ86" s="33" cm="1">
        <f t="array" ref="AQ86">$G$10+VLOOKUP($Q86,武学奇术!$A:$ZZ,7,FALSE)+SUM(_xlfn.XLOOKUP(R86:AF86,增益!$A:$A,增益!$G:$G,0))</f>
        <v>0.09</v>
      </c>
      <c r="AR86" s="27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3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-0.14</v>
      </c>
      <c r="AV86" s="33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33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-0.14</v>
      </c>
      <c r="AZ86" s="33" cm="1">
        <f t="array" ref="AZ86">$G$12+VLOOKUP($Q86,武学奇术!$A:$ZZ,12,FALSE)+SUM(_xlfn.XLOOKUP(R86:AF86,增益!$A:$A,增益!$L:$L,0))</f>
        <v>0</v>
      </c>
      <c r="BA86">
        <f t="shared" si="38"/>
        <v>0</v>
      </c>
      <c r="BB86">
        <f t="shared" si="39"/>
        <v>0</v>
      </c>
      <c r="BC86" s="33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-0.14</v>
      </c>
      <c r="BD86" s="33" cm="1">
        <f t="array" ref="BD86">$G$13+VLOOKUP($Q86,武学奇术!$A:$ZZ,14,FALSE)+SUM(_xlfn.XLOOKUP(R86:AF86,增益!$A:$A,增益!$N:$N,0))</f>
        <v>0</v>
      </c>
      <c r="BE86">
        <f t="shared" si="40"/>
        <v>570.28</v>
      </c>
      <c r="BF86">
        <f t="shared" si="41"/>
        <v>1582.156</v>
      </c>
      <c r="BG86" s="33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0.08</v>
      </c>
      <c r="BH86" s="33" cm="1">
        <f t="array" ref="BH86">$G$14+VLOOKUP($Q86,武学奇术!$A:$ZZ,16,FALSE)+SUM(_xlfn.XLOOKUP(R86:AF86,增益!$A:$A,增益!$P:$P,0))</f>
        <v>0.24</v>
      </c>
      <c r="BI86" s="27">
        <f>MIN(IF(VLOOKUP($Q86,武学奇术!$A:$ZZ,23,FALSE)=1,100%,$B$8),100%)</f>
        <v>1</v>
      </c>
      <c r="BJ86" s="27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+MIN(IF(VLOOKUP($Q86,武学奇术!$A:$ZZ,32,FALSE)=1,IF(VLOOKUP($Q86,武学奇术!$A:$ZZ,24,FALSE)=1,100%,MIN(40%,$B$10+VLOOKUP($Q86,武学奇术!$A:$ZZ,19,FALSE)+SUM(_xlfn.XLOOKUP(R86:AF86,增益!$A:$A,增益!$S:$S,0)))+$B$12+SUM(_xlfn.XLOOKUP(R86:AF86,增益!$A:$A,增益!$V:$V,0))),0),12%)</f>
        <v>0.918</v>
      </c>
      <c r="BK86" s="27" cm="1">
        <f t="array" ref="BK86">1+$B$13+VLOOKUP($Q86,武学奇术!$A:$ZZ,18,FALSE)+SUM(_xlfn.XLOOKUP(R86:AF86,增益!$A:$A,增益!$R:$R,0))</f>
        <v>1.64</v>
      </c>
      <c r="BL86" s="27" cm="1">
        <f t="array" ref="BL86">MAX(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-IF(VLOOKUP($Q86,武学奇术!$A:$ZZ,32,FALSE)=1,12%,0),0)</f>
        <v>0.0895</v>
      </c>
      <c r="BM86" s="27" cm="1">
        <f t="array" ref="BM86">1+$B$14+VLOOKUP($Q86,武学奇术!$A:$ZZ,20,FALSE)+SUM(_xlfn.XLOOKUP(R86:AF86,增益!$A:$A,增益!$T:$T,0))</f>
        <v>1.35</v>
      </c>
      <c r="BN86" s="27">
        <f t="shared" si="31"/>
        <v>0.9105</v>
      </c>
      <c r="BO86" s="27">
        <f t="shared" si="32"/>
        <v>0</v>
      </c>
      <c r="BP86" s="27">
        <f>IF(VLOOKUP($Q86,武学奇术!$A:$ZZ,22,FALSE)=1,0,(1-$BI86))*(1-$BL86)</f>
        <v>0</v>
      </c>
      <c r="BQ86" s="27" cm="1">
        <f t="array" ref="BQ86">SUM(_xlfn.XLOOKUP(R86:AF86,增益!$A:$A,增益!$W:$W,0))+$I$5</f>
        <v>0.11</v>
      </c>
    </row>
    <row r="87" spans="1:69">
      <c r="A87" s="4" t="s">
        <v>152</v>
      </c>
      <c r="B87" s="4">
        <v>0.9</v>
      </c>
      <c r="F87" s="40"/>
      <c r="K87" s="39">
        <f t="shared" si="33"/>
        <v>56743.0852570185</v>
      </c>
      <c r="L87" s="39">
        <f>((($AN87+($AO87-$AN87)*IF(VLOOKUP($Q87,武学奇术!$A:$ZZ,31,FALSE)=1,$F$18,0.5))*$AH87+$AI87)*(1+$AP87)*(1+$AQ87)+(($AS87+($AT87-$AS87)*IF(VLOOKUP($Q87,武学奇术!$A:$ZZ,31,FALSE)=1,$F$18,0.5))*IF($G$1="鸣金",$AJ87,$AH87)+IF($G$1="鸣金",$AK87*1.5,0))*(1+$AU87)*(1+$AV87)+(($AW87+($AX87-$AW87)*IF(VLOOKUP($Q87,武学奇术!$A:$ZZ,31,FALSE)=1,$F$18,0.5))*IF($G$1="裂石",$AJ87,$AH87)+IF($G$1="裂石",$AK87*1.5,0))*(1+$AY87)*(1+$AZ87)+(($BA87+($BB87-$BA87)*IF(VLOOKUP($Q87,武学奇术!$A:$ZZ,31,FALSE)=1,$F$18,0.5))*IF($G$1="牵丝",$AJ87,$AH87)+IF($G$1="牵丝",$AK87*1.5,0))*(1+$BC87)*(1+$BD87)+(($BE87+($BF87-$BE87)*IF(VLOOKUP($Q87,武学奇术!$A:$ZZ,31,FALSE)=1,$F$18,0.5))*IF($G$1="破竹",$AJ87,$AH87)+IF($G$1="破竹",$AK87*1.5,0))*(1+$BG87)*(1+$BH87))*(1+$AL87)*$BK87*$P87*(1+IF(VLOOKUP($Q87,武学奇术!$A:$ZZ,30,FALSE)="蓄力技",$B$21,0))*(1+$BQ87)</f>
        <v>57835.3723622739</v>
      </c>
      <c r="M87" s="39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45631.0471638897</v>
      </c>
      <c r="N87" s="39">
        <f>((($AN87+($AO87-$AN87)*IF(VLOOKUP($Q87,武学奇术!$A:$ZZ,31,FALSE)=1,$F$18,0.5))*$AH87+$AI87)*(1+$AP87)*(1+$AQ87)+(($AS87+($AT87-$AS87)*IF(VLOOKUP($Q87,武学奇术!$A:$ZZ,31,FALSE)=1,$F$18,0.5))*IF($G$1="鸣金",$AJ87,$AH87)+IF($G$1="鸣金",$AK87*1.5,0))*(1+$AU87)*(1+$AV87)+(($AW87+($AX87-$AW87)*IF(VLOOKUP($Q87,武学奇术!$A:$ZZ,31,FALSE)=1,$F$18,0.5))*IF($G$1="裂石",$AJ87,$AH87)+IF($G$1="裂石",$AK87*1.5,0))*(1+$AY87)*(1+$AZ87)+(($BA87+($BB87-$BA87)*IF(VLOOKUP($Q87,武学奇术!$A:$ZZ,31,FALSE)=1,$F$18,0.5))*IF($G$1="牵丝",$AJ87,$AH87)+IF($G$1="牵丝",$AK87*1.5,0))*(1+$BC87)*(1+$BD87)+(($BE87+($BF87-$BE87)*IF(VLOOKUP($Q87,武学奇术!$A:$ZZ,31,FALSE)=1,$F$18,0.5))*IF($G$1="破竹",$AJ87,$AH87)+IF($G$1="破竹",$AK87*1.5,0))*(1+$BG87)*(1+$BH87))*(1+$AL87)*$P87*(1+IF(VLOOKUP($Q87,武学奇术!$A:$ZZ,30,FALSE)="蓄力技",$B$21,0))*(1+$BQ87)</f>
        <v>29812.0476094195</v>
      </c>
      <c r="O87" s="39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25823.3195418837</v>
      </c>
      <c r="P87" s="40">
        <v>1</v>
      </c>
      <c r="Q87" s="41" t="s">
        <v>149</v>
      </c>
      <c r="R87" s="41" t="s">
        <v>93</v>
      </c>
      <c r="S87" s="41" t="s">
        <v>72</v>
      </c>
      <c r="T87" s="41" t="s">
        <v>119</v>
      </c>
      <c r="U87" s="41" t="s">
        <v>72</v>
      </c>
      <c r="V87" s="41" t="s">
        <v>72</v>
      </c>
      <c r="W87" s="41" t="s">
        <v>72</v>
      </c>
      <c r="X87" s="41" t="s">
        <v>165</v>
      </c>
      <c r="Y87" s="41" t="s">
        <v>81</v>
      </c>
      <c r="Z87" s="41" t="s">
        <v>101</v>
      </c>
      <c r="AA87" s="41" t="s">
        <v>72</v>
      </c>
      <c r="AB87" s="41" t="s">
        <v>72</v>
      </c>
      <c r="AC87" s="41" t="s">
        <v>72</v>
      </c>
      <c r="AD87" s="41" t="s">
        <v>72</v>
      </c>
      <c r="AE87" s="41" t="s">
        <v>75</v>
      </c>
      <c r="AF87" s="41" t="s">
        <v>76</v>
      </c>
      <c r="AG87" t="str">
        <f>VLOOKUP($Q87,武学奇术!$A:$ZZ,25,FALSE)</f>
        <v>绳镖</v>
      </c>
      <c r="AH87" s="27">
        <f>VLOOKUP($Q87,武学奇术!$A:$ZZ,26,FALSE)</f>
        <v>1.9448</v>
      </c>
      <c r="AI87" s="28">
        <f>VLOOKUP($Q87,武学奇术!$A:$ZZ,27,FALSE)*(1+IF(OR($AG87=$F$4,$AG87=$F$5),$B$22,0))</f>
        <v>0</v>
      </c>
      <c r="AJ87" s="27">
        <f>VLOOKUP($Q87,武学奇术!$A:$ZZ,28,FALSE)</f>
        <v>2.9172</v>
      </c>
      <c r="AK87" s="28">
        <f>VLOOKUP($Q87,武学奇术!$A:$ZZ,29,FALSE)*(1+IF(OR($AG87=$F$4,$AG87=$F$5),$B$22,0))</f>
        <v>0</v>
      </c>
      <c r="AL87" s="27" cm="1">
        <f t="array" ref="AL87">$G$3+IFERROR(VLOOKUP($AG87,$F$4:$G$7,2,FALSE),0)+VLOOKUP($Q87,武学奇术!$A:$ZZ,2,FALSE)+SUM(_xlfn.XLOOKUP($R87:$AF87,增益!$A:$A,增益!$B:$B,0))</f>
        <v>0.7689</v>
      </c>
      <c r="AM87" s="27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3804.006</v>
      </c>
      <c r="AO87" cm="1">
        <f t="array" ref="AO87">$E$10*(1+$AM87)+VLOOKUP($Q87,武学奇术!$A:$ZZ,4,FALSE)+SUM(_xlfn.XLOOKUP($R87:$AF87,增益!$A:$A,增益!$D:$D,0))-$I$2</f>
        <v>3804.006</v>
      </c>
      <c r="AP87" s="33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0.347</v>
      </c>
      <c r="AQ87" s="33" cm="1">
        <f t="array" ref="AQ87">$G$10+VLOOKUP($Q87,武学奇术!$A:$ZZ,7,FALSE)+SUM(_xlfn.XLOOKUP(R87:AF87,增益!$A:$A,增益!$G:$G,0))</f>
        <v>0.09</v>
      </c>
      <c r="AR87" s="27" cm="1">
        <f t="array" ref="AR87">VLOOKUP($Q87,武学奇术!$A:$ZZ,8,FALSE)+SUM(_xlfn.XLOOKUP(R87:AF87,增益!$A:$A,增益!$H:$H,0))</f>
        <v>0</v>
      </c>
      <c r="AS87">
        <f t="shared" si="34"/>
        <v>0</v>
      </c>
      <c r="AT87">
        <f t="shared" si="35"/>
        <v>0</v>
      </c>
      <c r="AU87" s="33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-0.08</v>
      </c>
      <c r="AV87" s="33" cm="1">
        <f t="array" ref="AV87">$G$11+VLOOKUP($Q87,武学奇术!$A:$ZZ,10,FALSE)+SUM(_xlfn.XLOOKUP(R87:AF87,增益!$A:$A,增益!$J:$J,0))</f>
        <v>0</v>
      </c>
      <c r="AW87">
        <f t="shared" si="36"/>
        <v>0</v>
      </c>
      <c r="AX87">
        <f t="shared" si="37"/>
        <v>0</v>
      </c>
      <c r="AY87" s="33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-0.08</v>
      </c>
      <c r="AZ87" s="33" cm="1">
        <f t="array" ref="AZ87">$G$12+VLOOKUP($Q87,武学奇术!$A:$ZZ,12,FALSE)+SUM(_xlfn.XLOOKUP(R87:AF87,增益!$A:$A,增益!$L:$L,0))</f>
        <v>0</v>
      </c>
      <c r="BA87">
        <f t="shared" si="38"/>
        <v>0</v>
      </c>
      <c r="BB87">
        <f t="shared" si="39"/>
        <v>0</v>
      </c>
      <c r="BC87" s="33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-0.08</v>
      </c>
      <c r="BD87" s="33" cm="1">
        <f t="array" ref="BD87">$G$13+VLOOKUP($Q87,武学奇术!$A:$ZZ,14,FALSE)+SUM(_xlfn.XLOOKUP(R87:AF87,增益!$A:$A,增益!$N:$N,0))</f>
        <v>0</v>
      </c>
      <c r="BE87">
        <f t="shared" si="40"/>
        <v>570.28</v>
      </c>
      <c r="BF87">
        <f t="shared" si="41"/>
        <v>1582.156</v>
      </c>
      <c r="BG87" s="33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0.11</v>
      </c>
      <c r="BH87" s="33" cm="1">
        <f t="array" ref="BH87">$G$14+VLOOKUP($Q87,武学奇术!$A:$ZZ,16,FALSE)+SUM(_xlfn.XLOOKUP(R87:AF87,增益!$A:$A,增益!$P:$P,0))</f>
        <v>0.24</v>
      </c>
      <c r="BI87" s="27">
        <f>MIN(IF(VLOOKUP($Q87,武学奇术!$A:$ZZ,23,FALSE)=1,100%,$B$8),100%)</f>
        <v>1</v>
      </c>
      <c r="BJ87" s="27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+MIN(IF(VLOOKUP($Q87,武学奇术!$A:$ZZ,32,FALSE)=1,IF(VLOOKUP($Q87,武学奇术!$A:$ZZ,24,FALSE)=1,100%,MIN(40%,$B$10+VLOOKUP($Q87,武学奇术!$A:$ZZ,19,FALSE)+SUM(_xlfn.XLOOKUP(R87:AF87,增益!$A:$A,增益!$S:$S,0)))+$B$12+SUM(_xlfn.XLOOKUP(R87:AF87,增益!$A:$A,增益!$V:$V,0))),0),12%)</f>
        <v>0.918</v>
      </c>
      <c r="BK87" s="27" cm="1">
        <f t="array" ref="BK87">1+$B$13+VLOOKUP($Q87,武学奇术!$A:$ZZ,18,FALSE)+SUM(_xlfn.XLOOKUP(R87:AF87,增益!$A:$A,增益!$R:$R,0))</f>
        <v>1.94</v>
      </c>
      <c r="BL87" s="27" cm="1">
        <f t="array" ref="BL87">MAX(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-IF(VLOOKUP($Q87,武学奇术!$A:$ZZ,32,FALSE)=1,12%,0),0)</f>
        <v>0.0895</v>
      </c>
      <c r="BM87" s="27" cm="1">
        <f t="array" ref="BM87">1+$B$14+VLOOKUP($Q87,武学奇术!$A:$ZZ,20,FALSE)+SUM(_xlfn.XLOOKUP(R87:AF87,增益!$A:$A,增益!$T:$T,0))</f>
        <v>1.35</v>
      </c>
      <c r="BN87" s="27">
        <f t="shared" si="31"/>
        <v>0.9105</v>
      </c>
      <c r="BO87" s="27">
        <f t="shared" si="32"/>
        <v>0</v>
      </c>
      <c r="BP87" s="27">
        <f>IF(VLOOKUP($Q87,武学奇术!$A:$ZZ,22,FALSE)=1,0,(1-$BI87))*(1-$BL87)</f>
        <v>0</v>
      </c>
      <c r="BQ87" s="27" cm="1">
        <f t="array" ref="BQ87">SUM(_xlfn.XLOOKUP(R87:AF87,增益!$A:$A,增益!$W:$W,0))+$I$5</f>
        <v>0.11</v>
      </c>
    </row>
    <row r="88" spans="1:69">
      <c r="A88" t="s">
        <v>153</v>
      </c>
      <c r="B88">
        <v>0.1</v>
      </c>
      <c r="F88" s="40"/>
      <c r="K88" s="39">
        <f t="shared" si="33"/>
        <v>11359.4896810693</v>
      </c>
      <c r="L88" s="39">
        <f>((($AN88+($AO88-$AN88)*IF(VLOOKUP($Q88,武学奇术!$A:$ZZ,31,FALSE)=1,$F$18,0.5))*$AH88+$AI88)*(1+$AP88)*(1+$AQ88)+(($AS88+($AT88-$AS88)*IF(VLOOKUP($Q88,武学奇术!$A:$ZZ,31,FALSE)=1,$F$18,0.5))*IF($G$1="鸣金",$AJ88,$AH88)+IF($G$1="鸣金",$AK88*1.5,0))*(1+$AU88)*(1+$AV88)+(($AW88+($AX88-$AW88)*IF(VLOOKUP($Q88,武学奇术!$A:$ZZ,31,FALSE)=1,$F$18,0.5))*IF($G$1="裂石",$AJ88,$AH88)+IF($G$1="裂石",$AK88*1.5,0))*(1+$AY88)*(1+$AZ88)+(($BA88+($BB88-$BA88)*IF(VLOOKUP($Q88,武学奇术!$A:$ZZ,31,FALSE)=1,$F$18,0.5))*IF($G$1="牵丝",$AJ88,$AH88)+IF($G$1="牵丝",$AK88*1.5,0))*(1+$BC88)*(1+$BD88)+(($BE88+($BF88-$BE88)*IF(VLOOKUP($Q88,武学奇术!$A:$ZZ,31,FALSE)=1,$F$18,0.5))*IF($G$1="破竹",$AJ88,$AH88)+IF($G$1="破竹",$AK88*1.5,0))*(1+$BG88)*(1+$BH88))*(1+$AL88)*$BK88*$P88*(1+IF(VLOOKUP($Q88,武学奇术!$A:$ZZ,30,FALSE)="蓄力技",$B$21,0))*(1+$BQ88)</f>
        <v>11440.9407277318</v>
      </c>
      <c r="M88" s="39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10530.8731672567</v>
      </c>
      <c r="N88" s="39">
        <f>((($AN88+($AO88-$AN88)*IF(VLOOKUP($Q88,武学奇术!$A:$ZZ,31,FALSE)=1,$F$18,0.5))*$AH88+$AI88)*(1+$AP88)*(1+$AQ88)+(($AS88+($AT88-$AS88)*IF(VLOOKUP($Q88,武学奇术!$A:$ZZ,31,FALSE)=1,$F$18,0.5))*IF($G$1="鸣金",$AJ88,$AH88)+IF($G$1="鸣金",$AK88*1.5,0))*(1+$AU88)*(1+$AV88)+(($AW88+($AX88-$AW88)*IF(VLOOKUP($Q88,武学奇术!$A:$ZZ,31,FALSE)=1,$F$18,0.5))*IF($G$1="裂石",$AJ88,$AH88)+IF($G$1="裂石",$AK88*1.5,0))*(1+$AY88)*(1+$AZ88)+(($BA88+($BB88-$BA88)*IF(VLOOKUP($Q88,武学奇术!$A:$ZZ,31,FALSE)=1,$F$18,0.5))*IF($G$1="牵丝",$AJ88,$AH88)+IF($G$1="牵丝",$AK88*1.5,0))*(1+$BC88)*(1+$BD88)+(($BE88+($BF88-$BE88)*IF(VLOOKUP($Q88,武学奇术!$A:$ZZ,31,FALSE)=1,$F$18,0.5))*IF($G$1="破竹",$AJ88,$AH88)+IF($G$1="破竹",$AK88*1.5,0))*(1+$BG88)*(1+$BH88))*(1+$AL88)*$P88*(1+IF(VLOOKUP($Q88,武学奇术!$A:$ZZ,30,FALSE)="蓄力技",$B$21,0))*(1+$BQ88)</f>
        <v>6976.18337056818</v>
      </c>
      <c r="O88" s="39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6151.71995057582</v>
      </c>
      <c r="P88" s="40">
        <v>1</v>
      </c>
      <c r="Q88" s="41" t="s">
        <v>96</v>
      </c>
      <c r="R88" s="41" t="s">
        <v>93</v>
      </c>
      <c r="S88" s="41" t="s">
        <v>72</v>
      </c>
      <c r="T88" s="41" t="s">
        <v>119</v>
      </c>
      <c r="U88" s="41" t="s">
        <v>72</v>
      </c>
      <c r="V88" s="41" t="s">
        <v>72</v>
      </c>
      <c r="W88" s="41" t="s">
        <v>72</v>
      </c>
      <c r="X88" s="41" t="s">
        <v>165</v>
      </c>
      <c r="Y88" s="41" t="s">
        <v>81</v>
      </c>
      <c r="Z88" s="41" t="s">
        <v>72</v>
      </c>
      <c r="AA88" s="41" t="s">
        <v>72</v>
      </c>
      <c r="AB88" s="41" t="s">
        <v>72</v>
      </c>
      <c r="AC88" s="41" t="s">
        <v>72</v>
      </c>
      <c r="AD88" s="41" t="s">
        <v>72</v>
      </c>
      <c r="AE88" s="41" t="s">
        <v>75</v>
      </c>
      <c r="AF88" s="41" t="s">
        <v>76</v>
      </c>
      <c r="AG88" t="str">
        <f>VLOOKUP($Q88,武学奇术!$A:$ZZ,25,FALSE)</f>
        <v>绳镖</v>
      </c>
      <c r="AH88" s="27">
        <f>VLOOKUP($Q88,武学奇术!$A:$ZZ,26,FALSE)</f>
        <v>0.4975</v>
      </c>
      <c r="AI88" s="28">
        <f>VLOOKUP($Q88,武学奇术!$A:$ZZ,27,FALSE)*(1+IF(OR($AG88=$F$4,$AG88=$F$5),$B$22,0))</f>
        <v>191.8</v>
      </c>
      <c r="AJ88" s="27">
        <f>VLOOKUP($Q88,武学奇术!$A:$ZZ,28,FALSE)</f>
        <v>0.7463</v>
      </c>
      <c r="AK88" s="28">
        <f>VLOOKUP($Q88,武学奇术!$A:$ZZ,29,FALSE)*(1+IF(OR($AG88=$F$4,$AG88=$F$5),$B$22,0))</f>
        <v>105</v>
      </c>
      <c r="AL88" s="27" cm="1">
        <f t="array" ref="AL88">$G$3+IFERROR(VLOOKUP($AG88,$F$4:$G$7,2,FALSE),0)+VLOOKUP($Q88,武学奇术!$A:$ZZ,2,FALSE)+SUM(_xlfn.XLOOKUP($R88:$AF88,增益!$A:$A,增益!$B:$B,0))</f>
        <v>0.4689</v>
      </c>
      <c r="AM88" s="27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3804.006</v>
      </c>
      <c r="AO88" cm="1">
        <f t="array" ref="AO88">$E$10*(1+$AM88)+VLOOKUP($Q88,武学奇术!$A:$ZZ,4,FALSE)+SUM(_xlfn.XLOOKUP($R88:$AF88,增益!$A:$A,增益!$D:$D,0))-$I$2</f>
        <v>3804.006</v>
      </c>
      <c r="AP88" s="33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0.317</v>
      </c>
      <c r="AQ88" s="33" cm="1">
        <f t="array" ref="AQ88">$G$10+VLOOKUP($Q88,武学奇术!$A:$ZZ,7,FALSE)+SUM(_xlfn.XLOOKUP(R88:AF88,增益!$A:$A,增益!$G:$G,0))</f>
        <v>0.09</v>
      </c>
      <c r="AR88" s="27" cm="1">
        <f t="array" ref="AR88">VLOOKUP($Q88,武学奇术!$A:$ZZ,8,FALSE)+SUM(_xlfn.XLOOKUP(R88:AF88,增益!$A:$A,增益!$H:$H,0))</f>
        <v>0</v>
      </c>
      <c r="AS88">
        <f t="shared" si="34"/>
        <v>0</v>
      </c>
      <c r="AT88">
        <f t="shared" si="35"/>
        <v>0</v>
      </c>
      <c r="AU88" s="33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-0.14</v>
      </c>
      <c r="AV88" s="33" cm="1">
        <f t="array" ref="AV88">$G$11+VLOOKUP($Q88,武学奇术!$A:$ZZ,10,FALSE)+SUM(_xlfn.XLOOKUP(R88:AF88,增益!$A:$A,增益!$J:$J,0))</f>
        <v>0</v>
      </c>
      <c r="AW88">
        <f t="shared" si="36"/>
        <v>0</v>
      </c>
      <c r="AX88">
        <f t="shared" si="37"/>
        <v>0</v>
      </c>
      <c r="AY88" s="33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-0.14</v>
      </c>
      <c r="AZ88" s="33" cm="1">
        <f t="array" ref="AZ88">$G$12+VLOOKUP($Q88,武学奇术!$A:$ZZ,12,FALSE)+SUM(_xlfn.XLOOKUP(R88:AF88,增益!$A:$A,增益!$L:$L,0))</f>
        <v>0</v>
      </c>
      <c r="BA88">
        <f t="shared" si="38"/>
        <v>0</v>
      </c>
      <c r="BB88">
        <f t="shared" si="39"/>
        <v>0</v>
      </c>
      <c r="BC88" s="33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-0.14</v>
      </c>
      <c r="BD88" s="33" cm="1">
        <f t="array" ref="BD88">$G$13+VLOOKUP($Q88,武学奇术!$A:$ZZ,14,FALSE)+SUM(_xlfn.XLOOKUP(R88:AF88,增益!$A:$A,增益!$N:$N,0))</f>
        <v>0</v>
      </c>
      <c r="BE88">
        <f t="shared" si="40"/>
        <v>570.28</v>
      </c>
      <c r="BF88">
        <f t="shared" si="41"/>
        <v>1582.156</v>
      </c>
      <c r="BG88" s="33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0.08</v>
      </c>
      <c r="BH88" s="33" cm="1">
        <f t="array" ref="BH88">$G$14+VLOOKUP($Q88,武学奇术!$A:$ZZ,16,FALSE)+SUM(_xlfn.XLOOKUP(R88:AF88,增益!$A:$A,增益!$P:$P,0))</f>
        <v>0.24</v>
      </c>
      <c r="BI88" s="27">
        <f>MIN(IF(VLOOKUP($Q88,武学奇术!$A:$ZZ,23,FALSE)=1,100%,$B$8),100%)</f>
        <v>1</v>
      </c>
      <c r="BJ88" s="27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+MIN(IF(VLOOKUP($Q88,武学奇术!$A:$ZZ,32,FALSE)=1,IF(VLOOKUP($Q88,武学奇术!$A:$ZZ,24,FALSE)=1,100%,MIN(40%,$B$10+VLOOKUP($Q88,武学奇术!$A:$ZZ,19,FALSE)+SUM(_xlfn.XLOOKUP(R88:AF88,增益!$A:$A,增益!$S:$S,0)))+$B$12+SUM(_xlfn.XLOOKUP(R88:AF88,增益!$A:$A,增益!$V:$V,0))),0),12%)</f>
        <v>0.918</v>
      </c>
      <c r="BK88" s="27" cm="1">
        <f t="array" ref="BK88">1+$B$13+VLOOKUP($Q88,武学奇术!$A:$ZZ,18,FALSE)+SUM(_xlfn.XLOOKUP(R88:AF88,增益!$A:$A,增益!$R:$R,0))</f>
        <v>1.64</v>
      </c>
      <c r="BL88" s="27" cm="1">
        <f t="array" ref="BL88">MAX(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-IF(VLOOKUP($Q88,武学奇术!$A:$ZZ,32,FALSE)=1,12%,0),0)</f>
        <v>0.0895</v>
      </c>
      <c r="BM88" s="27" cm="1">
        <f t="array" ref="BM88">1+$B$14+VLOOKUP($Q88,武学奇术!$A:$ZZ,20,FALSE)+SUM(_xlfn.XLOOKUP(R88:AF88,增益!$A:$A,增益!$T:$T,0))</f>
        <v>1.35</v>
      </c>
      <c r="BN88" s="27">
        <f t="shared" si="31"/>
        <v>0.9105</v>
      </c>
      <c r="BO88" s="27">
        <f t="shared" si="32"/>
        <v>0</v>
      </c>
      <c r="BP88" s="27">
        <f>IF(VLOOKUP($Q88,武学奇术!$A:$ZZ,22,FALSE)=1,0,(1-$BI88))*(1-$BL88)</f>
        <v>0</v>
      </c>
      <c r="BQ88" s="27" cm="1">
        <f t="array" ref="BQ88">SUM(_xlfn.XLOOKUP(R88:AF88,增益!$A:$A,增益!$W:$W,0))+$I$5</f>
        <v>0.11</v>
      </c>
    </row>
    <row r="89" spans="1:69">
      <c r="A89" s="4" t="s">
        <v>168</v>
      </c>
      <c r="B89" s="4">
        <v>1</v>
      </c>
      <c r="F89" s="40"/>
      <c r="K89" s="39">
        <f t="shared" si="33"/>
        <v>68091.7023084222</v>
      </c>
      <c r="L89" s="39">
        <f>((($AN89+($AO89-$AN89)*IF(VLOOKUP($Q89,武学奇术!$A:$ZZ,31,FALSE)=1,$F$18,0.5))*$AH89+$AI89)*(1+$AP89)*(1+$AQ89)+(($AS89+($AT89-$AS89)*IF(VLOOKUP($Q89,武学奇术!$A:$ZZ,31,FALSE)=1,$F$18,0.5))*IF($G$1="鸣金",$AJ89,$AH89)+IF($G$1="鸣金",$AK89*1.5,0))*(1+$AU89)*(1+$AV89)+(($AW89+($AX89-$AW89)*IF(VLOOKUP($Q89,武学奇术!$A:$ZZ,31,FALSE)=1,$F$18,0.5))*IF($G$1="裂石",$AJ89,$AH89)+IF($G$1="裂石",$AK89*1.5,0))*(1+$AY89)*(1+$AZ89)+(($BA89+($BB89-$BA89)*IF(VLOOKUP($Q89,武学奇术!$A:$ZZ,31,FALSE)=1,$F$18,0.5))*IF($G$1="牵丝",$AJ89,$AH89)+IF($G$1="牵丝",$AK89*1.5,0))*(1+$BC89)*(1+$BD89)+(($BE89+($BF89-$BE89)*IF(VLOOKUP($Q89,武学奇术!$A:$ZZ,31,FALSE)=1,$F$18,0.5))*IF($G$1="破竹",$AJ89,$AH89)+IF($G$1="破竹",$AK89*1.5,0))*(1+$BG89)*(1+$BH89))*(1+$AL89)*$BK89*$P89*(1+IF(VLOOKUP($Q89,武学奇术!$A:$ZZ,30,FALSE)="蓄力技",$B$21,0))*(1+$BQ89)</f>
        <v>69402.4468347286</v>
      </c>
      <c r="M89" s="39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54757.2565966676</v>
      </c>
      <c r="N89" s="39">
        <f>((($AN89+($AO89-$AN89)*IF(VLOOKUP($Q89,武学奇术!$A:$ZZ,31,FALSE)=1,$F$18,0.5))*$AH89+$AI89)*(1+$AP89)*(1+$AQ89)+(($AS89+($AT89-$AS89)*IF(VLOOKUP($Q89,武学奇术!$A:$ZZ,31,FALSE)=1,$F$18,0.5))*IF($G$1="鸣金",$AJ89,$AH89)+IF($G$1="鸣金",$AK89*1.5,0))*(1+$AU89)*(1+$AV89)+(($AW89+($AX89-$AW89)*IF(VLOOKUP($Q89,武学奇术!$A:$ZZ,31,FALSE)=1,$F$18,0.5))*IF($G$1="裂石",$AJ89,$AH89)+IF($G$1="裂石",$AK89*1.5,0))*(1+$AY89)*(1+$AZ89)+(($BA89+($BB89-$BA89)*IF(VLOOKUP($Q89,武学奇术!$A:$ZZ,31,FALSE)=1,$F$18,0.5))*IF($G$1="牵丝",$AJ89,$AH89)+IF($G$1="牵丝",$AK89*1.5,0))*(1+$BC89)*(1+$BD89)+(($BE89+($BF89-$BE89)*IF(VLOOKUP($Q89,武学奇术!$A:$ZZ,31,FALSE)=1,$F$18,0.5))*IF($G$1="破竹",$AJ89,$AH89)+IF($G$1="破竹",$AK89*1.5,0))*(1+$BG89)*(1+$BH89))*(1+$AL89)*$P89*(1+IF(VLOOKUP($Q89,武学奇术!$A:$ZZ,30,FALSE)="蓄力技",$B$21,0))*(1+$BQ89)</f>
        <v>35774.4571313034</v>
      </c>
      <c r="O89" s="39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30987.9834502605</v>
      </c>
      <c r="P89" s="40">
        <v>1</v>
      </c>
      <c r="Q89" s="41" t="s">
        <v>100</v>
      </c>
      <c r="R89" s="41" t="s">
        <v>93</v>
      </c>
      <c r="S89" s="41" t="s">
        <v>72</v>
      </c>
      <c r="T89" s="41" t="s">
        <v>119</v>
      </c>
      <c r="U89" s="41" t="s">
        <v>72</v>
      </c>
      <c r="V89" s="41" t="s">
        <v>72</v>
      </c>
      <c r="W89" s="41" t="s">
        <v>72</v>
      </c>
      <c r="X89" s="41" t="s">
        <v>165</v>
      </c>
      <c r="Y89" s="41" t="s">
        <v>81</v>
      </c>
      <c r="Z89" s="41" t="s">
        <v>101</v>
      </c>
      <c r="AA89" s="41" t="s">
        <v>72</v>
      </c>
      <c r="AB89" s="41" t="s">
        <v>72</v>
      </c>
      <c r="AC89" s="41" t="s">
        <v>72</v>
      </c>
      <c r="AD89" s="41" t="s">
        <v>72</v>
      </c>
      <c r="AE89" s="41" t="s">
        <v>75</v>
      </c>
      <c r="AF89" s="41" t="s">
        <v>76</v>
      </c>
      <c r="AG89" t="str">
        <f>VLOOKUP($Q89,武学奇术!$A:$ZZ,25,FALSE)</f>
        <v>绳镖</v>
      </c>
      <c r="AH89" s="27">
        <f>VLOOKUP($Q89,武学奇术!$A:$ZZ,26,FALSE)</f>
        <v>2.33376</v>
      </c>
      <c r="AI89" s="28">
        <f>VLOOKUP($Q89,武学奇术!$A:$ZZ,27,FALSE)*(1+IF(OR($AG89=$F$4,$AG89=$F$5),$B$22,0))</f>
        <v>0</v>
      </c>
      <c r="AJ89" s="27">
        <f>VLOOKUP($Q89,武学奇术!$A:$ZZ,28,FALSE)</f>
        <v>3.50064</v>
      </c>
      <c r="AK89" s="28">
        <f>VLOOKUP($Q89,武学奇术!$A:$ZZ,29,FALSE)*(1+IF(OR($AG89=$F$4,$AG89=$F$5),$B$22,0))</f>
        <v>0</v>
      </c>
      <c r="AL89" s="27" cm="1">
        <f t="array" ref="AL89">$G$3+IFERROR(VLOOKUP($AG89,$F$4:$G$7,2,FALSE),0)+VLOOKUP($Q89,武学奇术!$A:$ZZ,2,FALSE)+SUM(_xlfn.XLOOKUP($R89:$AF89,增益!$A:$A,增益!$B:$B,0))</f>
        <v>0.7689</v>
      </c>
      <c r="AM89" s="27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3804.006</v>
      </c>
      <c r="AO89" cm="1">
        <f t="array" ref="AO89">$E$10*(1+$AM89)+VLOOKUP($Q89,武学奇术!$A:$ZZ,4,FALSE)+SUM(_xlfn.XLOOKUP($R89:$AF89,增益!$A:$A,增益!$D:$D,0))-$I$2</f>
        <v>3804.006</v>
      </c>
      <c r="AP89" s="33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0.347</v>
      </c>
      <c r="AQ89" s="33" cm="1">
        <f t="array" ref="AQ89">$G$10+VLOOKUP($Q89,武学奇术!$A:$ZZ,7,FALSE)+SUM(_xlfn.XLOOKUP(R89:AF89,增益!$A:$A,增益!$G:$G,0))</f>
        <v>0.09</v>
      </c>
      <c r="AR89" s="27" cm="1">
        <f t="array" ref="AR89">VLOOKUP($Q89,武学奇术!$A:$ZZ,8,FALSE)+SUM(_xlfn.XLOOKUP(R89:AF89,增益!$A:$A,增益!$H:$H,0))</f>
        <v>0</v>
      </c>
      <c r="AS89">
        <f t="shared" si="34"/>
        <v>0</v>
      </c>
      <c r="AT89">
        <f t="shared" si="35"/>
        <v>0</v>
      </c>
      <c r="AU89" s="33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-0.08</v>
      </c>
      <c r="AV89" s="33" cm="1">
        <f t="array" ref="AV89">$G$11+VLOOKUP($Q89,武学奇术!$A:$ZZ,10,FALSE)+SUM(_xlfn.XLOOKUP(R89:AF89,增益!$A:$A,增益!$J:$J,0))</f>
        <v>0</v>
      </c>
      <c r="AW89">
        <f t="shared" si="36"/>
        <v>0</v>
      </c>
      <c r="AX89">
        <f t="shared" si="37"/>
        <v>0</v>
      </c>
      <c r="AY89" s="33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-0.08</v>
      </c>
      <c r="AZ89" s="33" cm="1">
        <f t="array" ref="AZ89">$G$12+VLOOKUP($Q89,武学奇术!$A:$ZZ,12,FALSE)+SUM(_xlfn.XLOOKUP(R89:AF89,增益!$A:$A,增益!$L:$L,0))</f>
        <v>0</v>
      </c>
      <c r="BA89">
        <f t="shared" si="38"/>
        <v>0</v>
      </c>
      <c r="BB89">
        <f t="shared" si="39"/>
        <v>0</v>
      </c>
      <c r="BC89" s="33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-0.08</v>
      </c>
      <c r="BD89" s="33" cm="1">
        <f t="array" ref="BD89">$G$13+VLOOKUP($Q89,武学奇术!$A:$ZZ,14,FALSE)+SUM(_xlfn.XLOOKUP(R89:AF89,增益!$A:$A,增益!$N:$N,0))</f>
        <v>0</v>
      </c>
      <c r="BE89">
        <f t="shared" si="40"/>
        <v>570.28</v>
      </c>
      <c r="BF89">
        <f t="shared" si="41"/>
        <v>1582.156</v>
      </c>
      <c r="BG89" s="33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0.11</v>
      </c>
      <c r="BH89" s="33" cm="1">
        <f t="array" ref="BH89">$G$14+VLOOKUP($Q89,武学奇术!$A:$ZZ,16,FALSE)+SUM(_xlfn.XLOOKUP(R89:AF89,增益!$A:$A,增益!$P:$P,0))</f>
        <v>0.24</v>
      </c>
      <c r="BI89" s="27">
        <f>MIN(IF(VLOOKUP($Q89,武学奇术!$A:$ZZ,23,FALSE)=1,100%,$B$8),100%)</f>
        <v>1</v>
      </c>
      <c r="BJ89" s="27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+MIN(IF(VLOOKUP($Q89,武学奇术!$A:$ZZ,32,FALSE)=1,IF(VLOOKUP($Q89,武学奇术!$A:$ZZ,24,FALSE)=1,100%,MIN(40%,$B$10+VLOOKUP($Q89,武学奇术!$A:$ZZ,19,FALSE)+SUM(_xlfn.XLOOKUP(R89:AF89,增益!$A:$A,增益!$S:$S,0)))+$B$12+SUM(_xlfn.XLOOKUP(R89:AF89,增益!$A:$A,增益!$V:$V,0))),0),12%)</f>
        <v>0.918</v>
      </c>
      <c r="BK89" s="27" cm="1">
        <f t="array" ref="BK89">1+$B$13+VLOOKUP($Q89,武学奇术!$A:$ZZ,18,FALSE)+SUM(_xlfn.XLOOKUP(R89:AF89,增益!$A:$A,增益!$R:$R,0))</f>
        <v>1.94</v>
      </c>
      <c r="BL89" s="27" cm="1">
        <f t="array" ref="BL89">MAX(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-IF(VLOOKUP($Q89,武学奇术!$A:$ZZ,32,FALSE)=1,12%,0),0)</f>
        <v>0.0895</v>
      </c>
      <c r="BM89" s="27" cm="1">
        <f t="array" ref="BM89">1+$B$14+VLOOKUP($Q89,武学奇术!$A:$ZZ,20,FALSE)+SUM(_xlfn.XLOOKUP(R89:AF89,增益!$A:$A,增益!$T:$T,0))</f>
        <v>1.35</v>
      </c>
      <c r="BN89" s="27">
        <f t="shared" si="31"/>
        <v>0.9105</v>
      </c>
      <c r="BO89" s="27">
        <f t="shared" si="32"/>
        <v>0</v>
      </c>
      <c r="BP89" s="27">
        <f>IF(VLOOKUP($Q89,武学奇术!$A:$ZZ,22,FALSE)=1,0,(1-$BI89))*(1-$BL89)</f>
        <v>0</v>
      </c>
      <c r="BQ89" s="27" cm="1">
        <f t="array" ref="BQ89">SUM(_xlfn.XLOOKUP(R89:AF89,增益!$A:$A,增益!$W:$W,0))+$I$5</f>
        <v>0.11</v>
      </c>
    </row>
    <row r="90" spans="1:69">
      <c r="A90" s="4" t="s">
        <v>166</v>
      </c>
      <c r="B90" s="91">
        <v>1.16</v>
      </c>
      <c r="F90" s="40"/>
      <c r="K90" s="39">
        <f t="shared" si="33"/>
        <v>58992.2352186541</v>
      </c>
      <c r="L90" s="39">
        <f>((($AN90+($AO90-$AN90)*IF(VLOOKUP($Q90,武学奇术!$A:$ZZ,31,FALSE)=1,$F$18,0.5))*$AH90+$AI90)*(1+$AP90)*(1+$AQ90)+(($AS90+($AT90-$AS90)*IF(VLOOKUP($Q90,武学奇术!$A:$ZZ,31,FALSE)=1,$F$18,0.5))*IF($G$1="鸣金",$AJ90,$AH90)+IF($G$1="鸣金",$AK90*1.5,0))*(1+$AU90)*(1+$AV90)+(($AW90+($AX90-$AW90)*IF(VLOOKUP($Q90,武学奇术!$A:$ZZ,31,FALSE)=1,$F$18,0.5))*IF($G$1="裂石",$AJ90,$AH90)+IF($G$1="裂石",$AK90*1.5,0))*(1+$AY90)*(1+$AZ90)+(($BA90+($BB90-$BA90)*IF(VLOOKUP($Q90,武学奇术!$A:$ZZ,31,FALSE)=1,$F$18,0.5))*IF($G$1="牵丝",$AJ90,$AH90)+IF($G$1="牵丝",$AK90*1.5,0))*(1+$BC90)*(1+$BD90)+(($BE90+($BF90-$BE90)*IF(VLOOKUP($Q90,武学奇术!$A:$ZZ,31,FALSE)=1,$F$18,0.5))*IF($G$1="破竹",$AJ90,$AH90)+IF($G$1="破竹",$AK90*1.5,0))*(1+$BG90)*(1+$BH90))*(1+$AL90)*$BK90*$P90*(1+IF(VLOOKUP($Q90,武学奇术!$A:$ZZ,30,FALSE)="蓄力技",$B$21,0))*(1+$BQ90)</f>
        <v>59415.2016085013</v>
      </c>
      <c r="M90" s="39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54689.3201576945</v>
      </c>
      <c r="N90" s="39">
        <f>((($AN90+($AO90-$AN90)*IF(VLOOKUP($Q90,武学奇术!$A:$ZZ,31,FALSE)=1,$F$18,0.5))*$AH90+$AI90)*(1+$AP90)*(1+$AQ90)+(($AS90+($AT90-$AS90)*IF(VLOOKUP($Q90,武学奇术!$A:$ZZ,31,FALSE)=1,$F$18,0.5))*IF($G$1="鸣金",$AJ90,$AH90)+IF($G$1="鸣金",$AK90*1.5,0))*(1+$AU90)*(1+$AV90)+(($AW90+($AX90-$AW90)*IF(VLOOKUP($Q90,武学奇术!$A:$ZZ,31,FALSE)=1,$F$18,0.5))*IF($G$1="裂石",$AJ90,$AH90)+IF($G$1="裂石",$AK90*1.5,0))*(1+$AY90)*(1+$AZ90)+(($BA90+($BB90-$BA90)*IF(VLOOKUP($Q90,武学奇术!$A:$ZZ,31,FALSE)=1,$F$18,0.5))*IF($G$1="牵丝",$AJ90,$AH90)+IF($G$1="牵丝",$AK90*1.5,0))*(1+$BC90)*(1+$BD90)+(($BE90+($BF90-$BE90)*IF(VLOOKUP($Q90,武学奇术!$A:$ZZ,31,FALSE)=1,$F$18,0.5))*IF($G$1="破竹",$AJ90,$AH90)+IF($G$1="破竹",$AK90*1.5,0))*(1+$BG90)*(1+$BH90))*(1+$AL90)*$P90*(1+IF(VLOOKUP($Q90,武学奇术!$A:$ZZ,30,FALSE)="蓄力技",$B$21,0))*(1+$BQ90)</f>
        <v>36228.7814685983</v>
      </c>
      <c r="O90" s="39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31946.9554129785</v>
      </c>
      <c r="P90" s="40">
        <v>1</v>
      </c>
      <c r="Q90" s="41" t="s">
        <v>111</v>
      </c>
      <c r="R90" s="41" t="s">
        <v>93</v>
      </c>
      <c r="S90" s="41" t="s">
        <v>72</v>
      </c>
      <c r="T90" s="41" t="s">
        <v>119</v>
      </c>
      <c r="U90" s="41" t="s">
        <v>72</v>
      </c>
      <c r="V90" s="41" t="s">
        <v>72</v>
      </c>
      <c r="W90" s="41" t="s">
        <v>72</v>
      </c>
      <c r="X90" s="41" t="s">
        <v>165</v>
      </c>
      <c r="Y90" s="41" t="s">
        <v>81</v>
      </c>
      <c r="Z90" s="41" t="s">
        <v>72</v>
      </c>
      <c r="AA90" s="41" t="s">
        <v>72</v>
      </c>
      <c r="AB90" s="41" t="s">
        <v>72</v>
      </c>
      <c r="AC90" s="41" t="s">
        <v>72</v>
      </c>
      <c r="AD90" s="41" t="s">
        <v>72</v>
      </c>
      <c r="AE90" s="41" t="s">
        <v>75</v>
      </c>
      <c r="AF90" s="41" t="s">
        <v>76</v>
      </c>
      <c r="AG90" t="str">
        <f>VLOOKUP($Q90,武学奇术!$A:$ZZ,25,FALSE)</f>
        <v>拳甲</v>
      </c>
      <c r="AH90" s="27">
        <f>VLOOKUP($Q90,武学奇术!$A:$ZZ,26,FALSE)</f>
        <v>2.4421</v>
      </c>
      <c r="AI90" s="28">
        <f>VLOOKUP($Q90,武学奇术!$A:$ZZ,27,FALSE)*(1+IF(OR($AG90=$F$4,$AG90=$F$5),$B$22,0))</f>
        <v>945</v>
      </c>
      <c r="AJ90" s="27">
        <f>VLOOKUP($Q90,武学奇术!$A:$ZZ,28,FALSE)</f>
        <v>3.6634</v>
      </c>
      <c r="AK90" s="28">
        <f>VLOOKUP($Q90,武学奇术!$A:$ZZ,29,FALSE)*(1+IF(OR($AG90=$F$4,$AG90=$F$5),$B$22,0))</f>
        <v>512.4</v>
      </c>
      <c r="AL90" s="27" cm="1">
        <f t="array" ref="AL90">$G$3+IFERROR(VLOOKUP($AG90,$F$4:$G$7,2,FALSE),0)+VLOOKUP($Q90,武学奇术!$A:$ZZ,2,FALSE)+SUM(_xlfn.XLOOKUP($R90:$AF90,增益!$A:$A,增益!$B:$B,0))</f>
        <v>0.5541</v>
      </c>
      <c r="AM90" s="27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3804.006</v>
      </c>
      <c r="AO90" cm="1">
        <f t="array" ref="AO90">$E$10*(1+$AM90)+VLOOKUP($Q90,武学奇术!$A:$ZZ,4,FALSE)+SUM(_xlfn.XLOOKUP($R90:$AF90,增益!$A:$A,增益!$D:$D,0))-$I$2</f>
        <v>3804.006</v>
      </c>
      <c r="AP90" s="33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0.317</v>
      </c>
      <c r="AQ90" s="33" cm="1">
        <f t="array" ref="AQ90">$G$10+VLOOKUP($Q90,武学奇术!$A:$ZZ,7,FALSE)+SUM(_xlfn.XLOOKUP(R90:AF90,增益!$A:$A,增益!$G:$G,0))</f>
        <v>0.09</v>
      </c>
      <c r="AR90" s="27" cm="1">
        <f t="array" ref="AR90">VLOOKUP($Q90,武学奇术!$A:$ZZ,8,FALSE)+SUM(_xlfn.XLOOKUP(R90:AF90,增益!$A:$A,增益!$H:$H,0))</f>
        <v>0</v>
      </c>
      <c r="AS90">
        <f t="shared" si="34"/>
        <v>0</v>
      </c>
      <c r="AT90">
        <f t="shared" si="35"/>
        <v>0</v>
      </c>
      <c r="AU90" s="33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-0.14</v>
      </c>
      <c r="AV90" s="33" cm="1">
        <f t="array" ref="AV90">$G$11+VLOOKUP($Q90,武学奇术!$A:$ZZ,10,FALSE)+SUM(_xlfn.XLOOKUP(R90:AF90,增益!$A:$A,增益!$J:$J,0))</f>
        <v>0</v>
      </c>
      <c r="AW90">
        <f t="shared" si="36"/>
        <v>0</v>
      </c>
      <c r="AX90">
        <f t="shared" si="37"/>
        <v>0</v>
      </c>
      <c r="AY90" s="33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-0.14</v>
      </c>
      <c r="AZ90" s="33" cm="1">
        <f t="array" ref="AZ90">$G$12+VLOOKUP($Q90,武学奇术!$A:$ZZ,12,FALSE)+SUM(_xlfn.XLOOKUP(R90:AF90,增益!$A:$A,增益!$L:$L,0))</f>
        <v>0</v>
      </c>
      <c r="BA90">
        <f t="shared" si="38"/>
        <v>0</v>
      </c>
      <c r="BB90">
        <f t="shared" si="39"/>
        <v>0</v>
      </c>
      <c r="BC90" s="33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-0.14</v>
      </c>
      <c r="BD90" s="33" cm="1">
        <f t="array" ref="BD90">$G$13+VLOOKUP($Q90,武学奇术!$A:$ZZ,14,FALSE)+SUM(_xlfn.XLOOKUP(R90:AF90,增益!$A:$A,增益!$N:$N,0))</f>
        <v>0</v>
      </c>
      <c r="BE90">
        <f t="shared" si="40"/>
        <v>570.28</v>
      </c>
      <c r="BF90">
        <f t="shared" si="41"/>
        <v>1582.156</v>
      </c>
      <c r="BG90" s="33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0.08</v>
      </c>
      <c r="BH90" s="33" cm="1">
        <f t="array" ref="BH90">$G$14+VLOOKUP($Q90,武学奇术!$A:$ZZ,16,FALSE)+SUM(_xlfn.XLOOKUP(R90:AF90,增益!$A:$A,增益!$P:$P,0))</f>
        <v>0.24</v>
      </c>
      <c r="BI90" s="27">
        <f>MIN(IF(VLOOKUP($Q90,武学奇术!$A:$ZZ,23,FALSE)=1,100%,$B$8),100%)</f>
        <v>1</v>
      </c>
      <c r="BJ90" s="27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+MIN(IF(VLOOKUP($Q90,武学奇术!$A:$ZZ,32,FALSE)=1,IF(VLOOKUP($Q90,武学奇术!$A:$ZZ,24,FALSE)=1,100%,MIN(40%,$B$10+VLOOKUP($Q90,武学奇术!$A:$ZZ,19,FALSE)+SUM(_xlfn.XLOOKUP(R90:AF90,增益!$A:$A,增益!$S:$S,0)))+$B$12+SUM(_xlfn.XLOOKUP(R90:AF90,增益!$A:$A,增益!$V:$V,0))),0),12%)</f>
        <v>0.918</v>
      </c>
      <c r="BK90" s="27" cm="1">
        <f t="array" ref="BK90">1+$B$13+VLOOKUP($Q90,武学奇术!$A:$ZZ,18,FALSE)+SUM(_xlfn.XLOOKUP(R90:AF90,增益!$A:$A,增益!$R:$R,0))</f>
        <v>1.64</v>
      </c>
      <c r="BL90" s="27" cm="1">
        <f t="array" ref="BL90">MAX(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-IF(VLOOKUP($Q90,武学奇术!$A:$ZZ,32,FALSE)=1,12%,0),0)</f>
        <v>0.0895</v>
      </c>
      <c r="BM90" s="27" cm="1">
        <f t="array" ref="BM90">1+$B$14+VLOOKUP($Q90,武学奇术!$A:$ZZ,20,FALSE)+SUM(_xlfn.XLOOKUP(R90:AF90,增益!$A:$A,增益!$T:$T,0))</f>
        <v>1.35</v>
      </c>
      <c r="BN90" s="27">
        <f t="shared" si="31"/>
        <v>0.9105</v>
      </c>
      <c r="BO90" s="27">
        <f t="shared" si="32"/>
        <v>0</v>
      </c>
      <c r="BP90" s="27">
        <f>IF(VLOOKUP($Q90,武学奇术!$A:$ZZ,22,FALSE)=1,0,(1-$BI90))*(1-$BL90)</f>
        <v>0</v>
      </c>
      <c r="BQ90" s="27" cm="1">
        <f t="array" ref="BQ90">SUM(_xlfn.XLOOKUP(R90:AF90,增益!$A:$A,增益!$W:$W,0))+$I$5</f>
        <v>0.11</v>
      </c>
    </row>
    <row r="91" spans="1:69">
      <c r="A91" s="4" t="s">
        <v>183</v>
      </c>
      <c r="B91" s="91">
        <v>0.7</v>
      </c>
      <c r="F91" s="40"/>
      <c r="K91" s="39">
        <f t="shared" si="33"/>
        <v>28125.7346280272</v>
      </c>
      <c r="L91" s="39">
        <f>((($AN91+($AO91-$AN91)*IF(VLOOKUP($Q91,武学奇术!$A:$ZZ,31,FALSE)=1,$F$18,0.5))*$AH91+$AI91)*(1+$AP91)*(1+$AQ91)+(($AS91+($AT91-$AS91)*IF(VLOOKUP($Q91,武学奇术!$A:$ZZ,31,FALSE)=1,$F$18,0.5))*IF($G$1="鸣金",$AJ91,$AH91)+IF($G$1="鸣金",$AK91*1.5,0))*(1+$AU91)*(1+$AV91)+(($AW91+($AX91-$AW91)*IF(VLOOKUP($Q91,武学奇术!$A:$ZZ,31,FALSE)=1,$F$18,0.5))*IF($G$1="裂石",$AJ91,$AH91)+IF($G$1="裂石",$AK91*1.5,0))*(1+$AY91)*(1+$AZ91)+(($BA91+($BB91-$BA91)*IF(VLOOKUP($Q91,武学奇术!$A:$ZZ,31,FALSE)=1,$F$18,0.5))*IF($G$1="牵丝",$AJ91,$AH91)+IF($G$1="牵丝",$AK91*1.5,0))*(1+$BC91)*(1+$BD91)+(($BE91+($BF91-$BE91)*IF(VLOOKUP($Q91,武学奇术!$A:$ZZ,31,FALSE)=1,$F$18,0.5))*IF($G$1="破竹",$AJ91,$AH91)+IF($G$1="破竹",$AK91*1.5,0))*(1+$BG91)*(1+$BH91))*(1+$AL91)*$BK91*$P91*(1+IF(VLOOKUP($Q91,武学奇术!$A:$ZZ,30,FALSE)="蓄力技",$B$21,0))*(1+$BQ91)</f>
        <v>28327.6372393392</v>
      </c>
      <c r="M91" s="39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26071.7421408814</v>
      </c>
      <c r="N91" s="39">
        <f>((($AN91+($AO91-$AN91)*IF(VLOOKUP($Q91,武学奇术!$A:$ZZ,31,FALSE)=1,$F$18,0.5))*$AH91+$AI91)*(1+$AP91)*(1+$AQ91)+(($AS91+($AT91-$AS91)*IF(VLOOKUP($Q91,武学奇术!$A:$ZZ,31,FALSE)=1,$F$18,0.5))*IF($G$1="鸣金",$AJ91,$AH91)+IF($G$1="鸣金",$AK91*1.5,0))*(1+$AU91)*(1+$AV91)+(($AW91+($AX91-$AW91)*IF(VLOOKUP($Q91,武学奇术!$A:$ZZ,31,FALSE)=1,$F$18,0.5))*IF($G$1="裂石",$AJ91,$AH91)+IF($G$1="裂石",$AK91*1.5,0))*(1+$AY91)*(1+$AZ91)+(($BA91+($BB91-$BA91)*IF(VLOOKUP($Q91,武学奇术!$A:$ZZ,31,FALSE)=1,$F$18,0.5))*IF($G$1="牵丝",$AJ91,$AH91)+IF($G$1="牵丝",$AK91*1.5,0))*(1+$BC91)*(1+$BD91)+(($BE91+($BF91-$BE91)*IF(VLOOKUP($Q91,武学奇术!$A:$ZZ,31,FALSE)=1,$F$18,0.5))*IF($G$1="破竹",$AJ91,$AH91)+IF($G$1="破竹",$AK91*1.5,0))*(1+$BG91)*(1+$BH91))*(1+$AL91)*$P91*(1+IF(VLOOKUP($Q91,武学奇术!$A:$ZZ,30,FALSE)="蓄力技",$B$21,0))*(1+$BQ91)</f>
        <v>17272.9495361824</v>
      </c>
      <c r="O91" s="39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15233.4974865268</v>
      </c>
      <c r="P91" s="40">
        <v>1</v>
      </c>
      <c r="Q91" s="41" t="s">
        <v>106</v>
      </c>
      <c r="R91" s="41" t="s">
        <v>93</v>
      </c>
      <c r="S91" s="41" t="s">
        <v>72</v>
      </c>
      <c r="T91" s="41" t="s">
        <v>72</v>
      </c>
      <c r="U91" s="41" t="s">
        <v>72</v>
      </c>
      <c r="V91" s="41" t="s">
        <v>72</v>
      </c>
      <c r="W91" s="41" t="s">
        <v>72</v>
      </c>
      <c r="X91" s="41" t="s">
        <v>165</v>
      </c>
      <c r="Y91" s="41" t="s">
        <v>81</v>
      </c>
      <c r="Z91" s="41" t="s">
        <v>72</v>
      </c>
      <c r="AA91" s="41" t="s">
        <v>72</v>
      </c>
      <c r="AB91" s="41" t="s">
        <v>72</v>
      </c>
      <c r="AC91" s="41" t="s">
        <v>72</v>
      </c>
      <c r="AD91" s="41" t="s">
        <v>72</v>
      </c>
      <c r="AE91" s="41" t="s">
        <v>75</v>
      </c>
      <c r="AF91" s="41" t="s">
        <v>76</v>
      </c>
      <c r="AG91" t="str">
        <f>VLOOKUP($Q91,武学奇术!$A:$ZZ,25,FALSE)</f>
        <v>拳甲</v>
      </c>
      <c r="AH91" s="27">
        <f>VLOOKUP($Q91,武学奇术!$A:$ZZ,26,FALSE)</f>
        <v>1.2876</v>
      </c>
      <c r="AI91" s="28">
        <f>VLOOKUP($Q91,武学奇术!$A:$ZZ,27,FALSE)*(1+IF(OR($AG91=$F$4,$AG91=$F$5),$B$22,0))</f>
        <v>501.2</v>
      </c>
      <c r="AJ91" s="27">
        <f>VLOOKUP($Q91,武学奇术!$A:$ZZ,28,FALSE)</f>
        <v>1.9313</v>
      </c>
      <c r="AK91" s="28">
        <f>VLOOKUP($Q91,武学奇术!$A:$ZZ,29,FALSE)*(1+IF(OR($AG91=$F$4,$AG91=$F$5),$B$22,0))</f>
        <v>273</v>
      </c>
      <c r="AL91" s="27" cm="1">
        <f t="array" ref="AL91">$G$3+IFERROR(VLOOKUP($AG91,$F$4:$G$7,2,FALSE),0)+VLOOKUP($Q91,武学奇术!$A:$ZZ,2,FALSE)+SUM(_xlfn.XLOOKUP($R91:$AF91,增益!$A:$A,增益!$B:$B,0))</f>
        <v>0.4041</v>
      </c>
      <c r="AM91" s="27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3804.006</v>
      </c>
      <c r="AO91" cm="1">
        <f t="array" ref="AO91">$E$10*(1+$AM91)+VLOOKUP($Q91,武学奇术!$A:$ZZ,4,FALSE)+SUM(_xlfn.XLOOKUP($R91:$AF91,增益!$A:$A,增益!$D:$D,0))-$I$2</f>
        <v>3804.006</v>
      </c>
      <c r="AP91" s="33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0.317</v>
      </c>
      <c r="AQ91" s="33" cm="1">
        <f t="array" ref="AQ91">$G$10+VLOOKUP($Q91,武学奇术!$A:$ZZ,7,FALSE)+SUM(_xlfn.XLOOKUP(R91:AF91,增益!$A:$A,增益!$G:$G,0))</f>
        <v>0.09</v>
      </c>
      <c r="AR91" s="27" cm="1">
        <f t="array" ref="AR91">VLOOKUP($Q91,武学奇术!$A:$ZZ,8,FALSE)+SUM(_xlfn.XLOOKUP(R91:AF91,增益!$A:$A,增益!$H:$H,0))</f>
        <v>0</v>
      </c>
      <c r="AS91">
        <f t="shared" si="34"/>
        <v>0</v>
      </c>
      <c r="AT91">
        <f t="shared" si="35"/>
        <v>0</v>
      </c>
      <c r="AU91" s="33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-0.14</v>
      </c>
      <c r="AV91" s="33" cm="1">
        <f t="array" ref="AV91">$G$11+VLOOKUP($Q91,武学奇术!$A:$ZZ,10,FALSE)+SUM(_xlfn.XLOOKUP(R91:AF91,增益!$A:$A,增益!$J:$J,0))</f>
        <v>0</v>
      </c>
      <c r="AW91">
        <f t="shared" si="36"/>
        <v>0</v>
      </c>
      <c r="AX91">
        <f t="shared" si="37"/>
        <v>0</v>
      </c>
      <c r="AY91" s="33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-0.14</v>
      </c>
      <c r="AZ91" s="33" cm="1">
        <f t="array" ref="AZ91">$G$12+VLOOKUP($Q91,武学奇术!$A:$ZZ,12,FALSE)+SUM(_xlfn.XLOOKUP(R91:AF91,增益!$A:$A,增益!$L:$L,0))</f>
        <v>0</v>
      </c>
      <c r="BA91">
        <f t="shared" si="38"/>
        <v>0</v>
      </c>
      <c r="BB91">
        <f t="shared" si="39"/>
        <v>0</v>
      </c>
      <c r="BC91" s="33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-0.14</v>
      </c>
      <c r="BD91" s="33" cm="1">
        <f t="array" ref="BD91">$G$13+VLOOKUP($Q91,武学奇术!$A:$ZZ,14,FALSE)+SUM(_xlfn.XLOOKUP(R91:AF91,增益!$A:$A,增益!$N:$N,0))</f>
        <v>0</v>
      </c>
      <c r="BE91">
        <f t="shared" si="40"/>
        <v>570.28</v>
      </c>
      <c r="BF91">
        <f t="shared" si="41"/>
        <v>1582.156</v>
      </c>
      <c r="BG91" s="33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0.08</v>
      </c>
      <c r="BH91" s="33" cm="1">
        <f t="array" ref="BH91">$G$14+VLOOKUP($Q91,武学奇术!$A:$ZZ,16,FALSE)+SUM(_xlfn.XLOOKUP(R91:AF91,增益!$A:$A,增益!$P:$P,0))</f>
        <v>0.24</v>
      </c>
      <c r="BI91" s="27">
        <f>MIN(IF(VLOOKUP($Q91,武学奇术!$A:$ZZ,23,FALSE)=1,100%,$B$8),100%)</f>
        <v>1</v>
      </c>
      <c r="BJ91" s="27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+MIN(IF(VLOOKUP($Q91,武学奇术!$A:$ZZ,32,FALSE)=1,IF(VLOOKUP($Q91,武学奇术!$A:$ZZ,24,FALSE)=1,100%,MIN(40%,$B$10+VLOOKUP($Q91,武学奇术!$A:$ZZ,19,FALSE)+SUM(_xlfn.XLOOKUP(R91:AF91,增益!$A:$A,增益!$S:$S,0)))+$B$12+SUM(_xlfn.XLOOKUP(R91:AF91,增益!$A:$A,增益!$V:$V,0))),0),12%)</f>
        <v>0.918</v>
      </c>
      <c r="BK91" s="27" cm="1">
        <f t="array" ref="BK91">1+$B$13+VLOOKUP($Q91,武学奇术!$A:$ZZ,18,FALSE)+SUM(_xlfn.XLOOKUP(R91:AF91,增益!$A:$A,增益!$R:$R,0))</f>
        <v>1.64</v>
      </c>
      <c r="BL91" s="27" cm="1">
        <f t="array" ref="BL91">MAX(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-IF(VLOOKUP($Q91,武学奇术!$A:$ZZ,32,FALSE)=1,12%,0),0)</f>
        <v>0.0895</v>
      </c>
      <c r="BM91" s="27" cm="1">
        <f t="array" ref="BM91">1+$B$14+VLOOKUP($Q91,武学奇术!$A:$ZZ,20,FALSE)+SUM(_xlfn.XLOOKUP(R91:AF91,增益!$A:$A,增益!$T:$T,0))</f>
        <v>1.35</v>
      </c>
      <c r="BN91" s="27">
        <f t="shared" si="31"/>
        <v>0.9105</v>
      </c>
      <c r="BO91" s="27">
        <f t="shared" si="32"/>
        <v>0</v>
      </c>
      <c r="BP91" s="27">
        <f>IF(VLOOKUP($Q91,武学奇术!$A:$ZZ,22,FALSE)=1,0,(1-$BI91))*(1-$BL91)</f>
        <v>0</v>
      </c>
      <c r="BQ91" s="27" cm="1">
        <f t="array" ref="BQ91">SUM(_xlfn.XLOOKUP(R91:AF91,增益!$A:$A,增益!$W:$W,0))+$I$5</f>
        <v>0.11</v>
      </c>
    </row>
    <row r="92" spans="1:69">
      <c r="A92" s="4" t="s">
        <v>184</v>
      </c>
      <c r="B92" s="91">
        <v>0.83</v>
      </c>
      <c r="F92" s="40"/>
      <c r="K92" s="39">
        <f t="shared" si="33"/>
        <v>65597.3033545041</v>
      </c>
      <c r="L92" s="39">
        <f>((($AN92+($AO92-$AN92)*IF(VLOOKUP($Q92,武学奇术!$A:$ZZ,31,FALSE)=1,$F$18,0.5))*$AH92+$AI92)*(1+$AP92)*(1+$AQ92)+(($AS92+($AT92-$AS92)*IF(VLOOKUP($Q92,武学奇术!$A:$ZZ,31,FALSE)=1,$F$18,0.5))*IF($G$1="鸣金",$AJ92,$AH92)+IF($G$1="鸣金",$AK92*1.5,0))*(1+$AU92)*(1+$AV92)+(($AW92+($AX92-$AW92)*IF(VLOOKUP($Q92,武学奇术!$A:$ZZ,31,FALSE)=1,$F$18,0.5))*IF($G$1="裂石",$AJ92,$AH92)+IF($G$1="裂石",$AK92*1.5,0))*(1+$AY92)*(1+$AZ92)+(($BA92+($BB92-$BA92)*IF(VLOOKUP($Q92,武学奇术!$A:$ZZ,31,FALSE)=1,$F$18,0.5))*IF($G$1="牵丝",$AJ92,$AH92)+IF($G$1="牵丝",$AK92*1.5,0))*(1+$BC92)*(1+$BD92)+(($BE92+($BF92-$BE92)*IF(VLOOKUP($Q92,武学奇术!$A:$ZZ,31,FALSE)=1,$F$18,0.5))*IF($G$1="破竹",$AJ92,$AH92)+IF($G$1="破竹",$AK92*1.5,0))*(1+$BG92)*(1+$BH92))*(1+$AL92)*$BK92*$P92*(1+IF(VLOOKUP($Q92,武学奇术!$A:$ZZ,30,FALSE)="蓄力技",$B$21,0))*(1+$BQ92)</f>
        <v>66860.0314608294</v>
      </c>
      <c r="M92" s="39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52751.3375354069</v>
      </c>
      <c r="N92" s="39">
        <f>((($AN92+($AO92-$AN92)*IF(VLOOKUP($Q92,武学奇术!$A:$ZZ,31,FALSE)=1,$F$18,0.5))*$AH92+$AI92)*(1+$AP92)*(1+$AQ92)+(($AS92+($AT92-$AS92)*IF(VLOOKUP($Q92,武学奇术!$A:$ZZ,31,FALSE)=1,$F$18,0.5))*IF($G$1="鸣金",$AJ92,$AH92)+IF($G$1="鸣金",$AK92*1.5,0))*(1+$AU92)*(1+$AV92)+(($AW92+($AX92-$AW92)*IF(VLOOKUP($Q92,武学奇术!$A:$ZZ,31,FALSE)=1,$F$18,0.5))*IF($G$1="裂石",$AJ92,$AH92)+IF($G$1="裂石",$AK92*1.5,0))*(1+$AY92)*(1+$AZ92)+(($BA92+($BB92-$BA92)*IF(VLOOKUP($Q92,武学奇术!$A:$ZZ,31,FALSE)=1,$F$18,0.5))*IF($G$1="牵丝",$AJ92,$AH92)+IF($G$1="牵丝",$AK92*1.5,0))*(1+$BC92)*(1+$BD92)+(($BE92+($BF92-$BE92)*IF(VLOOKUP($Q92,武学奇术!$A:$ZZ,31,FALSE)=1,$F$18,0.5))*IF($G$1="破竹",$AJ92,$AH92)+IF($G$1="破竹",$AK92*1.5,0))*(1+$BG92)*(1+$BH92))*(1+$AL92)*$P92*(1+IF(VLOOKUP($Q92,武学奇术!$A:$ZZ,30,FALSE)="蓄力技",$B$21,0))*(1+$BQ92)</f>
        <v>34463.9337426956</v>
      </c>
      <c r="O92" s="39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29852.802644349</v>
      </c>
      <c r="P92" s="40">
        <v>1</v>
      </c>
      <c r="Q92" s="41" t="s">
        <v>108</v>
      </c>
      <c r="R92" s="41" t="s">
        <v>93</v>
      </c>
      <c r="S92" s="41" t="s">
        <v>72</v>
      </c>
      <c r="T92" s="41" t="s">
        <v>72</v>
      </c>
      <c r="U92" s="41" t="s">
        <v>72</v>
      </c>
      <c r="V92" s="41" t="s">
        <v>72</v>
      </c>
      <c r="W92" s="41" t="s">
        <v>72</v>
      </c>
      <c r="X92" s="41" t="s">
        <v>165</v>
      </c>
      <c r="Y92" s="41" t="s">
        <v>81</v>
      </c>
      <c r="Z92" s="41" t="s">
        <v>101</v>
      </c>
      <c r="AA92" s="41" t="s">
        <v>72</v>
      </c>
      <c r="AB92" s="41" t="s">
        <v>72</v>
      </c>
      <c r="AC92" s="41" t="s">
        <v>72</v>
      </c>
      <c r="AD92" s="41" t="s">
        <v>72</v>
      </c>
      <c r="AE92" s="41" t="s">
        <v>75</v>
      </c>
      <c r="AF92" s="41" t="s">
        <v>76</v>
      </c>
      <c r="AG92" t="str">
        <f>VLOOKUP($Q92,武学奇术!$A:$ZZ,25,FALSE)</f>
        <v>拳甲</v>
      </c>
      <c r="AH92" s="27">
        <f>VLOOKUP($Q92,武学奇术!$A:$ZZ,26,FALSE)</f>
        <v>2.33376</v>
      </c>
      <c r="AI92" s="28">
        <f>VLOOKUP($Q92,武学奇术!$A:$ZZ,27,FALSE)*(1+IF(OR($AG92=$F$4,$AG92=$F$5),$B$22,0))</f>
        <v>0</v>
      </c>
      <c r="AJ92" s="27">
        <f>VLOOKUP($Q92,武学奇术!$A:$ZZ,28,FALSE)</f>
        <v>3.50064</v>
      </c>
      <c r="AK92" s="28">
        <f>VLOOKUP($Q92,武学奇术!$A:$ZZ,29,FALSE)*(1+IF(OR($AG92=$F$4,$AG92=$F$5),$B$22,0))</f>
        <v>0</v>
      </c>
      <c r="AL92" s="27" cm="1">
        <f t="array" ref="AL92">$G$3+IFERROR(VLOOKUP($AG92,$F$4:$G$7,2,FALSE),0)+VLOOKUP($Q92,武学奇术!$A:$ZZ,2,FALSE)+SUM(_xlfn.XLOOKUP($R92:$AF92,增益!$A:$A,增益!$B:$B,0))</f>
        <v>0.7041</v>
      </c>
      <c r="AM92" s="27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3804.006</v>
      </c>
      <c r="AO92" cm="1">
        <f t="array" ref="AO92">$E$10*(1+$AM92)+VLOOKUP($Q92,武学奇术!$A:$ZZ,4,FALSE)+SUM(_xlfn.XLOOKUP($R92:$AF92,增益!$A:$A,增益!$D:$D,0))-$I$2</f>
        <v>3804.006</v>
      </c>
      <c r="AP92" s="33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0.347</v>
      </c>
      <c r="AQ92" s="33" cm="1">
        <f t="array" ref="AQ92">$G$10+VLOOKUP($Q92,武学奇术!$A:$ZZ,7,FALSE)+SUM(_xlfn.XLOOKUP(R92:AF92,增益!$A:$A,增益!$G:$G,0))</f>
        <v>0.09</v>
      </c>
      <c r="AR92" s="27" cm="1">
        <f t="array" ref="AR92">VLOOKUP($Q92,武学奇术!$A:$ZZ,8,FALSE)+SUM(_xlfn.XLOOKUP(R92:AF92,增益!$A:$A,增益!$H:$H,0))</f>
        <v>0</v>
      </c>
      <c r="AS92">
        <f t="shared" si="34"/>
        <v>0</v>
      </c>
      <c r="AT92">
        <f t="shared" si="35"/>
        <v>0</v>
      </c>
      <c r="AU92" s="33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-0.08</v>
      </c>
      <c r="AV92" s="33" cm="1">
        <f t="array" ref="AV92">$G$11+VLOOKUP($Q92,武学奇术!$A:$ZZ,10,FALSE)+SUM(_xlfn.XLOOKUP(R92:AF92,增益!$A:$A,增益!$J:$J,0))</f>
        <v>0</v>
      </c>
      <c r="AW92">
        <f t="shared" si="36"/>
        <v>0</v>
      </c>
      <c r="AX92">
        <f t="shared" si="37"/>
        <v>0</v>
      </c>
      <c r="AY92" s="33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-0.08</v>
      </c>
      <c r="AZ92" s="33" cm="1">
        <f t="array" ref="AZ92">$G$12+VLOOKUP($Q92,武学奇术!$A:$ZZ,12,FALSE)+SUM(_xlfn.XLOOKUP(R92:AF92,增益!$A:$A,增益!$L:$L,0))</f>
        <v>0</v>
      </c>
      <c r="BA92">
        <f t="shared" si="38"/>
        <v>0</v>
      </c>
      <c r="BB92">
        <f t="shared" si="39"/>
        <v>0</v>
      </c>
      <c r="BC92" s="33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-0.08</v>
      </c>
      <c r="BD92" s="33" cm="1">
        <f t="array" ref="BD92">$G$13+VLOOKUP($Q92,武学奇术!$A:$ZZ,14,FALSE)+SUM(_xlfn.XLOOKUP(R92:AF92,增益!$A:$A,增益!$N:$N,0))</f>
        <v>0</v>
      </c>
      <c r="BE92">
        <f t="shared" si="40"/>
        <v>570.28</v>
      </c>
      <c r="BF92">
        <f t="shared" si="41"/>
        <v>1582.156</v>
      </c>
      <c r="BG92" s="33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0.11</v>
      </c>
      <c r="BH92" s="33" cm="1">
        <f t="array" ref="BH92">$G$14+VLOOKUP($Q92,武学奇术!$A:$ZZ,16,FALSE)+SUM(_xlfn.XLOOKUP(R92:AF92,增益!$A:$A,增益!$P:$P,0))</f>
        <v>0.24</v>
      </c>
      <c r="BI92" s="27">
        <f>MIN(IF(VLOOKUP($Q92,武学奇术!$A:$ZZ,23,FALSE)=1,100%,$B$8),100%)</f>
        <v>1</v>
      </c>
      <c r="BJ92" s="27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+MIN(IF(VLOOKUP($Q92,武学奇术!$A:$ZZ,32,FALSE)=1,IF(VLOOKUP($Q92,武学奇术!$A:$ZZ,24,FALSE)=1,100%,MIN(40%,$B$10+VLOOKUP($Q92,武学奇术!$A:$ZZ,19,FALSE)+SUM(_xlfn.XLOOKUP(R92:AF92,增益!$A:$A,增益!$S:$S,0)))+$B$12+SUM(_xlfn.XLOOKUP(R92:AF92,增益!$A:$A,增益!$V:$V,0))),0),12%)</f>
        <v>0.918</v>
      </c>
      <c r="BK92" s="27" cm="1">
        <f t="array" ref="BK92">1+$B$13+VLOOKUP($Q92,武学奇术!$A:$ZZ,18,FALSE)+SUM(_xlfn.XLOOKUP(R92:AF92,增益!$A:$A,增益!$R:$R,0))</f>
        <v>1.94</v>
      </c>
      <c r="BL92" s="27" cm="1">
        <f t="array" ref="BL92">MAX(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-IF(VLOOKUP($Q92,武学奇术!$A:$ZZ,32,FALSE)=1,12%,0),0)</f>
        <v>0.0895</v>
      </c>
      <c r="BM92" s="27" cm="1">
        <f t="array" ref="BM92">1+$B$14+VLOOKUP($Q92,武学奇术!$A:$ZZ,20,FALSE)+SUM(_xlfn.XLOOKUP(R92:AF92,增益!$A:$A,增益!$T:$T,0))</f>
        <v>1.35</v>
      </c>
      <c r="BN92" s="27">
        <f t="shared" si="31"/>
        <v>0.9105</v>
      </c>
      <c r="BO92" s="27">
        <f t="shared" si="32"/>
        <v>0</v>
      </c>
      <c r="BP92" s="27">
        <f>IF(VLOOKUP($Q92,武学奇术!$A:$ZZ,22,FALSE)=1,0,(1-$BI92))*(1-$BL92)</f>
        <v>0</v>
      </c>
      <c r="BQ92" s="27" cm="1">
        <f t="array" ref="BQ92">SUM(_xlfn.XLOOKUP(R92:AF92,增益!$A:$A,增益!$W:$W,0))+$I$5</f>
        <v>0.11</v>
      </c>
    </row>
    <row r="93" spans="1:69">
      <c r="A93" s="4" t="s">
        <v>166</v>
      </c>
      <c r="B93" s="91">
        <v>1.16</v>
      </c>
      <c r="C93" s="40"/>
      <c r="D93" s="40"/>
      <c r="F93" s="4"/>
      <c r="G93" s="91">
        <v>35</v>
      </c>
      <c r="K93" s="39">
        <f t="shared" si="33"/>
        <v>24022.2140458623</v>
      </c>
      <c r="L93" s="39">
        <f>((($AN93+($AO93-$AN93)*IF(VLOOKUP($Q93,武学奇术!$A:$ZZ,31,FALSE)=1,$F$18,0.5))*$AH93+$AI93)*(1+$AP93)*(1+$AQ93)+(($AS93+($AT93-$AS93)*IF(VLOOKUP($Q93,武学奇术!$A:$ZZ,31,FALSE)=1,$F$18,0.5))*IF($G$1="鸣金",$AJ93,$AH93)+IF($G$1="鸣金",$AK93*1.5,0))*(1+$AU93)*(1+$AV93)+(($AW93+($AX93-$AW93)*IF(VLOOKUP($Q93,武学奇术!$A:$ZZ,31,FALSE)=1,$F$18,0.5))*IF($G$1="裂石",$AJ93,$AH93)+IF($G$1="裂石",$AK93*1.5,0))*(1+$AY93)*(1+$AZ93)+(($BA93+($BB93-$BA93)*IF(VLOOKUP($Q93,武学奇术!$A:$ZZ,31,FALSE)=1,$F$18,0.5))*IF($G$1="牵丝",$AJ93,$AH93)+IF($G$1="牵丝",$AK93*1.5,0))*(1+$BC93)*(1+$BD93)+(($BE93+($BF93-$BE93)*IF(VLOOKUP($Q93,武学奇术!$A:$ZZ,31,FALSE)=1,$F$18,0.5))*IF($G$1="破竹",$AJ93,$AH93)+IF($G$1="破竹",$AK93*1.5,0))*(1+$BG93)*(1+$BH93))*(1+$AL93)*$BK93*$P93*(1+IF(VLOOKUP($Q93,武学奇术!$A:$ZZ,30,FALSE)="蓄力技",$B$21,0))*(1+$BQ93)</f>
        <v>24194.506906807</v>
      </c>
      <c r="M93" s="39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22269.4470079836</v>
      </c>
      <c r="N93" s="39">
        <f>((($AN93+($AO93-$AN93)*IF(VLOOKUP($Q93,武学奇术!$A:$ZZ,31,FALSE)=1,$F$18,0.5))*$AH93+$AI93)*(1+$AP93)*(1+$AQ93)+(($AS93+($AT93-$AS93)*IF(VLOOKUP($Q93,武学奇术!$A:$ZZ,31,FALSE)=1,$F$18,0.5))*IF($G$1="鸣金",$AJ93,$AH93)+IF($G$1="鸣金",$AK93*1.5,0))*(1+$AU93)*(1+$AV93)+(($AW93+($AX93-$AW93)*IF(VLOOKUP($Q93,武学奇术!$A:$ZZ,31,FALSE)=1,$F$18,0.5))*IF($G$1="裂石",$AJ93,$AH93)+IF($G$1="裂石",$AK93*1.5,0))*(1+$AY93)*(1+$AZ93)+(($BA93+($BB93-$BA93)*IF(VLOOKUP($Q93,武学奇术!$A:$ZZ,31,FALSE)=1,$F$18,0.5))*IF($G$1="牵丝",$AJ93,$AH93)+IF($G$1="牵丝",$AK93*1.5,0))*(1+$BC93)*(1+$BD93)+(($BE93+($BF93-$BE93)*IF(VLOOKUP($Q93,武学奇术!$A:$ZZ,31,FALSE)=1,$F$18,0.5))*IF($G$1="破竹",$AJ93,$AH93)+IF($G$1="破竹",$AK93*1.5,0))*(1+$BG93)*(1+$BH93))*(1+$AL93)*$P93*(1+IF(VLOOKUP($Q93,武学奇术!$A:$ZZ,30,FALSE)="蓄力技",$B$21,0))*(1+$BQ93)</f>
        <v>14752.7481139067</v>
      </c>
      <c r="O93" s="39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13009.609555233</v>
      </c>
      <c r="P93" s="40">
        <v>1</v>
      </c>
      <c r="Q93" s="41" t="s">
        <v>140</v>
      </c>
      <c r="R93" s="41" t="s">
        <v>93</v>
      </c>
      <c r="S93" s="41" t="s">
        <v>72</v>
      </c>
      <c r="T93" s="41" t="s">
        <v>72</v>
      </c>
      <c r="U93" s="41" t="s">
        <v>72</v>
      </c>
      <c r="V93" s="41" t="s">
        <v>72</v>
      </c>
      <c r="W93" s="41" t="s">
        <v>72</v>
      </c>
      <c r="X93" s="41" t="s">
        <v>165</v>
      </c>
      <c r="Y93" s="41" t="s">
        <v>81</v>
      </c>
      <c r="Z93" s="41" t="s">
        <v>72</v>
      </c>
      <c r="AA93" s="41" t="s">
        <v>72</v>
      </c>
      <c r="AB93" s="41" t="s">
        <v>72</v>
      </c>
      <c r="AC93" s="41" t="s">
        <v>72</v>
      </c>
      <c r="AD93" s="41" t="s">
        <v>72</v>
      </c>
      <c r="AE93" s="41" t="s">
        <v>75</v>
      </c>
      <c r="AF93" s="41" t="s">
        <v>76</v>
      </c>
      <c r="AG93" t="str">
        <f>VLOOKUP($Q93,武学奇术!$A:$ZZ,25,FALSE)</f>
        <v>拳甲</v>
      </c>
      <c r="AH93" s="27">
        <f>VLOOKUP($Q93,武学奇术!$A:$ZZ,26,FALSE)</f>
        <v>1.1005</v>
      </c>
      <c r="AI93" s="28">
        <f>VLOOKUP($Q93,武学奇术!$A:$ZZ,27,FALSE)*(1+IF(OR($AG93=$F$4,$AG93=$F$5),$B$22,0))</f>
        <v>427</v>
      </c>
      <c r="AJ93" s="27">
        <f>VLOOKUP($Q93,武学奇术!$A:$ZZ,28,FALSE)</f>
        <v>1.6507</v>
      </c>
      <c r="AK93" s="28">
        <f>VLOOKUP($Q93,武学奇术!$A:$ZZ,29,FALSE)*(1+IF(OR($AG93=$F$4,$AG93=$F$5),$B$22,0))</f>
        <v>231</v>
      </c>
      <c r="AL93" s="27" cm="1">
        <f t="array" ref="AL93">$G$3+IFERROR(VLOOKUP($AG93,$F$4:$G$7,2,FALSE),0)+VLOOKUP($Q93,武学奇术!$A:$ZZ,2,FALSE)+SUM(_xlfn.XLOOKUP($R93:$AF93,增益!$A:$A,增益!$B:$B,0))</f>
        <v>0.4041</v>
      </c>
      <c r="AM93" s="27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3804.006</v>
      </c>
      <c r="AO93" cm="1">
        <f t="array" ref="AO93">$E$10*(1+$AM93)+VLOOKUP($Q93,武学奇术!$A:$ZZ,4,FALSE)+SUM(_xlfn.XLOOKUP($R93:$AF93,增益!$A:$A,增益!$D:$D,0))-$I$2</f>
        <v>3804.006</v>
      </c>
      <c r="AP93" s="33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0.317</v>
      </c>
      <c r="AQ93" s="33" cm="1">
        <f t="array" ref="AQ93">$G$10+VLOOKUP($Q93,武学奇术!$A:$ZZ,7,FALSE)+SUM(_xlfn.XLOOKUP(R93:AF93,增益!$A:$A,增益!$G:$G,0))</f>
        <v>0.09</v>
      </c>
      <c r="AR93" s="27" cm="1">
        <f t="array" ref="AR93">VLOOKUP($Q93,武学奇术!$A:$ZZ,8,FALSE)+SUM(_xlfn.XLOOKUP(R93:AF93,增益!$A:$A,增益!$H:$H,0))</f>
        <v>0</v>
      </c>
      <c r="AS93">
        <f t="shared" si="34"/>
        <v>0</v>
      </c>
      <c r="AT93">
        <f t="shared" si="35"/>
        <v>0</v>
      </c>
      <c r="AU93" s="33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-0.14</v>
      </c>
      <c r="AV93" s="33" cm="1">
        <f t="array" ref="AV93">$G$11+VLOOKUP($Q93,武学奇术!$A:$ZZ,10,FALSE)+SUM(_xlfn.XLOOKUP(R93:AF93,增益!$A:$A,增益!$J:$J,0))</f>
        <v>0</v>
      </c>
      <c r="AW93">
        <f t="shared" si="36"/>
        <v>0</v>
      </c>
      <c r="AX93">
        <f t="shared" si="37"/>
        <v>0</v>
      </c>
      <c r="AY93" s="33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-0.14</v>
      </c>
      <c r="AZ93" s="33" cm="1">
        <f t="array" ref="AZ93">$G$12+VLOOKUP($Q93,武学奇术!$A:$ZZ,12,FALSE)+SUM(_xlfn.XLOOKUP(R93:AF93,增益!$A:$A,增益!$L:$L,0))</f>
        <v>0</v>
      </c>
      <c r="BA93">
        <f t="shared" si="38"/>
        <v>0</v>
      </c>
      <c r="BB93">
        <f t="shared" si="39"/>
        <v>0</v>
      </c>
      <c r="BC93" s="33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-0.14</v>
      </c>
      <c r="BD93" s="33" cm="1">
        <f t="array" ref="BD93">$G$13+VLOOKUP($Q93,武学奇术!$A:$ZZ,14,FALSE)+SUM(_xlfn.XLOOKUP(R93:AF93,增益!$A:$A,增益!$N:$N,0))</f>
        <v>0</v>
      </c>
      <c r="BE93">
        <f t="shared" si="40"/>
        <v>570.28</v>
      </c>
      <c r="BF93">
        <f t="shared" si="41"/>
        <v>1582.156</v>
      </c>
      <c r="BG93" s="33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0.08</v>
      </c>
      <c r="BH93" s="33" cm="1">
        <f t="array" ref="BH93">$G$14+VLOOKUP($Q93,武学奇术!$A:$ZZ,16,FALSE)+SUM(_xlfn.XLOOKUP(R93:AF93,增益!$A:$A,增益!$P:$P,0))</f>
        <v>0.24</v>
      </c>
      <c r="BI93" s="27">
        <f>MIN(IF(VLOOKUP($Q93,武学奇术!$A:$ZZ,23,FALSE)=1,100%,$B$8),100%)</f>
        <v>1</v>
      </c>
      <c r="BJ93" s="27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+MIN(IF(VLOOKUP($Q93,武学奇术!$A:$ZZ,32,FALSE)=1,IF(VLOOKUP($Q93,武学奇术!$A:$ZZ,24,FALSE)=1,100%,MIN(40%,$B$10+VLOOKUP($Q93,武学奇术!$A:$ZZ,19,FALSE)+SUM(_xlfn.XLOOKUP(R93:AF93,增益!$A:$A,增益!$S:$S,0)))+$B$12+SUM(_xlfn.XLOOKUP(R93:AF93,增益!$A:$A,增益!$V:$V,0))),0),12%)</f>
        <v>0.918</v>
      </c>
      <c r="BK93" s="27" cm="1">
        <f t="array" ref="BK93">1+$B$13+VLOOKUP($Q93,武学奇术!$A:$ZZ,18,FALSE)+SUM(_xlfn.XLOOKUP(R93:AF93,增益!$A:$A,增益!$R:$R,0))</f>
        <v>1.64</v>
      </c>
      <c r="BL93" s="27" cm="1">
        <f t="array" ref="BL93">MAX(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-IF(VLOOKUP($Q93,武学奇术!$A:$ZZ,32,FALSE)=1,12%,0),0)</f>
        <v>0.0895</v>
      </c>
      <c r="BM93" s="27" cm="1">
        <f t="array" ref="BM93">1+$B$14+VLOOKUP($Q93,武学奇术!$A:$ZZ,20,FALSE)+SUM(_xlfn.XLOOKUP(R93:AF93,增益!$A:$A,增益!$T:$T,0))</f>
        <v>1.35</v>
      </c>
      <c r="BN93" s="27">
        <f t="shared" si="31"/>
        <v>0.9105</v>
      </c>
      <c r="BO93" s="27">
        <f t="shared" si="32"/>
        <v>0</v>
      </c>
      <c r="BP93" s="27">
        <f>IF(VLOOKUP($Q93,武学奇术!$A:$ZZ,22,FALSE)=1,0,(1-$BI93))*(1-$BL93)</f>
        <v>0</v>
      </c>
      <c r="BQ93" s="27" cm="1">
        <f t="array" ref="BQ93">SUM(_xlfn.XLOOKUP(R93:AF93,增益!$A:$A,增益!$W:$W,0))+$I$5</f>
        <v>0.11</v>
      </c>
    </row>
    <row r="94" spans="1:69">
      <c r="A94" s="4" t="s">
        <v>178</v>
      </c>
      <c r="B94" s="91">
        <v>1.5</v>
      </c>
      <c r="C94" s="40"/>
      <c r="D94" s="40"/>
      <c r="F94" s="4"/>
      <c r="G94" s="91">
        <v>-20</v>
      </c>
      <c r="K94" s="39">
        <f t="shared" si="33"/>
        <v>87140.1130169111</v>
      </c>
      <c r="L94" s="39">
        <f>((($AN94+($AO94-$AN94)*IF(VLOOKUP($Q94,武学奇术!$A:$ZZ,31,FALSE)=1,$F$18,0.5))*$AH94+$AI94)*(1+$AP94)*(1+$AQ94)+(($AS94+($AT94-$AS94)*IF(VLOOKUP($Q94,武学奇术!$A:$ZZ,31,FALSE)=1,$F$18,0.5))*IF($G$1="鸣金",$AJ94,$AH94)+IF($G$1="鸣金",$AK94*1.5,0))*(1+$AU94)*(1+$AV94)+(($AW94+($AX94-$AW94)*IF(VLOOKUP($Q94,武学奇术!$A:$ZZ,31,FALSE)=1,$F$18,0.5))*IF($G$1="裂石",$AJ94,$AH94)+IF($G$1="裂石",$AK94*1.5,0))*(1+$AY94)*(1+$AZ94)+(($BA94+($BB94-$BA94)*IF(VLOOKUP($Q94,武学奇术!$A:$ZZ,31,FALSE)=1,$F$18,0.5))*IF($G$1="牵丝",$AJ94,$AH94)+IF($G$1="牵丝",$AK94*1.5,0))*(1+$BC94)*(1+$BD94)+(($BE94+($BF94-$BE94)*IF(VLOOKUP($Q94,武学奇术!$A:$ZZ,31,FALSE)=1,$F$18,0.5))*IF($G$1="破竹",$AJ94,$AH94)+IF($G$1="破竹",$AK94*1.5,0))*(1+$BG94)*(1+$BH94))*(1+$AL94)*$BK94*$P94*(1+IF(VLOOKUP($Q94,武学奇术!$A:$ZZ,30,FALSE)="蓄力技",$B$21,0))*(1+$BQ94)</f>
        <v>88903.0223968154</v>
      </c>
      <c r="M94" s="39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69205.7108895051</v>
      </c>
      <c r="N94" s="39">
        <f>((($AN94+($AO94-$AN94)*IF(VLOOKUP($Q94,武学奇术!$A:$ZZ,31,FALSE)=1,$F$18,0.5))*$AH94+$AI94)*(1+$AP94)*(1+$AQ94)+(($AS94+($AT94-$AS94)*IF(VLOOKUP($Q94,武学奇术!$A:$ZZ,31,FALSE)=1,$F$18,0.5))*IF($G$1="鸣金",$AJ94,$AH94)+IF($G$1="鸣金",$AK94*1.5,0))*(1+$AU94)*(1+$AV94)+(($AW94+($AX94-$AW94)*IF(VLOOKUP($Q94,武学奇术!$A:$ZZ,31,FALSE)=1,$F$18,0.5))*IF($G$1="裂石",$AJ94,$AH94)+IF($G$1="裂石",$AK94*1.5,0))*(1+$AY94)*(1+$AZ94)+(($BA94+($BB94-$BA94)*IF(VLOOKUP($Q94,武学奇术!$A:$ZZ,31,FALSE)=1,$F$18,0.5))*IF($G$1="牵丝",$AJ94,$AH94)+IF($G$1="牵丝",$AK94*1.5,0))*(1+$BC94)*(1+$BD94)+(($BE94+($BF94-$BE94)*IF(VLOOKUP($Q94,武学奇术!$A:$ZZ,31,FALSE)=1,$F$18,0.5))*IF($G$1="破竹",$AJ94,$AH94)+IF($G$1="破竹",$AK94*1.5,0))*(1+$BG94)*(1+$BH94))*(1+$AL94)*$P94*(1+IF(VLOOKUP($Q94,武学奇术!$A:$ZZ,30,FALSE)="蓄力技",$B$21,0))*(1+$BQ94)</f>
        <v>45826.300204544</v>
      </c>
      <c r="O94" s="39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40389.1108613065</v>
      </c>
      <c r="P94" s="40">
        <v>1</v>
      </c>
      <c r="Q94" s="41" t="s">
        <v>103</v>
      </c>
      <c r="R94" s="41" t="s">
        <v>93</v>
      </c>
      <c r="S94" s="41" t="s">
        <v>72</v>
      </c>
      <c r="T94" s="41" t="s">
        <v>72</v>
      </c>
      <c r="U94" s="41" t="s">
        <v>72</v>
      </c>
      <c r="V94" s="41" t="s">
        <v>72</v>
      </c>
      <c r="W94" s="41" t="s">
        <v>72</v>
      </c>
      <c r="X94" s="41" t="s">
        <v>165</v>
      </c>
      <c r="Y94" s="41" t="s">
        <v>81</v>
      </c>
      <c r="Z94" s="41" t="s">
        <v>72</v>
      </c>
      <c r="AA94" s="41" t="s">
        <v>72</v>
      </c>
      <c r="AB94" s="41" t="s">
        <v>72</v>
      </c>
      <c r="AC94" s="41" t="s">
        <v>72</v>
      </c>
      <c r="AD94" s="41" t="s">
        <v>72</v>
      </c>
      <c r="AE94" s="41" t="s">
        <v>75</v>
      </c>
      <c r="AF94" s="41" t="s">
        <v>76</v>
      </c>
      <c r="AG94" t="str">
        <f>VLOOKUP($Q94,武学奇术!$A:$ZZ,25,FALSE)</f>
        <v>拳甲</v>
      </c>
      <c r="AH94" s="27">
        <f>VLOOKUP($Q94,武学奇术!$A:$ZZ,26,FALSE)</f>
        <v>2.75166</v>
      </c>
      <c r="AI94" s="28">
        <f>VLOOKUP($Q94,武学奇术!$A:$ZZ,27,FALSE)*(1+IF(OR($AG94=$F$4,$AG94=$F$5),$B$22,0))</f>
        <v>1060.92</v>
      </c>
      <c r="AJ94" s="27">
        <f>VLOOKUP($Q94,武学奇术!$A:$ZZ,28,FALSE)</f>
        <v>4.12776</v>
      </c>
      <c r="AK94" s="28">
        <f>VLOOKUP($Q94,武学奇术!$A:$ZZ,29,FALSE)*(1+IF(OR($AG94=$F$4,$AG94=$F$5),$B$22,0))</f>
        <v>574.56</v>
      </c>
      <c r="AL94" s="27" cm="1">
        <f t="array" ref="AL94">$G$3+IFERROR(VLOOKUP($AG94,$F$4:$G$7,2,FALSE),0)+VLOOKUP($Q94,武学奇术!$A:$ZZ,2,FALSE)+SUM(_xlfn.XLOOKUP($R94:$AF94,增益!$A:$A,增益!$B:$B,0))</f>
        <v>0.7041</v>
      </c>
      <c r="AM94" s="27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3804.006</v>
      </c>
      <c r="AO94" cm="1">
        <f t="array" ref="AO94">$E$10*(1+$AM94)+VLOOKUP($Q94,武学奇术!$A:$ZZ,4,FALSE)+SUM(_xlfn.XLOOKUP($R94:$AF94,增益!$A:$A,增益!$D:$D,0))-$I$2</f>
        <v>3804.006</v>
      </c>
      <c r="AP94" s="33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0.347</v>
      </c>
      <c r="AQ94" s="33" cm="1">
        <f t="array" ref="AQ94">$G$10+VLOOKUP($Q94,武学奇术!$A:$ZZ,7,FALSE)+SUM(_xlfn.XLOOKUP(R94:AF94,增益!$A:$A,增益!$G:$G,0))</f>
        <v>0.09</v>
      </c>
      <c r="AR94" s="27" cm="1">
        <f t="array" ref="AR94">VLOOKUP($Q94,武学奇术!$A:$ZZ,8,FALSE)+SUM(_xlfn.XLOOKUP(R94:AF94,增益!$A:$A,增益!$H:$H,0))</f>
        <v>0</v>
      </c>
      <c r="AS94">
        <f t="shared" si="34"/>
        <v>0</v>
      </c>
      <c r="AT94">
        <f t="shared" si="35"/>
        <v>0</v>
      </c>
      <c r="AU94" s="33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-0.08</v>
      </c>
      <c r="AV94" s="33" cm="1">
        <f t="array" ref="AV94">$G$11+VLOOKUP($Q94,武学奇术!$A:$ZZ,10,FALSE)+SUM(_xlfn.XLOOKUP(R94:AF94,增益!$A:$A,增益!$J:$J,0))</f>
        <v>0</v>
      </c>
      <c r="AW94">
        <f t="shared" si="36"/>
        <v>0</v>
      </c>
      <c r="AX94">
        <f t="shared" si="37"/>
        <v>0</v>
      </c>
      <c r="AY94" s="33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-0.08</v>
      </c>
      <c r="AZ94" s="33" cm="1">
        <f t="array" ref="AZ94">$G$12+VLOOKUP($Q94,武学奇术!$A:$ZZ,12,FALSE)+SUM(_xlfn.XLOOKUP(R94:AF94,增益!$A:$A,增益!$L:$L,0))</f>
        <v>0</v>
      </c>
      <c r="BA94">
        <f t="shared" si="38"/>
        <v>0</v>
      </c>
      <c r="BB94">
        <f t="shared" si="39"/>
        <v>0</v>
      </c>
      <c r="BC94" s="33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-0.08</v>
      </c>
      <c r="BD94" s="33" cm="1">
        <f t="array" ref="BD94">$G$13+VLOOKUP($Q94,武学奇术!$A:$ZZ,14,FALSE)+SUM(_xlfn.XLOOKUP(R94:AF94,增益!$A:$A,增益!$N:$N,0))</f>
        <v>0</v>
      </c>
      <c r="BE94">
        <f t="shared" si="40"/>
        <v>570.28</v>
      </c>
      <c r="BF94">
        <f t="shared" si="41"/>
        <v>1582.156</v>
      </c>
      <c r="BG94" s="33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0.11</v>
      </c>
      <c r="BH94" s="33" cm="1">
        <f t="array" ref="BH94">$G$14+VLOOKUP($Q94,武学奇术!$A:$ZZ,16,FALSE)+SUM(_xlfn.XLOOKUP(R94:AF94,增益!$A:$A,增益!$P:$P,0))</f>
        <v>0.24</v>
      </c>
      <c r="BI94" s="27">
        <f>MIN(IF(VLOOKUP($Q94,武学奇术!$A:$ZZ,23,FALSE)=1,100%,$B$8),100%)</f>
        <v>1</v>
      </c>
      <c r="BJ94" s="27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+MIN(IF(VLOOKUP($Q94,武学奇术!$A:$ZZ,32,FALSE)=1,IF(VLOOKUP($Q94,武学奇术!$A:$ZZ,24,FALSE)=1,100%,MIN(40%,$B$10+VLOOKUP($Q94,武学奇术!$A:$ZZ,19,FALSE)+SUM(_xlfn.XLOOKUP(R94:AF94,增益!$A:$A,增益!$S:$S,0)))+$B$12+SUM(_xlfn.XLOOKUP(R94:AF94,增益!$A:$A,增益!$V:$V,0))),0),12%)</f>
        <v>0.918</v>
      </c>
      <c r="BK94" s="27" cm="1">
        <f t="array" ref="BK94">1+$B$13+VLOOKUP($Q94,武学奇术!$A:$ZZ,18,FALSE)+SUM(_xlfn.XLOOKUP(R94:AF94,增益!$A:$A,增益!$R:$R,0))</f>
        <v>1.94</v>
      </c>
      <c r="BL94" s="27" cm="1">
        <f t="array" ref="BL94">MAX(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-IF(VLOOKUP($Q94,武学奇术!$A:$ZZ,32,FALSE)=1,12%,0),0)</f>
        <v>0.0895</v>
      </c>
      <c r="BM94" s="27" cm="1">
        <f t="array" ref="BM94">1+$B$14+VLOOKUP($Q94,武学奇术!$A:$ZZ,20,FALSE)+SUM(_xlfn.XLOOKUP(R94:AF94,增益!$A:$A,增益!$T:$T,0))</f>
        <v>1.35</v>
      </c>
      <c r="BN94" s="27">
        <f t="shared" si="31"/>
        <v>0.9105</v>
      </c>
      <c r="BO94" s="27">
        <f t="shared" si="32"/>
        <v>0</v>
      </c>
      <c r="BP94" s="27">
        <f>IF(VLOOKUP($Q94,武学奇术!$A:$ZZ,22,FALSE)=1,0,(1-$BI94))*(1-$BL94)</f>
        <v>0</v>
      </c>
      <c r="BQ94" s="27" cm="1">
        <f t="array" ref="BQ94">SUM(_xlfn.XLOOKUP(R94:AF94,增益!$A:$A,增益!$W:$W,0))+$I$5</f>
        <v>0.11</v>
      </c>
    </row>
    <row r="95" spans="1:69">
      <c r="A95" s="4" t="s">
        <v>185</v>
      </c>
      <c r="B95" s="4">
        <v>2.6</v>
      </c>
      <c r="C95" s="40"/>
      <c r="D95" s="40"/>
      <c r="F95" s="4"/>
      <c r="G95" s="91"/>
      <c r="K95" s="39">
        <f t="shared" si="33"/>
        <v>28125.7346280272</v>
      </c>
      <c r="L95" s="39">
        <f>((($AN95+($AO95-$AN95)*IF(VLOOKUP($Q95,武学奇术!$A:$ZZ,31,FALSE)=1,$F$18,0.5))*$AH95+$AI95)*(1+$AP95)*(1+$AQ95)+(($AS95+($AT95-$AS95)*IF(VLOOKUP($Q95,武学奇术!$A:$ZZ,31,FALSE)=1,$F$18,0.5))*IF($G$1="鸣金",$AJ95,$AH95)+IF($G$1="鸣金",$AK95*1.5,0))*(1+$AU95)*(1+$AV95)+(($AW95+($AX95-$AW95)*IF(VLOOKUP($Q95,武学奇术!$A:$ZZ,31,FALSE)=1,$F$18,0.5))*IF($G$1="裂石",$AJ95,$AH95)+IF($G$1="裂石",$AK95*1.5,0))*(1+$AY95)*(1+$AZ95)+(($BA95+($BB95-$BA95)*IF(VLOOKUP($Q95,武学奇术!$A:$ZZ,31,FALSE)=1,$F$18,0.5))*IF($G$1="牵丝",$AJ95,$AH95)+IF($G$1="牵丝",$AK95*1.5,0))*(1+$BC95)*(1+$BD95)+(($BE95+($BF95-$BE95)*IF(VLOOKUP($Q95,武学奇术!$A:$ZZ,31,FALSE)=1,$F$18,0.5))*IF($G$1="破竹",$AJ95,$AH95)+IF($G$1="破竹",$AK95*1.5,0))*(1+$BG95)*(1+$BH95))*(1+$AL95)*$BK95*$P95*(1+IF(VLOOKUP($Q95,武学奇术!$A:$ZZ,30,FALSE)="蓄力技",$B$21,0))*(1+$BQ95)</f>
        <v>28327.6372393392</v>
      </c>
      <c r="M95" s="39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26071.7421408814</v>
      </c>
      <c r="N95" s="39">
        <f>((($AN95+($AO95-$AN95)*IF(VLOOKUP($Q95,武学奇术!$A:$ZZ,31,FALSE)=1,$F$18,0.5))*$AH95+$AI95)*(1+$AP95)*(1+$AQ95)+(($AS95+($AT95-$AS95)*IF(VLOOKUP($Q95,武学奇术!$A:$ZZ,31,FALSE)=1,$F$18,0.5))*IF($G$1="鸣金",$AJ95,$AH95)+IF($G$1="鸣金",$AK95*1.5,0))*(1+$AU95)*(1+$AV95)+(($AW95+($AX95-$AW95)*IF(VLOOKUP($Q95,武学奇术!$A:$ZZ,31,FALSE)=1,$F$18,0.5))*IF($G$1="裂石",$AJ95,$AH95)+IF($G$1="裂石",$AK95*1.5,0))*(1+$AY95)*(1+$AZ95)+(($BA95+($BB95-$BA95)*IF(VLOOKUP($Q95,武学奇术!$A:$ZZ,31,FALSE)=1,$F$18,0.5))*IF($G$1="牵丝",$AJ95,$AH95)+IF($G$1="牵丝",$AK95*1.5,0))*(1+$BC95)*(1+$BD95)+(($BE95+($BF95-$BE95)*IF(VLOOKUP($Q95,武学奇术!$A:$ZZ,31,FALSE)=1,$F$18,0.5))*IF($G$1="破竹",$AJ95,$AH95)+IF($G$1="破竹",$AK95*1.5,0))*(1+$BG95)*(1+$BH95))*(1+$AL95)*$P95*(1+IF(VLOOKUP($Q95,武学奇术!$A:$ZZ,30,FALSE)="蓄力技",$B$21,0))*(1+$BQ95)</f>
        <v>17272.9495361824</v>
      </c>
      <c r="O95" s="39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15233.4974865268</v>
      </c>
      <c r="P95" s="40">
        <v>1</v>
      </c>
      <c r="Q95" s="41" t="s">
        <v>106</v>
      </c>
      <c r="R95" s="41" t="s">
        <v>93</v>
      </c>
      <c r="S95" s="41" t="s">
        <v>72</v>
      </c>
      <c r="T95" s="41" t="s">
        <v>72</v>
      </c>
      <c r="U95" s="41" t="s">
        <v>72</v>
      </c>
      <c r="V95" s="41" t="s">
        <v>72</v>
      </c>
      <c r="W95" s="41" t="s">
        <v>72</v>
      </c>
      <c r="X95" s="41" t="s">
        <v>165</v>
      </c>
      <c r="Y95" s="41" t="s">
        <v>81</v>
      </c>
      <c r="Z95" s="41" t="s">
        <v>72</v>
      </c>
      <c r="AA95" s="41" t="s">
        <v>72</v>
      </c>
      <c r="AB95" s="41" t="s">
        <v>72</v>
      </c>
      <c r="AC95" s="41" t="s">
        <v>72</v>
      </c>
      <c r="AD95" s="41" t="s">
        <v>72</v>
      </c>
      <c r="AE95" s="41" t="s">
        <v>75</v>
      </c>
      <c r="AF95" s="41" t="s">
        <v>76</v>
      </c>
      <c r="AG95" t="str">
        <f>VLOOKUP($Q95,武学奇术!$A:$ZZ,25,FALSE)</f>
        <v>拳甲</v>
      </c>
      <c r="AH95" s="27">
        <f>VLOOKUP($Q95,武学奇术!$A:$ZZ,26,FALSE)</f>
        <v>1.2876</v>
      </c>
      <c r="AI95" s="28">
        <f>VLOOKUP($Q95,武学奇术!$A:$ZZ,27,FALSE)*(1+IF(OR($AG95=$F$4,$AG95=$F$5),$B$22,0))</f>
        <v>501.2</v>
      </c>
      <c r="AJ95" s="27">
        <f>VLOOKUP($Q95,武学奇术!$A:$ZZ,28,FALSE)</f>
        <v>1.9313</v>
      </c>
      <c r="AK95" s="28">
        <f>VLOOKUP($Q95,武学奇术!$A:$ZZ,29,FALSE)*(1+IF(OR($AG95=$F$4,$AG95=$F$5),$B$22,0))</f>
        <v>273</v>
      </c>
      <c r="AL95" s="27" cm="1">
        <f t="array" ref="AL95">$G$3+IFERROR(VLOOKUP($AG95,$F$4:$G$7,2,FALSE),0)+VLOOKUP($Q95,武学奇术!$A:$ZZ,2,FALSE)+SUM(_xlfn.XLOOKUP($R95:$AF95,增益!$A:$A,增益!$B:$B,0))</f>
        <v>0.4041</v>
      </c>
      <c r="AM95" s="27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3804.006</v>
      </c>
      <c r="AO95" cm="1">
        <f t="array" ref="AO95">$E$10*(1+$AM95)+VLOOKUP($Q95,武学奇术!$A:$ZZ,4,FALSE)+SUM(_xlfn.XLOOKUP($R95:$AF95,增益!$A:$A,增益!$D:$D,0))-$I$2</f>
        <v>3804.006</v>
      </c>
      <c r="AP95" s="33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0.317</v>
      </c>
      <c r="AQ95" s="33" cm="1">
        <f t="array" ref="AQ95">$G$10+VLOOKUP($Q95,武学奇术!$A:$ZZ,7,FALSE)+SUM(_xlfn.XLOOKUP(R95:AF95,增益!$A:$A,增益!$G:$G,0))</f>
        <v>0.09</v>
      </c>
      <c r="AR95" s="27" cm="1">
        <f t="array" ref="AR95">VLOOKUP($Q95,武学奇术!$A:$ZZ,8,FALSE)+SUM(_xlfn.XLOOKUP(R95:AF95,增益!$A:$A,增益!$H:$H,0))</f>
        <v>0</v>
      </c>
      <c r="AS95">
        <f t="shared" si="34"/>
        <v>0</v>
      </c>
      <c r="AT95">
        <f t="shared" si="35"/>
        <v>0</v>
      </c>
      <c r="AU95" s="33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-0.14</v>
      </c>
      <c r="AV95" s="33" cm="1">
        <f t="array" ref="AV95">$G$11+VLOOKUP($Q95,武学奇术!$A:$ZZ,10,FALSE)+SUM(_xlfn.XLOOKUP(R95:AF95,增益!$A:$A,增益!$J:$J,0))</f>
        <v>0</v>
      </c>
      <c r="AW95">
        <f t="shared" si="36"/>
        <v>0</v>
      </c>
      <c r="AX95">
        <f t="shared" si="37"/>
        <v>0</v>
      </c>
      <c r="AY95" s="33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-0.14</v>
      </c>
      <c r="AZ95" s="33" cm="1">
        <f t="array" ref="AZ95">$G$12+VLOOKUP($Q95,武学奇术!$A:$ZZ,12,FALSE)+SUM(_xlfn.XLOOKUP(R95:AF95,增益!$A:$A,增益!$L:$L,0))</f>
        <v>0</v>
      </c>
      <c r="BA95">
        <f t="shared" si="38"/>
        <v>0</v>
      </c>
      <c r="BB95">
        <f t="shared" si="39"/>
        <v>0</v>
      </c>
      <c r="BC95" s="33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-0.14</v>
      </c>
      <c r="BD95" s="33" cm="1">
        <f t="array" ref="BD95">$G$13+VLOOKUP($Q95,武学奇术!$A:$ZZ,14,FALSE)+SUM(_xlfn.XLOOKUP(R95:AF95,增益!$A:$A,增益!$N:$N,0))</f>
        <v>0</v>
      </c>
      <c r="BE95">
        <f t="shared" si="40"/>
        <v>570.28</v>
      </c>
      <c r="BF95">
        <f t="shared" si="41"/>
        <v>1582.156</v>
      </c>
      <c r="BG95" s="33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0.08</v>
      </c>
      <c r="BH95" s="33" cm="1">
        <f t="array" ref="BH95">$G$14+VLOOKUP($Q95,武学奇术!$A:$ZZ,16,FALSE)+SUM(_xlfn.XLOOKUP(R95:AF95,增益!$A:$A,增益!$P:$P,0))</f>
        <v>0.24</v>
      </c>
      <c r="BI95" s="27">
        <f>MIN(IF(VLOOKUP($Q95,武学奇术!$A:$ZZ,23,FALSE)=1,100%,$B$8),100%)</f>
        <v>1</v>
      </c>
      <c r="BJ95" s="27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+MIN(IF(VLOOKUP($Q95,武学奇术!$A:$ZZ,32,FALSE)=1,IF(VLOOKUP($Q95,武学奇术!$A:$ZZ,24,FALSE)=1,100%,MIN(40%,$B$10+VLOOKUP($Q95,武学奇术!$A:$ZZ,19,FALSE)+SUM(_xlfn.XLOOKUP(R95:AF95,增益!$A:$A,增益!$S:$S,0)))+$B$12+SUM(_xlfn.XLOOKUP(R95:AF95,增益!$A:$A,增益!$V:$V,0))),0),12%)</f>
        <v>0.918</v>
      </c>
      <c r="BK95" s="27" cm="1">
        <f t="array" ref="BK95">1+$B$13+VLOOKUP($Q95,武学奇术!$A:$ZZ,18,FALSE)+SUM(_xlfn.XLOOKUP(R95:AF95,增益!$A:$A,增益!$R:$R,0))</f>
        <v>1.64</v>
      </c>
      <c r="BL95" s="27" cm="1">
        <f t="array" ref="BL95">MAX(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-IF(VLOOKUP($Q95,武学奇术!$A:$ZZ,32,FALSE)=1,12%,0),0)</f>
        <v>0.0895</v>
      </c>
      <c r="BM95" s="27" cm="1">
        <f t="array" ref="BM95">1+$B$14+VLOOKUP($Q95,武学奇术!$A:$ZZ,20,FALSE)+SUM(_xlfn.XLOOKUP(R95:AF95,增益!$A:$A,增益!$T:$T,0))</f>
        <v>1.35</v>
      </c>
      <c r="BN95" s="27">
        <f t="shared" si="31"/>
        <v>0.9105</v>
      </c>
      <c r="BO95" s="27">
        <f t="shared" si="32"/>
        <v>0</v>
      </c>
      <c r="BP95" s="27">
        <f>IF(VLOOKUP($Q95,武学奇术!$A:$ZZ,22,FALSE)=1,0,(1-$BI95))*(1-$BL95)</f>
        <v>0</v>
      </c>
      <c r="BQ95" s="27" cm="1">
        <f t="array" ref="BQ95">SUM(_xlfn.XLOOKUP(R95:AF95,增益!$A:$A,增益!$W:$W,0))+$I$5</f>
        <v>0.11</v>
      </c>
    </row>
    <row r="96" spans="1:69">
      <c r="A96" s="4" t="s">
        <v>186</v>
      </c>
      <c r="B96" s="4">
        <v>8</v>
      </c>
      <c r="C96" s="40"/>
      <c r="D96" s="40"/>
      <c r="K96" s="39">
        <f t="shared" si="33"/>
        <v>65597.3033545041</v>
      </c>
      <c r="L96" s="39">
        <f>((($AN96+($AO96-$AN96)*IF(VLOOKUP($Q96,武学奇术!$A:$ZZ,31,FALSE)=1,$F$18,0.5))*$AH96+$AI96)*(1+$AP96)*(1+$AQ96)+(($AS96+($AT96-$AS96)*IF(VLOOKUP($Q96,武学奇术!$A:$ZZ,31,FALSE)=1,$F$18,0.5))*IF($G$1="鸣金",$AJ96,$AH96)+IF($G$1="鸣金",$AK96*1.5,0))*(1+$AU96)*(1+$AV96)+(($AW96+($AX96-$AW96)*IF(VLOOKUP($Q96,武学奇术!$A:$ZZ,31,FALSE)=1,$F$18,0.5))*IF($G$1="裂石",$AJ96,$AH96)+IF($G$1="裂石",$AK96*1.5,0))*(1+$AY96)*(1+$AZ96)+(($BA96+($BB96-$BA96)*IF(VLOOKUP($Q96,武学奇术!$A:$ZZ,31,FALSE)=1,$F$18,0.5))*IF($G$1="牵丝",$AJ96,$AH96)+IF($G$1="牵丝",$AK96*1.5,0))*(1+$BC96)*(1+$BD96)+(($BE96+($BF96-$BE96)*IF(VLOOKUP($Q96,武学奇术!$A:$ZZ,31,FALSE)=1,$F$18,0.5))*IF($G$1="破竹",$AJ96,$AH96)+IF($G$1="破竹",$AK96*1.5,0))*(1+$BG96)*(1+$BH96))*(1+$AL96)*$BK96*$P96*(1+IF(VLOOKUP($Q96,武学奇术!$A:$ZZ,30,FALSE)="蓄力技",$B$21,0))*(1+$BQ96)</f>
        <v>66860.0314608294</v>
      </c>
      <c r="M96" s="39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52751.3375354069</v>
      </c>
      <c r="N96" s="39">
        <f>((($AN96+($AO96-$AN96)*IF(VLOOKUP($Q96,武学奇术!$A:$ZZ,31,FALSE)=1,$F$18,0.5))*$AH96+$AI96)*(1+$AP96)*(1+$AQ96)+(($AS96+($AT96-$AS96)*IF(VLOOKUP($Q96,武学奇术!$A:$ZZ,31,FALSE)=1,$F$18,0.5))*IF($G$1="鸣金",$AJ96,$AH96)+IF($G$1="鸣金",$AK96*1.5,0))*(1+$AU96)*(1+$AV96)+(($AW96+($AX96-$AW96)*IF(VLOOKUP($Q96,武学奇术!$A:$ZZ,31,FALSE)=1,$F$18,0.5))*IF($G$1="裂石",$AJ96,$AH96)+IF($G$1="裂石",$AK96*1.5,0))*(1+$AY96)*(1+$AZ96)+(($BA96+($BB96-$BA96)*IF(VLOOKUP($Q96,武学奇术!$A:$ZZ,31,FALSE)=1,$F$18,0.5))*IF($G$1="牵丝",$AJ96,$AH96)+IF($G$1="牵丝",$AK96*1.5,0))*(1+$BC96)*(1+$BD96)+(($BE96+($BF96-$BE96)*IF(VLOOKUP($Q96,武学奇术!$A:$ZZ,31,FALSE)=1,$F$18,0.5))*IF($G$1="破竹",$AJ96,$AH96)+IF($G$1="破竹",$AK96*1.5,0))*(1+$BG96)*(1+$BH96))*(1+$AL96)*$P96*(1+IF(VLOOKUP($Q96,武学奇术!$A:$ZZ,30,FALSE)="蓄力技",$B$21,0))*(1+$BQ96)</f>
        <v>34463.9337426956</v>
      </c>
      <c r="O96" s="39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29852.802644349</v>
      </c>
      <c r="P96" s="40">
        <v>1</v>
      </c>
      <c r="Q96" s="41" t="s">
        <v>108</v>
      </c>
      <c r="R96" s="41" t="s">
        <v>93</v>
      </c>
      <c r="S96" s="41" t="s">
        <v>72</v>
      </c>
      <c r="T96" s="41" t="s">
        <v>72</v>
      </c>
      <c r="U96" s="41" t="s">
        <v>72</v>
      </c>
      <c r="V96" s="41" t="s">
        <v>72</v>
      </c>
      <c r="W96" s="41" t="s">
        <v>72</v>
      </c>
      <c r="X96" s="41" t="s">
        <v>165</v>
      </c>
      <c r="Y96" s="41" t="s">
        <v>81</v>
      </c>
      <c r="Z96" s="41" t="s">
        <v>101</v>
      </c>
      <c r="AA96" s="41" t="s">
        <v>72</v>
      </c>
      <c r="AB96" s="41" t="s">
        <v>72</v>
      </c>
      <c r="AC96" s="41" t="s">
        <v>72</v>
      </c>
      <c r="AD96" s="41" t="s">
        <v>72</v>
      </c>
      <c r="AE96" s="41" t="s">
        <v>75</v>
      </c>
      <c r="AF96" s="41" t="s">
        <v>76</v>
      </c>
      <c r="AG96" t="str">
        <f>VLOOKUP($Q96,武学奇术!$A:$ZZ,25,FALSE)</f>
        <v>拳甲</v>
      </c>
      <c r="AH96" s="27">
        <f>VLOOKUP($Q96,武学奇术!$A:$ZZ,26,FALSE)</f>
        <v>2.33376</v>
      </c>
      <c r="AI96" s="28">
        <f>VLOOKUP($Q96,武学奇术!$A:$ZZ,27,FALSE)*(1+IF(OR($AG96=$F$4,$AG96=$F$5),$B$22,0))</f>
        <v>0</v>
      </c>
      <c r="AJ96" s="27">
        <f>VLOOKUP($Q96,武学奇术!$A:$ZZ,28,FALSE)</f>
        <v>3.50064</v>
      </c>
      <c r="AK96" s="28">
        <f>VLOOKUP($Q96,武学奇术!$A:$ZZ,29,FALSE)*(1+IF(OR($AG96=$F$4,$AG96=$F$5),$B$22,0))</f>
        <v>0</v>
      </c>
      <c r="AL96" s="27" cm="1">
        <f t="array" ref="AL96">$G$3+IFERROR(VLOOKUP($AG96,$F$4:$G$7,2,FALSE),0)+VLOOKUP($Q96,武学奇术!$A:$ZZ,2,FALSE)+SUM(_xlfn.XLOOKUP($R96:$AF96,增益!$A:$A,增益!$B:$B,0))</f>
        <v>0.7041</v>
      </c>
      <c r="AM96" s="27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3804.006</v>
      </c>
      <c r="AO96" cm="1">
        <f t="array" ref="AO96">$E$10*(1+$AM96)+VLOOKUP($Q96,武学奇术!$A:$ZZ,4,FALSE)+SUM(_xlfn.XLOOKUP($R96:$AF96,增益!$A:$A,增益!$D:$D,0))-$I$2</f>
        <v>3804.006</v>
      </c>
      <c r="AP96" s="33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0.347</v>
      </c>
      <c r="AQ96" s="33" cm="1">
        <f t="array" ref="AQ96">$G$10+VLOOKUP($Q96,武学奇术!$A:$ZZ,7,FALSE)+SUM(_xlfn.XLOOKUP(R96:AF96,增益!$A:$A,增益!$G:$G,0))</f>
        <v>0.09</v>
      </c>
      <c r="AR96" s="27" cm="1">
        <f t="array" ref="AR96">VLOOKUP($Q96,武学奇术!$A:$ZZ,8,FALSE)+SUM(_xlfn.XLOOKUP(R96:AF96,增益!$A:$A,增益!$H:$H,0))</f>
        <v>0</v>
      </c>
      <c r="AS96">
        <f t="shared" si="34"/>
        <v>0</v>
      </c>
      <c r="AT96">
        <f t="shared" si="35"/>
        <v>0</v>
      </c>
      <c r="AU96" s="33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-0.08</v>
      </c>
      <c r="AV96" s="33" cm="1">
        <f t="array" ref="AV96">$G$11+VLOOKUP($Q96,武学奇术!$A:$ZZ,10,FALSE)+SUM(_xlfn.XLOOKUP(R96:AF96,增益!$A:$A,增益!$J:$J,0))</f>
        <v>0</v>
      </c>
      <c r="AW96">
        <f t="shared" si="36"/>
        <v>0</v>
      </c>
      <c r="AX96">
        <f t="shared" si="37"/>
        <v>0</v>
      </c>
      <c r="AY96" s="33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-0.08</v>
      </c>
      <c r="AZ96" s="33" cm="1">
        <f t="array" ref="AZ96">$G$12+VLOOKUP($Q96,武学奇术!$A:$ZZ,12,FALSE)+SUM(_xlfn.XLOOKUP(R96:AF96,增益!$A:$A,增益!$L:$L,0))</f>
        <v>0</v>
      </c>
      <c r="BA96">
        <f t="shared" si="38"/>
        <v>0</v>
      </c>
      <c r="BB96">
        <f t="shared" si="39"/>
        <v>0</v>
      </c>
      <c r="BC96" s="33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-0.08</v>
      </c>
      <c r="BD96" s="33" cm="1">
        <f t="array" ref="BD96">$G$13+VLOOKUP($Q96,武学奇术!$A:$ZZ,14,FALSE)+SUM(_xlfn.XLOOKUP(R96:AF96,增益!$A:$A,增益!$N:$N,0))</f>
        <v>0</v>
      </c>
      <c r="BE96">
        <f t="shared" si="40"/>
        <v>570.28</v>
      </c>
      <c r="BF96">
        <f t="shared" si="41"/>
        <v>1582.156</v>
      </c>
      <c r="BG96" s="33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0.11</v>
      </c>
      <c r="BH96" s="33" cm="1">
        <f t="array" ref="BH96">$G$14+VLOOKUP($Q96,武学奇术!$A:$ZZ,16,FALSE)+SUM(_xlfn.XLOOKUP(R96:AF96,增益!$A:$A,增益!$P:$P,0))</f>
        <v>0.24</v>
      </c>
      <c r="BI96" s="27">
        <f>MIN(IF(VLOOKUP($Q96,武学奇术!$A:$ZZ,23,FALSE)=1,100%,$B$8),100%)</f>
        <v>1</v>
      </c>
      <c r="BJ96" s="27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+MIN(IF(VLOOKUP($Q96,武学奇术!$A:$ZZ,32,FALSE)=1,IF(VLOOKUP($Q96,武学奇术!$A:$ZZ,24,FALSE)=1,100%,MIN(40%,$B$10+VLOOKUP($Q96,武学奇术!$A:$ZZ,19,FALSE)+SUM(_xlfn.XLOOKUP(R96:AF96,增益!$A:$A,增益!$S:$S,0)))+$B$12+SUM(_xlfn.XLOOKUP(R96:AF96,增益!$A:$A,增益!$V:$V,0))),0),12%)</f>
        <v>0.918</v>
      </c>
      <c r="BK96" s="27" cm="1">
        <f t="array" ref="BK96">1+$B$13+VLOOKUP($Q96,武学奇术!$A:$ZZ,18,FALSE)+SUM(_xlfn.XLOOKUP(R96:AF96,增益!$A:$A,增益!$R:$R,0))</f>
        <v>1.94</v>
      </c>
      <c r="BL96" s="27" cm="1">
        <f t="array" ref="BL96">MAX(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-IF(VLOOKUP($Q96,武学奇术!$A:$ZZ,32,FALSE)=1,12%,0),0)</f>
        <v>0.0895</v>
      </c>
      <c r="BM96" s="27" cm="1">
        <f t="array" ref="BM96">1+$B$14+VLOOKUP($Q96,武学奇术!$A:$ZZ,20,FALSE)+SUM(_xlfn.XLOOKUP(R96:AF96,增益!$A:$A,增益!$T:$T,0))</f>
        <v>1.35</v>
      </c>
      <c r="BN96" s="27">
        <f t="shared" si="31"/>
        <v>0.9105</v>
      </c>
      <c r="BO96" s="27">
        <f t="shared" si="32"/>
        <v>0</v>
      </c>
      <c r="BP96" s="27">
        <f>IF(VLOOKUP($Q96,武学奇术!$A:$ZZ,22,FALSE)=1,0,(1-$BI96))*(1-$BL96)</f>
        <v>0</v>
      </c>
      <c r="BQ96" s="27" cm="1">
        <f t="array" ref="BQ96">SUM(_xlfn.XLOOKUP(R96:AF96,增益!$A:$A,增益!$W:$W,0))+$I$5</f>
        <v>0.11</v>
      </c>
    </row>
    <row r="97" spans="1:69">
      <c r="A97" t="s">
        <v>187</v>
      </c>
      <c r="B97">
        <v>1</v>
      </c>
      <c r="C97" s="40" t="s">
        <v>119</v>
      </c>
      <c r="D97" s="40" t="s">
        <v>170</v>
      </c>
      <c r="G97">
        <v>-27</v>
      </c>
      <c r="K97" s="39">
        <f t="shared" si="33"/>
        <v>53298.3704205084</v>
      </c>
      <c r="L97" s="39">
        <f>((($AN97+($AO97-$AN97)*IF(VLOOKUP($Q97,武学奇术!$A:$ZZ,31,FALSE)=1,$F$18,0.5))*$AH97+$AI97)*(1+$AP97)*(1+$AQ97)+(($AS97+($AT97-$AS97)*IF(VLOOKUP($Q97,武学奇术!$A:$ZZ,31,FALSE)=1,$F$18,0.5))*IF($G$1="鸣金",$AJ97,$AH97)+IF($G$1="鸣金",$AK97*1.5,0))*(1+$AU97)*(1+$AV97)+(($AW97+($AX97-$AW97)*IF(VLOOKUP($Q97,武学奇术!$A:$ZZ,31,FALSE)=1,$F$18,0.5))*IF($G$1="裂石",$AJ97,$AH97)+IF($G$1="裂石",$AK97*1.5,0))*(1+$AY97)*(1+$AZ97)+(($BA97+($BB97-$BA97)*IF(VLOOKUP($Q97,武学奇术!$A:$ZZ,31,FALSE)=1,$F$18,0.5))*IF($G$1="牵丝",$AJ97,$AH97)+IF($G$1="牵丝",$AK97*1.5,0))*(1+$BC97)*(1+$BD97)+(($BE97+($BF97-$BE97)*IF(VLOOKUP($Q97,武学奇术!$A:$ZZ,31,FALSE)=1,$F$18,0.5))*IF($G$1="破竹",$AJ97,$AH97)+IF($G$1="破竹",$AK97*1.5,0))*(1+$BG97)*(1+$BH97))*(1+$AL97)*$BK97*$P97*(1+IF(VLOOKUP($Q97,武学奇术!$A:$ZZ,30,FALSE)="蓄力技",$B$21,0))*(1+$BQ97)</f>
        <v>53680.5125657915</v>
      </c>
      <c r="M97" s="39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49410.7679257569</v>
      </c>
      <c r="N97" s="39">
        <f>((($AN97+($AO97-$AN97)*IF(VLOOKUP($Q97,武学奇术!$A:$ZZ,31,FALSE)=1,$F$18,0.5))*$AH97+$AI97)*(1+$AP97)*(1+$AQ97)+(($AS97+($AT97-$AS97)*IF(VLOOKUP($Q97,武学奇术!$A:$ZZ,31,FALSE)=1,$F$18,0.5))*IF($G$1="鸣金",$AJ97,$AH97)+IF($G$1="鸣金",$AK97*1.5,0))*(1+$AU97)*(1+$AV97)+(($AW97+($AX97-$AW97)*IF(VLOOKUP($Q97,武学奇术!$A:$ZZ,31,FALSE)=1,$F$18,0.5))*IF($G$1="裂石",$AJ97,$AH97)+IF($G$1="裂石",$AK97*1.5,0))*(1+$AY97)*(1+$AZ97)+(($BA97+($BB97-$BA97)*IF(VLOOKUP($Q97,武学奇术!$A:$ZZ,31,FALSE)=1,$F$18,0.5))*IF($G$1="牵丝",$AJ97,$AH97)+IF($G$1="牵丝",$AK97*1.5,0))*(1+$BC97)*(1+$BD97)+(($BE97+($BF97-$BE97)*IF(VLOOKUP($Q97,武学奇术!$A:$ZZ,31,FALSE)=1,$F$18,0.5))*IF($G$1="破竹",$AJ97,$AH97)+IF($G$1="破竹",$AK97*1.5,0))*(1+$BG97)*(1+$BH97))*(1+$AL97)*$P97*(1+IF(VLOOKUP($Q97,武学奇术!$A:$ZZ,30,FALSE)="蓄力技",$B$21,0))*(1+$BQ97)</f>
        <v>32732.01985719</v>
      </c>
      <c r="O97" s="39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28863.4708804859</v>
      </c>
      <c r="P97" s="40">
        <v>1</v>
      </c>
      <c r="Q97" s="41" t="s">
        <v>111</v>
      </c>
      <c r="R97" s="41" t="s">
        <v>93</v>
      </c>
      <c r="S97" s="41" t="s">
        <v>72</v>
      </c>
      <c r="T97" s="41" t="s">
        <v>72</v>
      </c>
      <c r="U97" s="41" t="s">
        <v>72</v>
      </c>
      <c r="V97" s="41" t="s">
        <v>72</v>
      </c>
      <c r="W97" s="41" t="s">
        <v>72</v>
      </c>
      <c r="X97" s="41" t="s">
        <v>165</v>
      </c>
      <c r="Y97" s="41" t="s">
        <v>81</v>
      </c>
      <c r="Z97" s="41" t="s">
        <v>72</v>
      </c>
      <c r="AA97" s="41" t="s">
        <v>72</v>
      </c>
      <c r="AB97" s="41" t="s">
        <v>72</v>
      </c>
      <c r="AC97" s="41" t="s">
        <v>72</v>
      </c>
      <c r="AD97" s="41" t="s">
        <v>72</v>
      </c>
      <c r="AE97" s="41" t="s">
        <v>75</v>
      </c>
      <c r="AF97" s="41" t="s">
        <v>76</v>
      </c>
      <c r="AG97" t="str">
        <f>VLOOKUP($Q97,武学奇术!$A:$ZZ,25,FALSE)</f>
        <v>拳甲</v>
      </c>
      <c r="AH97" s="27">
        <f>VLOOKUP($Q97,武学奇术!$A:$ZZ,26,FALSE)</f>
        <v>2.4421</v>
      </c>
      <c r="AI97" s="28">
        <f>VLOOKUP($Q97,武学奇术!$A:$ZZ,27,FALSE)*(1+IF(OR($AG97=$F$4,$AG97=$F$5),$B$22,0))</f>
        <v>945</v>
      </c>
      <c r="AJ97" s="27">
        <f>VLOOKUP($Q97,武学奇术!$A:$ZZ,28,FALSE)</f>
        <v>3.6634</v>
      </c>
      <c r="AK97" s="28">
        <f>VLOOKUP($Q97,武学奇术!$A:$ZZ,29,FALSE)*(1+IF(OR($AG97=$F$4,$AG97=$F$5),$B$22,0))</f>
        <v>512.4</v>
      </c>
      <c r="AL97" s="27" cm="1">
        <f t="array" ref="AL97">$G$3+IFERROR(VLOOKUP($AG97,$F$4:$G$7,2,FALSE),0)+VLOOKUP($Q97,武学奇术!$A:$ZZ,2,FALSE)+SUM(_xlfn.XLOOKUP($R97:$AF97,增益!$A:$A,增益!$B:$B,0))</f>
        <v>0.4041</v>
      </c>
      <c r="AM97" s="27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3804.006</v>
      </c>
      <c r="AO97" cm="1">
        <f t="array" ref="AO97">$E$10*(1+$AM97)+VLOOKUP($Q97,武学奇术!$A:$ZZ,4,FALSE)+SUM(_xlfn.XLOOKUP($R97:$AF97,增益!$A:$A,增益!$D:$D,0))-$I$2</f>
        <v>3804.006</v>
      </c>
      <c r="AP97" s="33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0.317</v>
      </c>
      <c r="AQ97" s="33" cm="1">
        <f t="array" ref="AQ97">$G$10+VLOOKUP($Q97,武学奇术!$A:$ZZ,7,FALSE)+SUM(_xlfn.XLOOKUP(R97:AF97,增益!$A:$A,增益!$G:$G,0))</f>
        <v>0.09</v>
      </c>
      <c r="AR97" s="27" cm="1">
        <f t="array" ref="AR97">VLOOKUP($Q97,武学奇术!$A:$ZZ,8,FALSE)+SUM(_xlfn.XLOOKUP(R97:AF97,增益!$A:$A,增益!$H:$H,0))</f>
        <v>0</v>
      </c>
      <c r="AS97">
        <f t="shared" si="34"/>
        <v>0</v>
      </c>
      <c r="AT97">
        <f t="shared" si="35"/>
        <v>0</v>
      </c>
      <c r="AU97" s="33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-0.14</v>
      </c>
      <c r="AV97" s="33" cm="1">
        <f t="array" ref="AV97">$G$11+VLOOKUP($Q97,武学奇术!$A:$ZZ,10,FALSE)+SUM(_xlfn.XLOOKUP(R97:AF97,增益!$A:$A,增益!$J:$J,0))</f>
        <v>0</v>
      </c>
      <c r="AW97">
        <f t="shared" si="36"/>
        <v>0</v>
      </c>
      <c r="AX97">
        <f t="shared" si="37"/>
        <v>0</v>
      </c>
      <c r="AY97" s="33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-0.14</v>
      </c>
      <c r="AZ97" s="33" cm="1">
        <f t="array" ref="AZ97">$G$12+VLOOKUP($Q97,武学奇术!$A:$ZZ,12,FALSE)+SUM(_xlfn.XLOOKUP(R97:AF97,增益!$A:$A,增益!$L:$L,0))</f>
        <v>0</v>
      </c>
      <c r="BA97">
        <f t="shared" si="38"/>
        <v>0</v>
      </c>
      <c r="BB97">
        <f t="shared" si="39"/>
        <v>0</v>
      </c>
      <c r="BC97" s="33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-0.14</v>
      </c>
      <c r="BD97" s="33" cm="1">
        <f t="array" ref="BD97">$G$13+VLOOKUP($Q97,武学奇术!$A:$ZZ,14,FALSE)+SUM(_xlfn.XLOOKUP(R97:AF97,增益!$A:$A,增益!$N:$N,0))</f>
        <v>0</v>
      </c>
      <c r="BE97">
        <f t="shared" si="40"/>
        <v>570.28</v>
      </c>
      <c r="BF97">
        <f t="shared" si="41"/>
        <v>1582.156</v>
      </c>
      <c r="BG97" s="33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0.08</v>
      </c>
      <c r="BH97" s="33" cm="1">
        <f t="array" ref="BH97">$G$14+VLOOKUP($Q97,武学奇术!$A:$ZZ,16,FALSE)+SUM(_xlfn.XLOOKUP(R97:AF97,增益!$A:$A,增益!$P:$P,0))</f>
        <v>0.24</v>
      </c>
      <c r="BI97" s="27">
        <f>MIN(IF(VLOOKUP($Q97,武学奇术!$A:$ZZ,23,FALSE)=1,100%,$B$8),100%)</f>
        <v>1</v>
      </c>
      <c r="BJ97" s="27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+MIN(IF(VLOOKUP($Q97,武学奇术!$A:$ZZ,32,FALSE)=1,IF(VLOOKUP($Q97,武学奇术!$A:$ZZ,24,FALSE)=1,100%,MIN(40%,$B$10+VLOOKUP($Q97,武学奇术!$A:$ZZ,19,FALSE)+SUM(_xlfn.XLOOKUP(R97:AF97,增益!$A:$A,增益!$S:$S,0)))+$B$12+SUM(_xlfn.XLOOKUP(R97:AF97,增益!$A:$A,增益!$V:$V,0))),0),12%)</f>
        <v>0.918</v>
      </c>
      <c r="BK97" s="27" cm="1">
        <f t="array" ref="BK97">1+$B$13+VLOOKUP($Q97,武学奇术!$A:$ZZ,18,FALSE)+SUM(_xlfn.XLOOKUP(R97:AF97,增益!$A:$A,增益!$R:$R,0))</f>
        <v>1.64</v>
      </c>
      <c r="BL97" s="27" cm="1">
        <f t="array" ref="BL97">MAX(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-IF(VLOOKUP($Q97,武学奇术!$A:$ZZ,32,FALSE)=1,12%,0),0)</f>
        <v>0.0895</v>
      </c>
      <c r="BM97" s="27" cm="1">
        <f t="array" ref="BM97">1+$B$14+VLOOKUP($Q97,武学奇术!$A:$ZZ,20,FALSE)+SUM(_xlfn.XLOOKUP(R97:AF97,增益!$A:$A,增益!$T:$T,0))</f>
        <v>1.35</v>
      </c>
      <c r="BN97" s="27">
        <f t="shared" si="31"/>
        <v>0.9105</v>
      </c>
      <c r="BO97" s="27">
        <f t="shared" si="32"/>
        <v>0</v>
      </c>
      <c r="BP97" s="27">
        <f>IF(VLOOKUP($Q97,武学奇术!$A:$ZZ,22,FALSE)=1,0,(1-$BI97))*(1-$BL97)</f>
        <v>0</v>
      </c>
      <c r="BQ97" s="27" cm="1">
        <f t="array" ref="BQ97">SUM(_xlfn.XLOOKUP(R97:AF97,增益!$A:$A,增益!$W:$W,0))+$I$5</f>
        <v>0.11</v>
      </c>
    </row>
    <row r="98" spans="1:69">
      <c r="A98" s="4" t="s">
        <v>171</v>
      </c>
      <c r="B98" s="91">
        <v>0.7</v>
      </c>
      <c r="C98" s="40"/>
      <c r="D98" s="40"/>
      <c r="G98">
        <v>16</v>
      </c>
      <c r="K98" s="39">
        <f t="shared" si="33"/>
        <v>28125.7346280272</v>
      </c>
      <c r="L98" s="39">
        <f>((($AN98+($AO98-$AN98)*IF(VLOOKUP($Q98,武学奇术!$A:$ZZ,31,FALSE)=1,$F$18,0.5))*$AH98+$AI98)*(1+$AP98)*(1+$AQ98)+(($AS98+($AT98-$AS98)*IF(VLOOKUP($Q98,武学奇术!$A:$ZZ,31,FALSE)=1,$F$18,0.5))*IF($G$1="鸣金",$AJ98,$AH98)+IF($G$1="鸣金",$AK98*1.5,0))*(1+$AU98)*(1+$AV98)+(($AW98+($AX98-$AW98)*IF(VLOOKUP($Q98,武学奇术!$A:$ZZ,31,FALSE)=1,$F$18,0.5))*IF($G$1="裂石",$AJ98,$AH98)+IF($G$1="裂石",$AK98*1.5,0))*(1+$AY98)*(1+$AZ98)+(($BA98+($BB98-$BA98)*IF(VLOOKUP($Q98,武学奇术!$A:$ZZ,31,FALSE)=1,$F$18,0.5))*IF($G$1="牵丝",$AJ98,$AH98)+IF($G$1="牵丝",$AK98*1.5,0))*(1+$BC98)*(1+$BD98)+(($BE98+($BF98-$BE98)*IF(VLOOKUP($Q98,武学奇术!$A:$ZZ,31,FALSE)=1,$F$18,0.5))*IF($G$1="破竹",$AJ98,$AH98)+IF($G$1="破竹",$AK98*1.5,0))*(1+$BG98)*(1+$BH98))*(1+$AL98)*$BK98*$P98*(1+IF(VLOOKUP($Q98,武学奇术!$A:$ZZ,30,FALSE)="蓄力技",$B$21,0))*(1+$BQ98)</f>
        <v>28327.6372393392</v>
      </c>
      <c r="M98" s="39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26071.7421408814</v>
      </c>
      <c r="N98" s="39">
        <f>((($AN98+($AO98-$AN98)*IF(VLOOKUP($Q98,武学奇术!$A:$ZZ,31,FALSE)=1,$F$18,0.5))*$AH98+$AI98)*(1+$AP98)*(1+$AQ98)+(($AS98+($AT98-$AS98)*IF(VLOOKUP($Q98,武学奇术!$A:$ZZ,31,FALSE)=1,$F$18,0.5))*IF($G$1="鸣金",$AJ98,$AH98)+IF($G$1="鸣金",$AK98*1.5,0))*(1+$AU98)*(1+$AV98)+(($AW98+($AX98-$AW98)*IF(VLOOKUP($Q98,武学奇术!$A:$ZZ,31,FALSE)=1,$F$18,0.5))*IF($G$1="裂石",$AJ98,$AH98)+IF($G$1="裂石",$AK98*1.5,0))*(1+$AY98)*(1+$AZ98)+(($BA98+($BB98-$BA98)*IF(VLOOKUP($Q98,武学奇术!$A:$ZZ,31,FALSE)=1,$F$18,0.5))*IF($G$1="牵丝",$AJ98,$AH98)+IF($G$1="牵丝",$AK98*1.5,0))*(1+$BC98)*(1+$BD98)+(($BE98+($BF98-$BE98)*IF(VLOOKUP($Q98,武学奇术!$A:$ZZ,31,FALSE)=1,$F$18,0.5))*IF($G$1="破竹",$AJ98,$AH98)+IF($G$1="破竹",$AK98*1.5,0))*(1+$BG98)*(1+$BH98))*(1+$AL98)*$P98*(1+IF(VLOOKUP($Q98,武学奇术!$A:$ZZ,30,FALSE)="蓄力技",$B$21,0))*(1+$BQ98)</f>
        <v>17272.9495361824</v>
      </c>
      <c r="O98" s="39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15233.4974865268</v>
      </c>
      <c r="P98" s="40">
        <v>1</v>
      </c>
      <c r="Q98" s="41" t="s">
        <v>106</v>
      </c>
      <c r="R98" s="41" t="s">
        <v>93</v>
      </c>
      <c r="S98" s="41" t="s">
        <v>72</v>
      </c>
      <c r="T98" s="41" t="s">
        <v>72</v>
      </c>
      <c r="U98" s="41" t="s">
        <v>72</v>
      </c>
      <c r="V98" s="41" t="s">
        <v>72</v>
      </c>
      <c r="W98" s="41" t="s">
        <v>72</v>
      </c>
      <c r="X98" s="41" t="s">
        <v>165</v>
      </c>
      <c r="Y98" s="41" t="s">
        <v>81</v>
      </c>
      <c r="Z98" s="41" t="s">
        <v>72</v>
      </c>
      <c r="AA98" s="41" t="s">
        <v>72</v>
      </c>
      <c r="AB98" s="41" t="s">
        <v>72</v>
      </c>
      <c r="AC98" s="41" t="s">
        <v>72</v>
      </c>
      <c r="AD98" s="41" t="s">
        <v>72</v>
      </c>
      <c r="AE98" s="41" t="s">
        <v>75</v>
      </c>
      <c r="AF98" s="41" t="s">
        <v>76</v>
      </c>
      <c r="AG98" t="str">
        <f>VLOOKUP($Q98,武学奇术!$A:$ZZ,25,FALSE)</f>
        <v>拳甲</v>
      </c>
      <c r="AH98" s="27">
        <f>VLOOKUP($Q98,武学奇术!$A:$ZZ,26,FALSE)</f>
        <v>1.2876</v>
      </c>
      <c r="AI98" s="28">
        <f>VLOOKUP($Q98,武学奇术!$A:$ZZ,27,FALSE)*(1+IF(OR($AG98=$F$4,$AG98=$F$5),$B$22,0))</f>
        <v>501.2</v>
      </c>
      <c r="AJ98" s="27">
        <f>VLOOKUP($Q98,武学奇术!$A:$ZZ,28,FALSE)</f>
        <v>1.9313</v>
      </c>
      <c r="AK98" s="28">
        <f>VLOOKUP($Q98,武学奇术!$A:$ZZ,29,FALSE)*(1+IF(OR($AG98=$F$4,$AG98=$F$5),$B$22,0))</f>
        <v>273</v>
      </c>
      <c r="AL98" s="27" cm="1">
        <f t="array" ref="AL98">$G$3+IFERROR(VLOOKUP($AG98,$F$4:$G$7,2,FALSE),0)+VLOOKUP($Q98,武学奇术!$A:$ZZ,2,FALSE)+SUM(_xlfn.XLOOKUP($R98:$AF98,增益!$A:$A,增益!$B:$B,0))</f>
        <v>0.4041</v>
      </c>
      <c r="AM98" s="27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3804.006</v>
      </c>
      <c r="AO98" cm="1">
        <f t="array" ref="AO98">$E$10*(1+$AM98)+VLOOKUP($Q98,武学奇术!$A:$ZZ,4,FALSE)+SUM(_xlfn.XLOOKUP($R98:$AF98,增益!$A:$A,增益!$D:$D,0))-$I$2</f>
        <v>3804.006</v>
      </c>
      <c r="AP98" s="33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0.317</v>
      </c>
      <c r="AQ98" s="33" cm="1">
        <f t="array" ref="AQ98">$G$10+VLOOKUP($Q98,武学奇术!$A:$ZZ,7,FALSE)+SUM(_xlfn.XLOOKUP(R98:AF98,增益!$A:$A,增益!$G:$G,0))</f>
        <v>0.09</v>
      </c>
      <c r="AR98" s="27" cm="1">
        <f t="array" ref="AR98">VLOOKUP($Q98,武学奇术!$A:$ZZ,8,FALSE)+SUM(_xlfn.XLOOKUP(R98:AF98,增益!$A:$A,增益!$H:$H,0))</f>
        <v>0</v>
      </c>
      <c r="AS98">
        <f t="shared" si="34"/>
        <v>0</v>
      </c>
      <c r="AT98">
        <f t="shared" si="35"/>
        <v>0</v>
      </c>
      <c r="AU98" s="33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-0.14</v>
      </c>
      <c r="AV98" s="33" cm="1">
        <f t="array" ref="AV98">$G$11+VLOOKUP($Q98,武学奇术!$A:$ZZ,10,FALSE)+SUM(_xlfn.XLOOKUP(R98:AF98,增益!$A:$A,增益!$J:$J,0))</f>
        <v>0</v>
      </c>
      <c r="AW98">
        <f t="shared" si="36"/>
        <v>0</v>
      </c>
      <c r="AX98">
        <f t="shared" si="37"/>
        <v>0</v>
      </c>
      <c r="AY98" s="33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-0.14</v>
      </c>
      <c r="AZ98" s="33" cm="1">
        <f t="array" ref="AZ98">$G$12+VLOOKUP($Q98,武学奇术!$A:$ZZ,12,FALSE)+SUM(_xlfn.XLOOKUP(R98:AF98,增益!$A:$A,增益!$L:$L,0))</f>
        <v>0</v>
      </c>
      <c r="BA98">
        <f t="shared" si="38"/>
        <v>0</v>
      </c>
      <c r="BB98">
        <f t="shared" si="39"/>
        <v>0</v>
      </c>
      <c r="BC98" s="33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-0.14</v>
      </c>
      <c r="BD98" s="33" cm="1">
        <f t="array" ref="BD98">$G$13+VLOOKUP($Q98,武学奇术!$A:$ZZ,14,FALSE)+SUM(_xlfn.XLOOKUP(R98:AF98,增益!$A:$A,增益!$N:$N,0))</f>
        <v>0</v>
      </c>
      <c r="BE98">
        <f t="shared" si="40"/>
        <v>570.28</v>
      </c>
      <c r="BF98">
        <f t="shared" si="41"/>
        <v>1582.156</v>
      </c>
      <c r="BG98" s="33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0.08</v>
      </c>
      <c r="BH98" s="33" cm="1">
        <f t="array" ref="BH98">$G$14+VLOOKUP($Q98,武学奇术!$A:$ZZ,16,FALSE)+SUM(_xlfn.XLOOKUP(R98:AF98,增益!$A:$A,增益!$P:$P,0))</f>
        <v>0.24</v>
      </c>
      <c r="BI98" s="27">
        <f>MIN(IF(VLOOKUP($Q98,武学奇术!$A:$ZZ,23,FALSE)=1,100%,$B$8),100%)</f>
        <v>1</v>
      </c>
      <c r="BJ98" s="27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+MIN(IF(VLOOKUP($Q98,武学奇术!$A:$ZZ,32,FALSE)=1,IF(VLOOKUP($Q98,武学奇术!$A:$ZZ,24,FALSE)=1,100%,MIN(40%,$B$10+VLOOKUP($Q98,武学奇术!$A:$ZZ,19,FALSE)+SUM(_xlfn.XLOOKUP(R98:AF98,增益!$A:$A,增益!$S:$S,0)))+$B$12+SUM(_xlfn.XLOOKUP(R98:AF98,增益!$A:$A,增益!$V:$V,0))),0),12%)</f>
        <v>0.918</v>
      </c>
      <c r="BK98" s="27" cm="1">
        <f t="array" ref="BK98">1+$B$13+VLOOKUP($Q98,武学奇术!$A:$ZZ,18,FALSE)+SUM(_xlfn.XLOOKUP(R98:AF98,增益!$A:$A,增益!$R:$R,0))</f>
        <v>1.64</v>
      </c>
      <c r="BL98" s="27" cm="1">
        <f t="array" ref="BL98">MAX(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-IF(VLOOKUP($Q98,武学奇术!$A:$ZZ,32,FALSE)=1,12%,0),0)</f>
        <v>0.0895</v>
      </c>
      <c r="BM98" s="27" cm="1">
        <f t="array" ref="BM98">1+$B$14+VLOOKUP($Q98,武学奇术!$A:$ZZ,20,FALSE)+SUM(_xlfn.XLOOKUP(R98:AF98,增益!$A:$A,增益!$T:$T,0))</f>
        <v>1.35</v>
      </c>
      <c r="BN98" s="27">
        <f t="shared" si="31"/>
        <v>0.9105</v>
      </c>
      <c r="BO98" s="27">
        <f t="shared" si="32"/>
        <v>0</v>
      </c>
      <c r="BP98" s="27">
        <f>IF(VLOOKUP($Q98,武学奇术!$A:$ZZ,22,FALSE)=1,0,(1-$BI98))*(1-$BL98)</f>
        <v>0</v>
      </c>
      <c r="BQ98" s="27" cm="1">
        <f t="array" ref="BQ98">SUM(_xlfn.XLOOKUP(R98:AF98,增益!$A:$A,增益!$W:$W,0))+$I$5</f>
        <v>0.11</v>
      </c>
    </row>
    <row r="99" spans="1:69">
      <c r="A99" s="4" t="s">
        <v>172</v>
      </c>
      <c r="B99" s="4">
        <v>0.8</v>
      </c>
      <c r="C99" s="40"/>
      <c r="D99" s="40"/>
      <c r="K99" s="39">
        <f t="shared" si="33"/>
        <v>65597.3033545041</v>
      </c>
      <c r="L99" s="39">
        <f>((($AN99+($AO99-$AN99)*IF(VLOOKUP($Q99,武学奇术!$A:$ZZ,31,FALSE)=1,$F$18,0.5))*$AH99+$AI99)*(1+$AP99)*(1+$AQ99)+(($AS99+($AT99-$AS99)*IF(VLOOKUP($Q99,武学奇术!$A:$ZZ,31,FALSE)=1,$F$18,0.5))*IF($G$1="鸣金",$AJ99,$AH99)+IF($G$1="鸣金",$AK99*1.5,0))*(1+$AU99)*(1+$AV99)+(($AW99+($AX99-$AW99)*IF(VLOOKUP($Q99,武学奇术!$A:$ZZ,31,FALSE)=1,$F$18,0.5))*IF($G$1="裂石",$AJ99,$AH99)+IF($G$1="裂石",$AK99*1.5,0))*(1+$AY99)*(1+$AZ99)+(($BA99+($BB99-$BA99)*IF(VLOOKUP($Q99,武学奇术!$A:$ZZ,31,FALSE)=1,$F$18,0.5))*IF($G$1="牵丝",$AJ99,$AH99)+IF($G$1="牵丝",$AK99*1.5,0))*(1+$BC99)*(1+$BD99)+(($BE99+($BF99-$BE99)*IF(VLOOKUP($Q99,武学奇术!$A:$ZZ,31,FALSE)=1,$F$18,0.5))*IF($G$1="破竹",$AJ99,$AH99)+IF($G$1="破竹",$AK99*1.5,0))*(1+$BG99)*(1+$BH99))*(1+$AL99)*$BK99*$P99*(1+IF(VLOOKUP($Q99,武学奇术!$A:$ZZ,30,FALSE)="蓄力技",$B$21,0))*(1+$BQ99)</f>
        <v>66860.0314608294</v>
      </c>
      <c r="M99" s="39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52751.3375354069</v>
      </c>
      <c r="N99" s="39">
        <f>((($AN99+($AO99-$AN99)*IF(VLOOKUP($Q99,武学奇术!$A:$ZZ,31,FALSE)=1,$F$18,0.5))*$AH99+$AI99)*(1+$AP99)*(1+$AQ99)+(($AS99+($AT99-$AS99)*IF(VLOOKUP($Q99,武学奇术!$A:$ZZ,31,FALSE)=1,$F$18,0.5))*IF($G$1="鸣金",$AJ99,$AH99)+IF($G$1="鸣金",$AK99*1.5,0))*(1+$AU99)*(1+$AV99)+(($AW99+($AX99-$AW99)*IF(VLOOKUP($Q99,武学奇术!$A:$ZZ,31,FALSE)=1,$F$18,0.5))*IF($G$1="裂石",$AJ99,$AH99)+IF($G$1="裂石",$AK99*1.5,0))*(1+$AY99)*(1+$AZ99)+(($BA99+($BB99-$BA99)*IF(VLOOKUP($Q99,武学奇术!$A:$ZZ,31,FALSE)=1,$F$18,0.5))*IF($G$1="牵丝",$AJ99,$AH99)+IF($G$1="牵丝",$AK99*1.5,0))*(1+$BC99)*(1+$BD99)+(($BE99+($BF99-$BE99)*IF(VLOOKUP($Q99,武学奇术!$A:$ZZ,31,FALSE)=1,$F$18,0.5))*IF($G$1="破竹",$AJ99,$AH99)+IF($G$1="破竹",$AK99*1.5,0))*(1+$BG99)*(1+$BH99))*(1+$AL99)*$P99*(1+IF(VLOOKUP($Q99,武学奇术!$A:$ZZ,30,FALSE)="蓄力技",$B$21,0))*(1+$BQ99)</f>
        <v>34463.9337426956</v>
      </c>
      <c r="O99" s="39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29852.802644349</v>
      </c>
      <c r="P99" s="40">
        <v>1</v>
      </c>
      <c r="Q99" s="41" t="s">
        <v>108</v>
      </c>
      <c r="R99" s="41" t="s">
        <v>93</v>
      </c>
      <c r="S99" s="41" t="s">
        <v>72</v>
      </c>
      <c r="T99" s="41" t="s">
        <v>72</v>
      </c>
      <c r="U99" s="41" t="s">
        <v>72</v>
      </c>
      <c r="V99" s="41" t="s">
        <v>72</v>
      </c>
      <c r="W99" s="41" t="s">
        <v>72</v>
      </c>
      <c r="X99" s="41" t="s">
        <v>165</v>
      </c>
      <c r="Y99" s="41" t="s">
        <v>81</v>
      </c>
      <c r="Z99" s="41" t="s">
        <v>101</v>
      </c>
      <c r="AA99" s="41" t="s">
        <v>72</v>
      </c>
      <c r="AB99" s="41" t="s">
        <v>72</v>
      </c>
      <c r="AC99" s="41" t="s">
        <v>72</v>
      </c>
      <c r="AD99" s="41" t="s">
        <v>72</v>
      </c>
      <c r="AE99" s="41" t="s">
        <v>75</v>
      </c>
      <c r="AF99" s="41" t="s">
        <v>76</v>
      </c>
      <c r="AG99" t="str">
        <f>VLOOKUP($Q99,武学奇术!$A:$ZZ,25,FALSE)</f>
        <v>拳甲</v>
      </c>
      <c r="AH99" s="27">
        <f>VLOOKUP($Q99,武学奇术!$A:$ZZ,26,FALSE)</f>
        <v>2.33376</v>
      </c>
      <c r="AI99" s="28">
        <f>VLOOKUP($Q99,武学奇术!$A:$ZZ,27,FALSE)*(1+IF(OR($AG99=$F$4,$AG99=$F$5),$B$22,0))</f>
        <v>0</v>
      </c>
      <c r="AJ99" s="27">
        <f>VLOOKUP($Q99,武学奇术!$A:$ZZ,28,FALSE)</f>
        <v>3.50064</v>
      </c>
      <c r="AK99" s="28">
        <f>VLOOKUP($Q99,武学奇术!$A:$ZZ,29,FALSE)*(1+IF(OR($AG99=$F$4,$AG99=$F$5),$B$22,0))</f>
        <v>0</v>
      </c>
      <c r="AL99" s="27" cm="1">
        <f t="array" ref="AL99">$G$3+IFERROR(VLOOKUP($AG99,$F$4:$G$7,2,FALSE),0)+VLOOKUP($Q99,武学奇术!$A:$ZZ,2,FALSE)+SUM(_xlfn.XLOOKUP($R99:$AF99,增益!$A:$A,增益!$B:$B,0))</f>
        <v>0.7041</v>
      </c>
      <c r="AM99" s="27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3804.006</v>
      </c>
      <c r="AO99" cm="1">
        <f t="array" ref="AO99">$E$10*(1+$AM99)+VLOOKUP($Q99,武学奇术!$A:$ZZ,4,FALSE)+SUM(_xlfn.XLOOKUP($R99:$AF99,增益!$A:$A,增益!$D:$D,0))-$I$2</f>
        <v>3804.006</v>
      </c>
      <c r="AP99" s="33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0.347</v>
      </c>
      <c r="AQ99" s="33" cm="1">
        <f t="array" ref="AQ99">$G$10+VLOOKUP($Q99,武学奇术!$A:$ZZ,7,FALSE)+SUM(_xlfn.XLOOKUP(R99:AF99,增益!$A:$A,增益!$G:$G,0))</f>
        <v>0.09</v>
      </c>
      <c r="AR99" s="27" cm="1">
        <f t="array" ref="AR99">VLOOKUP($Q99,武学奇术!$A:$ZZ,8,FALSE)+SUM(_xlfn.XLOOKUP(R99:AF99,增益!$A:$A,增益!$H:$H,0))</f>
        <v>0</v>
      </c>
      <c r="AS99">
        <f t="shared" si="34"/>
        <v>0</v>
      </c>
      <c r="AT99">
        <f t="shared" si="35"/>
        <v>0</v>
      </c>
      <c r="AU99" s="33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-0.08</v>
      </c>
      <c r="AV99" s="33" cm="1">
        <f t="array" ref="AV99">$G$11+VLOOKUP($Q99,武学奇术!$A:$ZZ,10,FALSE)+SUM(_xlfn.XLOOKUP(R99:AF99,增益!$A:$A,增益!$J:$J,0))</f>
        <v>0</v>
      </c>
      <c r="AW99">
        <f t="shared" si="36"/>
        <v>0</v>
      </c>
      <c r="AX99">
        <f t="shared" si="37"/>
        <v>0</v>
      </c>
      <c r="AY99" s="33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-0.08</v>
      </c>
      <c r="AZ99" s="33" cm="1">
        <f t="array" ref="AZ99">$G$12+VLOOKUP($Q99,武学奇术!$A:$ZZ,12,FALSE)+SUM(_xlfn.XLOOKUP(R99:AF99,增益!$A:$A,增益!$L:$L,0))</f>
        <v>0</v>
      </c>
      <c r="BA99">
        <f t="shared" si="38"/>
        <v>0</v>
      </c>
      <c r="BB99">
        <f t="shared" si="39"/>
        <v>0</v>
      </c>
      <c r="BC99" s="33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-0.08</v>
      </c>
      <c r="BD99" s="33" cm="1">
        <f t="array" ref="BD99">$G$13+VLOOKUP($Q99,武学奇术!$A:$ZZ,14,FALSE)+SUM(_xlfn.XLOOKUP(R99:AF99,增益!$A:$A,增益!$N:$N,0))</f>
        <v>0</v>
      </c>
      <c r="BE99">
        <f t="shared" si="40"/>
        <v>570.28</v>
      </c>
      <c r="BF99">
        <f t="shared" si="41"/>
        <v>1582.156</v>
      </c>
      <c r="BG99" s="33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0.11</v>
      </c>
      <c r="BH99" s="33" cm="1">
        <f t="array" ref="BH99">$G$14+VLOOKUP($Q99,武学奇术!$A:$ZZ,16,FALSE)+SUM(_xlfn.XLOOKUP(R99:AF99,增益!$A:$A,增益!$P:$P,0))</f>
        <v>0.24</v>
      </c>
      <c r="BI99" s="27">
        <f>MIN(IF(VLOOKUP($Q99,武学奇术!$A:$ZZ,23,FALSE)=1,100%,$B$8),100%)</f>
        <v>1</v>
      </c>
      <c r="BJ99" s="27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+MIN(IF(VLOOKUP($Q99,武学奇术!$A:$ZZ,32,FALSE)=1,IF(VLOOKUP($Q99,武学奇术!$A:$ZZ,24,FALSE)=1,100%,MIN(40%,$B$10+VLOOKUP($Q99,武学奇术!$A:$ZZ,19,FALSE)+SUM(_xlfn.XLOOKUP(R99:AF99,增益!$A:$A,增益!$S:$S,0)))+$B$12+SUM(_xlfn.XLOOKUP(R99:AF99,增益!$A:$A,增益!$V:$V,0))),0),12%)</f>
        <v>0.918</v>
      </c>
      <c r="BK99" s="27" cm="1">
        <f t="array" ref="BK99">1+$B$13+VLOOKUP($Q99,武学奇术!$A:$ZZ,18,FALSE)+SUM(_xlfn.XLOOKUP(R99:AF99,增益!$A:$A,增益!$R:$R,0))</f>
        <v>1.94</v>
      </c>
      <c r="BL99" s="27" cm="1">
        <f t="array" ref="BL99">MAX(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-IF(VLOOKUP($Q99,武学奇术!$A:$ZZ,32,FALSE)=1,12%,0),0)</f>
        <v>0.0895</v>
      </c>
      <c r="BM99" s="27" cm="1">
        <f t="array" ref="BM99">1+$B$14+VLOOKUP($Q99,武学奇术!$A:$ZZ,20,FALSE)+SUM(_xlfn.XLOOKUP(R99:AF99,增益!$A:$A,增益!$T:$T,0))</f>
        <v>1.35</v>
      </c>
      <c r="BN99" s="27">
        <f t="shared" si="31"/>
        <v>0.9105</v>
      </c>
      <c r="BO99" s="27">
        <f t="shared" si="32"/>
        <v>0</v>
      </c>
      <c r="BP99" s="27">
        <f>IF(VLOOKUP($Q99,武学奇术!$A:$ZZ,22,FALSE)=1,0,(1-$BI99))*(1-$BL99)</f>
        <v>0</v>
      </c>
      <c r="BQ99" s="27" cm="1">
        <f t="array" ref="BQ99">SUM(_xlfn.XLOOKUP(R99:AF99,增益!$A:$A,增益!$W:$W,0))+$I$5</f>
        <v>0.11</v>
      </c>
    </row>
    <row r="100" spans="1:69">
      <c r="A100" s="4" t="s">
        <v>173</v>
      </c>
      <c r="B100" s="4">
        <v>2.15</v>
      </c>
      <c r="C100" s="40"/>
      <c r="D100" s="40"/>
      <c r="K100" s="39">
        <f t="shared" si="33"/>
        <v>70195.5179819309</v>
      </c>
      <c r="L100" s="39">
        <f>((($AN100+($AO100-$AN100)*IF(VLOOKUP($Q100,武学奇术!$A:$ZZ,31,FALSE)=1,$F$18,0.5))*$AH100+$AI100)*(1+$AP100)*(1+$AQ100)+(($AS100+($AT100-$AS100)*IF(VLOOKUP($Q100,武学奇术!$A:$ZZ,31,FALSE)=1,$F$18,0.5))*IF($G$1="鸣金",$AJ100,$AH100)+IF($G$1="鸣金",$AK100*1.5,0))*(1+$AU100)*(1+$AV100)+(($AW100+($AX100-$AW100)*IF(VLOOKUP($Q100,武学奇术!$A:$ZZ,31,FALSE)=1,$F$18,0.5))*IF($G$1="裂石",$AJ100,$AH100)+IF($G$1="裂石",$AK100*1.5,0))*(1+$AY100)*(1+$AZ100)+(($BA100+($BB100-$BA100)*IF(VLOOKUP($Q100,武学奇术!$A:$ZZ,31,FALSE)=1,$F$18,0.5))*IF($G$1="牵丝",$AJ100,$AH100)+IF($G$1="牵丝",$AK100*1.5,0))*(1+$BC100)*(1+$BD100)+(($BE100+($BF100-$BE100)*IF(VLOOKUP($Q100,武学奇术!$A:$ZZ,31,FALSE)=1,$F$18,0.5))*IF($G$1="破竹",$AJ100,$AH100)+IF($G$1="破竹",$AK100*1.5,0))*(1+$BG100)*(1+$BH100))*(1+$AL100)*$BK100*$P100*(1+IF(VLOOKUP($Q100,武学奇术!$A:$ZZ,30,FALSE)="蓄力技",$B$21,0))*(1+$BQ100)</f>
        <v>70643.3321841843</v>
      </c>
      <c r="M100" s="39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65639.8215444815</v>
      </c>
      <c r="N100" s="39">
        <f>((($AN100+($AO100-$AN100)*IF(VLOOKUP($Q100,武学奇术!$A:$ZZ,31,FALSE)=1,$F$18,0.5))*$AH100+$AI100)*(1+$AP100)*(1+$AQ100)+(($AS100+($AT100-$AS100)*IF(VLOOKUP($Q100,武学奇术!$A:$ZZ,31,FALSE)=1,$F$18,0.5))*IF($G$1="鸣金",$AJ100,$AH100)+IF($G$1="鸣金",$AK100*1.5,0))*(1+$AU100)*(1+$AV100)+(($AW100+($AX100-$AW100)*IF(VLOOKUP($Q100,武学奇术!$A:$ZZ,31,FALSE)=1,$F$18,0.5))*IF($G$1="裂石",$AJ100,$AH100)+IF($G$1="裂石",$AK100*1.5,0))*(1+$AY100)*(1+$AZ100)+(($BA100+($BB100-$BA100)*IF(VLOOKUP($Q100,武学奇术!$A:$ZZ,31,FALSE)=1,$F$18,0.5))*IF($G$1="牵丝",$AJ100,$AH100)+IF($G$1="牵丝",$AK100*1.5,0))*(1+$BC100)*(1+$BD100)+(($BE100+($BF100-$BE100)*IF(VLOOKUP($Q100,武学奇术!$A:$ZZ,31,FALSE)=1,$F$18,0.5))*IF($G$1="破竹",$AJ100,$AH100)+IF($G$1="破竹",$AK100*1.5,0))*(1+$BG100)*(1+$BH100))*(1+$AL100)*$P100*(1+IF(VLOOKUP($Q100,武学奇术!$A:$ZZ,30,FALSE)="蓄力技",$B$21,0))*(1+$BQ100)</f>
        <v>43075.2025513319</v>
      </c>
      <c r="O100" s="39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37528.3150697145</v>
      </c>
      <c r="P100" s="40">
        <v>1</v>
      </c>
      <c r="Q100" s="41" t="s">
        <v>157</v>
      </c>
      <c r="R100" s="41" t="s">
        <v>93</v>
      </c>
      <c r="S100" s="41" t="s">
        <v>72</v>
      </c>
      <c r="T100" s="41" t="s">
        <v>72</v>
      </c>
      <c r="U100" s="41" t="s">
        <v>72</v>
      </c>
      <c r="V100" s="41" t="s">
        <v>72</v>
      </c>
      <c r="W100" s="41" t="s">
        <v>72</v>
      </c>
      <c r="X100" s="41" t="s">
        <v>165</v>
      </c>
      <c r="Y100" s="41" t="s">
        <v>81</v>
      </c>
      <c r="Z100" s="41" t="s">
        <v>72</v>
      </c>
      <c r="AA100" s="41" t="s">
        <v>72</v>
      </c>
      <c r="AB100" s="41" t="s">
        <v>72</v>
      </c>
      <c r="AC100" s="41" t="s">
        <v>72</v>
      </c>
      <c r="AD100" s="41" t="s">
        <v>72</v>
      </c>
      <c r="AE100" s="41" t="s">
        <v>75</v>
      </c>
      <c r="AF100" s="41" t="s">
        <v>76</v>
      </c>
      <c r="AG100" t="str">
        <f>VLOOKUP($Q100,武学奇术!$A:$ZZ,25,FALSE)</f>
        <v>单体奇术</v>
      </c>
      <c r="AH100" s="27">
        <f>VLOOKUP($Q100,武学奇术!$A:$ZZ,26,FALSE)</f>
        <v>3.9855</v>
      </c>
      <c r="AI100" s="28">
        <f>VLOOKUP($Q100,武学奇术!$A:$ZZ,27,FALSE)*(1+IF(OR($AG100=$F$4,$AG100=$F$5),$B$22,0))</f>
        <v>749</v>
      </c>
      <c r="AJ100" s="27">
        <f>VLOOKUP($Q100,武学奇术!$A:$ZZ,28,FALSE)</f>
        <v>5.97825</v>
      </c>
      <c r="AK100" s="28">
        <f>VLOOKUP($Q100,武学奇术!$A:$ZZ,29,FALSE)*(1+IF(OR($AG100=$F$4,$AG100=$F$5),$B$22,0))</f>
        <v>0</v>
      </c>
      <c r="AL100" s="27" cm="1">
        <f t="array" ref="AL100">$G$3+IFERROR(VLOOKUP($AG100,$F$4:$G$7,2,FALSE),0)+VLOOKUP($Q100,武学奇术!$A:$ZZ,2,FALSE)+SUM(_xlfn.XLOOKUP($R100:$AF100,增益!$A:$A,增益!$B:$B,0))</f>
        <v>0.2337</v>
      </c>
      <c r="AM100" s="27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3804.006</v>
      </c>
      <c r="AO100" cm="1">
        <f t="array" ref="AO100">$E$10*(1+$AM100)+VLOOKUP($Q100,武学奇术!$A:$ZZ,4,FALSE)+SUM(_xlfn.XLOOKUP($R100:$AF100,增益!$A:$A,增益!$D:$D,0))-$I$2</f>
        <v>3804.006</v>
      </c>
      <c r="AP100" s="33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0.317</v>
      </c>
      <c r="AQ100" s="33" cm="1">
        <f t="array" ref="AQ100">$G$10+VLOOKUP($Q100,武学奇术!$A:$ZZ,7,FALSE)+SUM(_xlfn.XLOOKUP(R100:AF100,增益!$A:$A,增益!$G:$G,0))</f>
        <v>0.09</v>
      </c>
      <c r="AR100" s="27" cm="1">
        <f t="array" ref="AR100">VLOOKUP($Q100,武学奇术!$A:$ZZ,8,FALSE)+SUM(_xlfn.XLOOKUP(R100:AF100,增益!$A:$A,增益!$H:$H,0))</f>
        <v>0</v>
      </c>
      <c r="AS100">
        <f t="shared" si="34"/>
        <v>0</v>
      </c>
      <c r="AT100">
        <f t="shared" si="35"/>
        <v>0</v>
      </c>
      <c r="AU100" s="33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-0.14</v>
      </c>
      <c r="AV100" s="33" cm="1">
        <f t="array" ref="AV100">$G$11+VLOOKUP($Q100,武学奇术!$A:$ZZ,10,FALSE)+SUM(_xlfn.XLOOKUP(R100:AF100,增益!$A:$A,增益!$J:$J,0))</f>
        <v>0</v>
      </c>
      <c r="AW100">
        <f t="shared" si="36"/>
        <v>0</v>
      </c>
      <c r="AX100">
        <f t="shared" si="37"/>
        <v>0</v>
      </c>
      <c r="AY100" s="33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-0.14</v>
      </c>
      <c r="AZ100" s="33" cm="1">
        <f t="array" ref="AZ100">$G$12+VLOOKUP($Q100,武学奇术!$A:$ZZ,12,FALSE)+SUM(_xlfn.XLOOKUP(R100:AF100,增益!$A:$A,增益!$L:$L,0))</f>
        <v>0</v>
      </c>
      <c r="BA100">
        <f t="shared" si="38"/>
        <v>0</v>
      </c>
      <c r="BB100">
        <f t="shared" si="39"/>
        <v>0</v>
      </c>
      <c r="BC100" s="33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-0.14</v>
      </c>
      <c r="BD100" s="33" cm="1">
        <f t="array" ref="BD100">$G$13+VLOOKUP($Q100,武学奇术!$A:$ZZ,14,FALSE)+SUM(_xlfn.XLOOKUP(R100:AF100,增益!$A:$A,增益!$N:$N,0))</f>
        <v>0</v>
      </c>
      <c r="BE100">
        <f t="shared" si="40"/>
        <v>570.28</v>
      </c>
      <c r="BF100">
        <f t="shared" si="41"/>
        <v>1582.156</v>
      </c>
      <c r="BG100" s="33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0.08</v>
      </c>
      <c r="BH100" s="33" cm="1">
        <f t="array" ref="BH100">$G$14+VLOOKUP($Q100,武学奇术!$A:$ZZ,16,FALSE)+SUM(_xlfn.XLOOKUP(R100:AF100,增益!$A:$A,增益!$P:$P,0))</f>
        <v>0.24</v>
      </c>
      <c r="BI100" s="27">
        <f>MIN(IF(VLOOKUP($Q100,武学奇术!$A:$ZZ,23,FALSE)=1,100%,$B$8),100%)</f>
        <v>1</v>
      </c>
      <c r="BJ100" s="27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+MIN(IF(VLOOKUP($Q100,武学奇术!$A:$ZZ,32,FALSE)=1,IF(VLOOKUP($Q100,武学奇术!$A:$ZZ,24,FALSE)=1,100%,MIN(40%,$B$10+VLOOKUP($Q100,武学奇术!$A:$ZZ,19,FALSE)+SUM(_xlfn.XLOOKUP(R100:AF100,增益!$A:$A,增益!$S:$S,0)))+$B$12+SUM(_xlfn.XLOOKUP(R100:AF100,增益!$A:$A,增益!$V:$V,0))),0),12%)</f>
        <v>0.918</v>
      </c>
      <c r="BK100" s="27" cm="1">
        <f t="array" ref="BK100">1+$B$13+VLOOKUP($Q100,武学奇术!$A:$ZZ,18,FALSE)+SUM(_xlfn.XLOOKUP(R100:AF100,增益!$A:$A,增益!$R:$R,0))</f>
        <v>1.64</v>
      </c>
      <c r="BL100" s="27" cm="1">
        <f t="array" ref="BL100">MAX(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-IF(VLOOKUP($Q100,武学奇术!$A:$ZZ,32,FALSE)=1,12%,0),0)</f>
        <v>0.0895</v>
      </c>
      <c r="BM100" s="27" cm="1">
        <f t="array" ref="BM100">1+$B$14+VLOOKUP($Q100,武学奇术!$A:$ZZ,20,FALSE)+SUM(_xlfn.XLOOKUP(R100:AF100,增益!$A:$A,增益!$T:$T,0))</f>
        <v>1.35</v>
      </c>
      <c r="BN100" s="27">
        <f t="shared" si="31"/>
        <v>0.9105</v>
      </c>
      <c r="BO100" s="27">
        <f t="shared" si="32"/>
        <v>0</v>
      </c>
      <c r="BP100" s="27">
        <f>IF(VLOOKUP($Q100,武学奇术!$A:$ZZ,22,FALSE)=1,0,(1-$BI100))*(1-$BL100)</f>
        <v>0</v>
      </c>
      <c r="BQ100" s="27" cm="1">
        <f t="array" ref="BQ100">SUM(_xlfn.XLOOKUP(R100:AF100,增益!$A:$A,增益!$W:$W,0))+$I$5</f>
        <v>0.11</v>
      </c>
    </row>
    <row r="101" spans="1:69">
      <c r="A101" t="s">
        <v>153</v>
      </c>
      <c r="B101">
        <v>0.1</v>
      </c>
      <c r="C101" s="40"/>
      <c r="D101" s="40"/>
      <c r="F101" s="40" t="s">
        <v>167</v>
      </c>
      <c r="K101" s="39">
        <f t="shared" si="33"/>
        <v>44978.0868571802</v>
      </c>
      <c r="L101" s="39">
        <f>((($AN101+($AO101-$AN101)*IF(VLOOKUP($Q101,武学奇术!$A:$ZZ,31,FALSE)=1,$F$18,0.5))*$AH101+$AI101)*(1+$AP101)*(1+$AQ101)+(($AS101+($AT101-$AS101)*IF(VLOOKUP($Q101,武学奇术!$A:$ZZ,31,FALSE)=1,$F$18,0.5))*IF($G$1="鸣金",$AJ101,$AH101)+IF($G$1="鸣金",$AK101*1.5,0))*(1+$AU101)*(1+$AV101)+(($AW101+($AX101-$AW101)*IF(VLOOKUP($Q101,武学奇术!$A:$ZZ,31,FALSE)=1,$F$18,0.5))*IF($G$1="裂石",$AJ101,$AH101)+IF($G$1="裂石",$AK101*1.5,0))*(1+$AY101)*(1+$AZ101)+(($BA101+($BB101-$BA101)*IF(VLOOKUP($Q101,武学奇术!$A:$ZZ,31,FALSE)=1,$F$18,0.5))*IF($G$1="牵丝",$AJ101,$AH101)+IF($G$1="牵丝",$AK101*1.5,0))*(1+$BC101)*(1+$BD101)+(($BE101+($BF101-$BE101)*IF(VLOOKUP($Q101,武学奇术!$A:$ZZ,31,FALSE)=1,$F$18,0.5))*IF($G$1="破竹",$AJ101,$AH101)+IF($G$1="破竹",$AK101*1.5,0))*(1+$BG101)*(1+$BH101))*(1+$AL101)*$BK101*$P101*(1+IF(VLOOKUP($Q101,武学奇术!$A:$ZZ,30,FALSE)="蓄力技",$B$21,0))*(1+$BQ101)</f>
        <v>45264.9085761405</v>
      </c>
      <c r="M101" s="39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42060.19663245</v>
      </c>
      <c r="N101" s="39">
        <f>((($AN101+($AO101-$AN101)*IF(VLOOKUP($Q101,武学奇术!$A:$ZZ,31,FALSE)=1,$F$18,0.5))*$AH101+$AI101)*(1+$AP101)*(1+$AQ101)+(($AS101+($AT101-$AS101)*IF(VLOOKUP($Q101,武学奇术!$A:$ZZ,31,FALSE)=1,$F$18,0.5))*IF($G$1="鸣金",$AJ101,$AH101)+IF($G$1="鸣金",$AK101*1.5,0))*(1+$AU101)*(1+$AV101)+(($AW101+($AX101-$AW101)*IF(VLOOKUP($Q101,武学奇术!$A:$ZZ,31,FALSE)=1,$F$18,0.5))*IF($G$1="裂石",$AJ101,$AH101)+IF($G$1="裂石",$AK101*1.5,0))*(1+$AY101)*(1+$AZ101)+(($BA101+($BB101-$BA101)*IF(VLOOKUP($Q101,武学奇术!$A:$ZZ,31,FALSE)=1,$F$18,0.5))*IF($G$1="牵丝",$AJ101,$AH101)+IF($G$1="牵丝",$AK101*1.5,0))*(1+$BC101)*(1+$BD101)+(($BE101+($BF101-$BE101)*IF(VLOOKUP($Q101,武学奇术!$A:$ZZ,31,FALSE)=1,$F$18,0.5))*IF($G$1="破竹",$AJ101,$AH101)+IF($G$1="破竹",$AK101*1.5,0))*(1+$BG101)*(1+$BH101))*(1+$AL101)*$P101*(1+IF(VLOOKUP($Q101,武学奇术!$A:$ZZ,30,FALSE)="蓄力技",$B$21,0))*(1+$BQ101)</f>
        <v>27600.5540098418</v>
      </c>
      <c r="O101" s="39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24045.4068104613</v>
      </c>
      <c r="P101" s="40">
        <v>9</v>
      </c>
      <c r="Q101" s="41" t="s">
        <v>160</v>
      </c>
      <c r="R101" s="41" t="s">
        <v>93</v>
      </c>
      <c r="S101" s="41" t="s">
        <v>72</v>
      </c>
      <c r="T101" s="41" t="s">
        <v>72</v>
      </c>
      <c r="U101" s="41" t="s">
        <v>72</v>
      </c>
      <c r="V101" s="41" t="s">
        <v>72</v>
      </c>
      <c r="W101" s="41" t="s">
        <v>72</v>
      </c>
      <c r="X101" s="41" t="s">
        <v>165</v>
      </c>
      <c r="Y101" s="41" t="s">
        <v>81</v>
      </c>
      <c r="Z101" s="41" t="s">
        <v>72</v>
      </c>
      <c r="AA101" s="41" t="s">
        <v>161</v>
      </c>
      <c r="AB101" s="41" t="s">
        <v>72</v>
      </c>
      <c r="AC101" s="41" t="s">
        <v>72</v>
      </c>
      <c r="AD101" s="41" t="s">
        <v>72</v>
      </c>
      <c r="AE101" s="41" t="s">
        <v>75</v>
      </c>
      <c r="AF101" s="41" t="s">
        <v>76</v>
      </c>
      <c r="AG101" t="str">
        <f>VLOOKUP($Q101,武学奇术!$A:$ZZ,25,FALSE)</f>
        <v>单体奇术</v>
      </c>
      <c r="AH101" s="27">
        <f>VLOOKUP($Q101,武学奇术!$A:$ZZ,26,FALSE)</f>
        <v>0.236</v>
      </c>
      <c r="AI101" s="28">
        <f>VLOOKUP($Q101,武学奇术!$A:$ZZ,27,FALSE)*(1+IF(OR($AG101=$F$4,$AG101=$F$5),$B$22,0))</f>
        <v>44</v>
      </c>
      <c r="AJ101" s="27">
        <f>VLOOKUP($Q101,武学奇术!$A:$ZZ,28,FALSE)</f>
        <v>0.354</v>
      </c>
      <c r="AK101" s="28">
        <f>VLOOKUP($Q101,武学奇术!$A:$ZZ,29,FALSE)*(1+IF(OR($AG101=$F$4,$AG101=$F$5),$B$22,0))</f>
        <v>0</v>
      </c>
      <c r="AL101" s="27" cm="1">
        <f t="array" ref="AL101">$G$3+IFERROR(VLOOKUP($AG101,$F$4:$G$7,2,FALSE),0)+VLOOKUP($Q101,武学奇术!$A:$ZZ,2,FALSE)+SUM(_xlfn.XLOOKUP($R101:$AF101,增益!$A:$A,增益!$B:$B,0))</f>
        <v>0.4837</v>
      </c>
      <c r="AM101" s="27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3804.006</v>
      </c>
      <c r="AO101" cm="1">
        <f t="array" ref="AO101">$E$10*(1+$AM101)+VLOOKUP($Q101,武学奇术!$A:$ZZ,4,FALSE)+SUM(_xlfn.XLOOKUP($R101:$AF101,增益!$A:$A,增益!$D:$D,0))-$I$2</f>
        <v>3804.006</v>
      </c>
      <c r="AP101" s="33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0.317</v>
      </c>
      <c r="AQ101" s="33" cm="1">
        <f t="array" ref="AQ101">$G$10+VLOOKUP($Q101,武学奇术!$A:$ZZ,7,FALSE)+SUM(_xlfn.XLOOKUP(R101:AF101,增益!$A:$A,增益!$G:$G,0))</f>
        <v>0.09</v>
      </c>
      <c r="AR101" s="27" cm="1">
        <f t="array" ref="AR101">VLOOKUP($Q101,武学奇术!$A:$ZZ,8,FALSE)+SUM(_xlfn.XLOOKUP(R101:AF101,增益!$A:$A,增益!$H:$H,0))</f>
        <v>0</v>
      </c>
      <c r="AS101">
        <f t="shared" si="34"/>
        <v>0</v>
      </c>
      <c r="AT101">
        <f t="shared" si="35"/>
        <v>0</v>
      </c>
      <c r="AU101" s="33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-0.14</v>
      </c>
      <c r="AV101" s="33" cm="1">
        <f t="array" ref="AV101">$G$11+VLOOKUP($Q101,武学奇术!$A:$ZZ,10,FALSE)+SUM(_xlfn.XLOOKUP(R101:AF101,增益!$A:$A,增益!$J:$J,0))</f>
        <v>0</v>
      </c>
      <c r="AW101">
        <f t="shared" si="36"/>
        <v>0</v>
      </c>
      <c r="AX101">
        <f t="shared" si="37"/>
        <v>0</v>
      </c>
      <c r="AY101" s="33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-0.14</v>
      </c>
      <c r="AZ101" s="33" cm="1">
        <f t="array" ref="AZ101">$G$12+VLOOKUP($Q101,武学奇术!$A:$ZZ,12,FALSE)+SUM(_xlfn.XLOOKUP(R101:AF101,增益!$A:$A,增益!$L:$L,0))</f>
        <v>0</v>
      </c>
      <c r="BA101">
        <f t="shared" si="38"/>
        <v>0</v>
      </c>
      <c r="BB101">
        <f t="shared" si="39"/>
        <v>0</v>
      </c>
      <c r="BC101" s="33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-0.14</v>
      </c>
      <c r="BD101" s="33" cm="1">
        <f t="array" ref="BD101">$G$13+VLOOKUP($Q101,武学奇术!$A:$ZZ,14,FALSE)+SUM(_xlfn.XLOOKUP(R101:AF101,增益!$A:$A,增益!$N:$N,0))</f>
        <v>0</v>
      </c>
      <c r="BE101">
        <f t="shared" si="40"/>
        <v>570.28</v>
      </c>
      <c r="BF101">
        <f t="shared" si="41"/>
        <v>1582.156</v>
      </c>
      <c r="BG101" s="33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0.08</v>
      </c>
      <c r="BH101" s="33" cm="1">
        <f t="array" ref="BH101">$G$14+VLOOKUP($Q101,武学奇术!$A:$ZZ,16,FALSE)+SUM(_xlfn.XLOOKUP(R101:AF101,增益!$A:$A,增益!$P:$P,0))</f>
        <v>0.24</v>
      </c>
      <c r="BI101" s="27">
        <f>MIN(IF(VLOOKUP($Q101,武学奇术!$A:$ZZ,23,FALSE)=1,100%,$B$8),100%)</f>
        <v>1</v>
      </c>
      <c r="BJ101" s="27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+MIN(IF(VLOOKUP($Q101,武学奇术!$A:$ZZ,32,FALSE)=1,IF(VLOOKUP($Q101,武学奇术!$A:$ZZ,24,FALSE)=1,100%,MIN(40%,$B$10+VLOOKUP($Q101,武学奇术!$A:$ZZ,19,FALSE)+SUM(_xlfn.XLOOKUP(R101:AF101,增益!$A:$A,增益!$S:$S,0)))+$B$12+SUM(_xlfn.XLOOKUP(R101:AF101,增益!$A:$A,增益!$V:$V,0))),0),12%)</f>
        <v>0.918</v>
      </c>
      <c r="BK101" s="27" cm="1">
        <f t="array" ref="BK101">1+$B$13+VLOOKUP($Q101,武学奇术!$A:$ZZ,18,FALSE)+SUM(_xlfn.XLOOKUP(R101:AF101,增益!$A:$A,增益!$R:$R,0))</f>
        <v>1.64</v>
      </c>
      <c r="BL101" s="27" cm="1">
        <f t="array" ref="BL101">MAX(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-IF(VLOOKUP($Q101,武学奇术!$A:$ZZ,32,FALSE)=1,12%,0),0)</f>
        <v>0.0895</v>
      </c>
      <c r="BM101" s="27" cm="1">
        <f t="array" ref="BM101">1+$B$14+VLOOKUP($Q101,武学奇术!$A:$ZZ,20,FALSE)+SUM(_xlfn.XLOOKUP(R101:AF101,增益!$A:$A,增益!$T:$T,0))</f>
        <v>1.35</v>
      </c>
      <c r="BN101" s="27">
        <f t="shared" si="31"/>
        <v>0.9105</v>
      </c>
      <c r="BO101" s="27">
        <f t="shared" si="32"/>
        <v>0</v>
      </c>
      <c r="BP101" s="27">
        <f>IF(VLOOKUP($Q101,武学奇术!$A:$ZZ,22,FALSE)=1,0,(1-$BI101))*(1-$BL101)</f>
        <v>0</v>
      </c>
      <c r="BQ101" s="27" cm="1">
        <f t="array" ref="BQ101">SUM(_xlfn.XLOOKUP(R101:AF101,增益!$A:$A,增益!$W:$W,0))+$I$5</f>
        <v>0.11</v>
      </c>
    </row>
    <row r="102" spans="1:69">
      <c r="A102" s="4" t="s">
        <v>152</v>
      </c>
      <c r="B102" s="4">
        <v>0.9</v>
      </c>
      <c r="C102" s="40"/>
      <c r="F102" s="40"/>
      <c r="K102" s="39">
        <f t="shared" si="33"/>
        <v>66999.7533683442</v>
      </c>
      <c r="L102" s="39">
        <f>((($AN102+($AO102-$AN102)*IF(VLOOKUP($Q102,武学奇术!$A:$ZZ,31,FALSE)=1,$F$18,0.5))*$AH102+$AI102)*(1+$AP102)*(1+$AQ102)+(($AS102+($AT102-$AS102)*IF(VLOOKUP($Q102,武学奇术!$A:$ZZ,31,FALSE)=1,$F$18,0.5))*IF($G$1="鸣金",$AJ102,$AH102)+IF($G$1="鸣金",$AK102*1.5,0))*(1+$AU102)*(1+$AV102)+(($AW102+($AX102-$AW102)*IF(VLOOKUP($Q102,武学奇术!$A:$ZZ,31,FALSE)=1,$F$18,0.5))*IF($G$1="裂石",$AJ102,$AH102)+IF($G$1="裂石",$AK102*1.5,0))*(1+$AY102)*(1+$AZ102)+(($BA102+($BB102-$BA102)*IF(VLOOKUP($Q102,武学奇术!$A:$ZZ,31,FALSE)=1,$F$18,0.5))*IF($G$1="牵丝",$AJ102,$AH102)+IF($G$1="牵丝",$AK102*1.5,0))*(1+$BC102)*(1+$BD102)+(($BE102+($BF102-$BE102)*IF(VLOOKUP($Q102,武学奇术!$A:$ZZ,31,FALSE)=1,$F$18,0.5))*IF($G$1="破竹",$AJ102,$AH102)+IF($G$1="破竹",$AK102*1.5,0))*(1+$BG102)*(1+$BH102))*(1+$AL102)*$BK102*$P102*(1+IF(VLOOKUP($Q102,武学奇术!$A:$ZZ,30,FALSE)="蓄力技",$B$21,0))*(1+$BQ102)</f>
        <v>68218.6715520236</v>
      </c>
      <c r="M102" s="39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蓄力技",$B$21,0))*(1+$BQ102)</f>
        <v>54599.4739690137</v>
      </c>
      <c r="N102" s="39">
        <f>((($AN102+($AO102-$AN102)*IF(VLOOKUP($Q102,武学奇术!$A:$ZZ,31,FALSE)=1,$F$18,0.5))*$AH102+$AI102)*(1+$AP102)*(1+$AQ102)+(($AS102+($AT102-$AS102)*IF(VLOOKUP($Q102,武学奇术!$A:$ZZ,31,FALSE)=1,$F$18,0.5))*IF($G$1="鸣金",$AJ102,$AH102)+IF($G$1="鸣金",$AK102*1.5,0))*(1+$AU102)*(1+$AV102)+(($AW102+($AX102-$AW102)*IF(VLOOKUP($Q102,武学奇术!$A:$ZZ,31,FALSE)=1,$F$18,0.5))*IF($G$1="裂石",$AJ102,$AH102)+IF($G$1="裂石",$AK102*1.5,0))*(1+$AY102)*(1+$AZ102)+(($BA102+($BB102-$BA102)*IF(VLOOKUP($Q102,武学奇术!$A:$ZZ,31,FALSE)=1,$F$18,0.5))*IF($G$1="牵丝",$AJ102,$AH102)+IF($G$1="牵丝",$AK102*1.5,0))*(1+$BC102)*(1+$BD102)+(($BE102+($BF102-$BE102)*IF(VLOOKUP($Q102,武学奇术!$A:$ZZ,31,FALSE)=1,$F$18,0.5))*IF($G$1="破竹",$AJ102,$AH102)+IF($G$1="破竹",$AK102*1.5,0))*(1+$BG102)*(1+$BH102))*(1+$AL102)*$P102*(1+IF(VLOOKUP($Q102,武学奇术!$A:$ZZ,30,FALSE)="蓄力技",$B$21,0))*(1+$BQ102)</f>
        <v>36094.5352127109</v>
      </c>
      <c r="O102" s="39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蓄力技",$B$21,0))*(1+$BQ102)</f>
        <v>31745.0156335598</v>
      </c>
      <c r="P102" s="40">
        <v>10</v>
      </c>
      <c r="Q102" s="41" t="s">
        <v>160</v>
      </c>
      <c r="R102" s="41" t="s">
        <v>93</v>
      </c>
      <c r="S102" s="41" t="s">
        <v>118</v>
      </c>
      <c r="T102" s="41" t="s">
        <v>119</v>
      </c>
      <c r="U102" s="41" t="s">
        <v>72</v>
      </c>
      <c r="V102" s="41" t="s">
        <v>72</v>
      </c>
      <c r="W102" s="41" t="s">
        <v>72</v>
      </c>
      <c r="X102" s="41" t="s">
        <v>165</v>
      </c>
      <c r="Y102" s="41" t="s">
        <v>81</v>
      </c>
      <c r="Z102" s="41" t="s">
        <v>72</v>
      </c>
      <c r="AA102" s="41" t="s">
        <v>161</v>
      </c>
      <c r="AB102" s="41" t="s">
        <v>72</v>
      </c>
      <c r="AC102" s="41" t="s">
        <v>72</v>
      </c>
      <c r="AD102" s="41" t="s">
        <v>72</v>
      </c>
      <c r="AE102" s="41" t="s">
        <v>75</v>
      </c>
      <c r="AF102" s="41" t="s">
        <v>76</v>
      </c>
      <c r="AG102" t="str">
        <f>VLOOKUP($Q102,武学奇术!$A:$ZZ,25,FALSE)</f>
        <v>单体奇术</v>
      </c>
      <c r="AH102" s="27">
        <f>VLOOKUP($Q102,武学奇术!$A:$ZZ,26,FALSE)</f>
        <v>0.236</v>
      </c>
      <c r="AI102" s="28">
        <f>VLOOKUP($Q102,武学奇术!$A:$ZZ,27,FALSE)*(1+IF(OR($AG102=$F$4,$AG102=$F$5),$B$22,0))</f>
        <v>44</v>
      </c>
      <c r="AJ102" s="27">
        <f>VLOOKUP($Q102,武学奇术!$A:$ZZ,28,FALSE)</f>
        <v>0.354</v>
      </c>
      <c r="AK102" s="28">
        <f>VLOOKUP($Q102,武学奇术!$A:$ZZ,29,FALSE)*(1+IF(OR($AG102=$F$4,$AG102=$F$5),$B$22,0))</f>
        <v>0</v>
      </c>
      <c r="AL102" s="27" cm="1">
        <f t="array" ref="AL102">$G$3+IFERROR(VLOOKUP($AG102,$F$4:$G$7,2,FALSE),0)+VLOOKUP($Q102,武学奇术!$A:$ZZ,2,FALSE)+SUM(_xlfn.XLOOKUP($R102:$AF102,增益!$A:$A,增益!$B:$B,0))</f>
        <v>0.6337</v>
      </c>
      <c r="AM102" s="27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3804.006</v>
      </c>
      <c r="AO102" cm="1">
        <f t="array" ref="AO102">$E$10*(1+$AM102)+VLOOKUP($Q102,武学奇术!$A:$ZZ,4,FALSE)+SUM(_xlfn.XLOOKUP($R102:$AF102,增益!$A:$A,增益!$D:$D,0))-$I$2</f>
        <v>3804.006</v>
      </c>
      <c r="AP102" s="33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0.442</v>
      </c>
      <c r="AQ102" s="33" cm="1">
        <f t="array" ref="AQ102">$G$10+VLOOKUP($Q102,武学奇术!$A:$ZZ,7,FALSE)+SUM(_xlfn.XLOOKUP(R102:AF102,增益!$A:$A,增益!$G:$G,0))</f>
        <v>0.09</v>
      </c>
      <c r="AR102" s="27" cm="1">
        <f t="array" ref="AR102">VLOOKUP($Q102,武学奇术!$A:$ZZ,8,FALSE)+SUM(_xlfn.XLOOKUP(R102:AF102,增益!$A:$A,增益!$H:$H,0))</f>
        <v>0</v>
      </c>
      <c r="AS102">
        <f t="shared" si="34"/>
        <v>0</v>
      </c>
      <c r="AT102">
        <f t="shared" si="35"/>
        <v>0</v>
      </c>
      <c r="AU102" s="33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-0.14</v>
      </c>
      <c r="AV102" s="33" cm="1">
        <f t="array" ref="AV102">$G$11+VLOOKUP($Q102,武学奇术!$A:$ZZ,10,FALSE)+SUM(_xlfn.XLOOKUP(R102:AF102,增益!$A:$A,增益!$J:$J,0))</f>
        <v>0</v>
      </c>
      <c r="AW102">
        <f t="shared" si="36"/>
        <v>0</v>
      </c>
      <c r="AX102">
        <f t="shared" si="37"/>
        <v>0</v>
      </c>
      <c r="AY102" s="33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-0.14</v>
      </c>
      <c r="AZ102" s="33" cm="1">
        <f t="array" ref="AZ102">$G$12+VLOOKUP($Q102,武学奇术!$A:$ZZ,12,FALSE)+SUM(_xlfn.XLOOKUP(R102:AF102,增益!$A:$A,增益!$L:$L,0))</f>
        <v>0</v>
      </c>
      <c r="BA102">
        <f t="shared" si="38"/>
        <v>0</v>
      </c>
      <c r="BB102">
        <f t="shared" si="39"/>
        <v>0</v>
      </c>
      <c r="BC102" s="33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-0.14</v>
      </c>
      <c r="BD102" s="33" cm="1">
        <f t="array" ref="BD102">$G$13+VLOOKUP($Q102,武学奇术!$A:$ZZ,14,FALSE)+SUM(_xlfn.XLOOKUP(R102:AF102,增益!$A:$A,增益!$N:$N,0))</f>
        <v>0</v>
      </c>
      <c r="BE102">
        <f t="shared" si="40"/>
        <v>570.28</v>
      </c>
      <c r="BF102">
        <f t="shared" si="41"/>
        <v>1582.156</v>
      </c>
      <c r="BG102" s="33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0.08</v>
      </c>
      <c r="BH102" s="33" cm="1">
        <f t="array" ref="BH102">$G$14+VLOOKUP($Q102,武学奇术!$A:$ZZ,16,FALSE)+SUM(_xlfn.XLOOKUP(R102:AF102,增益!$A:$A,增益!$P:$P,0))</f>
        <v>0.24</v>
      </c>
      <c r="BI102" s="27">
        <f>MIN(IF(VLOOKUP($Q102,武学奇术!$A:$ZZ,23,FALSE)=1,100%,$B$8),100%)</f>
        <v>1</v>
      </c>
      <c r="BJ102" s="27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+MIN(IF(VLOOKUP($Q102,武学奇术!$A:$ZZ,32,FALSE)=1,IF(VLOOKUP($Q102,武学奇术!$A:$ZZ,24,FALSE)=1,100%,MIN(40%,$B$10+VLOOKUP($Q102,武学奇术!$A:$ZZ,19,FALSE)+SUM(_xlfn.XLOOKUP(R102:AF102,增益!$A:$A,增益!$S:$S,0)))+$B$12+SUM(_xlfn.XLOOKUP(R102:AF102,增益!$A:$A,增益!$V:$V,0))),0),12%)</f>
        <v>0.918</v>
      </c>
      <c r="BK102" s="27" cm="1">
        <f t="array" ref="BK102">1+$B$13+VLOOKUP($Q102,武学奇术!$A:$ZZ,18,FALSE)+SUM(_xlfn.XLOOKUP(R102:AF102,增益!$A:$A,增益!$R:$R,0))</f>
        <v>1.89</v>
      </c>
      <c r="BL102" s="27" cm="1">
        <f t="array" ref="BL102">MAX(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-IF(VLOOKUP($Q102,武学奇术!$A:$ZZ,32,FALSE)=1,12%,0),0)</f>
        <v>0.0895</v>
      </c>
      <c r="BM102" s="27" cm="1">
        <f t="array" ref="BM102">1+$B$14+VLOOKUP($Q102,武学奇术!$A:$ZZ,20,FALSE)+SUM(_xlfn.XLOOKUP(R102:AF102,增益!$A:$A,增益!$T:$T,0))</f>
        <v>1.35</v>
      </c>
      <c r="BN102" s="27">
        <f t="shared" si="31"/>
        <v>0.9105</v>
      </c>
      <c r="BO102" s="27">
        <f t="shared" si="32"/>
        <v>0</v>
      </c>
      <c r="BP102" s="27">
        <f>IF(VLOOKUP($Q102,武学奇术!$A:$ZZ,22,FALSE)=1,0,(1-$BI102))*(1-$BL102)</f>
        <v>0</v>
      </c>
      <c r="BQ102" s="27" cm="1">
        <f t="array" ref="BQ102">SUM(_xlfn.XLOOKUP(R102:AF102,增益!$A:$A,增益!$W:$W,0))+$I$5</f>
        <v>0.11</v>
      </c>
    </row>
    <row r="103" spans="1:69">
      <c r="A103" t="s">
        <v>162</v>
      </c>
      <c r="B103">
        <v>1</v>
      </c>
      <c r="C103" s="40"/>
      <c r="F103" s="40"/>
      <c r="K103" s="39">
        <f t="shared" si="33"/>
        <v>9995.13041270672</v>
      </c>
      <c r="L103" s="39">
        <f>((($AN103+($AO103-$AN103)*IF(VLOOKUP($Q103,武学奇术!$A:$ZZ,31,FALSE)=1,$F$18,0.5))*$AH103+$AI103)*(1+$AP103)*(1+$AQ103)+(($AS103+($AT103-$AS103)*IF(VLOOKUP($Q103,武学奇术!$A:$ZZ,31,FALSE)=1,$F$18,0.5))*IF($G$1="鸣金",$AJ103,$AH103)+IF($G$1="鸣金",$AK103*1.5,0))*(1+$AU103)*(1+$AV103)+(($AW103+($AX103-$AW103)*IF(VLOOKUP($Q103,武学奇术!$A:$ZZ,31,FALSE)=1,$F$18,0.5))*IF($G$1="裂石",$AJ103,$AH103)+IF($G$1="裂石",$AK103*1.5,0))*(1+$AY103)*(1+$AZ103)+(($BA103+($BB103-$BA103)*IF(VLOOKUP($Q103,武学奇术!$A:$ZZ,31,FALSE)=1,$F$18,0.5))*IF($G$1="牵丝",$AJ103,$AH103)+IF($G$1="牵丝",$AK103*1.5,0))*(1+$BC103)*(1+$BD103)+(($BE103+($BF103-$BE103)*IF(VLOOKUP($Q103,武学奇术!$A:$ZZ,31,FALSE)=1,$F$18,0.5))*IF($G$1="破竹",$AJ103,$AH103)+IF($G$1="破竹",$AK103*1.5,0))*(1+$BG103)*(1+$BH103))*(1+$AL103)*$BK103*$P103*(1+IF(VLOOKUP($Q103,武学奇术!$A:$ZZ,30,FALSE)="蓄力技",$B$21,0))*(1+$BQ103)</f>
        <v>10058.8685724757</v>
      </c>
      <c r="M103" s="39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蓄力技",$B$21,0))*(1+$BQ103)</f>
        <v>9346.71036276667</v>
      </c>
      <c r="N103" s="39">
        <f>((($AN103+($AO103-$AN103)*IF(VLOOKUP($Q103,武学奇术!$A:$ZZ,31,FALSE)=1,$F$18,0.5))*$AH103+$AI103)*(1+$AP103)*(1+$AQ103)+(($AS103+($AT103-$AS103)*IF(VLOOKUP($Q103,武学奇术!$A:$ZZ,31,FALSE)=1,$F$18,0.5))*IF($G$1="鸣金",$AJ103,$AH103)+IF($G$1="鸣金",$AK103*1.5,0))*(1+$AU103)*(1+$AV103)+(($AW103+($AX103-$AW103)*IF(VLOOKUP($Q103,武学奇术!$A:$ZZ,31,FALSE)=1,$F$18,0.5))*IF($G$1="裂石",$AJ103,$AH103)+IF($G$1="裂石",$AK103*1.5,0))*(1+$AY103)*(1+$AZ103)+(($BA103+($BB103-$BA103)*IF(VLOOKUP($Q103,武学奇术!$A:$ZZ,31,FALSE)=1,$F$18,0.5))*IF($G$1="牵丝",$AJ103,$AH103)+IF($G$1="牵丝",$AK103*1.5,0))*(1+$BC103)*(1+$BD103)+(($BE103+($BF103-$BE103)*IF(VLOOKUP($Q103,武学奇术!$A:$ZZ,31,FALSE)=1,$F$18,0.5))*IF($G$1="破竹",$AJ103,$AH103)+IF($G$1="破竹",$AK103*1.5,0))*(1+$BG103)*(1+$BH103))*(1+$AL103)*$P103*(1+IF(VLOOKUP($Q103,武学奇术!$A:$ZZ,30,FALSE)="蓄力技",$B$21,0))*(1+$BQ103)</f>
        <v>6133.45644663151</v>
      </c>
      <c r="O103" s="39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蓄力技",$B$21,0))*(1+$BQ103)</f>
        <v>5343.42373565807</v>
      </c>
      <c r="P103" s="40">
        <v>2</v>
      </c>
      <c r="Q103" s="41" t="s">
        <v>160</v>
      </c>
      <c r="R103" s="41" t="s">
        <v>93</v>
      </c>
      <c r="S103" s="41" t="s">
        <v>72</v>
      </c>
      <c r="T103" s="41" t="s">
        <v>72</v>
      </c>
      <c r="U103" s="41" t="s">
        <v>72</v>
      </c>
      <c r="V103" s="41" t="s">
        <v>72</v>
      </c>
      <c r="W103" s="41" t="s">
        <v>72</v>
      </c>
      <c r="X103" s="41" t="s">
        <v>165</v>
      </c>
      <c r="Y103" s="41" t="s">
        <v>81</v>
      </c>
      <c r="Z103" s="41" t="s">
        <v>72</v>
      </c>
      <c r="AA103" s="41" t="s">
        <v>161</v>
      </c>
      <c r="AB103" s="41" t="s">
        <v>72</v>
      </c>
      <c r="AC103" s="41" t="s">
        <v>72</v>
      </c>
      <c r="AD103" s="41" t="s">
        <v>72</v>
      </c>
      <c r="AE103" s="41" t="s">
        <v>75</v>
      </c>
      <c r="AF103" s="41" t="s">
        <v>76</v>
      </c>
      <c r="AG103" t="str">
        <f>VLOOKUP($Q103,武学奇术!$A:$ZZ,25,FALSE)</f>
        <v>单体奇术</v>
      </c>
      <c r="AH103" s="27">
        <f>VLOOKUP($Q103,武学奇术!$A:$ZZ,26,FALSE)</f>
        <v>0.236</v>
      </c>
      <c r="AI103" s="28">
        <f>VLOOKUP($Q103,武学奇术!$A:$ZZ,27,FALSE)*(1+IF(OR($AG103=$F$4,$AG103=$F$5),$B$22,0))</f>
        <v>44</v>
      </c>
      <c r="AJ103" s="27">
        <f>VLOOKUP($Q103,武学奇术!$A:$ZZ,28,FALSE)</f>
        <v>0.354</v>
      </c>
      <c r="AK103" s="28">
        <f>VLOOKUP($Q103,武学奇术!$A:$ZZ,29,FALSE)*(1+IF(OR($AG103=$F$4,$AG103=$F$5),$B$22,0))</f>
        <v>0</v>
      </c>
      <c r="AL103" s="27" cm="1">
        <f t="array" ref="AL103">$G$3+IFERROR(VLOOKUP($AG103,$F$4:$G$7,2,FALSE),0)+VLOOKUP($Q103,武学奇术!$A:$ZZ,2,FALSE)+SUM(_xlfn.XLOOKUP($R103:$AF103,增益!$A:$A,增益!$B:$B,0))</f>
        <v>0.4837</v>
      </c>
      <c r="AM103" s="27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3804.006</v>
      </c>
      <c r="AO103" cm="1">
        <f t="array" ref="AO103">$E$10*(1+$AM103)+VLOOKUP($Q103,武学奇术!$A:$ZZ,4,FALSE)+SUM(_xlfn.XLOOKUP($R103:$AF103,增益!$A:$A,增益!$D:$D,0))-$I$2</f>
        <v>3804.006</v>
      </c>
      <c r="AP103" s="33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0.317</v>
      </c>
      <c r="AQ103" s="33" cm="1">
        <f t="array" ref="AQ103">$G$10+VLOOKUP($Q103,武学奇术!$A:$ZZ,7,FALSE)+SUM(_xlfn.XLOOKUP(R103:AF103,增益!$A:$A,增益!$G:$G,0))</f>
        <v>0.09</v>
      </c>
      <c r="AR103" s="27" cm="1">
        <f t="array" ref="AR103">VLOOKUP($Q103,武学奇术!$A:$ZZ,8,FALSE)+SUM(_xlfn.XLOOKUP(R103:AF103,增益!$A:$A,增益!$H:$H,0))</f>
        <v>0</v>
      </c>
      <c r="AS103">
        <f t="shared" si="34"/>
        <v>0</v>
      </c>
      <c r="AT103">
        <f t="shared" si="35"/>
        <v>0</v>
      </c>
      <c r="AU103" s="33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-0.14</v>
      </c>
      <c r="AV103" s="33" cm="1">
        <f t="array" ref="AV103">$G$11+VLOOKUP($Q103,武学奇术!$A:$ZZ,10,FALSE)+SUM(_xlfn.XLOOKUP(R103:AF103,增益!$A:$A,增益!$J:$J,0))</f>
        <v>0</v>
      </c>
      <c r="AW103">
        <f t="shared" si="36"/>
        <v>0</v>
      </c>
      <c r="AX103">
        <f t="shared" si="37"/>
        <v>0</v>
      </c>
      <c r="AY103" s="33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-0.14</v>
      </c>
      <c r="AZ103" s="33" cm="1">
        <f t="array" ref="AZ103">$G$12+VLOOKUP($Q103,武学奇术!$A:$ZZ,12,FALSE)+SUM(_xlfn.XLOOKUP(R103:AF103,增益!$A:$A,增益!$L:$L,0))</f>
        <v>0</v>
      </c>
      <c r="BA103">
        <f t="shared" si="38"/>
        <v>0</v>
      </c>
      <c r="BB103">
        <f t="shared" si="39"/>
        <v>0</v>
      </c>
      <c r="BC103" s="33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-0.14</v>
      </c>
      <c r="BD103" s="33" cm="1">
        <f t="array" ref="BD103">$G$13+VLOOKUP($Q103,武学奇术!$A:$ZZ,14,FALSE)+SUM(_xlfn.XLOOKUP(R103:AF103,增益!$A:$A,增益!$N:$N,0))</f>
        <v>0</v>
      </c>
      <c r="BE103">
        <f t="shared" si="40"/>
        <v>570.28</v>
      </c>
      <c r="BF103">
        <f t="shared" si="41"/>
        <v>1582.156</v>
      </c>
      <c r="BG103" s="33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0.08</v>
      </c>
      <c r="BH103" s="33" cm="1">
        <f t="array" ref="BH103">$G$14+VLOOKUP($Q103,武学奇术!$A:$ZZ,16,FALSE)+SUM(_xlfn.XLOOKUP(R103:AF103,增益!$A:$A,增益!$P:$P,0))</f>
        <v>0.24</v>
      </c>
      <c r="BI103" s="27">
        <f>MIN(IF(VLOOKUP($Q103,武学奇术!$A:$ZZ,23,FALSE)=1,100%,$B$8),100%)</f>
        <v>1</v>
      </c>
      <c r="BJ103" s="27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+MIN(IF(VLOOKUP($Q103,武学奇术!$A:$ZZ,32,FALSE)=1,IF(VLOOKUP($Q103,武学奇术!$A:$ZZ,24,FALSE)=1,100%,MIN(40%,$B$10+VLOOKUP($Q103,武学奇术!$A:$ZZ,19,FALSE)+SUM(_xlfn.XLOOKUP(R103:AF103,增益!$A:$A,增益!$S:$S,0)))+$B$12+SUM(_xlfn.XLOOKUP(R103:AF103,增益!$A:$A,增益!$V:$V,0))),0),12%)</f>
        <v>0.918</v>
      </c>
      <c r="BK103" s="27" cm="1">
        <f t="array" ref="BK103">1+$B$13+VLOOKUP($Q103,武学奇术!$A:$ZZ,18,FALSE)+SUM(_xlfn.XLOOKUP(R103:AF103,增益!$A:$A,增益!$R:$R,0))</f>
        <v>1.64</v>
      </c>
      <c r="BL103" s="27" cm="1">
        <f t="array" ref="BL103">MAX(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-IF(VLOOKUP($Q103,武学奇术!$A:$ZZ,32,FALSE)=1,12%,0),0)</f>
        <v>0.0895</v>
      </c>
      <c r="BM103" s="27" cm="1">
        <f t="array" ref="BM103">1+$B$14+VLOOKUP($Q103,武学奇术!$A:$ZZ,20,FALSE)+SUM(_xlfn.XLOOKUP(R103:AF103,增益!$A:$A,增益!$T:$T,0))</f>
        <v>1.35</v>
      </c>
      <c r="BN103" s="27">
        <f t="shared" si="31"/>
        <v>0.9105</v>
      </c>
      <c r="BO103" s="27">
        <f t="shared" si="32"/>
        <v>0</v>
      </c>
      <c r="BP103" s="27">
        <f>IF(VLOOKUP($Q103,武学奇术!$A:$ZZ,22,FALSE)=1,0,(1-$BI103))*(1-$BL103)</f>
        <v>0</v>
      </c>
      <c r="BQ103" s="27" cm="1">
        <f t="array" ref="BQ103">SUM(_xlfn.XLOOKUP(R103:AF103,增益!$A:$A,增益!$W:$W,0))+$I$5</f>
        <v>0.11</v>
      </c>
    </row>
    <row r="104" spans="1:69">
      <c r="A104" t="s">
        <v>153</v>
      </c>
      <c r="B104">
        <v>0.1</v>
      </c>
      <c r="C104" s="40"/>
      <c r="F104" s="40"/>
      <c r="K104" s="39">
        <f t="shared" si="33"/>
        <v>9501.07353699674</v>
      </c>
      <c r="L104" s="39">
        <f>((($AN104+($AO104-$AN104)*IF(VLOOKUP($Q104,武学奇术!$A:$ZZ,31,FALSE)=1,$F$18,0.5))*$AH104+$AI104)*(1+$AP104)*(1+$AQ104)+(($AS104+($AT104-$AS104)*IF(VLOOKUP($Q104,武学奇术!$A:$ZZ,31,FALSE)=1,$F$18,0.5))*IF($G$1="鸣金",$AJ104,$AH104)+IF($G$1="鸣金",$AK104*1.5,0))*(1+$AU104)*(1+$AV104)+(($AW104+($AX104-$AW104)*IF(VLOOKUP($Q104,武学奇术!$A:$ZZ,31,FALSE)=1,$F$18,0.5))*IF($G$1="裂石",$AJ104,$AH104)+IF($G$1="裂石",$AK104*1.5,0))*(1+$AY104)*(1+$AZ104)+(($BA104+($BB104-$BA104)*IF(VLOOKUP($Q104,武学奇术!$A:$ZZ,31,FALSE)=1,$F$18,0.5))*IF($G$1="牵丝",$AJ104,$AH104)+IF($G$1="牵丝",$AK104*1.5,0))*(1+$BC104)*(1+$BD104)+(($BE104+($BF104-$BE104)*IF(VLOOKUP($Q104,武学奇术!$A:$ZZ,31,FALSE)=1,$F$18,0.5))*IF($G$1="破竹",$AJ104,$AH104)+IF($G$1="破竹",$AK104*1.5,0))*(1+$BG104)*(1+$BH104))*(1+$AL104)*$BK104*$P104*(1+IF(VLOOKUP($Q104,武学奇术!$A:$ZZ,30,FALSE)="蓄力技",$B$21,0))*(1+$BQ104)</f>
        <v>9569.2915362869</v>
      </c>
      <c r="M104" s="39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蓄力技",$B$21,0))*(1+$BQ104)</f>
        <v>8807.07925371525</v>
      </c>
      <c r="N104" s="39">
        <f>((($AN104+($AO104-$AN104)*IF(VLOOKUP($Q104,武学奇术!$A:$ZZ,31,FALSE)=1,$F$18,0.5))*$AH104+$AI104)*(1+$AP104)*(1+$AQ104)+(($AS104+($AT104-$AS104)*IF(VLOOKUP($Q104,武学奇术!$A:$ZZ,31,FALSE)=1,$F$18,0.5))*IF($G$1="鸣金",$AJ104,$AH104)+IF($G$1="鸣金",$AK104*1.5,0))*(1+$AU104)*(1+$AV104)+(($AW104+($AX104-$AW104)*IF(VLOOKUP($Q104,武学奇术!$A:$ZZ,31,FALSE)=1,$F$18,0.5))*IF($G$1="裂石",$AJ104,$AH104)+IF($G$1="裂石",$AK104*1.5,0))*(1+$AY104)*(1+$AZ104)+(($BA104+($BB104-$BA104)*IF(VLOOKUP($Q104,武学奇术!$A:$ZZ,31,FALSE)=1,$F$18,0.5))*IF($G$1="牵丝",$AJ104,$AH104)+IF($G$1="牵丝",$AK104*1.5,0))*(1+$BC104)*(1+$BD104)+(($BE104+($BF104-$BE104)*IF(VLOOKUP($Q104,武学奇术!$A:$ZZ,31,FALSE)=1,$F$18,0.5))*IF($G$1="破竹",$AJ104,$AH104)+IF($G$1="破竹",$AK104*1.5,0))*(1+$BG104)*(1+$BH104))*(1+$AL104)*$P104*(1+IF(VLOOKUP($Q104,武学奇术!$A:$ZZ,30,FALSE)="蓄力技",$B$21,0))*(1+$BQ104)</f>
        <v>5834.93386358957</v>
      </c>
      <c r="O104" s="39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蓄力技",$B$21,0))*(1+$BQ104)</f>
        <v>5146.1053170197</v>
      </c>
      <c r="P104" s="40">
        <v>1</v>
      </c>
      <c r="Q104" s="41" t="s">
        <v>182</v>
      </c>
      <c r="R104" s="41" t="s">
        <v>93</v>
      </c>
      <c r="S104" s="41" t="s">
        <v>72</v>
      </c>
      <c r="T104" s="41" t="s">
        <v>72</v>
      </c>
      <c r="U104" s="41" t="s">
        <v>72</v>
      </c>
      <c r="V104" s="41" t="s">
        <v>72</v>
      </c>
      <c r="W104" s="41" t="s">
        <v>72</v>
      </c>
      <c r="X104" s="41" t="s">
        <v>165</v>
      </c>
      <c r="Y104" s="41" t="s">
        <v>81</v>
      </c>
      <c r="Z104" s="41" t="s">
        <v>72</v>
      </c>
      <c r="AA104" s="41" t="s">
        <v>72</v>
      </c>
      <c r="AB104" s="41" t="s">
        <v>72</v>
      </c>
      <c r="AC104" s="41" t="s">
        <v>72</v>
      </c>
      <c r="AD104" s="41" t="s">
        <v>72</v>
      </c>
      <c r="AE104" s="41" t="s">
        <v>75</v>
      </c>
      <c r="AF104" s="41" t="s">
        <v>76</v>
      </c>
      <c r="AG104" t="str">
        <f>VLOOKUP($Q104,武学奇术!$A:$ZZ,25,FALSE)</f>
        <v>拳甲</v>
      </c>
      <c r="AH104" s="27">
        <f>VLOOKUP($Q104,武学奇术!$A:$ZZ,26,FALSE)</f>
        <v>0.4349</v>
      </c>
      <c r="AI104" s="28">
        <f>VLOOKUP($Q104,武学奇术!$A:$ZZ,27,FALSE)*(1+IF(OR($AG104=$F$4,$AG104=$F$5),$B$22,0))</f>
        <v>169.4</v>
      </c>
      <c r="AJ104" s="27">
        <f>VLOOKUP($Q104,武学奇术!$A:$ZZ,28,FALSE)</f>
        <v>0.6523</v>
      </c>
      <c r="AK104" s="28">
        <f>VLOOKUP($Q104,武学奇术!$A:$ZZ,29,FALSE)*(1+IF(OR($AG104=$F$4,$AG104=$F$5),$B$22,0))</f>
        <v>92.4</v>
      </c>
      <c r="AL104" s="27" cm="1">
        <f t="array" ref="AL104">$G$3+IFERROR(VLOOKUP($AG104,$F$4:$G$7,2,FALSE),0)+VLOOKUP($Q104,武学奇术!$A:$ZZ,2,FALSE)+SUM(_xlfn.XLOOKUP($R104:$AF104,增益!$A:$A,增益!$B:$B,0))</f>
        <v>0.4041</v>
      </c>
      <c r="AM104" s="27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3804.006</v>
      </c>
      <c r="AO104" cm="1">
        <f t="array" ref="AO104">$E$10*(1+$AM104)+VLOOKUP($Q104,武学奇术!$A:$ZZ,4,FALSE)+SUM(_xlfn.XLOOKUP($R104:$AF104,增益!$A:$A,增益!$D:$D,0))-$I$2</f>
        <v>3804.006</v>
      </c>
      <c r="AP104" s="33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0.317</v>
      </c>
      <c r="AQ104" s="33" cm="1">
        <f t="array" ref="AQ104">$G$10+VLOOKUP($Q104,武学奇术!$A:$ZZ,7,FALSE)+SUM(_xlfn.XLOOKUP(R104:AF104,增益!$A:$A,增益!$G:$G,0))</f>
        <v>0.09</v>
      </c>
      <c r="AR104" s="27" cm="1">
        <f t="array" ref="AR104">VLOOKUP($Q104,武学奇术!$A:$ZZ,8,FALSE)+SUM(_xlfn.XLOOKUP(R104:AF104,增益!$A:$A,增益!$H:$H,0))</f>
        <v>0</v>
      </c>
      <c r="AS104">
        <f t="shared" si="34"/>
        <v>0</v>
      </c>
      <c r="AT104">
        <f t="shared" si="35"/>
        <v>0</v>
      </c>
      <c r="AU104" s="33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-0.14</v>
      </c>
      <c r="AV104" s="33" cm="1">
        <f t="array" ref="AV104">$G$11+VLOOKUP($Q104,武学奇术!$A:$ZZ,10,FALSE)+SUM(_xlfn.XLOOKUP(R104:AF104,增益!$A:$A,增益!$J:$J,0))</f>
        <v>0</v>
      </c>
      <c r="AW104">
        <f t="shared" si="36"/>
        <v>0</v>
      </c>
      <c r="AX104">
        <f t="shared" si="37"/>
        <v>0</v>
      </c>
      <c r="AY104" s="33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-0.14</v>
      </c>
      <c r="AZ104" s="33" cm="1">
        <f t="array" ref="AZ104">$G$12+VLOOKUP($Q104,武学奇术!$A:$ZZ,12,FALSE)+SUM(_xlfn.XLOOKUP(R104:AF104,增益!$A:$A,增益!$L:$L,0))</f>
        <v>0</v>
      </c>
      <c r="BA104">
        <f t="shared" si="38"/>
        <v>0</v>
      </c>
      <c r="BB104">
        <f t="shared" si="39"/>
        <v>0</v>
      </c>
      <c r="BC104" s="33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-0.14</v>
      </c>
      <c r="BD104" s="33" cm="1">
        <f t="array" ref="BD104">$G$13+VLOOKUP($Q104,武学奇术!$A:$ZZ,14,FALSE)+SUM(_xlfn.XLOOKUP(R104:AF104,增益!$A:$A,增益!$N:$N,0))</f>
        <v>0</v>
      </c>
      <c r="BE104">
        <f t="shared" si="40"/>
        <v>570.28</v>
      </c>
      <c r="BF104">
        <f t="shared" si="41"/>
        <v>1582.156</v>
      </c>
      <c r="BG104" s="33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0.08</v>
      </c>
      <c r="BH104" s="33" cm="1">
        <f t="array" ref="BH104">$G$14+VLOOKUP($Q104,武学奇术!$A:$ZZ,16,FALSE)+SUM(_xlfn.XLOOKUP(R104:AF104,增益!$A:$A,增益!$P:$P,0))</f>
        <v>0.24</v>
      </c>
      <c r="BI104" s="27">
        <f>MIN(IF(VLOOKUP($Q104,武学奇术!$A:$ZZ,23,FALSE)=1,100%,$B$8),100%)</f>
        <v>1</v>
      </c>
      <c r="BJ104" s="27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+MIN(IF(VLOOKUP($Q104,武学奇术!$A:$ZZ,32,FALSE)=1,IF(VLOOKUP($Q104,武学奇术!$A:$ZZ,24,FALSE)=1,100%,MIN(40%,$B$10+VLOOKUP($Q104,武学奇术!$A:$ZZ,19,FALSE)+SUM(_xlfn.XLOOKUP(R104:AF104,增益!$A:$A,增益!$S:$S,0)))+$B$12+SUM(_xlfn.XLOOKUP(R104:AF104,增益!$A:$A,增益!$V:$V,0))),0),12%)</f>
        <v>0.918</v>
      </c>
      <c r="BK104" s="27" cm="1">
        <f t="array" ref="BK104">1+$B$13+VLOOKUP($Q104,武学奇术!$A:$ZZ,18,FALSE)+SUM(_xlfn.XLOOKUP(R104:AF104,增益!$A:$A,增益!$R:$R,0))</f>
        <v>1.64</v>
      </c>
      <c r="BL104" s="27" cm="1">
        <f t="array" ref="BL104">MAX(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-IF(VLOOKUP($Q104,武学奇术!$A:$ZZ,32,FALSE)=1,12%,0),0)</f>
        <v>0.0895</v>
      </c>
      <c r="BM104" s="27" cm="1">
        <f t="array" ref="BM104">1+$B$14+VLOOKUP($Q104,武学奇术!$A:$ZZ,20,FALSE)+SUM(_xlfn.XLOOKUP(R104:AF104,增益!$A:$A,增益!$T:$T,0))</f>
        <v>1.35</v>
      </c>
      <c r="BN104" s="27">
        <f t="shared" si="31"/>
        <v>0.9105</v>
      </c>
      <c r="BO104" s="27">
        <f t="shared" si="32"/>
        <v>0</v>
      </c>
      <c r="BP104" s="27">
        <f>IF(VLOOKUP($Q104,武学奇术!$A:$ZZ,22,FALSE)=1,0,(1-$BI104))*(1-$BL104)</f>
        <v>0</v>
      </c>
      <c r="BQ104" s="27" cm="1">
        <f t="array" ref="BQ104">SUM(_xlfn.XLOOKUP(R104:AF104,增益!$A:$A,增益!$W:$W,0))+$I$5</f>
        <v>0.11</v>
      </c>
    </row>
    <row r="105" spans="1:69">
      <c r="A105" s="4" t="s">
        <v>168</v>
      </c>
      <c r="B105" s="4">
        <v>1</v>
      </c>
      <c r="C105" s="40"/>
      <c r="F105" s="40"/>
      <c r="K105" s="39">
        <f t="shared" si="33"/>
        <v>12486.6875399808</v>
      </c>
      <c r="L105" s="39">
        <f>((($AN105+($AO105-$AN105)*IF(VLOOKUP($Q105,武学奇术!$A:$ZZ,31,FALSE)=1,$F$18,0.5))*$AH105+$AI105)*(1+$AP105)*(1+$AQ105)+(($AS105+($AT105-$AS105)*IF(VLOOKUP($Q105,武学奇术!$A:$ZZ,31,FALSE)=1,$F$18,0.5))*IF($G$1="鸣金",$AJ105,$AH105)+IF($G$1="鸣金",$AK105*1.5,0))*(1+$AU105)*(1+$AV105)+(($AW105+($AX105-$AW105)*IF(VLOOKUP($Q105,武学奇术!$A:$ZZ,31,FALSE)=1,$F$18,0.5))*IF($G$1="裂石",$AJ105,$AH105)+IF($G$1="裂石",$AK105*1.5,0))*(1+$AY105)*(1+$AZ105)+(($BA105+($BB105-$BA105)*IF(VLOOKUP($Q105,武学奇术!$A:$ZZ,31,FALSE)=1,$F$18,0.5))*IF($G$1="牵丝",$AJ105,$AH105)+IF($G$1="牵丝",$AK105*1.5,0))*(1+$BC105)*(1+$BD105)+(($BE105+($BF105-$BE105)*IF(VLOOKUP($Q105,武学奇术!$A:$ZZ,31,FALSE)=1,$F$18,0.5))*IF($G$1="破竹",$AJ105,$AH105)+IF($G$1="破竹",$AK105*1.5,0))*(1+$BG105)*(1+$BH105))*(1+$AL105)*$BK105*$P105*(1+IF(VLOOKUP($Q105,武学奇术!$A:$ZZ,30,FALSE)="蓄力技",$B$21,0))*(1+$BQ105)</f>
        <v>12576.4043763759</v>
      </c>
      <c r="M105" s="39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蓄力技",$B$21,0))*(1+$BQ105)</f>
        <v>11573.9816233577</v>
      </c>
      <c r="N105" s="39">
        <f>((($AN105+($AO105-$AN105)*IF(VLOOKUP($Q105,武学奇术!$A:$ZZ,31,FALSE)=1,$F$18,0.5))*$AH105+$AI105)*(1+$AP105)*(1+$AQ105)+(($AS105+($AT105-$AS105)*IF(VLOOKUP($Q105,武学奇术!$A:$ZZ,31,FALSE)=1,$F$18,0.5))*IF($G$1="鸣金",$AJ105,$AH105)+IF($G$1="鸣金",$AK105*1.5,0))*(1+$AU105)*(1+$AV105)+(($AW105+($AX105-$AW105)*IF(VLOOKUP($Q105,武学奇术!$A:$ZZ,31,FALSE)=1,$F$18,0.5))*IF($G$1="裂石",$AJ105,$AH105)+IF($G$1="裂石",$AK105*1.5,0))*(1+$AY105)*(1+$AZ105)+(($BA105+($BB105-$BA105)*IF(VLOOKUP($Q105,武学奇术!$A:$ZZ,31,FALSE)=1,$F$18,0.5))*IF($G$1="牵丝",$AJ105,$AH105)+IF($G$1="牵丝",$AK105*1.5,0))*(1+$BC105)*(1+$BD105)+(($BE105+($BF105-$BE105)*IF(VLOOKUP($Q105,武学奇术!$A:$ZZ,31,FALSE)=1,$F$18,0.5))*IF($G$1="破竹",$AJ105,$AH105)+IF($G$1="破竹",$AK105*1.5,0))*(1+$BG105)*(1+$BH105))*(1+$AL105)*$P105*(1+IF(VLOOKUP($Q105,武学奇术!$A:$ZZ,30,FALSE)="蓄力技",$B$21,0))*(1+$BQ105)</f>
        <v>7668.53925388773</v>
      </c>
      <c r="O105" s="39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蓄力技",$B$21,0))*(1+$BQ105)</f>
        <v>6763.75878676974</v>
      </c>
      <c r="P105" s="40">
        <v>1</v>
      </c>
      <c r="Q105" s="41" t="s">
        <v>117</v>
      </c>
      <c r="R105" s="41" t="s">
        <v>93</v>
      </c>
      <c r="S105" s="41" t="s">
        <v>72</v>
      </c>
      <c r="T105" s="41" t="s">
        <v>72</v>
      </c>
      <c r="U105" s="41" t="s">
        <v>72</v>
      </c>
      <c r="V105" s="41" t="s">
        <v>72</v>
      </c>
      <c r="W105" s="41" t="s">
        <v>72</v>
      </c>
      <c r="X105" s="41" t="s">
        <v>165</v>
      </c>
      <c r="Y105" s="41" t="s">
        <v>81</v>
      </c>
      <c r="Z105" s="41" t="s">
        <v>72</v>
      </c>
      <c r="AA105" s="41" t="s">
        <v>72</v>
      </c>
      <c r="AB105" s="41" t="s">
        <v>72</v>
      </c>
      <c r="AC105" s="41" t="s">
        <v>72</v>
      </c>
      <c r="AD105" s="41" t="s">
        <v>72</v>
      </c>
      <c r="AE105" s="41" t="s">
        <v>75</v>
      </c>
      <c r="AF105" s="41" t="s">
        <v>76</v>
      </c>
      <c r="AG105" t="str">
        <f>VLOOKUP($Q105,武学奇术!$A:$ZZ,25,FALSE)</f>
        <v>拳甲</v>
      </c>
      <c r="AH105" s="27">
        <f>VLOOKUP($Q105,武学奇术!$A:$ZZ,26,FALSE)</f>
        <v>0.5712</v>
      </c>
      <c r="AI105" s="28">
        <f>VLOOKUP($Q105,武学奇术!$A:$ZZ,27,FALSE)*(1+IF(OR($AG105=$F$4,$AG105=$F$5),$B$22,0))</f>
        <v>224</v>
      </c>
      <c r="AJ105" s="27">
        <f>VLOOKUP($Q105,武学奇术!$A:$ZZ,28,FALSE)</f>
        <v>0.8568</v>
      </c>
      <c r="AK105" s="28">
        <f>VLOOKUP($Q105,武学奇术!$A:$ZZ,29,FALSE)*(1+IF(OR($AG105=$F$4,$AG105=$F$5),$B$22,0))</f>
        <v>121.8</v>
      </c>
      <c r="AL105" s="27" cm="1">
        <f t="array" ref="AL105">$G$3+IFERROR(VLOOKUP($AG105,$F$4:$G$7,2,FALSE),0)+VLOOKUP($Q105,武学奇术!$A:$ZZ,2,FALSE)+SUM(_xlfn.XLOOKUP($R105:$AF105,增益!$A:$A,增益!$B:$B,0))</f>
        <v>0.4041</v>
      </c>
      <c r="AM105" s="27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3804.006</v>
      </c>
      <c r="AO105" cm="1">
        <f t="array" ref="AO105">$E$10*(1+$AM105)+VLOOKUP($Q105,武学奇术!$A:$ZZ,4,FALSE)+SUM(_xlfn.XLOOKUP($R105:$AF105,增益!$A:$A,增益!$D:$D,0))-$I$2</f>
        <v>3804.006</v>
      </c>
      <c r="AP105" s="33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0.317</v>
      </c>
      <c r="AQ105" s="33" cm="1">
        <f t="array" ref="AQ105">$G$10+VLOOKUP($Q105,武学奇术!$A:$ZZ,7,FALSE)+SUM(_xlfn.XLOOKUP(R105:AF105,增益!$A:$A,增益!$G:$G,0))</f>
        <v>0.09</v>
      </c>
      <c r="AR105" s="27" cm="1">
        <f t="array" ref="AR105">VLOOKUP($Q105,武学奇术!$A:$ZZ,8,FALSE)+SUM(_xlfn.XLOOKUP(R105:AF105,增益!$A:$A,增益!$H:$H,0))</f>
        <v>0</v>
      </c>
      <c r="AS105">
        <f t="shared" si="34"/>
        <v>0</v>
      </c>
      <c r="AT105">
        <f t="shared" si="35"/>
        <v>0</v>
      </c>
      <c r="AU105" s="33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-0.14</v>
      </c>
      <c r="AV105" s="33" cm="1">
        <f t="array" ref="AV105">$G$11+VLOOKUP($Q105,武学奇术!$A:$ZZ,10,FALSE)+SUM(_xlfn.XLOOKUP(R105:AF105,增益!$A:$A,增益!$J:$J,0))</f>
        <v>0</v>
      </c>
      <c r="AW105">
        <f t="shared" si="36"/>
        <v>0</v>
      </c>
      <c r="AX105">
        <f t="shared" si="37"/>
        <v>0</v>
      </c>
      <c r="AY105" s="33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-0.14</v>
      </c>
      <c r="AZ105" s="33" cm="1">
        <f t="array" ref="AZ105">$G$12+VLOOKUP($Q105,武学奇术!$A:$ZZ,12,FALSE)+SUM(_xlfn.XLOOKUP(R105:AF105,增益!$A:$A,增益!$L:$L,0))</f>
        <v>0</v>
      </c>
      <c r="BA105">
        <f t="shared" si="38"/>
        <v>0</v>
      </c>
      <c r="BB105">
        <f t="shared" si="39"/>
        <v>0</v>
      </c>
      <c r="BC105" s="33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-0.14</v>
      </c>
      <c r="BD105" s="33" cm="1">
        <f t="array" ref="BD105">$G$13+VLOOKUP($Q105,武学奇术!$A:$ZZ,14,FALSE)+SUM(_xlfn.XLOOKUP(R105:AF105,增益!$A:$A,增益!$N:$N,0))</f>
        <v>0</v>
      </c>
      <c r="BE105">
        <f t="shared" si="40"/>
        <v>570.28</v>
      </c>
      <c r="BF105">
        <f t="shared" si="41"/>
        <v>1582.156</v>
      </c>
      <c r="BG105" s="33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0.08</v>
      </c>
      <c r="BH105" s="33" cm="1">
        <f t="array" ref="BH105">$G$14+VLOOKUP($Q105,武学奇术!$A:$ZZ,16,FALSE)+SUM(_xlfn.XLOOKUP(R105:AF105,增益!$A:$A,增益!$P:$P,0))</f>
        <v>0.24</v>
      </c>
      <c r="BI105" s="27">
        <f>MIN(IF(VLOOKUP($Q105,武学奇术!$A:$ZZ,23,FALSE)=1,100%,$B$8),100%)</f>
        <v>1</v>
      </c>
      <c r="BJ105" s="27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+MIN(IF(VLOOKUP($Q105,武学奇术!$A:$ZZ,32,FALSE)=1,IF(VLOOKUP($Q105,武学奇术!$A:$ZZ,24,FALSE)=1,100%,MIN(40%,$B$10+VLOOKUP($Q105,武学奇术!$A:$ZZ,19,FALSE)+SUM(_xlfn.XLOOKUP(R105:AF105,增益!$A:$A,增益!$S:$S,0)))+$B$12+SUM(_xlfn.XLOOKUP(R105:AF105,增益!$A:$A,增益!$V:$V,0))),0),12%)</f>
        <v>0.918</v>
      </c>
      <c r="BK105" s="27" cm="1">
        <f t="array" ref="BK105">1+$B$13+VLOOKUP($Q105,武学奇术!$A:$ZZ,18,FALSE)+SUM(_xlfn.XLOOKUP(R105:AF105,增益!$A:$A,增益!$R:$R,0))</f>
        <v>1.64</v>
      </c>
      <c r="BL105" s="27" cm="1">
        <f t="array" ref="BL105">MAX(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-IF(VLOOKUP($Q105,武学奇术!$A:$ZZ,32,FALSE)=1,12%,0),0)</f>
        <v>0.0895</v>
      </c>
      <c r="BM105" s="27" cm="1">
        <f t="array" ref="BM105">1+$B$14+VLOOKUP($Q105,武学奇术!$A:$ZZ,20,FALSE)+SUM(_xlfn.XLOOKUP(R105:AF105,增益!$A:$A,增益!$T:$T,0))</f>
        <v>1.35</v>
      </c>
      <c r="BN105" s="27">
        <f t="shared" si="31"/>
        <v>0.9105</v>
      </c>
      <c r="BO105" s="27">
        <f t="shared" si="32"/>
        <v>0</v>
      </c>
      <c r="BP105" s="27">
        <f>IF(VLOOKUP($Q105,武学奇术!$A:$ZZ,22,FALSE)=1,0,(1-$BI105))*(1-$BL105)</f>
        <v>0</v>
      </c>
      <c r="BQ105" s="27" cm="1">
        <f t="array" ref="BQ105">SUM(_xlfn.XLOOKUP(R105:AF105,增益!$A:$A,增益!$W:$W,0))+$I$5</f>
        <v>0.11</v>
      </c>
    </row>
    <row r="106" spans="1:69">
      <c r="A106" s="4" t="s">
        <v>166</v>
      </c>
      <c r="B106" s="91">
        <v>1.16</v>
      </c>
      <c r="F106" s="40"/>
      <c r="K106" s="39">
        <f t="shared" si="33"/>
        <v>28125.7346280272</v>
      </c>
      <c r="L106" s="39">
        <f>((($AN106+($AO106-$AN106)*IF(VLOOKUP($Q106,武学奇术!$A:$ZZ,31,FALSE)=1,$F$18,0.5))*$AH106+$AI106)*(1+$AP106)*(1+$AQ106)+(($AS106+($AT106-$AS106)*IF(VLOOKUP($Q106,武学奇术!$A:$ZZ,31,FALSE)=1,$F$18,0.5))*IF($G$1="鸣金",$AJ106,$AH106)+IF($G$1="鸣金",$AK106*1.5,0))*(1+$AU106)*(1+$AV106)+(($AW106+($AX106-$AW106)*IF(VLOOKUP($Q106,武学奇术!$A:$ZZ,31,FALSE)=1,$F$18,0.5))*IF($G$1="裂石",$AJ106,$AH106)+IF($G$1="裂石",$AK106*1.5,0))*(1+$AY106)*(1+$AZ106)+(($BA106+($BB106-$BA106)*IF(VLOOKUP($Q106,武学奇术!$A:$ZZ,31,FALSE)=1,$F$18,0.5))*IF($G$1="牵丝",$AJ106,$AH106)+IF($G$1="牵丝",$AK106*1.5,0))*(1+$BC106)*(1+$BD106)+(($BE106+($BF106-$BE106)*IF(VLOOKUP($Q106,武学奇术!$A:$ZZ,31,FALSE)=1,$F$18,0.5))*IF($G$1="破竹",$AJ106,$AH106)+IF($G$1="破竹",$AK106*1.5,0))*(1+$BG106)*(1+$BH106))*(1+$AL106)*$BK106*$P106*(1+IF(VLOOKUP($Q106,武学奇术!$A:$ZZ,30,FALSE)="蓄力技",$B$21,0))*(1+$BQ106)</f>
        <v>28327.6372393392</v>
      </c>
      <c r="M106" s="39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蓄力技",$B$21,0))*(1+$BQ106)</f>
        <v>26071.7421408814</v>
      </c>
      <c r="N106" s="39">
        <f>((($AN106+($AO106-$AN106)*IF(VLOOKUP($Q106,武学奇术!$A:$ZZ,31,FALSE)=1,$F$18,0.5))*$AH106+$AI106)*(1+$AP106)*(1+$AQ106)+(($AS106+($AT106-$AS106)*IF(VLOOKUP($Q106,武学奇术!$A:$ZZ,31,FALSE)=1,$F$18,0.5))*IF($G$1="鸣金",$AJ106,$AH106)+IF($G$1="鸣金",$AK106*1.5,0))*(1+$AU106)*(1+$AV106)+(($AW106+($AX106-$AW106)*IF(VLOOKUP($Q106,武学奇术!$A:$ZZ,31,FALSE)=1,$F$18,0.5))*IF($G$1="裂石",$AJ106,$AH106)+IF($G$1="裂石",$AK106*1.5,0))*(1+$AY106)*(1+$AZ106)+(($BA106+($BB106-$BA106)*IF(VLOOKUP($Q106,武学奇术!$A:$ZZ,31,FALSE)=1,$F$18,0.5))*IF($G$1="牵丝",$AJ106,$AH106)+IF($G$1="牵丝",$AK106*1.5,0))*(1+$BC106)*(1+$BD106)+(($BE106+($BF106-$BE106)*IF(VLOOKUP($Q106,武学奇术!$A:$ZZ,31,FALSE)=1,$F$18,0.5))*IF($G$1="破竹",$AJ106,$AH106)+IF($G$1="破竹",$AK106*1.5,0))*(1+$BG106)*(1+$BH106))*(1+$AL106)*$P106*(1+IF(VLOOKUP($Q106,武学奇术!$A:$ZZ,30,FALSE)="蓄力技",$B$21,0))*(1+$BQ106)</f>
        <v>17272.9495361824</v>
      </c>
      <c r="O106" s="39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蓄力技",$B$21,0))*(1+$BQ106)</f>
        <v>15233.4974865268</v>
      </c>
      <c r="P106" s="40">
        <v>1</v>
      </c>
      <c r="Q106" s="41" t="s">
        <v>106</v>
      </c>
      <c r="R106" s="41" t="s">
        <v>93</v>
      </c>
      <c r="S106" s="41" t="s">
        <v>72</v>
      </c>
      <c r="T106" s="41" t="s">
        <v>72</v>
      </c>
      <c r="U106" s="41" t="s">
        <v>72</v>
      </c>
      <c r="V106" s="41" t="s">
        <v>72</v>
      </c>
      <c r="W106" s="41" t="s">
        <v>72</v>
      </c>
      <c r="X106" s="41" t="s">
        <v>165</v>
      </c>
      <c r="Y106" s="41" t="s">
        <v>81</v>
      </c>
      <c r="Z106" s="41" t="s">
        <v>72</v>
      </c>
      <c r="AA106" s="41" t="s">
        <v>72</v>
      </c>
      <c r="AB106" s="41" t="s">
        <v>72</v>
      </c>
      <c r="AC106" s="41" t="s">
        <v>72</v>
      </c>
      <c r="AD106" s="41" t="s">
        <v>72</v>
      </c>
      <c r="AE106" s="41" t="s">
        <v>75</v>
      </c>
      <c r="AF106" s="41" t="s">
        <v>76</v>
      </c>
      <c r="AG106" t="str">
        <f>VLOOKUP($Q106,武学奇术!$A:$ZZ,25,FALSE)</f>
        <v>拳甲</v>
      </c>
      <c r="AH106" s="27">
        <f>VLOOKUP($Q106,武学奇术!$A:$ZZ,26,FALSE)</f>
        <v>1.2876</v>
      </c>
      <c r="AI106" s="28">
        <f>VLOOKUP($Q106,武学奇术!$A:$ZZ,27,FALSE)*(1+IF(OR($AG106=$F$4,$AG106=$F$5),$B$22,0))</f>
        <v>501.2</v>
      </c>
      <c r="AJ106" s="27">
        <f>VLOOKUP($Q106,武学奇术!$A:$ZZ,28,FALSE)</f>
        <v>1.9313</v>
      </c>
      <c r="AK106" s="28">
        <f>VLOOKUP($Q106,武学奇术!$A:$ZZ,29,FALSE)*(1+IF(OR($AG106=$F$4,$AG106=$F$5),$B$22,0))</f>
        <v>273</v>
      </c>
      <c r="AL106" s="27" cm="1">
        <f t="array" ref="AL106">$G$3+IFERROR(VLOOKUP($AG106,$F$4:$G$7,2,FALSE),0)+VLOOKUP($Q106,武学奇术!$A:$ZZ,2,FALSE)+SUM(_xlfn.XLOOKUP($R106:$AF106,增益!$A:$A,增益!$B:$B,0))</f>
        <v>0.4041</v>
      </c>
      <c r="AM106" s="27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3804.006</v>
      </c>
      <c r="AO106" cm="1">
        <f t="array" ref="AO106">$E$10*(1+$AM106)+VLOOKUP($Q106,武学奇术!$A:$ZZ,4,FALSE)+SUM(_xlfn.XLOOKUP($R106:$AF106,增益!$A:$A,增益!$D:$D,0))-$I$2</f>
        <v>3804.006</v>
      </c>
      <c r="AP106" s="33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0.317</v>
      </c>
      <c r="AQ106" s="33" cm="1">
        <f t="array" ref="AQ106">$G$10+VLOOKUP($Q106,武学奇术!$A:$ZZ,7,FALSE)+SUM(_xlfn.XLOOKUP(R106:AF106,增益!$A:$A,增益!$G:$G,0))</f>
        <v>0.09</v>
      </c>
      <c r="AR106" s="27" cm="1">
        <f t="array" ref="AR106">VLOOKUP($Q106,武学奇术!$A:$ZZ,8,FALSE)+SUM(_xlfn.XLOOKUP(R106:AF106,增益!$A:$A,增益!$H:$H,0))</f>
        <v>0</v>
      </c>
      <c r="AS106">
        <f t="shared" si="34"/>
        <v>0</v>
      </c>
      <c r="AT106">
        <f t="shared" si="35"/>
        <v>0</v>
      </c>
      <c r="AU106" s="33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-0.14</v>
      </c>
      <c r="AV106" s="33" cm="1">
        <f t="array" ref="AV106">$G$11+VLOOKUP($Q106,武学奇术!$A:$ZZ,10,FALSE)+SUM(_xlfn.XLOOKUP(R106:AF106,增益!$A:$A,增益!$J:$J,0))</f>
        <v>0</v>
      </c>
      <c r="AW106">
        <f t="shared" si="36"/>
        <v>0</v>
      </c>
      <c r="AX106">
        <f t="shared" si="37"/>
        <v>0</v>
      </c>
      <c r="AY106" s="33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-0.14</v>
      </c>
      <c r="AZ106" s="33" cm="1">
        <f t="array" ref="AZ106">$G$12+VLOOKUP($Q106,武学奇术!$A:$ZZ,12,FALSE)+SUM(_xlfn.XLOOKUP(R106:AF106,增益!$A:$A,增益!$L:$L,0))</f>
        <v>0</v>
      </c>
      <c r="BA106">
        <f t="shared" si="38"/>
        <v>0</v>
      </c>
      <c r="BB106">
        <f t="shared" si="39"/>
        <v>0</v>
      </c>
      <c r="BC106" s="33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-0.14</v>
      </c>
      <c r="BD106" s="33" cm="1">
        <f t="array" ref="BD106">$G$13+VLOOKUP($Q106,武学奇术!$A:$ZZ,14,FALSE)+SUM(_xlfn.XLOOKUP(R106:AF106,增益!$A:$A,增益!$N:$N,0))</f>
        <v>0</v>
      </c>
      <c r="BE106">
        <f t="shared" si="40"/>
        <v>570.28</v>
      </c>
      <c r="BF106">
        <f t="shared" si="41"/>
        <v>1582.156</v>
      </c>
      <c r="BG106" s="33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0.08</v>
      </c>
      <c r="BH106" s="33" cm="1">
        <f t="array" ref="BH106">$G$14+VLOOKUP($Q106,武学奇术!$A:$ZZ,16,FALSE)+SUM(_xlfn.XLOOKUP(R106:AF106,增益!$A:$A,增益!$P:$P,0))</f>
        <v>0.24</v>
      </c>
      <c r="BI106" s="27">
        <f>MIN(IF(VLOOKUP($Q106,武学奇术!$A:$ZZ,23,FALSE)=1,100%,$B$8),100%)</f>
        <v>1</v>
      </c>
      <c r="BJ106" s="27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+MIN(IF(VLOOKUP($Q106,武学奇术!$A:$ZZ,32,FALSE)=1,IF(VLOOKUP($Q106,武学奇术!$A:$ZZ,24,FALSE)=1,100%,MIN(40%,$B$10+VLOOKUP($Q106,武学奇术!$A:$ZZ,19,FALSE)+SUM(_xlfn.XLOOKUP(R106:AF106,增益!$A:$A,增益!$S:$S,0)))+$B$12+SUM(_xlfn.XLOOKUP(R106:AF106,增益!$A:$A,增益!$V:$V,0))),0),12%)</f>
        <v>0.918</v>
      </c>
      <c r="BK106" s="27" cm="1">
        <f t="array" ref="BK106">1+$B$13+VLOOKUP($Q106,武学奇术!$A:$ZZ,18,FALSE)+SUM(_xlfn.XLOOKUP(R106:AF106,增益!$A:$A,增益!$R:$R,0))</f>
        <v>1.64</v>
      </c>
      <c r="BL106" s="27" cm="1">
        <f t="array" ref="BL106">MAX(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-IF(VLOOKUP($Q106,武学奇术!$A:$ZZ,32,FALSE)=1,12%,0),0)</f>
        <v>0.0895</v>
      </c>
      <c r="BM106" s="27" cm="1">
        <f t="array" ref="BM106">1+$B$14+VLOOKUP($Q106,武学奇术!$A:$ZZ,20,FALSE)+SUM(_xlfn.XLOOKUP(R106:AF106,增益!$A:$A,增益!$T:$T,0))</f>
        <v>1.35</v>
      </c>
      <c r="BN106" s="27">
        <f t="shared" si="31"/>
        <v>0.9105</v>
      </c>
      <c r="BO106" s="27">
        <f t="shared" si="32"/>
        <v>0</v>
      </c>
      <c r="BP106" s="27">
        <f>IF(VLOOKUP($Q106,武学奇术!$A:$ZZ,22,FALSE)=1,0,(1-$BI106))*(1-$BL106)</f>
        <v>0</v>
      </c>
      <c r="BQ106" s="27" cm="1">
        <f t="array" ref="BQ106">SUM(_xlfn.XLOOKUP(R106:AF106,增益!$A:$A,增益!$W:$W,0))+$I$5</f>
        <v>0.11</v>
      </c>
    </row>
    <row r="107" spans="1:69">
      <c r="A107" t="s">
        <v>155</v>
      </c>
      <c r="B107">
        <v>0.9</v>
      </c>
      <c r="F107" s="40"/>
      <c r="K107" s="39">
        <f t="shared" si="33"/>
        <v>65597.3033545041</v>
      </c>
      <c r="L107" s="39">
        <f>((($AN107+($AO107-$AN107)*IF(VLOOKUP($Q107,武学奇术!$A:$ZZ,31,FALSE)=1,$F$18,0.5))*$AH107+$AI107)*(1+$AP107)*(1+$AQ107)+(($AS107+($AT107-$AS107)*IF(VLOOKUP($Q107,武学奇术!$A:$ZZ,31,FALSE)=1,$F$18,0.5))*IF($G$1="鸣金",$AJ107,$AH107)+IF($G$1="鸣金",$AK107*1.5,0))*(1+$AU107)*(1+$AV107)+(($AW107+($AX107-$AW107)*IF(VLOOKUP($Q107,武学奇术!$A:$ZZ,31,FALSE)=1,$F$18,0.5))*IF($G$1="裂石",$AJ107,$AH107)+IF($G$1="裂石",$AK107*1.5,0))*(1+$AY107)*(1+$AZ107)+(($BA107+($BB107-$BA107)*IF(VLOOKUP($Q107,武学奇术!$A:$ZZ,31,FALSE)=1,$F$18,0.5))*IF($G$1="牵丝",$AJ107,$AH107)+IF($G$1="牵丝",$AK107*1.5,0))*(1+$BC107)*(1+$BD107)+(($BE107+($BF107-$BE107)*IF(VLOOKUP($Q107,武学奇术!$A:$ZZ,31,FALSE)=1,$F$18,0.5))*IF($G$1="破竹",$AJ107,$AH107)+IF($G$1="破竹",$AK107*1.5,0))*(1+$BG107)*(1+$BH107))*(1+$AL107)*$BK107*$P107*(1+IF(VLOOKUP($Q107,武学奇术!$A:$ZZ,30,FALSE)="蓄力技",$B$21,0))*(1+$BQ107)</f>
        <v>66860.0314608294</v>
      </c>
      <c r="M107" s="39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蓄力技",$B$21,0))*(1+$BQ107)</f>
        <v>52751.3375354069</v>
      </c>
      <c r="N107" s="39">
        <f>((($AN107+($AO107-$AN107)*IF(VLOOKUP($Q107,武学奇术!$A:$ZZ,31,FALSE)=1,$F$18,0.5))*$AH107+$AI107)*(1+$AP107)*(1+$AQ107)+(($AS107+($AT107-$AS107)*IF(VLOOKUP($Q107,武学奇术!$A:$ZZ,31,FALSE)=1,$F$18,0.5))*IF($G$1="鸣金",$AJ107,$AH107)+IF($G$1="鸣金",$AK107*1.5,0))*(1+$AU107)*(1+$AV107)+(($AW107+($AX107-$AW107)*IF(VLOOKUP($Q107,武学奇术!$A:$ZZ,31,FALSE)=1,$F$18,0.5))*IF($G$1="裂石",$AJ107,$AH107)+IF($G$1="裂石",$AK107*1.5,0))*(1+$AY107)*(1+$AZ107)+(($BA107+($BB107-$BA107)*IF(VLOOKUP($Q107,武学奇术!$A:$ZZ,31,FALSE)=1,$F$18,0.5))*IF($G$1="牵丝",$AJ107,$AH107)+IF($G$1="牵丝",$AK107*1.5,0))*(1+$BC107)*(1+$BD107)+(($BE107+($BF107-$BE107)*IF(VLOOKUP($Q107,武学奇术!$A:$ZZ,31,FALSE)=1,$F$18,0.5))*IF($G$1="破竹",$AJ107,$AH107)+IF($G$1="破竹",$AK107*1.5,0))*(1+$BG107)*(1+$BH107))*(1+$AL107)*$P107*(1+IF(VLOOKUP($Q107,武学奇术!$A:$ZZ,30,FALSE)="蓄力技",$B$21,0))*(1+$BQ107)</f>
        <v>34463.9337426956</v>
      </c>
      <c r="O107" s="39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蓄力技",$B$21,0))*(1+$BQ107)</f>
        <v>29852.802644349</v>
      </c>
      <c r="P107" s="40">
        <v>1</v>
      </c>
      <c r="Q107" s="41" t="s">
        <v>108</v>
      </c>
      <c r="R107" s="41" t="s">
        <v>93</v>
      </c>
      <c r="S107" s="41" t="s">
        <v>72</v>
      </c>
      <c r="T107" s="41" t="s">
        <v>72</v>
      </c>
      <c r="U107" s="41" t="s">
        <v>72</v>
      </c>
      <c r="V107" s="41" t="s">
        <v>72</v>
      </c>
      <c r="W107" s="41" t="s">
        <v>72</v>
      </c>
      <c r="X107" s="41" t="s">
        <v>165</v>
      </c>
      <c r="Y107" s="41" t="s">
        <v>81</v>
      </c>
      <c r="Z107" s="41" t="s">
        <v>101</v>
      </c>
      <c r="AA107" s="41" t="s">
        <v>72</v>
      </c>
      <c r="AB107" s="41" t="s">
        <v>72</v>
      </c>
      <c r="AC107" s="41" t="s">
        <v>72</v>
      </c>
      <c r="AD107" s="41" t="s">
        <v>72</v>
      </c>
      <c r="AE107" s="41" t="s">
        <v>75</v>
      </c>
      <c r="AF107" s="41" t="s">
        <v>76</v>
      </c>
      <c r="AG107" t="str">
        <f>VLOOKUP($Q107,武学奇术!$A:$ZZ,25,FALSE)</f>
        <v>拳甲</v>
      </c>
      <c r="AH107" s="27">
        <f>VLOOKUP($Q107,武学奇术!$A:$ZZ,26,FALSE)</f>
        <v>2.33376</v>
      </c>
      <c r="AI107" s="28">
        <f>VLOOKUP($Q107,武学奇术!$A:$ZZ,27,FALSE)*(1+IF(OR($AG107=$F$4,$AG107=$F$5),$B$22,0))</f>
        <v>0</v>
      </c>
      <c r="AJ107" s="27">
        <f>VLOOKUP($Q107,武学奇术!$A:$ZZ,28,FALSE)</f>
        <v>3.50064</v>
      </c>
      <c r="AK107" s="28">
        <f>VLOOKUP($Q107,武学奇术!$A:$ZZ,29,FALSE)*(1+IF(OR($AG107=$F$4,$AG107=$F$5),$B$22,0))</f>
        <v>0</v>
      </c>
      <c r="AL107" s="27" cm="1">
        <f t="array" ref="AL107">$G$3+IFERROR(VLOOKUP($AG107,$F$4:$G$7,2,FALSE),0)+VLOOKUP($Q107,武学奇术!$A:$ZZ,2,FALSE)+SUM(_xlfn.XLOOKUP($R107:$AF107,增益!$A:$A,增益!$B:$B,0))</f>
        <v>0.7041</v>
      </c>
      <c r="AM107" s="27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3804.006</v>
      </c>
      <c r="AO107" cm="1">
        <f t="array" ref="AO107">$E$10*(1+$AM107)+VLOOKUP($Q107,武学奇术!$A:$ZZ,4,FALSE)+SUM(_xlfn.XLOOKUP($R107:$AF107,增益!$A:$A,增益!$D:$D,0))-$I$2</f>
        <v>3804.006</v>
      </c>
      <c r="AP107" s="33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0.347</v>
      </c>
      <c r="AQ107" s="33" cm="1">
        <f t="array" ref="AQ107">$G$10+VLOOKUP($Q107,武学奇术!$A:$ZZ,7,FALSE)+SUM(_xlfn.XLOOKUP(R107:AF107,增益!$A:$A,增益!$G:$G,0))</f>
        <v>0.09</v>
      </c>
      <c r="AR107" s="27" cm="1">
        <f t="array" ref="AR107">VLOOKUP($Q107,武学奇术!$A:$ZZ,8,FALSE)+SUM(_xlfn.XLOOKUP(R107:AF107,增益!$A:$A,增益!$H:$H,0))</f>
        <v>0</v>
      </c>
      <c r="AS107">
        <f t="shared" si="34"/>
        <v>0</v>
      </c>
      <c r="AT107">
        <f t="shared" si="35"/>
        <v>0</v>
      </c>
      <c r="AU107" s="33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-0.08</v>
      </c>
      <c r="AV107" s="33" cm="1">
        <f t="array" ref="AV107">$G$11+VLOOKUP($Q107,武学奇术!$A:$ZZ,10,FALSE)+SUM(_xlfn.XLOOKUP(R107:AF107,增益!$A:$A,增益!$J:$J,0))</f>
        <v>0</v>
      </c>
      <c r="AW107">
        <f t="shared" si="36"/>
        <v>0</v>
      </c>
      <c r="AX107">
        <f t="shared" si="37"/>
        <v>0</v>
      </c>
      <c r="AY107" s="33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-0.08</v>
      </c>
      <c r="AZ107" s="33" cm="1">
        <f t="array" ref="AZ107">$G$12+VLOOKUP($Q107,武学奇术!$A:$ZZ,12,FALSE)+SUM(_xlfn.XLOOKUP(R107:AF107,增益!$A:$A,增益!$L:$L,0))</f>
        <v>0</v>
      </c>
      <c r="BA107">
        <f t="shared" si="38"/>
        <v>0</v>
      </c>
      <c r="BB107">
        <f t="shared" si="39"/>
        <v>0</v>
      </c>
      <c r="BC107" s="33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-0.08</v>
      </c>
      <c r="BD107" s="33" cm="1">
        <f t="array" ref="BD107">$G$13+VLOOKUP($Q107,武学奇术!$A:$ZZ,14,FALSE)+SUM(_xlfn.XLOOKUP(R107:AF107,增益!$A:$A,增益!$N:$N,0))</f>
        <v>0</v>
      </c>
      <c r="BE107">
        <f t="shared" si="40"/>
        <v>570.28</v>
      </c>
      <c r="BF107">
        <f t="shared" si="41"/>
        <v>1582.156</v>
      </c>
      <c r="BG107" s="33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0.11</v>
      </c>
      <c r="BH107" s="33" cm="1">
        <f t="array" ref="BH107">$G$14+VLOOKUP($Q107,武学奇术!$A:$ZZ,16,FALSE)+SUM(_xlfn.XLOOKUP(R107:AF107,增益!$A:$A,增益!$P:$P,0))</f>
        <v>0.24</v>
      </c>
      <c r="BI107" s="27">
        <f>MIN(IF(VLOOKUP($Q107,武学奇术!$A:$ZZ,23,FALSE)=1,100%,$B$8),100%)</f>
        <v>1</v>
      </c>
      <c r="BJ107" s="27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+MIN(IF(VLOOKUP($Q107,武学奇术!$A:$ZZ,32,FALSE)=1,IF(VLOOKUP($Q107,武学奇术!$A:$ZZ,24,FALSE)=1,100%,MIN(40%,$B$10+VLOOKUP($Q107,武学奇术!$A:$ZZ,19,FALSE)+SUM(_xlfn.XLOOKUP(R107:AF107,增益!$A:$A,增益!$S:$S,0)))+$B$12+SUM(_xlfn.XLOOKUP(R107:AF107,增益!$A:$A,增益!$V:$V,0))),0),12%)</f>
        <v>0.918</v>
      </c>
      <c r="BK107" s="27" cm="1">
        <f t="array" ref="BK107">1+$B$13+VLOOKUP($Q107,武学奇术!$A:$ZZ,18,FALSE)+SUM(_xlfn.XLOOKUP(R107:AF107,增益!$A:$A,增益!$R:$R,0))</f>
        <v>1.94</v>
      </c>
      <c r="BL107" s="27" cm="1">
        <f t="array" ref="BL107">MAX(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-IF(VLOOKUP($Q107,武学奇术!$A:$ZZ,32,FALSE)=1,12%,0),0)</f>
        <v>0.0895</v>
      </c>
      <c r="BM107" s="27" cm="1">
        <f t="array" ref="BM107">1+$B$14+VLOOKUP($Q107,武学奇术!$A:$ZZ,20,FALSE)+SUM(_xlfn.XLOOKUP(R107:AF107,增益!$A:$A,增益!$T:$T,0))</f>
        <v>1.35</v>
      </c>
      <c r="BN107" s="27">
        <f t="shared" si="31"/>
        <v>0.9105</v>
      </c>
      <c r="BO107" s="27">
        <f t="shared" si="32"/>
        <v>0</v>
      </c>
      <c r="BP107" s="27">
        <f>IF(VLOOKUP($Q107,武学奇术!$A:$ZZ,22,FALSE)=1,0,(1-$BI107))*(1-$BL107)</f>
        <v>0</v>
      </c>
      <c r="BQ107" s="27" cm="1">
        <f t="array" ref="BQ107">SUM(_xlfn.XLOOKUP(R107:AF107,增益!$A:$A,增益!$W:$W,0))+$I$5</f>
        <v>0.11</v>
      </c>
    </row>
    <row r="108" spans="1:69">
      <c r="A108" t="s">
        <v>164</v>
      </c>
      <c r="B108">
        <v>1.23</v>
      </c>
      <c r="F108" s="40"/>
      <c r="K108" s="39">
        <f t="shared" si="33"/>
        <v>1003103.60651156</v>
      </c>
      <c r="L108" s="39">
        <f>((($AN108+($AO108-$AN108)*IF(VLOOKUP($Q108,武学奇术!$A:$ZZ,31,FALSE)=1,$F$18,0.5))*$AH108+$AI108)*(1+$AP108)*(1+$AQ108)+(($AS108+($AT108-$AS108)*IF(VLOOKUP($Q108,武学奇术!$A:$ZZ,31,FALSE)=1,$F$18,0.5))*IF($G$1="鸣金",$AJ108,$AH108)+IF($G$1="鸣金",$AK108*1.5,0))*(1+$AU108)*(1+$AV108)+(($AW108+($AX108-$AW108)*IF(VLOOKUP($Q108,武学奇术!$A:$ZZ,31,FALSE)=1,$F$18,0.5))*IF($G$1="裂石",$AJ108,$AH108)+IF($G$1="裂石",$AK108*1.5,0))*(1+$AY108)*(1+$AZ108)+(($BA108+($BB108-$BA108)*IF(VLOOKUP($Q108,武学奇术!$A:$ZZ,31,FALSE)=1,$F$18,0.5))*IF($G$1="牵丝",$AJ108,$AH108)+IF($G$1="牵丝",$AK108*1.5,0))*(1+$BC108)*(1+$BD108)+(($BE108+($BF108-$BE108)*IF(VLOOKUP($Q108,武学奇术!$A:$ZZ,31,FALSE)=1,$F$18,0.5))*IF($G$1="破竹",$AJ108,$AH108)+IF($G$1="破竹",$AK108*1.5,0))*(1+$BG108)*(1+$BH108))*(1+$AL108)*$BK108*$P108*(1+IF(VLOOKUP($Q108,武学奇术!$A:$ZZ,30,FALSE)="蓄力技",$B$21,0))*(1+$BQ108)</f>
        <v>1003103.60651156</v>
      </c>
      <c r="M108" s="39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蓄力技",$B$21,0))*(1+$BQ108)</f>
        <v>626364.901930694</v>
      </c>
      <c r="N108" s="39">
        <f>((($AN108+($AO108-$AN108)*IF(VLOOKUP($Q108,武学奇术!$A:$ZZ,31,FALSE)=1,$F$18,0.5))*$AH108+$AI108)*(1+$AP108)*(1+$AQ108)+(($AS108+($AT108-$AS108)*IF(VLOOKUP($Q108,武学奇术!$A:$ZZ,31,FALSE)=1,$F$18,0.5))*IF($G$1="鸣金",$AJ108,$AH108)+IF($G$1="鸣金",$AK108*1.5,0))*(1+$AU108)*(1+$AV108)+(($AW108+($AX108-$AW108)*IF(VLOOKUP($Q108,武学奇术!$A:$ZZ,31,FALSE)=1,$F$18,0.5))*IF($G$1="裂石",$AJ108,$AH108)+IF($G$1="裂石",$AK108*1.5,0))*(1+$AY108)*(1+$AZ108)+(($BA108+($BB108-$BA108)*IF(VLOOKUP($Q108,武学奇术!$A:$ZZ,31,FALSE)=1,$F$18,0.5))*IF($G$1="牵丝",$AJ108,$AH108)+IF($G$1="牵丝",$AK108*1.5,0))*(1+$BC108)*(1+$BD108)+(($BE108+($BF108-$BE108)*IF(VLOOKUP($Q108,武学奇术!$A:$ZZ,31,FALSE)=1,$F$18,0.5))*IF($G$1="破竹",$AJ108,$AH108)+IF($G$1="破竹",$AK108*1.5,0))*(1+$BG108)*(1+$BH108))*(1+$AL108)*$P108*(1+IF(VLOOKUP($Q108,武学奇术!$A:$ZZ,30,FALSE)="蓄力技",$B$21,0))*(1+$BQ108)</f>
        <v>419708.621971364</v>
      </c>
      <c r="O108" s="39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蓄力技",$B$21,0))*(1+$BQ108)</f>
        <v>375443.242512584</v>
      </c>
      <c r="P108" s="40">
        <v>1</v>
      </c>
      <c r="Q108" s="41" t="s">
        <v>125</v>
      </c>
      <c r="R108" s="41" t="s">
        <v>93</v>
      </c>
      <c r="S108" s="41" t="s">
        <v>118</v>
      </c>
      <c r="T108" s="41" t="s">
        <v>119</v>
      </c>
      <c r="U108" s="41" t="s">
        <v>72</v>
      </c>
      <c r="V108" s="41" t="s">
        <v>72</v>
      </c>
      <c r="W108" s="41" t="s">
        <v>72</v>
      </c>
      <c r="X108" s="41" t="s">
        <v>165</v>
      </c>
      <c r="Y108" s="41" t="s">
        <v>72</v>
      </c>
      <c r="Z108" s="41" t="s">
        <v>101</v>
      </c>
      <c r="AA108" s="41" t="s">
        <v>72</v>
      </c>
      <c r="AB108" s="41" t="s">
        <v>72</v>
      </c>
      <c r="AC108" s="41" t="s">
        <v>72</v>
      </c>
      <c r="AD108" s="41" t="s">
        <v>72</v>
      </c>
      <c r="AE108" s="41" t="s">
        <v>75</v>
      </c>
      <c r="AF108" s="41" t="s">
        <v>76</v>
      </c>
      <c r="AG108" t="str">
        <f>VLOOKUP($Q108,武学奇术!$A:$ZZ,25,FALSE)</f>
        <v>拳甲</v>
      </c>
      <c r="AH108" s="27">
        <f>VLOOKUP($Q108,武学奇术!$A:$ZZ,26,FALSE)</f>
        <v>16.8107</v>
      </c>
      <c r="AI108" s="28">
        <f>VLOOKUP($Q108,武学奇术!$A:$ZZ,27,FALSE)*(1+IF(OR($AG108=$F$4,$AG108=$F$5),$B$22,0))</f>
        <v>6505.8</v>
      </c>
      <c r="AJ108" s="27">
        <f>VLOOKUP($Q108,武学奇术!$A:$ZZ,28,FALSE)</f>
        <v>25.2161</v>
      </c>
      <c r="AK108" s="28">
        <f>VLOOKUP($Q108,武学奇术!$A:$ZZ,29,FALSE)*(1+IF(OR($AG108=$F$4,$AG108=$F$5),$B$22,0))</f>
        <v>3546.2</v>
      </c>
      <c r="AL108" s="27" cm="1">
        <f t="array" ref="AL108">$G$3+IFERROR(VLOOKUP($AG108,$F$4:$G$7,2,FALSE),0)+VLOOKUP($Q108,武学奇术!$A:$ZZ,2,FALSE)+SUM(_xlfn.XLOOKUP($R108:$AF108,增益!$A:$A,增益!$B:$B,0))</f>
        <v>0.8541</v>
      </c>
      <c r="AM108" s="27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3804.006</v>
      </c>
      <c r="AO108" cm="1">
        <f t="array" ref="AO108">$E$10*(1+$AM108)+VLOOKUP($Q108,武学奇术!$A:$ZZ,4,FALSE)+SUM(_xlfn.XLOOKUP($R108:$AF108,增益!$A:$A,增益!$D:$D,0))-$I$2</f>
        <v>3804.006</v>
      </c>
      <c r="AP108" s="33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0.472</v>
      </c>
      <c r="AQ108" s="33" cm="1">
        <f t="array" ref="AQ108">$G$10+VLOOKUP($Q108,武学奇术!$A:$ZZ,7,FALSE)+SUM(_xlfn.XLOOKUP(R108:AF108,增益!$A:$A,增益!$G:$G,0))</f>
        <v>0.09</v>
      </c>
      <c r="AR108" s="27" cm="1">
        <f t="array" ref="AR108">VLOOKUP($Q108,武学奇术!$A:$ZZ,8,FALSE)+SUM(_xlfn.XLOOKUP(R108:AF108,增益!$A:$A,增益!$H:$H,0))</f>
        <v>0</v>
      </c>
      <c r="AS108">
        <f t="shared" si="34"/>
        <v>0</v>
      </c>
      <c r="AT108">
        <f t="shared" si="35"/>
        <v>0</v>
      </c>
      <c r="AU108" s="33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-0.24</v>
      </c>
      <c r="AV108" s="33" cm="1">
        <f t="array" ref="AV108">$G$11+VLOOKUP($Q108,武学奇术!$A:$ZZ,10,FALSE)+SUM(_xlfn.XLOOKUP(R108:AF108,增益!$A:$A,增益!$J:$J,0))</f>
        <v>0</v>
      </c>
      <c r="AW108">
        <f t="shared" si="36"/>
        <v>0</v>
      </c>
      <c r="AX108">
        <f t="shared" si="37"/>
        <v>0</v>
      </c>
      <c r="AY108" s="33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-0.24</v>
      </c>
      <c r="AZ108" s="33" cm="1">
        <f t="array" ref="AZ108">$G$12+VLOOKUP($Q108,武学奇术!$A:$ZZ,12,FALSE)+SUM(_xlfn.XLOOKUP(R108:AF108,增益!$A:$A,增益!$L:$L,0))</f>
        <v>0</v>
      </c>
      <c r="BA108">
        <f t="shared" si="38"/>
        <v>0</v>
      </c>
      <c r="BB108">
        <f t="shared" si="39"/>
        <v>0</v>
      </c>
      <c r="BC108" s="33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-0.24</v>
      </c>
      <c r="BD108" s="33" cm="1">
        <f t="array" ref="BD108">$G$13+VLOOKUP($Q108,武学奇术!$A:$ZZ,14,FALSE)+SUM(_xlfn.XLOOKUP(R108:AF108,增益!$A:$A,增益!$N:$N,0))</f>
        <v>0</v>
      </c>
      <c r="BE108">
        <f t="shared" si="40"/>
        <v>570.28</v>
      </c>
      <c r="BF108">
        <f t="shared" si="41"/>
        <v>1582.156</v>
      </c>
      <c r="BG108" s="33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0.03</v>
      </c>
      <c r="BH108" s="33" cm="1">
        <f t="array" ref="BH108">$G$14+VLOOKUP($Q108,武学奇术!$A:$ZZ,16,FALSE)+SUM(_xlfn.XLOOKUP(R108:AF108,增益!$A:$A,增益!$P:$P,0))</f>
        <v>0.24</v>
      </c>
      <c r="BI108" s="27">
        <f>MIN(IF(VLOOKUP($Q108,武学奇术!$A:$ZZ,23,FALSE)=1,100%,$B$8),100%)</f>
        <v>1</v>
      </c>
      <c r="BJ108" s="27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+MIN(IF(VLOOKUP($Q108,武学奇术!$A:$ZZ,32,FALSE)=1,IF(VLOOKUP($Q108,武学奇术!$A:$ZZ,24,FALSE)=1,100%,MIN(40%,$B$10+VLOOKUP($Q108,武学奇术!$A:$ZZ,19,FALSE)+SUM(_xlfn.XLOOKUP(R108:AF108,增益!$A:$A,增益!$S:$S,0)))+$B$12+SUM(_xlfn.XLOOKUP(R108:AF108,增益!$A:$A,增益!$V:$V,0))),0),12%)</f>
        <v>1.0075</v>
      </c>
      <c r="BK108" s="27" cm="1">
        <f t="array" ref="BK108">1+$B$13+VLOOKUP($Q108,武学奇术!$A:$ZZ,18,FALSE)+SUM(_xlfn.XLOOKUP(R108:AF108,增益!$A:$A,增益!$R:$R,0))</f>
        <v>2.39</v>
      </c>
      <c r="BL108" s="27" cm="1">
        <f t="array" ref="BL108">MAX(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-IF(VLOOKUP($Q108,武学奇术!$A:$ZZ,32,FALSE)=1,12%,0),0)</f>
        <v>0</v>
      </c>
      <c r="BM108" s="27" cm="1">
        <f t="array" ref="BM108">1+$B$14+VLOOKUP($Q108,武学奇术!$A:$ZZ,20,FALSE)+SUM(_xlfn.XLOOKUP(R108:AF108,增益!$A:$A,增益!$T:$T,0))</f>
        <v>1.35</v>
      </c>
      <c r="BN108" s="27">
        <f t="shared" si="31"/>
        <v>1</v>
      </c>
      <c r="BO108" s="27">
        <f t="shared" si="32"/>
        <v>0</v>
      </c>
      <c r="BP108" s="27">
        <f>IF(VLOOKUP($Q108,武学奇术!$A:$ZZ,22,FALSE)=1,0,(1-$BI108))*(1-$BL108)</f>
        <v>0</v>
      </c>
      <c r="BQ108" s="27" cm="1">
        <f t="array" ref="BQ108">SUM(_xlfn.XLOOKUP(R108:AF108,增益!$A:$A,增益!$W:$W,0))+$I$5</f>
        <v>0.11</v>
      </c>
    </row>
    <row r="109" spans="1:69">
      <c r="A109" s="4" t="s">
        <v>166</v>
      </c>
      <c r="B109" s="91">
        <v>1.16</v>
      </c>
      <c r="F109" s="40"/>
      <c r="K109" s="39">
        <f t="shared" si="33"/>
        <v>386207.215941727</v>
      </c>
      <c r="L109" s="39">
        <f>((($AN109+($AO109-$AN109)*IF(VLOOKUP($Q109,武学奇术!$A:$ZZ,31,FALSE)=1,$F$18,0.5))*$AH109+$AI109)*(1+$AP109)*(1+$AQ109)+(($AS109+($AT109-$AS109)*IF(VLOOKUP($Q109,武学奇术!$A:$ZZ,31,FALSE)=1,$F$18,0.5))*IF($G$1="鸣金",$AJ109,$AH109)+IF($G$1="鸣金",$AK109*1.5,0))*(1+$AU109)*(1+$AV109)+(($AW109+($AX109-$AW109)*IF(VLOOKUP($Q109,武学奇术!$A:$ZZ,31,FALSE)=1,$F$18,0.5))*IF($G$1="裂石",$AJ109,$AH109)+IF($G$1="裂石",$AK109*1.5,0))*(1+$AY109)*(1+$AZ109)+(($BA109+($BB109-$BA109)*IF(VLOOKUP($Q109,武学奇术!$A:$ZZ,31,FALSE)=1,$F$18,0.5))*IF($G$1="牵丝",$AJ109,$AH109)+IF($G$1="牵丝",$AK109*1.5,0))*(1+$BC109)*(1+$BD109)+(($BE109+($BF109-$BE109)*IF(VLOOKUP($Q109,武学奇术!$A:$ZZ,31,FALSE)=1,$F$18,0.5))*IF($G$1="破竹",$AJ109,$AH109)+IF($G$1="破竹",$AK109*1.5,0))*(1+$BG109)*(1+$BH109))*(1+$AL109)*$BK109*$P109*(1+IF(VLOOKUP($Q109,武学奇术!$A:$ZZ,30,FALSE)="蓄力技",$B$21,0))*(1+$BQ109)</f>
        <v>386207.215941727</v>
      </c>
      <c r="M109" s="39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蓄力技",$B$21,0))*(1+$BQ109)</f>
        <v>241157.643581105</v>
      </c>
      <c r="N109" s="39">
        <f>((($AN109+($AO109-$AN109)*IF(VLOOKUP($Q109,武学奇术!$A:$ZZ,31,FALSE)=1,$F$18,0.5))*$AH109+$AI109)*(1+$AP109)*(1+$AQ109)+(($AS109+($AT109-$AS109)*IF(VLOOKUP($Q109,武学奇术!$A:$ZZ,31,FALSE)=1,$F$18,0.5))*IF($G$1="鸣金",$AJ109,$AH109)+IF($G$1="鸣金",$AK109*1.5,0))*(1+$AU109)*(1+$AV109)+(($AW109+($AX109-$AW109)*IF(VLOOKUP($Q109,武学奇术!$A:$ZZ,31,FALSE)=1,$F$18,0.5))*IF($G$1="裂石",$AJ109,$AH109)+IF($G$1="裂石",$AK109*1.5,0))*(1+$AY109)*(1+$AZ109)+(($BA109+($BB109-$BA109)*IF(VLOOKUP($Q109,武学奇术!$A:$ZZ,31,FALSE)=1,$F$18,0.5))*IF($G$1="牵丝",$AJ109,$AH109)+IF($G$1="牵丝",$AK109*1.5,0))*(1+$BC109)*(1+$BD109)+(($BE109+($BF109-$BE109)*IF(VLOOKUP($Q109,武学奇术!$A:$ZZ,31,FALSE)=1,$F$18,0.5))*IF($G$1="破竹",$AJ109,$AH109)+IF($G$1="破竹",$AK109*1.5,0))*(1+$BG109)*(1+$BH109))*(1+$AL109)*$P109*(1+IF(VLOOKUP($Q109,武学奇术!$A:$ZZ,30,FALSE)="蓄力技",$B$21,0))*(1+$BQ109)</f>
        <v>161592.977381476</v>
      </c>
      <c r="O109" s="39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蓄力技",$B$21,0))*(1+$BQ109)</f>
        <v>144550.663221392</v>
      </c>
      <c r="P109" s="40">
        <v>1</v>
      </c>
      <c r="Q109" s="41" t="s">
        <v>129</v>
      </c>
      <c r="R109" s="41" t="s">
        <v>93</v>
      </c>
      <c r="S109" s="41" t="s">
        <v>118</v>
      </c>
      <c r="T109" s="41" t="s">
        <v>119</v>
      </c>
      <c r="U109" s="41" t="s">
        <v>72</v>
      </c>
      <c r="V109" s="41" t="s">
        <v>72</v>
      </c>
      <c r="W109" s="41" t="s">
        <v>72</v>
      </c>
      <c r="X109" s="41" t="s">
        <v>165</v>
      </c>
      <c r="Y109" s="41" t="s">
        <v>72</v>
      </c>
      <c r="Z109" s="41" t="s">
        <v>101</v>
      </c>
      <c r="AA109" s="41" t="s">
        <v>72</v>
      </c>
      <c r="AB109" s="41" t="s">
        <v>72</v>
      </c>
      <c r="AC109" s="41" t="s">
        <v>72</v>
      </c>
      <c r="AD109" s="41" t="s">
        <v>72</v>
      </c>
      <c r="AE109" s="41" t="s">
        <v>75</v>
      </c>
      <c r="AF109" s="41" t="s">
        <v>76</v>
      </c>
      <c r="AG109" t="str">
        <f>VLOOKUP($Q109,武学奇术!$A:$ZZ,25,FALSE)</f>
        <v>拳甲</v>
      </c>
      <c r="AH109" s="27">
        <f>VLOOKUP($Q109,武学奇术!$A:$ZZ,26,FALSE)</f>
        <v>6.4722</v>
      </c>
      <c r="AI109" s="28">
        <f>VLOOKUP($Q109,武学奇术!$A:$ZZ,27,FALSE)*(1+IF(OR($AG109=$F$4,$AG109=$F$5),$B$22,0))</f>
        <v>2504.88</v>
      </c>
      <c r="AJ109" s="27">
        <f>VLOOKUP($Q109,武学奇术!$A:$ZZ,28,FALSE)</f>
        <v>9.70828</v>
      </c>
      <c r="AK109" s="28">
        <f>VLOOKUP($Q109,武学奇术!$A:$ZZ,29,FALSE)*(1+IF(OR($AG109=$F$4,$AG109=$F$5),$B$22,0))</f>
        <v>1365.84</v>
      </c>
      <c r="AL109" s="27" cm="1">
        <f t="array" ref="AL109">$G$3+IFERROR(VLOOKUP($AG109,$F$4:$G$7,2,FALSE),0)+VLOOKUP($Q109,武学奇术!$A:$ZZ,2,FALSE)+SUM(_xlfn.XLOOKUP($R109:$AF109,增益!$A:$A,增益!$B:$B,0))</f>
        <v>0.8541</v>
      </c>
      <c r="AM109" s="27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3804.006</v>
      </c>
      <c r="AO109" cm="1">
        <f t="array" ref="AO109">$E$10*(1+$AM109)+VLOOKUP($Q109,武学奇术!$A:$ZZ,4,FALSE)+SUM(_xlfn.XLOOKUP($R109:$AF109,增益!$A:$A,增益!$D:$D,0))-$I$2</f>
        <v>3804.006</v>
      </c>
      <c r="AP109" s="33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0.472</v>
      </c>
      <c r="AQ109" s="33" cm="1">
        <f t="array" ref="AQ109">$G$10+VLOOKUP($Q109,武学奇术!$A:$ZZ,7,FALSE)+SUM(_xlfn.XLOOKUP(R109:AF109,增益!$A:$A,增益!$G:$G,0))</f>
        <v>0.09</v>
      </c>
      <c r="AR109" s="27" cm="1">
        <f t="array" ref="AR109">VLOOKUP($Q109,武学奇术!$A:$ZZ,8,FALSE)+SUM(_xlfn.XLOOKUP(R109:AF109,增益!$A:$A,增益!$H:$H,0))</f>
        <v>0</v>
      </c>
      <c r="AS109">
        <f t="shared" si="34"/>
        <v>0</v>
      </c>
      <c r="AT109">
        <f t="shared" si="35"/>
        <v>0</v>
      </c>
      <c r="AU109" s="33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-0.24</v>
      </c>
      <c r="AV109" s="33" cm="1">
        <f t="array" ref="AV109">$G$11+VLOOKUP($Q109,武学奇术!$A:$ZZ,10,FALSE)+SUM(_xlfn.XLOOKUP(R109:AF109,增益!$A:$A,增益!$J:$J,0))</f>
        <v>0</v>
      </c>
      <c r="AW109">
        <f t="shared" si="36"/>
        <v>0</v>
      </c>
      <c r="AX109">
        <f t="shared" si="37"/>
        <v>0</v>
      </c>
      <c r="AY109" s="33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-0.24</v>
      </c>
      <c r="AZ109" s="33" cm="1">
        <f t="array" ref="AZ109">$G$12+VLOOKUP($Q109,武学奇术!$A:$ZZ,12,FALSE)+SUM(_xlfn.XLOOKUP(R109:AF109,增益!$A:$A,增益!$L:$L,0))</f>
        <v>0</v>
      </c>
      <c r="BA109">
        <f t="shared" si="38"/>
        <v>0</v>
      </c>
      <c r="BB109">
        <f t="shared" si="39"/>
        <v>0</v>
      </c>
      <c r="BC109" s="33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-0.24</v>
      </c>
      <c r="BD109" s="33" cm="1">
        <f t="array" ref="BD109">$G$13+VLOOKUP($Q109,武学奇术!$A:$ZZ,14,FALSE)+SUM(_xlfn.XLOOKUP(R109:AF109,增益!$A:$A,增益!$N:$N,0))</f>
        <v>0</v>
      </c>
      <c r="BE109">
        <f t="shared" si="40"/>
        <v>570.28</v>
      </c>
      <c r="BF109">
        <f t="shared" si="41"/>
        <v>1582.156</v>
      </c>
      <c r="BG109" s="33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0.03</v>
      </c>
      <c r="BH109" s="33" cm="1">
        <f t="array" ref="BH109">$G$14+VLOOKUP($Q109,武学奇术!$A:$ZZ,16,FALSE)+SUM(_xlfn.XLOOKUP(R109:AF109,增益!$A:$A,增益!$P:$P,0))</f>
        <v>0.24</v>
      </c>
      <c r="BI109" s="27">
        <f>MIN(IF(VLOOKUP($Q109,武学奇术!$A:$ZZ,23,FALSE)=1,100%,$B$8),100%)</f>
        <v>1</v>
      </c>
      <c r="BJ109" s="27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+MIN(IF(VLOOKUP($Q109,武学奇术!$A:$ZZ,32,FALSE)=1,IF(VLOOKUP($Q109,武学奇术!$A:$ZZ,24,FALSE)=1,100%,MIN(40%,$B$10+VLOOKUP($Q109,武学奇术!$A:$ZZ,19,FALSE)+SUM(_xlfn.XLOOKUP(R109:AF109,增益!$A:$A,增益!$S:$S,0)))+$B$12+SUM(_xlfn.XLOOKUP(R109:AF109,增益!$A:$A,增益!$V:$V,0))),0),12%)</f>
        <v>1.0075</v>
      </c>
      <c r="BK109" s="27" cm="1">
        <f t="array" ref="BK109">1+$B$13+VLOOKUP($Q109,武学奇术!$A:$ZZ,18,FALSE)+SUM(_xlfn.XLOOKUP(R109:AF109,增益!$A:$A,增益!$R:$R,0))</f>
        <v>2.39</v>
      </c>
      <c r="BL109" s="27" cm="1">
        <f t="array" ref="BL109">MAX(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-IF(VLOOKUP($Q109,武学奇术!$A:$ZZ,32,FALSE)=1,12%,0),0)</f>
        <v>0</v>
      </c>
      <c r="BM109" s="27" cm="1">
        <f t="array" ref="BM109">1+$B$14+VLOOKUP($Q109,武学奇术!$A:$ZZ,20,FALSE)+SUM(_xlfn.XLOOKUP(R109:AF109,增益!$A:$A,增益!$T:$T,0))</f>
        <v>1.35</v>
      </c>
      <c r="BN109" s="27">
        <f t="shared" si="31"/>
        <v>1</v>
      </c>
      <c r="BO109" s="27">
        <f t="shared" si="32"/>
        <v>0</v>
      </c>
      <c r="BP109" s="27">
        <f>IF(VLOOKUP($Q109,武学奇术!$A:$ZZ,22,FALSE)=1,0,(1-$BI109))*(1-$BL109)</f>
        <v>0</v>
      </c>
      <c r="BQ109" s="27" cm="1">
        <f t="array" ref="BQ109">SUM(_xlfn.XLOOKUP(R109:AF109,增益!$A:$A,增益!$W:$W,0))+$I$5</f>
        <v>0.11</v>
      </c>
    </row>
    <row r="110" spans="1:69">
      <c r="A110" t="s">
        <v>178</v>
      </c>
      <c r="B110">
        <v>2.5</v>
      </c>
      <c r="F110" s="40"/>
      <c r="G110">
        <v>-20</v>
      </c>
      <c r="K110" s="39">
        <f t="shared" si="33"/>
        <v>68040.524338636</v>
      </c>
      <c r="L110" s="39">
        <f>((($AN110+($AO110-$AN110)*IF(VLOOKUP($Q110,武学奇术!$A:$ZZ,31,FALSE)=1,$F$18,0.5))*$AH110+$AI110)*(1+$AP110)*(1+$AQ110)+(($AS110+($AT110-$AS110)*IF(VLOOKUP($Q110,武学奇术!$A:$ZZ,31,FALSE)=1,$F$18,0.5))*IF($G$1="鸣金",$AJ110,$AH110)+IF($G$1="鸣金",$AK110*1.5,0))*(1+$AU110)*(1+$AV110)+(($AW110+($AX110-$AW110)*IF(VLOOKUP($Q110,武学奇术!$A:$ZZ,31,FALSE)=1,$F$18,0.5))*IF($G$1="裂石",$AJ110,$AH110)+IF($G$1="裂石",$AK110*1.5,0))*(1+$AY110)*(1+$AZ110)+(($BA110+($BB110-$BA110)*IF(VLOOKUP($Q110,武学奇术!$A:$ZZ,31,FALSE)=1,$F$18,0.5))*IF($G$1="牵丝",$AJ110,$AH110)+IF($G$1="牵丝",$AK110*1.5,0))*(1+$BC110)*(1+$BD110)+(($BE110+($BF110-$BE110)*IF(VLOOKUP($Q110,武学奇术!$A:$ZZ,31,FALSE)=1,$F$18,0.5))*IF($G$1="破竹",$AJ110,$AH110)+IF($G$1="破竹",$AK110*1.5,0))*(1+$BG110)*(1+$BH110))*(1+$AL110)*$BK110*$P110*(1+IF(VLOOKUP($Q110,武学奇术!$A:$ZZ,30,FALSE)="蓄力技",$B$21,0))*(1+$BQ110)</f>
        <v>68560.2327583252</v>
      </c>
      <c r="M110" s="39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蓄力技",$B$21,0))*(1+$BQ110)</f>
        <v>62753.4347729715</v>
      </c>
      <c r="N110" s="39">
        <f>((($AN110+($AO110-$AN110)*IF(VLOOKUP($Q110,武学奇术!$A:$ZZ,31,FALSE)=1,$F$18,0.5))*$AH110+$AI110)*(1+$AP110)*(1+$AQ110)+(($AS110+($AT110-$AS110)*IF(VLOOKUP($Q110,武学奇术!$A:$ZZ,31,FALSE)=1,$F$18,0.5))*IF($G$1="鸣金",$AJ110,$AH110)+IF($G$1="鸣金",$AK110*1.5,0))*(1+$AU110)*(1+$AV110)+(($AW110+($AX110-$AW110)*IF(VLOOKUP($Q110,武学奇术!$A:$ZZ,31,FALSE)=1,$F$18,0.5))*IF($G$1="裂石",$AJ110,$AH110)+IF($G$1="裂石",$AK110*1.5,0))*(1+$AY110)*(1+$AZ110)+(($BA110+($BB110-$BA110)*IF(VLOOKUP($Q110,武学奇术!$A:$ZZ,31,FALSE)=1,$F$18,0.5))*IF($G$1="牵丝",$AJ110,$AH110)+IF($G$1="牵丝",$AK110*1.5,0))*(1+$BC110)*(1+$BD110)+(($BE110+($BF110-$BE110)*IF(VLOOKUP($Q110,武学奇术!$A:$ZZ,31,FALSE)=1,$F$18,0.5))*IF($G$1="破竹",$AJ110,$AH110)+IF($G$1="破竹",$AK110*1.5,0))*(1+$BG110)*(1+$BH110))*(1+$AL110)*$P110*(1+IF(VLOOKUP($Q110,武学奇术!$A:$ZZ,30,FALSE)="蓄力技",$B$21,0))*(1+$BQ110)</f>
        <v>41805.0199745885</v>
      </c>
      <c r="O110" s="39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蓄力技",$B$21,0))*(1+$BQ110)</f>
        <v>37126.0141914204</v>
      </c>
      <c r="P110" s="40">
        <v>1</v>
      </c>
      <c r="Q110" s="41" t="s">
        <v>111</v>
      </c>
      <c r="R110" s="41" t="s">
        <v>93</v>
      </c>
      <c r="S110" s="41" t="s">
        <v>72</v>
      </c>
      <c r="T110" s="41" t="s">
        <v>119</v>
      </c>
      <c r="U110" s="41" t="s">
        <v>72</v>
      </c>
      <c r="V110" s="41" t="s">
        <v>176</v>
      </c>
      <c r="W110" s="41" t="s">
        <v>177</v>
      </c>
      <c r="X110" s="41" t="s">
        <v>165</v>
      </c>
      <c r="Y110" s="41" t="s">
        <v>72</v>
      </c>
      <c r="Z110" s="41" t="s">
        <v>72</v>
      </c>
      <c r="AA110" s="41" t="s">
        <v>72</v>
      </c>
      <c r="AB110" s="41" t="s">
        <v>72</v>
      </c>
      <c r="AC110" s="41" t="s">
        <v>72</v>
      </c>
      <c r="AD110" s="41" t="s">
        <v>72</v>
      </c>
      <c r="AE110" s="41" t="s">
        <v>75</v>
      </c>
      <c r="AF110" s="41" t="s">
        <v>76</v>
      </c>
      <c r="AG110" t="str">
        <f>VLOOKUP($Q110,武学奇术!$A:$ZZ,25,FALSE)</f>
        <v>拳甲</v>
      </c>
      <c r="AH110" s="27">
        <f>VLOOKUP($Q110,武学奇术!$A:$ZZ,26,FALSE)</f>
        <v>2.4421</v>
      </c>
      <c r="AI110" s="28">
        <f>VLOOKUP($Q110,武学奇术!$A:$ZZ,27,FALSE)*(1+IF(OR($AG110=$F$4,$AG110=$F$5),$B$22,0))</f>
        <v>945</v>
      </c>
      <c r="AJ110" s="27">
        <f>VLOOKUP($Q110,武学奇术!$A:$ZZ,28,FALSE)</f>
        <v>3.6634</v>
      </c>
      <c r="AK110" s="28">
        <f>VLOOKUP($Q110,武学奇术!$A:$ZZ,29,FALSE)*(1+IF(OR($AG110=$F$4,$AG110=$F$5),$B$22,0))</f>
        <v>512.4</v>
      </c>
      <c r="AL110" s="27" cm="1">
        <f t="array" ref="AL110">$G$3+IFERROR(VLOOKUP($AG110,$F$4:$G$7,2,FALSE),0)+VLOOKUP($Q110,武学奇术!$A:$ZZ,2,FALSE)+SUM(_xlfn.XLOOKUP($R110:$AF110,增益!$A:$A,增益!$B:$B,0))</f>
        <v>0.5541</v>
      </c>
      <c r="AM110" s="27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3804.006</v>
      </c>
      <c r="AO110" cm="1">
        <f t="array" ref="AO110">$E$10*(1+$AM110)+VLOOKUP($Q110,武学奇术!$A:$ZZ,4,FALSE)+SUM(_xlfn.XLOOKUP($R110:$AF110,增益!$A:$A,增益!$D:$D,0))-$I$2</f>
        <v>3804.006</v>
      </c>
      <c r="AP110" s="33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0.317</v>
      </c>
      <c r="AQ110" s="33" cm="1">
        <f t="array" ref="AQ110">$G$10+VLOOKUP($Q110,武学奇术!$A:$ZZ,7,FALSE)+SUM(_xlfn.XLOOKUP(R110:AF110,增益!$A:$A,增益!$G:$G,0))</f>
        <v>0.09</v>
      </c>
      <c r="AR110" s="27" cm="1">
        <f t="array" ref="AR110">VLOOKUP($Q110,武学奇术!$A:$ZZ,8,FALSE)+SUM(_xlfn.XLOOKUP(R110:AF110,增益!$A:$A,增益!$H:$H,0))</f>
        <v>0</v>
      </c>
      <c r="AS110">
        <f t="shared" si="34"/>
        <v>0</v>
      </c>
      <c r="AT110">
        <f t="shared" si="35"/>
        <v>0</v>
      </c>
      <c r="AU110" s="33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-0.3</v>
      </c>
      <c r="AV110" s="33" cm="1">
        <f t="array" ref="AV110">$G$11+VLOOKUP($Q110,武学奇术!$A:$ZZ,10,FALSE)+SUM(_xlfn.XLOOKUP(R110:AF110,增益!$A:$A,增益!$J:$J,0))</f>
        <v>0.1</v>
      </c>
      <c r="AW110">
        <f t="shared" si="36"/>
        <v>0</v>
      </c>
      <c r="AX110">
        <f t="shared" si="37"/>
        <v>0</v>
      </c>
      <c r="AY110" s="33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-0.3</v>
      </c>
      <c r="AZ110" s="33" cm="1">
        <f t="array" ref="AZ110">$G$12+VLOOKUP($Q110,武学奇术!$A:$ZZ,12,FALSE)+SUM(_xlfn.XLOOKUP(R110:AF110,增益!$A:$A,增益!$L:$L,0))</f>
        <v>0</v>
      </c>
      <c r="BA110">
        <f t="shared" si="38"/>
        <v>0</v>
      </c>
      <c r="BB110">
        <f t="shared" si="39"/>
        <v>0</v>
      </c>
      <c r="BC110" s="33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-0.3</v>
      </c>
      <c r="BD110" s="33" cm="1">
        <f t="array" ref="BD110">$G$13+VLOOKUP($Q110,武学奇术!$A:$ZZ,14,FALSE)+SUM(_xlfn.XLOOKUP(R110:AF110,增益!$A:$A,增益!$N:$N,0))</f>
        <v>0</v>
      </c>
      <c r="BE110">
        <f t="shared" si="40"/>
        <v>570.28</v>
      </c>
      <c r="BF110">
        <f t="shared" si="41"/>
        <v>1582.156</v>
      </c>
      <c r="BG110" s="33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0</v>
      </c>
      <c r="BH110" s="33" cm="1">
        <f t="array" ref="BH110">$G$14+VLOOKUP($Q110,武学奇术!$A:$ZZ,16,FALSE)+SUM(_xlfn.XLOOKUP(R110:AF110,增益!$A:$A,增益!$P:$P,0))</f>
        <v>0.24</v>
      </c>
      <c r="BI110" s="27">
        <f>MIN(IF(VLOOKUP($Q110,武学奇术!$A:$ZZ,23,FALSE)=1,100%,$B$8),100%)</f>
        <v>1</v>
      </c>
      <c r="BJ110" s="27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+MIN(IF(VLOOKUP($Q110,武学奇术!$A:$ZZ,32,FALSE)=1,IF(VLOOKUP($Q110,武学奇术!$A:$ZZ,24,FALSE)=1,100%,MIN(40%,$B$10+VLOOKUP($Q110,武学奇术!$A:$ZZ,19,FALSE)+SUM(_xlfn.XLOOKUP(R110:AF110,增益!$A:$A,增益!$S:$S,0)))+$B$12+SUM(_xlfn.XLOOKUP(R110:AF110,增益!$A:$A,增益!$V:$V,0))),0),12%)</f>
        <v>0.918</v>
      </c>
      <c r="BK110" s="27" cm="1">
        <f t="array" ref="BK110">1+$B$13+VLOOKUP($Q110,武学奇术!$A:$ZZ,18,FALSE)+SUM(_xlfn.XLOOKUP(R110:AF110,增益!$A:$A,增益!$R:$R,0))</f>
        <v>1.64</v>
      </c>
      <c r="BL110" s="27" cm="1">
        <f t="array" ref="BL110">MAX(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-IF(VLOOKUP($Q110,武学奇术!$A:$ZZ,32,FALSE)=1,12%,0),0)</f>
        <v>0.0895</v>
      </c>
      <c r="BM110" s="27" cm="1">
        <f t="array" ref="BM110">1+$B$14+VLOOKUP($Q110,武学奇术!$A:$ZZ,20,FALSE)+SUM(_xlfn.XLOOKUP(R110:AF110,增益!$A:$A,增益!$T:$T,0))</f>
        <v>1.35</v>
      </c>
      <c r="BN110" s="27">
        <f t="shared" si="31"/>
        <v>0.9105</v>
      </c>
      <c r="BO110" s="27">
        <f t="shared" si="32"/>
        <v>0</v>
      </c>
      <c r="BP110" s="27">
        <f>IF(VLOOKUP($Q110,武学奇术!$A:$ZZ,22,FALSE)=1,0,(1-$BI110))*(1-$BL110)</f>
        <v>0</v>
      </c>
      <c r="BQ110" s="27" cm="1">
        <f t="array" ref="BQ110">SUM(_xlfn.XLOOKUP(R110:AF110,增益!$A:$A,增益!$W:$W,0))+$I$5</f>
        <v>0.31</v>
      </c>
    </row>
    <row r="111" spans="1:69">
      <c r="A111" s="4" t="s">
        <v>168</v>
      </c>
      <c r="B111" s="4">
        <v>1</v>
      </c>
      <c r="F111" s="40"/>
      <c r="K111" s="39">
        <f t="shared" si="33"/>
        <v>36739.4891042362</v>
      </c>
      <c r="L111" s="39">
        <f>((($AN111+($AO111-$AN111)*IF(VLOOKUP($Q111,武学奇术!$A:$ZZ,31,FALSE)=1,$F$18,0.5))*$AH111+$AI111)*(1+$AP111)*(1+$AQ111)+(($AS111+($AT111-$AS111)*IF(VLOOKUP($Q111,武学奇术!$A:$ZZ,31,FALSE)=1,$F$18,0.5))*IF($G$1="鸣金",$AJ111,$AH111)+IF($G$1="鸣金",$AK111*1.5,0))*(1+$AU111)*(1+$AV111)+(($AW111+($AX111-$AW111)*IF(VLOOKUP($Q111,武学奇术!$A:$ZZ,31,FALSE)=1,$F$18,0.5))*IF($G$1="裂石",$AJ111,$AH111)+IF($G$1="裂石",$AK111*1.5,0))*(1+$AY111)*(1+$AZ111)+(($BA111+($BB111-$BA111)*IF(VLOOKUP($Q111,武学奇术!$A:$ZZ,31,FALSE)=1,$F$18,0.5))*IF($G$1="牵丝",$AJ111,$AH111)+IF($G$1="牵丝",$AK111*1.5,0))*(1+$BC111)*(1+$BD111)+(($BE111+($BF111-$BE111)*IF(VLOOKUP($Q111,武学奇术!$A:$ZZ,31,FALSE)=1,$F$18,0.5))*IF($G$1="破竹",$AJ111,$AH111)+IF($G$1="破竹",$AK111*1.5,0))*(1+$BG111)*(1+$BH111))*(1+$AL111)*$BK111*$P111*(1+IF(VLOOKUP($Q111,武学奇术!$A:$ZZ,30,FALSE)="蓄力技",$B$21,0))*(1+$BQ111)</f>
        <v>37003.2261723169</v>
      </c>
      <c r="M111" s="39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蓄力技",$B$21,0))*(1+$BQ111)</f>
        <v>34056.4432887332</v>
      </c>
      <c r="N111" s="39">
        <f>((($AN111+($AO111-$AN111)*IF(VLOOKUP($Q111,武学奇术!$A:$ZZ,31,FALSE)=1,$F$18,0.5))*$AH111+$AI111)*(1+$AP111)*(1+$AQ111)+(($AS111+($AT111-$AS111)*IF(VLOOKUP($Q111,武学奇术!$A:$ZZ,31,FALSE)=1,$F$18,0.5))*IF($G$1="鸣金",$AJ111,$AH111)+IF($G$1="鸣金",$AK111*1.5,0))*(1+$AU111)*(1+$AV111)+(($AW111+($AX111-$AW111)*IF(VLOOKUP($Q111,武学奇术!$A:$ZZ,31,FALSE)=1,$F$18,0.5))*IF($G$1="裂石",$AJ111,$AH111)+IF($G$1="裂石",$AK111*1.5,0))*(1+$AY111)*(1+$AZ111)+(($BA111+($BB111-$BA111)*IF(VLOOKUP($Q111,武学奇术!$A:$ZZ,31,FALSE)=1,$F$18,0.5))*IF($G$1="牵丝",$AJ111,$AH111)+IF($G$1="牵丝",$AK111*1.5,0))*(1+$BC111)*(1+$BD111)+(($BE111+($BF111-$BE111)*IF(VLOOKUP($Q111,武学奇术!$A:$ZZ,31,FALSE)=1,$F$18,0.5))*IF($G$1="破竹",$AJ111,$AH111)+IF($G$1="破竹",$AK111*1.5,0))*(1+$BG111)*(1+$BH111))*(1+$AL111)*$P111*(1+IF(VLOOKUP($Q111,武学奇术!$A:$ZZ,30,FALSE)="蓄力技",$B$21,0))*(1+$BQ111)</f>
        <v>22562.9427879981</v>
      </c>
      <c r="O111" s="39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蓄力技",$B$21,0))*(1+$BQ111)</f>
        <v>19898.890547305</v>
      </c>
      <c r="P111" s="40">
        <v>1</v>
      </c>
      <c r="Q111" s="41" t="s">
        <v>106</v>
      </c>
      <c r="R111" s="41" t="s">
        <v>93</v>
      </c>
      <c r="S111" s="41" t="s">
        <v>72</v>
      </c>
      <c r="T111" s="41" t="s">
        <v>119</v>
      </c>
      <c r="U111" s="41" t="s">
        <v>72</v>
      </c>
      <c r="V111" s="41" t="s">
        <v>176</v>
      </c>
      <c r="W111" s="41" t="s">
        <v>177</v>
      </c>
      <c r="X111" s="41" t="s">
        <v>165</v>
      </c>
      <c r="Y111" s="41" t="s">
        <v>81</v>
      </c>
      <c r="Z111" s="41" t="s">
        <v>72</v>
      </c>
      <c r="AA111" s="41" t="s">
        <v>72</v>
      </c>
      <c r="AB111" s="41" t="s">
        <v>72</v>
      </c>
      <c r="AC111" s="41" t="s">
        <v>72</v>
      </c>
      <c r="AD111" s="41" t="s">
        <v>72</v>
      </c>
      <c r="AE111" s="41" t="s">
        <v>75</v>
      </c>
      <c r="AF111" s="41" t="s">
        <v>76</v>
      </c>
      <c r="AG111" t="str">
        <f>VLOOKUP($Q111,武学奇术!$A:$ZZ,25,FALSE)</f>
        <v>拳甲</v>
      </c>
      <c r="AH111" s="27">
        <f>VLOOKUP($Q111,武学奇术!$A:$ZZ,26,FALSE)</f>
        <v>1.2876</v>
      </c>
      <c r="AI111" s="28">
        <f>VLOOKUP($Q111,武学奇术!$A:$ZZ,27,FALSE)*(1+IF(OR($AG111=$F$4,$AG111=$F$5),$B$22,0))</f>
        <v>501.2</v>
      </c>
      <c r="AJ111" s="27">
        <f>VLOOKUP($Q111,武学奇术!$A:$ZZ,28,FALSE)</f>
        <v>1.9313</v>
      </c>
      <c r="AK111" s="28">
        <f>VLOOKUP($Q111,武学奇术!$A:$ZZ,29,FALSE)*(1+IF(OR($AG111=$F$4,$AG111=$F$5),$B$22,0))</f>
        <v>273</v>
      </c>
      <c r="AL111" s="27" cm="1">
        <f t="array" ref="AL111">$G$3+IFERROR(VLOOKUP($AG111,$F$4:$G$7,2,FALSE),0)+VLOOKUP($Q111,武学奇术!$A:$ZZ,2,FALSE)+SUM(_xlfn.XLOOKUP($R111:$AF111,增益!$A:$A,增益!$B:$B,0))</f>
        <v>0.5541</v>
      </c>
      <c r="AM111" s="27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3804.006</v>
      </c>
      <c r="AO111" cm="1">
        <f t="array" ref="AO111">$E$10*(1+$AM111)+VLOOKUP($Q111,武学奇术!$A:$ZZ,4,FALSE)+SUM(_xlfn.XLOOKUP($R111:$AF111,增益!$A:$A,增益!$D:$D,0))-$I$2</f>
        <v>3804.006</v>
      </c>
      <c r="AP111" s="33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0.317</v>
      </c>
      <c r="AQ111" s="33" cm="1">
        <f t="array" ref="AQ111">$G$10+VLOOKUP($Q111,武学奇术!$A:$ZZ,7,FALSE)+SUM(_xlfn.XLOOKUP(R111:AF111,增益!$A:$A,增益!$G:$G,0))</f>
        <v>0.09</v>
      </c>
      <c r="AR111" s="27" cm="1">
        <f t="array" ref="AR111">VLOOKUP($Q111,武学奇术!$A:$ZZ,8,FALSE)+SUM(_xlfn.XLOOKUP(R111:AF111,增益!$A:$A,增益!$H:$H,0))</f>
        <v>0</v>
      </c>
      <c r="AS111">
        <f t="shared" si="34"/>
        <v>0</v>
      </c>
      <c r="AT111">
        <f t="shared" si="35"/>
        <v>0</v>
      </c>
      <c r="AU111" s="33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-0.14</v>
      </c>
      <c r="AV111" s="33" cm="1">
        <f t="array" ref="AV111">$G$11+VLOOKUP($Q111,武学奇术!$A:$ZZ,10,FALSE)+SUM(_xlfn.XLOOKUP(R111:AF111,增益!$A:$A,增益!$J:$J,0))</f>
        <v>0.1</v>
      </c>
      <c r="AW111">
        <f t="shared" si="36"/>
        <v>0</v>
      </c>
      <c r="AX111">
        <f t="shared" si="37"/>
        <v>0</v>
      </c>
      <c r="AY111" s="33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-0.14</v>
      </c>
      <c r="AZ111" s="33" cm="1">
        <f t="array" ref="AZ111">$G$12+VLOOKUP($Q111,武学奇术!$A:$ZZ,12,FALSE)+SUM(_xlfn.XLOOKUP(R111:AF111,增益!$A:$A,增益!$L:$L,0))</f>
        <v>0</v>
      </c>
      <c r="BA111">
        <f t="shared" si="38"/>
        <v>0</v>
      </c>
      <c r="BB111">
        <f t="shared" si="39"/>
        <v>0</v>
      </c>
      <c r="BC111" s="33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-0.14</v>
      </c>
      <c r="BD111" s="33" cm="1">
        <f t="array" ref="BD111">$G$13+VLOOKUP($Q111,武学奇术!$A:$ZZ,14,FALSE)+SUM(_xlfn.XLOOKUP(R111:AF111,增益!$A:$A,增益!$N:$N,0))</f>
        <v>0</v>
      </c>
      <c r="BE111">
        <f t="shared" si="40"/>
        <v>570.28</v>
      </c>
      <c r="BF111">
        <f t="shared" si="41"/>
        <v>1582.156</v>
      </c>
      <c r="BG111" s="33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0.08</v>
      </c>
      <c r="BH111" s="33" cm="1">
        <f t="array" ref="BH111">$G$14+VLOOKUP($Q111,武学奇术!$A:$ZZ,16,FALSE)+SUM(_xlfn.XLOOKUP(R111:AF111,增益!$A:$A,增益!$P:$P,0))</f>
        <v>0.24</v>
      </c>
      <c r="BI111" s="27">
        <f>MIN(IF(VLOOKUP($Q111,武学奇术!$A:$ZZ,23,FALSE)=1,100%,$B$8),100%)</f>
        <v>1</v>
      </c>
      <c r="BJ111" s="27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+MIN(IF(VLOOKUP($Q111,武学奇术!$A:$ZZ,32,FALSE)=1,IF(VLOOKUP($Q111,武学奇术!$A:$ZZ,24,FALSE)=1,100%,MIN(40%,$B$10+VLOOKUP($Q111,武学奇术!$A:$ZZ,19,FALSE)+SUM(_xlfn.XLOOKUP(R111:AF111,增益!$A:$A,增益!$S:$S,0)))+$B$12+SUM(_xlfn.XLOOKUP(R111:AF111,增益!$A:$A,增益!$V:$V,0))),0),12%)</f>
        <v>0.918</v>
      </c>
      <c r="BK111" s="27" cm="1">
        <f t="array" ref="BK111">1+$B$13+VLOOKUP($Q111,武学奇术!$A:$ZZ,18,FALSE)+SUM(_xlfn.XLOOKUP(R111:AF111,增益!$A:$A,增益!$R:$R,0))</f>
        <v>1.64</v>
      </c>
      <c r="BL111" s="27" cm="1">
        <f t="array" ref="BL111">MAX(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-IF(VLOOKUP($Q111,武学奇术!$A:$ZZ,32,FALSE)=1,12%,0),0)</f>
        <v>0.0895</v>
      </c>
      <c r="BM111" s="27" cm="1">
        <f t="array" ref="BM111">1+$B$14+VLOOKUP($Q111,武学奇术!$A:$ZZ,20,FALSE)+SUM(_xlfn.XLOOKUP(R111:AF111,增益!$A:$A,增益!$T:$T,0))</f>
        <v>1.35</v>
      </c>
      <c r="BN111" s="27">
        <f t="shared" si="31"/>
        <v>0.9105</v>
      </c>
      <c r="BO111" s="27">
        <f t="shared" si="32"/>
        <v>0</v>
      </c>
      <c r="BP111" s="27">
        <f>IF(VLOOKUP($Q111,武学奇术!$A:$ZZ,22,FALSE)=1,0,(1-$BI111))*(1-$BL111)</f>
        <v>0</v>
      </c>
      <c r="BQ111" s="27" cm="1">
        <f t="array" ref="BQ111">SUM(_xlfn.XLOOKUP(R111:AF111,增益!$A:$A,增益!$W:$W,0))+$I$5</f>
        <v>0.31</v>
      </c>
    </row>
    <row r="112" spans="1:69">
      <c r="A112" s="4" t="s">
        <v>166</v>
      </c>
      <c r="B112" s="91">
        <v>1.16</v>
      </c>
      <c r="F112" s="40"/>
      <c r="K112" s="39">
        <f t="shared" si="33"/>
        <v>84231.0822155774</v>
      </c>
      <c r="L112" s="39">
        <f>((($AN112+($AO112-$AN112)*IF(VLOOKUP($Q112,武学奇术!$A:$ZZ,31,FALSE)=1,$F$18,0.5))*$AH112+$AI112)*(1+$AP112)*(1+$AQ112)+(($AS112+($AT112-$AS112)*IF(VLOOKUP($Q112,武学奇术!$A:$ZZ,31,FALSE)=1,$F$18,0.5))*IF($G$1="鸣金",$AJ112,$AH112)+IF($G$1="鸣金",$AK112*1.5,0))*(1+$AU112)*(1+$AV112)+(($AW112+($AX112-$AW112)*IF(VLOOKUP($Q112,武学奇术!$A:$ZZ,31,FALSE)=1,$F$18,0.5))*IF($G$1="裂石",$AJ112,$AH112)+IF($G$1="裂石",$AK112*1.5,0))*(1+$AY112)*(1+$AZ112)+(($BA112+($BB112-$BA112)*IF(VLOOKUP($Q112,武学奇术!$A:$ZZ,31,FALSE)=1,$F$18,0.5))*IF($G$1="牵丝",$AJ112,$AH112)+IF($G$1="牵丝",$AK112*1.5,0))*(1+$BC112)*(1+$BD112)+(($BE112+($BF112-$BE112)*IF(VLOOKUP($Q112,武学奇术!$A:$ZZ,31,FALSE)=1,$F$18,0.5))*IF($G$1="破竹",$AJ112,$AH112)+IF($G$1="破竹",$AK112*1.5,0))*(1+$BG112)*(1+$BH112))*(1+$AL112)*$BK112*$P112*(1+IF(VLOOKUP($Q112,武学奇术!$A:$ZZ,30,FALSE)="蓄力技",$B$21,0))*(1+$BQ112)</f>
        <v>85852.5048884731</v>
      </c>
      <c r="M112" s="39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蓄力技",$B$21,0))*(1+$BQ112)</f>
        <v>67736.0504427115</v>
      </c>
      <c r="N112" s="39">
        <f>((($AN112+($AO112-$AN112)*IF(VLOOKUP($Q112,武学奇术!$A:$ZZ,31,FALSE)=1,$F$18,0.5))*$AH112+$AI112)*(1+$AP112)*(1+$AQ112)+(($AS112+($AT112-$AS112)*IF(VLOOKUP($Q112,武学奇术!$A:$ZZ,31,FALSE)=1,$F$18,0.5))*IF($G$1="鸣金",$AJ112,$AH112)+IF($G$1="鸣金",$AK112*1.5,0))*(1+$AU112)*(1+$AV112)+(($AW112+($AX112-$AW112)*IF(VLOOKUP($Q112,武学奇术!$A:$ZZ,31,FALSE)=1,$F$18,0.5))*IF($G$1="裂石",$AJ112,$AH112)+IF($G$1="裂石",$AK112*1.5,0))*(1+$AY112)*(1+$AZ112)+(($BA112+($BB112-$BA112)*IF(VLOOKUP($Q112,武学奇术!$A:$ZZ,31,FALSE)=1,$F$18,0.5))*IF($G$1="牵丝",$AJ112,$AH112)+IF($G$1="牵丝",$AK112*1.5,0))*(1+$BC112)*(1+$BD112)+(($BE112+($BF112-$BE112)*IF(VLOOKUP($Q112,武学奇术!$A:$ZZ,31,FALSE)=1,$F$18,0.5))*IF($G$1="破竹",$AJ112,$AH112)+IF($G$1="破竹",$AK112*1.5,0))*(1+$BG112)*(1+$BH112))*(1+$AL112)*$P112*(1+IF(VLOOKUP($Q112,武学奇术!$A:$ZZ,30,FALSE)="蓄力技",$B$21,0))*(1+$BQ112)</f>
        <v>44253.8684992129</v>
      </c>
      <c r="O112" s="39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蓄力技",$B$21,0))*(1+$BQ112)</f>
        <v>38332.8848186396</v>
      </c>
      <c r="P112" s="40">
        <v>1</v>
      </c>
      <c r="Q112" s="41" t="s">
        <v>108</v>
      </c>
      <c r="R112" s="41" t="s">
        <v>93</v>
      </c>
      <c r="S112" s="41" t="s">
        <v>72</v>
      </c>
      <c r="T112" s="41" t="s">
        <v>119</v>
      </c>
      <c r="U112" s="41" t="s">
        <v>72</v>
      </c>
      <c r="V112" s="41" t="s">
        <v>176</v>
      </c>
      <c r="W112" s="41" t="s">
        <v>177</v>
      </c>
      <c r="X112" s="41" t="s">
        <v>165</v>
      </c>
      <c r="Y112" s="41" t="s">
        <v>81</v>
      </c>
      <c r="Z112" s="41" t="s">
        <v>101</v>
      </c>
      <c r="AA112" s="41" t="s">
        <v>72</v>
      </c>
      <c r="AB112" s="41" t="s">
        <v>72</v>
      </c>
      <c r="AC112" s="41" t="s">
        <v>72</v>
      </c>
      <c r="AD112" s="41" t="s">
        <v>72</v>
      </c>
      <c r="AE112" s="41" t="s">
        <v>75</v>
      </c>
      <c r="AF112" s="41" t="s">
        <v>76</v>
      </c>
      <c r="AG112" t="str">
        <f>VLOOKUP($Q112,武学奇术!$A:$ZZ,25,FALSE)</f>
        <v>拳甲</v>
      </c>
      <c r="AH112" s="27">
        <f>VLOOKUP($Q112,武学奇术!$A:$ZZ,26,FALSE)</f>
        <v>2.33376</v>
      </c>
      <c r="AI112" s="28">
        <f>VLOOKUP($Q112,武学奇术!$A:$ZZ,27,FALSE)*(1+IF(OR($AG112=$F$4,$AG112=$F$5),$B$22,0))</f>
        <v>0</v>
      </c>
      <c r="AJ112" s="27">
        <f>VLOOKUP($Q112,武学奇术!$A:$ZZ,28,FALSE)</f>
        <v>3.50064</v>
      </c>
      <c r="AK112" s="28">
        <f>VLOOKUP($Q112,武学奇术!$A:$ZZ,29,FALSE)*(1+IF(OR($AG112=$F$4,$AG112=$F$5),$B$22,0))</f>
        <v>0</v>
      </c>
      <c r="AL112" s="27" cm="1">
        <f t="array" ref="AL112">$G$3+IFERROR(VLOOKUP($AG112,$F$4:$G$7,2,FALSE),0)+VLOOKUP($Q112,武学奇术!$A:$ZZ,2,FALSE)+SUM(_xlfn.XLOOKUP($R112:$AF112,增益!$A:$A,增益!$B:$B,0))</f>
        <v>0.8541</v>
      </c>
      <c r="AM112" s="27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3804.006</v>
      </c>
      <c r="AO112" cm="1">
        <f t="array" ref="AO112">$E$10*(1+$AM112)+VLOOKUP($Q112,武学奇术!$A:$ZZ,4,FALSE)+SUM(_xlfn.XLOOKUP($R112:$AF112,增益!$A:$A,增益!$D:$D,0))-$I$2</f>
        <v>3804.006</v>
      </c>
      <c r="AP112" s="33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0.347</v>
      </c>
      <c r="AQ112" s="33" cm="1">
        <f t="array" ref="AQ112">$G$10+VLOOKUP($Q112,武学奇术!$A:$ZZ,7,FALSE)+SUM(_xlfn.XLOOKUP(R112:AF112,增益!$A:$A,增益!$G:$G,0))</f>
        <v>0.09</v>
      </c>
      <c r="AR112" s="27" cm="1">
        <f t="array" ref="AR112">VLOOKUP($Q112,武学奇术!$A:$ZZ,8,FALSE)+SUM(_xlfn.XLOOKUP(R112:AF112,增益!$A:$A,增益!$H:$H,0))</f>
        <v>0</v>
      </c>
      <c r="AS112">
        <f t="shared" si="34"/>
        <v>0</v>
      </c>
      <c r="AT112">
        <f t="shared" si="35"/>
        <v>0</v>
      </c>
      <c r="AU112" s="33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-0.08</v>
      </c>
      <c r="AV112" s="33" cm="1">
        <f t="array" ref="AV112">$G$11+VLOOKUP($Q112,武学奇术!$A:$ZZ,10,FALSE)+SUM(_xlfn.XLOOKUP(R112:AF112,增益!$A:$A,增益!$J:$J,0))</f>
        <v>0.1</v>
      </c>
      <c r="AW112">
        <f t="shared" si="36"/>
        <v>0</v>
      </c>
      <c r="AX112">
        <f t="shared" si="37"/>
        <v>0</v>
      </c>
      <c r="AY112" s="33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-0.08</v>
      </c>
      <c r="AZ112" s="33" cm="1">
        <f t="array" ref="AZ112">$G$12+VLOOKUP($Q112,武学奇术!$A:$ZZ,12,FALSE)+SUM(_xlfn.XLOOKUP(R112:AF112,增益!$A:$A,增益!$L:$L,0))</f>
        <v>0</v>
      </c>
      <c r="BA112">
        <f t="shared" si="38"/>
        <v>0</v>
      </c>
      <c r="BB112">
        <f t="shared" si="39"/>
        <v>0</v>
      </c>
      <c r="BC112" s="33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-0.08</v>
      </c>
      <c r="BD112" s="33" cm="1">
        <f t="array" ref="BD112">$G$13+VLOOKUP($Q112,武学奇术!$A:$ZZ,14,FALSE)+SUM(_xlfn.XLOOKUP(R112:AF112,增益!$A:$A,增益!$N:$N,0))</f>
        <v>0</v>
      </c>
      <c r="BE112">
        <f t="shared" si="40"/>
        <v>570.28</v>
      </c>
      <c r="BF112">
        <f t="shared" si="41"/>
        <v>1582.156</v>
      </c>
      <c r="BG112" s="33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0.11</v>
      </c>
      <c r="BH112" s="33" cm="1">
        <f t="array" ref="BH112">$G$14+VLOOKUP($Q112,武学奇术!$A:$ZZ,16,FALSE)+SUM(_xlfn.XLOOKUP(R112:AF112,增益!$A:$A,增益!$P:$P,0))</f>
        <v>0.24</v>
      </c>
      <c r="BI112" s="27">
        <f>MIN(IF(VLOOKUP($Q112,武学奇术!$A:$ZZ,23,FALSE)=1,100%,$B$8),100%)</f>
        <v>1</v>
      </c>
      <c r="BJ112" s="27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+MIN(IF(VLOOKUP($Q112,武学奇术!$A:$ZZ,32,FALSE)=1,IF(VLOOKUP($Q112,武学奇术!$A:$ZZ,24,FALSE)=1,100%,MIN(40%,$B$10+VLOOKUP($Q112,武学奇术!$A:$ZZ,19,FALSE)+SUM(_xlfn.XLOOKUP(R112:AF112,增益!$A:$A,增益!$S:$S,0)))+$B$12+SUM(_xlfn.XLOOKUP(R112:AF112,增益!$A:$A,增益!$V:$V,0))),0),12%)</f>
        <v>0.918</v>
      </c>
      <c r="BK112" s="27" cm="1">
        <f t="array" ref="BK112">1+$B$13+VLOOKUP($Q112,武学奇术!$A:$ZZ,18,FALSE)+SUM(_xlfn.XLOOKUP(R112:AF112,增益!$A:$A,增益!$R:$R,0))</f>
        <v>1.94</v>
      </c>
      <c r="BL112" s="27" cm="1">
        <f t="array" ref="BL112">MAX(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-IF(VLOOKUP($Q112,武学奇术!$A:$ZZ,32,FALSE)=1,12%,0),0)</f>
        <v>0.0895</v>
      </c>
      <c r="BM112" s="27" cm="1">
        <f t="array" ref="BM112">1+$B$14+VLOOKUP($Q112,武学奇术!$A:$ZZ,20,FALSE)+SUM(_xlfn.XLOOKUP(R112:AF112,增益!$A:$A,增益!$T:$T,0))</f>
        <v>1.35</v>
      </c>
      <c r="BN112" s="27">
        <f t="shared" si="31"/>
        <v>0.9105</v>
      </c>
      <c r="BO112" s="27">
        <f t="shared" si="32"/>
        <v>0</v>
      </c>
      <c r="BP112" s="27">
        <f>IF(VLOOKUP($Q112,武学奇术!$A:$ZZ,22,FALSE)=1,0,(1-$BI112))*(1-$BL112)</f>
        <v>0</v>
      </c>
      <c r="BQ112" s="27" cm="1">
        <f t="array" ref="BQ112">SUM(_xlfn.XLOOKUP(R112:AF112,增益!$A:$A,增益!$W:$W,0))+$I$5</f>
        <v>0.31</v>
      </c>
    </row>
    <row r="113" spans="1:69">
      <c r="A113" s="4" t="s">
        <v>183</v>
      </c>
      <c r="B113" s="91">
        <v>0.7</v>
      </c>
      <c r="F113" s="40"/>
      <c r="K113" s="39">
        <f t="shared" si="33"/>
        <v>33713.0722424231</v>
      </c>
      <c r="L113" s="39">
        <f>((($AN113+($AO113-$AN113)*IF(VLOOKUP($Q113,武学奇术!$A:$ZZ,31,FALSE)=1,$F$18,0.5))*$AH113+$AI113)*(1+$AP113)*(1+$AQ113)+(($AS113+($AT113-$AS113)*IF(VLOOKUP($Q113,武学奇术!$A:$ZZ,31,FALSE)=1,$F$18,0.5))*IF($G$1="鸣金",$AJ113,$AH113)+IF($G$1="鸣金",$AK113*1.5,0))*(1+$AU113)*(1+$AV113)+(($AW113+($AX113-$AW113)*IF(VLOOKUP($Q113,武学奇术!$A:$ZZ,31,FALSE)=1,$F$18,0.5))*IF($G$1="裂石",$AJ113,$AH113)+IF($G$1="裂石",$AK113*1.5,0))*(1+$AY113)*(1+$AZ113)+(($BA113+($BB113-$BA113)*IF(VLOOKUP($Q113,武学奇术!$A:$ZZ,31,FALSE)=1,$F$18,0.5))*IF($G$1="牵丝",$AJ113,$AH113)+IF($G$1="牵丝",$AK113*1.5,0))*(1+$BC113)*(1+$BD113)+(($BE113+($BF113-$BE113)*IF(VLOOKUP($Q113,武学奇术!$A:$ZZ,31,FALSE)=1,$F$18,0.5))*IF($G$1="破竹",$AJ113,$AH113)+IF($G$1="破竹",$AK113*1.5,0))*(1+$BG113)*(1+$BH113))*(1+$AL113)*$BK113*$P113*(1+IF(VLOOKUP($Q113,武学奇术!$A:$ZZ,30,FALSE)="蓄力技",$B$21,0))*(1+$BQ113)</f>
        <v>33955.0042153848</v>
      </c>
      <c r="M113" s="39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蓄力技",$B$21,0))*(1+$BQ113)</f>
        <v>31251.8536795</v>
      </c>
      <c r="N113" s="39">
        <f>((($AN113+($AO113-$AN113)*IF(VLOOKUP($Q113,武学奇术!$A:$ZZ,31,FALSE)=1,$F$18,0.5))*$AH113+$AI113)*(1+$AP113)*(1+$AQ113)+(($AS113+($AT113-$AS113)*IF(VLOOKUP($Q113,武学奇术!$A:$ZZ,31,FALSE)=1,$F$18,0.5))*IF($G$1="鸣金",$AJ113,$AH113)+IF($G$1="鸣金",$AK113*1.5,0))*(1+$AU113)*(1+$AV113)+(($AW113+($AX113-$AW113)*IF(VLOOKUP($Q113,武学奇术!$A:$ZZ,31,FALSE)=1,$F$18,0.5))*IF($G$1="裂石",$AJ113,$AH113)+IF($G$1="裂石",$AK113*1.5,0))*(1+$AY113)*(1+$AZ113)+(($BA113+($BB113-$BA113)*IF(VLOOKUP($Q113,武学奇术!$A:$ZZ,31,FALSE)=1,$F$18,0.5))*IF($G$1="牵丝",$AJ113,$AH113)+IF($G$1="牵丝",$AK113*1.5,0))*(1+$BC113)*(1+$BD113)+(($BE113+($BF113-$BE113)*IF(VLOOKUP($Q113,武学奇术!$A:$ZZ,31,FALSE)=1,$F$18,0.5))*IF($G$1="破竹",$AJ113,$AH113)+IF($G$1="破竹",$AK113*1.5,0))*(1+$BG113)*(1+$BH113))*(1+$AL113)*$P113*(1+IF(VLOOKUP($Q113,武学奇术!$A:$ZZ,30,FALSE)="蓄力技",$B$21,0))*(1+$BQ113)</f>
        <v>20704.2708630395</v>
      </c>
      <c r="O113" s="39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蓄力技",$B$21,0))*(1+$BQ113)</f>
        <v>18259.020482005</v>
      </c>
      <c r="P113" s="40">
        <v>1</v>
      </c>
      <c r="Q113" s="41" t="s">
        <v>148</v>
      </c>
      <c r="R113" s="41" t="s">
        <v>93</v>
      </c>
      <c r="S113" s="41" t="s">
        <v>72</v>
      </c>
      <c r="T113" s="41" t="s">
        <v>119</v>
      </c>
      <c r="U113" s="41" t="s">
        <v>72</v>
      </c>
      <c r="V113" s="41" t="s">
        <v>176</v>
      </c>
      <c r="W113" s="41" t="s">
        <v>177</v>
      </c>
      <c r="X113" s="41" t="s">
        <v>165</v>
      </c>
      <c r="Y113" s="41" t="s">
        <v>81</v>
      </c>
      <c r="Z113" s="41" t="s">
        <v>72</v>
      </c>
      <c r="AA113" s="41" t="s">
        <v>72</v>
      </c>
      <c r="AB113" s="41" t="s">
        <v>72</v>
      </c>
      <c r="AC113" s="41" t="s">
        <v>72</v>
      </c>
      <c r="AD113" s="41" t="s">
        <v>72</v>
      </c>
      <c r="AE113" s="41" t="s">
        <v>75</v>
      </c>
      <c r="AF113" s="41" t="s">
        <v>76</v>
      </c>
      <c r="AG113" t="str">
        <f>VLOOKUP($Q113,武学奇术!$A:$ZZ,25,FALSE)</f>
        <v>绳镖</v>
      </c>
      <c r="AH113" s="27">
        <f>VLOOKUP($Q113,武学奇术!$A:$ZZ,26,FALSE)</f>
        <v>1.2503</v>
      </c>
      <c r="AI113" s="28">
        <f>VLOOKUP($Q113,武学奇术!$A:$ZZ,27,FALSE)*(1+IF(OR($AG113=$F$4,$AG113=$F$5),$B$22,0))</f>
        <v>485.8</v>
      </c>
      <c r="AJ113" s="27">
        <f>VLOOKUP($Q113,武学奇术!$A:$ZZ,28,FALSE)</f>
        <v>1.8755</v>
      </c>
      <c r="AK113" s="28">
        <f>VLOOKUP($Q113,武学奇术!$A:$ZZ,29,FALSE)*(1+IF(OR($AG113=$F$4,$AG113=$F$5),$B$22,0))</f>
        <v>264.6</v>
      </c>
      <c r="AL113" s="27" cm="1">
        <f t="array" ref="AL113">$G$3+IFERROR(VLOOKUP($AG113,$F$4:$G$7,2,FALSE),0)+VLOOKUP($Q113,武学奇术!$A:$ZZ,2,FALSE)+SUM(_xlfn.XLOOKUP($R113:$AF113,增益!$A:$A,增益!$B:$B,0))</f>
        <v>0.4689</v>
      </c>
      <c r="AM113" s="27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3804.006</v>
      </c>
      <c r="AO113" cm="1">
        <f t="array" ref="AO113">$E$10*(1+$AM113)+VLOOKUP($Q113,武学奇术!$A:$ZZ,4,FALSE)+SUM(_xlfn.XLOOKUP($R113:$AF113,增益!$A:$A,增益!$D:$D,0))-$I$2</f>
        <v>3804.006</v>
      </c>
      <c r="AP113" s="33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0.317</v>
      </c>
      <c r="AQ113" s="33" cm="1">
        <f t="array" ref="AQ113">$G$10+VLOOKUP($Q113,武学奇术!$A:$ZZ,7,FALSE)+SUM(_xlfn.XLOOKUP(R113:AF113,增益!$A:$A,增益!$G:$G,0))</f>
        <v>0.09</v>
      </c>
      <c r="AR113" s="27" cm="1">
        <f t="array" ref="AR113">VLOOKUP($Q113,武学奇术!$A:$ZZ,8,FALSE)+SUM(_xlfn.XLOOKUP(R113:AF113,增益!$A:$A,增益!$H:$H,0))</f>
        <v>0</v>
      </c>
      <c r="AS113">
        <f t="shared" si="34"/>
        <v>0</v>
      </c>
      <c r="AT113">
        <f t="shared" si="35"/>
        <v>0</v>
      </c>
      <c r="AU113" s="33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-0.14</v>
      </c>
      <c r="AV113" s="33" cm="1">
        <f t="array" ref="AV113">$G$11+VLOOKUP($Q113,武学奇术!$A:$ZZ,10,FALSE)+SUM(_xlfn.XLOOKUP(R113:AF113,增益!$A:$A,增益!$J:$J,0))</f>
        <v>0.1</v>
      </c>
      <c r="AW113">
        <f t="shared" si="36"/>
        <v>0</v>
      </c>
      <c r="AX113">
        <f t="shared" si="37"/>
        <v>0</v>
      </c>
      <c r="AY113" s="33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-0.14</v>
      </c>
      <c r="AZ113" s="33" cm="1">
        <f t="array" ref="AZ113">$G$12+VLOOKUP($Q113,武学奇术!$A:$ZZ,12,FALSE)+SUM(_xlfn.XLOOKUP(R113:AF113,增益!$A:$A,增益!$L:$L,0))</f>
        <v>0</v>
      </c>
      <c r="BA113">
        <f t="shared" si="38"/>
        <v>0</v>
      </c>
      <c r="BB113">
        <f t="shared" si="39"/>
        <v>0</v>
      </c>
      <c r="BC113" s="33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-0.14</v>
      </c>
      <c r="BD113" s="33" cm="1">
        <f t="array" ref="BD113">$G$13+VLOOKUP($Q113,武学奇术!$A:$ZZ,14,FALSE)+SUM(_xlfn.XLOOKUP(R113:AF113,增益!$A:$A,增益!$N:$N,0))</f>
        <v>0</v>
      </c>
      <c r="BE113">
        <f t="shared" si="40"/>
        <v>570.28</v>
      </c>
      <c r="BF113">
        <f t="shared" si="41"/>
        <v>1582.156</v>
      </c>
      <c r="BG113" s="33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0.08</v>
      </c>
      <c r="BH113" s="33" cm="1">
        <f t="array" ref="BH113">$G$14+VLOOKUP($Q113,武学奇术!$A:$ZZ,16,FALSE)+SUM(_xlfn.XLOOKUP(R113:AF113,增益!$A:$A,增益!$P:$P,0))</f>
        <v>0.24</v>
      </c>
      <c r="BI113" s="27">
        <f>MIN(IF(VLOOKUP($Q113,武学奇术!$A:$ZZ,23,FALSE)=1,100%,$B$8),100%)</f>
        <v>1</v>
      </c>
      <c r="BJ113" s="27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+MIN(IF(VLOOKUP($Q113,武学奇术!$A:$ZZ,32,FALSE)=1,IF(VLOOKUP($Q113,武学奇术!$A:$ZZ,24,FALSE)=1,100%,MIN(40%,$B$10+VLOOKUP($Q113,武学奇术!$A:$ZZ,19,FALSE)+SUM(_xlfn.XLOOKUP(R113:AF113,增益!$A:$A,增益!$S:$S,0)))+$B$12+SUM(_xlfn.XLOOKUP(R113:AF113,增益!$A:$A,增益!$V:$V,0))),0),12%)</f>
        <v>0.918</v>
      </c>
      <c r="BK113" s="27" cm="1">
        <f t="array" ref="BK113">1+$B$13+VLOOKUP($Q113,武学奇术!$A:$ZZ,18,FALSE)+SUM(_xlfn.XLOOKUP(R113:AF113,增益!$A:$A,增益!$R:$R,0))</f>
        <v>1.64</v>
      </c>
      <c r="BL113" s="27" cm="1">
        <f t="array" ref="BL113">MAX(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-IF(VLOOKUP($Q113,武学奇术!$A:$ZZ,32,FALSE)=1,12%,0),0)</f>
        <v>0.0895</v>
      </c>
      <c r="BM113" s="27" cm="1">
        <f t="array" ref="BM113">1+$B$14+VLOOKUP($Q113,武学奇术!$A:$ZZ,20,FALSE)+SUM(_xlfn.XLOOKUP(R113:AF113,增益!$A:$A,增益!$T:$T,0))</f>
        <v>1.35</v>
      </c>
      <c r="BN113" s="27">
        <f t="shared" si="31"/>
        <v>0.9105</v>
      </c>
      <c r="BO113" s="27">
        <f t="shared" si="32"/>
        <v>0</v>
      </c>
      <c r="BP113" s="27">
        <f>IF(VLOOKUP($Q113,武学奇术!$A:$ZZ,22,FALSE)=1,0,(1-$BI113))*(1-$BL113)</f>
        <v>0</v>
      </c>
      <c r="BQ113" s="27" cm="1">
        <f t="array" ref="BQ113">SUM(_xlfn.XLOOKUP(R113:AF113,增益!$A:$A,增益!$W:$W,0))+$I$5</f>
        <v>0.31</v>
      </c>
    </row>
    <row r="114" spans="1:69">
      <c r="A114" s="4" t="s">
        <v>184</v>
      </c>
      <c r="B114" s="91">
        <v>0.83</v>
      </c>
      <c r="F114" s="40"/>
      <c r="K114" s="39">
        <f t="shared" si="33"/>
        <v>66967.0645826074</v>
      </c>
      <c r="L114" s="39">
        <f>((($AN114+($AO114-$AN114)*IF(VLOOKUP($Q114,武学奇术!$A:$ZZ,31,FALSE)=1,$F$18,0.5))*$AH114+$AI114)*(1+$AP114)*(1+$AQ114)+(($AS114+($AT114-$AS114)*IF(VLOOKUP($Q114,武学奇术!$A:$ZZ,31,FALSE)=1,$F$18,0.5))*IF($G$1="鸣金",$AJ114,$AH114)+IF($G$1="鸣金",$AK114*1.5,0))*(1+$AU114)*(1+$AV114)+(($AW114+($AX114-$AW114)*IF(VLOOKUP($Q114,武学奇术!$A:$ZZ,31,FALSE)=1,$F$18,0.5))*IF($G$1="裂石",$AJ114,$AH114)+IF($G$1="裂石",$AK114*1.5,0))*(1+$AY114)*(1+$AZ114)+(($BA114+($BB114-$BA114)*IF(VLOOKUP($Q114,武学奇术!$A:$ZZ,31,FALSE)=1,$F$18,0.5))*IF($G$1="牵丝",$AJ114,$AH114)+IF($G$1="牵丝",$AK114*1.5,0))*(1+$BC114)*(1+$BD114)+(($BE114+($BF114-$BE114)*IF(VLOOKUP($Q114,武学奇术!$A:$ZZ,31,FALSE)=1,$F$18,0.5))*IF($G$1="破竹",$AJ114,$AH114)+IF($G$1="破竹",$AK114*1.5,0))*(1+$BG114)*(1+$BH114))*(1+$AL114)*$BK114*$P114*(1+IF(VLOOKUP($Q114,武学奇术!$A:$ZZ,30,FALSE)="蓄力技",$B$21,0))*(1+$BQ114)</f>
        <v>68256.1601752962</v>
      </c>
      <c r="M114" s="39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蓄力技",$B$21,0))*(1+$BQ114)</f>
        <v>53852.8574636896</v>
      </c>
      <c r="N114" s="39">
        <f>((($AN114+($AO114-$AN114)*IF(VLOOKUP($Q114,武学奇术!$A:$ZZ,31,FALSE)=1,$F$18,0.5))*$AH114+$AI114)*(1+$AP114)*(1+$AQ114)+(($AS114+($AT114-$AS114)*IF(VLOOKUP($Q114,武学奇术!$A:$ZZ,31,FALSE)=1,$F$18,0.5))*IF($G$1="鸣金",$AJ114,$AH114)+IF($G$1="鸣金",$AK114*1.5,0))*(1+$AU114)*(1+$AV114)+(($AW114+($AX114-$AW114)*IF(VLOOKUP($Q114,武学奇术!$A:$ZZ,31,FALSE)=1,$F$18,0.5))*IF($G$1="裂石",$AJ114,$AH114)+IF($G$1="裂石",$AK114*1.5,0))*(1+$AY114)*(1+$AZ114)+(($BA114+($BB114-$BA114)*IF(VLOOKUP($Q114,武学奇术!$A:$ZZ,31,FALSE)=1,$F$18,0.5))*IF($G$1="牵丝",$AJ114,$AH114)+IF($G$1="牵丝",$AK114*1.5,0))*(1+$BC114)*(1+$BD114)+(($BE114+($BF114-$BE114)*IF(VLOOKUP($Q114,武学奇术!$A:$ZZ,31,FALSE)=1,$F$18,0.5))*IF($G$1="破竹",$AJ114,$AH114)+IF($G$1="破竹",$AK114*1.5,0))*(1+$BG114)*(1+$BH114))*(1+$AL114)*$P114*(1+IF(VLOOKUP($Q114,武学奇术!$A:$ZZ,30,FALSE)="蓄力技",$B$21,0))*(1+$BQ114)</f>
        <v>35183.5877192248</v>
      </c>
      <c r="O114" s="39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蓄力技",$B$21,0))*(1+$BQ114)</f>
        <v>30476.1699097907</v>
      </c>
      <c r="P114" s="40">
        <v>1</v>
      </c>
      <c r="Q114" s="41" t="s">
        <v>149</v>
      </c>
      <c r="R114" s="41" t="s">
        <v>93</v>
      </c>
      <c r="S114" s="41" t="s">
        <v>72</v>
      </c>
      <c r="T114" s="41" t="s">
        <v>119</v>
      </c>
      <c r="U114" s="41" t="s">
        <v>72</v>
      </c>
      <c r="V114" s="41" t="s">
        <v>176</v>
      </c>
      <c r="W114" s="41" t="s">
        <v>177</v>
      </c>
      <c r="X114" s="41" t="s">
        <v>165</v>
      </c>
      <c r="Y114" s="41" t="s">
        <v>81</v>
      </c>
      <c r="Z114" s="41" t="s">
        <v>101</v>
      </c>
      <c r="AA114" s="41" t="s">
        <v>72</v>
      </c>
      <c r="AB114" s="41" t="s">
        <v>72</v>
      </c>
      <c r="AC114" s="41" t="s">
        <v>72</v>
      </c>
      <c r="AD114" s="41" t="s">
        <v>72</v>
      </c>
      <c r="AE114" s="41" t="s">
        <v>75</v>
      </c>
      <c r="AF114" s="41" t="s">
        <v>76</v>
      </c>
      <c r="AG114" t="str">
        <f>VLOOKUP($Q114,武学奇术!$A:$ZZ,25,FALSE)</f>
        <v>绳镖</v>
      </c>
      <c r="AH114" s="27">
        <f>VLOOKUP($Q114,武学奇术!$A:$ZZ,26,FALSE)</f>
        <v>1.9448</v>
      </c>
      <c r="AI114" s="28">
        <f>VLOOKUP($Q114,武学奇术!$A:$ZZ,27,FALSE)*(1+IF(OR($AG114=$F$4,$AG114=$F$5),$B$22,0))</f>
        <v>0</v>
      </c>
      <c r="AJ114" s="27">
        <f>VLOOKUP($Q114,武学奇术!$A:$ZZ,28,FALSE)</f>
        <v>2.9172</v>
      </c>
      <c r="AK114" s="28">
        <f>VLOOKUP($Q114,武学奇术!$A:$ZZ,29,FALSE)*(1+IF(OR($AG114=$F$4,$AG114=$F$5),$B$22,0))</f>
        <v>0</v>
      </c>
      <c r="AL114" s="27" cm="1">
        <f t="array" ref="AL114">$G$3+IFERROR(VLOOKUP($AG114,$F$4:$G$7,2,FALSE),0)+VLOOKUP($Q114,武学奇术!$A:$ZZ,2,FALSE)+SUM(_xlfn.XLOOKUP($R114:$AF114,增益!$A:$A,增益!$B:$B,0))</f>
        <v>0.7689</v>
      </c>
      <c r="AM114" s="27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3804.006</v>
      </c>
      <c r="AO114" cm="1">
        <f t="array" ref="AO114">$E$10*(1+$AM114)+VLOOKUP($Q114,武学奇术!$A:$ZZ,4,FALSE)+SUM(_xlfn.XLOOKUP($R114:$AF114,增益!$A:$A,增益!$D:$D,0))-$I$2</f>
        <v>3804.006</v>
      </c>
      <c r="AP114" s="33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0.347</v>
      </c>
      <c r="AQ114" s="33" cm="1">
        <f t="array" ref="AQ114">$G$10+VLOOKUP($Q114,武学奇术!$A:$ZZ,7,FALSE)+SUM(_xlfn.XLOOKUP(R114:AF114,增益!$A:$A,增益!$G:$G,0))</f>
        <v>0.09</v>
      </c>
      <c r="AR114" s="27" cm="1">
        <f t="array" ref="AR114">VLOOKUP($Q114,武学奇术!$A:$ZZ,8,FALSE)+SUM(_xlfn.XLOOKUP(R114:AF114,增益!$A:$A,增益!$H:$H,0))</f>
        <v>0</v>
      </c>
      <c r="AS114">
        <f t="shared" si="34"/>
        <v>0</v>
      </c>
      <c r="AT114">
        <f t="shared" si="35"/>
        <v>0</v>
      </c>
      <c r="AU114" s="33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-0.08</v>
      </c>
      <c r="AV114" s="33" cm="1">
        <f t="array" ref="AV114">$G$11+VLOOKUP($Q114,武学奇术!$A:$ZZ,10,FALSE)+SUM(_xlfn.XLOOKUP(R114:AF114,增益!$A:$A,增益!$J:$J,0))</f>
        <v>0.1</v>
      </c>
      <c r="AW114">
        <f t="shared" si="36"/>
        <v>0</v>
      </c>
      <c r="AX114">
        <f t="shared" si="37"/>
        <v>0</v>
      </c>
      <c r="AY114" s="33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-0.08</v>
      </c>
      <c r="AZ114" s="33" cm="1">
        <f t="array" ref="AZ114">$G$12+VLOOKUP($Q114,武学奇术!$A:$ZZ,12,FALSE)+SUM(_xlfn.XLOOKUP(R114:AF114,增益!$A:$A,增益!$L:$L,0))</f>
        <v>0</v>
      </c>
      <c r="BA114">
        <f t="shared" si="38"/>
        <v>0</v>
      </c>
      <c r="BB114">
        <f t="shared" si="39"/>
        <v>0</v>
      </c>
      <c r="BC114" s="33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-0.08</v>
      </c>
      <c r="BD114" s="33" cm="1">
        <f t="array" ref="BD114">$G$13+VLOOKUP($Q114,武学奇术!$A:$ZZ,14,FALSE)+SUM(_xlfn.XLOOKUP(R114:AF114,增益!$A:$A,增益!$N:$N,0))</f>
        <v>0</v>
      </c>
      <c r="BE114">
        <f t="shared" si="40"/>
        <v>570.28</v>
      </c>
      <c r="BF114">
        <f t="shared" si="41"/>
        <v>1582.156</v>
      </c>
      <c r="BG114" s="33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0.11</v>
      </c>
      <c r="BH114" s="33" cm="1">
        <f t="array" ref="BH114">$G$14+VLOOKUP($Q114,武学奇术!$A:$ZZ,16,FALSE)+SUM(_xlfn.XLOOKUP(R114:AF114,增益!$A:$A,增益!$P:$P,0))</f>
        <v>0.24</v>
      </c>
      <c r="BI114" s="27">
        <f>MIN(IF(VLOOKUP($Q114,武学奇术!$A:$ZZ,23,FALSE)=1,100%,$B$8),100%)</f>
        <v>1</v>
      </c>
      <c r="BJ114" s="27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+MIN(IF(VLOOKUP($Q114,武学奇术!$A:$ZZ,32,FALSE)=1,IF(VLOOKUP($Q114,武学奇术!$A:$ZZ,24,FALSE)=1,100%,MIN(40%,$B$10+VLOOKUP($Q114,武学奇术!$A:$ZZ,19,FALSE)+SUM(_xlfn.XLOOKUP(R114:AF114,增益!$A:$A,增益!$S:$S,0)))+$B$12+SUM(_xlfn.XLOOKUP(R114:AF114,增益!$A:$A,增益!$V:$V,0))),0),12%)</f>
        <v>0.918</v>
      </c>
      <c r="BK114" s="27" cm="1">
        <f t="array" ref="BK114">1+$B$13+VLOOKUP($Q114,武学奇术!$A:$ZZ,18,FALSE)+SUM(_xlfn.XLOOKUP(R114:AF114,增益!$A:$A,增益!$R:$R,0))</f>
        <v>1.94</v>
      </c>
      <c r="BL114" s="27" cm="1">
        <f t="array" ref="BL114">MAX(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-IF(VLOOKUP($Q114,武学奇术!$A:$ZZ,32,FALSE)=1,12%,0),0)</f>
        <v>0.0895</v>
      </c>
      <c r="BM114" s="27" cm="1">
        <f t="array" ref="BM114">1+$B$14+VLOOKUP($Q114,武学奇术!$A:$ZZ,20,FALSE)+SUM(_xlfn.XLOOKUP(R114:AF114,增益!$A:$A,增益!$T:$T,0))</f>
        <v>1.35</v>
      </c>
      <c r="BN114" s="27">
        <f t="shared" si="31"/>
        <v>0.9105</v>
      </c>
      <c r="BO114" s="27">
        <f t="shared" si="32"/>
        <v>0</v>
      </c>
      <c r="BP114" s="27">
        <f>IF(VLOOKUP($Q114,武学奇术!$A:$ZZ,22,FALSE)=1,0,(1-$BI114))*(1-$BL114)</f>
        <v>0</v>
      </c>
      <c r="BQ114" s="27" cm="1">
        <f t="array" ref="BQ114">SUM(_xlfn.XLOOKUP(R114:AF114,增益!$A:$A,增益!$W:$W,0))+$I$5</f>
        <v>0.31</v>
      </c>
    </row>
    <row r="115" spans="1:69">
      <c r="A115" s="4" t="s">
        <v>166</v>
      </c>
      <c r="B115" s="91">
        <v>1.16</v>
      </c>
      <c r="F115" s="40"/>
      <c r="G115">
        <v>18</v>
      </c>
      <c r="K115" s="39">
        <f t="shared" si="33"/>
        <v>14623.5617438215</v>
      </c>
      <c r="L115" s="39">
        <f>((($AN115+($AO115-$AN115)*IF(VLOOKUP($Q115,武学奇术!$A:$ZZ,31,FALSE)=1,$F$18,0.5))*$AH115+$AI115)*(1+$AP115)*(1+$AQ115)+(($AS115+($AT115-$AS115)*IF(VLOOKUP($Q115,武学奇术!$A:$ZZ,31,FALSE)=1,$F$18,0.5))*IF($G$1="鸣金",$AJ115,$AH115)+IF($G$1="鸣金",$AK115*1.5,0))*(1+$AU115)*(1+$AV115)+(($AW115+($AX115-$AW115)*IF(VLOOKUP($Q115,武学奇术!$A:$ZZ,31,FALSE)=1,$F$18,0.5))*IF($G$1="裂石",$AJ115,$AH115)+IF($G$1="裂石",$AK115*1.5,0))*(1+$AY115)*(1+$AZ115)+(($BA115+($BB115-$BA115)*IF(VLOOKUP($Q115,武学奇术!$A:$ZZ,31,FALSE)=1,$F$18,0.5))*IF($G$1="牵丝",$AJ115,$AH115)+IF($G$1="牵丝",$AK115*1.5,0))*(1+$BC115)*(1+$BD115)+(($BE115+($BF115-$BE115)*IF(VLOOKUP($Q115,武学奇术!$A:$ZZ,31,FALSE)=1,$F$18,0.5))*IF($G$1="破竹",$AJ115,$AH115)+IF($G$1="破竹",$AK115*1.5,0))*(1+$BG115)*(1+$BH115))*(1+$AL115)*$BK115*$P115*(1+IF(VLOOKUP($Q115,武学奇术!$A:$ZZ,30,FALSE)="蓄力技",$B$21,0))*(1+$BQ115)</f>
        <v>14898.9910138704</v>
      </c>
      <c r="M115" s="39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蓄力技",$B$21,0))*(1+$BQ115)</f>
        <v>11821.5690021515</v>
      </c>
      <c r="N115" s="39">
        <f>((($AN115+($AO115-$AN115)*IF(VLOOKUP($Q115,武学奇术!$A:$ZZ,31,FALSE)=1,$F$18,0.5))*$AH115+$AI115)*(1+$AP115)*(1+$AQ115)+(($AS115+($AT115-$AS115)*IF(VLOOKUP($Q115,武学奇术!$A:$ZZ,31,FALSE)=1,$F$18,0.5))*IF($G$1="鸣金",$AJ115,$AH115)+IF($G$1="鸣金",$AK115*1.5,0))*(1+$AU115)*(1+$AV115)+(($AW115+($AX115-$AW115)*IF(VLOOKUP($Q115,武学奇术!$A:$ZZ,31,FALSE)=1,$F$18,0.5))*IF($G$1="裂石",$AJ115,$AH115)+IF($G$1="裂石",$AK115*1.5,0))*(1+$AY115)*(1+$AZ115)+(($BA115+($BB115-$BA115)*IF(VLOOKUP($Q115,武学奇术!$A:$ZZ,31,FALSE)=1,$F$18,0.5))*IF($G$1="牵丝",$AJ115,$AH115)+IF($G$1="牵丝",$AK115*1.5,0))*(1+$BC115)*(1+$BD115)+(($BE115+($BF115-$BE115)*IF(VLOOKUP($Q115,武学奇术!$A:$ZZ,31,FALSE)=1,$F$18,0.5))*IF($G$1="破竹",$AJ115,$AH115)+IF($G$1="破竹",$AK115*1.5,0))*(1+$BG115)*(1+$BH115))*(1+$AL115)*$P115*(1+IF(VLOOKUP($Q115,武学奇术!$A:$ZZ,30,FALSE)="蓄力技",$B$21,0))*(1+$BQ115)</f>
        <v>7883.06402850285</v>
      </c>
      <c r="O115" s="39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蓄力技",$B$21,0))*(1+$BQ115)</f>
        <v>7009.41027763419</v>
      </c>
      <c r="P115" s="40">
        <v>1</v>
      </c>
      <c r="Q115" s="41" t="s">
        <v>96</v>
      </c>
      <c r="R115" s="41" t="s">
        <v>93</v>
      </c>
      <c r="S115" s="41" t="s">
        <v>118</v>
      </c>
      <c r="T115" s="41" t="s">
        <v>72</v>
      </c>
      <c r="U115" s="41" t="s">
        <v>72</v>
      </c>
      <c r="V115" s="41" t="s">
        <v>176</v>
      </c>
      <c r="W115" s="41" t="s">
        <v>177</v>
      </c>
      <c r="X115" s="41" t="s">
        <v>165</v>
      </c>
      <c r="Y115" s="41" t="s">
        <v>81</v>
      </c>
      <c r="Z115" s="41" t="s">
        <v>72</v>
      </c>
      <c r="AA115" s="41" t="s">
        <v>72</v>
      </c>
      <c r="AB115" s="41" t="s">
        <v>72</v>
      </c>
      <c r="AC115" s="41" t="s">
        <v>72</v>
      </c>
      <c r="AD115" s="41" t="s">
        <v>72</v>
      </c>
      <c r="AE115" s="41" t="s">
        <v>75</v>
      </c>
      <c r="AF115" s="41" t="s">
        <v>76</v>
      </c>
      <c r="AG115" t="str">
        <f>VLOOKUP($Q115,武学奇术!$A:$ZZ,25,FALSE)</f>
        <v>绳镖</v>
      </c>
      <c r="AH115" s="27">
        <f>VLOOKUP($Q115,武学奇术!$A:$ZZ,26,FALSE)</f>
        <v>0.4975</v>
      </c>
      <c r="AI115" s="28">
        <f>VLOOKUP($Q115,武学奇术!$A:$ZZ,27,FALSE)*(1+IF(OR($AG115=$F$4,$AG115=$F$5),$B$22,0))</f>
        <v>191.8</v>
      </c>
      <c r="AJ115" s="27">
        <f>VLOOKUP($Q115,武学奇术!$A:$ZZ,28,FALSE)</f>
        <v>0.7463</v>
      </c>
      <c r="AK115" s="28">
        <f>VLOOKUP($Q115,武学奇术!$A:$ZZ,29,FALSE)*(1+IF(OR($AG115=$F$4,$AG115=$F$5),$B$22,0))</f>
        <v>105</v>
      </c>
      <c r="AL115" s="27" cm="1">
        <f t="array" ref="AL115">$G$3+IFERROR(VLOOKUP($AG115,$F$4:$G$7,2,FALSE),0)+VLOOKUP($Q115,武学奇术!$A:$ZZ,2,FALSE)+SUM(_xlfn.XLOOKUP($R115:$AF115,增益!$A:$A,增益!$B:$B,0))</f>
        <v>0.3189</v>
      </c>
      <c r="AM115" s="27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3804.006</v>
      </c>
      <c r="AO115" cm="1">
        <f t="array" ref="AO115">$E$10*(1+$AM115)+VLOOKUP($Q115,武学奇术!$A:$ZZ,4,FALSE)+SUM(_xlfn.XLOOKUP($R115:$AF115,增益!$A:$A,增益!$D:$D,0))-$I$2</f>
        <v>3804.006</v>
      </c>
      <c r="AP115" s="33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0.442</v>
      </c>
      <c r="AQ115" s="33" cm="1">
        <f t="array" ref="AQ115">$G$10+VLOOKUP($Q115,武学奇术!$A:$ZZ,7,FALSE)+SUM(_xlfn.XLOOKUP(R115:AF115,增益!$A:$A,增益!$G:$G,0))</f>
        <v>0.09</v>
      </c>
      <c r="AR115" s="27" cm="1">
        <f t="array" ref="AR115">VLOOKUP($Q115,武学奇术!$A:$ZZ,8,FALSE)+SUM(_xlfn.XLOOKUP(R115:AF115,增益!$A:$A,增益!$H:$H,0))</f>
        <v>0</v>
      </c>
      <c r="AS115">
        <f t="shared" si="34"/>
        <v>0</v>
      </c>
      <c r="AT115">
        <f t="shared" si="35"/>
        <v>0</v>
      </c>
      <c r="AU115" s="33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-0.14</v>
      </c>
      <c r="AV115" s="33" cm="1">
        <f t="array" ref="AV115">$G$11+VLOOKUP($Q115,武学奇术!$A:$ZZ,10,FALSE)+SUM(_xlfn.XLOOKUP(R115:AF115,增益!$A:$A,增益!$J:$J,0))</f>
        <v>0.1</v>
      </c>
      <c r="AW115">
        <f t="shared" si="36"/>
        <v>0</v>
      </c>
      <c r="AX115">
        <f t="shared" si="37"/>
        <v>0</v>
      </c>
      <c r="AY115" s="33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-0.14</v>
      </c>
      <c r="AZ115" s="33" cm="1">
        <f t="array" ref="AZ115">$G$12+VLOOKUP($Q115,武学奇术!$A:$ZZ,12,FALSE)+SUM(_xlfn.XLOOKUP(R115:AF115,增益!$A:$A,增益!$L:$L,0))</f>
        <v>0</v>
      </c>
      <c r="BA115">
        <f t="shared" si="38"/>
        <v>0</v>
      </c>
      <c r="BB115">
        <f t="shared" si="39"/>
        <v>0</v>
      </c>
      <c r="BC115" s="33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-0.14</v>
      </c>
      <c r="BD115" s="33" cm="1">
        <f t="array" ref="BD115">$G$13+VLOOKUP($Q115,武学奇术!$A:$ZZ,14,FALSE)+SUM(_xlfn.XLOOKUP(R115:AF115,增益!$A:$A,增益!$N:$N,0))</f>
        <v>0</v>
      </c>
      <c r="BE115">
        <f t="shared" si="40"/>
        <v>570.28</v>
      </c>
      <c r="BF115">
        <f t="shared" si="41"/>
        <v>1582.156</v>
      </c>
      <c r="BG115" s="33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0.08</v>
      </c>
      <c r="BH115" s="33" cm="1">
        <f t="array" ref="BH115">$G$14+VLOOKUP($Q115,武学奇术!$A:$ZZ,16,FALSE)+SUM(_xlfn.XLOOKUP(R115:AF115,增益!$A:$A,增益!$P:$P,0))</f>
        <v>0.24</v>
      </c>
      <c r="BI115" s="27">
        <f>MIN(IF(VLOOKUP($Q115,武学奇术!$A:$ZZ,23,FALSE)=1,100%,$B$8),100%)</f>
        <v>1</v>
      </c>
      <c r="BJ115" s="27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+MIN(IF(VLOOKUP($Q115,武学奇术!$A:$ZZ,32,FALSE)=1,IF(VLOOKUP($Q115,武学奇术!$A:$ZZ,24,FALSE)=1,100%,MIN(40%,$B$10+VLOOKUP($Q115,武学奇术!$A:$ZZ,19,FALSE)+SUM(_xlfn.XLOOKUP(R115:AF115,增益!$A:$A,增益!$S:$S,0)))+$B$12+SUM(_xlfn.XLOOKUP(R115:AF115,增益!$A:$A,增益!$V:$V,0))),0),12%)</f>
        <v>0.918</v>
      </c>
      <c r="BK115" s="27" cm="1">
        <f t="array" ref="BK115">1+$B$13+VLOOKUP($Q115,武学奇术!$A:$ZZ,18,FALSE)+SUM(_xlfn.XLOOKUP(R115:AF115,增益!$A:$A,增益!$R:$R,0))</f>
        <v>1.89</v>
      </c>
      <c r="BL115" s="27" cm="1">
        <f t="array" ref="BL115">MAX(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-IF(VLOOKUP($Q115,武学奇术!$A:$ZZ,32,FALSE)=1,12%,0),0)</f>
        <v>0.0895</v>
      </c>
      <c r="BM115" s="27" cm="1">
        <f t="array" ref="BM115">1+$B$14+VLOOKUP($Q115,武学奇术!$A:$ZZ,20,FALSE)+SUM(_xlfn.XLOOKUP(R115:AF115,增益!$A:$A,增益!$T:$T,0))</f>
        <v>1.35</v>
      </c>
      <c r="BN115" s="27">
        <f t="shared" si="31"/>
        <v>0.9105</v>
      </c>
      <c r="BO115" s="27">
        <f t="shared" si="32"/>
        <v>0</v>
      </c>
      <c r="BP115" s="27">
        <f>IF(VLOOKUP($Q115,武学奇术!$A:$ZZ,22,FALSE)=1,0,(1-$BI115))*(1-$BL115)</f>
        <v>0</v>
      </c>
      <c r="BQ115" s="27" cm="1">
        <f t="array" ref="BQ115">SUM(_xlfn.XLOOKUP(R115:AF115,增益!$A:$A,增益!$W:$W,0))+$I$5</f>
        <v>0.31</v>
      </c>
    </row>
    <row r="116" spans="1:69">
      <c r="A116" s="4" t="s">
        <v>188</v>
      </c>
      <c r="B116" s="91">
        <v>2</v>
      </c>
      <c r="C116" s="40" t="s">
        <v>119</v>
      </c>
      <c r="D116" s="40" t="s">
        <v>170</v>
      </c>
      <c r="K116" s="39">
        <f t="shared" si="33"/>
        <v>87766.4686992603</v>
      </c>
      <c r="L116" s="39">
        <f>((($AN116+($AO116-$AN116)*IF(VLOOKUP($Q116,武学奇术!$A:$ZZ,31,FALSE)=1,$F$18,0.5))*$AH116+$AI116)*(1+$AP116)*(1+$AQ116)+(($AS116+($AT116-$AS116)*IF(VLOOKUP($Q116,武学奇术!$A:$ZZ,31,FALSE)=1,$F$18,0.5))*IF($G$1="鸣金",$AJ116,$AH116)+IF($G$1="鸣金",$AK116*1.5,0))*(1+$AU116)*(1+$AV116)+(($AW116+($AX116-$AW116)*IF(VLOOKUP($Q116,武学奇术!$A:$ZZ,31,FALSE)=1,$F$18,0.5))*IF($G$1="裂石",$AJ116,$AH116)+IF($G$1="裂石",$AK116*1.5,0))*(1+$AY116)*(1+$AZ116)+(($BA116+($BB116-$BA116)*IF(VLOOKUP($Q116,武学奇术!$A:$ZZ,31,FALSE)=1,$F$18,0.5))*IF($G$1="牵丝",$AJ116,$AH116)+IF($G$1="牵丝",$AK116*1.5,0))*(1+$BC116)*(1+$BD116)+(($BE116+($BF116-$BE116)*IF(VLOOKUP($Q116,武学奇术!$A:$ZZ,31,FALSE)=1,$F$18,0.5))*IF($G$1="破竹",$AJ116,$AH116)+IF($G$1="破竹",$AK116*1.5,0))*(1+$BG116)*(1+$BH116))*(1+$AL116)*$BK116*$P116*(1+IF(VLOOKUP($Q116,武学奇术!$A:$ZZ,30,FALSE)="蓄力技",$B$21,0))*(1+$BQ116)</f>
        <v>90239.6329022476</v>
      </c>
      <c r="M116" s="39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蓄力技",$B$21,0))*(1+$BQ116)</f>
        <v>62606.5133157977</v>
      </c>
      <c r="N116" s="39">
        <f>((($AN116+($AO116-$AN116)*IF(VLOOKUP($Q116,武学奇术!$A:$ZZ,31,FALSE)=1,$F$18,0.5))*$AH116+$AI116)*(1+$AP116)*(1+$AQ116)+(($AS116+($AT116-$AS116)*IF(VLOOKUP($Q116,武学奇术!$A:$ZZ,31,FALSE)=1,$F$18,0.5))*IF($G$1="鸣金",$AJ116,$AH116)+IF($G$1="鸣金",$AK116*1.5,0))*(1+$AU116)*(1+$AV116)+(($AW116+($AX116-$AW116)*IF(VLOOKUP($Q116,武学奇术!$A:$ZZ,31,FALSE)=1,$F$18,0.5))*IF($G$1="裂石",$AJ116,$AH116)+IF($G$1="裂石",$AK116*1.5,0))*(1+$AY116)*(1+$AZ116)+(($BA116+($BB116-$BA116)*IF(VLOOKUP($Q116,武学奇术!$A:$ZZ,31,FALSE)=1,$F$18,0.5))*IF($G$1="牵丝",$AJ116,$AH116)+IF($G$1="牵丝",$AK116*1.5,0))*(1+$BC116)*(1+$BD116)+(($BE116+($BF116-$BE116)*IF(VLOOKUP($Q116,武学奇术!$A:$ZZ,31,FALSE)=1,$F$18,0.5))*IF($G$1="破竹",$AJ116,$AH116)+IF($G$1="破竹",$AK116*1.5,0))*(1+$BG116)*(1+$BH116))*(1+$AL116)*$P116*(1+IF(VLOOKUP($Q116,武学奇术!$A:$ZZ,30,FALSE)="蓄力技",$B$21,0))*(1+$BQ116)</f>
        <v>41205.3118275103</v>
      </c>
      <c r="O116" s="39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蓄力技",$B$21,0))*(1+$BQ116)</f>
        <v>36035.4286062816</v>
      </c>
      <c r="P116" s="40">
        <v>1</v>
      </c>
      <c r="Q116" s="41" t="s">
        <v>100</v>
      </c>
      <c r="R116" s="41" t="s">
        <v>93</v>
      </c>
      <c r="S116" s="41" t="s">
        <v>118</v>
      </c>
      <c r="T116" s="41" t="s">
        <v>72</v>
      </c>
      <c r="U116" s="41" t="s">
        <v>72</v>
      </c>
      <c r="V116" s="41" t="s">
        <v>176</v>
      </c>
      <c r="W116" s="41" t="s">
        <v>177</v>
      </c>
      <c r="X116" s="41" t="s">
        <v>165</v>
      </c>
      <c r="Y116" s="41" t="s">
        <v>81</v>
      </c>
      <c r="Z116" s="41" t="s">
        <v>101</v>
      </c>
      <c r="AA116" s="41" t="s">
        <v>72</v>
      </c>
      <c r="AB116" s="41" t="s">
        <v>72</v>
      </c>
      <c r="AC116" s="41" t="s">
        <v>72</v>
      </c>
      <c r="AD116" s="41" t="s">
        <v>72</v>
      </c>
      <c r="AE116" s="41" t="s">
        <v>75</v>
      </c>
      <c r="AF116" s="41" t="s">
        <v>76</v>
      </c>
      <c r="AG116" t="str">
        <f>VLOOKUP($Q116,武学奇术!$A:$ZZ,25,FALSE)</f>
        <v>绳镖</v>
      </c>
      <c r="AH116" s="27">
        <f>VLOOKUP($Q116,武学奇术!$A:$ZZ,26,FALSE)</f>
        <v>2.33376</v>
      </c>
      <c r="AI116" s="28">
        <f>VLOOKUP($Q116,武学奇术!$A:$ZZ,27,FALSE)*(1+IF(OR($AG116=$F$4,$AG116=$F$5),$B$22,0))</f>
        <v>0</v>
      </c>
      <c r="AJ116" s="27">
        <f>VLOOKUP($Q116,武学奇术!$A:$ZZ,28,FALSE)</f>
        <v>3.50064</v>
      </c>
      <c r="AK116" s="28">
        <f>VLOOKUP($Q116,武学奇术!$A:$ZZ,29,FALSE)*(1+IF(OR($AG116=$F$4,$AG116=$F$5),$B$22,0))</f>
        <v>0</v>
      </c>
      <c r="AL116" s="27" cm="1">
        <f t="array" ref="AL116">$G$3+IFERROR(VLOOKUP($AG116,$F$4:$G$7,2,FALSE),0)+VLOOKUP($Q116,武学奇术!$A:$ZZ,2,FALSE)+SUM(_xlfn.XLOOKUP($R116:$AF116,增益!$A:$A,增益!$B:$B,0))</f>
        <v>0.6189</v>
      </c>
      <c r="AM116" s="27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3804.006</v>
      </c>
      <c r="AO116" cm="1">
        <f t="array" ref="AO116">$E$10*(1+$AM116)+VLOOKUP($Q116,武学奇术!$A:$ZZ,4,FALSE)+SUM(_xlfn.XLOOKUP($R116:$AF116,增益!$A:$A,增益!$D:$D,0))-$I$2</f>
        <v>3804.006</v>
      </c>
      <c r="AP116" s="33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0.472</v>
      </c>
      <c r="AQ116" s="33" cm="1">
        <f t="array" ref="AQ116">$G$10+VLOOKUP($Q116,武学奇术!$A:$ZZ,7,FALSE)+SUM(_xlfn.XLOOKUP(R116:AF116,增益!$A:$A,增益!$G:$G,0))</f>
        <v>0.09</v>
      </c>
      <c r="AR116" s="27" cm="1">
        <f t="array" ref="AR116">VLOOKUP($Q116,武学奇术!$A:$ZZ,8,FALSE)+SUM(_xlfn.XLOOKUP(R116:AF116,增益!$A:$A,增益!$H:$H,0))</f>
        <v>0</v>
      </c>
      <c r="AS116">
        <f t="shared" si="34"/>
        <v>0</v>
      </c>
      <c r="AT116">
        <f t="shared" si="35"/>
        <v>0</v>
      </c>
      <c r="AU116" s="33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-0.08</v>
      </c>
      <c r="AV116" s="33" cm="1">
        <f t="array" ref="AV116">$G$11+VLOOKUP($Q116,武学奇术!$A:$ZZ,10,FALSE)+SUM(_xlfn.XLOOKUP(R116:AF116,增益!$A:$A,增益!$J:$J,0))</f>
        <v>0.1</v>
      </c>
      <c r="AW116">
        <f t="shared" si="36"/>
        <v>0</v>
      </c>
      <c r="AX116">
        <f t="shared" si="37"/>
        <v>0</v>
      </c>
      <c r="AY116" s="33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-0.08</v>
      </c>
      <c r="AZ116" s="33" cm="1">
        <f t="array" ref="AZ116">$G$12+VLOOKUP($Q116,武学奇术!$A:$ZZ,12,FALSE)+SUM(_xlfn.XLOOKUP(R116:AF116,增益!$A:$A,增益!$L:$L,0))</f>
        <v>0</v>
      </c>
      <c r="BA116">
        <f t="shared" si="38"/>
        <v>0</v>
      </c>
      <c r="BB116">
        <f t="shared" si="39"/>
        <v>0</v>
      </c>
      <c r="BC116" s="33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-0.08</v>
      </c>
      <c r="BD116" s="33" cm="1">
        <f t="array" ref="BD116">$G$13+VLOOKUP($Q116,武学奇术!$A:$ZZ,14,FALSE)+SUM(_xlfn.XLOOKUP(R116:AF116,增益!$A:$A,增益!$N:$N,0))</f>
        <v>0</v>
      </c>
      <c r="BE116">
        <f t="shared" si="40"/>
        <v>570.28</v>
      </c>
      <c r="BF116">
        <f t="shared" si="41"/>
        <v>1582.156</v>
      </c>
      <c r="BG116" s="33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0.11</v>
      </c>
      <c r="BH116" s="33" cm="1">
        <f t="array" ref="BH116">$G$14+VLOOKUP($Q116,武学奇术!$A:$ZZ,16,FALSE)+SUM(_xlfn.XLOOKUP(R116:AF116,增益!$A:$A,增益!$P:$P,0))</f>
        <v>0.24</v>
      </c>
      <c r="BI116" s="27">
        <f>MIN(IF(VLOOKUP($Q116,武学奇术!$A:$ZZ,23,FALSE)=1,100%,$B$8),100%)</f>
        <v>1</v>
      </c>
      <c r="BJ116" s="27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+MIN(IF(VLOOKUP($Q116,武学奇术!$A:$ZZ,32,FALSE)=1,IF(VLOOKUP($Q116,武学奇术!$A:$ZZ,24,FALSE)=1,100%,MIN(40%,$B$10+VLOOKUP($Q116,武学奇术!$A:$ZZ,19,FALSE)+SUM(_xlfn.XLOOKUP(R116:AF116,增益!$A:$A,增益!$S:$S,0)))+$B$12+SUM(_xlfn.XLOOKUP(R116:AF116,增益!$A:$A,增益!$V:$V,0))),0),12%)</f>
        <v>0.918</v>
      </c>
      <c r="BK116" s="27" cm="1">
        <f t="array" ref="BK116">1+$B$13+VLOOKUP($Q116,武学奇术!$A:$ZZ,18,FALSE)+SUM(_xlfn.XLOOKUP(R116:AF116,增益!$A:$A,增益!$R:$R,0))</f>
        <v>2.19</v>
      </c>
      <c r="BL116" s="27" cm="1">
        <f t="array" ref="BL116">MAX(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-IF(VLOOKUP($Q116,武学奇术!$A:$ZZ,32,FALSE)=1,12%,0),0)</f>
        <v>0.0895</v>
      </c>
      <c r="BM116" s="27" cm="1">
        <f t="array" ref="BM116">1+$B$14+VLOOKUP($Q116,武学奇术!$A:$ZZ,20,FALSE)+SUM(_xlfn.XLOOKUP(R116:AF116,增益!$A:$A,增益!$T:$T,0))</f>
        <v>1.35</v>
      </c>
      <c r="BN116" s="27">
        <f t="shared" si="31"/>
        <v>0.9105</v>
      </c>
      <c r="BO116" s="27">
        <f t="shared" si="32"/>
        <v>0</v>
      </c>
      <c r="BP116" s="27">
        <f>IF(VLOOKUP($Q116,武学奇术!$A:$ZZ,22,FALSE)=1,0,(1-$BI116))*(1-$BL116)</f>
        <v>0</v>
      </c>
      <c r="BQ116" s="27" cm="1">
        <f t="array" ref="BQ116">SUM(_xlfn.XLOOKUP(R116:AF116,增益!$A:$A,增益!$W:$W,0))+$I$5</f>
        <v>0.31</v>
      </c>
    </row>
    <row r="117" spans="1:69">
      <c r="A117" s="4" t="s">
        <v>171</v>
      </c>
      <c r="B117" s="91">
        <v>0.7</v>
      </c>
      <c r="C117" s="40"/>
      <c r="D117" s="40"/>
      <c r="K117" s="39">
        <f t="shared" si="33"/>
        <v>34442.9644384127</v>
      </c>
      <c r="L117" s="39">
        <f>((($AN117+($AO117-$AN117)*IF(VLOOKUP($Q117,武学奇术!$A:$ZZ,31,FALSE)=1,$F$18,0.5))*$AH117+$AI117)*(1+$AP117)*(1+$AQ117)+(($AS117+($AT117-$AS117)*IF(VLOOKUP($Q117,武学奇术!$A:$ZZ,31,FALSE)=1,$F$18,0.5))*IF($G$1="鸣金",$AJ117,$AH117)+IF($G$1="鸣金",$AK117*1.5,0))*(1+$AU117)*(1+$AV117)+(($AW117+($AX117-$AW117)*IF(VLOOKUP($Q117,武学奇术!$A:$ZZ,31,FALSE)=1,$F$18,0.5))*IF($G$1="裂石",$AJ117,$AH117)+IF($G$1="裂石",$AK117*1.5,0))*(1+$AY117)*(1+$AZ117)+(($BA117+($BB117-$BA117)*IF(VLOOKUP($Q117,武学奇术!$A:$ZZ,31,FALSE)=1,$F$18,0.5))*IF($G$1="牵丝",$AJ117,$AH117)+IF($G$1="牵丝",$AK117*1.5,0))*(1+$BC117)*(1+$BD117)+(($BE117+($BF117-$BE117)*IF(VLOOKUP($Q117,武学奇术!$A:$ZZ,31,FALSE)=1,$F$18,0.5))*IF($G$1="破竹",$AJ117,$AH117)+IF($G$1="破竹",$AK117*1.5,0))*(1+$BG117)*(1+$BH117))*(1+$AL117)*$BK117*$P117*(1+IF(VLOOKUP($Q117,武学奇术!$A:$ZZ,30,FALSE)="蓄力技",$B$21,0))*(1+$BQ117)</f>
        <v>35091.7472323179</v>
      </c>
      <c r="M117" s="39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蓄力技",$B$21,0))*(1+$BQ117)</f>
        <v>27842.7774680137</v>
      </c>
      <c r="N117" s="39">
        <f>((($AN117+($AO117-$AN117)*IF(VLOOKUP($Q117,武学奇术!$A:$ZZ,31,FALSE)=1,$F$18,0.5))*$AH117+$AI117)*(1+$AP117)*(1+$AQ117)+(($AS117+($AT117-$AS117)*IF(VLOOKUP($Q117,武学奇术!$A:$ZZ,31,FALSE)=1,$F$18,0.5))*IF($G$1="鸣金",$AJ117,$AH117)+IF($G$1="鸣金",$AK117*1.5,0))*(1+$AU117)*(1+$AV117)+(($AW117+($AX117-$AW117)*IF(VLOOKUP($Q117,武学奇术!$A:$ZZ,31,FALSE)=1,$F$18,0.5))*IF($G$1="裂石",$AJ117,$AH117)+IF($G$1="裂石",$AK117*1.5,0))*(1+$AY117)*(1+$AZ117)+(($BA117+($BB117-$BA117)*IF(VLOOKUP($Q117,武学奇术!$A:$ZZ,31,FALSE)=1,$F$18,0.5))*IF($G$1="牵丝",$AJ117,$AH117)+IF($G$1="牵丝",$AK117*1.5,0))*(1+$BC117)*(1+$BD117)+(($BE117+($BF117-$BE117)*IF(VLOOKUP($Q117,武学奇术!$A:$ZZ,31,FALSE)=1,$F$18,0.5))*IF($G$1="破竹",$AJ117,$AH117)+IF($G$1="破竹",$AK117*1.5,0))*(1+$BG117)*(1+$BH117))*(1+$AL117)*$P117*(1+IF(VLOOKUP($Q117,武学奇术!$A:$ZZ,30,FALSE)="蓄力技",$B$21,0))*(1+$BQ117)</f>
        <v>18567.0620276814</v>
      </c>
      <c r="O117" s="39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蓄力技",$B$21,0))*(1+$BQ117)</f>
        <v>16509.8444494268</v>
      </c>
      <c r="P117" s="40">
        <v>1</v>
      </c>
      <c r="Q117" s="41" t="s">
        <v>140</v>
      </c>
      <c r="R117" s="41" t="s">
        <v>93</v>
      </c>
      <c r="S117" s="41" t="s">
        <v>118</v>
      </c>
      <c r="T117" s="41" t="s">
        <v>72</v>
      </c>
      <c r="U117" s="41" t="s">
        <v>72</v>
      </c>
      <c r="V117" s="41" t="s">
        <v>176</v>
      </c>
      <c r="W117" s="41" t="s">
        <v>177</v>
      </c>
      <c r="X117" s="41" t="s">
        <v>165</v>
      </c>
      <c r="Y117" s="41" t="s">
        <v>81</v>
      </c>
      <c r="Z117" s="41" t="s">
        <v>72</v>
      </c>
      <c r="AA117" s="41" t="s">
        <v>72</v>
      </c>
      <c r="AB117" s="41" t="s">
        <v>72</v>
      </c>
      <c r="AC117" s="41" t="s">
        <v>72</v>
      </c>
      <c r="AD117" s="41" t="s">
        <v>72</v>
      </c>
      <c r="AE117" s="41" t="s">
        <v>75</v>
      </c>
      <c r="AF117" s="41" t="s">
        <v>76</v>
      </c>
      <c r="AG117" t="str">
        <f>VLOOKUP($Q117,武学奇术!$A:$ZZ,25,FALSE)</f>
        <v>拳甲</v>
      </c>
      <c r="AH117" s="27">
        <f>VLOOKUP($Q117,武学奇术!$A:$ZZ,26,FALSE)</f>
        <v>1.1005</v>
      </c>
      <c r="AI117" s="28">
        <f>VLOOKUP($Q117,武学奇术!$A:$ZZ,27,FALSE)*(1+IF(OR($AG117=$F$4,$AG117=$F$5),$B$22,0))</f>
        <v>427</v>
      </c>
      <c r="AJ117" s="27">
        <f>VLOOKUP($Q117,武学奇术!$A:$ZZ,28,FALSE)</f>
        <v>1.6507</v>
      </c>
      <c r="AK117" s="28">
        <f>VLOOKUP($Q117,武学奇术!$A:$ZZ,29,FALSE)*(1+IF(OR($AG117=$F$4,$AG117=$F$5),$B$22,0))</f>
        <v>231</v>
      </c>
      <c r="AL117" s="27" cm="1">
        <f t="array" ref="AL117">$G$3+IFERROR(VLOOKUP($AG117,$F$4:$G$7,2,FALSE),0)+VLOOKUP($Q117,武学奇术!$A:$ZZ,2,FALSE)+SUM(_xlfn.XLOOKUP($R117:$AF117,增益!$A:$A,增益!$B:$B,0))</f>
        <v>0.4041</v>
      </c>
      <c r="AM117" s="27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3804.006</v>
      </c>
      <c r="AO117" cm="1">
        <f t="array" ref="AO117">$E$10*(1+$AM117)+VLOOKUP($Q117,武学奇术!$A:$ZZ,4,FALSE)+SUM(_xlfn.XLOOKUP($R117:$AF117,增益!$A:$A,增益!$D:$D,0))-$I$2</f>
        <v>3804.006</v>
      </c>
      <c r="AP117" s="33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0.442</v>
      </c>
      <c r="AQ117" s="33" cm="1">
        <f t="array" ref="AQ117">$G$10+VLOOKUP($Q117,武学奇术!$A:$ZZ,7,FALSE)+SUM(_xlfn.XLOOKUP(R117:AF117,增益!$A:$A,增益!$G:$G,0))</f>
        <v>0.09</v>
      </c>
      <c r="AR117" s="27" cm="1">
        <f t="array" ref="AR117">VLOOKUP($Q117,武学奇术!$A:$ZZ,8,FALSE)+SUM(_xlfn.XLOOKUP(R117:AF117,增益!$A:$A,增益!$H:$H,0))</f>
        <v>0</v>
      </c>
      <c r="AS117">
        <f t="shared" si="34"/>
        <v>0</v>
      </c>
      <c r="AT117">
        <f t="shared" si="35"/>
        <v>0</v>
      </c>
      <c r="AU117" s="33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-0.14</v>
      </c>
      <c r="AV117" s="33" cm="1">
        <f t="array" ref="AV117">$G$11+VLOOKUP($Q117,武学奇术!$A:$ZZ,10,FALSE)+SUM(_xlfn.XLOOKUP(R117:AF117,增益!$A:$A,增益!$J:$J,0))</f>
        <v>0.1</v>
      </c>
      <c r="AW117">
        <f t="shared" si="36"/>
        <v>0</v>
      </c>
      <c r="AX117">
        <f t="shared" si="37"/>
        <v>0</v>
      </c>
      <c r="AY117" s="33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-0.14</v>
      </c>
      <c r="AZ117" s="33" cm="1">
        <f t="array" ref="AZ117">$G$12+VLOOKUP($Q117,武学奇术!$A:$ZZ,12,FALSE)+SUM(_xlfn.XLOOKUP(R117:AF117,增益!$A:$A,增益!$L:$L,0))</f>
        <v>0</v>
      </c>
      <c r="BA117">
        <f t="shared" si="38"/>
        <v>0</v>
      </c>
      <c r="BB117">
        <f t="shared" si="39"/>
        <v>0</v>
      </c>
      <c r="BC117" s="33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-0.14</v>
      </c>
      <c r="BD117" s="33" cm="1">
        <f t="array" ref="BD117">$G$13+VLOOKUP($Q117,武学奇术!$A:$ZZ,14,FALSE)+SUM(_xlfn.XLOOKUP(R117:AF117,增益!$A:$A,增益!$N:$N,0))</f>
        <v>0</v>
      </c>
      <c r="BE117">
        <f t="shared" si="40"/>
        <v>570.28</v>
      </c>
      <c r="BF117">
        <f t="shared" si="41"/>
        <v>1582.156</v>
      </c>
      <c r="BG117" s="33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0.08</v>
      </c>
      <c r="BH117" s="33" cm="1">
        <f t="array" ref="BH117">$G$14+VLOOKUP($Q117,武学奇术!$A:$ZZ,16,FALSE)+SUM(_xlfn.XLOOKUP(R117:AF117,增益!$A:$A,增益!$P:$P,0))</f>
        <v>0.24</v>
      </c>
      <c r="BI117" s="27">
        <f>MIN(IF(VLOOKUP($Q117,武学奇术!$A:$ZZ,23,FALSE)=1,100%,$B$8),100%)</f>
        <v>1</v>
      </c>
      <c r="BJ117" s="27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+MIN(IF(VLOOKUP($Q117,武学奇术!$A:$ZZ,32,FALSE)=1,IF(VLOOKUP($Q117,武学奇术!$A:$ZZ,24,FALSE)=1,100%,MIN(40%,$B$10+VLOOKUP($Q117,武学奇术!$A:$ZZ,19,FALSE)+SUM(_xlfn.XLOOKUP(R117:AF117,增益!$A:$A,增益!$S:$S,0)))+$B$12+SUM(_xlfn.XLOOKUP(R117:AF117,增益!$A:$A,增益!$V:$V,0))),0),12%)</f>
        <v>0.918</v>
      </c>
      <c r="BK117" s="27" cm="1">
        <f t="array" ref="BK117">1+$B$13+VLOOKUP($Q117,武学奇术!$A:$ZZ,18,FALSE)+SUM(_xlfn.XLOOKUP(R117:AF117,增益!$A:$A,增益!$R:$R,0))</f>
        <v>1.89</v>
      </c>
      <c r="BL117" s="27" cm="1">
        <f t="array" ref="BL117">MAX(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-IF(VLOOKUP($Q117,武学奇术!$A:$ZZ,32,FALSE)=1,12%,0),0)</f>
        <v>0.0895</v>
      </c>
      <c r="BM117" s="27" cm="1">
        <f t="array" ref="BM117">1+$B$14+VLOOKUP($Q117,武学奇术!$A:$ZZ,20,FALSE)+SUM(_xlfn.XLOOKUP(R117:AF117,增益!$A:$A,增益!$T:$T,0))</f>
        <v>1.35</v>
      </c>
      <c r="BN117" s="27">
        <f t="shared" si="31"/>
        <v>0.9105</v>
      </c>
      <c r="BO117" s="27">
        <f t="shared" si="32"/>
        <v>0</v>
      </c>
      <c r="BP117" s="27">
        <f>IF(VLOOKUP($Q117,武学奇术!$A:$ZZ,22,FALSE)=1,0,(1-$BI117))*(1-$BL117)</f>
        <v>0</v>
      </c>
      <c r="BQ117" s="27" cm="1">
        <f t="array" ref="BQ117">SUM(_xlfn.XLOOKUP(R117:AF117,增益!$A:$A,增益!$W:$W,0))+$I$5</f>
        <v>0.31</v>
      </c>
    </row>
    <row r="118" spans="1:69">
      <c r="A118" s="4" t="s">
        <v>172</v>
      </c>
      <c r="B118" s="4">
        <v>0.8</v>
      </c>
      <c r="C118" s="40"/>
      <c r="D118" s="40"/>
      <c r="K118" s="39">
        <f t="shared" si="33"/>
        <v>122567.231188265</v>
      </c>
      <c r="L118" s="39">
        <f>((($AN118+($AO118-$AN118)*IF(VLOOKUP($Q118,武学奇术!$A:$ZZ,31,FALSE)=1,$F$18,0.5))*$AH118+$AI118)*(1+$AP118)*(1+$AQ118)+(($AS118+($AT118-$AS118)*IF(VLOOKUP($Q118,武学奇术!$A:$ZZ,31,FALSE)=1,$F$18,0.5))*IF($G$1="鸣金",$AJ118,$AH118)+IF($G$1="鸣金",$AK118*1.5,0))*(1+$AU118)*(1+$AV118)+(($AW118+($AX118-$AW118)*IF(VLOOKUP($Q118,武学奇术!$A:$ZZ,31,FALSE)=1,$F$18,0.5))*IF($G$1="裂石",$AJ118,$AH118)+IF($G$1="裂石",$AK118*1.5,0))*(1+$AY118)*(1+$AZ118)+(($BA118+($BB118-$BA118)*IF(VLOOKUP($Q118,武学奇术!$A:$ZZ,31,FALSE)=1,$F$18,0.5))*IF($G$1="牵丝",$AJ118,$AH118)+IF($G$1="牵丝",$AK118*1.5,0))*(1+$BC118)*(1+$BD118)+(($BE118+($BF118-$BE118)*IF(VLOOKUP($Q118,武学奇术!$A:$ZZ,31,FALSE)=1,$F$18,0.5))*IF($G$1="破竹",$AJ118,$AH118)+IF($G$1="破竹",$AK118*1.5,0))*(1+$BG118)*(1+$BH118))*(1+$AL118)*$BK118*$P118*(1+IF(VLOOKUP($Q118,武学奇术!$A:$ZZ,30,FALSE)="蓄力技",$B$21,0))*(1+$BQ118)</f>
        <v>126121.509637954</v>
      </c>
      <c r="M118" s="39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蓄力技",$B$21,0))*(1+$BQ118)</f>
        <v>86408.9012615381</v>
      </c>
      <c r="N118" s="39">
        <f>((($AN118+($AO118-$AN118)*IF(VLOOKUP($Q118,武学奇术!$A:$ZZ,31,FALSE)=1,$F$18,0.5))*$AH118+$AI118)*(1+$AP118)*(1+$AQ118)+(($AS118+($AT118-$AS118)*IF(VLOOKUP($Q118,武学奇术!$A:$ZZ,31,FALSE)=1,$F$18,0.5))*IF($G$1="鸣金",$AJ118,$AH118)+IF($G$1="鸣金",$AK118*1.5,0))*(1+$AU118)*(1+$AV118)+(($AW118+($AX118-$AW118)*IF(VLOOKUP($Q118,武学奇术!$A:$ZZ,31,FALSE)=1,$F$18,0.5))*IF($G$1="裂石",$AJ118,$AH118)+IF($G$1="裂石",$AK118*1.5,0))*(1+$AY118)*(1+$AZ118)+(($BA118+($BB118-$BA118)*IF(VLOOKUP($Q118,武学奇术!$A:$ZZ,31,FALSE)=1,$F$18,0.5))*IF($G$1="牵丝",$AJ118,$AH118)+IF($G$1="牵丝",$AK118*1.5,0))*(1+$BC118)*(1+$BD118)+(($BE118+($BF118-$BE118)*IF(VLOOKUP($Q118,武学奇术!$A:$ZZ,31,FALSE)=1,$F$18,0.5))*IF($G$1="破竹",$AJ118,$AH118)+IF($G$1="破竹",$AK118*1.5,0))*(1+$BG118)*(1+$BH118))*(1+$AL118)*$P118*(1+IF(VLOOKUP($Q118,武学奇术!$A:$ZZ,30,FALSE)="蓄力技",$B$21,0))*(1+$BQ118)</f>
        <v>57589.7304282894</v>
      </c>
      <c r="O118" s="39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蓄力技",$B$21,0))*(1+$BQ118)</f>
        <v>51172.8673295136</v>
      </c>
      <c r="P118" s="40">
        <v>1</v>
      </c>
      <c r="Q118" s="41" t="s">
        <v>103</v>
      </c>
      <c r="R118" s="41" t="s">
        <v>93</v>
      </c>
      <c r="S118" s="41" t="s">
        <v>118</v>
      </c>
      <c r="T118" s="41" t="s">
        <v>72</v>
      </c>
      <c r="U118" s="41" t="s">
        <v>72</v>
      </c>
      <c r="V118" s="41" t="s">
        <v>176</v>
      </c>
      <c r="W118" s="41" t="s">
        <v>177</v>
      </c>
      <c r="X118" s="41" t="s">
        <v>165</v>
      </c>
      <c r="Y118" s="41" t="s">
        <v>81</v>
      </c>
      <c r="Z118" s="41" t="s">
        <v>101</v>
      </c>
      <c r="AA118" s="41" t="s">
        <v>72</v>
      </c>
      <c r="AB118" s="41" t="s">
        <v>72</v>
      </c>
      <c r="AC118" s="41" t="s">
        <v>72</v>
      </c>
      <c r="AD118" s="41" t="s">
        <v>72</v>
      </c>
      <c r="AE118" s="41" t="s">
        <v>75</v>
      </c>
      <c r="AF118" s="41" t="s">
        <v>76</v>
      </c>
      <c r="AG118" t="str">
        <f>VLOOKUP($Q118,武学奇术!$A:$ZZ,25,FALSE)</f>
        <v>拳甲</v>
      </c>
      <c r="AH118" s="27">
        <f>VLOOKUP($Q118,武学奇术!$A:$ZZ,26,FALSE)</f>
        <v>2.75166</v>
      </c>
      <c r="AI118" s="28">
        <f>VLOOKUP($Q118,武学奇术!$A:$ZZ,27,FALSE)*(1+IF(OR($AG118=$F$4,$AG118=$F$5),$B$22,0))</f>
        <v>1060.92</v>
      </c>
      <c r="AJ118" s="27">
        <f>VLOOKUP($Q118,武学奇术!$A:$ZZ,28,FALSE)</f>
        <v>4.12776</v>
      </c>
      <c r="AK118" s="28">
        <f>VLOOKUP($Q118,武学奇术!$A:$ZZ,29,FALSE)*(1+IF(OR($AG118=$F$4,$AG118=$F$5),$B$22,0))</f>
        <v>574.56</v>
      </c>
      <c r="AL118" s="27" cm="1">
        <f t="array" ref="AL118">$G$3+IFERROR(VLOOKUP($AG118,$F$4:$G$7,2,FALSE),0)+VLOOKUP($Q118,武学奇术!$A:$ZZ,2,FALSE)+SUM(_xlfn.XLOOKUP($R118:$AF118,增益!$A:$A,增益!$B:$B,0))</f>
        <v>0.7041</v>
      </c>
      <c r="AM118" s="27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3804.006</v>
      </c>
      <c r="AO118" cm="1">
        <f t="array" ref="AO118">$E$10*(1+$AM118)+VLOOKUP($Q118,武学奇术!$A:$ZZ,4,FALSE)+SUM(_xlfn.XLOOKUP($R118:$AF118,增益!$A:$A,增益!$D:$D,0))-$I$2</f>
        <v>3804.006</v>
      </c>
      <c r="AP118" s="33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0.472</v>
      </c>
      <c r="AQ118" s="33" cm="1">
        <f t="array" ref="AQ118">$G$10+VLOOKUP($Q118,武学奇术!$A:$ZZ,7,FALSE)+SUM(_xlfn.XLOOKUP(R118:AF118,增益!$A:$A,增益!$G:$G,0))</f>
        <v>0.09</v>
      </c>
      <c r="AR118" s="27" cm="1">
        <f t="array" ref="AR118">VLOOKUP($Q118,武学奇术!$A:$ZZ,8,FALSE)+SUM(_xlfn.XLOOKUP(R118:AF118,增益!$A:$A,增益!$H:$H,0))</f>
        <v>0</v>
      </c>
      <c r="AS118">
        <f t="shared" si="34"/>
        <v>0</v>
      </c>
      <c r="AT118">
        <f t="shared" si="35"/>
        <v>0</v>
      </c>
      <c r="AU118" s="33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-0.08</v>
      </c>
      <c r="AV118" s="33" cm="1">
        <f t="array" ref="AV118">$G$11+VLOOKUP($Q118,武学奇术!$A:$ZZ,10,FALSE)+SUM(_xlfn.XLOOKUP(R118:AF118,增益!$A:$A,增益!$J:$J,0))</f>
        <v>0.1</v>
      </c>
      <c r="AW118">
        <f t="shared" si="36"/>
        <v>0</v>
      </c>
      <c r="AX118">
        <f t="shared" si="37"/>
        <v>0</v>
      </c>
      <c r="AY118" s="33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-0.08</v>
      </c>
      <c r="AZ118" s="33" cm="1">
        <f t="array" ref="AZ118">$G$12+VLOOKUP($Q118,武学奇术!$A:$ZZ,12,FALSE)+SUM(_xlfn.XLOOKUP(R118:AF118,增益!$A:$A,增益!$L:$L,0))</f>
        <v>0</v>
      </c>
      <c r="BA118">
        <f t="shared" si="38"/>
        <v>0</v>
      </c>
      <c r="BB118">
        <f t="shared" si="39"/>
        <v>0</v>
      </c>
      <c r="BC118" s="33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-0.08</v>
      </c>
      <c r="BD118" s="33" cm="1">
        <f t="array" ref="BD118">$G$13+VLOOKUP($Q118,武学奇术!$A:$ZZ,14,FALSE)+SUM(_xlfn.XLOOKUP(R118:AF118,增益!$A:$A,增益!$N:$N,0))</f>
        <v>0</v>
      </c>
      <c r="BE118">
        <f t="shared" si="40"/>
        <v>570.28</v>
      </c>
      <c r="BF118">
        <f t="shared" si="41"/>
        <v>1582.156</v>
      </c>
      <c r="BG118" s="33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0.11</v>
      </c>
      <c r="BH118" s="33" cm="1">
        <f t="array" ref="BH118">$G$14+VLOOKUP($Q118,武学奇术!$A:$ZZ,16,FALSE)+SUM(_xlfn.XLOOKUP(R118:AF118,增益!$A:$A,增益!$P:$P,0))</f>
        <v>0.24</v>
      </c>
      <c r="BI118" s="27">
        <f>MIN(IF(VLOOKUP($Q118,武学奇术!$A:$ZZ,23,FALSE)=1,100%,$B$8),100%)</f>
        <v>1</v>
      </c>
      <c r="BJ118" s="27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+MIN(IF(VLOOKUP($Q118,武学奇术!$A:$ZZ,32,FALSE)=1,IF(VLOOKUP($Q118,武学奇术!$A:$ZZ,24,FALSE)=1,100%,MIN(40%,$B$10+VLOOKUP($Q118,武学奇术!$A:$ZZ,19,FALSE)+SUM(_xlfn.XLOOKUP(R118:AF118,增益!$A:$A,增益!$S:$S,0)))+$B$12+SUM(_xlfn.XLOOKUP(R118:AF118,增益!$A:$A,增益!$V:$V,0))),0),12%)</f>
        <v>0.918</v>
      </c>
      <c r="BK118" s="27" cm="1">
        <f t="array" ref="BK118">1+$B$13+VLOOKUP($Q118,武学奇术!$A:$ZZ,18,FALSE)+SUM(_xlfn.XLOOKUP(R118:AF118,增益!$A:$A,增益!$R:$R,0))</f>
        <v>2.19</v>
      </c>
      <c r="BL118" s="27" cm="1">
        <f t="array" ref="BL118">MAX(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-IF(VLOOKUP($Q118,武学奇术!$A:$ZZ,32,FALSE)=1,12%,0),0)</f>
        <v>0.0895</v>
      </c>
      <c r="BM118" s="27" cm="1">
        <f t="array" ref="BM118">1+$B$14+VLOOKUP($Q118,武学奇术!$A:$ZZ,20,FALSE)+SUM(_xlfn.XLOOKUP(R118:AF118,增益!$A:$A,增益!$T:$T,0))</f>
        <v>1.35</v>
      </c>
      <c r="BN118" s="27">
        <f t="shared" si="31"/>
        <v>0.9105</v>
      </c>
      <c r="BO118" s="27">
        <f t="shared" si="32"/>
        <v>0</v>
      </c>
      <c r="BP118" s="27">
        <f>IF(VLOOKUP($Q118,武学奇术!$A:$ZZ,22,FALSE)=1,0,(1-$BI118))*(1-$BL118)</f>
        <v>0</v>
      </c>
      <c r="BQ118" s="27" cm="1">
        <f t="array" ref="BQ118">SUM(_xlfn.XLOOKUP(R118:AF118,增益!$A:$A,增益!$W:$W,0))+$I$5</f>
        <v>0.31</v>
      </c>
    </row>
    <row r="119" spans="1:69">
      <c r="A119" s="4" t="s">
        <v>173</v>
      </c>
      <c r="B119" s="4">
        <v>2.15</v>
      </c>
      <c r="C119" s="40"/>
      <c r="D119" s="40"/>
      <c r="K119" s="39">
        <f t="shared" si="33"/>
        <v>40325.626118283</v>
      </c>
      <c r="L119" s="39">
        <f>((($AN119+($AO119-$AN119)*IF(VLOOKUP($Q119,武学奇术!$A:$ZZ,31,FALSE)=1,$F$18,0.5))*$AH119+$AI119)*(1+$AP119)*(1+$AQ119)+(($AS119+($AT119-$AS119)*IF(VLOOKUP($Q119,武学奇术!$A:$ZZ,31,FALSE)=1,$F$18,0.5))*IF($G$1="鸣金",$AJ119,$AH119)+IF($G$1="鸣金",$AK119*1.5,0))*(1+$AU119)*(1+$AV119)+(($AW119+($AX119-$AW119)*IF(VLOOKUP($Q119,武学奇术!$A:$ZZ,31,FALSE)=1,$F$18,0.5))*IF($G$1="裂石",$AJ119,$AH119)+IF($G$1="裂石",$AK119*1.5,0))*(1+$AY119)*(1+$AZ119)+(($BA119+($BB119-$BA119)*IF(VLOOKUP($Q119,武学奇术!$A:$ZZ,31,FALSE)=1,$F$18,0.5))*IF($G$1="牵丝",$AJ119,$AH119)+IF($G$1="牵丝",$AK119*1.5,0))*(1+$BC119)*(1+$BD119)+(($BE119+($BF119-$BE119)*IF(VLOOKUP($Q119,武学奇术!$A:$ZZ,31,FALSE)=1,$F$18,0.5))*IF($G$1="破竹",$AJ119,$AH119)+IF($G$1="破竹",$AK119*1.5,0))*(1+$BG119)*(1+$BH119))*(1+$AL119)*$BK119*$P119*(1+IF(VLOOKUP($Q119,武学奇术!$A:$ZZ,30,FALSE)="蓄力技",$B$21,0))*(1+$BQ119)</f>
        <v>41085.4228579994</v>
      </c>
      <c r="M119" s="39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蓄力技",$B$21,0))*(1+$BQ119)</f>
        <v>32596.0738108892</v>
      </c>
      <c r="N119" s="39">
        <f>((($AN119+($AO119-$AN119)*IF(VLOOKUP($Q119,武学奇术!$A:$ZZ,31,FALSE)=1,$F$18,0.5))*$AH119+$AI119)*(1+$AP119)*(1+$AQ119)+(($AS119+($AT119-$AS119)*IF(VLOOKUP($Q119,武学奇术!$A:$ZZ,31,FALSE)=1,$F$18,0.5))*IF($G$1="鸣金",$AJ119,$AH119)+IF($G$1="鸣金",$AK119*1.5,0))*(1+$AU119)*(1+$AV119)+(($AW119+($AX119-$AW119)*IF(VLOOKUP($Q119,武学奇术!$A:$ZZ,31,FALSE)=1,$F$18,0.5))*IF($G$1="裂石",$AJ119,$AH119)+IF($G$1="裂石",$AK119*1.5,0))*(1+$AY119)*(1+$AZ119)+(($BA119+($BB119-$BA119)*IF(VLOOKUP($Q119,武学奇术!$A:$ZZ,31,FALSE)=1,$F$18,0.5))*IF($G$1="牵丝",$AJ119,$AH119)+IF($G$1="牵丝",$AK119*1.5,0))*(1+$BC119)*(1+$BD119)+(($BE119+($BF119-$BE119)*IF(VLOOKUP($Q119,武学奇术!$A:$ZZ,31,FALSE)=1,$F$18,0.5))*IF($G$1="破竹",$AJ119,$AH119)+IF($G$1="破竹",$AK119*1.5,0))*(1+$BG119)*(1+$BH119))*(1+$AL119)*$P119*(1+IF(VLOOKUP($Q119,武学奇术!$A:$ZZ,30,FALSE)="蓄力技",$B$21,0))*(1+$BQ119)</f>
        <v>21738.3189724864</v>
      </c>
      <c r="O119" s="39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蓄力技",$B$21,0))*(1+$BQ119)</f>
        <v>19331.398085055</v>
      </c>
      <c r="P119" s="40">
        <v>1</v>
      </c>
      <c r="Q119" s="41" t="s">
        <v>106</v>
      </c>
      <c r="R119" s="41" t="s">
        <v>93</v>
      </c>
      <c r="S119" s="41" t="s">
        <v>118</v>
      </c>
      <c r="T119" s="41" t="s">
        <v>72</v>
      </c>
      <c r="U119" s="41" t="s">
        <v>72</v>
      </c>
      <c r="V119" s="41" t="s">
        <v>176</v>
      </c>
      <c r="W119" s="41" t="s">
        <v>177</v>
      </c>
      <c r="X119" s="41" t="s">
        <v>165</v>
      </c>
      <c r="Y119" s="41" t="s">
        <v>81</v>
      </c>
      <c r="Z119" s="41" t="s">
        <v>72</v>
      </c>
      <c r="AA119" s="41" t="s">
        <v>72</v>
      </c>
      <c r="AB119" s="41" t="s">
        <v>72</v>
      </c>
      <c r="AC119" s="41" t="s">
        <v>72</v>
      </c>
      <c r="AD119" s="41" t="s">
        <v>72</v>
      </c>
      <c r="AE119" s="41" t="s">
        <v>75</v>
      </c>
      <c r="AF119" s="41" t="s">
        <v>76</v>
      </c>
      <c r="AG119" t="str">
        <f>VLOOKUP($Q119,武学奇术!$A:$ZZ,25,FALSE)</f>
        <v>拳甲</v>
      </c>
      <c r="AH119" s="27">
        <f>VLOOKUP($Q119,武学奇术!$A:$ZZ,26,FALSE)</f>
        <v>1.2876</v>
      </c>
      <c r="AI119" s="28">
        <f>VLOOKUP($Q119,武学奇术!$A:$ZZ,27,FALSE)*(1+IF(OR($AG119=$F$4,$AG119=$F$5),$B$22,0))</f>
        <v>501.2</v>
      </c>
      <c r="AJ119" s="27">
        <f>VLOOKUP($Q119,武学奇术!$A:$ZZ,28,FALSE)</f>
        <v>1.9313</v>
      </c>
      <c r="AK119" s="28">
        <f>VLOOKUP($Q119,武学奇术!$A:$ZZ,29,FALSE)*(1+IF(OR($AG119=$F$4,$AG119=$F$5),$B$22,0))</f>
        <v>273</v>
      </c>
      <c r="AL119" s="27" cm="1">
        <f t="array" ref="AL119">$G$3+IFERROR(VLOOKUP($AG119,$F$4:$G$7,2,FALSE),0)+VLOOKUP($Q119,武学奇术!$A:$ZZ,2,FALSE)+SUM(_xlfn.XLOOKUP($R119:$AF119,增益!$A:$A,增益!$B:$B,0))</f>
        <v>0.4041</v>
      </c>
      <c r="AM119" s="27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3804.006</v>
      </c>
      <c r="AO119" cm="1">
        <f t="array" ref="AO119">$E$10*(1+$AM119)+VLOOKUP($Q119,武学奇术!$A:$ZZ,4,FALSE)+SUM(_xlfn.XLOOKUP($R119:$AF119,增益!$A:$A,增益!$D:$D,0))-$I$2</f>
        <v>3804.006</v>
      </c>
      <c r="AP119" s="33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0.442</v>
      </c>
      <c r="AQ119" s="33" cm="1">
        <f t="array" ref="AQ119">$G$10+VLOOKUP($Q119,武学奇术!$A:$ZZ,7,FALSE)+SUM(_xlfn.XLOOKUP(R119:AF119,增益!$A:$A,增益!$G:$G,0))</f>
        <v>0.09</v>
      </c>
      <c r="AR119" s="27" cm="1">
        <f t="array" ref="AR119">VLOOKUP($Q119,武学奇术!$A:$ZZ,8,FALSE)+SUM(_xlfn.XLOOKUP(R119:AF119,增益!$A:$A,增益!$H:$H,0))</f>
        <v>0</v>
      </c>
      <c r="AS119">
        <f t="shared" si="34"/>
        <v>0</v>
      </c>
      <c r="AT119">
        <f t="shared" si="35"/>
        <v>0</v>
      </c>
      <c r="AU119" s="33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-0.14</v>
      </c>
      <c r="AV119" s="33" cm="1">
        <f t="array" ref="AV119">$G$11+VLOOKUP($Q119,武学奇术!$A:$ZZ,10,FALSE)+SUM(_xlfn.XLOOKUP(R119:AF119,增益!$A:$A,增益!$J:$J,0))</f>
        <v>0.1</v>
      </c>
      <c r="AW119">
        <f t="shared" si="36"/>
        <v>0</v>
      </c>
      <c r="AX119">
        <f t="shared" si="37"/>
        <v>0</v>
      </c>
      <c r="AY119" s="33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-0.14</v>
      </c>
      <c r="AZ119" s="33" cm="1">
        <f t="array" ref="AZ119">$G$12+VLOOKUP($Q119,武学奇术!$A:$ZZ,12,FALSE)+SUM(_xlfn.XLOOKUP(R119:AF119,增益!$A:$A,增益!$L:$L,0))</f>
        <v>0</v>
      </c>
      <c r="BA119">
        <f t="shared" si="38"/>
        <v>0</v>
      </c>
      <c r="BB119">
        <f t="shared" si="39"/>
        <v>0</v>
      </c>
      <c r="BC119" s="33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-0.14</v>
      </c>
      <c r="BD119" s="33" cm="1">
        <f t="array" ref="BD119">$G$13+VLOOKUP($Q119,武学奇术!$A:$ZZ,14,FALSE)+SUM(_xlfn.XLOOKUP(R119:AF119,增益!$A:$A,增益!$N:$N,0))</f>
        <v>0</v>
      </c>
      <c r="BE119">
        <f t="shared" si="40"/>
        <v>570.28</v>
      </c>
      <c r="BF119">
        <f t="shared" si="41"/>
        <v>1582.156</v>
      </c>
      <c r="BG119" s="33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0.08</v>
      </c>
      <c r="BH119" s="33" cm="1">
        <f t="array" ref="BH119">$G$14+VLOOKUP($Q119,武学奇术!$A:$ZZ,16,FALSE)+SUM(_xlfn.XLOOKUP(R119:AF119,增益!$A:$A,增益!$P:$P,0))</f>
        <v>0.24</v>
      </c>
      <c r="BI119" s="27">
        <f>MIN(IF(VLOOKUP($Q119,武学奇术!$A:$ZZ,23,FALSE)=1,100%,$B$8),100%)</f>
        <v>1</v>
      </c>
      <c r="BJ119" s="27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+MIN(IF(VLOOKUP($Q119,武学奇术!$A:$ZZ,32,FALSE)=1,IF(VLOOKUP($Q119,武学奇术!$A:$ZZ,24,FALSE)=1,100%,MIN(40%,$B$10+VLOOKUP($Q119,武学奇术!$A:$ZZ,19,FALSE)+SUM(_xlfn.XLOOKUP(R119:AF119,增益!$A:$A,增益!$S:$S,0)))+$B$12+SUM(_xlfn.XLOOKUP(R119:AF119,增益!$A:$A,增益!$V:$V,0))),0),12%)</f>
        <v>0.918</v>
      </c>
      <c r="BK119" s="27" cm="1">
        <f t="array" ref="BK119">1+$B$13+VLOOKUP($Q119,武学奇术!$A:$ZZ,18,FALSE)+SUM(_xlfn.XLOOKUP(R119:AF119,增益!$A:$A,增益!$R:$R,0))</f>
        <v>1.89</v>
      </c>
      <c r="BL119" s="27" cm="1">
        <f t="array" ref="BL119">MAX(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-IF(VLOOKUP($Q119,武学奇术!$A:$ZZ,32,FALSE)=1,12%,0),0)</f>
        <v>0.0895</v>
      </c>
      <c r="BM119" s="27" cm="1">
        <f t="array" ref="BM119">1+$B$14+VLOOKUP($Q119,武学奇术!$A:$ZZ,20,FALSE)+SUM(_xlfn.XLOOKUP(R119:AF119,增益!$A:$A,增益!$T:$T,0))</f>
        <v>1.35</v>
      </c>
      <c r="BN119" s="27">
        <f t="shared" si="31"/>
        <v>0.9105</v>
      </c>
      <c r="BO119" s="27">
        <f t="shared" si="32"/>
        <v>0</v>
      </c>
      <c r="BP119" s="27">
        <f>IF(VLOOKUP($Q119,武学奇术!$A:$ZZ,22,FALSE)=1,0,(1-$BI119))*(1-$BL119)</f>
        <v>0</v>
      </c>
      <c r="BQ119" s="27" cm="1">
        <f t="array" ref="BQ119">SUM(_xlfn.XLOOKUP(R119:AF119,增益!$A:$A,增益!$W:$W,0))+$I$5</f>
        <v>0.31</v>
      </c>
    </row>
    <row r="120" spans="1:69">
      <c r="A120" s="4" t="s">
        <v>168</v>
      </c>
      <c r="B120" s="4">
        <v>1</v>
      </c>
      <c r="C120" s="40"/>
      <c r="D120" s="40" t="s">
        <v>181</v>
      </c>
      <c r="K120" s="39">
        <f t="shared" si="33"/>
        <v>92385.4711905673</v>
      </c>
      <c r="L120" s="39">
        <f>((($AN120+($AO120-$AN120)*IF(VLOOKUP($Q120,武学奇术!$A:$ZZ,31,FALSE)=1,$F$18,0.5))*$AH120+$AI120)*(1+$AP120)*(1+$AQ120)+(($AS120+($AT120-$AS120)*IF(VLOOKUP($Q120,武学奇术!$A:$ZZ,31,FALSE)=1,$F$18,0.5))*IF($G$1="鸣金",$AJ120,$AH120)+IF($G$1="鸣金",$AK120*1.5,0))*(1+$AU120)*(1+$AV120)+(($AW120+($AX120-$AW120)*IF(VLOOKUP($Q120,武学奇术!$A:$ZZ,31,FALSE)=1,$F$18,0.5))*IF($G$1="裂石",$AJ120,$AH120)+IF($G$1="裂石",$AK120*1.5,0))*(1+$AY120)*(1+$AZ120)+(($BA120+($BB120-$BA120)*IF(VLOOKUP($Q120,武学奇术!$A:$ZZ,31,FALSE)=1,$F$18,0.5))*IF($G$1="牵丝",$AJ120,$AH120)+IF($G$1="牵丝",$AK120*1.5,0))*(1+$BC120)*(1+$BD120)+(($BE120+($BF120-$BE120)*IF(VLOOKUP($Q120,武学奇术!$A:$ZZ,31,FALSE)=1,$F$18,0.5))*IF($G$1="破竹",$AJ120,$AH120)+IF($G$1="破竹",$AK120*1.5,0))*(1+$BG120)*(1+$BH120))*(1+$AL120)*$BK120*$P120*(1+IF(VLOOKUP($Q120,武学奇术!$A:$ZZ,30,FALSE)="蓄力技",$B$21,0))*(1+$BQ120)</f>
        <v>94988.7938901229</v>
      </c>
      <c r="M120" s="39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蓄力技",$B$21,0))*(1+$BQ120)</f>
        <v>65901.3894258143</v>
      </c>
      <c r="N120" s="39">
        <f>((($AN120+($AO120-$AN120)*IF(VLOOKUP($Q120,武学奇术!$A:$ZZ,31,FALSE)=1,$F$18,0.5))*$AH120+$AI120)*(1+$AP120)*(1+$AQ120)+(($AS120+($AT120-$AS120)*IF(VLOOKUP($Q120,武学奇术!$A:$ZZ,31,FALSE)=1,$F$18,0.5))*IF($G$1="鸣金",$AJ120,$AH120)+IF($G$1="鸣金",$AK120*1.5,0))*(1+$AU120)*(1+$AV120)+(($AW120+($AX120-$AW120)*IF(VLOOKUP($Q120,武学奇术!$A:$ZZ,31,FALSE)=1,$F$18,0.5))*IF($G$1="裂石",$AJ120,$AH120)+IF($G$1="裂石",$AK120*1.5,0))*(1+$AY120)*(1+$AZ120)+(($BA120+($BB120-$BA120)*IF(VLOOKUP($Q120,武学奇术!$A:$ZZ,31,FALSE)=1,$F$18,0.5))*IF($G$1="牵丝",$AJ120,$AH120)+IF($G$1="牵丝",$AK120*1.5,0))*(1+$BC120)*(1+$BD120)+(($BE120+($BF120-$BE120)*IF(VLOOKUP($Q120,武学奇术!$A:$ZZ,31,FALSE)=1,$F$18,0.5))*IF($G$1="破竹",$AJ120,$AH120)+IF($G$1="破竹",$AK120*1.5,0))*(1+$BG120)*(1+$BH120))*(1+$AL120)*$P120*(1+IF(VLOOKUP($Q120,武学奇术!$A:$ZZ,30,FALSE)="蓄力技",$B$21,0))*(1+$BQ120)</f>
        <v>43373.8784886406</v>
      </c>
      <c r="O120" s="39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蓄力技",$B$21,0))*(1+$BQ120)</f>
        <v>37931.9129581595</v>
      </c>
      <c r="P120" s="40">
        <v>1</v>
      </c>
      <c r="Q120" s="41" t="s">
        <v>108</v>
      </c>
      <c r="R120" s="41" t="s">
        <v>93</v>
      </c>
      <c r="S120" s="41" t="s">
        <v>118</v>
      </c>
      <c r="T120" s="41" t="s">
        <v>72</v>
      </c>
      <c r="U120" s="41" t="s">
        <v>72</v>
      </c>
      <c r="V120" s="41" t="s">
        <v>176</v>
      </c>
      <c r="W120" s="41" t="s">
        <v>177</v>
      </c>
      <c r="X120" s="41" t="s">
        <v>165</v>
      </c>
      <c r="Y120" s="41" t="s">
        <v>81</v>
      </c>
      <c r="Z120" s="41" t="s">
        <v>101</v>
      </c>
      <c r="AA120" s="41" t="s">
        <v>72</v>
      </c>
      <c r="AB120" s="41" t="s">
        <v>72</v>
      </c>
      <c r="AC120" s="41" t="s">
        <v>72</v>
      </c>
      <c r="AD120" s="41" t="s">
        <v>72</v>
      </c>
      <c r="AE120" s="41" t="s">
        <v>75</v>
      </c>
      <c r="AF120" s="41" t="s">
        <v>76</v>
      </c>
      <c r="AG120" t="str">
        <f>VLOOKUP($Q120,武学奇术!$A:$ZZ,25,FALSE)</f>
        <v>拳甲</v>
      </c>
      <c r="AH120" s="27">
        <f>VLOOKUP($Q120,武学奇术!$A:$ZZ,26,FALSE)</f>
        <v>2.33376</v>
      </c>
      <c r="AI120" s="28">
        <f>VLOOKUP($Q120,武学奇术!$A:$ZZ,27,FALSE)*(1+IF(OR($AG120=$F$4,$AG120=$F$5),$B$22,0))</f>
        <v>0</v>
      </c>
      <c r="AJ120" s="27">
        <f>VLOOKUP($Q120,武学奇术!$A:$ZZ,28,FALSE)</f>
        <v>3.50064</v>
      </c>
      <c r="AK120" s="28">
        <f>VLOOKUP($Q120,武学奇术!$A:$ZZ,29,FALSE)*(1+IF(OR($AG120=$F$4,$AG120=$F$5),$B$22,0))</f>
        <v>0</v>
      </c>
      <c r="AL120" s="27" cm="1">
        <f t="array" ref="AL120">$G$3+IFERROR(VLOOKUP($AG120,$F$4:$G$7,2,FALSE),0)+VLOOKUP($Q120,武学奇术!$A:$ZZ,2,FALSE)+SUM(_xlfn.XLOOKUP($R120:$AF120,增益!$A:$A,增益!$B:$B,0))</f>
        <v>0.7041</v>
      </c>
      <c r="AM120" s="27" cm="1">
        <f t="array" ref="AM120">VLOOKUP($Q120,武学奇术!$A:$ZZ,5,FALSE)+SUM(_xlfn.XLOOKUP($R120:$AF120,增益!$A:$A,增益!$E:$E,0))</f>
        <v>0</v>
      </c>
      <c r="AN120" cm="1">
        <f t="array" ref="AN120">$D$10*(1+$AM120)+VLOOKUP($Q120,武学奇术!$A:$ZZ,3,FALSE)+SUM(_xlfn.XLOOKUP($R120:$AF120,增益!$A:$A,增益!$C:$C,0))-$I$2</f>
        <v>3804.006</v>
      </c>
      <c r="AO120" cm="1">
        <f t="array" ref="AO120">$E$10*(1+$AM120)+VLOOKUP($Q120,武学奇术!$A:$ZZ,4,FALSE)+SUM(_xlfn.XLOOKUP($R120:$AF120,增益!$A:$A,增益!$D:$D,0))-$I$2</f>
        <v>3804.006</v>
      </c>
      <c r="AP120" s="33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0.472</v>
      </c>
      <c r="AQ120" s="33" cm="1">
        <f t="array" ref="AQ120">$G$10+VLOOKUP($Q120,武学奇术!$A:$ZZ,7,FALSE)+SUM(_xlfn.XLOOKUP(R120:AF120,增益!$A:$A,增益!$G:$G,0))</f>
        <v>0.09</v>
      </c>
      <c r="AR120" s="27" cm="1">
        <f t="array" ref="AR120">VLOOKUP($Q120,武学奇术!$A:$ZZ,8,FALSE)+SUM(_xlfn.XLOOKUP(R120:AF120,增益!$A:$A,增益!$H:$H,0))</f>
        <v>0</v>
      </c>
      <c r="AS120">
        <f t="shared" si="34"/>
        <v>0</v>
      </c>
      <c r="AT120">
        <f t="shared" si="35"/>
        <v>0</v>
      </c>
      <c r="AU120" s="33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-0.08</v>
      </c>
      <c r="AV120" s="33" cm="1">
        <f t="array" ref="AV120">$G$11+VLOOKUP($Q120,武学奇术!$A:$ZZ,10,FALSE)+SUM(_xlfn.XLOOKUP(R120:AF120,增益!$A:$A,增益!$J:$J,0))</f>
        <v>0.1</v>
      </c>
      <c r="AW120">
        <f t="shared" si="36"/>
        <v>0</v>
      </c>
      <c r="AX120">
        <f t="shared" si="37"/>
        <v>0</v>
      </c>
      <c r="AY120" s="33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-0.08</v>
      </c>
      <c r="AZ120" s="33" cm="1">
        <f t="array" ref="AZ120">$G$12+VLOOKUP($Q120,武学奇术!$A:$ZZ,12,FALSE)+SUM(_xlfn.XLOOKUP(R120:AF120,增益!$A:$A,增益!$L:$L,0))</f>
        <v>0</v>
      </c>
      <c r="BA120">
        <f t="shared" si="38"/>
        <v>0</v>
      </c>
      <c r="BB120">
        <f t="shared" si="39"/>
        <v>0</v>
      </c>
      <c r="BC120" s="33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-0.08</v>
      </c>
      <c r="BD120" s="33" cm="1">
        <f t="array" ref="BD120">$G$13+VLOOKUP($Q120,武学奇术!$A:$ZZ,14,FALSE)+SUM(_xlfn.XLOOKUP(R120:AF120,增益!$A:$A,增益!$N:$N,0))</f>
        <v>0</v>
      </c>
      <c r="BE120">
        <f t="shared" si="40"/>
        <v>570.28</v>
      </c>
      <c r="BF120">
        <f t="shared" si="41"/>
        <v>1582.156</v>
      </c>
      <c r="BG120" s="33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0.11</v>
      </c>
      <c r="BH120" s="33" cm="1">
        <f t="array" ref="BH120">$G$14+VLOOKUP($Q120,武学奇术!$A:$ZZ,16,FALSE)+SUM(_xlfn.XLOOKUP(R120:AF120,增益!$A:$A,增益!$P:$P,0))</f>
        <v>0.24</v>
      </c>
      <c r="BI120" s="27">
        <f>MIN(IF(VLOOKUP($Q120,武学奇术!$A:$ZZ,23,FALSE)=1,100%,$B$8),100%)</f>
        <v>1</v>
      </c>
      <c r="BJ120" s="27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+MIN(IF(VLOOKUP($Q120,武学奇术!$A:$ZZ,32,FALSE)=1,IF(VLOOKUP($Q120,武学奇术!$A:$ZZ,24,FALSE)=1,100%,MIN(40%,$B$10+VLOOKUP($Q120,武学奇术!$A:$ZZ,19,FALSE)+SUM(_xlfn.XLOOKUP(R120:AF120,增益!$A:$A,增益!$S:$S,0)))+$B$12+SUM(_xlfn.XLOOKUP(R120:AF120,增益!$A:$A,增益!$V:$V,0))),0),12%)</f>
        <v>0.918</v>
      </c>
      <c r="BK120" s="27" cm="1">
        <f t="array" ref="BK120">1+$B$13+VLOOKUP($Q120,武学奇术!$A:$ZZ,18,FALSE)+SUM(_xlfn.XLOOKUP(R120:AF120,增益!$A:$A,增益!$R:$R,0))</f>
        <v>2.19</v>
      </c>
      <c r="BL120" s="27" cm="1">
        <f t="array" ref="BL120">MAX(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-IF(VLOOKUP($Q120,武学奇术!$A:$ZZ,32,FALSE)=1,12%,0),0)</f>
        <v>0.0895</v>
      </c>
      <c r="BM120" s="27" cm="1">
        <f t="array" ref="BM120">1+$B$14+VLOOKUP($Q120,武学奇术!$A:$ZZ,20,FALSE)+SUM(_xlfn.XLOOKUP(R120:AF120,增益!$A:$A,增益!$T:$T,0))</f>
        <v>1.35</v>
      </c>
      <c r="BN120" s="27">
        <f t="shared" si="31"/>
        <v>0.9105</v>
      </c>
      <c r="BO120" s="27">
        <f t="shared" si="32"/>
        <v>0</v>
      </c>
      <c r="BP120" s="27">
        <f>IF(VLOOKUP($Q120,武学奇术!$A:$ZZ,22,FALSE)=1,0,(1-$BI120))*(1-$BL120)</f>
        <v>0</v>
      </c>
      <c r="BQ120" s="27" cm="1">
        <f t="array" ref="BQ120">SUM(_xlfn.XLOOKUP(R120:AF120,增益!$A:$A,增益!$W:$W,0))+$I$5</f>
        <v>0.31</v>
      </c>
    </row>
    <row r="121" spans="1:69">
      <c r="A121" s="4" t="s">
        <v>166</v>
      </c>
      <c r="B121" s="91">
        <v>1.16</v>
      </c>
      <c r="C121" s="40"/>
      <c r="D121" s="40"/>
      <c r="F121" s="40" t="s">
        <v>167</v>
      </c>
      <c r="K121" s="39">
        <f t="shared" si="33"/>
        <v>76418.6045342696</v>
      </c>
      <c r="L121" s="39">
        <f>((($AN121+($AO121-$AN121)*IF(VLOOKUP($Q121,武学奇术!$A:$ZZ,31,FALSE)=1,$F$18,0.5))*$AH121+$AI121)*(1+$AP121)*(1+$AQ121)+(($AS121+($AT121-$AS121)*IF(VLOOKUP($Q121,武学奇术!$A:$ZZ,31,FALSE)=1,$F$18,0.5))*IF($G$1="鸣金",$AJ121,$AH121)+IF($G$1="鸣金",$AK121*1.5,0))*(1+$AU121)*(1+$AV121)+(($AW121+($AX121-$AW121)*IF(VLOOKUP($Q121,武学奇术!$A:$ZZ,31,FALSE)=1,$F$18,0.5))*IF($G$1="裂石",$AJ121,$AH121)+IF($G$1="裂石",$AK121*1.5,0))*(1+$AY121)*(1+$AZ121)+(($BA121+($BB121-$BA121)*IF(VLOOKUP($Q121,武学奇术!$A:$ZZ,31,FALSE)=1,$F$18,0.5))*IF($G$1="牵丝",$AJ121,$AH121)+IF($G$1="牵丝",$AK121*1.5,0))*(1+$BC121)*(1+$BD121)+(($BE121+($BF121-$BE121)*IF(VLOOKUP($Q121,武学奇术!$A:$ZZ,31,FALSE)=1,$F$18,0.5))*IF($G$1="破竹",$AJ121,$AH121)+IF($G$1="破竹",$AK121*1.5,0))*(1+$BG121)*(1+$BH121))*(1+$AL121)*$BK121*$P121*(1+IF(VLOOKUP($Q121,武学奇术!$A:$ZZ,30,FALSE)="蓄力技",$B$21,0))*(1+$BQ121)</f>
        <v>77857.9056196567</v>
      </c>
      <c r="M121" s="39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蓄力技",$B$21,0))*(1+$BQ121)</f>
        <v>61776.3292466156</v>
      </c>
      <c r="N121" s="39">
        <f>((($AN121+($AO121-$AN121)*IF(VLOOKUP($Q121,武学奇术!$A:$ZZ,31,FALSE)=1,$F$18,0.5))*$AH121+$AI121)*(1+$AP121)*(1+$AQ121)+(($AS121+($AT121-$AS121)*IF(VLOOKUP($Q121,武学奇术!$A:$ZZ,31,FALSE)=1,$F$18,0.5))*IF($G$1="鸣金",$AJ121,$AH121)+IF($G$1="鸣金",$AK121*1.5,0))*(1+$AU121)*(1+$AV121)+(($AW121+($AX121-$AW121)*IF(VLOOKUP($Q121,武学奇术!$A:$ZZ,31,FALSE)=1,$F$18,0.5))*IF($G$1="裂石",$AJ121,$AH121)+IF($G$1="裂石",$AK121*1.5,0))*(1+$AY121)*(1+$AZ121)+(($BA121+($BB121-$BA121)*IF(VLOOKUP($Q121,武学奇术!$A:$ZZ,31,FALSE)=1,$F$18,0.5))*IF($G$1="牵丝",$AJ121,$AH121)+IF($G$1="牵丝",$AK121*1.5,0))*(1+$BC121)*(1+$BD121)+(($BE121+($BF121-$BE121)*IF(VLOOKUP($Q121,武学奇术!$A:$ZZ,31,FALSE)=1,$F$18,0.5))*IF($G$1="破竹",$AJ121,$AH121)+IF($G$1="破竹",$AK121*1.5,0))*(1+$BG121)*(1+$BH121))*(1+$AL121)*$P121*(1+IF(VLOOKUP($Q121,武学奇术!$A:$ZZ,30,FALSE)="蓄力技",$B$21,0))*(1+$BQ121)</f>
        <v>41194.6590580194</v>
      </c>
      <c r="O121" s="39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蓄力技",$B$21,0))*(1+$BQ121)</f>
        <v>36629.074229657</v>
      </c>
      <c r="P121" s="40">
        <v>1</v>
      </c>
      <c r="Q121" s="41" t="s">
        <v>111</v>
      </c>
      <c r="R121" s="41" t="s">
        <v>93</v>
      </c>
      <c r="S121" s="41" t="s">
        <v>118</v>
      </c>
      <c r="T121" s="41" t="s">
        <v>72</v>
      </c>
      <c r="U121" s="41" t="s">
        <v>72</v>
      </c>
      <c r="V121" s="41" t="s">
        <v>176</v>
      </c>
      <c r="W121" s="41" t="s">
        <v>177</v>
      </c>
      <c r="X121" s="41" t="s">
        <v>165</v>
      </c>
      <c r="Y121" s="41" t="s">
        <v>81</v>
      </c>
      <c r="Z121" s="41" t="s">
        <v>72</v>
      </c>
      <c r="AA121" s="41" t="s">
        <v>72</v>
      </c>
      <c r="AB121" s="41" t="s">
        <v>72</v>
      </c>
      <c r="AC121" s="41" t="s">
        <v>72</v>
      </c>
      <c r="AD121" s="41" t="s">
        <v>72</v>
      </c>
      <c r="AE121" s="41" t="s">
        <v>75</v>
      </c>
      <c r="AF121" s="41" t="s">
        <v>76</v>
      </c>
      <c r="AG121" t="str">
        <f>VLOOKUP($Q121,武学奇术!$A:$ZZ,25,FALSE)</f>
        <v>拳甲</v>
      </c>
      <c r="AH121" s="27">
        <f>VLOOKUP($Q121,武学奇术!$A:$ZZ,26,FALSE)</f>
        <v>2.4421</v>
      </c>
      <c r="AI121" s="28">
        <f>VLOOKUP($Q121,武学奇术!$A:$ZZ,27,FALSE)*(1+IF(OR($AG121=$F$4,$AG121=$F$5),$B$22,0))</f>
        <v>945</v>
      </c>
      <c r="AJ121" s="27">
        <f>VLOOKUP($Q121,武学奇术!$A:$ZZ,28,FALSE)</f>
        <v>3.6634</v>
      </c>
      <c r="AK121" s="28">
        <f>VLOOKUP($Q121,武学奇术!$A:$ZZ,29,FALSE)*(1+IF(OR($AG121=$F$4,$AG121=$F$5),$B$22,0))</f>
        <v>512.4</v>
      </c>
      <c r="AL121" s="27" cm="1">
        <f t="array" ref="AL121">$G$3+IFERROR(VLOOKUP($AG121,$F$4:$G$7,2,FALSE),0)+VLOOKUP($Q121,武学奇术!$A:$ZZ,2,FALSE)+SUM(_xlfn.XLOOKUP($R121:$AF121,增益!$A:$A,增益!$B:$B,0))</f>
        <v>0.4041</v>
      </c>
      <c r="AM121" s="27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3804.006</v>
      </c>
      <c r="AO121" cm="1">
        <f t="array" ref="AO121">$E$10*(1+$AM121)+VLOOKUP($Q121,武学奇术!$A:$ZZ,4,FALSE)+SUM(_xlfn.XLOOKUP($R121:$AF121,增益!$A:$A,增益!$D:$D,0))-$I$2</f>
        <v>3804.006</v>
      </c>
      <c r="AP121" s="33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0.442</v>
      </c>
      <c r="AQ121" s="33" cm="1">
        <f t="array" ref="AQ121">$G$10+VLOOKUP($Q121,武学奇术!$A:$ZZ,7,FALSE)+SUM(_xlfn.XLOOKUP(R121:AF121,增益!$A:$A,增益!$G:$G,0))</f>
        <v>0.09</v>
      </c>
      <c r="AR121" s="27" cm="1">
        <f t="array" ref="AR121">VLOOKUP($Q121,武学奇术!$A:$ZZ,8,FALSE)+SUM(_xlfn.XLOOKUP(R121:AF121,增益!$A:$A,增益!$H:$H,0))</f>
        <v>0</v>
      </c>
      <c r="AS121">
        <f t="shared" si="34"/>
        <v>0</v>
      </c>
      <c r="AT121">
        <f t="shared" si="35"/>
        <v>0</v>
      </c>
      <c r="AU121" s="33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-0.14</v>
      </c>
      <c r="AV121" s="33" cm="1">
        <f t="array" ref="AV121">$G$11+VLOOKUP($Q121,武学奇术!$A:$ZZ,10,FALSE)+SUM(_xlfn.XLOOKUP(R121:AF121,增益!$A:$A,增益!$J:$J,0))</f>
        <v>0.1</v>
      </c>
      <c r="AW121">
        <f t="shared" si="36"/>
        <v>0</v>
      </c>
      <c r="AX121">
        <f t="shared" si="37"/>
        <v>0</v>
      </c>
      <c r="AY121" s="33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-0.14</v>
      </c>
      <c r="AZ121" s="33" cm="1">
        <f t="array" ref="AZ121">$G$12+VLOOKUP($Q121,武学奇术!$A:$ZZ,12,FALSE)+SUM(_xlfn.XLOOKUP(R121:AF121,增益!$A:$A,增益!$L:$L,0))</f>
        <v>0</v>
      </c>
      <c r="BA121">
        <f t="shared" si="38"/>
        <v>0</v>
      </c>
      <c r="BB121">
        <f t="shared" si="39"/>
        <v>0</v>
      </c>
      <c r="BC121" s="33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-0.14</v>
      </c>
      <c r="BD121" s="33" cm="1">
        <f t="array" ref="BD121">$G$13+VLOOKUP($Q121,武学奇术!$A:$ZZ,14,FALSE)+SUM(_xlfn.XLOOKUP(R121:AF121,增益!$A:$A,增益!$N:$N,0))</f>
        <v>0</v>
      </c>
      <c r="BE121">
        <f t="shared" si="40"/>
        <v>570.28</v>
      </c>
      <c r="BF121">
        <f t="shared" si="41"/>
        <v>1582.156</v>
      </c>
      <c r="BG121" s="33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0.08</v>
      </c>
      <c r="BH121" s="33" cm="1">
        <f t="array" ref="BH121">$G$14+VLOOKUP($Q121,武学奇术!$A:$ZZ,16,FALSE)+SUM(_xlfn.XLOOKUP(R121:AF121,增益!$A:$A,增益!$P:$P,0))</f>
        <v>0.24</v>
      </c>
      <c r="BI121" s="27">
        <f>MIN(IF(VLOOKUP($Q121,武学奇术!$A:$ZZ,23,FALSE)=1,100%,$B$8),100%)</f>
        <v>1</v>
      </c>
      <c r="BJ121" s="27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+MIN(IF(VLOOKUP($Q121,武学奇术!$A:$ZZ,32,FALSE)=1,IF(VLOOKUP($Q121,武学奇术!$A:$ZZ,24,FALSE)=1,100%,MIN(40%,$B$10+VLOOKUP($Q121,武学奇术!$A:$ZZ,19,FALSE)+SUM(_xlfn.XLOOKUP(R121:AF121,增益!$A:$A,增益!$S:$S,0)))+$B$12+SUM(_xlfn.XLOOKUP(R121:AF121,增益!$A:$A,增益!$V:$V,0))),0),12%)</f>
        <v>0.918</v>
      </c>
      <c r="BK121" s="27" cm="1">
        <f t="array" ref="BK121">1+$B$13+VLOOKUP($Q121,武学奇术!$A:$ZZ,18,FALSE)+SUM(_xlfn.XLOOKUP(R121:AF121,增益!$A:$A,增益!$R:$R,0))</f>
        <v>1.89</v>
      </c>
      <c r="BL121" s="27" cm="1">
        <f t="array" ref="BL121">MAX(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-IF(VLOOKUP($Q121,武学奇术!$A:$ZZ,32,FALSE)=1,12%,0),0)</f>
        <v>0.0895</v>
      </c>
      <c r="BM121" s="27" cm="1">
        <f t="array" ref="BM121">1+$B$14+VLOOKUP($Q121,武学奇术!$A:$ZZ,20,FALSE)+SUM(_xlfn.XLOOKUP(R121:AF121,增益!$A:$A,增益!$T:$T,0))</f>
        <v>1.35</v>
      </c>
      <c r="BN121" s="27">
        <f t="shared" si="31"/>
        <v>0.9105</v>
      </c>
      <c r="BO121" s="27">
        <f t="shared" si="32"/>
        <v>0</v>
      </c>
      <c r="BP121" s="27">
        <f>IF(VLOOKUP($Q121,武学奇术!$A:$ZZ,22,FALSE)=1,0,(1-$BI121))*(1-$BL121)</f>
        <v>0</v>
      </c>
      <c r="BQ121" s="27" cm="1">
        <f t="array" ref="BQ121">SUM(_xlfn.XLOOKUP(R121:AF121,增益!$A:$A,增益!$W:$W,0))+$I$5</f>
        <v>0.31</v>
      </c>
    </row>
    <row r="122" spans="1:69">
      <c r="A122" t="s">
        <v>153</v>
      </c>
      <c r="B122">
        <v>0.1</v>
      </c>
      <c r="C122" s="40"/>
      <c r="D122" s="40"/>
      <c r="F122" s="40"/>
      <c r="K122" s="39">
        <f t="shared" si="33"/>
        <v>40325.626118283</v>
      </c>
      <c r="L122" s="39">
        <f>((($AN122+($AO122-$AN122)*IF(VLOOKUP($Q122,武学奇术!$A:$ZZ,31,FALSE)=1,$F$18,0.5))*$AH122+$AI122)*(1+$AP122)*(1+$AQ122)+(($AS122+($AT122-$AS122)*IF(VLOOKUP($Q122,武学奇术!$A:$ZZ,31,FALSE)=1,$F$18,0.5))*IF($G$1="鸣金",$AJ122,$AH122)+IF($G$1="鸣金",$AK122*1.5,0))*(1+$AU122)*(1+$AV122)+(($AW122+($AX122-$AW122)*IF(VLOOKUP($Q122,武学奇术!$A:$ZZ,31,FALSE)=1,$F$18,0.5))*IF($G$1="裂石",$AJ122,$AH122)+IF($G$1="裂石",$AK122*1.5,0))*(1+$AY122)*(1+$AZ122)+(($BA122+($BB122-$BA122)*IF(VLOOKUP($Q122,武学奇术!$A:$ZZ,31,FALSE)=1,$F$18,0.5))*IF($G$1="牵丝",$AJ122,$AH122)+IF($G$1="牵丝",$AK122*1.5,0))*(1+$BC122)*(1+$BD122)+(($BE122+($BF122-$BE122)*IF(VLOOKUP($Q122,武学奇术!$A:$ZZ,31,FALSE)=1,$F$18,0.5))*IF($G$1="破竹",$AJ122,$AH122)+IF($G$1="破竹",$AK122*1.5,0))*(1+$BG122)*(1+$BH122))*(1+$AL122)*$BK122*$P122*(1+IF(VLOOKUP($Q122,武学奇术!$A:$ZZ,30,FALSE)="蓄力技",$B$21,0))*(1+$BQ122)</f>
        <v>41085.4228579994</v>
      </c>
      <c r="M122" s="39">
        <f>(($AO122*$AH122+$AI122)*(1+$AP122)*(1+$AQ122)+($AT122*IF($G$1="鸣金",$AJ122,$AH122)+IF($G$1="鸣金",$AK122*1.5,0))*(1+$AU122)*(1+$AV122)+($AX122*IF($G$1="裂石",$AJ122,$AH122)+IF($G$1="裂石",$AK122*1.5,0))*(1+$AY122)*(1+$AZ122)+($BB122*IF($G$1="牵丝",$AJ122,$AH122)+IF($G$1="牵丝",$AK122*1.5,0))*(1+$BC122)*(1+$BD122)+($BF122*IF($G$1="破竹",$AJ122,$AH122)+IF($G$1="破竹",$AK122*1.5,0))*(1+$BG122)*(1+$BH122))*(1+$AL122)*$BM122*$P122*(1+IF(VLOOKUP($Q122,武学奇术!$A:$ZZ,30,FALSE)="蓄力技",$B$21,0))*(1+$BQ122)</f>
        <v>32596.0738108892</v>
      </c>
      <c r="N122" s="39">
        <f>((($AN122+($AO122-$AN122)*IF(VLOOKUP($Q122,武学奇术!$A:$ZZ,31,FALSE)=1,$F$18,0.5))*$AH122+$AI122)*(1+$AP122)*(1+$AQ122)+(($AS122+($AT122-$AS122)*IF(VLOOKUP($Q122,武学奇术!$A:$ZZ,31,FALSE)=1,$F$18,0.5))*IF($G$1="鸣金",$AJ122,$AH122)+IF($G$1="鸣金",$AK122*1.5,0))*(1+$AU122)*(1+$AV122)+(($AW122+($AX122-$AW122)*IF(VLOOKUP($Q122,武学奇术!$A:$ZZ,31,FALSE)=1,$F$18,0.5))*IF($G$1="裂石",$AJ122,$AH122)+IF($G$1="裂石",$AK122*1.5,0))*(1+$AY122)*(1+$AZ122)+(($BA122+($BB122-$BA122)*IF(VLOOKUP($Q122,武学奇术!$A:$ZZ,31,FALSE)=1,$F$18,0.5))*IF($G$1="牵丝",$AJ122,$AH122)+IF($G$1="牵丝",$AK122*1.5,0))*(1+$BC122)*(1+$BD122)+(($BE122+($BF122-$BE122)*IF(VLOOKUP($Q122,武学奇术!$A:$ZZ,31,FALSE)=1,$F$18,0.5))*IF($G$1="破竹",$AJ122,$AH122)+IF($G$1="破竹",$AK122*1.5,0))*(1+$BG122)*(1+$BH122))*(1+$AL122)*$P122*(1+IF(VLOOKUP($Q122,武学奇术!$A:$ZZ,30,FALSE)="蓄力技",$B$21,0))*(1+$BQ122)</f>
        <v>21738.3189724864</v>
      </c>
      <c r="O122" s="39">
        <f>((($AN122*$AH122+$AI122)*(1+$AP122)*(1+$AQ122)+($AS122*IF($G$1="鸣金",$AJ122,$AH122)+IF($G$1="鸣金",$AK122*1.5,0))*(1+$AU122)*(1+$AV122)+($AW122*IF($G$1="裂石",$AJ122,$AH122)+IF($G$1="裂石",$AK122*1.5,0))*(1+$AY122)*(1+$AZ122)+($BA122*IF($G$1="牵丝",$AJ122,$AH122)+IF($G$1="牵丝",$AK122*1.5,0))*(1+$BC122)*(1+$BD122)+($BE122*IF($G$1="破竹",$AJ122,$AH122)+IF($G$1="破竹",$AK122*1.5,0))*(1+$BG122)*(1+$BH122))*(1+$AL122))*$P122*(1+IF(VLOOKUP($Q122,武学奇术!$A:$ZZ,30,FALSE)="蓄力技",$B$21,0))*(1+$BQ122)</f>
        <v>19331.398085055</v>
      </c>
      <c r="P122" s="40">
        <v>1</v>
      </c>
      <c r="Q122" s="41" t="s">
        <v>106</v>
      </c>
      <c r="R122" s="41" t="s">
        <v>93</v>
      </c>
      <c r="S122" s="41" t="s">
        <v>118</v>
      </c>
      <c r="T122" s="41" t="s">
        <v>72</v>
      </c>
      <c r="U122" s="41" t="s">
        <v>72</v>
      </c>
      <c r="V122" s="41" t="s">
        <v>176</v>
      </c>
      <c r="W122" s="41" t="s">
        <v>177</v>
      </c>
      <c r="X122" s="41" t="s">
        <v>165</v>
      </c>
      <c r="Y122" s="41" t="s">
        <v>81</v>
      </c>
      <c r="Z122" s="41" t="s">
        <v>72</v>
      </c>
      <c r="AA122" s="41" t="s">
        <v>72</v>
      </c>
      <c r="AB122" s="41" t="s">
        <v>72</v>
      </c>
      <c r="AC122" s="41" t="s">
        <v>72</v>
      </c>
      <c r="AD122" s="41" t="s">
        <v>72</v>
      </c>
      <c r="AE122" s="41" t="s">
        <v>75</v>
      </c>
      <c r="AF122" s="41" t="s">
        <v>76</v>
      </c>
      <c r="AG122" t="str">
        <f>VLOOKUP($Q122,武学奇术!$A:$ZZ,25,FALSE)</f>
        <v>拳甲</v>
      </c>
      <c r="AH122" s="27">
        <f>VLOOKUP($Q122,武学奇术!$A:$ZZ,26,FALSE)</f>
        <v>1.2876</v>
      </c>
      <c r="AI122" s="28">
        <f>VLOOKUP($Q122,武学奇术!$A:$ZZ,27,FALSE)*(1+IF(OR($AG122=$F$4,$AG122=$F$5),$B$22,0))</f>
        <v>501.2</v>
      </c>
      <c r="AJ122" s="27">
        <f>VLOOKUP($Q122,武学奇术!$A:$ZZ,28,FALSE)</f>
        <v>1.9313</v>
      </c>
      <c r="AK122" s="28">
        <f>VLOOKUP($Q122,武学奇术!$A:$ZZ,29,FALSE)*(1+IF(OR($AG122=$F$4,$AG122=$F$5),$B$22,0))</f>
        <v>273</v>
      </c>
      <c r="AL122" s="27" cm="1">
        <f t="array" ref="AL122">$G$3+IFERROR(VLOOKUP($AG122,$F$4:$G$7,2,FALSE),0)+VLOOKUP($Q122,武学奇术!$A:$ZZ,2,FALSE)+SUM(_xlfn.XLOOKUP($R122:$AF122,增益!$A:$A,增益!$B:$B,0))</f>
        <v>0.4041</v>
      </c>
      <c r="AM122" s="27" cm="1">
        <f t="array" ref="AM122">VLOOKUP($Q122,武学奇术!$A:$ZZ,5,FALSE)+SUM(_xlfn.XLOOKUP($R122:$AF122,增益!$A:$A,增益!$E:$E,0))</f>
        <v>0</v>
      </c>
      <c r="AN122" cm="1">
        <f t="array" ref="AN122">$D$10*(1+$AM122)+VLOOKUP($Q122,武学奇术!$A:$ZZ,3,FALSE)+SUM(_xlfn.XLOOKUP($R122:$AF122,增益!$A:$A,增益!$C:$C,0))-$I$2</f>
        <v>3804.006</v>
      </c>
      <c r="AO122" cm="1">
        <f t="array" ref="AO122">$E$10*(1+$AM122)+VLOOKUP($Q122,武学奇术!$A:$ZZ,4,FALSE)+SUM(_xlfn.XLOOKUP($R122:$AF122,增益!$A:$A,增益!$D:$D,0))-$I$2</f>
        <v>3804.006</v>
      </c>
      <c r="AP122" s="33" cm="1">
        <f t="array" ref="AP122">IF($F$10-$I$3+VLOOKUP($Q122,武学奇术!$A:$ZZ,6,FALSE)+SUM(_xlfn.XLOOKUP(R122:AF122,增益!$A:$A,增益!$F:$F,0))&gt;0,($F$10-$I$3+VLOOKUP($Q122,武学奇术!$A:$ZZ,6,FALSE)+SUM(_xlfn.XLOOKUP(R122:AF122,增益!$A:$A,增益!$F:$F,0)))/200,($F$10-$I$3+VLOOKUP($Q122,武学奇术!$A:$ZZ,6,FALSE)+SUM(_xlfn.XLOOKUP(R122:AF122,增益!$A:$A,增益!$F:$F,0)))/100)</f>
        <v>0.442</v>
      </c>
      <c r="AQ122" s="33" cm="1">
        <f t="array" ref="AQ122">$G$10+VLOOKUP($Q122,武学奇术!$A:$ZZ,7,FALSE)+SUM(_xlfn.XLOOKUP(R122:AF122,增益!$A:$A,增益!$G:$G,0))</f>
        <v>0.09</v>
      </c>
      <c r="AR122" s="27" cm="1">
        <f t="array" ref="AR122">VLOOKUP($Q122,武学奇术!$A:$ZZ,8,FALSE)+SUM(_xlfn.XLOOKUP(R122:AF122,增益!$A:$A,增益!$H:$H,0))</f>
        <v>0</v>
      </c>
      <c r="AS122">
        <f t="shared" si="34"/>
        <v>0</v>
      </c>
      <c r="AT122">
        <f t="shared" si="35"/>
        <v>0</v>
      </c>
      <c r="AU122" s="33" cm="1">
        <f t="array" ref="AU122">IF($F$11-$I$4+VLOOKUP($Q122,武学奇术!$A:$ZZ,9,FALSE)+SUM(_xlfn.XLOOKUP(R122:AF122,增益!$A:$A,增益!$I:$I,0))&gt;0,($F$11-$I$4+VLOOKUP($Q122,武学奇术!$A:$ZZ,9,FALSE)+SUM(_xlfn.XLOOKUP(R122:AF122,增益!$A:$A,增益!$I:$I,0)))/200,($F$11-$I$4+VLOOKUP($Q122,武学奇术!$A:$ZZ,9,FALSE)+SUM(_xlfn.XLOOKUP(R122:AF122,增益!$A:$A,增益!$I:$I,0)))/100)</f>
        <v>-0.14</v>
      </c>
      <c r="AV122" s="33" cm="1">
        <f t="array" ref="AV122">$G$11+VLOOKUP($Q122,武学奇术!$A:$ZZ,10,FALSE)+SUM(_xlfn.XLOOKUP(R122:AF122,增益!$A:$A,增益!$J:$J,0))</f>
        <v>0.1</v>
      </c>
      <c r="AW122">
        <f t="shared" si="36"/>
        <v>0</v>
      </c>
      <c r="AX122">
        <f t="shared" si="37"/>
        <v>0</v>
      </c>
      <c r="AY122" s="33" cm="1">
        <f t="array" ref="AY122">IF($F$12-$I$4+VLOOKUP($Q122,武学奇术!$A:$ZZ,11,FALSE)+SUM(_xlfn.XLOOKUP(R122:AF122,增益!$A:$A,增益!$K:$K,0))&gt;0,($F$12-$I$4+VLOOKUP($Q122,武学奇术!$A:$ZZ,11,FALSE)+SUM(_xlfn.XLOOKUP(R122:AF122,增益!$A:$A,增益!$K:$K,0)))/200,($F$12-$I$4+VLOOKUP($Q122,武学奇术!$A:$ZZ,11,FALSE)+SUM(_xlfn.XLOOKUP(R122:AF122,增益!$A:$A,增益!$K:$K,0)))/100)</f>
        <v>-0.14</v>
      </c>
      <c r="AZ122" s="33" cm="1">
        <f t="array" ref="AZ122">$G$12+VLOOKUP($Q122,武学奇术!$A:$ZZ,12,FALSE)+SUM(_xlfn.XLOOKUP(R122:AF122,增益!$A:$A,增益!$L:$L,0))</f>
        <v>0</v>
      </c>
      <c r="BA122">
        <f t="shared" si="38"/>
        <v>0</v>
      </c>
      <c r="BB122">
        <f t="shared" si="39"/>
        <v>0</v>
      </c>
      <c r="BC122" s="33" cm="1">
        <f t="array" ref="BC122">IF($F$13-$I$4+VLOOKUP($Q122,武学奇术!$A:$ZZ,13,FALSE)+SUM(_xlfn.XLOOKUP(R122:AF122,增益!$A:$A,增益!$M:$M,0))&gt;0,($F$13-$I$4+VLOOKUP($Q122,武学奇术!$A:$ZZ,13,FALSE)+SUM(_xlfn.XLOOKUP(R122:AF122,增益!$A:$A,增益!$K:$K,0)))/200,($F$13-$I$4+VLOOKUP($Q122,武学奇术!$A:$ZZ,13,FALSE)+SUM(_xlfn.XLOOKUP(R122:AF122,增益!$A:$A,增益!$M:$M,0)))/100)</f>
        <v>-0.14</v>
      </c>
      <c r="BD122" s="33" cm="1">
        <f t="array" ref="BD122">$G$13+VLOOKUP($Q122,武学奇术!$A:$ZZ,14,FALSE)+SUM(_xlfn.XLOOKUP(R122:AF122,增益!$A:$A,增益!$N:$N,0))</f>
        <v>0</v>
      </c>
      <c r="BE122">
        <f t="shared" si="40"/>
        <v>570.28</v>
      </c>
      <c r="BF122">
        <f t="shared" si="41"/>
        <v>1582.156</v>
      </c>
      <c r="BG122" s="33" cm="1">
        <f t="array" ref="BG122">IF($F$14-$I$4+VLOOKUP($Q122,武学奇术!$A:$ZZ,15,FALSE)+SUM(_xlfn.XLOOKUP(R122:AF122,增益!$A:$A,增益!$O:$O,0))&gt;0,($F$14-$I$4+VLOOKUP($Q122,武学奇术!$A:$ZZ,15,FALSE)+SUM(_xlfn.XLOOKUP(R122:AF122,增益!$A:$A,增益!$O:$O,0)))/200,($F$14-$I$4+VLOOKUP($Q122,武学奇术!$A:$ZZ,15,FALSE)+SUM(_xlfn.XLOOKUP(R122:AF122,增益!$A:$A,增益!$O:$O,0)))/100)</f>
        <v>0.08</v>
      </c>
      <c r="BH122" s="33" cm="1">
        <f t="array" ref="BH122">$G$14+VLOOKUP($Q122,武学奇术!$A:$ZZ,16,FALSE)+SUM(_xlfn.XLOOKUP(R122:AF122,增益!$A:$A,增益!$P:$P,0))</f>
        <v>0.24</v>
      </c>
      <c r="BI122" s="27">
        <f>MIN(IF(VLOOKUP($Q122,武学奇术!$A:$ZZ,23,FALSE)=1,100%,$B$8),100%)</f>
        <v>1</v>
      </c>
      <c r="BJ122" s="27" cm="1">
        <f t="array" ref="BJ122">IF(VLOOKUP($Q122,武学奇术!$A:$ZZ,23,FALSE)=1,100%,MIN(80%,$B$9+VLOOKUP($Q122,武学奇术!$A:$ZZ,17,FALSE)+SUM(_xlfn.XLOOKUP(R122:AF122,增益!$A:$A,增益!$Q:$Q,0)))+$B$11+SUM(_xlfn.XLOOKUP(R122:AF122,增益!$A:$A,增益!$U:$U,0)))*IF(VLOOKUP($Q122,武学奇术!$A:$ZZ,24,FALSE)=1,0,1)+MIN(IF(VLOOKUP($Q122,武学奇术!$A:$ZZ,32,FALSE)=1,IF(VLOOKUP($Q122,武学奇术!$A:$ZZ,24,FALSE)=1,100%,MIN(40%,$B$10+VLOOKUP($Q122,武学奇术!$A:$ZZ,19,FALSE)+SUM(_xlfn.XLOOKUP(R122:AF122,增益!$A:$A,增益!$S:$S,0)))+$B$12+SUM(_xlfn.XLOOKUP(R122:AF122,增益!$A:$A,增益!$V:$V,0))),0),12%)</f>
        <v>0.918</v>
      </c>
      <c r="BK122" s="27" cm="1">
        <f t="array" ref="BK122">1+$B$13+VLOOKUP($Q122,武学奇术!$A:$ZZ,18,FALSE)+SUM(_xlfn.XLOOKUP(R122:AF122,增益!$A:$A,增益!$R:$R,0))</f>
        <v>1.89</v>
      </c>
      <c r="BL122" s="27" cm="1">
        <f t="array" ref="BL122">MAX(IF(VLOOKUP($Q122,武学奇术!$A:$ZZ,24,FALSE)=1,100%,MIN(40%,$B$10+VLOOKUP($Q122,武学奇术!$A:$ZZ,19,FALSE)+SUM(_xlfn.XLOOKUP(R122:AF122,增益!$A:$A,增益!$S:$S,0)))+$B$12+SUM(_xlfn.XLOOKUP(R122:AF122,增益!$A:$A,增益!$V:$V,0)))*IF(VLOOKUP($Q122,武学奇术!$A:$ZZ,23,FALSE)=1,0,1)-IF(VLOOKUP($Q122,武学奇术!$A:$ZZ,32,FALSE)=1,12%,0),0)</f>
        <v>0.0895</v>
      </c>
      <c r="BM122" s="27" cm="1">
        <f t="array" ref="BM122">1+$B$14+VLOOKUP($Q122,武学奇术!$A:$ZZ,20,FALSE)+SUM(_xlfn.XLOOKUP(R122:AF122,增益!$A:$A,增益!$T:$T,0))</f>
        <v>1.35</v>
      </c>
      <c r="BN122" s="27">
        <f t="shared" si="31"/>
        <v>0.9105</v>
      </c>
      <c r="BO122" s="27">
        <f t="shared" si="32"/>
        <v>0</v>
      </c>
      <c r="BP122" s="27">
        <f>IF(VLOOKUP($Q122,武学奇术!$A:$ZZ,22,FALSE)=1,0,(1-$BI122))*(1-$BL122)</f>
        <v>0</v>
      </c>
      <c r="BQ122" s="27" cm="1">
        <f t="array" ref="BQ122">SUM(_xlfn.XLOOKUP(R122:AF122,增益!$A:$A,增益!$W:$W,0))+$I$5</f>
        <v>0.31</v>
      </c>
    </row>
    <row r="123" spans="1:69">
      <c r="A123" s="4" t="s">
        <v>152</v>
      </c>
      <c r="B123" s="4">
        <v>0.9</v>
      </c>
      <c r="C123" s="40"/>
      <c r="D123" s="40"/>
      <c r="F123" s="40"/>
      <c r="K123" s="39">
        <f t="shared" si="33"/>
        <v>92385.4711905673</v>
      </c>
      <c r="L123" s="39">
        <f>((($AN123+($AO123-$AN123)*IF(VLOOKUP($Q123,武学奇术!$A:$ZZ,31,FALSE)=1,$F$18,0.5))*$AH123+$AI123)*(1+$AP123)*(1+$AQ123)+(($AS123+($AT123-$AS123)*IF(VLOOKUP($Q123,武学奇术!$A:$ZZ,31,FALSE)=1,$F$18,0.5))*IF($G$1="鸣金",$AJ123,$AH123)+IF($G$1="鸣金",$AK123*1.5,0))*(1+$AU123)*(1+$AV123)+(($AW123+($AX123-$AW123)*IF(VLOOKUP($Q123,武学奇术!$A:$ZZ,31,FALSE)=1,$F$18,0.5))*IF($G$1="裂石",$AJ123,$AH123)+IF($G$1="裂石",$AK123*1.5,0))*(1+$AY123)*(1+$AZ123)+(($BA123+($BB123-$BA123)*IF(VLOOKUP($Q123,武学奇术!$A:$ZZ,31,FALSE)=1,$F$18,0.5))*IF($G$1="牵丝",$AJ123,$AH123)+IF($G$1="牵丝",$AK123*1.5,0))*(1+$BC123)*(1+$BD123)+(($BE123+($BF123-$BE123)*IF(VLOOKUP($Q123,武学奇术!$A:$ZZ,31,FALSE)=1,$F$18,0.5))*IF($G$1="破竹",$AJ123,$AH123)+IF($G$1="破竹",$AK123*1.5,0))*(1+$BG123)*(1+$BH123))*(1+$AL123)*$BK123*$P123*(1+IF(VLOOKUP($Q123,武学奇术!$A:$ZZ,30,FALSE)="蓄力技",$B$21,0))*(1+$BQ123)</f>
        <v>94988.7938901229</v>
      </c>
      <c r="M123" s="39">
        <f>(($AO123*$AH123+$AI123)*(1+$AP123)*(1+$AQ123)+($AT123*IF($G$1="鸣金",$AJ123,$AH123)+IF($G$1="鸣金",$AK123*1.5,0))*(1+$AU123)*(1+$AV123)+($AX123*IF($G$1="裂石",$AJ123,$AH123)+IF($G$1="裂石",$AK123*1.5,0))*(1+$AY123)*(1+$AZ123)+($BB123*IF($G$1="牵丝",$AJ123,$AH123)+IF($G$1="牵丝",$AK123*1.5,0))*(1+$BC123)*(1+$BD123)+($BF123*IF($G$1="破竹",$AJ123,$AH123)+IF($G$1="破竹",$AK123*1.5,0))*(1+$BG123)*(1+$BH123))*(1+$AL123)*$BM123*$P123*(1+IF(VLOOKUP($Q123,武学奇术!$A:$ZZ,30,FALSE)="蓄力技",$B$21,0))*(1+$BQ123)</f>
        <v>65901.3894258143</v>
      </c>
      <c r="N123" s="39">
        <f>((($AN123+($AO123-$AN123)*IF(VLOOKUP($Q123,武学奇术!$A:$ZZ,31,FALSE)=1,$F$18,0.5))*$AH123+$AI123)*(1+$AP123)*(1+$AQ123)+(($AS123+($AT123-$AS123)*IF(VLOOKUP($Q123,武学奇术!$A:$ZZ,31,FALSE)=1,$F$18,0.5))*IF($G$1="鸣金",$AJ123,$AH123)+IF($G$1="鸣金",$AK123*1.5,0))*(1+$AU123)*(1+$AV123)+(($AW123+($AX123-$AW123)*IF(VLOOKUP($Q123,武学奇术!$A:$ZZ,31,FALSE)=1,$F$18,0.5))*IF($G$1="裂石",$AJ123,$AH123)+IF($G$1="裂石",$AK123*1.5,0))*(1+$AY123)*(1+$AZ123)+(($BA123+($BB123-$BA123)*IF(VLOOKUP($Q123,武学奇术!$A:$ZZ,31,FALSE)=1,$F$18,0.5))*IF($G$1="牵丝",$AJ123,$AH123)+IF($G$1="牵丝",$AK123*1.5,0))*(1+$BC123)*(1+$BD123)+(($BE123+($BF123-$BE123)*IF(VLOOKUP($Q123,武学奇术!$A:$ZZ,31,FALSE)=1,$F$18,0.5))*IF($G$1="破竹",$AJ123,$AH123)+IF($G$1="破竹",$AK123*1.5,0))*(1+$BG123)*(1+$BH123))*(1+$AL123)*$P123*(1+IF(VLOOKUP($Q123,武学奇术!$A:$ZZ,30,FALSE)="蓄力技",$B$21,0))*(1+$BQ123)</f>
        <v>43373.8784886406</v>
      </c>
      <c r="O123" s="39">
        <f>((($AN123*$AH123+$AI123)*(1+$AP123)*(1+$AQ123)+($AS123*IF($G$1="鸣金",$AJ123,$AH123)+IF($G$1="鸣金",$AK123*1.5,0))*(1+$AU123)*(1+$AV123)+($AW123*IF($G$1="裂石",$AJ123,$AH123)+IF($G$1="裂石",$AK123*1.5,0))*(1+$AY123)*(1+$AZ123)+($BA123*IF($G$1="牵丝",$AJ123,$AH123)+IF($G$1="牵丝",$AK123*1.5,0))*(1+$BC123)*(1+$BD123)+($BE123*IF($G$1="破竹",$AJ123,$AH123)+IF($G$1="破竹",$AK123*1.5,0))*(1+$BG123)*(1+$BH123))*(1+$AL123))*$P123*(1+IF(VLOOKUP($Q123,武学奇术!$A:$ZZ,30,FALSE)="蓄力技",$B$21,0))*(1+$BQ123)</f>
        <v>37931.9129581595</v>
      </c>
      <c r="P123" s="40">
        <v>1</v>
      </c>
      <c r="Q123" s="41" t="s">
        <v>108</v>
      </c>
      <c r="R123" s="41" t="s">
        <v>93</v>
      </c>
      <c r="S123" s="41" t="s">
        <v>118</v>
      </c>
      <c r="T123" s="41" t="s">
        <v>72</v>
      </c>
      <c r="U123" s="41" t="s">
        <v>72</v>
      </c>
      <c r="V123" s="41" t="s">
        <v>176</v>
      </c>
      <c r="W123" s="41" t="s">
        <v>177</v>
      </c>
      <c r="X123" s="41" t="s">
        <v>165</v>
      </c>
      <c r="Y123" s="41" t="s">
        <v>81</v>
      </c>
      <c r="Z123" s="41" t="s">
        <v>101</v>
      </c>
      <c r="AA123" s="41" t="s">
        <v>72</v>
      </c>
      <c r="AB123" s="41" t="s">
        <v>72</v>
      </c>
      <c r="AC123" s="41" t="s">
        <v>72</v>
      </c>
      <c r="AD123" s="41" t="s">
        <v>72</v>
      </c>
      <c r="AE123" s="41" t="s">
        <v>75</v>
      </c>
      <c r="AF123" s="41" t="s">
        <v>76</v>
      </c>
      <c r="AG123" t="str">
        <f>VLOOKUP($Q123,武学奇术!$A:$ZZ,25,FALSE)</f>
        <v>拳甲</v>
      </c>
      <c r="AH123" s="27">
        <f>VLOOKUP($Q123,武学奇术!$A:$ZZ,26,FALSE)</f>
        <v>2.33376</v>
      </c>
      <c r="AI123" s="28">
        <f>VLOOKUP($Q123,武学奇术!$A:$ZZ,27,FALSE)*(1+IF(OR($AG123=$F$4,$AG123=$F$5),$B$22,0))</f>
        <v>0</v>
      </c>
      <c r="AJ123" s="27">
        <f>VLOOKUP($Q123,武学奇术!$A:$ZZ,28,FALSE)</f>
        <v>3.50064</v>
      </c>
      <c r="AK123" s="28">
        <f>VLOOKUP($Q123,武学奇术!$A:$ZZ,29,FALSE)*(1+IF(OR($AG123=$F$4,$AG123=$F$5),$B$22,0))</f>
        <v>0</v>
      </c>
      <c r="AL123" s="27" cm="1">
        <f t="array" ref="AL123">$G$3+IFERROR(VLOOKUP($AG123,$F$4:$G$7,2,FALSE),0)+VLOOKUP($Q123,武学奇术!$A:$ZZ,2,FALSE)+SUM(_xlfn.XLOOKUP($R123:$AF123,增益!$A:$A,增益!$B:$B,0))</f>
        <v>0.7041</v>
      </c>
      <c r="AM123" s="27" cm="1">
        <f t="array" ref="AM123">VLOOKUP($Q123,武学奇术!$A:$ZZ,5,FALSE)+SUM(_xlfn.XLOOKUP($R123:$AF123,增益!$A:$A,增益!$E:$E,0))</f>
        <v>0</v>
      </c>
      <c r="AN123" cm="1">
        <f t="array" ref="AN123">$D$10*(1+$AM123)+VLOOKUP($Q123,武学奇术!$A:$ZZ,3,FALSE)+SUM(_xlfn.XLOOKUP($R123:$AF123,增益!$A:$A,增益!$C:$C,0))-$I$2</f>
        <v>3804.006</v>
      </c>
      <c r="AO123" cm="1">
        <f t="array" ref="AO123">$E$10*(1+$AM123)+VLOOKUP($Q123,武学奇术!$A:$ZZ,4,FALSE)+SUM(_xlfn.XLOOKUP($R123:$AF123,增益!$A:$A,增益!$D:$D,0))-$I$2</f>
        <v>3804.006</v>
      </c>
      <c r="AP123" s="33" cm="1">
        <f t="array" ref="AP123">IF($F$10-$I$3+VLOOKUP($Q123,武学奇术!$A:$ZZ,6,FALSE)+SUM(_xlfn.XLOOKUP(R123:AF123,增益!$A:$A,增益!$F:$F,0))&gt;0,($F$10-$I$3+VLOOKUP($Q123,武学奇术!$A:$ZZ,6,FALSE)+SUM(_xlfn.XLOOKUP(R123:AF123,增益!$A:$A,增益!$F:$F,0)))/200,($F$10-$I$3+VLOOKUP($Q123,武学奇术!$A:$ZZ,6,FALSE)+SUM(_xlfn.XLOOKUP(R123:AF123,增益!$A:$A,增益!$F:$F,0)))/100)</f>
        <v>0.472</v>
      </c>
      <c r="AQ123" s="33" cm="1">
        <f t="array" ref="AQ123">$G$10+VLOOKUP($Q123,武学奇术!$A:$ZZ,7,FALSE)+SUM(_xlfn.XLOOKUP(R123:AF123,增益!$A:$A,增益!$G:$G,0))</f>
        <v>0.09</v>
      </c>
      <c r="AR123" s="27" cm="1">
        <f t="array" ref="AR123">VLOOKUP($Q123,武学奇术!$A:$ZZ,8,FALSE)+SUM(_xlfn.XLOOKUP(R123:AF123,增益!$A:$A,增益!$H:$H,0))</f>
        <v>0</v>
      </c>
      <c r="AS123">
        <f t="shared" si="34"/>
        <v>0</v>
      </c>
      <c r="AT123">
        <f t="shared" si="35"/>
        <v>0</v>
      </c>
      <c r="AU123" s="33" cm="1">
        <f t="array" ref="AU123">IF($F$11-$I$4+VLOOKUP($Q123,武学奇术!$A:$ZZ,9,FALSE)+SUM(_xlfn.XLOOKUP(R123:AF123,增益!$A:$A,增益!$I:$I,0))&gt;0,($F$11-$I$4+VLOOKUP($Q123,武学奇术!$A:$ZZ,9,FALSE)+SUM(_xlfn.XLOOKUP(R123:AF123,增益!$A:$A,增益!$I:$I,0)))/200,($F$11-$I$4+VLOOKUP($Q123,武学奇术!$A:$ZZ,9,FALSE)+SUM(_xlfn.XLOOKUP(R123:AF123,增益!$A:$A,增益!$I:$I,0)))/100)</f>
        <v>-0.08</v>
      </c>
      <c r="AV123" s="33" cm="1">
        <f t="array" ref="AV123">$G$11+VLOOKUP($Q123,武学奇术!$A:$ZZ,10,FALSE)+SUM(_xlfn.XLOOKUP(R123:AF123,增益!$A:$A,增益!$J:$J,0))</f>
        <v>0.1</v>
      </c>
      <c r="AW123">
        <f t="shared" si="36"/>
        <v>0</v>
      </c>
      <c r="AX123">
        <f t="shared" si="37"/>
        <v>0</v>
      </c>
      <c r="AY123" s="33" cm="1">
        <f t="array" ref="AY123">IF($F$12-$I$4+VLOOKUP($Q123,武学奇术!$A:$ZZ,11,FALSE)+SUM(_xlfn.XLOOKUP(R123:AF123,增益!$A:$A,增益!$K:$K,0))&gt;0,($F$12-$I$4+VLOOKUP($Q123,武学奇术!$A:$ZZ,11,FALSE)+SUM(_xlfn.XLOOKUP(R123:AF123,增益!$A:$A,增益!$K:$K,0)))/200,($F$12-$I$4+VLOOKUP($Q123,武学奇术!$A:$ZZ,11,FALSE)+SUM(_xlfn.XLOOKUP(R123:AF123,增益!$A:$A,增益!$K:$K,0)))/100)</f>
        <v>-0.08</v>
      </c>
      <c r="AZ123" s="33" cm="1">
        <f t="array" ref="AZ123">$G$12+VLOOKUP($Q123,武学奇术!$A:$ZZ,12,FALSE)+SUM(_xlfn.XLOOKUP(R123:AF123,增益!$A:$A,增益!$L:$L,0))</f>
        <v>0</v>
      </c>
      <c r="BA123">
        <f t="shared" si="38"/>
        <v>0</v>
      </c>
      <c r="BB123">
        <f t="shared" si="39"/>
        <v>0</v>
      </c>
      <c r="BC123" s="33" cm="1">
        <f t="array" ref="BC123">IF($F$13-$I$4+VLOOKUP($Q123,武学奇术!$A:$ZZ,13,FALSE)+SUM(_xlfn.XLOOKUP(R123:AF123,增益!$A:$A,增益!$M:$M,0))&gt;0,($F$13-$I$4+VLOOKUP($Q123,武学奇术!$A:$ZZ,13,FALSE)+SUM(_xlfn.XLOOKUP(R123:AF123,增益!$A:$A,增益!$K:$K,0)))/200,($F$13-$I$4+VLOOKUP($Q123,武学奇术!$A:$ZZ,13,FALSE)+SUM(_xlfn.XLOOKUP(R123:AF123,增益!$A:$A,增益!$M:$M,0)))/100)</f>
        <v>-0.08</v>
      </c>
      <c r="BD123" s="33" cm="1">
        <f t="array" ref="BD123">$G$13+VLOOKUP($Q123,武学奇术!$A:$ZZ,14,FALSE)+SUM(_xlfn.XLOOKUP(R123:AF123,增益!$A:$A,增益!$N:$N,0))</f>
        <v>0</v>
      </c>
      <c r="BE123">
        <f t="shared" si="40"/>
        <v>570.28</v>
      </c>
      <c r="BF123">
        <f t="shared" si="41"/>
        <v>1582.156</v>
      </c>
      <c r="BG123" s="33" cm="1">
        <f t="array" ref="BG123">IF($F$14-$I$4+VLOOKUP($Q123,武学奇术!$A:$ZZ,15,FALSE)+SUM(_xlfn.XLOOKUP(R123:AF123,增益!$A:$A,增益!$O:$O,0))&gt;0,($F$14-$I$4+VLOOKUP($Q123,武学奇术!$A:$ZZ,15,FALSE)+SUM(_xlfn.XLOOKUP(R123:AF123,增益!$A:$A,增益!$O:$O,0)))/200,($F$14-$I$4+VLOOKUP($Q123,武学奇术!$A:$ZZ,15,FALSE)+SUM(_xlfn.XLOOKUP(R123:AF123,增益!$A:$A,增益!$O:$O,0)))/100)</f>
        <v>0.11</v>
      </c>
      <c r="BH123" s="33" cm="1">
        <f t="array" ref="BH123">$G$14+VLOOKUP($Q123,武学奇术!$A:$ZZ,16,FALSE)+SUM(_xlfn.XLOOKUP(R123:AF123,增益!$A:$A,增益!$P:$P,0))</f>
        <v>0.24</v>
      </c>
      <c r="BI123" s="27">
        <f>MIN(IF(VLOOKUP($Q123,武学奇术!$A:$ZZ,23,FALSE)=1,100%,$B$8),100%)</f>
        <v>1</v>
      </c>
      <c r="BJ123" s="27" cm="1">
        <f t="array" ref="BJ123">IF(VLOOKUP($Q123,武学奇术!$A:$ZZ,23,FALSE)=1,100%,MIN(80%,$B$9+VLOOKUP($Q123,武学奇术!$A:$ZZ,17,FALSE)+SUM(_xlfn.XLOOKUP(R123:AF123,增益!$A:$A,增益!$Q:$Q,0)))+$B$11+SUM(_xlfn.XLOOKUP(R123:AF123,增益!$A:$A,增益!$U:$U,0)))*IF(VLOOKUP($Q123,武学奇术!$A:$ZZ,24,FALSE)=1,0,1)+MIN(IF(VLOOKUP($Q123,武学奇术!$A:$ZZ,32,FALSE)=1,IF(VLOOKUP($Q123,武学奇术!$A:$ZZ,24,FALSE)=1,100%,MIN(40%,$B$10+VLOOKUP($Q123,武学奇术!$A:$ZZ,19,FALSE)+SUM(_xlfn.XLOOKUP(R123:AF123,增益!$A:$A,增益!$S:$S,0)))+$B$12+SUM(_xlfn.XLOOKUP(R123:AF123,增益!$A:$A,增益!$V:$V,0))),0),12%)</f>
        <v>0.918</v>
      </c>
      <c r="BK123" s="27" cm="1">
        <f t="array" ref="BK123">1+$B$13+VLOOKUP($Q123,武学奇术!$A:$ZZ,18,FALSE)+SUM(_xlfn.XLOOKUP(R123:AF123,增益!$A:$A,增益!$R:$R,0))</f>
        <v>2.19</v>
      </c>
      <c r="BL123" s="27" cm="1">
        <f t="array" ref="BL123">MAX(IF(VLOOKUP($Q123,武学奇术!$A:$ZZ,24,FALSE)=1,100%,MIN(40%,$B$10+VLOOKUP($Q123,武学奇术!$A:$ZZ,19,FALSE)+SUM(_xlfn.XLOOKUP(R123:AF123,增益!$A:$A,增益!$S:$S,0)))+$B$12+SUM(_xlfn.XLOOKUP(R123:AF123,增益!$A:$A,增益!$V:$V,0)))*IF(VLOOKUP($Q123,武学奇术!$A:$ZZ,23,FALSE)=1,0,1)-IF(VLOOKUP($Q123,武学奇术!$A:$ZZ,32,FALSE)=1,12%,0),0)</f>
        <v>0.0895</v>
      </c>
      <c r="BM123" s="27" cm="1">
        <f t="array" ref="BM123">1+$B$14+VLOOKUP($Q123,武学奇术!$A:$ZZ,20,FALSE)+SUM(_xlfn.XLOOKUP(R123:AF123,增益!$A:$A,增益!$T:$T,0))</f>
        <v>1.35</v>
      </c>
      <c r="BN123" s="27">
        <f t="shared" si="31"/>
        <v>0.9105</v>
      </c>
      <c r="BO123" s="27">
        <f t="shared" si="32"/>
        <v>0</v>
      </c>
      <c r="BP123" s="27">
        <f>IF(VLOOKUP($Q123,武学奇术!$A:$ZZ,22,FALSE)=1,0,(1-$BI123))*(1-$BL123)</f>
        <v>0</v>
      </c>
      <c r="BQ123" s="27" cm="1">
        <f t="array" ref="BQ123">SUM(_xlfn.XLOOKUP(R123:AF123,增益!$A:$A,增益!$W:$W,0))+$I$5</f>
        <v>0.31</v>
      </c>
    </row>
    <row r="124" spans="1:69">
      <c r="A124" t="s">
        <v>174</v>
      </c>
      <c r="B124">
        <v>1</v>
      </c>
      <c r="D124" s="40"/>
      <c r="F124" s="40"/>
      <c r="K124" s="39">
        <f t="shared" si="33"/>
        <v>866116.50465732</v>
      </c>
      <c r="L124" s="39">
        <f>((($AN124+($AO124-$AN124)*IF(VLOOKUP($Q124,武学奇术!$A:$ZZ,31,FALSE)=1,$F$18,0.5))*$AH124+$AI124)*(1+$AP124)*(1+$AQ124)+(($AS124+($AT124-$AS124)*IF(VLOOKUP($Q124,武学奇术!$A:$ZZ,31,FALSE)=1,$F$18,0.5))*IF($G$1="鸣金",$AJ124,$AH124)+IF($G$1="鸣金",$AK124*1.5,0))*(1+$AU124)*(1+$AV124)+(($AW124+($AX124-$AW124)*IF(VLOOKUP($Q124,武学奇术!$A:$ZZ,31,FALSE)=1,$F$18,0.5))*IF($G$1="裂石",$AJ124,$AH124)+IF($G$1="裂石",$AK124*1.5,0))*(1+$AY124)*(1+$AZ124)+(($BA124+($BB124-$BA124)*IF(VLOOKUP($Q124,武学奇术!$A:$ZZ,31,FALSE)=1,$F$18,0.5))*IF($G$1="牵丝",$AJ124,$AH124)+IF($G$1="牵丝",$AK124*1.5,0))*(1+$BC124)*(1+$BD124)+(($BE124+($BF124-$BE124)*IF(VLOOKUP($Q124,武学奇术!$A:$ZZ,31,FALSE)=1,$F$18,0.5))*IF($G$1="破竹",$AJ124,$AH124)+IF($G$1="破竹",$AK124*1.5,0))*(1+$BG124)*(1+$BH124))*(1+$AL124)*$BK124*$P124*(1+IF(VLOOKUP($Q124,武学奇术!$A:$ZZ,30,FALSE)="蓄力技",$B$21,0))*(1+$BQ124)</f>
        <v>866116.50465732</v>
      </c>
      <c r="M124" s="39">
        <f>(($AO124*$AH124+$AI124)*(1+$AP124)*(1+$AQ124)+($AT124*IF($G$1="鸣金",$AJ124,$AH124)+IF($G$1="鸣金",$AK124*1.5,0))*(1+$AU124)*(1+$AV124)+($AX124*IF($G$1="裂石",$AJ124,$AH124)+IF($G$1="裂石",$AK124*1.5,0))*(1+$AY124)*(1+$AZ124)+($BB124*IF($G$1="牵丝",$AJ124,$AH124)+IF($G$1="牵丝",$AK124*1.5,0))*(1+$BC124)*(1+$BD124)+($BF124*IF($G$1="破竹",$AJ124,$AH124)+IF($G$1="破竹",$AK124*1.5,0))*(1+$BG124)*(1+$BH124))*(1+$AL124)*$BM124*$P124*(1+IF(VLOOKUP($Q124,武学奇术!$A:$ZZ,30,FALSE)="蓄力技",$B$21,0))*(1+$BQ124)</f>
        <v>544122.597901936</v>
      </c>
      <c r="N124" s="39">
        <f>((($AN124+($AO124-$AN124)*IF(VLOOKUP($Q124,武学奇术!$A:$ZZ,31,FALSE)=1,$F$18,0.5))*$AH124+$AI124)*(1+$AP124)*(1+$AQ124)+(($AS124+($AT124-$AS124)*IF(VLOOKUP($Q124,武学奇术!$A:$ZZ,31,FALSE)=1,$F$18,0.5))*IF($G$1="鸣金",$AJ124,$AH124)+IF($G$1="鸣金",$AK124*1.5,0))*(1+$AU124)*(1+$AV124)+(($AW124+($AX124-$AW124)*IF(VLOOKUP($Q124,武学奇术!$A:$ZZ,31,FALSE)=1,$F$18,0.5))*IF($G$1="裂石",$AJ124,$AH124)+IF($G$1="裂石",$AK124*1.5,0))*(1+$AY124)*(1+$AZ124)+(($BA124+($BB124-$BA124)*IF(VLOOKUP($Q124,武学奇术!$A:$ZZ,31,FALSE)=1,$F$18,0.5))*IF($G$1="牵丝",$AJ124,$AH124)+IF($G$1="牵丝",$AK124*1.5,0))*(1+$BC124)*(1+$BD124)+(($BE124+($BF124-$BE124)*IF(VLOOKUP($Q124,武学奇术!$A:$ZZ,31,FALSE)=1,$F$18,0.5))*IF($G$1="破竹",$AJ124,$AH124)+IF($G$1="破竹",$AK124*1.5,0))*(1+$BG124)*(1+$BH124))*(1+$AL124)*$P124*(1+IF(VLOOKUP($Q124,武学奇术!$A:$ZZ,30,FALSE)="蓄力技",$B$21,0))*(1+$BQ124)</f>
        <v>362391.842952853</v>
      </c>
      <c r="O124" s="39">
        <f>((($AN124*$AH124+$AI124)*(1+$AP124)*(1+$AQ124)+($AS124*IF($G$1="鸣金",$AJ124,$AH124)+IF($G$1="鸣金",$AK124*1.5,0))*(1+$AU124)*(1+$AV124)+($AW124*IF($G$1="裂石",$AJ124,$AH124)+IF($G$1="裂石",$AK124*1.5,0))*(1+$AY124)*(1+$AZ124)+($BA124*IF($G$1="牵丝",$AJ124,$AH124)+IF($G$1="牵丝",$AK124*1.5,0))*(1+$BC124)*(1+$BD124)+($BE124*IF($G$1="破竹",$AJ124,$AH124)+IF($G$1="破竹",$AK124*1.5,0))*(1+$BG124)*(1+$BH124))*(1+$AL124))*$P124*(1+IF(VLOOKUP($Q124,武学奇术!$A:$ZZ,30,FALSE)="蓄力技",$B$21,0))*(1+$BQ124)</f>
        <v>321729.90968205</v>
      </c>
      <c r="P124" s="40">
        <v>1</v>
      </c>
      <c r="Q124" s="41" t="s">
        <v>125</v>
      </c>
      <c r="R124" s="41" t="s">
        <v>93</v>
      </c>
      <c r="S124" s="41" t="s">
        <v>118</v>
      </c>
      <c r="T124" s="41" t="s">
        <v>72</v>
      </c>
      <c r="U124" s="41" t="s">
        <v>72</v>
      </c>
      <c r="V124" s="41" t="s">
        <v>72</v>
      </c>
      <c r="W124" s="41" t="s">
        <v>72</v>
      </c>
      <c r="X124" s="41" t="s">
        <v>165</v>
      </c>
      <c r="Y124" s="41" t="s">
        <v>81</v>
      </c>
      <c r="Z124" s="41" t="s">
        <v>101</v>
      </c>
      <c r="AA124" s="41" t="s">
        <v>72</v>
      </c>
      <c r="AB124" s="41" t="s">
        <v>72</v>
      </c>
      <c r="AC124" s="41" t="s">
        <v>72</v>
      </c>
      <c r="AD124" s="41" t="s">
        <v>72</v>
      </c>
      <c r="AE124" s="41" t="s">
        <v>75</v>
      </c>
      <c r="AF124" s="41" t="s">
        <v>72</v>
      </c>
      <c r="AG124" t="str">
        <f>VLOOKUP($Q124,武学奇术!$A:$ZZ,25,FALSE)</f>
        <v>拳甲</v>
      </c>
      <c r="AH124" s="27">
        <f>VLOOKUP($Q124,武学奇术!$A:$ZZ,26,FALSE)</f>
        <v>16.8107</v>
      </c>
      <c r="AI124" s="28">
        <f>VLOOKUP($Q124,武学奇术!$A:$ZZ,27,FALSE)*(1+IF(OR($AG124=$F$4,$AG124=$F$5),$B$22,0))</f>
        <v>6505.8</v>
      </c>
      <c r="AJ124" s="27">
        <f>VLOOKUP($Q124,武学奇术!$A:$ZZ,28,FALSE)</f>
        <v>25.2161</v>
      </c>
      <c r="AK124" s="28">
        <f>VLOOKUP($Q124,武学奇术!$A:$ZZ,29,FALSE)*(1+IF(OR($AG124=$F$4,$AG124=$F$5),$B$22,0))</f>
        <v>3546.2</v>
      </c>
      <c r="AL124" s="27" cm="1">
        <f t="array" ref="AL124">$G$3+IFERROR(VLOOKUP($AG124,$F$4:$G$7,2,FALSE),0)+VLOOKUP($Q124,武学奇术!$A:$ZZ,2,FALSE)+SUM(_xlfn.XLOOKUP($R124:$AF124,增益!$A:$A,增益!$B:$B,0))</f>
        <v>0.7041</v>
      </c>
      <c r="AM124" s="27" cm="1">
        <f t="array" ref="AM124">VLOOKUP($Q124,武学奇术!$A:$ZZ,5,FALSE)+SUM(_xlfn.XLOOKUP($R124:$AF124,增益!$A:$A,增益!$E:$E,0))</f>
        <v>0</v>
      </c>
      <c r="AN124" cm="1">
        <f t="array" ref="AN124">$D$10*(1+$AM124)+VLOOKUP($Q124,武学奇术!$A:$ZZ,3,FALSE)+SUM(_xlfn.XLOOKUP($R124:$AF124,增益!$A:$A,增益!$C:$C,0))-$I$2</f>
        <v>3804.006</v>
      </c>
      <c r="AO124" cm="1">
        <f t="array" ref="AO124">$E$10*(1+$AM124)+VLOOKUP($Q124,武学奇术!$A:$ZZ,4,FALSE)+SUM(_xlfn.XLOOKUP($R124:$AF124,增益!$A:$A,增益!$D:$D,0))-$I$2</f>
        <v>3804.006</v>
      </c>
      <c r="AP124" s="33" cm="1">
        <f t="array" ref="AP124">IF($F$10-$I$3+VLOOKUP($Q124,武学奇术!$A:$ZZ,6,FALSE)+SUM(_xlfn.XLOOKUP(R124:AF124,增益!$A:$A,增益!$F:$F,0))&gt;0,($F$10-$I$3+VLOOKUP($Q124,武学奇术!$A:$ZZ,6,FALSE)+SUM(_xlfn.XLOOKUP(R124:AF124,增益!$A:$A,增益!$F:$F,0)))/200,($F$10-$I$3+VLOOKUP($Q124,武学奇术!$A:$ZZ,6,FALSE)+SUM(_xlfn.XLOOKUP(R124:AF124,增益!$A:$A,增益!$F:$F,0)))/100)</f>
        <v>0.472</v>
      </c>
      <c r="AQ124" s="33" cm="1">
        <f t="array" ref="AQ124">$G$10+VLOOKUP($Q124,武学奇术!$A:$ZZ,7,FALSE)+SUM(_xlfn.XLOOKUP(R124:AF124,增益!$A:$A,增益!$G:$G,0))</f>
        <v>0</v>
      </c>
      <c r="AR124" s="27" cm="1">
        <f t="array" ref="AR124">VLOOKUP($Q124,武学奇术!$A:$ZZ,8,FALSE)+SUM(_xlfn.XLOOKUP(R124:AF124,增益!$A:$A,增益!$H:$H,0))</f>
        <v>0</v>
      </c>
      <c r="AS124">
        <f t="shared" si="34"/>
        <v>0</v>
      </c>
      <c r="AT124">
        <f t="shared" si="35"/>
        <v>0</v>
      </c>
      <c r="AU124" s="33" cm="1">
        <f t="array" ref="AU124">IF($F$11-$I$4+VLOOKUP($Q124,武学奇术!$A:$ZZ,9,FALSE)+SUM(_xlfn.XLOOKUP(R124:AF124,增益!$A:$A,增益!$I:$I,0))&gt;0,($F$11-$I$4+VLOOKUP($Q124,武学奇术!$A:$ZZ,9,FALSE)+SUM(_xlfn.XLOOKUP(R124:AF124,增益!$A:$A,增益!$I:$I,0)))/200,($F$11-$I$4+VLOOKUP($Q124,武学奇术!$A:$ZZ,9,FALSE)+SUM(_xlfn.XLOOKUP(R124:AF124,增益!$A:$A,增益!$I:$I,0)))/100)</f>
        <v>-0.08</v>
      </c>
      <c r="AV124" s="33" cm="1">
        <f t="array" ref="AV124">$G$11+VLOOKUP($Q124,武学奇术!$A:$ZZ,10,FALSE)+SUM(_xlfn.XLOOKUP(R124:AF124,增益!$A:$A,增益!$J:$J,0))</f>
        <v>0</v>
      </c>
      <c r="AW124">
        <f t="shared" si="36"/>
        <v>0</v>
      </c>
      <c r="AX124">
        <f t="shared" si="37"/>
        <v>0</v>
      </c>
      <c r="AY124" s="33" cm="1">
        <f t="array" ref="AY124">IF($F$12-$I$4+VLOOKUP($Q124,武学奇术!$A:$ZZ,11,FALSE)+SUM(_xlfn.XLOOKUP(R124:AF124,增益!$A:$A,增益!$K:$K,0))&gt;0,($F$12-$I$4+VLOOKUP($Q124,武学奇术!$A:$ZZ,11,FALSE)+SUM(_xlfn.XLOOKUP(R124:AF124,增益!$A:$A,增益!$K:$K,0)))/200,($F$12-$I$4+VLOOKUP($Q124,武学奇术!$A:$ZZ,11,FALSE)+SUM(_xlfn.XLOOKUP(R124:AF124,增益!$A:$A,增益!$K:$K,0)))/100)</f>
        <v>-0.08</v>
      </c>
      <c r="AZ124" s="33" cm="1">
        <f t="array" ref="AZ124">$G$12+VLOOKUP($Q124,武学奇术!$A:$ZZ,12,FALSE)+SUM(_xlfn.XLOOKUP(R124:AF124,增益!$A:$A,增益!$L:$L,0))</f>
        <v>0</v>
      </c>
      <c r="BA124">
        <f t="shared" si="38"/>
        <v>0</v>
      </c>
      <c r="BB124">
        <f t="shared" si="39"/>
        <v>0</v>
      </c>
      <c r="BC124" s="33" cm="1">
        <f t="array" ref="BC124">IF($F$13-$I$4+VLOOKUP($Q124,武学奇术!$A:$ZZ,13,FALSE)+SUM(_xlfn.XLOOKUP(R124:AF124,增益!$A:$A,增益!$M:$M,0))&gt;0,($F$13-$I$4+VLOOKUP($Q124,武学奇术!$A:$ZZ,13,FALSE)+SUM(_xlfn.XLOOKUP(R124:AF124,增益!$A:$A,增益!$K:$K,0)))/200,($F$13-$I$4+VLOOKUP($Q124,武学奇术!$A:$ZZ,13,FALSE)+SUM(_xlfn.XLOOKUP(R124:AF124,增益!$A:$A,增益!$M:$M,0)))/100)</f>
        <v>-0.08</v>
      </c>
      <c r="BD124" s="33" cm="1">
        <f t="array" ref="BD124">$G$13+VLOOKUP($Q124,武学奇术!$A:$ZZ,14,FALSE)+SUM(_xlfn.XLOOKUP(R124:AF124,增益!$A:$A,增益!$N:$N,0))</f>
        <v>0</v>
      </c>
      <c r="BE124">
        <f t="shared" si="40"/>
        <v>570.28</v>
      </c>
      <c r="BF124">
        <f t="shared" si="41"/>
        <v>1582.156</v>
      </c>
      <c r="BG124" s="33" cm="1">
        <f t="array" ref="BG124">IF($F$14-$I$4+VLOOKUP($Q124,武学奇术!$A:$ZZ,15,FALSE)+SUM(_xlfn.XLOOKUP(R124:AF124,增益!$A:$A,增益!$O:$O,0))&gt;0,($F$14-$I$4+VLOOKUP($Q124,武学奇术!$A:$ZZ,15,FALSE)+SUM(_xlfn.XLOOKUP(R124:AF124,增益!$A:$A,增益!$O:$O,0)))/200,($F$14-$I$4+VLOOKUP($Q124,武学奇术!$A:$ZZ,15,FALSE)+SUM(_xlfn.XLOOKUP(R124:AF124,增益!$A:$A,增益!$O:$O,0)))/100)</f>
        <v>0.11</v>
      </c>
      <c r="BH124" s="33" cm="1">
        <f t="array" ref="BH124">$G$14+VLOOKUP($Q124,武学奇术!$A:$ZZ,16,FALSE)+SUM(_xlfn.XLOOKUP(R124:AF124,增益!$A:$A,增益!$P:$P,0))</f>
        <v>0.15</v>
      </c>
      <c r="BI124" s="27">
        <f>MIN(IF(VLOOKUP($Q124,武学奇术!$A:$ZZ,23,FALSE)=1,100%,$B$8),100%)</f>
        <v>1</v>
      </c>
      <c r="BJ124" s="27" cm="1">
        <f t="array" ref="BJ124">IF(VLOOKUP($Q124,武学奇术!$A:$ZZ,23,FALSE)=1,100%,MIN(80%,$B$9+VLOOKUP($Q124,武学奇术!$A:$ZZ,17,FALSE)+SUM(_xlfn.XLOOKUP(R124:AF124,增益!$A:$A,增益!$Q:$Q,0)))+$B$11+SUM(_xlfn.XLOOKUP(R124:AF124,增益!$A:$A,增益!$U:$U,0)))*IF(VLOOKUP($Q124,武学奇术!$A:$ZZ,24,FALSE)=1,0,1)+MIN(IF(VLOOKUP($Q124,武学奇术!$A:$ZZ,32,FALSE)=1,IF(VLOOKUP($Q124,武学奇术!$A:$ZZ,24,FALSE)=1,100%,MIN(40%,$B$10+VLOOKUP($Q124,武学奇术!$A:$ZZ,19,FALSE)+SUM(_xlfn.XLOOKUP(R124:AF124,增益!$A:$A,增益!$S:$S,0)))+$B$12+SUM(_xlfn.XLOOKUP(R124:AF124,增益!$A:$A,增益!$V:$V,0))),0),12%)</f>
        <v>1.0075</v>
      </c>
      <c r="BK124" s="27" cm="1">
        <f t="array" ref="BK124">1+$B$13+VLOOKUP($Q124,武学奇术!$A:$ZZ,18,FALSE)+SUM(_xlfn.XLOOKUP(R124:AF124,增益!$A:$A,增益!$R:$R,0))</f>
        <v>2.39</v>
      </c>
      <c r="BL124" s="27" cm="1">
        <f t="array" ref="BL124">MAX(IF(VLOOKUP($Q124,武学奇术!$A:$ZZ,24,FALSE)=1,100%,MIN(40%,$B$10+VLOOKUP($Q124,武学奇术!$A:$ZZ,19,FALSE)+SUM(_xlfn.XLOOKUP(R124:AF124,增益!$A:$A,增益!$S:$S,0)))+$B$12+SUM(_xlfn.XLOOKUP(R124:AF124,增益!$A:$A,增益!$V:$V,0)))*IF(VLOOKUP($Q124,武学奇术!$A:$ZZ,23,FALSE)=1,0,1)-IF(VLOOKUP($Q124,武学奇术!$A:$ZZ,32,FALSE)=1,12%,0),0)</f>
        <v>0</v>
      </c>
      <c r="BM124" s="27" cm="1">
        <f t="array" ref="BM124">1+$B$14+VLOOKUP($Q124,武学奇术!$A:$ZZ,20,FALSE)+SUM(_xlfn.XLOOKUP(R124:AF124,增益!$A:$A,增益!$T:$T,0))</f>
        <v>1.35</v>
      </c>
      <c r="BN124" s="27">
        <f t="shared" si="31"/>
        <v>1</v>
      </c>
      <c r="BO124" s="27">
        <f t="shared" si="32"/>
        <v>0</v>
      </c>
      <c r="BP124" s="27">
        <f>IF(VLOOKUP($Q124,武学奇术!$A:$ZZ,22,FALSE)=1,0,(1-$BI124))*(1-$BL124)</f>
        <v>0</v>
      </c>
      <c r="BQ124" s="27" cm="1">
        <f t="array" ref="BQ124">SUM(_xlfn.XLOOKUP(R124:AF124,增益!$A:$A,增益!$W:$W,0))+$I$5</f>
        <v>0.11</v>
      </c>
    </row>
    <row r="125" spans="1:69">
      <c r="A125" t="s">
        <v>153</v>
      </c>
      <c r="B125">
        <v>0.1</v>
      </c>
      <c r="D125" s="40"/>
      <c r="F125" s="40"/>
      <c r="K125" s="39">
        <f t="shared" si="33"/>
        <v>333465.822280967</v>
      </c>
      <c r="L125" s="39">
        <f>((($AN125+($AO125-$AN125)*IF(VLOOKUP($Q125,武学奇术!$A:$ZZ,31,FALSE)=1,$F$18,0.5))*$AH125+$AI125)*(1+$AP125)*(1+$AQ125)+(($AS125+($AT125-$AS125)*IF(VLOOKUP($Q125,武学奇术!$A:$ZZ,31,FALSE)=1,$F$18,0.5))*IF($G$1="鸣金",$AJ125,$AH125)+IF($G$1="鸣金",$AK125*1.5,0))*(1+$AU125)*(1+$AV125)+(($AW125+($AX125-$AW125)*IF(VLOOKUP($Q125,武学奇术!$A:$ZZ,31,FALSE)=1,$F$18,0.5))*IF($G$1="裂石",$AJ125,$AH125)+IF($G$1="裂石",$AK125*1.5,0))*(1+$AY125)*(1+$AZ125)+(($BA125+($BB125-$BA125)*IF(VLOOKUP($Q125,武学奇术!$A:$ZZ,31,FALSE)=1,$F$18,0.5))*IF($G$1="牵丝",$AJ125,$AH125)+IF($G$1="牵丝",$AK125*1.5,0))*(1+$BC125)*(1+$BD125)+(($BE125+($BF125-$BE125)*IF(VLOOKUP($Q125,武学奇术!$A:$ZZ,31,FALSE)=1,$F$18,0.5))*IF($G$1="破竹",$AJ125,$AH125)+IF($G$1="破竹",$AK125*1.5,0))*(1+$BG125)*(1+$BH125))*(1+$AL125)*$BK125*$P125*(1+IF(VLOOKUP($Q125,武学奇术!$A:$ZZ,30,FALSE)="蓄力技",$B$21,0))*(1+$BQ125)</f>
        <v>333465.822280967</v>
      </c>
      <c r="M125" s="39">
        <f>(($AO125*$AH125+$AI125)*(1+$AP125)*(1+$AQ125)+($AT125*IF($G$1="鸣金",$AJ125,$AH125)+IF($G$1="鸣金",$AK125*1.5,0))*(1+$AU125)*(1+$AV125)+($AX125*IF($G$1="裂石",$AJ125,$AH125)+IF($G$1="裂石",$AK125*1.5,0))*(1+$AY125)*(1+$AZ125)+($BB125*IF($G$1="牵丝",$AJ125,$AH125)+IF($G$1="牵丝",$AK125*1.5,0))*(1+$BC125)*(1+$BD125)+($BF125*IF($G$1="破竹",$AJ125,$AH125)+IF($G$1="破竹",$AK125*1.5,0))*(1+$BG125)*(1+$BH125))*(1+$AL125)*$BM125*$P125*(1+IF(VLOOKUP($Q125,武学奇术!$A:$ZZ,30,FALSE)="蓄力技",$B$21,0))*(1+$BQ125)</f>
        <v>209493.572918771</v>
      </c>
      <c r="N125" s="39">
        <f>((($AN125+($AO125-$AN125)*IF(VLOOKUP($Q125,武学奇术!$A:$ZZ,31,FALSE)=1,$F$18,0.5))*$AH125+$AI125)*(1+$AP125)*(1+$AQ125)+(($AS125+($AT125-$AS125)*IF(VLOOKUP($Q125,武学奇术!$A:$ZZ,31,FALSE)=1,$F$18,0.5))*IF($G$1="鸣金",$AJ125,$AH125)+IF($G$1="鸣金",$AK125*1.5,0))*(1+$AU125)*(1+$AV125)+(($AW125+($AX125-$AW125)*IF(VLOOKUP($Q125,武学奇术!$A:$ZZ,31,FALSE)=1,$F$18,0.5))*IF($G$1="裂石",$AJ125,$AH125)+IF($G$1="裂石",$AK125*1.5,0))*(1+$AY125)*(1+$AZ125)+(($BA125+($BB125-$BA125)*IF(VLOOKUP($Q125,武学奇术!$A:$ZZ,31,FALSE)=1,$F$18,0.5))*IF($G$1="牵丝",$AJ125,$AH125)+IF($G$1="牵丝",$AK125*1.5,0))*(1+$BC125)*(1+$BD125)+(($BE125+($BF125-$BE125)*IF(VLOOKUP($Q125,武学奇术!$A:$ZZ,31,FALSE)=1,$F$18,0.5))*IF($G$1="破竹",$AJ125,$AH125)+IF($G$1="破竹",$AK125*1.5,0))*(1+$BG125)*(1+$BH125))*(1+$AL125)*$P125*(1+IF(VLOOKUP($Q125,武学奇术!$A:$ZZ,30,FALSE)="蓄力技",$B$21,0))*(1+$BQ125)</f>
        <v>139525.448653124</v>
      </c>
      <c r="O125" s="39">
        <f>((($AN125*$AH125+$AI125)*(1+$AP125)*(1+$AQ125)+($AS125*IF($G$1="鸣金",$AJ125,$AH125)+IF($G$1="鸣金",$AK125*1.5,0))*(1+$AU125)*(1+$AV125)+($AW125*IF($G$1="裂石",$AJ125,$AH125)+IF($G$1="裂石",$AK125*1.5,0))*(1+$AY125)*(1+$AZ125)+($BA125*IF($G$1="牵丝",$AJ125,$AH125)+IF($G$1="牵丝",$AK125*1.5,0))*(1+$BC125)*(1+$BD125)+($BE125*IF($G$1="破竹",$AJ125,$AH125)+IF($G$1="破竹",$AK125*1.5,0))*(1+$BG125)*(1+$BH125))*(1+$AL125))*$P125*(1+IF(VLOOKUP($Q125,武学奇术!$A:$ZZ,30,FALSE)="蓄力技",$B$21,0))*(1+$BQ125)</f>
        <v>123870.472921973</v>
      </c>
      <c r="P125" s="40">
        <v>1</v>
      </c>
      <c r="Q125" s="41" t="s">
        <v>129</v>
      </c>
      <c r="R125" s="41" t="s">
        <v>93</v>
      </c>
      <c r="S125" s="41" t="s">
        <v>118</v>
      </c>
      <c r="T125" s="41" t="s">
        <v>72</v>
      </c>
      <c r="U125" s="41" t="s">
        <v>72</v>
      </c>
      <c r="V125" s="41" t="s">
        <v>72</v>
      </c>
      <c r="W125" s="41" t="s">
        <v>72</v>
      </c>
      <c r="X125" s="41" t="s">
        <v>165</v>
      </c>
      <c r="Y125" s="41" t="s">
        <v>81</v>
      </c>
      <c r="Z125" s="41" t="s">
        <v>101</v>
      </c>
      <c r="AA125" s="41" t="s">
        <v>72</v>
      </c>
      <c r="AB125" s="41" t="s">
        <v>72</v>
      </c>
      <c r="AC125" s="41" t="s">
        <v>72</v>
      </c>
      <c r="AD125" s="41" t="s">
        <v>72</v>
      </c>
      <c r="AE125" s="41" t="s">
        <v>75</v>
      </c>
      <c r="AF125" s="41" t="s">
        <v>72</v>
      </c>
      <c r="AG125" t="str">
        <f>VLOOKUP($Q125,武学奇术!$A:$ZZ,25,FALSE)</f>
        <v>拳甲</v>
      </c>
      <c r="AH125" s="27">
        <f>VLOOKUP($Q125,武学奇术!$A:$ZZ,26,FALSE)</f>
        <v>6.4722</v>
      </c>
      <c r="AI125" s="28">
        <f>VLOOKUP($Q125,武学奇术!$A:$ZZ,27,FALSE)*(1+IF(OR($AG125=$F$4,$AG125=$F$5),$B$22,0))</f>
        <v>2504.88</v>
      </c>
      <c r="AJ125" s="27">
        <f>VLOOKUP($Q125,武学奇术!$A:$ZZ,28,FALSE)</f>
        <v>9.70828</v>
      </c>
      <c r="AK125" s="28">
        <f>VLOOKUP($Q125,武学奇术!$A:$ZZ,29,FALSE)*(1+IF(OR($AG125=$F$4,$AG125=$F$5),$B$22,0))</f>
        <v>1365.84</v>
      </c>
      <c r="AL125" s="27" cm="1">
        <f t="array" ref="AL125">$G$3+IFERROR(VLOOKUP($AG125,$F$4:$G$7,2,FALSE),0)+VLOOKUP($Q125,武学奇术!$A:$ZZ,2,FALSE)+SUM(_xlfn.XLOOKUP($R125:$AF125,增益!$A:$A,增益!$B:$B,0))</f>
        <v>0.7041</v>
      </c>
      <c r="AM125" s="27" cm="1">
        <f t="array" ref="AM125">VLOOKUP($Q125,武学奇术!$A:$ZZ,5,FALSE)+SUM(_xlfn.XLOOKUP($R125:$AF125,增益!$A:$A,增益!$E:$E,0))</f>
        <v>0</v>
      </c>
      <c r="AN125" cm="1">
        <f t="array" ref="AN125">$D$10*(1+$AM125)+VLOOKUP($Q125,武学奇术!$A:$ZZ,3,FALSE)+SUM(_xlfn.XLOOKUP($R125:$AF125,增益!$A:$A,增益!$C:$C,0))-$I$2</f>
        <v>3804.006</v>
      </c>
      <c r="AO125" cm="1">
        <f t="array" ref="AO125">$E$10*(1+$AM125)+VLOOKUP($Q125,武学奇术!$A:$ZZ,4,FALSE)+SUM(_xlfn.XLOOKUP($R125:$AF125,增益!$A:$A,增益!$D:$D,0))-$I$2</f>
        <v>3804.006</v>
      </c>
      <c r="AP125" s="33" cm="1">
        <f t="array" ref="AP125">IF($F$10-$I$3+VLOOKUP($Q125,武学奇术!$A:$ZZ,6,FALSE)+SUM(_xlfn.XLOOKUP(R125:AF125,增益!$A:$A,增益!$F:$F,0))&gt;0,($F$10-$I$3+VLOOKUP($Q125,武学奇术!$A:$ZZ,6,FALSE)+SUM(_xlfn.XLOOKUP(R125:AF125,增益!$A:$A,增益!$F:$F,0)))/200,($F$10-$I$3+VLOOKUP($Q125,武学奇术!$A:$ZZ,6,FALSE)+SUM(_xlfn.XLOOKUP(R125:AF125,增益!$A:$A,增益!$F:$F,0)))/100)</f>
        <v>0.472</v>
      </c>
      <c r="AQ125" s="33" cm="1">
        <f t="array" ref="AQ125">$G$10+VLOOKUP($Q125,武学奇术!$A:$ZZ,7,FALSE)+SUM(_xlfn.XLOOKUP(R125:AF125,增益!$A:$A,增益!$G:$G,0))</f>
        <v>0</v>
      </c>
      <c r="AR125" s="27" cm="1">
        <f t="array" ref="AR125">VLOOKUP($Q125,武学奇术!$A:$ZZ,8,FALSE)+SUM(_xlfn.XLOOKUP(R125:AF125,增益!$A:$A,增益!$H:$H,0))</f>
        <v>0</v>
      </c>
      <c r="AS125">
        <f t="shared" si="34"/>
        <v>0</v>
      </c>
      <c r="AT125">
        <f t="shared" si="35"/>
        <v>0</v>
      </c>
      <c r="AU125" s="33" cm="1">
        <f t="array" ref="AU125">IF($F$11-$I$4+VLOOKUP($Q125,武学奇术!$A:$ZZ,9,FALSE)+SUM(_xlfn.XLOOKUP(R125:AF125,增益!$A:$A,增益!$I:$I,0))&gt;0,($F$11-$I$4+VLOOKUP($Q125,武学奇术!$A:$ZZ,9,FALSE)+SUM(_xlfn.XLOOKUP(R125:AF125,增益!$A:$A,增益!$I:$I,0)))/200,($F$11-$I$4+VLOOKUP($Q125,武学奇术!$A:$ZZ,9,FALSE)+SUM(_xlfn.XLOOKUP(R125:AF125,增益!$A:$A,增益!$I:$I,0)))/100)</f>
        <v>-0.08</v>
      </c>
      <c r="AV125" s="33" cm="1">
        <f t="array" ref="AV125">$G$11+VLOOKUP($Q125,武学奇术!$A:$ZZ,10,FALSE)+SUM(_xlfn.XLOOKUP(R125:AF125,增益!$A:$A,增益!$J:$J,0))</f>
        <v>0</v>
      </c>
      <c r="AW125">
        <f t="shared" si="36"/>
        <v>0</v>
      </c>
      <c r="AX125">
        <f t="shared" si="37"/>
        <v>0</v>
      </c>
      <c r="AY125" s="33" cm="1">
        <f t="array" ref="AY125">IF($F$12-$I$4+VLOOKUP($Q125,武学奇术!$A:$ZZ,11,FALSE)+SUM(_xlfn.XLOOKUP(R125:AF125,增益!$A:$A,增益!$K:$K,0))&gt;0,($F$12-$I$4+VLOOKUP($Q125,武学奇术!$A:$ZZ,11,FALSE)+SUM(_xlfn.XLOOKUP(R125:AF125,增益!$A:$A,增益!$K:$K,0)))/200,($F$12-$I$4+VLOOKUP($Q125,武学奇术!$A:$ZZ,11,FALSE)+SUM(_xlfn.XLOOKUP(R125:AF125,增益!$A:$A,增益!$K:$K,0)))/100)</f>
        <v>-0.08</v>
      </c>
      <c r="AZ125" s="33" cm="1">
        <f t="array" ref="AZ125">$G$12+VLOOKUP($Q125,武学奇术!$A:$ZZ,12,FALSE)+SUM(_xlfn.XLOOKUP(R125:AF125,增益!$A:$A,增益!$L:$L,0))</f>
        <v>0</v>
      </c>
      <c r="BA125">
        <f t="shared" si="38"/>
        <v>0</v>
      </c>
      <c r="BB125">
        <f t="shared" si="39"/>
        <v>0</v>
      </c>
      <c r="BC125" s="33" cm="1">
        <f t="array" ref="BC125">IF($F$13-$I$4+VLOOKUP($Q125,武学奇术!$A:$ZZ,13,FALSE)+SUM(_xlfn.XLOOKUP(R125:AF125,增益!$A:$A,增益!$M:$M,0))&gt;0,($F$13-$I$4+VLOOKUP($Q125,武学奇术!$A:$ZZ,13,FALSE)+SUM(_xlfn.XLOOKUP(R125:AF125,增益!$A:$A,增益!$K:$K,0)))/200,($F$13-$I$4+VLOOKUP($Q125,武学奇术!$A:$ZZ,13,FALSE)+SUM(_xlfn.XLOOKUP(R125:AF125,增益!$A:$A,增益!$M:$M,0)))/100)</f>
        <v>-0.08</v>
      </c>
      <c r="BD125" s="33" cm="1">
        <f t="array" ref="BD125">$G$13+VLOOKUP($Q125,武学奇术!$A:$ZZ,14,FALSE)+SUM(_xlfn.XLOOKUP(R125:AF125,增益!$A:$A,增益!$N:$N,0))</f>
        <v>0</v>
      </c>
      <c r="BE125">
        <f t="shared" si="40"/>
        <v>570.28</v>
      </c>
      <c r="BF125">
        <f t="shared" si="41"/>
        <v>1582.156</v>
      </c>
      <c r="BG125" s="33" cm="1">
        <f t="array" ref="BG125">IF($F$14-$I$4+VLOOKUP($Q125,武学奇术!$A:$ZZ,15,FALSE)+SUM(_xlfn.XLOOKUP(R125:AF125,增益!$A:$A,增益!$O:$O,0))&gt;0,($F$14-$I$4+VLOOKUP($Q125,武学奇术!$A:$ZZ,15,FALSE)+SUM(_xlfn.XLOOKUP(R125:AF125,增益!$A:$A,增益!$O:$O,0)))/200,($F$14-$I$4+VLOOKUP($Q125,武学奇术!$A:$ZZ,15,FALSE)+SUM(_xlfn.XLOOKUP(R125:AF125,增益!$A:$A,增益!$O:$O,0)))/100)</f>
        <v>0.11</v>
      </c>
      <c r="BH125" s="33" cm="1">
        <f t="array" ref="BH125">$G$14+VLOOKUP($Q125,武学奇术!$A:$ZZ,16,FALSE)+SUM(_xlfn.XLOOKUP(R125:AF125,增益!$A:$A,增益!$P:$P,0))</f>
        <v>0.15</v>
      </c>
      <c r="BI125" s="27">
        <f>MIN(IF(VLOOKUP($Q125,武学奇术!$A:$ZZ,23,FALSE)=1,100%,$B$8),100%)</f>
        <v>1</v>
      </c>
      <c r="BJ125" s="27" cm="1">
        <f t="array" ref="BJ125">IF(VLOOKUP($Q125,武学奇术!$A:$ZZ,23,FALSE)=1,100%,MIN(80%,$B$9+VLOOKUP($Q125,武学奇术!$A:$ZZ,17,FALSE)+SUM(_xlfn.XLOOKUP(R125:AF125,增益!$A:$A,增益!$Q:$Q,0)))+$B$11+SUM(_xlfn.XLOOKUP(R125:AF125,增益!$A:$A,增益!$U:$U,0)))*IF(VLOOKUP($Q125,武学奇术!$A:$ZZ,24,FALSE)=1,0,1)+MIN(IF(VLOOKUP($Q125,武学奇术!$A:$ZZ,32,FALSE)=1,IF(VLOOKUP($Q125,武学奇术!$A:$ZZ,24,FALSE)=1,100%,MIN(40%,$B$10+VLOOKUP($Q125,武学奇术!$A:$ZZ,19,FALSE)+SUM(_xlfn.XLOOKUP(R125:AF125,增益!$A:$A,增益!$S:$S,0)))+$B$12+SUM(_xlfn.XLOOKUP(R125:AF125,增益!$A:$A,增益!$V:$V,0))),0),12%)</f>
        <v>1.0075</v>
      </c>
      <c r="BK125" s="27" cm="1">
        <f t="array" ref="BK125">1+$B$13+VLOOKUP($Q125,武学奇术!$A:$ZZ,18,FALSE)+SUM(_xlfn.XLOOKUP(R125:AF125,增益!$A:$A,增益!$R:$R,0))</f>
        <v>2.39</v>
      </c>
      <c r="BL125" s="27" cm="1">
        <f t="array" ref="BL125">MAX(IF(VLOOKUP($Q125,武学奇术!$A:$ZZ,24,FALSE)=1,100%,MIN(40%,$B$10+VLOOKUP($Q125,武学奇术!$A:$ZZ,19,FALSE)+SUM(_xlfn.XLOOKUP(R125:AF125,增益!$A:$A,增益!$S:$S,0)))+$B$12+SUM(_xlfn.XLOOKUP(R125:AF125,增益!$A:$A,增益!$V:$V,0)))*IF(VLOOKUP($Q125,武学奇术!$A:$ZZ,23,FALSE)=1,0,1)-IF(VLOOKUP($Q125,武学奇术!$A:$ZZ,32,FALSE)=1,12%,0),0)</f>
        <v>0</v>
      </c>
      <c r="BM125" s="27" cm="1">
        <f t="array" ref="BM125">1+$B$14+VLOOKUP($Q125,武学奇术!$A:$ZZ,20,FALSE)+SUM(_xlfn.XLOOKUP(R125:AF125,增益!$A:$A,增益!$T:$T,0))</f>
        <v>1.35</v>
      </c>
      <c r="BN125" s="27">
        <f t="shared" si="31"/>
        <v>1</v>
      </c>
      <c r="BO125" s="27">
        <f t="shared" si="32"/>
        <v>0</v>
      </c>
      <c r="BP125" s="27">
        <f>IF(VLOOKUP($Q125,武学奇术!$A:$ZZ,22,FALSE)=1,0,(1-$BI125))*(1-$BL125)</f>
        <v>0</v>
      </c>
      <c r="BQ125" s="27" cm="1">
        <f t="array" ref="BQ125">SUM(_xlfn.XLOOKUP(R125:AF125,增益!$A:$A,增益!$W:$W,0))+$I$5</f>
        <v>0.11</v>
      </c>
    </row>
    <row r="126" spans="1:69">
      <c r="A126" t="s">
        <v>155</v>
      </c>
      <c r="B126">
        <v>0.9</v>
      </c>
      <c r="D126" s="40"/>
      <c r="F126" s="40"/>
      <c r="K126" s="39">
        <f t="shared" si="33"/>
        <v>135621.139254046</v>
      </c>
      <c r="L126" s="39">
        <f>((($AN126+($AO126-$AN126)*IF(VLOOKUP($Q126,武学奇术!$A:$ZZ,31,FALSE)=1,$F$18,0.5))*$AH126+$AI126)*(1+$AP126)*(1+$AQ126)+(($AS126+($AT126-$AS126)*IF(VLOOKUP($Q126,武学奇术!$A:$ZZ,31,FALSE)=1,$F$18,0.5))*IF($G$1="鸣金",$AJ126,$AH126)+IF($G$1="鸣金",$AK126*1.5,0))*(1+$AU126)*(1+$AV126)+(($AW126+($AX126-$AW126)*IF(VLOOKUP($Q126,武学奇术!$A:$ZZ,31,FALSE)=1,$F$18,0.5))*IF($G$1="裂石",$AJ126,$AH126)+IF($G$1="裂石",$AK126*1.5,0))*(1+$AY126)*(1+$AZ126)+(($BA126+($BB126-$BA126)*IF(VLOOKUP($Q126,武学奇术!$A:$ZZ,31,FALSE)=1,$F$18,0.5))*IF($G$1="牵丝",$AJ126,$AH126)+IF($G$1="牵丝",$AK126*1.5,0))*(1+$BC126)*(1+$BD126)+(($BE126+($BF126-$BE126)*IF(VLOOKUP($Q126,武学奇术!$A:$ZZ,31,FALSE)=1,$F$18,0.5))*IF($G$1="破竹",$AJ126,$AH126)+IF($G$1="破竹",$AK126*1.5,0))*(1+$BG126)*(1+$BH126))*(1+$AL126)*$BK126*$P126*(1+IF(VLOOKUP($Q126,武学奇术!$A:$ZZ,30,FALSE)="蓄力技",$B$21,0))*(1+$BQ126)</f>
        <v>138079.586207275</v>
      </c>
      <c r="M126" s="39">
        <f>(($AO126*$AH126+$AI126)*(1+$AP126)*(1+$AQ126)+($AT126*IF($G$1="鸣金",$AJ126,$AH126)+IF($G$1="鸣金",$AK126*1.5,0))*(1+$AU126)*(1+$AV126)+($AX126*IF($G$1="裂石",$AJ126,$AH126)+IF($G$1="裂石",$AK126*1.5,0))*(1+$AY126)*(1+$AZ126)+($BB126*IF($G$1="牵丝",$AJ126,$AH126)+IF($G$1="牵丝",$AK126*1.5,0))*(1+$BC126)*(1+$BD126)+($BF126*IF($G$1="破竹",$AJ126,$AH126)+IF($G$1="破竹",$AK126*1.5,0))*(1+$BG126)*(1+$BH126))*(1+$AL126)*$BM126*$P126*(1+IF(VLOOKUP($Q126,武学奇术!$A:$ZZ,30,FALSE)="蓄力技",$B$21,0))*(1+$BQ126)</f>
        <v>110610.905165613</v>
      </c>
      <c r="N126" s="39">
        <f>((($AN126+($AO126-$AN126)*IF(VLOOKUP($Q126,武学奇术!$A:$ZZ,31,FALSE)=1,$F$18,0.5))*$AH126+$AI126)*(1+$AP126)*(1+$AQ126)+(($AS126+($AT126-$AS126)*IF(VLOOKUP($Q126,武学奇术!$A:$ZZ,31,FALSE)=1,$F$18,0.5))*IF($G$1="鸣金",$AJ126,$AH126)+IF($G$1="鸣金",$AK126*1.5,0))*(1+$AU126)*(1+$AV126)+(($AW126+($AX126-$AW126)*IF(VLOOKUP($Q126,武学奇术!$A:$ZZ,31,FALSE)=1,$F$18,0.5))*IF($G$1="裂石",$AJ126,$AH126)+IF($G$1="裂石",$AK126*1.5,0))*(1+$AY126)*(1+$AZ126)+(($BA126+($BB126-$BA126)*IF(VLOOKUP($Q126,武学奇术!$A:$ZZ,31,FALSE)=1,$F$18,0.5))*IF($G$1="牵丝",$AJ126,$AH126)+IF($G$1="牵丝",$AK126*1.5,0))*(1+$BC126)*(1+$BD126)+(($BE126+($BF126-$BE126)*IF(VLOOKUP($Q126,武学奇术!$A:$ZZ,31,FALSE)=1,$F$18,0.5))*IF($G$1="破竹",$AJ126,$AH126)+IF($G$1="破竹",$AK126*1.5,0))*(1+$BG126)*(1+$BH126))*(1+$AL126)*$P126*(1+IF(VLOOKUP($Q126,武学奇术!$A:$ZZ,30,FALSE)="蓄力技",$B$21,0))*(1+$BQ126)</f>
        <v>73057.9821202514</v>
      </c>
      <c r="O126" s="39">
        <f>((($AN126*$AH126+$AI126)*(1+$AP126)*(1+$AQ126)+($AS126*IF($G$1="鸣金",$AJ126,$AH126)+IF($G$1="鸣金",$AK126*1.5,0))*(1+$AU126)*(1+$AV126)+($AW126*IF($G$1="裂石",$AJ126,$AH126)+IF($G$1="裂石",$AK126*1.5,0))*(1+$AY126)*(1+$AZ126)+($BA126*IF($G$1="牵丝",$AJ126,$AH126)+IF($G$1="牵丝",$AK126*1.5,0))*(1+$BC126)*(1+$BD126)+($BE126*IF($G$1="破竹",$AJ126,$AH126)+IF($G$1="破竹",$AK126*1.5,0))*(1+$BG126)*(1+$BH126))*(1+$AL126))*$P126*(1+IF(VLOOKUP($Q126,武学奇术!$A:$ZZ,30,FALSE)="蓄力技",$B$21,0))*(1+$BQ126)</f>
        <v>64181.9604141228</v>
      </c>
      <c r="P126" s="40">
        <v>1</v>
      </c>
      <c r="Q126" s="41" t="s">
        <v>189</v>
      </c>
      <c r="R126" s="41" t="s">
        <v>93</v>
      </c>
      <c r="S126" s="41" t="s">
        <v>118</v>
      </c>
      <c r="T126" s="41" t="s">
        <v>72</v>
      </c>
      <c r="U126" s="41" t="s">
        <v>72</v>
      </c>
      <c r="V126" s="41" t="s">
        <v>72</v>
      </c>
      <c r="W126" s="41" t="s">
        <v>72</v>
      </c>
      <c r="X126" s="41" t="s">
        <v>165</v>
      </c>
      <c r="Y126" s="41" t="s">
        <v>81</v>
      </c>
      <c r="Z126" s="41" t="s">
        <v>72</v>
      </c>
      <c r="AA126" s="41" t="s">
        <v>72</v>
      </c>
      <c r="AB126" s="41" t="s">
        <v>72</v>
      </c>
      <c r="AC126" s="41" t="s">
        <v>72</v>
      </c>
      <c r="AD126" s="41" t="s">
        <v>72</v>
      </c>
      <c r="AE126" s="41" t="s">
        <v>75</v>
      </c>
      <c r="AF126" s="41" t="s">
        <v>72</v>
      </c>
      <c r="AG126" t="str">
        <f>VLOOKUP($Q126,武学奇术!$A:$ZZ,25,FALSE)</f>
        <v>群体奇术</v>
      </c>
      <c r="AH126" s="27">
        <f>VLOOKUP($Q126,武学奇术!$A:$ZZ,26,FALSE)</f>
        <v>6.87663</v>
      </c>
      <c r="AI126" s="28">
        <f>VLOOKUP($Q126,武学奇术!$A:$ZZ,27,FALSE)*(1+IF(OR($AG126=$F$4,$AG126=$F$5),$B$22,0))</f>
        <v>1277.1</v>
      </c>
      <c r="AJ126" s="27">
        <f>VLOOKUP($Q126,武学奇术!$A:$ZZ,28,FALSE)</f>
        <v>10.314945</v>
      </c>
      <c r="AK126" s="28">
        <f>VLOOKUP($Q126,武学奇术!$A:$ZZ,29,FALSE)*(1+IF(OR($AG126=$F$4,$AG126=$F$5),$B$22,0))</f>
        <v>0</v>
      </c>
      <c r="AL126" s="27" cm="1">
        <f t="array" ref="AL126">$G$3+IFERROR(VLOOKUP($AG126,$F$4:$G$7,2,FALSE),0)+VLOOKUP($Q126,武学奇术!$A:$ZZ,2,FALSE)+SUM(_xlfn.XLOOKUP($R126:$AF126,增益!$A:$A,增益!$B:$B,0))</f>
        <v>0.2337</v>
      </c>
      <c r="AM126" s="27" cm="1">
        <f t="array" ref="AM126">VLOOKUP($Q126,武学奇术!$A:$ZZ,5,FALSE)+SUM(_xlfn.XLOOKUP($R126:$AF126,增益!$A:$A,增益!$E:$E,0))</f>
        <v>0</v>
      </c>
      <c r="AN126" cm="1">
        <f t="array" ref="AN126">$D$10*(1+$AM126)+VLOOKUP($Q126,武学奇术!$A:$ZZ,3,FALSE)+SUM(_xlfn.XLOOKUP($R126:$AF126,增益!$A:$A,增益!$C:$C,0))-$I$2</f>
        <v>3804.006</v>
      </c>
      <c r="AO126" cm="1">
        <f t="array" ref="AO126">$E$10*(1+$AM126)+VLOOKUP($Q126,武学奇术!$A:$ZZ,4,FALSE)+SUM(_xlfn.XLOOKUP($R126:$AF126,增益!$A:$A,增益!$D:$D,0))-$I$2</f>
        <v>3804.006</v>
      </c>
      <c r="AP126" s="33" cm="1">
        <f t="array" ref="AP126">IF($F$10-$I$3+VLOOKUP($Q126,武学奇术!$A:$ZZ,6,FALSE)+SUM(_xlfn.XLOOKUP(R126:AF126,增益!$A:$A,增益!$F:$F,0))&gt;0,($F$10-$I$3+VLOOKUP($Q126,武学奇术!$A:$ZZ,6,FALSE)+SUM(_xlfn.XLOOKUP(R126:AF126,增益!$A:$A,增益!$F:$F,0)))/200,($F$10-$I$3+VLOOKUP($Q126,武学奇术!$A:$ZZ,6,FALSE)+SUM(_xlfn.XLOOKUP(R126:AF126,增益!$A:$A,增益!$F:$F,0)))/100)</f>
        <v>0.442</v>
      </c>
      <c r="AQ126" s="33" cm="1">
        <f t="array" ref="AQ126">$G$10+VLOOKUP($Q126,武学奇术!$A:$ZZ,7,FALSE)+SUM(_xlfn.XLOOKUP(R126:AF126,增益!$A:$A,增益!$G:$G,0))</f>
        <v>0</v>
      </c>
      <c r="AR126" s="27" cm="1">
        <f t="array" ref="AR126">VLOOKUP($Q126,武学奇术!$A:$ZZ,8,FALSE)+SUM(_xlfn.XLOOKUP(R126:AF126,增益!$A:$A,增益!$H:$H,0))</f>
        <v>0</v>
      </c>
      <c r="AS126">
        <f t="shared" si="34"/>
        <v>0</v>
      </c>
      <c r="AT126">
        <f t="shared" si="35"/>
        <v>0</v>
      </c>
      <c r="AU126" s="33" cm="1">
        <f t="array" ref="AU126">IF($F$11-$I$4+VLOOKUP($Q126,武学奇术!$A:$ZZ,9,FALSE)+SUM(_xlfn.XLOOKUP(R126:AF126,增益!$A:$A,增益!$I:$I,0))&gt;0,($F$11-$I$4+VLOOKUP($Q126,武学奇术!$A:$ZZ,9,FALSE)+SUM(_xlfn.XLOOKUP(R126:AF126,增益!$A:$A,增益!$I:$I,0)))/200,($F$11-$I$4+VLOOKUP($Q126,武学奇术!$A:$ZZ,9,FALSE)+SUM(_xlfn.XLOOKUP(R126:AF126,增益!$A:$A,增益!$I:$I,0)))/100)</f>
        <v>-0.14</v>
      </c>
      <c r="AV126" s="33" cm="1">
        <f t="array" ref="AV126">$G$11+VLOOKUP($Q126,武学奇术!$A:$ZZ,10,FALSE)+SUM(_xlfn.XLOOKUP(R126:AF126,增益!$A:$A,增益!$J:$J,0))</f>
        <v>0</v>
      </c>
      <c r="AW126">
        <f t="shared" si="36"/>
        <v>0</v>
      </c>
      <c r="AX126">
        <f t="shared" si="37"/>
        <v>0</v>
      </c>
      <c r="AY126" s="33" cm="1">
        <f t="array" ref="AY126">IF($F$12-$I$4+VLOOKUP($Q126,武学奇术!$A:$ZZ,11,FALSE)+SUM(_xlfn.XLOOKUP(R126:AF126,增益!$A:$A,增益!$K:$K,0))&gt;0,($F$12-$I$4+VLOOKUP($Q126,武学奇术!$A:$ZZ,11,FALSE)+SUM(_xlfn.XLOOKUP(R126:AF126,增益!$A:$A,增益!$K:$K,0)))/200,($F$12-$I$4+VLOOKUP($Q126,武学奇术!$A:$ZZ,11,FALSE)+SUM(_xlfn.XLOOKUP(R126:AF126,增益!$A:$A,增益!$K:$K,0)))/100)</f>
        <v>-0.14</v>
      </c>
      <c r="AZ126" s="33" cm="1">
        <f t="array" ref="AZ126">$G$12+VLOOKUP($Q126,武学奇术!$A:$ZZ,12,FALSE)+SUM(_xlfn.XLOOKUP(R126:AF126,增益!$A:$A,增益!$L:$L,0))</f>
        <v>0</v>
      </c>
      <c r="BA126">
        <f t="shared" si="38"/>
        <v>0</v>
      </c>
      <c r="BB126">
        <f t="shared" si="39"/>
        <v>0</v>
      </c>
      <c r="BC126" s="33" cm="1">
        <f t="array" ref="BC126">IF($F$13-$I$4+VLOOKUP($Q126,武学奇术!$A:$ZZ,13,FALSE)+SUM(_xlfn.XLOOKUP(R126:AF126,增益!$A:$A,增益!$M:$M,0))&gt;0,($F$13-$I$4+VLOOKUP($Q126,武学奇术!$A:$ZZ,13,FALSE)+SUM(_xlfn.XLOOKUP(R126:AF126,增益!$A:$A,增益!$K:$K,0)))/200,($F$13-$I$4+VLOOKUP($Q126,武学奇术!$A:$ZZ,13,FALSE)+SUM(_xlfn.XLOOKUP(R126:AF126,增益!$A:$A,增益!$M:$M,0)))/100)</f>
        <v>-0.14</v>
      </c>
      <c r="BD126" s="33" cm="1">
        <f t="array" ref="BD126">$G$13+VLOOKUP($Q126,武学奇术!$A:$ZZ,14,FALSE)+SUM(_xlfn.XLOOKUP(R126:AF126,增益!$A:$A,增益!$N:$N,0))</f>
        <v>0</v>
      </c>
      <c r="BE126">
        <f t="shared" si="40"/>
        <v>570.28</v>
      </c>
      <c r="BF126">
        <f t="shared" si="41"/>
        <v>1582.156</v>
      </c>
      <c r="BG126" s="33" cm="1">
        <f t="array" ref="BG126">IF($F$14-$I$4+VLOOKUP($Q126,武学奇术!$A:$ZZ,15,FALSE)+SUM(_xlfn.XLOOKUP(R126:AF126,增益!$A:$A,增益!$O:$O,0))&gt;0,($F$14-$I$4+VLOOKUP($Q126,武学奇术!$A:$ZZ,15,FALSE)+SUM(_xlfn.XLOOKUP(R126:AF126,增益!$A:$A,增益!$O:$O,0)))/200,($F$14-$I$4+VLOOKUP($Q126,武学奇术!$A:$ZZ,15,FALSE)+SUM(_xlfn.XLOOKUP(R126:AF126,增益!$A:$A,增益!$O:$O,0)))/100)</f>
        <v>0.08</v>
      </c>
      <c r="BH126" s="33" cm="1">
        <f t="array" ref="BH126">$G$14+VLOOKUP($Q126,武学奇术!$A:$ZZ,16,FALSE)+SUM(_xlfn.XLOOKUP(R126:AF126,增益!$A:$A,增益!$P:$P,0))</f>
        <v>0.15</v>
      </c>
      <c r="BI126" s="27">
        <f>MIN(IF(VLOOKUP($Q126,武学奇术!$A:$ZZ,23,FALSE)=1,100%,$B$8),100%)</f>
        <v>1</v>
      </c>
      <c r="BJ126" s="27" cm="1">
        <f t="array" ref="BJ126">IF(VLOOKUP($Q126,武学奇术!$A:$ZZ,23,FALSE)=1,100%,MIN(80%,$B$9+VLOOKUP($Q126,武学奇术!$A:$ZZ,17,FALSE)+SUM(_xlfn.XLOOKUP(R126:AF126,增益!$A:$A,增益!$Q:$Q,0)))+$B$11+SUM(_xlfn.XLOOKUP(R126:AF126,增益!$A:$A,增益!$U:$U,0)))*IF(VLOOKUP($Q126,武学奇术!$A:$ZZ,24,FALSE)=1,0,1)+MIN(IF(VLOOKUP($Q126,武学奇术!$A:$ZZ,32,FALSE)=1,IF(VLOOKUP($Q126,武学奇术!$A:$ZZ,24,FALSE)=1,100%,MIN(40%,$B$10+VLOOKUP($Q126,武学奇术!$A:$ZZ,19,FALSE)+SUM(_xlfn.XLOOKUP(R126:AF126,增益!$A:$A,增益!$S:$S,0)))+$B$12+SUM(_xlfn.XLOOKUP(R126:AF126,增益!$A:$A,增益!$V:$V,0))),0),12%)</f>
        <v>0.918</v>
      </c>
      <c r="BK126" s="27" cm="1">
        <f t="array" ref="BK126">1+$B$13+VLOOKUP($Q126,武学奇术!$A:$ZZ,18,FALSE)+SUM(_xlfn.XLOOKUP(R126:AF126,增益!$A:$A,增益!$R:$R,0))</f>
        <v>1.89</v>
      </c>
      <c r="BL126" s="27" cm="1">
        <f t="array" ref="BL126">MAX(IF(VLOOKUP($Q126,武学奇术!$A:$ZZ,24,FALSE)=1,100%,MIN(40%,$B$10+VLOOKUP($Q126,武学奇术!$A:$ZZ,19,FALSE)+SUM(_xlfn.XLOOKUP(R126:AF126,增益!$A:$A,增益!$S:$S,0)))+$B$12+SUM(_xlfn.XLOOKUP(R126:AF126,增益!$A:$A,增益!$V:$V,0)))*IF(VLOOKUP($Q126,武学奇术!$A:$ZZ,23,FALSE)=1,0,1)-IF(VLOOKUP($Q126,武学奇术!$A:$ZZ,32,FALSE)=1,12%,0),0)</f>
        <v>0.0895</v>
      </c>
      <c r="BM126" s="27" cm="1">
        <f t="array" ref="BM126">1+$B$14+VLOOKUP($Q126,武学奇术!$A:$ZZ,20,FALSE)+SUM(_xlfn.XLOOKUP(R126:AF126,增益!$A:$A,增益!$T:$T,0))</f>
        <v>1.35</v>
      </c>
      <c r="BN126" s="27">
        <f t="shared" si="31"/>
        <v>0.9105</v>
      </c>
      <c r="BO126" s="27">
        <f t="shared" si="32"/>
        <v>0</v>
      </c>
      <c r="BP126" s="27">
        <f>IF(VLOOKUP($Q126,武学奇术!$A:$ZZ,22,FALSE)=1,0,(1-$BI126))*(1-$BL126)</f>
        <v>0</v>
      </c>
      <c r="BQ126" s="27" cm="1">
        <f t="array" ref="BQ126">SUM(_xlfn.XLOOKUP(R126:AF126,增益!$A:$A,增益!$W:$W,0))+$I$5</f>
        <v>0.11</v>
      </c>
    </row>
    <row r="127" spans="1:69">
      <c r="A127" t="s">
        <v>164</v>
      </c>
      <c r="B127">
        <v>1.23</v>
      </c>
      <c r="D127" s="40"/>
      <c r="F127" s="40"/>
      <c r="K127" s="39">
        <f t="shared" si="33"/>
        <v>20683.4539045409</v>
      </c>
      <c r="L127" s="39">
        <f>((($AN127+($AO127-$AN127)*IF(VLOOKUP($Q127,武学奇术!$A:$ZZ,31,FALSE)=1,$F$18,0.5))*$AH127+$AI127)*(1+$AP127)*(1+$AQ127)+(($AS127+($AT127-$AS127)*IF(VLOOKUP($Q127,武学奇术!$A:$ZZ,31,FALSE)=1,$F$18,0.5))*IF($G$1="鸣金",$AJ127,$AH127)+IF($G$1="鸣金",$AK127*1.5,0))*(1+$AU127)*(1+$AV127)+(($AW127+($AX127-$AW127)*IF(VLOOKUP($Q127,武学奇术!$A:$ZZ,31,FALSE)=1,$F$18,0.5))*IF($G$1="裂石",$AJ127,$AH127)+IF($G$1="裂石",$AK127*1.5,0))*(1+$AY127)*(1+$AZ127)+(($BA127+($BB127-$BA127)*IF(VLOOKUP($Q127,武学奇术!$A:$ZZ,31,FALSE)=1,$F$18,0.5))*IF($G$1="牵丝",$AJ127,$AH127)+IF($G$1="牵丝",$AK127*1.5,0))*(1+$BC127)*(1+$BD127)+(($BE127+($BF127-$BE127)*IF(VLOOKUP($Q127,武学奇术!$A:$ZZ,31,FALSE)=1,$F$18,0.5))*IF($G$1="破竹",$AJ127,$AH127)+IF($G$1="破竹",$AK127*1.5,0))*(1+$BG127)*(1+$BH127))*(1+$AL127)*$BK127*$P127*(1+IF(VLOOKUP($Q127,武学奇术!$A:$ZZ,30,FALSE)="蓄力技",$B$21,0))*(1+$BQ127)</f>
        <v>21042.2407800983</v>
      </c>
      <c r="M127" s="39">
        <f>(($AO127*$AH127+$AI127)*(1+$AP127)*(1+$AQ127)+($AT127*IF($G$1="鸣金",$AJ127,$AH127)+IF($G$1="鸣金",$AK127*1.5,0))*(1+$AU127)*(1+$AV127)+($AX127*IF($G$1="裂石",$AJ127,$AH127)+IF($G$1="裂石",$AK127*1.5,0))*(1+$AY127)*(1+$AZ127)+($BB127*IF($G$1="牵丝",$AJ127,$AH127)+IF($G$1="牵丝",$AK127*1.5,0))*(1+$BC127)*(1+$BD127)+($BF127*IF($G$1="破竹",$AJ127,$AH127)+IF($G$1="破竹",$AK127*1.5,0))*(1+$BG127)*(1+$BH127))*(1+$AL127)*$BM127*$P127*(1+IF(VLOOKUP($Q127,武学奇术!$A:$ZZ,30,FALSE)="蓄力技",$B$21,0))*(1+$BQ127)</f>
        <v>17033.4488744298</v>
      </c>
      <c r="N127" s="39">
        <f>((($AN127+($AO127-$AN127)*IF(VLOOKUP($Q127,武学奇术!$A:$ZZ,31,FALSE)=1,$F$18,0.5))*$AH127+$AI127)*(1+$AP127)*(1+$AQ127)+(($AS127+($AT127-$AS127)*IF(VLOOKUP($Q127,武学奇术!$A:$ZZ,31,FALSE)=1,$F$18,0.5))*IF($G$1="鸣金",$AJ127,$AH127)+IF($G$1="鸣金",$AK127*1.5,0))*(1+$AU127)*(1+$AV127)+(($AW127+($AX127-$AW127)*IF(VLOOKUP($Q127,武学奇术!$A:$ZZ,31,FALSE)=1,$F$18,0.5))*IF($G$1="裂石",$AJ127,$AH127)+IF($G$1="裂石",$AK127*1.5,0))*(1+$AY127)*(1+$AZ127)+(($BA127+($BB127-$BA127)*IF(VLOOKUP($Q127,武学奇术!$A:$ZZ,31,FALSE)=1,$F$18,0.5))*IF($G$1="牵丝",$AJ127,$AH127)+IF($G$1="牵丝",$AK127*1.5,0))*(1+$BC127)*(1+$BD127)+(($BE127+($BF127-$BE127)*IF(VLOOKUP($Q127,武学奇术!$A:$ZZ,31,FALSE)=1,$F$18,0.5))*IF($G$1="破竹",$AJ127,$AH127)+IF($G$1="破竹",$AK127*1.5,0))*(1+$BG127)*(1+$BH127))*(1+$AL127)*$P127*(1+IF(VLOOKUP($Q127,武学奇术!$A:$ZZ,30,FALSE)="蓄力技",$B$21,0))*(1+$BQ127)</f>
        <v>11561.6707582957</v>
      </c>
      <c r="O127" s="39">
        <f>((($AN127*$AH127+$AI127)*(1+$AP127)*(1+$AQ127)+($AS127*IF($G$1="鸣金",$AJ127,$AH127)+IF($G$1="鸣金",$AK127*1.5,0))*(1+$AU127)*(1+$AV127)+($AW127*IF($G$1="裂石",$AJ127,$AH127)+IF($G$1="裂石",$AK127*1.5,0))*(1+$AY127)*(1+$AZ127)+($BA127*IF($G$1="牵丝",$AJ127,$AH127)+IF($G$1="牵丝",$AK127*1.5,0))*(1+$BC127)*(1+$BD127)+($BE127*IF($G$1="破竹",$AJ127,$AH127)+IF($G$1="破竹",$AK127*1.5,0))*(1+$BG127)*(1+$BH127))*(1+$AL127))*$P127*(1+IF(VLOOKUP($Q127,武学奇术!$A:$ZZ,30,FALSE)="蓄力技",$B$21,0))*(1+$BQ127)</f>
        <v>10505.9719799768</v>
      </c>
      <c r="P127" s="40">
        <f t="shared" ref="P127:P136" si="42">IF($C$24="易水歌",1,0)</f>
        <v>1</v>
      </c>
      <c r="Q127" s="41" t="s">
        <v>190</v>
      </c>
      <c r="R127" s="41" t="s">
        <v>93</v>
      </c>
      <c r="S127" s="41" t="s">
        <v>118</v>
      </c>
      <c r="T127" s="41" t="s">
        <v>119</v>
      </c>
      <c r="U127" s="41" t="s">
        <v>73</v>
      </c>
      <c r="V127" s="41" t="s">
        <v>72</v>
      </c>
      <c r="W127" s="41" t="s">
        <v>72</v>
      </c>
      <c r="X127" s="41" t="s">
        <v>86</v>
      </c>
      <c r="Y127" s="41" t="s">
        <v>81</v>
      </c>
      <c r="Z127" s="41" t="s">
        <v>72</v>
      </c>
      <c r="AA127" s="41" t="s">
        <v>72</v>
      </c>
      <c r="AB127" s="41" t="s">
        <v>72</v>
      </c>
      <c r="AC127" s="41" t="s">
        <v>72</v>
      </c>
      <c r="AD127" s="41" t="s">
        <v>72</v>
      </c>
      <c r="AE127" s="41" t="s">
        <v>75</v>
      </c>
      <c r="AF127" s="41" t="s">
        <v>76</v>
      </c>
      <c r="AG127" t="str">
        <f>VLOOKUP($Q127,武学奇术!$A:$ZZ,25,FALSE)</f>
        <v>心法</v>
      </c>
      <c r="AH127" s="27">
        <f>VLOOKUP($Q127,武学奇术!$A:$ZZ,26,FALSE)</f>
        <v>1</v>
      </c>
      <c r="AI127" s="28">
        <f>VLOOKUP($Q127,武学奇术!$A:$ZZ,27,FALSE)*(1+IF(OR($AG127=$F$4,$AG127=$F$5),$B$22,0))</f>
        <v>0</v>
      </c>
      <c r="AJ127" s="27">
        <f>VLOOKUP($Q127,武学奇术!$A:$ZZ,28,FALSE)</f>
        <v>1</v>
      </c>
      <c r="AK127" s="28">
        <f>VLOOKUP($Q127,武学奇术!$A:$ZZ,29,FALSE)*(1+IF(OR($AG127=$F$4,$AG127=$F$5),$B$22,0))</f>
        <v>0</v>
      </c>
      <c r="AL127" s="27" cm="1">
        <f t="array" ref="AL127">$G$3+IFERROR(VLOOKUP($AG127,$F$4:$G$7,2,FALSE),0)+VLOOKUP($Q127,武学奇术!$A:$ZZ,2,FALSE)+SUM(_xlfn.XLOOKUP($R127:$AF127,增益!$A:$A,增益!$B:$B,0))</f>
        <v>0.4037</v>
      </c>
      <c r="AM127" s="27" cm="1">
        <f t="array" ref="AM127">VLOOKUP($Q127,武学奇术!$A:$ZZ,5,FALSE)+SUM(_xlfn.XLOOKUP($R127:$AF127,增益!$A:$A,增益!$E:$E,0))</f>
        <v>0</v>
      </c>
      <c r="AN127" cm="1">
        <f t="array" ref="AN127">$D$10*(1+$AM127)+VLOOKUP($Q127,武学奇术!$A:$ZZ,3,FALSE)+SUM(_xlfn.XLOOKUP($R127:$AF127,增益!$A:$A,增益!$C:$C,0))-$I$2</f>
        <v>3804.006</v>
      </c>
      <c r="AO127" cm="1">
        <f t="array" ref="AO127">$E$10*(1+$AM127)+VLOOKUP($Q127,武学奇术!$A:$ZZ,4,FALSE)+SUM(_xlfn.XLOOKUP($R127:$AF127,增益!$A:$A,增益!$D:$D,0))-$I$2</f>
        <v>3804.006</v>
      </c>
      <c r="AP127" s="33" cm="1">
        <f t="array" ref="AP127">IF($F$10-$I$3+VLOOKUP($Q127,武学奇术!$A:$ZZ,6,FALSE)+SUM(_xlfn.XLOOKUP(R127:AF127,增益!$A:$A,增益!$F:$F,0))&gt;0,($F$10-$I$3+VLOOKUP($Q127,武学奇术!$A:$ZZ,6,FALSE)+SUM(_xlfn.XLOOKUP(R127:AF127,增益!$A:$A,增益!$F:$F,0)))/200,($F$10-$I$3+VLOOKUP($Q127,武学奇术!$A:$ZZ,6,FALSE)+SUM(_xlfn.XLOOKUP(R127:AF127,增益!$A:$A,增益!$F:$F,0)))/100)</f>
        <v>0.442</v>
      </c>
      <c r="AQ127" s="33" cm="1">
        <f t="array" ref="AQ127">$G$10+VLOOKUP($Q127,武学奇术!$A:$ZZ,7,FALSE)+SUM(_xlfn.XLOOKUP(R127:AF127,增益!$A:$A,增益!$G:$G,0))</f>
        <v>0.09</v>
      </c>
      <c r="AR127" s="27" cm="1">
        <f t="array" ref="AR127">VLOOKUP($Q127,武学奇术!$A:$ZZ,8,FALSE)+SUM(_xlfn.XLOOKUP(R127:AF127,增益!$A:$A,增益!$H:$H,0))</f>
        <v>0</v>
      </c>
      <c r="AS127">
        <f t="shared" si="34"/>
        <v>0</v>
      </c>
      <c r="AT127">
        <f t="shared" si="35"/>
        <v>0</v>
      </c>
      <c r="AU127" s="33" cm="1">
        <f t="array" ref="AU127">IF($F$11-$I$4+VLOOKUP($Q127,武学奇术!$A:$ZZ,9,FALSE)+SUM(_xlfn.XLOOKUP(R127:AF127,增益!$A:$A,增益!$I:$I,0))&gt;0,($F$11-$I$4+VLOOKUP($Q127,武学奇术!$A:$ZZ,9,FALSE)+SUM(_xlfn.XLOOKUP(R127:AF127,增益!$A:$A,增益!$I:$I,0)))/200,($F$11-$I$4+VLOOKUP($Q127,武学奇术!$A:$ZZ,9,FALSE)+SUM(_xlfn.XLOOKUP(R127:AF127,增益!$A:$A,增益!$I:$I,0)))/100)</f>
        <v>-0.14</v>
      </c>
      <c r="AV127" s="33" cm="1">
        <f t="array" ref="AV127">$G$11+VLOOKUP($Q127,武学奇术!$A:$ZZ,10,FALSE)+SUM(_xlfn.XLOOKUP(R127:AF127,增益!$A:$A,增益!$J:$J,0))</f>
        <v>0</v>
      </c>
      <c r="AW127">
        <f t="shared" si="36"/>
        <v>0</v>
      </c>
      <c r="AX127">
        <f t="shared" si="37"/>
        <v>0</v>
      </c>
      <c r="AY127" s="33" cm="1">
        <f t="array" ref="AY127">IF($F$12-$I$4+VLOOKUP($Q127,武学奇术!$A:$ZZ,11,FALSE)+SUM(_xlfn.XLOOKUP(R127:AF127,增益!$A:$A,增益!$K:$K,0))&gt;0,($F$12-$I$4+VLOOKUP($Q127,武学奇术!$A:$ZZ,11,FALSE)+SUM(_xlfn.XLOOKUP(R127:AF127,增益!$A:$A,增益!$K:$K,0)))/200,($F$12-$I$4+VLOOKUP($Q127,武学奇术!$A:$ZZ,11,FALSE)+SUM(_xlfn.XLOOKUP(R127:AF127,增益!$A:$A,增益!$K:$K,0)))/100)</f>
        <v>-0.14</v>
      </c>
      <c r="AZ127" s="33" cm="1">
        <f t="array" ref="AZ127">$G$12+VLOOKUP($Q127,武学奇术!$A:$ZZ,12,FALSE)+SUM(_xlfn.XLOOKUP(R127:AF127,增益!$A:$A,增益!$L:$L,0))</f>
        <v>0</v>
      </c>
      <c r="BA127">
        <f t="shared" si="38"/>
        <v>0</v>
      </c>
      <c r="BB127">
        <f t="shared" si="39"/>
        <v>0</v>
      </c>
      <c r="BC127" s="33" cm="1">
        <f t="array" ref="BC127">IF($F$13-$I$4+VLOOKUP($Q127,武学奇术!$A:$ZZ,13,FALSE)+SUM(_xlfn.XLOOKUP(R127:AF127,增益!$A:$A,增益!$M:$M,0))&gt;0,($F$13-$I$4+VLOOKUP($Q127,武学奇术!$A:$ZZ,13,FALSE)+SUM(_xlfn.XLOOKUP(R127:AF127,增益!$A:$A,增益!$K:$K,0)))/200,($F$13-$I$4+VLOOKUP($Q127,武学奇术!$A:$ZZ,13,FALSE)+SUM(_xlfn.XLOOKUP(R127:AF127,增益!$A:$A,增益!$M:$M,0)))/100)</f>
        <v>-0.14</v>
      </c>
      <c r="BD127" s="33" cm="1">
        <f t="array" ref="BD127">$G$13+VLOOKUP($Q127,武学奇术!$A:$ZZ,14,FALSE)+SUM(_xlfn.XLOOKUP(R127:AF127,增益!$A:$A,增益!$N:$N,0))</f>
        <v>0</v>
      </c>
      <c r="BE127">
        <f t="shared" si="40"/>
        <v>570.28</v>
      </c>
      <c r="BF127">
        <f t="shared" si="41"/>
        <v>1582.156</v>
      </c>
      <c r="BG127" s="33" cm="1">
        <f t="array" ref="BG127">IF($F$14-$I$4+VLOOKUP($Q127,武学奇术!$A:$ZZ,15,FALSE)+SUM(_xlfn.XLOOKUP(R127:AF127,增益!$A:$A,增益!$O:$O,0))&gt;0,($F$14-$I$4+VLOOKUP($Q127,武学奇术!$A:$ZZ,15,FALSE)+SUM(_xlfn.XLOOKUP(R127:AF127,增益!$A:$A,增益!$O:$O,0)))/200,($F$14-$I$4+VLOOKUP($Q127,武学奇术!$A:$ZZ,15,FALSE)+SUM(_xlfn.XLOOKUP(R127:AF127,增益!$A:$A,增益!$O:$O,0)))/100)</f>
        <v>0.08</v>
      </c>
      <c r="BH127" s="33" cm="1">
        <f t="array" ref="BH127">$G$14+VLOOKUP($Q127,武学奇术!$A:$ZZ,16,FALSE)+SUM(_xlfn.XLOOKUP(R127:AF127,增益!$A:$A,增益!$P:$P,0))</f>
        <v>0.24</v>
      </c>
      <c r="BI127" s="27">
        <f>MIN(IF(VLOOKUP($Q127,武学奇术!$A:$ZZ,23,FALSE)=1,100%,$B$8),100%)</f>
        <v>1</v>
      </c>
      <c r="BJ127" s="27" cm="1">
        <f t="array" ref="BJ127">IF(VLOOKUP($Q127,武学奇术!$A:$ZZ,23,FALSE)=1,100%,MIN(80%,$B$9+VLOOKUP($Q127,武学奇术!$A:$ZZ,17,FALSE)+SUM(_xlfn.XLOOKUP(R127:AF127,增益!$A:$A,增益!$Q:$Q,0)))+$B$11+SUM(_xlfn.XLOOKUP(R127:AF127,增益!$A:$A,增益!$U:$U,0)))*IF(VLOOKUP($Q127,武学奇术!$A:$ZZ,24,FALSE)=1,0,1)+MIN(IF(VLOOKUP($Q127,武学奇术!$A:$ZZ,32,FALSE)=1,IF(VLOOKUP($Q127,武学奇术!$A:$ZZ,24,FALSE)=1,100%,MIN(40%,$B$10+VLOOKUP($Q127,武学奇术!$A:$ZZ,19,FALSE)+SUM(_xlfn.XLOOKUP(R127:AF127,增益!$A:$A,增益!$S:$S,0)))+$B$12+SUM(_xlfn.XLOOKUP(R127:AF127,增益!$A:$A,增益!$V:$V,0))),0),12%)</f>
        <v>0.918</v>
      </c>
      <c r="BK127" s="27" cm="1">
        <f t="array" ref="BK127">1+$B$13+VLOOKUP($Q127,武学奇术!$A:$ZZ,18,FALSE)+SUM(_xlfn.XLOOKUP(R127:AF127,增益!$A:$A,增益!$R:$R,0))</f>
        <v>1.82</v>
      </c>
      <c r="BL127" s="27" cm="1">
        <f t="array" ref="BL127">MAX(IF(VLOOKUP($Q127,武学奇术!$A:$ZZ,24,FALSE)=1,100%,MIN(40%,$B$10+VLOOKUP($Q127,武学奇术!$A:$ZZ,19,FALSE)+SUM(_xlfn.XLOOKUP(R127:AF127,增益!$A:$A,增益!$S:$S,0)))+$B$12+SUM(_xlfn.XLOOKUP(R127:AF127,增益!$A:$A,增益!$V:$V,0)))*IF(VLOOKUP($Q127,武学奇术!$A:$ZZ,23,FALSE)=1,0,1)-IF(VLOOKUP($Q127,武学奇术!$A:$ZZ,32,FALSE)=1,12%,0),0)</f>
        <v>0.0895</v>
      </c>
      <c r="BM127" s="27" cm="1">
        <f t="array" ref="BM127">1+$B$14+VLOOKUP($Q127,武学奇术!$A:$ZZ,20,FALSE)+SUM(_xlfn.XLOOKUP(R127:AF127,增益!$A:$A,增益!$T:$T,0))</f>
        <v>1.35</v>
      </c>
      <c r="BN127" s="27">
        <f t="shared" si="31"/>
        <v>0.9105</v>
      </c>
      <c r="BO127" s="27">
        <f t="shared" si="32"/>
        <v>0</v>
      </c>
      <c r="BP127" s="27">
        <f>IF(VLOOKUP($Q127,武学奇术!$A:$ZZ,22,FALSE)=1,0,(1-$BI127))*(1-$BL127)</f>
        <v>0</v>
      </c>
      <c r="BQ127" s="27" cm="1">
        <f t="array" ref="BQ127">SUM(_xlfn.XLOOKUP(R127:AF127,增益!$A:$A,增益!$W:$W,0))+$I$5</f>
        <v>0.11</v>
      </c>
    </row>
    <row r="128" spans="1:69">
      <c r="A128" s="4" t="s">
        <v>166</v>
      </c>
      <c r="B128" s="91">
        <v>1.16</v>
      </c>
      <c r="D128" s="40"/>
      <c r="F128" s="40"/>
      <c r="K128" s="39">
        <f t="shared" si="33"/>
        <v>14869.1142354407</v>
      </c>
      <c r="L128" s="39">
        <f>((($AN128+($AO128-$AN128)*IF(VLOOKUP($Q128,武学奇术!$A:$ZZ,31,FALSE)=1,$F$18,0.5))*$AH128+$AI128)*(1+$AP128)*(1+$AQ128)+(($AS128+($AT128-$AS128)*IF(VLOOKUP($Q128,武学奇术!$A:$ZZ,31,FALSE)=1,$F$18,0.5))*IF($G$1="鸣金",$AJ128,$AH128)+IF($G$1="鸣金",$AK128*1.5,0))*(1+$AU128)*(1+$AV128)+(($AW128+($AX128-$AW128)*IF(VLOOKUP($Q128,武学奇术!$A:$ZZ,31,FALSE)=1,$F$18,0.5))*IF($G$1="裂石",$AJ128,$AH128)+IF($G$1="裂石",$AK128*1.5,0))*(1+$AY128)*(1+$AZ128)+(($BA128+($BB128-$BA128)*IF(VLOOKUP($Q128,武学奇术!$A:$ZZ,31,FALSE)=1,$F$18,0.5))*IF($G$1="牵丝",$AJ128,$AH128)+IF($G$1="牵丝",$AK128*1.5,0))*(1+$BC128)*(1+$BD128)+(($BE128+($BF128-$BE128)*IF(VLOOKUP($Q128,武学奇术!$A:$ZZ,31,FALSE)=1,$F$18,0.5))*IF($G$1="破竹",$AJ128,$AH128)+IF($G$1="破竹",$AK128*1.5,0))*(1+$BG128)*(1+$BH128))*(1+$AL128)*$BK128*$P128*(1+IF(VLOOKUP($Q128,武学奇术!$A:$ZZ,30,FALSE)="蓄力技",$B$21,0))*(1+$BQ128)</f>
        <v>14981.8505318476</v>
      </c>
      <c r="M128" s="39">
        <f>(($AO128*$AH128+$AI128)*(1+$AP128)*(1+$AQ128)+($AT128*IF($G$1="鸣金",$AJ128,$AH128)+IF($G$1="鸣金",$AK128*1.5,0))*(1+$AU128)*(1+$AV128)+($AX128*IF($G$1="裂石",$AJ128,$AH128)+IF($G$1="裂石",$AK128*1.5,0))*(1+$AY128)*(1+$AZ128)+($BB128*IF($G$1="牵丝",$AJ128,$AH128)+IF($G$1="牵丝",$AK128*1.5,0))*(1+$BC128)*(1+$BD128)+($BF128*IF($G$1="破竹",$AJ128,$AH128)+IF($G$1="破竹",$AK128*1.5,0))*(1+$BG128)*(1+$BH128))*(1+$AL128)*$BM128*$P128*(1+IF(VLOOKUP($Q128,武学奇术!$A:$ZZ,30,FALSE)="蓄力技",$B$21,0))*(1+$BQ128)</f>
        <v>13722.2271083069</v>
      </c>
      <c r="N128" s="39">
        <f>((($AN128+($AO128-$AN128)*IF(VLOOKUP($Q128,武学奇术!$A:$ZZ,31,FALSE)=1,$F$18,0.5))*$AH128+$AI128)*(1+$AP128)*(1+$AQ128)+(($AS128+($AT128-$AS128)*IF(VLOOKUP($Q128,武学奇术!$A:$ZZ,31,FALSE)=1,$F$18,0.5))*IF($G$1="鸣金",$AJ128,$AH128)+IF($G$1="鸣金",$AK128*1.5,0))*(1+$AU128)*(1+$AV128)+(($AW128+($AX128-$AW128)*IF(VLOOKUP($Q128,武学奇术!$A:$ZZ,31,FALSE)=1,$F$18,0.5))*IF($G$1="裂石",$AJ128,$AH128)+IF($G$1="裂石",$AK128*1.5,0))*(1+$AY128)*(1+$AZ128)+(($BA128+($BB128-$BA128)*IF(VLOOKUP($Q128,武学奇术!$A:$ZZ,31,FALSE)=1,$F$18,0.5))*IF($G$1="牵丝",$AJ128,$AH128)+IF($G$1="牵丝",$AK128*1.5,0))*(1+$BC128)*(1+$BD128)+(($BE128+($BF128-$BE128)*IF(VLOOKUP($Q128,武学奇术!$A:$ZZ,31,FALSE)=1,$F$18,0.5))*IF($G$1="破竹",$AJ128,$AH128)+IF($G$1="破竹",$AK128*1.5,0))*(1+$BG128)*(1+$BH128))*(1+$AL128)*$P128*(1+IF(VLOOKUP($Q128,武学奇术!$A:$ZZ,30,FALSE)="蓄力技",$B$21,0))*(1+$BQ128)</f>
        <v>9305.49722475006</v>
      </c>
      <c r="O128" s="39">
        <f>((($AN128*$AH128+$AI128)*(1+$AP128)*(1+$AQ128)+($AS128*IF($G$1="鸣金",$AJ128,$AH128)+IF($G$1="鸣金",$AK128*1.5,0))*(1+$AU128)*(1+$AV128)+($AW128*IF($G$1="裂石",$AJ128,$AH128)+IF($G$1="裂石",$AK128*1.5,0))*(1+$AY128)*(1+$AZ128)+($BA128*IF($G$1="牵丝",$AJ128,$AH128)+IF($G$1="牵丝",$AK128*1.5,0))*(1+$BC128)*(1+$BD128)+($BE128*IF($G$1="破竹",$AJ128,$AH128)+IF($G$1="破竹",$AK128*1.5,0))*(1+$BG128)*(1+$BH128))*(1+$AL128))*$P128*(1+IF(VLOOKUP($Q128,武学奇术!$A:$ZZ,30,FALSE)="蓄力技",$B$21,0))*(1+$BQ128)</f>
        <v>8446.38177668023</v>
      </c>
      <c r="P128" s="40">
        <f t="shared" si="42"/>
        <v>1</v>
      </c>
      <c r="Q128" s="41" t="s">
        <v>190</v>
      </c>
      <c r="R128" s="41" t="s">
        <v>93</v>
      </c>
      <c r="S128" s="41" t="s">
        <v>72</v>
      </c>
      <c r="T128" s="41" t="s">
        <v>72</v>
      </c>
      <c r="U128" s="41" t="s">
        <v>72</v>
      </c>
      <c r="V128" s="41" t="s">
        <v>72</v>
      </c>
      <c r="W128" s="41" t="s">
        <v>72</v>
      </c>
      <c r="X128" s="41" t="s">
        <v>154</v>
      </c>
      <c r="Y128" s="41" t="s">
        <v>72</v>
      </c>
      <c r="Z128" s="41" t="s">
        <v>72</v>
      </c>
      <c r="AA128" s="41" t="s">
        <v>72</v>
      </c>
      <c r="AB128" s="41" t="s">
        <v>72</v>
      </c>
      <c r="AC128" s="41" t="s">
        <v>72</v>
      </c>
      <c r="AD128" s="41" t="s">
        <v>72</v>
      </c>
      <c r="AE128" s="41" t="s">
        <v>75</v>
      </c>
      <c r="AF128" s="41" t="s">
        <v>76</v>
      </c>
      <c r="AG128" t="str">
        <f>VLOOKUP($Q128,武学奇术!$A:$ZZ,25,FALSE)</f>
        <v>心法</v>
      </c>
      <c r="AH128" s="27">
        <f>VLOOKUP($Q128,武学奇术!$A:$ZZ,26,FALSE)</f>
        <v>1</v>
      </c>
      <c r="AI128" s="28">
        <f>VLOOKUP($Q128,武学奇术!$A:$ZZ,27,FALSE)*(1+IF(OR($AG128=$F$4,$AG128=$F$5),$B$22,0))</f>
        <v>0</v>
      </c>
      <c r="AJ128" s="27">
        <f>VLOOKUP($Q128,武学奇术!$A:$ZZ,28,FALSE)</f>
        <v>1</v>
      </c>
      <c r="AK128" s="28">
        <f>VLOOKUP($Q128,武学奇术!$A:$ZZ,29,FALSE)*(1+IF(OR($AG128=$F$4,$AG128=$F$5),$B$22,0))</f>
        <v>0</v>
      </c>
      <c r="AL128" s="27" cm="1">
        <f t="array" ref="AL128">$G$3+IFERROR(VLOOKUP($AG128,$F$4:$G$7,2,FALSE),0)+VLOOKUP($Q128,武学奇术!$A:$ZZ,2,FALSE)+SUM(_xlfn.XLOOKUP($R128:$AF128,增益!$A:$A,增益!$B:$B,0))</f>
        <v>0.2337</v>
      </c>
      <c r="AM128" s="27" cm="1">
        <f t="array" ref="AM128">VLOOKUP($Q128,武学奇术!$A:$ZZ,5,FALSE)+SUM(_xlfn.XLOOKUP($R128:$AF128,增益!$A:$A,增益!$E:$E,0))</f>
        <v>0</v>
      </c>
      <c r="AN128" cm="1">
        <f t="array" ref="AN128">$D$10*(1+$AM128)+VLOOKUP($Q128,武学奇术!$A:$ZZ,3,FALSE)+SUM(_xlfn.XLOOKUP($R128:$AF128,增益!$A:$A,增益!$C:$C,0))-$I$2</f>
        <v>3804.006</v>
      </c>
      <c r="AO128" cm="1">
        <f t="array" ref="AO128">$E$10*(1+$AM128)+VLOOKUP($Q128,武学奇术!$A:$ZZ,4,FALSE)+SUM(_xlfn.XLOOKUP($R128:$AF128,增益!$A:$A,增益!$D:$D,0))-$I$2</f>
        <v>3804.006</v>
      </c>
      <c r="AP128" s="33" cm="1">
        <f t="array" ref="AP128">IF($F$10-$I$3+VLOOKUP($Q128,武学奇术!$A:$ZZ,6,FALSE)+SUM(_xlfn.XLOOKUP(R128:AF128,增益!$A:$A,增益!$F:$F,0))&gt;0,($F$10-$I$3+VLOOKUP($Q128,武学奇术!$A:$ZZ,6,FALSE)+SUM(_xlfn.XLOOKUP(R128:AF128,增益!$A:$A,增益!$F:$F,0)))/200,($F$10-$I$3+VLOOKUP($Q128,武学奇术!$A:$ZZ,6,FALSE)+SUM(_xlfn.XLOOKUP(R128:AF128,增益!$A:$A,增益!$F:$F,0)))/100)</f>
        <v>0.317</v>
      </c>
      <c r="AQ128" s="33" cm="1">
        <f t="array" ref="AQ128">$G$10+VLOOKUP($Q128,武学奇术!$A:$ZZ,7,FALSE)+SUM(_xlfn.XLOOKUP(R128:AF128,增益!$A:$A,增益!$G:$G,0))</f>
        <v>0.09</v>
      </c>
      <c r="AR128" s="27" cm="1">
        <f t="array" ref="AR128">VLOOKUP($Q128,武学奇术!$A:$ZZ,8,FALSE)+SUM(_xlfn.XLOOKUP(R128:AF128,增益!$A:$A,增益!$H:$H,0))</f>
        <v>0</v>
      </c>
      <c r="AS128">
        <f t="shared" si="34"/>
        <v>0</v>
      </c>
      <c r="AT128">
        <f t="shared" si="35"/>
        <v>0</v>
      </c>
      <c r="AU128" s="33" cm="1">
        <f t="array" ref="AU128">IF($F$11-$I$4+VLOOKUP($Q128,武学奇术!$A:$ZZ,9,FALSE)+SUM(_xlfn.XLOOKUP(R128:AF128,增益!$A:$A,增益!$I:$I,0))&gt;0,($F$11-$I$4+VLOOKUP($Q128,武学奇术!$A:$ZZ,9,FALSE)+SUM(_xlfn.XLOOKUP(R128:AF128,增益!$A:$A,增益!$I:$I,0)))/200,($F$11-$I$4+VLOOKUP($Q128,武学奇术!$A:$ZZ,9,FALSE)+SUM(_xlfn.XLOOKUP(R128:AF128,增益!$A:$A,增益!$I:$I,0)))/100)</f>
        <v>-0.3</v>
      </c>
      <c r="AV128" s="33" cm="1">
        <f t="array" ref="AV128">$G$11+VLOOKUP($Q128,武学奇术!$A:$ZZ,10,FALSE)+SUM(_xlfn.XLOOKUP(R128:AF128,增益!$A:$A,增益!$J:$J,0))</f>
        <v>0</v>
      </c>
      <c r="AW128">
        <f t="shared" si="36"/>
        <v>0</v>
      </c>
      <c r="AX128">
        <f t="shared" si="37"/>
        <v>0</v>
      </c>
      <c r="AY128" s="33" cm="1">
        <f t="array" ref="AY128">IF($F$12-$I$4+VLOOKUP($Q128,武学奇术!$A:$ZZ,11,FALSE)+SUM(_xlfn.XLOOKUP(R128:AF128,增益!$A:$A,增益!$K:$K,0))&gt;0,($F$12-$I$4+VLOOKUP($Q128,武学奇术!$A:$ZZ,11,FALSE)+SUM(_xlfn.XLOOKUP(R128:AF128,增益!$A:$A,增益!$K:$K,0)))/200,($F$12-$I$4+VLOOKUP($Q128,武学奇术!$A:$ZZ,11,FALSE)+SUM(_xlfn.XLOOKUP(R128:AF128,增益!$A:$A,增益!$K:$K,0)))/100)</f>
        <v>-0.3</v>
      </c>
      <c r="AZ128" s="33" cm="1">
        <f t="array" ref="AZ128">$G$12+VLOOKUP($Q128,武学奇术!$A:$ZZ,12,FALSE)+SUM(_xlfn.XLOOKUP(R128:AF128,增益!$A:$A,增益!$L:$L,0))</f>
        <v>0</v>
      </c>
      <c r="BA128">
        <f t="shared" si="38"/>
        <v>0</v>
      </c>
      <c r="BB128">
        <f t="shared" si="39"/>
        <v>0</v>
      </c>
      <c r="BC128" s="33" cm="1">
        <f t="array" ref="BC128">IF($F$13-$I$4+VLOOKUP($Q128,武学奇术!$A:$ZZ,13,FALSE)+SUM(_xlfn.XLOOKUP(R128:AF128,增益!$A:$A,增益!$M:$M,0))&gt;0,($F$13-$I$4+VLOOKUP($Q128,武学奇术!$A:$ZZ,13,FALSE)+SUM(_xlfn.XLOOKUP(R128:AF128,增益!$A:$A,增益!$K:$K,0)))/200,($F$13-$I$4+VLOOKUP($Q128,武学奇术!$A:$ZZ,13,FALSE)+SUM(_xlfn.XLOOKUP(R128:AF128,增益!$A:$A,增益!$M:$M,0)))/100)</f>
        <v>-0.3</v>
      </c>
      <c r="BD128" s="33" cm="1">
        <f t="array" ref="BD128">$G$13+VLOOKUP($Q128,武学奇术!$A:$ZZ,14,FALSE)+SUM(_xlfn.XLOOKUP(R128:AF128,增益!$A:$A,增益!$N:$N,0))</f>
        <v>0</v>
      </c>
      <c r="BE128">
        <f t="shared" si="40"/>
        <v>570.28</v>
      </c>
      <c r="BF128">
        <f t="shared" si="41"/>
        <v>1582.156</v>
      </c>
      <c r="BG128" s="33" cm="1">
        <f t="array" ref="BG128">IF($F$14-$I$4+VLOOKUP($Q128,武学奇术!$A:$ZZ,15,FALSE)+SUM(_xlfn.XLOOKUP(R128:AF128,增益!$A:$A,增益!$O:$O,0))&gt;0,($F$14-$I$4+VLOOKUP($Q128,武学奇术!$A:$ZZ,15,FALSE)+SUM(_xlfn.XLOOKUP(R128:AF128,增益!$A:$A,增益!$O:$O,0)))/200,($F$14-$I$4+VLOOKUP($Q128,武学奇术!$A:$ZZ,15,FALSE)+SUM(_xlfn.XLOOKUP(R128:AF128,增益!$A:$A,增益!$O:$O,0)))/100)</f>
        <v>0</v>
      </c>
      <c r="BH128" s="33" cm="1">
        <f t="array" ref="BH128">$G$14+VLOOKUP($Q128,武学奇术!$A:$ZZ,16,FALSE)+SUM(_xlfn.XLOOKUP(R128:AF128,增益!$A:$A,增益!$P:$P,0))</f>
        <v>0.24</v>
      </c>
      <c r="BI128" s="27">
        <f>MIN(IF(VLOOKUP($Q128,武学奇术!$A:$ZZ,23,FALSE)=1,100%,$B$8),100%)</f>
        <v>1</v>
      </c>
      <c r="BJ128" s="27" cm="1">
        <f t="array" ref="BJ128">IF(VLOOKUP($Q128,武学奇术!$A:$ZZ,23,FALSE)=1,100%,MIN(80%,$B$9+VLOOKUP($Q128,武学奇术!$A:$ZZ,17,FALSE)+SUM(_xlfn.XLOOKUP(R128:AF128,增益!$A:$A,增益!$Q:$Q,0)))+$B$11+SUM(_xlfn.XLOOKUP(R128:AF128,增益!$A:$A,增益!$U:$U,0)))*IF(VLOOKUP($Q128,武学奇术!$A:$ZZ,24,FALSE)=1,0,1)+MIN(IF(VLOOKUP($Q128,武学奇术!$A:$ZZ,32,FALSE)=1,IF(VLOOKUP($Q128,武学奇术!$A:$ZZ,24,FALSE)=1,100%,MIN(40%,$B$10+VLOOKUP($Q128,武学奇术!$A:$ZZ,19,FALSE)+SUM(_xlfn.XLOOKUP(R128:AF128,增益!$A:$A,增益!$S:$S,0)))+$B$12+SUM(_xlfn.XLOOKUP(R128:AF128,增益!$A:$A,增益!$V:$V,0))),0),12%)</f>
        <v>0.918</v>
      </c>
      <c r="BK128" s="27" cm="1">
        <f t="array" ref="BK128">1+$B$13+VLOOKUP($Q128,武学奇术!$A:$ZZ,18,FALSE)+SUM(_xlfn.XLOOKUP(R128:AF128,增益!$A:$A,增益!$R:$R,0))</f>
        <v>1.61</v>
      </c>
      <c r="BL128" s="27" cm="1">
        <f t="array" ref="BL128">MAX(IF(VLOOKUP($Q128,武学奇术!$A:$ZZ,24,FALSE)=1,100%,MIN(40%,$B$10+VLOOKUP($Q128,武学奇术!$A:$ZZ,19,FALSE)+SUM(_xlfn.XLOOKUP(R128:AF128,增益!$A:$A,增益!$S:$S,0)))+$B$12+SUM(_xlfn.XLOOKUP(R128:AF128,增益!$A:$A,增益!$V:$V,0)))*IF(VLOOKUP($Q128,武学奇术!$A:$ZZ,23,FALSE)=1,0,1)-IF(VLOOKUP($Q128,武学奇术!$A:$ZZ,32,FALSE)=1,12%,0),0)</f>
        <v>0.0895</v>
      </c>
      <c r="BM128" s="27" cm="1">
        <f t="array" ref="BM128">1+$B$14+VLOOKUP($Q128,武学奇术!$A:$ZZ,20,FALSE)+SUM(_xlfn.XLOOKUP(R128:AF128,增益!$A:$A,增益!$T:$T,0))</f>
        <v>1.35</v>
      </c>
      <c r="BN128" s="27">
        <f t="shared" si="31"/>
        <v>0.9105</v>
      </c>
      <c r="BO128" s="27">
        <f t="shared" si="32"/>
        <v>0</v>
      </c>
      <c r="BP128" s="27">
        <f>IF(VLOOKUP($Q128,武学奇术!$A:$ZZ,22,FALSE)=1,0,(1-$BI128))*(1-$BL128)</f>
        <v>0</v>
      </c>
      <c r="BQ128" s="27" cm="1">
        <f t="array" ref="BQ128">SUM(_xlfn.XLOOKUP(R128:AF128,增益!$A:$A,增益!$W:$W,0))+$I$5</f>
        <v>0.11</v>
      </c>
    </row>
    <row r="129" spans="1:69">
      <c r="A129" s="4" t="s">
        <v>168</v>
      </c>
      <c r="B129" s="4">
        <v>1</v>
      </c>
      <c r="D129" s="40"/>
      <c r="F129" s="40"/>
      <c r="K129" s="39">
        <f t="shared" si="33"/>
        <v>21115.1387714662</v>
      </c>
      <c r="L129" s="39">
        <f>((($AN129+($AO129-$AN129)*IF(VLOOKUP($Q129,武学奇术!$A:$ZZ,31,FALSE)=1,$F$18,0.5))*$AH129+$AI129)*(1+$AP129)*(1+$AQ129)+(($AS129+($AT129-$AS129)*IF(VLOOKUP($Q129,武学奇术!$A:$ZZ,31,FALSE)=1,$F$18,0.5))*IF($G$1="鸣金",$AJ129,$AH129)+IF($G$1="鸣金",$AK129*1.5,0))*(1+$AU129)*(1+$AV129)+(($AW129+($AX129-$AW129)*IF(VLOOKUP($Q129,武学奇术!$A:$ZZ,31,FALSE)=1,$F$18,0.5))*IF($G$1="裂石",$AJ129,$AH129)+IF($G$1="裂石",$AK129*1.5,0))*(1+$AY129)*(1+$AZ129)+(($BA129+($BB129-$BA129)*IF(VLOOKUP($Q129,武学奇术!$A:$ZZ,31,FALSE)=1,$F$18,0.5))*IF($G$1="牵丝",$AJ129,$AH129)+IF($G$1="牵丝",$AK129*1.5,0))*(1+$BC129)*(1+$BD129)+(($BE129+($BF129-$BE129)*IF(VLOOKUP($Q129,武学奇术!$A:$ZZ,31,FALSE)=1,$F$18,0.5))*IF($G$1="破竹",$AJ129,$AH129)+IF($G$1="破竹",$AK129*1.5,0))*(1+$BG129)*(1+$BH129))*(1+$AL129)*$BK129*$P129*(1+IF(VLOOKUP($Q129,武学奇术!$A:$ZZ,30,FALSE)="蓄力技",$B$21,0))*(1+$BQ129)</f>
        <v>21540.2154558664</v>
      </c>
      <c r="M129" s="39">
        <f>(($AO129*$AH129+$AI129)*(1+$AP129)*(1+$AQ129)+($AT129*IF($G$1="鸣金",$AJ129,$AH129)+IF($G$1="鸣金",$AK129*1.5,0))*(1+$AU129)*(1+$AV129)+($AX129*IF($G$1="裂石",$AJ129,$AH129)+IF($G$1="裂石",$AK129*1.5,0))*(1+$AY129)*(1+$AZ129)+($BB129*IF($G$1="牵丝",$AJ129,$AH129)+IF($G$1="牵丝",$AK129*1.5,0))*(1+$BC129)*(1+$BD129)+($BF129*IF($G$1="破竹",$AJ129,$AH129)+IF($G$1="破竹",$AK129*1.5,0))*(1+$BG129)*(1+$BH129))*(1+$AL129)*$BM129*$P129*(1+IF(VLOOKUP($Q129,武学奇术!$A:$ZZ,30,FALSE)="蓄力技",$B$21,0))*(1+$BQ129)</f>
        <v>16790.7552949694</v>
      </c>
      <c r="N129" s="39">
        <f>((($AN129+($AO129-$AN129)*IF(VLOOKUP($Q129,武学奇术!$A:$ZZ,31,FALSE)=1,$F$18,0.5))*$AH129+$AI129)*(1+$AP129)*(1+$AQ129)+(($AS129+($AT129-$AS129)*IF(VLOOKUP($Q129,武学奇术!$A:$ZZ,31,FALSE)=1,$F$18,0.5))*IF($G$1="鸣金",$AJ129,$AH129)+IF($G$1="鸣金",$AK129*1.5,0))*(1+$AU129)*(1+$AV129)+(($AW129+($AX129-$AW129)*IF(VLOOKUP($Q129,武学奇术!$A:$ZZ,31,FALSE)=1,$F$18,0.5))*IF($G$1="裂石",$AJ129,$AH129)+IF($G$1="裂石",$AK129*1.5,0))*(1+$AY129)*(1+$AZ129)+(($BA129+($BB129-$BA129)*IF(VLOOKUP($Q129,武学奇术!$A:$ZZ,31,FALSE)=1,$F$18,0.5))*IF($G$1="牵丝",$AJ129,$AH129)+IF($G$1="牵丝",$AK129*1.5,0))*(1+$BC129)*(1+$BD129)+(($BE129+($BF129-$BE129)*IF(VLOOKUP($Q129,武学奇术!$A:$ZZ,31,FALSE)=1,$F$18,0.5))*IF($G$1="破竹",$AJ129,$AH129)+IF($G$1="破竹",$AK129*1.5,0))*(1+$BG129)*(1+$BH129))*(1+$AL129)*$P129*(1+IF(VLOOKUP($Q129,武学奇术!$A:$ZZ,30,FALSE)="蓄力技",$B$21,0))*(1+$BQ129)</f>
        <v>11396.9393946383</v>
      </c>
      <c r="O129" s="39">
        <f>((($AN129*$AH129+$AI129)*(1+$AP129)*(1+$AQ129)+($AS129*IF($G$1="鸣金",$AJ129,$AH129)+IF($G$1="鸣金",$AK129*1.5,0))*(1+$AU129)*(1+$AV129)+($AW129*IF($G$1="裂石",$AJ129,$AH129)+IF($G$1="裂石",$AK129*1.5,0))*(1+$AY129)*(1+$AZ129)+($BA129*IF($G$1="牵丝",$AJ129,$AH129)+IF($G$1="牵丝",$AK129*1.5,0))*(1+$BC129)*(1+$BD129)+($BE129*IF($G$1="破竹",$AJ129,$AH129)+IF($G$1="破竹",$AK129*1.5,0))*(1+$BG129)*(1+$BH129))*(1+$AL129))*$P129*(1+IF(VLOOKUP($Q129,武学奇术!$A:$ZZ,30,FALSE)="蓄力技",$B$21,0))*(1+$BQ129)</f>
        <v>10356.2822744845</v>
      </c>
      <c r="P129" s="40">
        <f t="shared" si="42"/>
        <v>1</v>
      </c>
      <c r="Q129" s="41" t="s">
        <v>190</v>
      </c>
      <c r="R129" s="41" t="s">
        <v>93</v>
      </c>
      <c r="S129" s="41" t="s">
        <v>118</v>
      </c>
      <c r="T129" s="41" t="s">
        <v>119</v>
      </c>
      <c r="U129" s="41" t="s">
        <v>72</v>
      </c>
      <c r="V129" s="41" t="s">
        <v>72</v>
      </c>
      <c r="W129" s="41" t="s">
        <v>72</v>
      </c>
      <c r="X129" s="41" t="s">
        <v>165</v>
      </c>
      <c r="Y129" s="41" t="s">
        <v>81</v>
      </c>
      <c r="Z129" s="41" t="s">
        <v>72</v>
      </c>
      <c r="AA129" s="41" t="s">
        <v>72</v>
      </c>
      <c r="AB129" s="41" t="s">
        <v>72</v>
      </c>
      <c r="AC129" s="41" t="s">
        <v>72</v>
      </c>
      <c r="AD129" s="41" t="s">
        <v>72</v>
      </c>
      <c r="AE129" s="41" t="s">
        <v>75</v>
      </c>
      <c r="AF129" s="41" t="s">
        <v>76</v>
      </c>
      <c r="AG129" t="str">
        <f>VLOOKUP($Q129,武学奇术!$A:$ZZ,25,FALSE)</f>
        <v>心法</v>
      </c>
      <c r="AH129" s="27">
        <f>VLOOKUP($Q129,武学奇术!$A:$ZZ,26,FALSE)</f>
        <v>1</v>
      </c>
      <c r="AI129" s="28">
        <f>VLOOKUP($Q129,武学奇术!$A:$ZZ,27,FALSE)*(1+IF(OR($AG129=$F$4,$AG129=$F$5),$B$22,0))</f>
        <v>0</v>
      </c>
      <c r="AJ129" s="27">
        <f>VLOOKUP($Q129,武学奇术!$A:$ZZ,28,FALSE)</f>
        <v>1</v>
      </c>
      <c r="AK129" s="28">
        <f>VLOOKUP($Q129,武学奇术!$A:$ZZ,29,FALSE)*(1+IF(OR($AG129=$F$4,$AG129=$F$5),$B$22,0))</f>
        <v>0</v>
      </c>
      <c r="AL129" s="27" cm="1">
        <f t="array" ref="AL129">$G$3+IFERROR(VLOOKUP($AG129,$F$4:$G$7,2,FALSE),0)+VLOOKUP($Q129,武学奇术!$A:$ZZ,2,FALSE)+SUM(_xlfn.XLOOKUP($R129:$AF129,增益!$A:$A,增益!$B:$B,0))</f>
        <v>0.3837</v>
      </c>
      <c r="AM129" s="27" cm="1">
        <f t="array" ref="AM129">VLOOKUP($Q129,武学奇术!$A:$ZZ,5,FALSE)+SUM(_xlfn.XLOOKUP($R129:$AF129,增益!$A:$A,增益!$E:$E,0))</f>
        <v>0</v>
      </c>
      <c r="AN129" cm="1">
        <f t="array" ref="AN129">$D$10*(1+$AM129)+VLOOKUP($Q129,武学奇术!$A:$ZZ,3,FALSE)+SUM(_xlfn.XLOOKUP($R129:$AF129,增益!$A:$A,增益!$C:$C,0))-$I$2</f>
        <v>3804.006</v>
      </c>
      <c r="AO129" cm="1">
        <f t="array" ref="AO129">$E$10*(1+$AM129)+VLOOKUP($Q129,武学奇术!$A:$ZZ,4,FALSE)+SUM(_xlfn.XLOOKUP($R129:$AF129,增益!$A:$A,增益!$D:$D,0))-$I$2</f>
        <v>3804.006</v>
      </c>
      <c r="AP129" s="33" cm="1">
        <f t="array" ref="AP129">IF($F$10-$I$3+VLOOKUP($Q129,武学奇术!$A:$ZZ,6,FALSE)+SUM(_xlfn.XLOOKUP(R129:AF129,增益!$A:$A,增益!$F:$F,0))&gt;0,($F$10-$I$3+VLOOKUP($Q129,武学奇术!$A:$ZZ,6,FALSE)+SUM(_xlfn.XLOOKUP(R129:AF129,增益!$A:$A,增益!$F:$F,0)))/200,($F$10-$I$3+VLOOKUP($Q129,武学奇术!$A:$ZZ,6,FALSE)+SUM(_xlfn.XLOOKUP(R129:AF129,增益!$A:$A,增益!$F:$F,0)))/100)</f>
        <v>0.442</v>
      </c>
      <c r="AQ129" s="33" cm="1">
        <f t="array" ref="AQ129">$G$10+VLOOKUP($Q129,武学奇术!$A:$ZZ,7,FALSE)+SUM(_xlfn.XLOOKUP(R129:AF129,增益!$A:$A,增益!$G:$G,0))</f>
        <v>0.09</v>
      </c>
      <c r="AR129" s="27" cm="1">
        <f t="array" ref="AR129">VLOOKUP($Q129,武学奇术!$A:$ZZ,8,FALSE)+SUM(_xlfn.XLOOKUP(R129:AF129,增益!$A:$A,增益!$H:$H,0))</f>
        <v>0</v>
      </c>
      <c r="AS129">
        <f t="shared" si="34"/>
        <v>0</v>
      </c>
      <c r="AT129">
        <f t="shared" si="35"/>
        <v>0</v>
      </c>
      <c r="AU129" s="33" cm="1">
        <f t="array" ref="AU129">IF($F$11-$I$4+VLOOKUP($Q129,武学奇术!$A:$ZZ,9,FALSE)+SUM(_xlfn.XLOOKUP(R129:AF129,增益!$A:$A,增益!$I:$I,0))&gt;0,($F$11-$I$4+VLOOKUP($Q129,武学奇术!$A:$ZZ,9,FALSE)+SUM(_xlfn.XLOOKUP(R129:AF129,增益!$A:$A,增益!$I:$I,0)))/200,($F$11-$I$4+VLOOKUP($Q129,武学奇术!$A:$ZZ,9,FALSE)+SUM(_xlfn.XLOOKUP(R129:AF129,增益!$A:$A,增益!$I:$I,0)))/100)</f>
        <v>-0.14</v>
      </c>
      <c r="AV129" s="33" cm="1">
        <f t="array" ref="AV129">$G$11+VLOOKUP($Q129,武学奇术!$A:$ZZ,10,FALSE)+SUM(_xlfn.XLOOKUP(R129:AF129,增益!$A:$A,增益!$J:$J,0))</f>
        <v>0</v>
      </c>
      <c r="AW129">
        <f t="shared" si="36"/>
        <v>0</v>
      </c>
      <c r="AX129">
        <f t="shared" si="37"/>
        <v>0</v>
      </c>
      <c r="AY129" s="33" cm="1">
        <f t="array" ref="AY129">IF($F$12-$I$4+VLOOKUP($Q129,武学奇术!$A:$ZZ,11,FALSE)+SUM(_xlfn.XLOOKUP(R129:AF129,增益!$A:$A,增益!$K:$K,0))&gt;0,($F$12-$I$4+VLOOKUP($Q129,武学奇术!$A:$ZZ,11,FALSE)+SUM(_xlfn.XLOOKUP(R129:AF129,增益!$A:$A,增益!$K:$K,0)))/200,($F$12-$I$4+VLOOKUP($Q129,武学奇术!$A:$ZZ,11,FALSE)+SUM(_xlfn.XLOOKUP(R129:AF129,增益!$A:$A,增益!$K:$K,0)))/100)</f>
        <v>-0.14</v>
      </c>
      <c r="AZ129" s="33" cm="1">
        <f t="array" ref="AZ129">$G$12+VLOOKUP($Q129,武学奇术!$A:$ZZ,12,FALSE)+SUM(_xlfn.XLOOKUP(R129:AF129,增益!$A:$A,增益!$L:$L,0))</f>
        <v>0</v>
      </c>
      <c r="BA129">
        <f t="shared" si="38"/>
        <v>0</v>
      </c>
      <c r="BB129">
        <f t="shared" si="39"/>
        <v>0</v>
      </c>
      <c r="BC129" s="33" cm="1">
        <f t="array" ref="BC129">IF($F$13-$I$4+VLOOKUP($Q129,武学奇术!$A:$ZZ,13,FALSE)+SUM(_xlfn.XLOOKUP(R129:AF129,增益!$A:$A,增益!$M:$M,0))&gt;0,($F$13-$I$4+VLOOKUP($Q129,武学奇术!$A:$ZZ,13,FALSE)+SUM(_xlfn.XLOOKUP(R129:AF129,增益!$A:$A,增益!$K:$K,0)))/200,($F$13-$I$4+VLOOKUP($Q129,武学奇术!$A:$ZZ,13,FALSE)+SUM(_xlfn.XLOOKUP(R129:AF129,增益!$A:$A,增益!$M:$M,0)))/100)</f>
        <v>-0.14</v>
      </c>
      <c r="BD129" s="33" cm="1">
        <f t="array" ref="BD129">$G$13+VLOOKUP($Q129,武学奇术!$A:$ZZ,14,FALSE)+SUM(_xlfn.XLOOKUP(R129:AF129,增益!$A:$A,增益!$N:$N,0))</f>
        <v>0</v>
      </c>
      <c r="BE129">
        <f t="shared" si="40"/>
        <v>570.28</v>
      </c>
      <c r="BF129">
        <f t="shared" si="41"/>
        <v>1582.156</v>
      </c>
      <c r="BG129" s="33" cm="1">
        <f t="array" ref="BG129">IF($F$14-$I$4+VLOOKUP($Q129,武学奇术!$A:$ZZ,15,FALSE)+SUM(_xlfn.XLOOKUP(R129:AF129,增益!$A:$A,增益!$O:$O,0))&gt;0,($F$14-$I$4+VLOOKUP($Q129,武学奇术!$A:$ZZ,15,FALSE)+SUM(_xlfn.XLOOKUP(R129:AF129,增益!$A:$A,增益!$O:$O,0)))/200,($F$14-$I$4+VLOOKUP($Q129,武学奇术!$A:$ZZ,15,FALSE)+SUM(_xlfn.XLOOKUP(R129:AF129,增益!$A:$A,增益!$O:$O,0)))/100)</f>
        <v>0.08</v>
      </c>
      <c r="BH129" s="33" cm="1">
        <f t="array" ref="BH129">$G$14+VLOOKUP($Q129,武学奇术!$A:$ZZ,16,FALSE)+SUM(_xlfn.XLOOKUP(R129:AF129,增益!$A:$A,增益!$P:$P,0))</f>
        <v>0.24</v>
      </c>
      <c r="BI129" s="27">
        <f>MIN(IF(VLOOKUP($Q129,武学奇术!$A:$ZZ,23,FALSE)=1,100%,$B$8),100%)</f>
        <v>1</v>
      </c>
      <c r="BJ129" s="27" cm="1">
        <f t="array" ref="BJ129">IF(VLOOKUP($Q129,武学奇术!$A:$ZZ,23,FALSE)=1,100%,MIN(80%,$B$9+VLOOKUP($Q129,武学奇术!$A:$ZZ,17,FALSE)+SUM(_xlfn.XLOOKUP(R129:AF129,增益!$A:$A,增益!$Q:$Q,0)))+$B$11+SUM(_xlfn.XLOOKUP(R129:AF129,增益!$A:$A,增益!$U:$U,0)))*IF(VLOOKUP($Q129,武学奇术!$A:$ZZ,24,FALSE)=1,0,1)+MIN(IF(VLOOKUP($Q129,武学奇术!$A:$ZZ,32,FALSE)=1,IF(VLOOKUP($Q129,武学奇术!$A:$ZZ,24,FALSE)=1,100%,MIN(40%,$B$10+VLOOKUP($Q129,武学奇术!$A:$ZZ,19,FALSE)+SUM(_xlfn.XLOOKUP(R129:AF129,增益!$A:$A,增益!$S:$S,0)))+$B$12+SUM(_xlfn.XLOOKUP(R129:AF129,增益!$A:$A,增益!$V:$V,0))),0),12%)</f>
        <v>0.918</v>
      </c>
      <c r="BK129" s="27" cm="1">
        <f t="array" ref="BK129">1+$B$13+VLOOKUP($Q129,武学奇术!$A:$ZZ,18,FALSE)+SUM(_xlfn.XLOOKUP(R129:AF129,增益!$A:$A,增益!$R:$R,0))</f>
        <v>1.89</v>
      </c>
      <c r="BL129" s="27" cm="1">
        <f t="array" ref="BL129">MAX(IF(VLOOKUP($Q129,武学奇术!$A:$ZZ,24,FALSE)=1,100%,MIN(40%,$B$10+VLOOKUP($Q129,武学奇术!$A:$ZZ,19,FALSE)+SUM(_xlfn.XLOOKUP(R129:AF129,增益!$A:$A,增益!$S:$S,0)))+$B$12+SUM(_xlfn.XLOOKUP(R129:AF129,增益!$A:$A,增益!$V:$V,0)))*IF(VLOOKUP($Q129,武学奇术!$A:$ZZ,23,FALSE)=1,0,1)-IF(VLOOKUP($Q129,武学奇术!$A:$ZZ,32,FALSE)=1,12%,0),0)</f>
        <v>0.0895</v>
      </c>
      <c r="BM129" s="27" cm="1">
        <f t="array" ref="BM129">1+$B$14+VLOOKUP($Q129,武学奇术!$A:$ZZ,20,FALSE)+SUM(_xlfn.XLOOKUP(R129:AF129,增益!$A:$A,增益!$T:$T,0))</f>
        <v>1.35</v>
      </c>
      <c r="BN129" s="27">
        <f t="shared" si="31"/>
        <v>0.9105</v>
      </c>
      <c r="BO129" s="27">
        <f t="shared" si="32"/>
        <v>0</v>
      </c>
      <c r="BP129" s="27">
        <f>IF(VLOOKUP($Q129,武学奇术!$A:$ZZ,22,FALSE)=1,0,(1-$BI129))*(1-$BL129)</f>
        <v>0</v>
      </c>
      <c r="BQ129" s="27" cm="1">
        <f t="array" ref="BQ129">SUM(_xlfn.XLOOKUP(R129:AF129,增益!$A:$A,增益!$W:$W,0))+$I$5</f>
        <v>0.11</v>
      </c>
    </row>
    <row r="130" spans="1:69">
      <c r="A130" s="4" t="s">
        <v>166</v>
      </c>
      <c r="B130" s="91">
        <v>1.16</v>
      </c>
      <c r="D130" s="40"/>
      <c r="F130" s="40"/>
      <c r="K130" s="39">
        <f t="shared" si="33"/>
        <v>21890.6872192634</v>
      </c>
      <c r="L130" s="39">
        <f>((($AN130+($AO130-$AN130)*IF(VLOOKUP($Q130,武学奇术!$A:$ZZ,31,FALSE)=1,$F$18,0.5))*$AH130+$AI130)*(1+$AP130)*(1+$AQ130)+(($AS130+($AT130-$AS130)*IF(VLOOKUP($Q130,武学奇术!$A:$ZZ,31,FALSE)=1,$F$18,0.5))*IF($G$1="鸣金",$AJ130,$AH130)+IF($G$1="鸣金",$AK130*1.5,0))*(1+$AU130)*(1+$AV130)+(($AW130+($AX130-$AW130)*IF(VLOOKUP($Q130,武学奇术!$A:$ZZ,31,FALSE)=1,$F$18,0.5))*IF($G$1="裂石",$AJ130,$AH130)+IF($G$1="裂石",$AK130*1.5,0))*(1+$AY130)*(1+$AZ130)+(($BA130+($BB130-$BA130)*IF(VLOOKUP($Q130,武学奇术!$A:$ZZ,31,FALSE)=1,$F$18,0.5))*IF($G$1="牵丝",$AJ130,$AH130)+IF($G$1="牵丝",$AK130*1.5,0))*(1+$BC130)*(1+$BD130)+(($BE130+($BF130-$BE130)*IF(VLOOKUP($Q130,武学奇术!$A:$ZZ,31,FALSE)=1,$F$18,0.5))*IF($G$1="破竹",$AJ130,$AH130)+IF($G$1="破竹",$AK130*1.5,0))*(1+$BG130)*(1+$BH130))*(1+$AL130)*$BK130*$P130*(1+IF(VLOOKUP($Q130,武学奇术!$A:$ZZ,30,FALSE)="蓄力技",$B$21,0))*(1+$BQ130)</f>
        <v>22339.4326254607</v>
      </c>
      <c r="M130" s="39">
        <f>(($AO130*$AH130+$AI130)*(1+$AP130)*(1+$AQ130)+($AT130*IF($G$1="鸣金",$AJ130,$AH130)+IF($G$1="鸣金",$AK130*1.5,0))*(1+$AU130)*(1+$AV130)+($AX130*IF($G$1="裂石",$AJ130,$AH130)+IF($G$1="裂石",$AK130*1.5,0))*(1+$AY130)*(1+$AZ130)+($BB130*IF($G$1="牵丝",$AJ130,$AH130)+IF($G$1="牵丝",$AK130*1.5,0))*(1+$BC130)*(1+$BD130)+($BF130*IF($G$1="破竹",$AJ130,$AH130)+IF($G$1="破竹",$AK130*1.5,0))*(1+$BG130)*(1+$BH130))*(1+$AL130)*$BM130*$P130*(1+IF(VLOOKUP($Q130,武学奇术!$A:$ZZ,30,FALSE)="蓄力技",$B$21,0))*(1+$BQ130)</f>
        <v>17325.5174724179</v>
      </c>
      <c r="N130" s="39">
        <f>((($AN130+($AO130-$AN130)*IF(VLOOKUP($Q130,武学奇术!$A:$ZZ,31,FALSE)=1,$F$18,0.5))*$AH130+$AI130)*(1+$AP130)*(1+$AQ130)+(($AS130+($AT130-$AS130)*IF(VLOOKUP($Q130,武学奇术!$A:$ZZ,31,FALSE)=1,$F$18,0.5))*IF($G$1="鸣金",$AJ130,$AH130)+IF($G$1="鸣金",$AK130*1.5,0))*(1+$AU130)*(1+$AV130)+(($AW130+($AX130-$AW130)*IF(VLOOKUP($Q130,武学奇术!$A:$ZZ,31,FALSE)=1,$F$18,0.5))*IF($G$1="裂石",$AJ130,$AH130)+IF($G$1="裂石",$AK130*1.5,0))*(1+$AY130)*(1+$AZ130)+(($BA130+($BB130-$BA130)*IF(VLOOKUP($Q130,武学奇术!$A:$ZZ,31,FALSE)=1,$F$18,0.5))*IF($G$1="牵丝",$AJ130,$AH130)+IF($G$1="牵丝",$AK130*1.5,0))*(1+$BC130)*(1+$BD130)+(($BE130+($BF130-$BE130)*IF(VLOOKUP($Q130,武学奇术!$A:$ZZ,31,FALSE)=1,$F$18,0.5))*IF($G$1="破竹",$AJ130,$AH130)+IF($G$1="破竹",$AK130*1.5,0))*(1+$BG130)*(1+$BH130))*(1+$AL130)*$P130*(1+IF(VLOOKUP($Q130,武学奇术!$A:$ZZ,30,FALSE)="蓄力技",$B$21,0))*(1+$BQ130)</f>
        <v>11819.8056219369</v>
      </c>
      <c r="O130" s="39">
        <f>((($AN130*$AH130+$AI130)*(1+$AP130)*(1+$AQ130)+($AS130*IF($G$1="鸣金",$AJ130,$AH130)+IF($G$1="鸣金",$AK130*1.5,0))*(1+$AU130)*(1+$AV130)+($AW130*IF($G$1="裂石",$AJ130,$AH130)+IF($G$1="裂石",$AK130*1.5,0))*(1+$AY130)*(1+$AZ130)+($BA130*IF($G$1="牵丝",$AJ130,$AH130)+IF($G$1="牵丝",$AK130*1.5,0))*(1+$BC130)*(1+$BD130)+($BE130*IF($G$1="破竹",$AJ130,$AH130)+IF($G$1="破竹",$AK130*1.5,0))*(1+$BG130)*(1+$BH130))*(1+$AL130))*$P130*(1+IF(VLOOKUP($Q130,武学奇术!$A:$ZZ,30,FALSE)="蓄力技",$B$21,0))*(1+$BQ130)</f>
        <v>10805.8945976382</v>
      </c>
      <c r="P130" s="40">
        <f t="shared" si="42"/>
        <v>1</v>
      </c>
      <c r="Q130" s="41" t="s">
        <v>190</v>
      </c>
      <c r="R130" s="41" t="s">
        <v>93</v>
      </c>
      <c r="S130" s="41" t="s">
        <v>118</v>
      </c>
      <c r="T130" s="41" t="s">
        <v>72</v>
      </c>
      <c r="U130" s="41" t="s">
        <v>72</v>
      </c>
      <c r="V130" s="41" t="s">
        <v>176</v>
      </c>
      <c r="W130" s="41" t="s">
        <v>177</v>
      </c>
      <c r="X130" s="41" t="s">
        <v>165</v>
      </c>
      <c r="Y130" s="41" t="s">
        <v>72</v>
      </c>
      <c r="Z130" s="41" t="s">
        <v>72</v>
      </c>
      <c r="AA130" s="41" t="s">
        <v>72</v>
      </c>
      <c r="AB130" s="41" t="s">
        <v>72</v>
      </c>
      <c r="AC130" s="41" t="s">
        <v>72</v>
      </c>
      <c r="AD130" s="41" t="s">
        <v>72</v>
      </c>
      <c r="AE130" s="41" t="s">
        <v>75</v>
      </c>
      <c r="AF130" s="41" t="s">
        <v>76</v>
      </c>
      <c r="AG130" t="str">
        <f>VLOOKUP($Q130,武学奇术!$A:$ZZ,25,FALSE)</f>
        <v>心法</v>
      </c>
      <c r="AH130" s="27">
        <f>VLOOKUP($Q130,武学奇术!$A:$ZZ,26,FALSE)</f>
        <v>1</v>
      </c>
      <c r="AI130" s="28">
        <f>VLOOKUP($Q130,武学奇术!$A:$ZZ,27,FALSE)*(1+IF(OR($AG130=$F$4,$AG130=$F$5),$B$22,0))</f>
        <v>0</v>
      </c>
      <c r="AJ130" s="27">
        <f>VLOOKUP($Q130,武学奇术!$A:$ZZ,28,FALSE)</f>
        <v>1</v>
      </c>
      <c r="AK130" s="28">
        <f>VLOOKUP($Q130,武学奇术!$A:$ZZ,29,FALSE)*(1+IF(OR($AG130=$F$4,$AG130=$F$5),$B$22,0))</f>
        <v>0</v>
      </c>
      <c r="AL130" s="27" cm="1">
        <f t="array" ref="AL130">$G$3+IFERROR(VLOOKUP($AG130,$F$4:$G$7,2,FALSE),0)+VLOOKUP($Q130,武学奇术!$A:$ZZ,2,FALSE)+SUM(_xlfn.XLOOKUP($R130:$AF130,增益!$A:$A,增益!$B:$B,0))</f>
        <v>0.2337</v>
      </c>
      <c r="AM130" s="27" cm="1">
        <f t="array" ref="AM130">VLOOKUP($Q130,武学奇术!$A:$ZZ,5,FALSE)+SUM(_xlfn.XLOOKUP($R130:$AF130,增益!$A:$A,增益!$E:$E,0))</f>
        <v>0</v>
      </c>
      <c r="AN130" cm="1">
        <f t="array" ref="AN130">$D$10*(1+$AM130)+VLOOKUP($Q130,武学奇术!$A:$ZZ,3,FALSE)+SUM(_xlfn.XLOOKUP($R130:$AF130,增益!$A:$A,增益!$C:$C,0))-$I$2</f>
        <v>3804.006</v>
      </c>
      <c r="AO130" cm="1">
        <f t="array" ref="AO130">$E$10*(1+$AM130)+VLOOKUP($Q130,武学奇术!$A:$ZZ,4,FALSE)+SUM(_xlfn.XLOOKUP($R130:$AF130,增益!$A:$A,增益!$D:$D,0))-$I$2</f>
        <v>3804.006</v>
      </c>
      <c r="AP130" s="33" cm="1">
        <f t="array" ref="AP130">IF($F$10-$I$3+VLOOKUP($Q130,武学奇术!$A:$ZZ,6,FALSE)+SUM(_xlfn.XLOOKUP(R130:AF130,增益!$A:$A,增益!$F:$F,0))&gt;0,($F$10-$I$3+VLOOKUP($Q130,武学奇术!$A:$ZZ,6,FALSE)+SUM(_xlfn.XLOOKUP(R130:AF130,增益!$A:$A,增益!$F:$F,0)))/200,($F$10-$I$3+VLOOKUP($Q130,武学奇术!$A:$ZZ,6,FALSE)+SUM(_xlfn.XLOOKUP(R130:AF130,增益!$A:$A,增益!$F:$F,0)))/100)</f>
        <v>0.442</v>
      </c>
      <c r="AQ130" s="33" cm="1">
        <f t="array" ref="AQ130">$G$10+VLOOKUP($Q130,武学奇术!$A:$ZZ,7,FALSE)+SUM(_xlfn.XLOOKUP(R130:AF130,增益!$A:$A,增益!$G:$G,0))</f>
        <v>0.09</v>
      </c>
      <c r="AR130" s="27" cm="1">
        <f t="array" ref="AR130">VLOOKUP($Q130,武学奇术!$A:$ZZ,8,FALSE)+SUM(_xlfn.XLOOKUP(R130:AF130,增益!$A:$A,增益!$H:$H,0))</f>
        <v>0</v>
      </c>
      <c r="AS130">
        <f t="shared" si="34"/>
        <v>0</v>
      </c>
      <c r="AT130">
        <f t="shared" si="35"/>
        <v>0</v>
      </c>
      <c r="AU130" s="33" cm="1">
        <f t="array" ref="AU130">IF($F$11-$I$4+VLOOKUP($Q130,武学奇术!$A:$ZZ,9,FALSE)+SUM(_xlfn.XLOOKUP(R130:AF130,增益!$A:$A,增益!$I:$I,0))&gt;0,($F$11-$I$4+VLOOKUP($Q130,武学奇术!$A:$ZZ,9,FALSE)+SUM(_xlfn.XLOOKUP(R130:AF130,增益!$A:$A,增益!$I:$I,0)))/200,($F$11-$I$4+VLOOKUP($Q130,武学奇术!$A:$ZZ,9,FALSE)+SUM(_xlfn.XLOOKUP(R130:AF130,增益!$A:$A,增益!$I:$I,0)))/100)</f>
        <v>-0.3</v>
      </c>
      <c r="AV130" s="33" cm="1">
        <f t="array" ref="AV130">$G$11+VLOOKUP($Q130,武学奇术!$A:$ZZ,10,FALSE)+SUM(_xlfn.XLOOKUP(R130:AF130,增益!$A:$A,增益!$J:$J,0))</f>
        <v>0.1</v>
      </c>
      <c r="AW130">
        <f t="shared" si="36"/>
        <v>0</v>
      </c>
      <c r="AX130">
        <f t="shared" si="37"/>
        <v>0</v>
      </c>
      <c r="AY130" s="33" cm="1">
        <f t="array" ref="AY130">IF($F$12-$I$4+VLOOKUP($Q130,武学奇术!$A:$ZZ,11,FALSE)+SUM(_xlfn.XLOOKUP(R130:AF130,增益!$A:$A,增益!$K:$K,0))&gt;0,($F$12-$I$4+VLOOKUP($Q130,武学奇术!$A:$ZZ,11,FALSE)+SUM(_xlfn.XLOOKUP(R130:AF130,增益!$A:$A,增益!$K:$K,0)))/200,($F$12-$I$4+VLOOKUP($Q130,武学奇术!$A:$ZZ,11,FALSE)+SUM(_xlfn.XLOOKUP(R130:AF130,增益!$A:$A,增益!$K:$K,0)))/100)</f>
        <v>-0.3</v>
      </c>
      <c r="AZ130" s="33" cm="1">
        <f t="array" ref="AZ130">$G$12+VLOOKUP($Q130,武学奇术!$A:$ZZ,12,FALSE)+SUM(_xlfn.XLOOKUP(R130:AF130,增益!$A:$A,增益!$L:$L,0))</f>
        <v>0</v>
      </c>
      <c r="BA130">
        <f t="shared" si="38"/>
        <v>0</v>
      </c>
      <c r="BB130">
        <f t="shared" si="39"/>
        <v>0</v>
      </c>
      <c r="BC130" s="33" cm="1">
        <f t="array" ref="BC130">IF($F$13-$I$4+VLOOKUP($Q130,武学奇术!$A:$ZZ,13,FALSE)+SUM(_xlfn.XLOOKUP(R130:AF130,增益!$A:$A,增益!$M:$M,0))&gt;0,($F$13-$I$4+VLOOKUP($Q130,武学奇术!$A:$ZZ,13,FALSE)+SUM(_xlfn.XLOOKUP(R130:AF130,增益!$A:$A,增益!$K:$K,0)))/200,($F$13-$I$4+VLOOKUP($Q130,武学奇术!$A:$ZZ,13,FALSE)+SUM(_xlfn.XLOOKUP(R130:AF130,增益!$A:$A,增益!$M:$M,0)))/100)</f>
        <v>-0.3</v>
      </c>
      <c r="BD130" s="33" cm="1">
        <f t="array" ref="BD130">$G$13+VLOOKUP($Q130,武学奇术!$A:$ZZ,14,FALSE)+SUM(_xlfn.XLOOKUP(R130:AF130,增益!$A:$A,增益!$N:$N,0))</f>
        <v>0</v>
      </c>
      <c r="BE130">
        <f t="shared" si="40"/>
        <v>570.28</v>
      </c>
      <c r="BF130">
        <f t="shared" si="41"/>
        <v>1582.156</v>
      </c>
      <c r="BG130" s="33" cm="1">
        <f t="array" ref="BG130">IF($F$14-$I$4+VLOOKUP($Q130,武学奇术!$A:$ZZ,15,FALSE)+SUM(_xlfn.XLOOKUP(R130:AF130,增益!$A:$A,增益!$O:$O,0))&gt;0,($F$14-$I$4+VLOOKUP($Q130,武学奇术!$A:$ZZ,15,FALSE)+SUM(_xlfn.XLOOKUP(R130:AF130,增益!$A:$A,增益!$O:$O,0)))/200,($F$14-$I$4+VLOOKUP($Q130,武学奇术!$A:$ZZ,15,FALSE)+SUM(_xlfn.XLOOKUP(R130:AF130,增益!$A:$A,增益!$O:$O,0)))/100)</f>
        <v>0</v>
      </c>
      <c r="BH130" s="33" cm="1">
        <f t="array" ref="BH130">$G$14+VLOOKUP($Q130,武学奇术!$A:$ZZ,16,FALSE)+SUM(_xlfn.XLOOKUP(R130:AF130,增益!$A:$A,增益!$P:$P,0))</f>
        <v>0.24</v>
      </c>
      <c r="BI130" s="27">
        <f>MIN(IF(VLOOKUP($Q130,武学奇术!$A:$ZZ,23,FALSE)=1,100%,$B$8),100%)</f>
        <v>1</v>
      </c>
      <c r="BJ130" s="27" cm="1">
        <f t="array" ref="BJ130">IF(VLOOKUP($Q130,武学奇术!$A:$ZZ,23,FALSE)=1,100%,MIN(80%,$B$9+VLOOKUP($Q130,武学奇术!$A:$ZZ,17,FALSE)+SUM(_xlfn.XLOOKUP(R130:AF130,增益!$A:$A,增益!$Q:$Q,0)))+$B$11+SUM(_xlfn.XLOOKUP(R130:AF130,增益!$A:$A,增益!$U:$U,0)))*IF(VLOOKUP($Q130,武学奇术!$A:$ZZ,24,FALSE)=1,0,1)+MIN(IF(VLOOKUP($Q130,武学奇术!$A:$ZZ,32,FALSE)=1,IF(VLOOKUP($Q130,武学奇术!$A:$ZZ,24,FALSE)=1,100%,MIN(40%,$B$10+VLOOKUP($Q130,武学奇术!$A:$ZZ,19,FALSE)+SUM(_xlfn.XLOOKUP(R130:AF130,增益!$A:$A,增益!$S:$S,0)))+$B$12+SUM(_xlfn.XLOOKUP(R130:AF130,增益!$A:$A,增益!$V:$V,0))),0),12%)</f>
        <v>0.918</v>
      </c>
      <c r="BK130" s="27" cm="1">
        <f t="array" ref="BK130">1+$B$13+VLOOKUP($Q130,武学奇术!$A:$ZZ,18,FALSE)+SUM(_xlfn.XLOOKUP(R130:AF130,增益!$A:$A,增益!$R:$R,0))</f>
        <v>1.89</v>
      </c>
      <c r="BL130" s="27" cm="1">
        <f t="array" ref="BL130">MAX(IF(VLOOKUP($Q130,武学奇术!$A:$ZZ,24,FALSE)=1,100%,MIN(40%,$B$10+VLOOKUP($Q130,武学奇术!$A:$ZZ,19,FALSE)+SUM(_xlfn.XLOOKUP(R130:AF130,增益!$A:$A,增益!$S:$S,0)))+$B$12+SUM(_xlfn.XLOOKUP(R130:AF130,增益!$A:$A,增益!$V:$V,0)))*IF(VLOOKUP($Q130,武学奇术!$A:$ZZ,23,FALSE)=1,0,1)-IF(VLOOKUP($Q130,武学奇术!$A:$ZZ,32,FALSE)=1,12%,0),0)</f>
        <v>0.0895</v>
      </c>
      <c r="BM130" s="27" cm="1">
        <f t="array" ref="BM130">1+$B$14+VLOOKUP($Q130,武学奇术!$A:$ZZ,20,FALSE)+SUM(_xlfn.XLOOKUP(R130:AF130,增益!$A:$A,增益!$T:$T,0))</f>
        <v>1.35</v>
      </c>
      <c r="BN130" s="27">
        <f t="shared" si="31"/>
        <v>0.9105</v>
      </c>
      <c r="BO130" s="27">
        <f t="shared" si="32"/>
        <v>0</v>
      </c>
      <c r="BP130" s="27">
        <f>IF(VLOOKUP($Q130,武学奇术!$A:$ZZ,22,FALSE)=1,0,(1-$BI130))*(1-$BL130)</f>
        <v>0</v>
      </c>
      <c r="BQ130" s="27" cm="1">
        <f t="array" ref="BQ130">SUM(_xlfn.XLOOKUP(R130:AF130,增益!$A:$A,增益!$W:$W,0))+$I$5</f>
        <v>0.31</v>
      </c>
    </row>
    <row r="131" spans="1:69">
      <c r="A131" s="4" t="s">
        <v>171</v>
      </c>
      <c r="B131" s="91">
        <v>0.7</v>
      </c>
      <c r="D131" s="40" t="s">
        <v>170</v>
      </c>
      <c r="F131" s="40"/>
      <c r="K131" s="39">
        <f t="shared" si="33"/>
        <v>18826.1521300555</v>
      </c>
      <c r="L131" s="39">
        <f>((($AN131+($AO131-$AN131)*IF(VLOOKUP($Q131,武学奇术!$A:$ZZ,31,FALSE)=1,$F$18,0.5))*$AH131+$AI131)*(1+$AP131)*(1+$AQ131)+(($AS131+($AT131-$AS131)*IF(VLOOKUP($Q131,武学奇术!$A:$ZZ,31,FALSE)=1,$F$18,0.5))*IF($G$1="鸣金",$AJ131,$AH131)+IF($G$1="鸣金",$AK131*1.5,0))*(1+$AU131)*(1+$AV131)+(($AW131+($AX131-$AW131)*IF(VLOOKUP($Q131,武学奇术!$A:$ZZ,31,FALSE)=1,$F$18,0.5))*IF($G$1="裂石",$AJ131,$AH131)+IF($G$1="裂石",$AK131*1.5,0))*(1+$AY131)*(1+$AZ131)+(($BA131+($BB131-$BA131)*IF(VLOOKUP($Q131,武学奇术!$A:$ZZ,31,FALSE)=1,$F$18,0.5))*IF($G$1="牵丝",$AJ131,$AH131)+IF($G$1="牵丝",$AK131*1.5,0))*(1+$BC131)*(1+$BD131)+(($BE131+($BF131-$BE131)*IF(VLOOKUP($Q131,武学奇术!$A:$ZZ,31,FALSE)=1,$F$18,0.5))*IF($G$1="破竹",$AJ131,$AH131)+IF($G$1="破竹",$AK131*1.5,0))*(1+$BG131)*(1+$BH131))*(1+$AL131)*$BK131*$P131*(1+IF(VLOOKUP($Q131,武学奇术!$A:$ZZ,30,FALSE)="蓄力技",$B$21,0))*(1+$BQ131)</f>
        <v>19205.1483760226</v>
      </c>
      <c r="M131" s="39">
        <f>(($AO131*$AH131+$AI131)*(1+$AP131)*(1+$AQ131)+($AT131*IF($G$1="鸣金",$AJ131,$AH131)+IF($G$1="鸣金",$AK131*1.5,0))*(1+$AU131)*(1+$AV131)+($AX131*IF($G$1="裂石",$AJ131,$AH131)+IF($G$1="裂石",$AK131*1.5,0))*(1+$AY131)*(1+$AZ131)+($BB131*IF($G$1="牵丝",$AJ131,$AH131)+IF($G$1="牵丝",$AK131*1.5,0))*(1+$BC131)*(1+$BD131)+($BF131*IF($G$1="破竹",$AJ131,$AH131)+IF($G$1="破竹",$AK131*1.5,0))*(1+$BG131)*(1+$BH131))*(1+$AL131)*$BM131*$P131*(1+IF(VLOOKUP($Q131,武学奇术!$A:$ZZ,30,FALSE)="蓄力技",$B$21,0))*(1+$BQ131)</f>
        <v>14970.5534490162</v>
      </c>
      <c r="N131" s="39">
        <f>((($AN131+($AO131-$AN131)*IF(VLOOKUP($Q131,武学奇术!$A:$ZZ,31,FALSE)=1,$F$18,0.5))*$AH131+$AI131)*(1+$AP131)*(1+$AQ131)+(($AS131+($AT131-$AS131)*IF(VLOOKUP($Q131,武学奇术!$A:$ZZ,31,FALSE)=1,$F$18,0.5))*IF($G$1="鸣金",$AJ131,$AH131)+IF($G$1="鸣金",$AK131*1.5,0))*(1+$AU131)*(1+$AV131)+(($AW131+($AX131-$AW131)*IF(VLOOKUP($Q131,武学奇术!$A:$ZZ,31,FALSE)=1,$F$18,0.5))*IF($G$1="裂石",$AJ131,$AH131)+IF($G$1="裂石",$AK131*1.5,0))*(1+$AY131)*(1+$AZ131)+(($BA131+($BB131-$BA131)*IF(VLOOKUP($Q131,武学奇术!$A:$ZZ,31,FALSE)=1,$F$18,0.5))*IF($G$1="牵丝",$AJ131,$AH131)+IF($G$1="牵丝",$AK131*1.5,0))*(1+$BC131)*(1+$BD131)+(($BE131+($BF131-$BE131)*IF(VLOOKUP($Q131,武学奇术!$A:$ZZ,31,FALSE)=1,$F$18,0.5))*IF($G$1="破竹",$AJ131,$AH131)+IF($G$1="破竹",$AK131*1.5,0))*(1+$BG131)*(1+$BH131))*(1+$AL131)*$P131*(1+IF(VLOOKUP($Q131,武学奇术!$A:$ZZ,30,FALSE)="蓄力技",$B$21,0))*(1+$BQ131)</f>
        <v>10161.4541672077</v>
      </c>
      <c r="O131" s="39">
        <f>((($AN131*$AH131+$AI131)*(1+$AP131)*(1+$AQ131)+($AS131*IF($G$1="鸣金",$AJ131,$AH131)+IF($G$1="鸣金",$AK131*1.5,0))*(1+$AU131)*(1+$AV131)+($AW131*IF($G$1="裂石",$AJ131,$AH131)+IF($G$1="裂石",$AK131*1.5,0))*(1+$AY131)*(1+$AZ131)+($BA131*IF($G$1="牵丝",$AJ131,$AH131)+IF($G$1="牵丝",$AK131*1.5,0))*(1+$BC131)*(1+$BD131)+($BE131*IF($G$1="破竹",$AJ131,$AH131)+IF($G$1="破竹",$AK131*1.5,0))*(1+$BG131)*(1+$BH131))*(1+$AL131))*$P131*(1+IF(VLOOKUP($Q131,武学奇术!$A:$ZZ,30,FALSE)="蓄力技",$B$21,0))*(1+$BQ131)</f>
        <v>9233.60948329228</v>
      </c>
      <c r="P131" s="40">
        <f t="shared" si="42"/>
        <v>1</v>
      </c>
      <c r="Q131" s="41" t="s">
        <v>190</v>
      </c>
      <c r="R131" s="41" t="s">
        <v>93</v>
      </c>
      <c r="S131" s="41" t="s">
        <v>118</v>
      </c>
      <c r="T131" s="41" t="s">
        <v>72</v>
      </c>
      <c r="U131" s="41" t="s">
        <v>72</v>
      </c>
      <c r="V131" s="41" t="s">
        <v>72</v>
      </c>
      <c r="W131" s="41" t="s">
        <v>72</v>
      </c>
      <c r="X131" s="41" t="s">
        <v>165</v>
      </c>
      <c r="Y131" s="41" t="s">
        <v>81</v>
      </c>
      <c r="Z131" s="41" t="s">
        <v>72</v>
      </c>
      <c r="AA131" s="41" t="s">
        <v>72</v>
      </c>
      <c r="AB131" s="41" t="s">
        <v>72</v>
      </c>
      <c r="AC131" s="41" t="s">
        <v>72</v>
      </c>
      <c r="AD131" s="41" t="s">
        <v>72</v>
      </c>
      <c r="AE131" s="41" t="s">
        <v>75</v>
      </c>
      <c r="AF131" s="41" t="s">
        <v>76</v>
      </c>
      <c r="AG131" t="str">
        <f>VLOOKUP($Q131,武学奇术!$A:$ZZ,25,FALSE)</f>
        <v>心法</v>
      </c>
      <c r="AH131" s="27">
        <f>VLOOKUP($Q131,武学奇术!$A:$ZZ,26,FALSE)</f>
        <v>1</v>
      </c>
      <c r="AI131" s="28">
        <f>VLOOKUP($Q131,武学奇术!$A:$ZZ,27,FALSE)*(1+IF(OR($AG131=$F$4,$AG131=$F$5),$B$22,0))</f>
        <v>0</v>
      </c>
      <c r="AJ131" s="27">
        <f>VLOOKUP($Q131,武学奇术!$A:$ZZ,28,FALSE)</f>
        <v>1</v>
      </c>
      <c r="AK131" s="28">
        <f>VLOOKUP($Q131,武学奇术!$A:$ZZ,29,FALSE)*(1+IF(OR($AG131=$F$4,$AG131=$F$5),$B$22,0))</f>
        <v>0</v>
      </c>
      <c r="AL131" s="27" cm="1">
        <f t="array" ref="AL131">$G$3+IFERROR(VLOOKUP($AG131,$F$4:$G$7,2,FALSE),0)+VLOOKUP($Q131,武学奇术!$A:$ZZ,2,FALSE)+SUM(_xlfn.XLOOKUP($R131:$AF131,增益!$A:$A,增益!$B:$B,0))</f>
        <v>0.2337</v>
      </c>
      <c r="AM131" s="27" cm="1">
        <f t="array" ref="AM131">VLOOKUP($Q131,武学奇术!$A:$ZZ,5,FALSE)+SUM(_xlfn.XLOOKUP($R131:$AF131,增益!$A:$A,增益!$E:$E,0))</f>
        <v>0</v>
      </c>
      <c r="AN131" cm="1">
        <f t="array" ref="AN131">$D$10*(1+$AM131)+VLOOKUP($Q131,武学奇术!$A:$ZZ,3,FALSE)+SUM(_xlfn.XLOOKUP($R131:$AF131,增益!$A:$A,增益!$C:$C,0))-$I$2</f>
        <v>3804.006</v>
      </c>
      <c r="AO131" cm="1">
        <f t="array" ref="AO131">$E$10*(1+$AM131)+VLOOKUP($Q131,武学奇术!$A:$ZZ,4,FALSE)+SUM(_xlfn.XLOOKUP($R131:$AF131,增益!$A:$A,增益!$D:$D,0))-$I$2</f>
        <v>3804.006</v>
      </c>
      <c r="AP131" s="33" cm="1">
        <f t="array" ref="AP131">IF($F$10-$I$3+VLOOKUP($Q131,武学奇术!$A:$ZZ,6,FALSE)+SUM(_xlfn.XLOOKUP(R131:AF131,增益!$A:$A,增益!$F:$F,0))&gt;0,($F$10-$I$3+VLOOKUP($Q131,武学奇术!$A:$ZZ,6,FALSE)+SUM(_xlfn.XLOOKUP(R131:AF131,增益!$A:$A,增益!$F:$F,0)))/200,($F$10-$I$3+VLOOKUP($Q131,武学奇术!$A:$ZZ,6,FALSE)+SUM(_xlfn.XLOOKUP(R131:AF131,增益!$A:$A,增益!$F:$F,0)))/100)</f>
        <v>0.442</v>
      </c>
      <c r="AQ131" s="33" cm="1">
        <f t="array" ref="AQ131">$G$10+VLOOKUP($Q131,武学奇术!$A:$ZZ,7,FALSE)+SUM(_xlfn.XLOOKUP(R131:AF131,增益!$A:$A,增益!$G:$G,0))</f>
        <v>0.09</v>
      </c>
      <c r="AR131" s="27" cm="1">
        <f t="array" ref="AR131">VLOOKUP($Q131,武学奇术!$A:$ZZ,8,FALSE)+SUM(_xlfn.XLOOKUP(R131:AF131,增益!$A:$A,增益!$H:$H,0))</f>
        <v>0</v>
      </c>
      <c r="AS131">
        <f t="shared" si="34"/>
        <v>0</v>
      </c>
      <c r="AT131">
        <f t="shared" si="35"/>
        <v>0</v>
      </c>
      <c r="AU131" s="33" cm="1">
        <f t="array" ref="AU131">IF($F$11-$I$4+VLOOKUP($Q131,武学奇术!$A:$ZZ,9,FALSE)+SUM(_xlfn.XLOOKUP(R131:AF131,增益!$A:$A,增益!$I:$I,0))&gt;0,($F$11-$I$4+VLOOKUP($Q131,武学奇术!$A:$ZZ,9,FALSE)+SUM(_xlfn.XLOOKUP(R131:AF131,增益!$A:$A,增益!$I:$I,0)))/200,($F$11-$I$4+VLOOKUP($Q131,武学奇术!$A:$ZZ,9,FALSE)+SUM(_xlfn.XLOOKUP(R131:AF131,增益!$A:$A,增益!$I:$I,0)))/100)</f>
        <v>-0.14</v>
      </c>
      <c r="AV131" s="33" cm="1">
        <f t="array" ref="AV131">$G$11+VLOOKUP($Q131,武学奇术!$A:$ZZ,10,FALSE)+SUM(_xlfn.XLOOKUP(R131:AF131,增益!$A:$A,增益!$J:$J,0))</f>
        <v>0</v>
      </c>
      <c r="AW131">
        <f t="shared" si="36"/>
        <v>0</v>
      </c>
      <c r="AX131">
        <f t="shared" si="37"/>
        <v>0</v>
      </c>
      <c r="AY131" s="33" cm="1">
        <f t="array" ref="AY131">IF($F$12-$I$4+VLOOKUP($Q131,武学奇术!$A:$ZZ,11,FALSE)+SUM(_xlfn.XLOOKUP(R131:AF131,增益!$A:$A,增益!$K:$K,0))&gt;0,($F$12-$I$4+VLOOKUP($Q131,武学奇术!$A:$ZZ,11,FALSE)+SUM(_xlfn.XLOOKUP(R131:AF131,增益!$A:$A,增益!$K:$K,0)))/200,($F$12-$I$4+VLOOKUP($Q131,武学奇术!$A:$ZZ,11,FALSE)+SUM(_xlfn.XLOOKUP(R131:AF131,增益!$A:$A,增益!$K:$K,0)))/100)</f>
        <v>-0.14</v>
      </c>
      <c r="AZ131" s="33" cm="1">
        <f t="array" ref="AZ131">$G$12+VLOOKUP($Q131,武学奇术!$A:$ZZ,12,FALSE)+SUM(_xlfn.XLOOKUP(R131:AF131,增益!$A:$A,增益!$L:$L,0))</f>
        <v>0</v>
      </c>
      <c r="BA131">
        <f t="shared" si="38"/>
        <v>0</v>
      </c>
      <c r="BB131">
        <f t="shared" si="39"/>
        <v>0</v>
      </c>
      <c r="BC131" s="33" cm="1">
        <f t="array" ref="BC131">IF($F$13-$I$4+VLOOKUP($Q131,武学奇术!$A:$ZZ,13,FALSE)+SUM(_xlfn.XLOOKUP(R131:AF131,增益!$A:$A,增益!$M:$M,0))&gt;0,($F$13-$I$4+VLOOKUP($Q131,武学奇术!$A:$ZZ,13,FALSE)+SUM(_xlfn.XLOOKUP(R131:AF131,增益!$A:$A,增益!$K:$K,0)))/200,($F$13-$I$4+VLOOKUP($Q131,武学奇术!$A:$ZZ,13,FALSE)+SUM(_xlfn.XLOOKUP(R131:AF131,增益!$A:$A,增益!$M:$M,0)))/100)</f>
        <v>-0.14</v>
      </c>
      <c r="BD131" s="33" cm="1">
        <f t="array" ref="BD131">$G$13+VLOOKUP($Q131,武学奇术!$A:$ZZ,14,FALSE)+SUM(_xlfn.XLOOKUP(R131:AF131,增益!$A:$A,增益!$N:$N,0))</f>
        <v>0</v>
      </c>
      <c r="BE131">
        <f t="shared" si="40"/>
        <v>570.28</v>
      </c>
      <c r="BF131">
        <f t="shared" si="41"/>
        <v>1582.156</v>
      </c>
      <c r="BG131" s="33" cm="1">
        <f t="array" ref="BG131">IF($F$14-$I$4+VLOOKUP($Q131,武学奇术!$A:$ZZ,15,FALSE)+SUM(_xlfn.XLOOKUP(R131:AF131,增益!$A:$A,增益!$O:$O,0))&gt;0,($F$14-$I$4+VLOOKUP($Q131,武学奇术!$A:$ZZ,15,FALSE)+SUM(_xlfn.XLOOKUP(R131:AF131,增益!$A:$A,增益!$O:$O,0)))/200,($F$14-$I$4+VLOOKUP($Q131,武学奇术!$A:$ZZ,15,FALSE)+SUM(_xlfn.XLOOKUP(R131:AF131,增益!$A:$A,增益!$O:$O,0)))/100)</f>
        <v>0.08</v>
      </c>
      <c r="BH131" s="33" cm="1">
        <f t="array" ref="BH131">$G$14+VLOOKUP($Q131,武学奇术!$A:$ZZ,16,FALSE)+SUM(_xlfn.XLOOKUP(R131:AF131,增益!$A:$A,增益!$P:$P,0))</f>
        <v>0.24</v>
      </c>
      <c r="BI131" s="27">
        <f>MIN(IF(VLOOKUP($Q131,武学奇术!$A:$ZZ,23,FALSE)=1,100%,$B$8),100%)</f>
        <v>1</v>
      </c>
      <c r="BJ131" s="27" cm="1">
        <f t="array" ref="BJ131">IF(VLOOKUP($Q131,武学奇术!$A:$ZZ,23,FALSE)=1,100%,MIN(80%,$B$9+VLOOKUP($Q131,武学奇术!$A:$ZZ,17,FALSE)+SUM(_xlfn.XLOOKUP(R131:AF131,增益!$A:$A,增益!$Q:$Q,0)))+$B$11+SUM(_xlfn.XLOOKUP(R131:AF131,增益!$A:$A,增益!$U:$U,0)))*IF(VLOOKUP($Q131,武学奇术!$A:$ZZ,24,FALSE)=1,0,1)+MIN(IF(VLOOKUP($Q131,武学奇术!$A:$ZZ,32,FALSE)=1,IF(VLOOKUP($Q131,武学奇术!$A:$ZZ,24,FALSE)=1,100%,MIN(40%,$B$10+VLOOKUP($Q131,武学奇术!$A:$ZZ,19,FALSE)+SUM(_xlfn.XLOOKUP(R131:AF131,增益!$A:$A,增益!$S:$S,0)))+$B$12+SUM(_xlfn.XLOOKUP(R131:AF131,增益!$A:$A,增益!$V:$V,0))),0),12%)</f>
        <v>0.918</v>
      </c>
      <c r="BK131" s="27" cm="1">
        <f t="array" ref="BK131">1+$B$13+VLOOKUP($Q131,武学奇术!$A:$ZZ,18,FALSE)+SUM(_xlfn.XLOOKUP(R131:AF131,增益!$A:$A,增益!$R:$R,0))</f>
        <v>1.89</v>
      </c>
      <c r="BL131" s="27" cm="1">
        <f t="array" ref="BL131">MAX(IF(VLOOKUP($Q131,武学奇术!$A:$ZZ,24,FALSE)=1,100%,MIN(40%,$B$10+VLOOKUP($Q131,武学奇术!$A:$ZZ,19,FALSE)+SUM(_xlfn.XLOOKUP(R131:AF131,增益!$A:$A,增益!$S:$S,0)))+$B$12+SUM(_xlfn.XLOOKUP(R131:AF131,增益!$A:$A,增益!$V:$V,0)))*IF(VLOOKUP($Q131,武学奇术!$A:$ZZ,23,FALSE)=1,0,1)-IF(VLOOKUP($Q131,武学奇术!$A:$ZZ,32,FALSE)=1,12%,0),0)</f>
        <v>0.0895</v>
      </c>
      <c r="BM131" s="27" cm="1">
        <f t="array" ref="BM131">1+$B$14+VLOOKUP($Q131,武学奇术!$A:$ZZ,20,FALSE)+SUM(_xlfn.XLOOKUP(R131:AF131,增益!$A:$A,增益!$T:$T,0))</f>
        <v>1.35</v>
      </c>
      <c r="BN131" s="27">
        <f t="shared" ref="BN131:BN136" si="43">MIN((1-BL131)*BI131,BI131*BJ131)</f>
        <v>0.9105</v>
      </c>
      <c r="BO131" s="27">
        <f t="shared" ref="BO131:BO136" si="44">1-BL131-BN131-BP131</f>
        <v>0</v>
      </c>
      <c r="BP131" s="27">
        <f>IF(VLOOKUP($Q131,武学奇术!$A:$ZZ,22,FALSE)=1,0,(1-$BI131))*(1-$BL131)</f>
        <v>0</v>
      </c>
      <c r="BQ131" s="27" cm="1">
        <f t="array" ref="BQ131">SUM(_xlfn.XLOOKUP(R131:AF131,增益!$A:$A,增益!$W:$W,0))+$I$5</f>
        <v>0.11</v>
      </c>
    </row>
    <row r="132" spans="1:69">
      <c r="A132" s="4" t="s">
        <v>172</v>
      </c>
      <c r="B132" s="4">
        <v>0.8</v>
      </c>
      <c r="D132" s="40"/>
      <c r="F132" s="40"/>
      <c r="K132" s="39">
        <f t="shared" si="33"/>
        <v>15123.2938921348</v>
      </c>
      <c r="L132" s="39">
        <f>((($AN132+($AO132-$AN132)*IF(VLOOKUP($Q132,武学奇术!$A:$ZZ,31,FALSE)=1,$F$18,0.5))*$AH132+$AI132)*(1+$AP132)*(1+$AQ132)+(($AS132+($AT132-$AS132)*IF(VLOOKUP($Q132,武学奇术!$A:$ZZ,31,FALSE)=1,$F$18,0.5))*IF($G$1="鸣金",$AJ132,$AH132)+IF($G$1="鸣金",$AK132*1.5,0))*(1+$AU132)*(1+$AV132)+(($AW132+($AX132-$AW132)*IF(VLOOKUP($Q132,武学奇术!$A:$ZZ,31,FALSE)=1,$F$18,0.5))*IF($G$1="裂石",$AJ132,$AH132)+IF($G$1="裂石",$AK132*1.5,0))*(1+$AY132)*(1+$AZ132)+(($BA132+($BB132-$BA132)*IF(VLOOKUP($Q132,武学奇术!$A:$ZZ,31,FALSE)=1,$F$18,0.5))*IF($G$1="牵丝",$AJ132,$AH132)+IF($G$1="牵丝",$AK132*1.5,0))*(1+$BC132)*(1+$BD132)+(($BE132+($BF132-$BE132)*IF(VLOOKUP($Q132,武学奇术!$A:$ZZ,31,FALSE)=1,$F$18,0.5))*IF($G$1="破竹",$AJ132,$AH132)+IF($G$1="破竹",$AK132*1.5,0))*(1+$BG132)*(1+$BH132))*(1+$AL132)*$BK132*$P132*(1+IF(VLOOKUP($Q132,武学奇术!$A:$ZZ,30,FALSE)="蓄力技",$B$21,0))*(1+$BQ132)</f>
        <v>15261.0154485901</v>
      </c>
      <c r="M132" s="39">
        <f>(($AO132*$AH132+$AI132)*(1+$AP132)*(1+$AQ132)+($AT132*IF($G$1="鸣金",$AJ132,$AH132)+IF($G$1="鸣金",$AK132*1.5,0))*(1+$AU132)*(1+$AV132)+($AX132*IF($G$1="裂石",$AJ132,$AH132)+IF($G$1="裂石",$AK132*1.5,0))*(1+$AY132)*(1+$AZ132)+($BB132*IF($G$1="牵丝",$AJ132,$AH132)+IF($G$1="牵丝",$AK132*1.5,0))*(1+$BC132)*(1+$BD132)+($BF132*IF($G$1="破竹",$AJ132,$AH132)+IF($G$1="破竹",$AK132*1.5,0))*(1+$BG132)*(1+$BH132))*(1+$AL132)*$BM132*$P132*(1+IF(VLOOKUP($Q132,武学奇术!$A:$ZZ,30,FALSE)="蓄力技",$B$21,0))*(1+$BQ132)</f>
        <v>13722.2271083069</v>
      </c>
      <c r="N132" s="39">
        <f>((($AN132+($AO132-$AN132)*IF(VLOOKUP($Q132,武学奇术!$A:$ZZ,31,FALSE)=1,$F$18,0.5))*$AH132+$AI132)*(1+$AP132)*(1+$AQ132)+(($AS132+($AT132-$AS132)*IF(VLOOKUP($Q132,武学奇术!$A:$ZZ,31,FALSE)=1,$F$18,0.5))*IF($G$1="鸣金",$AJ132,$AH132)+IF($G$1="鸣金",$AK132*1.5,0))*(1+$AU132)*(1+$AV132)+(($AW132+($AX132-$AW132)*IF(VLOOKUP($Q132,武学奇术!$A:$ZZ,31,FALSE)=1,$F$18,0.5))*IF($G$1="裂石",$AJ132,$AH132)+IF($G$1="裂石",$AK132*1.5,0))*(1+$AY132)*(1+$AZ132)+(($BA132+($BB132-$BA132)*IF(VLOOKUP($Q132,武学奇术!$A:$ZZ,31,FALSE)=1,$F$18,0.5))*IF($G$1="牵丝",$AJ132,$AH132)+IF($G$1="牵丝",$AK132*1.5,0))*(1+$BC132)*(1+$BD132)+(($BE132+($BF132-$BE132)*IF(VLOOKUP($Q132,武学奇术!$A:$ZZ,31,FALSE)=1,$F$18,0.5))*IF($G$1="破竹",$AJ132,$AH132)+IF($G$1="破竹",$AK132*1.5,0))*(1+$BG132)*(1+$BH132))*(1+$AL132)*$P132*(1+IF(VLOOKUP($Q132,武学奇术!$A:$ZZ,30,FALSE)="蓄力技",$B$21,0))*(1+$BQ132)</f>
        <v>9305.49722475006</v>
      </c>
      <c r="O132" s="39">
        <f>((($AN132*$AH132+$AI132)*(1+$AP132)*(1+$AQ132)+($AS132*IF($G$1="鸣金",$AJ132,$AH132)+IF($G$1="鸣金",$AK132*1.5,0))*(1+$AU132)*(1+$AV132)+($AW132*IF($G$1="裂石",$AJ132,$AH132)+IF($G$1="裂石",$AK132*1.5,0))*(1+$AY132)*(1+$AZ132)+($BA132*IF($G$1="牵丝",$AJ132,$AH132)+IF($G$1="牵丝",$AK132*1.5,0))*(1+$BC132)*(1+$BD132)+($BE132*IF($G$1="破竹",$AJ132,$AH132)+IF($G$1="破竹",$AK132*1.5,0))*(1+$BG132)*(1+$BH132))*(1+$AL132))*$P132*(1+IF(VLOOKUP($Q132,武学奇术!$A:$ZZ,30,FALSE)="蓄力技",$B$21,0))*(1+$BQ132)</f>
        <v>8446.38177668023</v>
      </c>
      <c r="P132" s="40">
        <f t="shared" si="42"/>
        <v>1</v>
      </c>
      <c r="Q132" s="41" t="s">
        <v>190</v>
      </c>
      <c r="R132" s="41" t="s">
        <v>93</v>
      </c>
      <c r="S132" s="41" t="s">
        <v>72</v>
      </c>
      <c r="T132" s="41" t="s">
        <v>72</v>
      </c>
      <c r="U132" s="41" t="s">
        <v>72</v>
      </c>
      <c r="V132" s="41" t="s">
        <v>72</v>
      </c>
      <c r="W132" s="41" t="s">
        <v>72</v>
      </c>
      <c r="X132" s="41" t="s">
        <v>165</v>
      </c>
      <c r="Y132" s="41" t="s">
        <v>72</v>
      </c>
      <c r="Z132" s="41" t="s">
        <v>72</v>
      </c>
      <c r="AA132" s="41" t="s">
        <v>72</v>
      </c>
      <c r="AB132" s="41" t="s">
        <v>72</v>
      </c>
      <c r="AC132" s="41" t="s">
        <v>72</v>
      </c>
      <c r="AD132" s="41" t="s">
        <v>72</v>
      </c>
      <c r="AE132" s="41" t="s">
        <v>75</v>
      </c>
      <c r="AF132" s="41" t="s">
        <v>76</v>
      </c>
      <c r="AG132" t="str">
        <f>VLOOKUP($Q132,武学奇术!$A:$ZZ,25,FALSE)</f>
        <v>心法</v>
      </c>
      <c r="AH132" s="27">
        <f>VLOOKUP($Q132,武学奇术!$A:$ZZ,26,FALSE)</f>
        <v>1</v>
      </c>
      <c r="AI132" s="28">
        <f>VLOOKUP($Q132,武学奇术!$A:$ZZ,27,FALSE)*(1+IF(OR($AG132=$F$4,$AG132=$F$5),$B$22,0))</f>
        <v>0</v>
      </c>
      <c r="AJ132" s="27">
        <f>VLOOKUP($Q132,武学奇术!$A:$ZZ,28,FALSE)</f>
        <v>1</v>
      </c>
      <c r="AK132" s="28">
        <f>VLOOKUP($Q132,武学奇术!$A:$ZZ,29,FALSE)*(1+IF(OR($AG132=$F$4,$AG132=$F$5),$B$22,0))</f>
        <v>0</v>
      </c>
      <c r="AL132" s="27" cm="1">
        <f t="array" ref="AL132">$G$3+IFERROR(VLOOKUP($AG132,$F$4:$G$7,2,FALSE),0)+VLOOKUP($Q132,武学奇术!$A:$ZZ,2,FALSE)+SUM(_xlfn.XLOOKUP($R132:$AF132,增益!$A:$A,增益!$B:$B,0))</f>
        <v>0.2337</v>
      </c>
      <c r="AM132" s="27" cm="1">
        <f t="array" ref="AM132">VLOOKUP($Q132,武学奇术!$A:$ZZ,5,FALSE)+SUM(_xlfn.XLOOKUP($R132:$AF132,增益!$A:$A,增益!$E:$E,0))</f>
        <v>0</v>
      </c>
      <c r="AN132" cm="1">
        <f t="array" ref="AN132">$D$10*(1+$AM132)+VLOOKUP($Q132,武学奇术!$A:$ZZ,3,FALSE)+SUM(_xlfn.XLOOKUP($R132:$AF132,增益!$A:$A,增益!$C:$C,0))-$I$2</f>
        <v>3804.006</v>
      </c>
      <c r="AO132" cm="1">
        <f t="array" ref="AO132">$E$10*(1+$AM132)+VLOOKUP($Q132,武学奇术!$A:$ZZ,4,FALSE)+SUM(_xlfn.XLOOKUP($R132:$AF132,增益!$A:$A,增益!$D:$D,0))-$I$2</f>
        <v>3804.006</v>
      </c>
      <c r="AP132" s="33" cm="1">
        <f t="array" ref="AP132">IF($F$10-$I$3+VLOOKUP($Q132,武学奇术!$A:$ZZ,6,FALSE)+SUM(_xlfn.XLOOKUP(R132:AF132,增益!$A:$A,增益!$F:$F,0))&gt;0,($F$10-$I$3+VLOOKUP($Q132,武学奇术!$A:$ZZ,6,FALSE)+SUM(_xlfn.XLOOKUP(R132:AF132,增益!$A:$A,增益!$F:$F,0)))/200,($F$10-$I$3+VLOOKUP($Q132,武学奇术!$A:$ZZ,6,FALSE)+SUM(_xlfn.XLOOKUP(R132:AF132,增益!$A:$A,增益!$F:$F,0)))/100)</f>
        <v>0.317</v>
      </c>
      <c r="AQ132" s="33" cm="1">
        <f t="array" ref="AQ132">$G$10+VLOOKUP($Q132,武学奇术!$A:$ZZ,7,FALSE)+SUM(_xlfn.XLOOKUP(R132:AF132,增益!$A:$A,增益!$G:$G,0))</f>
        <v>0.09</v>
      </c>
      <c r="AR132" s="27" cm="1">
        <f t="array" ref="AR132">VLOOKUP($Q132,武学奇术!$A:$ZZ,8,FALSE)+SUM(_xlfn.XLOOKUP(R132:AF132,增益!$A:$A,增益!$H:$H,0))</f>
        <v>0</v>
      </c>
      <c r="AS132">
        <f t="shared" si="34"/>
        <v>0</v>
      </c>
      <c r="AT132">
        <f t="shared" si="35"/>
        <v>0</v>
      </c>
      <c r="AU132" s="33" cm="1">
        <f t="array" ref="AU132">IF($F$11-$I$4+VLOOKUP($Q132,武学奇术!$A:$ZZ,9,FALSE)+SUM(_xlfn.XLOOKUP(R132:AF132,增益!$A:$A,增益!$I:$I,0))&gt;0,($F$11-$I$4+VLOOKUP($Q132,武学奇术!$A:$ZZ,9,FALSE)+SUM(_xlfn.XLOOKUP(R132:AF132,增益!$A:$A,增益!$I:$I,0)))/200,($F$11-$I$4+VLOOKUP($Q132,武学奇术!$A:$ZZ,9,FALSE)+SUM(_xlfn.XLOOKUP(R132:AF132,增益!$A:$A,增益!$I:$I,0)))/100)</f>
        <v>-0.3</v>
      </c>
      <c r="AV132" s="33" cm="1">
        <f t="array" ref="AV132">$G$11+VLOOKUP($Q132,武学奇术!$A:$ZZ,10,FALSE)+SUM(_xlfn.XLOOKUP(R132:AF132,增益!$A:$A,增益!$J:$J,0))</f>
        <v>0</v>
      </c>
      <c r="AW132">
        <f t="shared" si="36"/>
        <v>0</v>
      </c>
      <c r="AX132">
        <f t="shared" si="37"/>
        <v>0</v>
      </c>
      <c r="AY132" s="33" cm="1">
        <f t="array" ref="AY132">IF($F$12-$I$4+VLOOKUP($Q132,武学奇术!$A:$ZZ,11,FALSE)+SUM(_xlfn.XLOOKUP(R132:AF132,增益!$A:$A,增益!$K:$K,0))&gt;0,($F$12-$I$4+VLOOKUP($Q132,武学奇术!$A:$ZZ,11,FALSE)+SUM(_xlfn.XLOOKUP(R132:AF132,增益!$A:$A,增益!$K:$K,0)))/200,($F$12-$I$4+VLOOKUP($Q132,武学奇术!$A:$ZZ,11,FALSE)+SUM(_xlfn.XLOOKUP(R132:AF132,增益!$A:$A,增益!$K:$K,0)))/100)</f>
        <v>-0.3</v>
      </c>
      <c r="AZ132" s="33" cm="1">
        <f t="array" ref="AZ132">$G$12+VLOOKUP($Q132,武学奇术!$A:$ZZ,12,FALSE)+SUM(_xlfn.XLOOKUP(R132:AF132,增益!$A:$A,增益!$L:$L,0))</f>
        <v>0</v>
      </c>
      <c r="BA132">
        <f t="shared" si="38"/>
        <v>0</v>
      </c>
      <c r="BB132">
        <f t="shared" si="39"/>
        <v>0</v>
      </c>
      <c r="BC132" s="33" cm="1">
        <f t="array" ref="BC132">IF($F$13-$I$4+VLOOKUP($Q132,武学奇术!$A:$ZZ,13,FALSE)+SUM(_xlfn.XLOOKUP(R132:AF132,增益!$A:$A,增益!$M:$M,0))&gt;0,($F$13-$I$4+VLOOKUP($Q132,武学奇术!$A:$ZZ,13,FALSE)+SUM(_xlfn.XLOOKUP(R132:AF132,增益!$A:$A,增益!$K:$K,0)))/200,($F$13-$I$4+VLOOKUP($Q132,武学奇术!$A:$ZZ,13,FALSE)+SUM(_xlfn.XLOOKUP(R132:AF132,增益!$A:$A,增益!$M:$M,0)))/100)</f>
        <v>-0.3</v>
      </c>
      <c r="BD132" s="33" cm="1">
        <f t="array" ref="BD132">$G$13+VLOOKUP($Q132,武学奇术!$A:$ZZ,14,FALSE)+SUM(_xlfn.XLOOKUP(R132:AF132,增益!$A:$A,增益!$N:$N,0))</f>
        <v>0</v>
      </c>
      <c r="BE132">
        <f t="shared" si="40"/>
        <v>570.28</v>
      </c>
      <c r="BF132">
        <f t="shared" si="41"/>
        <v>1582.156</v>
      </c>
      <c r="BG132" s="33" cm="1">
        <f t="array" ref="BG132">IF($F$14-$I$4+VLOOKUP($Q132,武学奇术!$A:$ZZ,15,FALSE)+SUM(_xlfn.XLOOKUP(R132:AF132,增益!$A:$A,增益!$O:$O,0))&gt;0,($F$14-$I$4+VLOOKUP($Q132,武学奇术!$A:$ZZ,15,FALSE)+SUM(_xlfn.XLOOKUP(R132:AF132,增益!$A:$A,增益!$O:$O,0)))/200,($F$14-$I$4+VLOOKUP($Q132,武学奇术!$A:$ZZ,15,FALSE)+SUM(_xlfn.XLOOKUP(R132:AF132,增益!$A:$A,增益!$O:$O,0)))/100)</f>
        <v>0</v>
      </c>
      <c r="BH132" s="33" cm="1">
        <f t="array" ref="BH132">$G$14+VLOOKUP($Q132,武学奇术!$A:$ZZ,16,FALSE)+SUM(_xlfn.XLOOKUP(R132:AF132,增益!$A:$A,增益!$P:$P,0))</f>
        <v>0.24</v>
      </c>
      <c r="BI132" s="27">
        <f>MIN(IF(VLOOKUP($Q132,武学奇术!$A:$ZZ,23,FALSE)=1,100%,$B$8),100%)</f>
        <v>1</v>
      </c>
      <c r="BJ132" s="27" cm="1">
        <f t="array" ref="BJ132">IF(VLOOKUP($Q132,武学奇术!$A:$ZZ,23,FALSE)=1,100%,MIN(80%,$B$9+VLOOKUP($Q132,武学奇术!$A:$ZZ,17,FALSE)+SUM(_xlfn.XLOOKUP(R132:AF132,增益!$A:$A,增益!$Q:$Q,0)))+$B$11+SUM(_xlfn.XLOOKUP(R132:AF132,增益!$A:$A,增益!$U:$U,0)))*IF(VLOOKUP($Q132,武学奇术!$A:$ZZ,24,FALSE)=1,0,1)+MIN(IF(VLOOKUP($Q132,武学奇术!$A:$ZZ,32,FALSE)=1,IF(VLOOKUP($Q132,武学奇术!$A:$ZZ,24,FALSE)=1,100%,MIN(40%,$B$10+VLOOKUP($Q132,武学奇术!$A:$ZZ,19,FALSE)+SUM(_xlfn.XLOOKUP(R132:AF132,增益!$A:$A,增益!$S:$S,0)))+$B$12+SUM(_xlfn.XLOOKUP(R132:AF132,增益!$A:$A,增益!$V:$V,0))),0),12%)</f>
        <v>0.918</v>
      </c>
      <c r="BK132" s="27" cm="1">
        <f t="array" ref="BK132">1+$B$13+VLOOKUP($Q132,武学奇术!$A:$ZZ,18,FALSE)+SUM(_xlfn.XLOOKUP(R132:AF132,增益!$A:$A,增益!$R:$R,0))</f>
        <v>1.64</v>
      </c>
      <c r="BL132" s="27" cm="1">
        <f t="array" ref="BL132">MAX(IF(VLOOKUP($Q132,武学奇术!$A:$ZZ,24,FALSE)=1,100%,MIN(40%,$B$10+VLOOKUP($Q132,武学奇术!$A:$ZZ,19,FALSE)+SUM(_xlfn.XLOOKUP(R132:AF132,增益!$A:$A,增益!$S:$S,0)))+$B$12+SUM(_xlfn.XLOOKUP(R132:AF132,增益!$A:$A,增益!$V:$V,0)))*IF(VLOOKUP($Q132,武学奇术!$A:$ZZ,23,FALSE)=1,0,1)-IF(VLOOKUP($Q132,武学奇术!$A:$ZZ,32,FALSE)=1,12%,0),0)</f>
        <v>0.0895</v>
      </c>
      <c r="BM132" s="27" cm="1">
        <f t="array" ref="BM132">1+$B$14+VLOOKUP($Q132,武学奇术!$A:$ZZ,20,FALSE)+SUM(_xlfn.XLOOKUP(R132:AF132,增益!$A:$A,增益!$T:$T,0))</f>
        <v>1.35</v>
      </c>
      <c r="BN132" s="27">
        <f t="shared" si="43"/>
        <v>0.9105</v>
      </c>
      <c r="BO132" s="27">
        <f t="shared" si="44"/>
        <v>0</v>
      </c>
      <c r="BP132" s="27">
        <f>IF(VLOOKUP($Q132,武学奇术!$A:$ZZ,22,FALSE)=1,0,(1-$BI132))*(1-$BL132)</f>
        <v>0</v>
      </c>
      <c r="BQ132" s="27" cm="1">
        <f t="array" ref="BQ132">SUM(_xlfn.XLOOKUP(R132:AF132,增益!$A:$A,增益!$W:$W,0))+$I$5</f>
        <v>0.11</v>
      </c>
    </row>
    <row r="133" spans="1:69">
      <c r="A133" s="4" t="s">
        <v>173</v>
      </c>
      <c r="B133" s="4">
        <v>2.15</v>
      </c>
      <c r="D133" s="40"/>
      <c r="F133" s="40"/>
      <c r="K133" s="39">
        <f t="shared" si="33"/>
        <v>20803.8376056616</v>
      </c>
      <c r="L133" s="39">
        <f>((($AN133+($AO133-$AN133)*IF(VLOOKUP($Q133,武学奇术!$A:$ZZ,31,FALSE)=1,$F$18,0.5))*$AH133+$AI133)*(1+$AP133)*(1+$AQ133)+(($AS133+($AT133-$AS133)*IF(VLOOKUP($Q133,武学奇术!$A:$ZZ,31,FALSE)=1,$F$18,0.5))*IF($G$1="鸣金",$AJ133,$AH133)+IF($G$1="鸣金",$AK133*1.5,0))*(1+$AU133)*(1+$AV133)+(($AW133+($AX133-$AW133)*IF(VLOOKUP($Q133,武学奇术!$A:$ZZ,31,FALSE)=1,$F$18,0.5))*IF($G$1="裂石",$AJ133,$AH133)+IF($G$1="裂石",$AK133*1.5,0))*(1+$AY133)*(1+$AZ133)+(($BA133+($BB133-$BA133)*IF(VLOOKUP($Q133,武学奇术!$A:$ZZ,31,FALSE)=1,$F$18,0.5))*IF($G$1="牵丝",$AJ133,$AH133)+IF($G$1="牵丝",$AK133*1.5,0))*(1+$BC133)*(1+$BD133)+(($BE133+($BF133-$BE133)*IF(VLOOKUP($Q133,武学奇术!$A:$ZZ,31,FALSE)=1,$F$18,0.5))*IF($G$1="破竹",$AJ133,$AH133)+IF($G$1="破竹",$AK133*1.5,0))*(1+$BG133)*(1+$BH133))*(1+$AL133)*$BK133*$P133*(1+IF(VLOOKUP($Q133,武学奇术!$A:$ZZ,30,FALSE)="蓄力技",$B$21,0))*(1+$BQ133)</f>
        <v>21230.3032740669</v>
      </c>
      <c r="M133" s="39">
        <f>(($AO133*$AH133+$AI133)*(1+$AP133)*(1+$AQ133)+($AT133*IF($G$1="鸣金",$AJ133,$AH133)+IF($G$1="鸣金",$AK133*1.5,0))*(1+$AU133)*(1+$AV133)+($AX133*IF($G$1="裂石",$AJ133,$AH133)+IF($G$1="裂石",$AK133*1.5,0))*(1+$AY133)*(1+$AZ133)+($BB133*IF($G$1="牵丝",$AJ133,$AH133)+IF($G$1="牵丝",$AK133*1.5,0))*(1+$BC133)*(1+$BD133)+($BF133*IF($G$1="破竹",$AJ133,$AH133)+IF($G$1="破竹",$AK133*1.5,0))*(1+$BG133)*(1+$BH133))*(1+$AL133)*$BM133*$P133*(1+IF(VLOOKUP($Q133,武学奇术!$A:$ZZ,30,FALSE)="蓄力技",$B$21,0))*(1+$BQ133)</f>
        <v>16465.3237388115</v>
      </c>
      <c r="N133" s="39">
        <f>((($AN133+($AO133-$AN133)*IF(VLOOKUP($Q133,武学奇术!$A:$ZZ,31,FALSE)=1,$F$18,0.5))*$AH133+$AI133)*(1+$AP133)*(1+$AQ133)+(($AS133+($AT133-$AS133)*IF(VLOOKUP($Q133,武学奇术!$A:$ZZ,31,FALSE)=1,$F$18,0.5))*IF($G$1="鸣金",$AJ133,$AH133)+IF($G$1="鸣金",$AK133*1.5,0))*(1+$AU133)*(1+$AV133)+(($AW133+($AX133-$AW133)*IF(VLOOKUP($Q133,武学奇术!$A:$ZZ,31,FALSE)=1,$F$18,0.5))*IF($G$1="裂石",$AJ133,$AH133)+IF($G$1="裂石",$AK133*1.5,0))*(1+$AY133)*(1+$AZ133)+(($BA133+($BB133-$BA133)*IF(VLOOKUP($Q133,武学奇术!$A:$ZZ,31,FALSE)=1,$F$18,0.5))*IF($G$1="牵丝",$AJ133,$AH133)+IF($G$1="牵丝",$AK133*1.5,0))*(1+$BC133)*(1+$BD133)+(($BE133+($BF133-$BE133)*IF(VLOOKUP($Q133,武学奇术!$A:$ZZ,31,FALSE)=1,$F$18,0.5))*IF($G$1="破竹",$AJ133,$AH133)+IF($G$1="破竹",$AK133*1.5,0))*(1+$BG133)*(1+$BH133))*(1+$AL133)*$P133*(1+IF(VLOOKUP($Q133,武学奇术!$A:$ZZ,30,FALSE)="蓄力技",$B$21,0))*(1+$BQ133)</f>
        <v>11232.9646952735</v>
      </c>
      <c r="O133" s="39">
        <f>((($AN133*$AH133+$AI133)*(1+$AP133)*(1+$AQ133)+($AS133*IF($G$1="鸣金",$AJ133,$AH133)+IF($G$1="鸣金",$AK133*1.5,0))*(1+$AU133)*(1+$AV133)+($AW133*IF($G$1="裂石",$AJ133,$AH133)+IF($G$1="裂石",$AK133*1.5,0))*(1+$AY133)*(1+$AZ133)+($BA133*IF($G$1="牵丝",$AJ133,$AH133)+IF($G$1="牵丝",$AK133*1.5,0))*(1+$BC133)*(1+$BD133)+($BE133*IF($G$1="破竹",$AJ133,$AH133)+IF($G$1="破竹",$AK133*1.5,0))*(1+$BG133)*(1+$BH133))*(1+$AL133))*$P133*(1+IF(VLOOKUP($Q133,武学奇术!$A:$ZZ,30,FALSE)="蓄力技",$B$21,0))*(1+$BQ133)</f>
        <v>10269.3932877237</v>
      </c>
      <c r="P133" s="40">
        <f t="shared" si="42"/>
        <v>1</v>
      </c>
      <c r="Q133" s="41" t="s">
        <v>190</v>
      </c>
      <c r="R133" s="41" t="s">
        <v>93</v>
      </c>
      <c r="S133" s="41" t="s">
        <v>118</v>
      </c>
      <c r="T133" s="41" t="s">
        <v>119</v>
      </c>
      <c r="U133" s="41" t="s">
        <v>72</v>
      </c>
      <c r="V133" s="41" t="s">
        <v>72</v>
      </c>
      <c r="W133" s="41" t="s">
        <v>72</v>
      </c>
      <c r="X133" s="41" t="s">
        <v>165</v>
      </c>
      <c r="Y133" s="41" t="s">
        <v>72</v>
      </c>
      <c r="Z133" s="41" t="s">
        <v>72</v>
      </c>
      <c r="AA133" s="41" t="s">
        <v>72</v>
      </c>
      <c r="AB133" s="41" t="s">
        <v>72</v>
      </c>
      <c r="AC133" s="41" t="s">
        <v>72</v>
      </c>
      <c r="AD133" s="41" t="s">
        <v>72</v>
      </c>
      <c r="AE133" s="41" t="s">
        <v>75</v>
      </c>
      <c r="AF133" s="41" t="s">
        <v>76</v>
      </c>
      <c r="AG133" t="str">
        <f>VLOOKUP($Q133,武学奇术!$A:$ZZ,25,FALSE)</f>
        <v>心法</v>
      </c>
      <c r="AH133" s="27">
        <f>VLOOKUP($Q133,武学奇术!$A:$ZZ,26,FALSE)</f>
        <v>1</v>
      </c>
      <c r="AI133" s="28">
        <f>VLOOKUP($Q133,武学奇术!$A:$ZZ,27,FALSE)*(1+IF(OR($AG133=$F$4,$AG133=$F$5),$B$22,0))</f>
        <v>0</v>
      </c>
      <c r="AJ133" s="27">
        <f>VLOOKUP($Q133,武学奇术!$A:$ZZ,28,FALSE)</f>
        <v>1</v>
      </c>
      <c r="AK133" s="28">
        <f>VLOOKUP($Q133,武学奇术!$A:$ZZ,29,FALSE)*(1+IF(OR($AG133=$F$4,$AG133=$F$5),$B$22,0))</f>
        <v>0</v>
      </c>
      <c r="AL133" s="27" cm="1">
        <f t="array" ref="AL133">$G$3+IFERROR(VLOOKUP($AG133,$F$4:$G$7,2,FALSE),0)+VLOOKUP($Q133,武学奇术!$A:$ZZ,2,FALSE)+SUM(_xlfn.XLOOKUP($R133:$AF133,增益!$A:$A,增益!$B:$B,0))</f>
        <v>0.3837</v>
      </c>
      <c r="AM133" s="27" cm="1">
        <f t="array" ref="AM133">VLOOKUP($Q133,武学奇术!$A:$ZZ,5,FALSE)+SUM(_xlfn.XLOOKUP($R133:$AF133,增益!$A:$A,增益!$E:$E,0))</f>
        <v>0</v>
      </c>
      <c r="AN133" cm="1">
        <f t="array" ref="AN133">$D$10*(1+$AM133)+VLOOKUP($Q133,武学奇术!$A:$ZZ,3,FALSE)+SUM(_xlfn.XLOOKUP($R133:$AF133,增益!$A:$A,增益!$C:$C,0))-$I$2</f>
        <v>3804.006</v>
      </c>
      <c r="AO133" cm="1">
        <f t="array" ref="AO133">$E$10*(1+$AM133)+VLOOKUP($Q133,武学奇术!$A:$ZZ,4,FALSE)+SUM(_xlfn.XLOOKUP($R133:$AF133,增益!$A:$A,增益!$D:$D,0))-$I$2</f>
        <v>3804.006</v>
      </c>
      <c r="AP133" s="33" cm="1">
        <f t="array" ref="AP133">IF($F$10-$I$3+VLOOKUP($Q133,武学奇术!$A:$ZZ,6,FALSE)+SUM(_xlfn.XLOOKUP(R133:AF133,增益!$A:$A,增益!$F:$F,0))&gt;0,($F$10-$I$3+VLOOKUP($Q133,武学奇术!$A:$ZZ,6,FALSE)+SUM(_xlfn.XLOOKUP(R133:AF133,增益!$A:$A,增益!$F:$F,0)))/200,($F$10-$I$3+VLOOKUP($Q133,武学奇术!$A:$ZZ,6,FALSE)+SUM(_xlfn.XLOOKUP(R133:AF133,增益!$A:$A,增益!$F:$F,0)))/100)</f>
        <v>0.442</v>
      </c>
      <c r="AQ133" s="33" cm="1">
        <f t="array" ref="AQ133">$G$10+VLOOKUP($Q133,武学奇术!$A:$ZZ,7,FALSE)+SUM(_xlfn.XLOOKUP(R133:AF133,增益!$A:$A,增益!$G:$G,0))</f>
        <v>0.09</v>
      </c>
      <c r="AR133" s="27" cm="1">
        <f t="array" ref="AR133">VLOOKUP($Q133,武学奇术!$A:$ZZ,8,FALSE)+SUM(_xlfn.XLOOKUP(R133:AF133,增益!$A:$A,增益!$H:$H,0))</f>
        <v>0</v>
      </c>
      <c r="AS133">
        <f t="shared" si="34"/>
        <v>0</v>
      </c>
      <c r="AT133">
        <f t="shared" si="35"/>
        <v>0</v>
      </c>
      <c r="AU133" s="33" cm="1">
        <f t="array" ref="AU133">IF($F$11-$I$4+VLOOKUP($Q133,武学奇术!$A:$ZZ,9,FALSE)+SUM(_xlfn.XLOOKUP(R133:AF133,增益!$A:$A,增益!$I:$I,0))&gt;0,($F$11-$I$4+VLOOKUP($Q133,武学奇术!$A:$ZZ,9,FALSE)+SUM(_xlfn.XLOOKUP(R133:AF133,增益!$A:$A,增益!$I:$I,0)))/200,($F$11-$I$4+VLOOKUP($Q133,武学奇术!$A:$ZZ,9,FALSE)+SUM(_xlfn.XLOOKUP(R133:AF133,增益!$A:$A,增益!$I:$I,0)))/100)</f>
        <v>-0.3</v>
      </c>
      <c r="AV133" s="33" cm="1">
        <f t="array" ref="AV133">$G$11+VLOOKUP($Q133,武学奇术!$A:$ZZ,10,FALSE)+SUM(_xlfn.XLOOKUP(R133:AF133,增益!$A:$A,增益!$J:$J,0))</f>
        <v>0</v>
      </c>
      <c r="AW133">
        <f t="shared" si="36"/>
        <v>0</v>
      </c>
      <c r="AX133">
        <f t="shared" si="37"/>
        <v>0</v>
      </c>
      <c r="AY133" s="33" cm="1">
        <f t="array" ref="AY133">IF($F$12-$I$4+VLOOKUP($Q133,武学奇术!$A:$ZZ,11,FALSE)+SUM(_xlfn.XLOOKUP(R133:AF133,增益!$A:$A,增益!$K:$K,0))&gt;0,($F$12-$I$4+VLOOKUP($Q133,武学奇术!$A:$ZZ,11,FALSE)+SUM(_xlfn.XLOOKUP(R133:AF133,增益!$A:$A,增益!$K:$K,0)))/200,($F$12-$I$4+VLOOKUP($Q133,武学奇术!$A:$ZZ,11,FALSE)+SUM(_xlfn.XLOOKUP(R133:AF133,增益!$A:$A,增益!$K:$K,0)))/100)</f>
        <v>-0.3</v>
      </c>
      <c r="AZ133" s="33" cm="1">
        <f t="array" ref="AZ133">$G$12+VLOOKUP($Q133,武学奇术!$A:$ZZ,12,FALSE)+SUM(_xlfn.XLOOKUP(R133:AF133,增益!$A:$A,增益!$L:$L,0))</f>
        <v>0</v>
      </c>
      <c r="BA133">
        <f t="shared" si="38"/>
        <v>0</v>
      </c>
      <c r="BB133">
        <f t="shared" si="39"/>
        <v>0</v>
      </c>
      <c r="BC133" s="33" cm="1">
        <f t="array" ref="BC133">IF($F$13-$I$4+VLOOKUP($Q133,武学奇术!$A:$ZZ,13,FALSE)+SUM(_xlfn.XLOOKUP(R133:AF133,增益!$A:$A,增益!$M:$M,0))&gt;0,($F$13-$I$4+VLOOKUP($Q133,武学奇术!$A:$ZZ,13,FALSE)+SUM(_xlfn.XLOOKUP(R133:AF133,增益!$A:$A,增益!$K:$K,0)))/200,($F$13-$I$4+VLOOKUP($Q133,武学奇术!$A:$ZZ,13,FALSE)+SUM(_xlfn.XLOOKUP(R133:AF133,增益!$A:$A,增益!$M:$M,0)))/100)</f>
        <v>-0.3</v>
      </c>
      <c r="BD133" s="33" cm="1">
        <f t="array" ref="BD133">$G$13+VLOOKUP($Q133,武学奇术!$A:$ZZ,14,FALSE)+SUM(_xlfn.XLOOKUP(R133:AF133,增益!$A:$A,增益!$N:$N,0))</f>
        <v>0</v>
      </c>
      <c r="BE133">
        <f t="shared" si="40"/>
        <v>570.28</v>
      </c>
      <c r="BF133">
        <f t="shared" si="41"/>
        <v>1582.156</v>
      </c>
      <c r="BG133" s="33" cm="1">
        <f t="array" ref="BG133">IF($F$14-$I$4+VLOOKUP($Q133,武学奇术!$A:$ZZ,15,FALSE)+SUM(_xlfn.XLOOKUP(R133:AF133,增益!$A:$A,增益!$O:$O,0))&gt;0,($F$14-$I$4+VLOOKUP($Q133,武学奇术!$A:$ZZ,15,FALSE)+SUM(_xlfn.XLOOKUP(R133:AF133,增益!$A:$A,增益!$O:$O,0)))/200,($F$14-$I$4+VLOOKUP($Q133,武学奇术!$A:$ZZ,15,FALSE)+SUM(_xlfn.XLOOKUP(R133:AF133,增益!$A:$A,增益!$O:$O,0)))/100)</f>
        <v>0</v>
      </c>
      <c r="BH133" s="33" cm="1">
        <f t="array" ref="BH133">$G$14+VLOOKUP($Q133,武学奇术!$A:$ZZ,16,FALSE)+SUM(_xlfn.XLOOKUP(R133:AF133,增益!$A:$A,增益!$P:$P,0))</f>
        <v>0.24</v>
      </c>
      <c r="BI133" s="27">
        <f>MIN(IF(VLOOKUP($Q133,武学奇术!$A:$ZZ,23,FALSE)=1,100%,$B$8),100%)</f>
        <v>1</v>
      </c>
      <c r="BJ133" s="27" cm="1">
        <f t="array" ref="BJ133">IF(VLOOKUP($Q133,武学奇术!$A:$ZZ,23,FALSE)=1,100%,MIN(80%,$B$9+VLOOKUP($Q133,武学奇术!$A:$ZZ,17,FALSE)+SUM(_xlfn.XLOOKUP(R133:AF133,增益!$A:$A,增益!$Q:$Q,0)))+$B$11+SUM(_xlfn.XLOOKUP(R133:AF133,增益!$A:$A,增益!$U:$U,0)))*IF(VLOOKUP($Q133,武学奇术!$A:$ZZ,24,FALSE)=1,0,1)+MIN(IF(VLOOKUP($Q133,武学奇术!$A:$ZZ,32,FALSE)=1,IF(VLOOKUP($Q133,武学奇术!$A:$ZZ,24,FALSE)=1,100%,MIN(40%,$B$10+VLOOKUP($Q133,武学奇术!$A:$ZZ,19,FALSE)+SUM(_xlfn.XLOOKUP(R133:AF133,增益!$A:$A,增益!$S:$S,0)))+$B$12+SUM(_xlfn.XLOOKUP(R133:AF133,增益!$A:$A,增益!$V:$V,0))),0),12%)</f>
        <v>0.918</v>
      </c>
      <c r="BK133" s="27" cm="1">
        <f t="array" ref="BK133">1+$B$13+VLOOKUP($Q133,武学奇术!$A:$ZZ,18,FALSE)+SUM(_xlfn.XLOOKUP(R133:AF133,增益!$A:$A,增益!$R:$R,0))</f>
        <v>1.89</v>
      </c>
      <c r="BL133" s="27" cm="1">
        <f t="array" ref="BL133">MAX(IF(VLOOKUP($Q133,武学奇术!$A:$ZZ,24,FALSE)=1,100%,MIN(40%,$B$10+VLOOKUP($Q133,武学奇术!$A:$ZZ,19,FALSE)+SUM(_xlfn.XLOOKUP(R133:AF133,增益!$A:$A,增益!$S:$S,0)))+$B$12+SUM(_xlfn.XLOOKUP(R133:AF133,增益!$A:$A,增益!$V:$V,0)))*IF(VLOOKUP($Q133,武学奇术!$A:$ZZ,23,FALSE)=1,0,1)-IF(VLOOKUP($Q133,武学奇术!$A:$ZZ,32,FALSE)=1,12%,0),0)</f>
        <v>0.0895</v>
      </c>
      <c r="BM133" s="27" cm="1">
        <f t="array" ref="BM133">1+$B$14+VLOOKUP($Q133,武学奇术!$A:$ZZ,20,FALSE)+SUM(_xlfn.XLOOKUP(R133:AF133,增益!$A:$A,增益!$T:$T,0))</f>
        <v>1.35</v>
      </c>
      <c r="BN133" s="27">
        <f t="shared" si="43"/>
        <v>0.9105</v>
      </c>
      <c r="BO133" s="27">
        <f t="shared" si="44"/>
        <v>0</v>
      </c>
      <c r="BP133" s="27">
        <f>IF(VLOOKUP($Q133,武学奇术!$A:$ZZ,22,FALSE)=1,0,(1-$BI133))*(1-$BL133)</f>
        <v>0</v>
      </c>
      <c r="BQ133" s="27" cm="1">
        <f t="array" ref="BQ133">SUM(_xlfn.XLOOKUP(R133:AF133,增益!$A:$A,增益!$W:$W,0))+$I$5</f>
        <v>0.11</v>
      </c>
    </row>
    <row r="134" spans="1:69">
      <c r="A134" t="s">
        <v>191</v>
      </c>
      <c r="B134">
        <v>1</v>
      </c>
      <c r="D134" s="40"/>
      <c r="F134" s="40"/>
      <c r="G134">
        <v>-20</v>
      </c>
      <c r="K134" s="39">
        <f t="shared" si="33"/>
        <v>15367.5699023623</v>
      </c>
      <c r="L134" s="39">
        <f>((($AN134+($AO134-$AN134)*IF(VLOOKUP($Q134,武学奇术!$A:$ZZ,31,FALSE)=1,$F$18,0.5))*$AH134+$AI134)*(1+$AP134)*(1+$AQ134)+(($AS134+($AT134-$AS134)*IF(VLOOKUP($Q134,武学奇术!$A:$ZZ,31,FALSE)=1,$F$18,0.5))*IF($G$1="鸣金",$AJ134,$AH134)+IF($G$1="鸣金",$AK134*1.5,0))*(1+$AU134)*(1+$AV134)+(($AW134+($AX134-$AW134)*IF(VLOOKUP($Q134,武学奇术!$A:$ZZ,31,FALSE)=1,$F$18,0.5))*IF($G$1="裂石",$AJ134,$AH134)+IF($G$1="裂石",$AK134*1.5,0))*(1+$AY134)*(1+$AZ134)+(($BA134+($BB134-$BA134)*IF(VLOOKUP($Q134,武学奇术!$A:$ZZ,31,FALSE)=1,$F$18,0.5))*IF($G$1="牵丝",$AJ134,$AH134)+IF($G$1="牵丝",$AK134*1.5,0))*(1+$BC134)*(1+$BD134)+(($BE134+($BF134-$BE134)*IF(VLOOKUP($Q134,武学奇术!$A:$ZZ,31,FALSE)=1,$F$18,0.5))*IF($G$1="破竹",$AJ134,$AH134)+IF($G$1="破竹",$AK134*1.5,0))*(1+$BG134)*(1+$BH134))*(1+$AL134)*$BK134*$P134*(1+IF(VLOOKUP($Q134,武学奇术!$A:$ZZ,30,FALSE)="蓄力技",$B$21,0))*(1+$BQ134)</f>
        <v>15500.7818445101</v>
      </c>
      <c r="M134" s="39">
        <f>(($AO134*$AH134+$AI134)*(1+$AP134)*(1+$AQ134)+($AT134*IF($G$1="鸣金",$AJ134,$AH134)+IF($G$1="鸣金",$AK134*1.5,0))*(1+$AU134)*(1+$AV134)+($AX134*IF($G$1="裂石",$AJ134,$AH134)+IF($G$1="裂石",$AK134*1.5,0))*(1+$AY134)*(1+$AZ134)+($BB134*IF($G$1="牵丝",$AJ134,$AH134)+IF($G$1="牵丝",$AK134*1.5,0))*(1+$BC134)*(1+$BD134)+($BF134*IF($G$1="破竹",$AJ134,$AH134)+IF($G$1="破竹",$AK134*1.5,0))*(1+$BG134)*(1+$BH134))*(1+$AL134)*$BM134*$P134*(1+IF(VLOOKUP($Q134,武学奇术!$A:$ZZ,30,FALSE)="蓄力技",$B$21,0))*(1+$BQ134)</f>
        <v>14012.3802562667</v>
      </c>
      <c r="N134" s="39">
        <f>((($AN134+($AO134-$AN134)*IF(VLOOKUP($Q134,武学奇术!$A:$ZZ,31,FALSE)=1,$F$18,0.5))*$AH134+$AI134)*(1+$AP134)*(1+$AQ134)+(($AS134+($AT134-$AS134)*IF(VLOOKUP($Q134,武学奇术!$A:$ZZ,31,FALSE)=1,$F$18,0.5))*IF($G$1="鸣金",$AJ134,$AH134)+IF($G$1="鸣金",$AK134*1.5,0))*(1+$AU134)*(1+$AV134)+(($AW134+($AX134-$AW134)*IF(VLOOKUP($Q134,武学奇术!$A:$ZZ,31,FALSE)=1,$F$18,0.5))*IF($G$1="裂石",$AJ134,$AH134)+IF($G$1="裂石",$AK134*1.5,0))*(1+$AY134)*(1+$AZ134)+(($BA134+($BB134-$BA134)*IF(VLOOKUP($Q134,武学奇术!$A:$ZZ,31,FALSE)=1,$F$18,0.5))*IF($G$1="牵丝",$AJ134,$AH134)+IF($G$1="牵丝",$AK134*1.5,0))*(1+$BC134)*(1+$BD134)+(($BE134+($BF134-$BE134)*IF(VLOOKUP($Q134,武学奇术!$A:$ZZ,31,FALSE)=1,$F$18,0.5))*IF($G$1="破竹",$AJ134,$AH134)+IF($G$1="破竹",$AK134*1.5,0))*(1+$BG134)*(1+$BH134))*(1+$AL134)*$P134*(1+IF(VLOOKUP($Q134,武学奇术!$A:$ZZ,30,FALSE)="蓄力技",$B$21,0))*(1+$BQ134)</f>
        <v>9451.69624665248</v>
      </c>
      <c r="O134" s="39">
        <f>((($AN134*$AH134+$AI134)*(1+$AP134)*(1+$AQ134)+($AS134*IF($G$1="鸣金",$AJ134,$AH134)+IF($G$1="鸣金",$AK134*1.5,0))*(1+$AU134)*(1+$AV134)+($AW134*IF($G$1="裂石",$AJ134,$AH134)+IF($G$1="裂石",$AK134*1.5,0))*(1+$AY134)*(1+$AZ134)+($BA134*IF($G$1="牵丝",$AJ134,$AH134)+IF($G$1="牵丝",$AK134*1.5,0))*(1+$BC134)*(1+$BD134)+($BE134*IF($G$1="破竹",$AJ134,$AH134)+IF($G$1="破竹",$AK134*1.5,0))*(1+$BG134)*(1+$BH134))*(1+$AL134))*$P134*(1+IF(VLOOKUP($Q134,武学奇术!$A:$ZZ,30,FALSE)="蓄力技",$B$21,0))*(1+$BQ134)</f>
        <v>8523.85156273706</v>
      </c>
      <c r="P134" s="40">
        <f t="shared" si="42"/>
        <v>1</v>
      </c>
      <c r="Q134" s="41" t="s">
        <v>190</v>
      </c>
      <c r="R134" s="41" t="s">
        <v>93</v>
      </c>
      <c r="S134" s="41" t="s">
        <v>72</v>
      </c>
      <c r="T134" s="41" t="s">
        <v>72</v>
      </c>
      <c r="U134" s="41" t="s">
        <v>72</v>
      </c>
      <c r="V134" s="41" t="s">
        <v>72</v>
      </c>
      <c r="W134" s="41" t="s">
        <v>72</v>
      </c>
      <c r="X134" s="41" t="s">
        <v>165</v>
      </c>
      <c r="Y134" s="41" t="s">
        <v>81</v>
      </c>
      <c r="Z134" s="41" t="s">
        <v>72</v>
      </c>
      <c r="AA134" s="41" t="s">
        <v>72</v>
      </c>
      <c r="AB134" s="41" t="s">
        <v>72</v>
      </c>
      <c r="AC134" s="41" t="s">
        <v>72</v>
      </c>
      <c r="AD134" s="41" t="s">
        <v>72</v>
      </c>
      <c r="AE134" s="41" t="s">
        <v>75</v>
      </c>
      <c r="AF134" s="41" t="s">
        <v>76</v>
      </c>
      <c r="AG134" t="str">
        <f>VLOOKUP($Q134,武学奇术!$A:$ZZ,25,FALSE)</f>
        <v>心法</v>
      </c>
      <c r="AH134" s="27">
        <f>VLOOKUP($Q134,武学奇术!$A:$ZZ,26,FALSE)</f>
        <v>1</v>
      </c>
      <c r="AI134" s="28">
        <f>VLOOKUP($Q134,武学奇术!$A:$ZZ,27,FALSE)*(1+IF(OR($AG134=$F$4,$AG134=$F$5),$B$22,0))</f>
        <v>0</v>
      </c>
      <c r="AJ134" s="27">
        <f>VLOOKUP($Q134,武学奇术!$A:$ZZ,28,FALSE)</f>
        <v>1</v>
      </c>
      <c r="AK134" s="28">
        <f>VLOOKUP($Q134,武学奇术!$A:$ZZ,29,FALSE)*(1+IF(OR($AG134=$F$4,$AG134=$F$5),$B$22,0))</f>
        <v>0</v>
      </c>
      <c r="AL134" s="27" cm="1">
        <f t="array" ref="AL134">$G$3+IFERROR(VLOOKUP($AG134,$F$4:$G$7,2,FALSE),0)+VLOOKUP($Q134,武学奇术!$A:$ZZ,2,FALSE)+SUM(_xlfn.XLOOKUP($R134:$AF134,增益!$A:$A,增益!$B:$B,0))</f>
        <v>0.2337</v>
      </c>
      <c r="AM134" s="27" cm="1">
        <f t="array" ref="AM134">VLOOKUP($Q134,武学奇术!$A:$ZZ,5,FALSE)+SUM(_xlfn.XLOOKUP($R134:$AF134,增益!$A:$A,增益!$E:$E,0))</f>
        <v>0</v>
      </c>
      <c r="AN134" cm="1">
        <f t="array" ref="AN134">$D$10*(1+$AM134)+VLOOKUP($Q134,武学奇术!$A:$ZZ,3,FALSE)+SUM(_xlfn.XLOOKUP($R134:$AF134,增益!$A:$A,增益!$C:$C,0))-$I$2</f>
        <v>3804.006</v>
      </c>
      <c r="AO134" cm="1">
        <f t="array" ref="AO134">$E$10*(1+$AM134)+VLOOKUP($Q134,武学奇术!$A:$ZZ,4,FALSE)+SUM(_xlfn.XLOOKUP($R134:$AF134,增益!$A:$A,增益!$D:$D,0))-$I$2</f>
        <v>3804.006</v>
      </c>
      <c r="AP134" s="33" cm="1">
        <f t="array" ref="AP134">IF($F$10-$I$3+VLOOKUP($Q134,武学奇术!$A:$ZZ,6,FALSE)+SUM(_xlfn.XLOOKUP(R134:AF134,增益!$A:$A,增益!$F:$F,0))&gt;0,($F$10-$I$3+VLOOKUP($Q134,武学奇术!$A:$ZZ,6,FALSE)+SUM(_xlfn.XLOOKUP(R134:AF134,增益!$A:$A,增益!$F:$F,0)))/200,($F$10-$I$3+VLOOKUP($Q134,武学奇术!$A:$ZZ,6,FALSE)+SUM(_xlfn.XLOOKUP(R134:AF134,增益!$A:$A,增益!$F:$F,0)))/100)</f>
        <v>0.317</v>
      </c>
      <c r="AQ134" s="33" cm="1">
        <f t="array" ref="AQ134">$G$10+VLOOKUP($Q134,武学奇术!$A:$ZZ,7,FALSE)+SUM(_xlfn.XLOOKUP(R134:AF134,增益!$A:$A,增益!$G:$G,0))</f>
        <v>0.09</v>
      </c>
      <c r="AR134" s="27" cm="1">
        <f t="array" ref="AR134">VLOOKUP($Q134,武学奇术!$A:$ZZ,8,FALSE)+SUM(_xlfn.XLOOKUP(R134:AF134,增益!$A:$A,增益!$H:$H,0))</f>
        <v>0</v>
      </c>
      <c r="AS134">
        <f t="shared" si="34"/>
        <v>0</v>
      </c>
      <c r="AT134">
        <f t="shared" si="35"/>
        <v>0</v>
      </c>
      <c r="AU134" s="33" cm="1">
        <f t="array" ref="AU134">IF($F$11-$I$4+VLOOKUP($Q134,武学奇术!$A:$ZZ,9,FALSE)+SUM(_xlfn.XLOOKUP(R134:AF134,增益!$A:$A,增益!$I:$I,0))&gt;0,($F$11-$I$4+VLOOKUP($Q134,武学奇术!$A:$ZZ,9,FALSE)+SUM(_xlfn.XLOOKUP(R134:AF134,增益!$A:$A,增益!$I:$I,0)))/200,($F$11-$I$4+VLOOKUP($Q134,武学奇术!$A:$ZZ,9,FALSE)+SUM(_xlfn.XLOOKUP(R134:AF134,增益!$A:$A,增益!$I:$I,0)))/100)</f>
        <v>-0.14</v>
      </c>
      <c r="AV134" s="33" cm="1">
        <f t="array" ref="AV134">$G$11+VLOOKUP($Q134,武学奇术!$A:$ZZ,10,FALSE)+SUM(_xlfn.XLOOKUP(R134:AF134,增益!$A:$A,增益!$J:$J,0))</f>
        <v>0</v>
      </c>
      <c r="AW134">
        <f t="shared" si="36"/>
        <v>0</v>
      </c>
      <c r="AX134">
        <f t="shared" si="37"/>
        <v>0</v>
      </c>
      <c r="AY134" s="33" cm="1">
        <f t="array" ref="AY134">IF($F$12-$I$4+VLOOKUP($Q134,武学奇术!$A:$ZZ,11,FALSE)+SUM(_xlfn.XLOOKUP(R134:AF134,增益!$A:$A,增益!$K:$K,0))&gt;0,($F$12-$I$4+VLOOKUP($Q134,武学奇术!$A:$ZZ,11,FALSE)+SUM(_xlfn.XLOOKUP(R134:AF134,增益!$A:$A,增益!$K:$K,0)))/200,($F$12-$I$4+VLOOKUP($Q134,武学奇术!$A:$ZZ,11,FALSE)+SUM(_xlfn.XLOOKUP(R134:AF134,增益!$A:$A,增益!$K:$K,0)))/100)</f>
        <v>-0.14</v>
      </c>
      <c r="AZ134" s="33" cm="1">
        <f t="array" ref="AZ134">$G$12+VLOOKUP($Q134,武学奇术!$A:$ZZ,12,FALSE)+SUM(_xlfn.XLOOKUP(R134:AF134,增益!$A:$A,增益!$L:$L,0))</f>
        <v>0</v>
      </c>
      <c r="BA134">
        <f t="shared" si="38"/>
        <v>0</v>
      </c>
      <c r="BB134">
        <f t="shared" si="39"/>
        <v>0</v>
      </c>
      <c r="BC134" s="33" cm="1">
        <f t="array" ref="BC134">IF($F$13-$I$4+VLOOKUP($Q134,武学奇术!$A:$ZZ,13,FALSE)+SUM(_xlfn.XLOOKUP(R134:AF134,增益!$A:$A,增益!$M:$M,0))&gt;0,($F$13-$I$4+VLOOKUP($Q134,武学奇术!$A:$ZZ,13,FALSE)+SUM(_xlfn.XLOOKUP(R134:AF134,增益!$A:$A,增益!$K:$K,0)))/200,($F$13-$I$4+VLOOKUP($Q134,武学奇术!$A:$ZZ,13,FALSE)+SUM(_xlfn.XLOOKUP(R134:AF134,增益!$A:$A,增益!$M:$M,0)))/100)</f>
        <v>-0.14</v>
      </c>
      <c r="BD134" s="33" cm="1">
        <f t="array" ref="BD134">$G$13+VLOOKUP($Q134,武学奇术!$A:$ZZ,14,FALSE)+SUM(_xlfn.XLOOKUP(R134:AF134,增益!$A:$A,增益!$N:$N,0))</f>
        <v>0</v>
      </c>
      <c r="BE134">
        <f t="shared" si="40"/>
        <v>570.28</v>
      </c>
      <c r="BF134">
        <f t="shared" si="41"/>
        <v>1582.156</v>
      </c>
      <c r="BG134" s="33" cm="1">
        <f t="array" ref="BG134">IF($F$14-$I$4+VLOOKUP($Q134,武学奇术!$A:$ZZ,15,FALSE)+SUM(_xlfn.XLOOKUP(R134:AF134,增益!$A:$A,增益!$O:$O,0))&gt;0,($F$14-$I$4+VLOOKUP($Q134,武学奇术!$A:$ZZ,15,FALSE)+SUM(_xlfn.XLOOKUP(R134:AF134,增益!$A:$A,增益!$O:$O,0)))/200,($F$14-$I$4+VLOOKUP($Q134,武学奇术!$A:$ZZ,15,FALSE)+SUM(_xlfn.XLOOKUP(R134:AF134,增益!$A:$A,增益!$O:$O,0)))/100)</f>
        <v>0.08</v>
      </c>
      <c r="BH134" s="33" cm="1">
        <f t="array" ref="BH134">$G$14+VLOOKUP($Q134,武学奇术!$A:$ZZ,16,FALSE)+SUM(_xlfn.XLOOKUP(R134:AF134,增益!$A:$A,增益!$P:$P,0))</f>
        <v>0.24</v>
      </c>
      <c r="BI134" s="27">
        <f>MIN(IF(VLOOKUP($Q134,武学奇术!$A:$ZZ,23,FALSE)=1,100%,$B$8),100%)</f>
        <v>1</v>
      </c>
      <c r="BJ134" s="27" cm="1">
        <f t="array" ref="BJ134">IF(VLOOKUP($Q134,武学奇术!$A:$ZZ,23,FALSE)=1,100%,MIN(80%,$B$9+VLOOKUP($Q134,武学奇术!$A:$ZZ,17,FALSE)+SUM(_xlfn.XLOOKUP(R134:AF134,增益!$A:$A,增益!$Q:$Q,0)))+$B$11+SUM(_xlfn.XLOOKUP(R134:AF134,增益!$A:$A,增益!$U:$U,0)))*IF(VLOOKUP($Q134,武学奇术!$A:$ZZ,24,FALSE)=1,0,1)+MIN(IF(VLOOKUP($Q134,武学奇术!$A:$ZZ,32,FALSE)=1,IF(VLOOKUP($Q134,武学奇术!$A:$ZZ,24,FALSE)=1,100%,MIN(40%,$B$10+VLOOKUP($Q134,武学奇术!$A:$ZZ,19,FALSE)+SUM(_xlfn.XLOOKUP(R134:AF134,增益!$A:$A,增益!$S:$S,0)))+$B$12+SUM(_xlfn.XLOOKUP(R134:AF134,增益!$A:$A,增益!$V:$V,0))),0),12%)</f>
        <v>0.918</v>
      </c>
      <c r="BK134" s="27" cm="1">
        <f t="array" ref="BK134">1+$B$13+VLOOKUP($Q134,武学奇术!$A:$ZZ,18,FALSE)+SUM(_xlfn.XLOOKUP(R134:AF134,增益!$A:$A,增益!$R:$R,0))</f>
        <v>1.64</v>
      </c>
      <c r="BL134" s="27" cm="1">
        <f t="array" ref="BL134">MAX(IF(VLOOKUP($Q134,武学奇术!$A:$ZZ,24,FALSE)=1,100%,MIN(40%,$B$10+VLOOKUP($Q134,武学奇术!$A:$ZZ,19,FALSE)+SUM(_xlfn.XLOOKUP(R134:AF134,增益!$A:$A,增益!$S:$S,0)))+$B$12+SUM(_xlfn.XLOOKUP(R134:AF134,增益!$A:$A,增益!$V:$V,0)))*IF(VLOOKUP($Q134,武学奇术!$A:$ZZ,23,FALSE)=1,0,1)-IF(VLOOKUP($Q134,武学奇术!$A:$ZZ,32,FALSE)=1,12%,0),0)</f>
        <v>0.0895</v>
      </c>
      <c r="BM134" s="27" cm="1">
        <f t="array" ref="BM134">1+$B$14+VLOOKUP($Q134,武学奇术!$A:$ZZ,20,FALSE)+SUM(_xlfn.XLOOKUP(R134:AF134,增益!$A:$A,增益!$T:$T,0))</f>
        <v>1.35</v>
      </c>
      <c r="BN134" s="27">
        <f t="shared" si="43"/>
        <v>0.9105</v>
      </c>
      <c r="BO134" s="27">
        <f t="shared" si="44"/>
        <v>0</v>
      </c>
      <c r="BP134" s="27">
        <f>IF(VLOOKUP($Q134,武学奇术!$A:$ZZ,22,FALSE)=1,0,(1-$BI134))*(1-$BL134)</f>
        <v>0</v>
      </c>
      <c r="BQ134" s="27" cm="1">
        <f t="array" ref="BQ134">SUM(_xlfn.XLOOKUP(R134:AF134,增益!$A:$A,增益!$W:$W,0))+$I$5</f>
        <v>0.11</v>
      </c>
    </row>
    <row r="135" spans="1:69">
      <c r="K135" s="39">
        <f t="shared" si="33"/>
        <v>20803.8376056616</v>
      </c>
      <c r="L135" s="39">
        <f>((($AN135+($AO135-$AN135)*IF(VLOOKUP($Q135,武学奇术!$A:$ZZ,31,FALSE)=1,$F$18,0.5))*$AH135+$AI135)*(1+$AP135)*(1+$AQ135)+(($AS135+($AT135-$AS135)*IF(VLOOKUP($Q135,武学奇术!$A:$ZZ,31,FALSE)=1,$F$18,0.5))*IF($G$1="鸣金",$AJ135,$AH135)+IF($G$1="鸣金",$AK135*1.5,0))*(1+$AU135)*(1+$AV135)+(($AW135+($AX135-$AW135)*IF(VLOOKUP($Q135,武学奇术!$A:$ZZ,31,FALSE)=1,$F$18,0.5))*IF($G$1="裂石",$AJ135,$AH135)+IF($G$1="裂石",$AK135*1.5,0))*(1+$AY135)*(1+$AZ135)+(($BA135+($BB135-$BA135)*IF(VLOOKUP($Q135,武学奇术!$A:$ZZ,31,FALSE)=1,$F$18,0.5))*IF($G$1="牵丝",$AJ135,$AH135)+IF($G$1="牵丝",$AK135*1.5,0))*(1+$BC135)*(1+$BD135)+(($BE135+($BF135-$BE135)*IF(VLOOKUP($Q135,武学奇术!$A:$ZZ,31,FALSE)=1,$F$18,0.5))*IF($G$1="破竹",$AJ135,$AH135)+IF($G$1="破竹",$AK135*1.5,0))*(1+$BG135)*(1+$BH135))*(1+$AL135)*$BK135*$P135*(1+IF(VLOOKUP($Q135,武学奇术!$A:$ZZ,30,FALSE)="蓄力技",$B$21,0))*(1+$BQ135)</f>
        <v>21230.3032740669</v>
      </c>
      <c r="M135" s="39">
        <f>(($AO135*$AH135+$AI135)*(1+$AP135)*(1+$AQ135)+($AT135*IF($G$1="鸣金",$AJ135,$AH135)+IF($G$1="鸣金",$AK135*1.5,0))*(1+$AU135)*(1+$AV135)+($AX135*IF($G$1="裂石",$AJ135,$AH135)+IF($G$1="裂石",$AK135*1.5,0))*(1+$AY135)*(1+$AZ135)+($BB135*IF($G$1="牵丝",$AJ135,$AH135)+IF($G$1="牵丝",$AK135*1.5,0))*(1+$BC135)*(1+$BD135)+($BF135*IF($G$1="破竹",$AJ135,$AH135)+IF($G$1="破竹",$AK135*1.5,0))*(1+$BG135)*(1+$BH135))*(1+$AL135)*$BM135*$P135*(1+IF(VLOOKUP($Q135,武学奇术!$A:$ZZ,30,FALSE)="蓄力技",$B$21,0))*(1+$BQ135)</f>
        <v>16465.3237388115</v>
      </c>
      <c r="N135" s="39">
        <f>((($AN135+($AO135-$AN135)*IF(VLOOKUP($Q135,武学奇术!$A:$ZZ,31,FALSE)=1,$F$18,0.5))*$AH135+$AI135)*(1+$AP135)*(1+$AQ135)+(($AS135+($AT135-$AS135)*IF(VLOOKUP($Q135,武学奇术!$A:$ZZ,31,FALSE)=1,$F$18,0.5))*IF($G$1="鸣金",$AJ135,$AH135)+IF($G$1="鸣金",$AK135*1.5,0))*(1+$AU135)*(1+$AV135)+(($AW135+($AX135-$AW135)*IF(VLOOKUP($Q135,武学奇术!$A:$ZZ,31,FALSE)=1,$F$18,0.5))*IF($G$1="裂石",$AJ135,$AH135)+IF($G$1="裂石",$AK135*1.5,0))*(1+$AY135)*(1+$AZ135)+(($BA135+($BB135-$BA135)*IF(VLOOKUP($Q135,武学奇术!$A:$ZZ,31,FALSE)=1,$F$18,0.5))*IF($G$1="牵丝",$AJ135,$AH135)+IF($G$1="牵丝",$AK135*1.5,0))*(1+$BC135)*(1+$BD135)+(($BE135+($BF135-$BE135)*IF(VLOOKUP($Q135,武学奇术!$A:$ZZ,31,FALSE)=1,$F$18,0.5))*IF($G$1="破竹",$AJ135,$AH135)+IF($G$1="破竹",$AK135*1.5,0))*(1+$BG135)*(1+$BH135))*(1+$AL135)*$P135*(1+IF(VLOOKUP($Q135,武学奇术!$A:$ZZ,30,FALSE)="蓄力技",$B$21,0))*(1+$BQ135)</f>
        <v>11232.9646952735</v>
      </c>
      <c r="O135" s="39">
        <f>((($AN135*$AH135+$AI135)*(1+$AP135)*(1+$AQ135)+($AS135*IF($G$1="鸣金",$AJ135,$AH135)+IF($G$1="鸣金",$AK135*1.5,0))*(1+$AU135)*(1+$AV135)+($AW135*IF($G$1="裂石",$AJ135,$AH135)+IF($G$1="裂石",$AK135*1.5,0))*(1+$AY135)*(1+$AZ135)+($BA135*IF($G$1="牵丝",$AJ135,$AH135)+IF($G$1="牵丝",$AK135*1.5,0))*(1+$BC135)*(1+$BD135)+($BE135*IF($G$1="破竹",$AJ135,$AH135)+IF($G$1="破竹",$AK135*1.5,0))*(1+$BG135)*(1+$BH135))*(1+$AL135))*$P135*(1+IF(VLOOKUP($Q135,武学奇术!$A:$ZZ,30,FALSE)="蓄力技",$B$21,0))*(1+$BQ135)</f>
        <v>10269.3932877237</v>
      </c>
      <c r="P135" s="40">
        <f t="shared" si="42"/>
        <v>1</v>
      </c>
      <c r="Q135" s="41" t="s">
        <v>190</v>
      </c>
      <c r="R135" s="41" t="s">
        <v>93</v>
      </c>
      <c r="S135" s="41" t="s">
        <v>118</v>
      </c>
      <c r="T135" s="41" t="s">
        <v>119</v>
      </c>
      <c r="U135" s="41" t="s">
        <v>72</v>
      </c>
      <c r="V135" s="41" t="s">
        <v>72</v>
      </c>
      <c r="W135" s="41" t="s">
        <v>72</v>
      </c>
      <c r="X135" s="41" t="s">
        <v>165</v>
      </c>
      <c r="Y135" s="41" t="s">
        <v>72</v>
      </c>
      <c r="Z135" s="41" t="s">
        <v>72</v>
      </c>
      <c r="AA135" s="41" t="s">
        <v>72</v>
      </c>
      <c r="AB135" s="41" t="s">
        <v>72</v>
      </c>
      <c r="AC135" s="41" t="s">
        <v>72</v>
      </c>
      <c r="AD135" s="41" t="s">
        <v>72</v>
      </c>
      <c r="AE135" s="41" t="s">
        <v>75</v>
      </c>
      <c r="AF135" s="41" t="s">
        <v>76</v>
      </c>
      <c r="AG135" t="str">
        <f>VLOOKUP($Q135,武学奇术!$A:$ZZ,25,FALSE)</f>
        <v>心法</v>
      </c>
      <c r="AH135" s="27">
        <f>VLOOKUP($Q135,武学奇术!$A:$ZZ,26,FALSE)</f>
        <v>1</v>
      </c>
      <c r="AI135" s="28">
        <f>VLOOKUP($Q135,武学奇术!$A:$ZZ,27,FALSE)*(1+IF(OR($AG135=$F$4,$AG135=$F$5),$B$22,0))</f>
        <v>0</v>
      </c>
      <c r="AJ135" s="27">
        <f>VLOOKUP($Q135,武学奇术!$A:$ZZ,28,FALSE)</f>
        <v>1</v>
      </c>
      <c r="AK135" s="28">
        <f>VLOOKUP($Q135,武学奇术!$A:$ZZ,29,FALSE)*(1+IF(OR($AG135=$F$4,$AG135=$F$5),$B$22,0))</f>
        <v>0</v>
      </c>
      <c r="AL135" s="27" cm="1">
        <f t="array" ref="AL135">$G$3+IFERROR(VLOOKUP($AG135,$F$4:$G$7,2,FALSE),0)+VLOOKUP($Q135,武学奇术!$A:$ZZ,2,FALSE)+SUM(_xlfn.XLOOKUP($R135:$AF135,增益!$A:$A,增益!$B:$B,0))</f>
        <v>0.3837</v>
      </c>
      <c r="AM135" s="27" cm="1">
        <f t="array" ref="AM135">VLOOKUP($Q135,武学奇术!$A:$ZZ,5,FALSE)+SUM(_xlfn.XLOOKUP($R135:$AF135,增益!$A:$A,增益!$E:$E,0))</f>
        <v>0</v>
      </c>
      <c r="AN135" cm="1">
        <f t="array" ref="AN135">$D$10*(1+$AM135)+VLOOKUP($Q135,武学奇术!$A:$ZZ,3,FALSE)+SUM(_xlfn.XLOOKUP($R135:$AF135,增益!$A:$A,增益!$C:$C,0))-$I$2</f>
        <v>3804.006</v>
      </c>
      <c r="AO135" cm="1">
        <f t="array" ref="AO135">$E$10*(1+$AM135)+VLOOKUP($Q135,武学奇术!$A:$ZZ,4,FALSE)+SUM(_xlfn.XLOOKUP($R135:$AF135,增益!$A:$A,增益!$D:$D,0))-$I$2</f>
        <v>3804.006</v>
      </c>
      <c r="AP135" s="33" cm="1">
        <f t="array" ref="AP135">IF($F$10-$I$3+VLOOKUP($Q135,武学奇术!$A:$ZZ,6,FALSE)+SUM(_xlfn.XLOOKUP(R135:AF135,增益!$A:$A,增益!$F:$F,0))&gt;0,($F$10-$I$3+VLOOKUP($Q135,武学奇术!$A:$ZZ,6,FALSE)+SUM(_xlfn.XLOOKUP(R135:AF135,增益!$A:$A,增益!$F:$F,0)))/200,($F$10-$I$3+VLOOKUP($Q135,武学奇术!$A:$ZZ,6,FALSE)+SUM(_xlfn.XLOOKUP(R135:AF135,增益!$A:$A,增益!$F:$F,0)))/100)</f>
        <v>0.442</v>
      </c>
      <c r="AQ135" s="33" cm="1">
        <f t="array" ref="AQ135">$G$10+VLOOKUP($Q135,武学奇术!$A:$ZZ,7,FALSE)+SUM(_xlfn.XLOOKUP(R135:AF135,增益!$A:$A,增益!$G:$G,0))</f>
        <v>0.09</v>
      </c>
      <c r="AR135" s="27" cm="1">
        <f t="array" ref="AR135">VLOOKUP($Q135,武学奇术!$A:$ZZ,8,FALSE)+SUM(_xlfn.XLOOKUP(R135:AF135,增益!$A:$A,增益!$H:$H,0))</f>
        <v>0</v>
      </c>
      <c r="AS135">
        <f t="shared" si="34"/>
        <v>0</v>
      </c>
      <c r="AT135">
        <f t="shared" si="35"/>
        <v>0</v>
      </c>
      <c r="AU135" s="33" cm="1">
        <f t="array" ref="AU135">IF($F$11-$I$4+VLOOKUP($Q135,武学奇术!$A:$ZZ,9,FALSE)+SUM(_xlfn.XLOOKUP(R135:AF135,增益!$A:$A,增益!$I:$I,0))&gt;0,($F$11-$I$4+VLOOKUP($Q135,武学奇术!$A:$ZZ,9,FALSE)+SUM(_xlfn.XLOOKUP(R135:AF135,增益!$A:$A,增益!$I:$I,0)))/200,($F$11-$I$4+VLOOKUP($Q135,武学奇术!$A:$ZZ,9,FALSE)+SUM(_xlfn.XLOOKUP(R135:AF135,增益!$A:$A,增益!$I:$I,0)))/100)</f>
        <v>-0.3</v>
      </c>
      <c r="AV135" s="33" cm="1">
        <f t="array" ref="AV135">$G$11+VLOOKUP($Q135,武学奇术!$A:$ZZ,10,FALSE)+SUM(_xlfn.XLOOKUP(R135:AF135,增益!$A:$A,增益!$J:$J,0))</f>
        <v>0</v>
      </c>
      <c r="AW135">
        <f t="shared" si="36"/>
        <v>0</v>
      </c>
      <c r="AX135">
        <f t="shared" si="37"/>
        <v>0</v>
      </c>
      <c r="AY135" s="33" cm="1">
        <f t="array" ref="AY135">IF($F$12-$I$4+VLOOKUP($Q135,武学奇术!$A:$ZZ,11,FALSE)+SUM(_xlfn.XLOOKUP(R135:AF135,增益!$A:$A,增益!$K:$K,0))&gt;0,($F$12-$I$4+VLOOKUP($Q135,武学奇术!$A:$ZZ,11,FALSE)+SUM(_xlfn.XLOOKUP(R135:AF135,增益!$A:$A,增益!$K:$K,0)))/200,($F$12-$I$4+VLOOKUP($Q135,武学奇术!$A:$ZZ,11,FALSE)+SUM(_xlfn.XLOOKUP(R135:AF135,增益!$A:$A,增益!$K:$K,0)))/100)</f>
        <v>-0.3</v>
      </c>
      <c r="AZ135" s="33" cm="1">
        <f t="array" ref="AZ135">$G$12+VLOOKUP($Q135,武学奇术!$A:$ZZ,12,FALSE)+SUM(_xlfn.XLOOKUP(R135:AF135,增益!$A:$A,增益!$L:$L,0))</f>
        <v>0</v>
      </c>
      <c r="BA135">
        <f t="shared" si="38"/>
        <v>0</v>
      </c>
      <c r="BB135">
        <f t="shared" si="39"/>
        <v>0</v>
      </c>
      <c r="BC135" s="33" cm="1">
        <f t="array" ref="BC135">IF($F$13-$I$4+VLOOKUP($Q135,武学奇术!$A:$ZZ,13,FALSE)+SUM(_xlfn.XLOOKUP(R135:AF135,增益!$A:$A,增益!$M:$M,0))&gt;0,($F$13-$I$4+VLOOKUP($Q135,武学奇术!$A:$ZZ,13,FALSE)+SUM(_xlfn.XLOOKUP(R135:AF135,增益!$A:$A,增益!$K:$K,0)))/200,($F$13-$I$4+VLOOKUP($Q135,武学奇术!$A:$ZZ,13,FALSE)+SUM(_xlfn.XLOOKUP(R135:AF135,增益!$A:$A,增益!$M:$M,0)))/100)</f>
        <v>-0.3</v>
      </c>
      <c r="BD135" s="33" cm="1">
        <f t="array" ref="BD135">$G$13+VLOOKUP($Q135,武学奇术!$A:$ZZ,14,FALSE)+SUM(_xlfn.XLOOKUP(R135:AF135,增益!$A:$A,增益!$N:$N,0))</f>
        <v>0</v>
      </c>
      <c r="BE135">
        <f t="shared" si="40"/>
        <v>570.28</v>
      </c>
      <c r="BF135">
        <f t="shared" si="41"/>
        <v>1582.156</v>
      </c>
      <c r="BG135" s="33" cm="1">
        <f t="array" ref="BG135">IF($F$14-$I$4+VLOOKUP($Q135,武学奇术!$A:$ZZ,15,FALSE)+SUM(_xlfn.XLOOKUP(R135:AF135,增益!$A:$A,增益!$O:$O,0))&gt;0,($F$14-$I$4+VLOOKUP($Q135,武学奇术!$A:$ZZ,15,FALSE)+SUM(_xlfn.XLOOKUP(R135:AF135,增益!$A:$A,增益!$O:$O,0)))/200,($F$14-$I$4+VLOOKUP($Q135,武学奇术!$A:$ZZ,15,FALSE)+SUM(_xlfn.XLOOKUP(R135:AF135,增益!$A:$A,增益!$O:$O,0)))/100)</f>
        <v>0</v>
      </c>
      <c r="BH135" s="33" cm="1">
        <f t="array" ref="BH135">$G$14+VLOOKUP($Q135,武学奇术!$A:$ZZ,16,FALSE)+SUM(_xlfn.XLOOKUP(R135:AF135,增益!$A:$A,增益!$P:$P,0))</f>
        <v>0.24</v>
      </c>
      <c r="BI135" s="27">
        <f>MIN(IF(VLOOKUP($Q135,武学奇术!$A:$ZZ,23,FALSE)=1,100%,$B$8),100%)</f>
        <v>1</v>
      </c>
      <c r="BJ135" s="27" cm="1">
        <f t="array" ref="BJ135">IF(VLOOKUP($Q135,武学奇术!$A:$ZZ,23,FALSE)=1,100%,MIN(80%,$B$9+VLOOKUP($Q135,武学奇术!$A:$ZZ,17,FALSE)+SUM(_xlfn.XLOOKUP(R135:AF135,增益!$A:$A,增益!$Q:$Q,0)))+$B$11+SUM(_xlfn.XLOOKUP(R135:AF135,增益!$A:$A,增益!$U:$U,0)))*IF(VLOOKUP($Q135,武学奇术!$A:$ZZ,24,FALSE)=1,0,1)+MIN(IF(VLOOKUP($Q135,武学奇术!$A:$ZZ,32,FALSE)=1,IF(VLOOKUP($Q135,武学奇术!$A:$ZZ,24,FALSE)=1,100%,MIN(40%,$B$10+VLOOKUP($Q135,武学奇术!$A:$ZZ,19,FALSE)+SUM(_xlfn.XLOOKUP(R135:AF135,增益!$A:$A,增益!$S:$S,0)))+$B$12+SUM(_xlfn.XLOOKUP(R135:AF135,增益!$A:$A,增益!$V:$V,0))),0),12%)</f>
        <v>0.918</v>
      </c>
      <c r="BK135" s="27" cm="1">
        <f t="array" ref="BK135">1+$B$13+VLOOKUP($Q135,武学奇术!$A:$ZZ,18,FALSE)+SUM(_xlfn.XLOOKUP(R135:AF135,增益!$A:$A,增益!$R:$R,0))</f>
        <v>1.89</v>
      </c>
      <c r="BL135" s="27" cm="1">
        <f t="array" ref="BL135">MAX(IF(VLOOKUP($Q135,武学奇术!$A:$ZZ,24,FALSE)=1,100%,MIN(40%,$B$10+VLOOKUP($Q135,武学奇术!$A:$ZZ,19,FALSE)+SUM(_xlfn.XLOOKUP(R135:AF135,增益!$A:$A,增益!$S:$S,0)))+$B$12+SUM(_xlfn.XLOOKUP(R135:AF135,增益!$A:$A,增益!$V:$V,0)))*IF(VLOOKUP($Q135,武学奇术!$A:$ZZ,23,FALSE)=1,0,1)-IF(VLOOKUP($Q135,武学奇术!$A:$ZZ,32,FALSE)=1,12%,0),0)</f>
        <v>0.0895</v>
      </c>
      <c r="BM135" s="27" cm="1">
        <f t="array" ref="BM135">1+$B$14+VLOOKUP($Q135,武学奇术!$A:$ZZ,20,FALSE)+SUM(_xlfn.XLOOKUP(R135:AF135,增益!$A:$A,增益!$T:$T,0))</f>
        <v>1.35</v>
      </c>
      <c r="BN135" s="27">
        <f t="shared" si="43"/>
        <v>0.9105</v>
      </c>
      <c r="BO135" s="27">
        <f t="shared" si="44"/>
        <v>0</v>
      </c>
      <c r="BP135" s="27">
        <f>IF(VLOOKUP($Q135,武学奇术!$A:$ZZ,22,FALSE)=1,0,(1-$BI135))*(1-$BL135)</f>
        <v>0</v>
      </c>
      <c r="BQ135" s="27" cm="1">
        <f t="array" ref="BQ135">SUM(_xlfn.XLOOKUP(R135:AF135,增益!$A:$A,增益!$W:$W,0))+$I$5</f>
        <v>0.11</v>
      </c>
    </row>
    <row r="136" spans="1:69">
      <c r="K136" s="39">
        <f t="shared" si="33"/>
        <v>22218.2516129484</v>
      </c>
      <c r="L136" s="39">
        <f>((($AN136+($AO136-$AN136)*IF(VLOOKUP($Q136,武学奇术!$A:$ZZ,31,FALSE)=1,$F$18,0.5))*$AH136+$AI136)*(1+$AP136)*(1+$AQ136)+(($AS136+($AT136-$AS136)*IF(VLOOKUP($Q136,武学奇术!$A:$ZZ,31,FALSE)=1,$F$18,0.5))*IF($G$1="鸣金",$AJ136,$AH136)+IF($G$1="鸣金",$AK136*1.5,0))*(1+$AU136)*(1+$AV136)+(($AW136+($AX136-$AW136)*IF(VLOOKUP($Q136,武学奇术!$A:$ZZ,31,FALSE)=1,$F$18,0.5))*IF($G$1="裂石",$AJ136,$AH136)+IF($G$1="裂石",$AK136*1.5,0))*(1+$AY136)*(1+$AZ136)+(($BA136+($BB136-$BA136)*IF(VLOOKUP($Q136,武学奇术!$A:$ZZ,31,FALSE)=1,$F$18,0.5))*IF($G$1="牵丝",$AJ136,$AH136)+IF($G$1="牵丝",$AK136*1.5,0))*(1+$BC136)*(1+$BD136)+(($BE136+($BF136-$BE136)*IF(VLOOKUP($Q136,武学奇术!$A:$ZZ,31,FALSE)=1,$F$18,0.5))*IF($G$1="破竹",$AJ136,$AH136)+IF($G$1="破竹",$AK136*1.5,0))*(1+$BG136)*(1+$BH136))*(1+$AL136)*$BK136*$P136*(1+IF(VLOOKUP($Q136,武学奇术!$A:$ZZ,30,FALSE)="蓄力技",$B$21,0))*(1+$BQ136)</f>
        <v>22665.5354708014</v>
      </c>
      <c r="M136" s="39">
        <f>(($AO136*$AH136+$AI136)*(1+$AP136)*(1+$AQ136)+($AT136*IF($G$1="鸣金",$AJ136,$AH136)+IF($G$1="鸣金",$AK136*1.5,0))*(1+$AU136)*(1+$AV136)+($AX136*IF($G$1="裂石",$AJ136,$AH136)+IF($G$1="裂石",$AK136*1.5,0))*(1+$AY136)*(1+$AZ136)+($BB136*IF($G$1="牵丝",$AJ136,$AH136)+IF($G$1="牵丝",$AK136*1.5,0))*(1+$BC136)*(1+$BD136)+($BF136*IF($G$1="破竹",$AJ136,$AH136)+IF($G$1="破竹",$AK136*1.5,0))*(1+$BG136)*(1+$BH136))*(1+$AL136)*$BM136*$P136*(1+IF(VLOOKUP($Q136,武学奇术!$A:$ZZ,30,FALSE)="蓄力技",$B$21,0))*(1+$BQ136)</f>
        <v>17667.950466857</v>
      </c>
      <c r="N136" s="39">
        <f>((($AN136+($AO136-$AN136)*IF(VLOOKUP($Q136,武学奇术!$A:$ZZ,31,FALSE)=1,$F$18,0.5))*$AH136+$AI136)*(1+$AP136)*(1+$AQ136)+(($AS136+($AT136-$AS136)*IF(VLOOKUP($Q136,武学奇术!$A:$ZZ,31,FALSE)=1,$F$18,0.5))*IF($G$1="鸣金",$AJ136,$AH136)+IF($G$1="鸣金",$AK136*1.5,0))*(1+$AU136)*(1+$AV136)+(($AW136+($AX136-$AW136)*IF(VLOOKUP($Q136,武学奇术!$A:$ZZ,31,FALSE)=1,$F$18,0.5))*IF($G$1="裂石",$AJ136,$AH136)+IF($G$1="裂石",$AK136*1.5,0))*(1+$AY136)*(1+$AZ136)+(($BA136+($BB136-$BA136)*IF(VLOOKUP($Q136,武学奇术!$A:$ZZ,31,FALSE)=1,$F$18,0.5))*IF($G$1="牵丝",$AJ136,$AH136)+IF($G$1="牵丝",$AK136*1.5,0))*(1+$BC136)*(1+$BD136)+(($BE136+($BF136-$BE136)*IF(VLOOKUP($Q136,武学奇术!$A:$ZZ,31,FALSE)=1,$F$18,0.5))*IF($G$1="破竹",$AJ136,$AH136)+IF($G$1="破竹",$AK136*1.5,0))*(1+$BG136)*(1+$BH136))*(1+$AL136)*$P136*(1+IF(VLOOKUP($Q136,武学奇术!$A:$ZZ,30,FALSE)="蓄力技",$B$21,0))*(1+$BQ136)</f>
        <v>11992.3468099478</v>
      </c>
      <c r="O136" s="39">
        <f>((($AN136*$AH136+$AI136)*(1+$AP136)*(1+$AQ136)+($AS136*IF($G$1="鸣金",$AJ136,$AH136)+IF($G$1="鸣金",$AK136*1.5,0))*(1+$AU136)*(1+$AV136)+($AW136*IF($G$1="裂石",$AJ136,$AH136)+IF($G$1="裂石",$AK136*1.5,0))*(1+$AY136)*(1+$AZ136)+($BA136*IF($G$1="牵丝",$AJ136,$AH136)+IF($G$1="牵丝",$AK136*1.5,0))*(1+$BC136)*(1+$BD136)+($BE136*IF($G$1="破竹",$AJ136,$AH136)+IF($G$1="破竹",$AK136*1.5,0))*(1+$BG136)*(1+$BH136))*(1+$AL136))*$P136*(1+IF(VLOOKUP($Q136,武学奇术!$A:$ZZ,30,FALSE)="蓄力技",$B$21,0))*(1+$BQ136)</f>
        <v>10897.3229037053</v>
      </c>
      <c r="P136" s="40">
        <f t="shared" si="42"/>
        <v>1</v>
      </c>
      <c r="Q136" s="41" t="s">
        <v>190</v>
      </c>
      <c r="R136" s="41" t="s">
        <v>93</v>
      </c>
      <c r="S136" s="41" t="s">
        <v>118</v>
      </c>
      <c r="T136" s="41" t="s">
        <v>72</v>
      </c>
      <c r="U136" s="41" t="s">
        <v>72</v>
      </c>
      <c r="V136" s="41" t="s">
        <v>176</v>
      </c>
      <c r="W136" s="41" t="s">
        <v>177</v>
      </c>
      <c r="X136" s="41" t="s">
        <v>165</v>
      </c>
      <c r="Y136" s="41" t="s">
        <v>81</v>
      </c>
      <c r="Z136" s="41" t="s">
        <v>72</v>
      </c>
      <c r="AA136" s="41" t="s">
        <v>72</v>
      </c>
      <c r="AB136" s="41" t="s">
        <v>72</v>
      </c>
      <c r="AC136" s="41" t="s">
        <v>72</v>
      </c>
      <c r="AD136" s="41" t="s">
        <v>72</v>
      </c>
      <c r="AE136" s="41" t="s">
        <v>75</v>
      </c>
      <c r="AF136" s="41" t="s">
        <v>76</v>
      </c>
      <c r="AG136" t="str">
        <f>VLOOKUP($Q136,武学奇术!$A:$ZZ,25,FALSE)</f>
        <v>心法</v>
      </c>
      <c r="AH136" s="27">
        <f>VLOOKUP($Q136,武学奇术!$A:$ZZ,26,FALSE)</f>
        <v>1</v>
      </c>
      <c r="AI136" s="28">
        <f>VLOOKUP($Q136,武学奇术!$A:$ZZ,27,FALSE)*(1+IF(OR($AG136=$F$4,$AG136=$F$5),$B$22,0))</f>
        <v>0</v>
      </c>
      <c r="AJ136" s="27">
        <f>VLOOKUP($Q136,武学奇术!$A:$ZZ,28,FALSE)</f>
        <v>1</v>
      </c>
      <c r="AK136" s="28">
        <f>VLOOKUP($Q136,武学奇术!$A:$ZZ,29,FALSE)*(1+IF(OR($AG136=$F$4,$AG136=$F$5),$B$22,0))</f>
        <v>0</v>
      </c>
      <c r="AL136" s="27" cm="1">
        <f t="array" ref="AL136">$G$3+IFERROR(VLOOKUP($AG136,$F$4:$G$7,2,FALSE),0)+VLOOKUP($Q136,武学奇术!$A:$ZZ,2,FALSE)+SUM(_xlfn.XLOOKUP($R136:$AF136,增益!$A:$A,增益!$B:$B,0))</f>
        <v>0.2337</v>
      </c>
      <c r="AM136" s="27" cm="1">
        <f t="array" ref="AM136">VLOOKUP($Q136,武学奇术!$A:$ZZ,5,FALSE)+SUM(_xlfn.XLOOKUP($R136:$AF136,增益!$A:$A,增益!$E:$E,0))</f>
        <v>0</v>
      </c>
      <c r="AN136" cm="1">
        <f t="array" ref="AN136">$D$10*(1+$AM136)+VLOOKUP($Q136,武学奇术!$A:$ZZ,3,FALSE)+SUM(_xlfn.XLOOKUP($R136:$AF136,增益!$A:$A,增益!$C:$C,0))-$I$2</f>
        <v>3804.006</v>
      </c>
      <c r="AO136" cm="1">
        <f t="array" ref="AO136">$E$10*(1+$AM136)+VLOOKUP($Q136,武学奇术!$A:$ZZ,4,FALSE)+SUM(_xlfn.XLOOKUP($R136:$AF136,增益!$A:$A,增益!$D:$D,0))-$I$2</f>
        <v>3804.006</v>
      </c>
      <c r="AP136" s="33" cm="1">
        <f t="array" ref="AP136">IF($F$10-$I$3+VLOOKUP($Q136,武学奇术!$A:$ZZ,6,FALSE)+SUM(_xlfn.XLOOKUP(R136:AF136,增益!$A:$A,增益!$F:$F,0))&gt;0,($F$10-$I$3+VLOOKUP($Q136,武学奇术!$A:$ZZ,6,FALSE)+SUM(_xlfn.XLOOKUP(R136:AF136,增益!$A:$A,增益!$F:$F,0)))/200,($F$10-$I$3+VLOOKUP($Q136,武学奇术!$A:$ZZ,6,FALSE)+SUM(_xlfn.XLOOKUP(R136:AF136,增益!$A:$A,增益!$F:$F,0)))/100)</f>
        <v>0.442</v>
      </c>
      <c r="AQ136" s="33" cm="1">
        <f t="array" ref="AQ136">$G$10+VLOOKUP($Q136,武学奇术!$A:$ZZ,7,FALSE)+SUM(_xlfn.XLOOKUP(R136:AF136,增益!$A:$A,增益!$G:$G,0))</f>
        <v>0.09</v>
      </c>
      <c r="AR136" s="27" cm="1">
        <f t="array" ref="AR136">VLOOKUP($Q136,武学奇术!$A:$ZZ,8,FALSE)+SUM(_xlfn.XLOOKUP(R136:AF136,增益!$A:$A,增益!$H:$H,0))</f>
        <v>0</v>
      </c>
      <c r="AS136">
        <f t="shared" si="34"/>
        <v>0</v>
      </c>
      <c r="AT136">
        <f t="shared" si="35"/>
        <v>0</v>
      </c>
      <c r="AU136" s="33" cm="1">
        <f t="array" ref="AU136">IF($F$11-$I$4+VLOOKUP($Q136,武学奇术!$A:$ZZ,9,FALSE)+SUM(_xlfn.XLOOKUP(R136:AF136,增益!$A:$A,增益!$I:$I,0))&gt;0,($F$11-$I$4+VLOOKUP($Q136,武学奇术!$A:$ZZ,9,FALSE)+SUM(_xlfn.XLOOKUP(R136:AF136,增益!$A:$A,增益!$I:$I,0)))/200,($F$11-$I$4+VLOOKUP($Q136,武学奇术!$A:$ZZ,9,FALSE)+SUM(_xlfn.XLOOKUP(R136:AF136,增益!$A:$A,增益!$I:$I,0)))/100)</f>
        <v>-0.14</v>
      </c>
      <c r="AV136" s="33" cm="1">
        <f t="array" ref="AV136">$G$11+VLOOKUP($Q136,武学奇术!$A:$ZZ,10,FALSE)+SUM(_xlfn.XLOOKUP(R136:AF136,增益!$A:$A,增益!$J:$J,0))</f>
        <v>0.1</v>
      </c>
      <c r="AW136">
        <f t="shared" si="36"/>
        <v>0</v>
      </c>
      <c r="AX136">
        <f t="shared" si="37"/>
        <v>0</v>
      </c>
      <c r="AY136" s="33" cm="1">
        <f t="array" ref="AY136">IF($F$12-$I$4+VLOOKUP($Q136,武学奇术!$A:$ZZ,11,FALSE)+SUM(_xlfn.XLOOKUP(R136:AF136,增益!$A:$A,增益!$K:$K,0))&gt;0,($F$12-$I$4+VLOOKUP($Q136,武学奇术!$A:$ZZ,11,FALSE)+SUM(_xlfn.XLOOKUP(R136:AF136,增益!$A:$A,增益!$K:$K,0)))/200,($F$12-$I$4+VLOOKUP($Q136,武学奇术!$A:$ZZ,11,FALSE)+SUM(_xlfn.XLOOKUP(R136:AF136,增益!$A:$A,增益!$K:$K,0)))/100)</f>
        <v>-0.14</v>
      </c>
      <c r="AZ136" s="33" cm="1">
        <f t="array" ref="AZ136">$G$12+VLOOKUP($Q136,武学奇术!$A:$ZZ,12,FALSE)+SUM(_xlfn.XLOOKUP(R136:AF136,增益!$A:$A,增益!$L:$L,0))</f>
        <v>0</v>
      </c>
      <c r="BA136">
        <f t="shared" si="38"/>
        <v>0</v>
      </c>
      <c r="BB136">
        <f t="shared" si="39"/>
        <v>0</v>
      </c>
      <c r="BC136" s="33" cm="1">
        <f t="array" ref="BC136">IF($F$13-$I$4+VLOOKUP($Q136,武学奇术!$A:$ZZ,13,FALSE)+SUM(_xlfn.XLOOKUP(R136:AF136,增益!$A:$A,增益!$M:$M,0))&gt;0,($F$13-$I$4+VLOOKUP($Q136,武学奇术!$A:$ZZ,13,FALSE)+SUM(_xlfn.XLOOKUP(R136:AF136,增益!$A:$A,增益!$K:$K,0)))/200,($F$13-$I$4+VLOOKUP($Q136,武学奇术!$A:$ZZ,13,FALSE)+SUM(_xlfn.XLOOKUP(R136:AF136,增益!$A:$A,增益!$M:$M,0)))/100)</f>
        <v>-0.14</v>
      </c>
      <c r="BD136" s="33" cm="1">
        <f t="array" ref="BD136">$G$13+VLOOKUP($Q136,武学奇术!$A:$ZZ,14,FALSE)+SUM(_xlfn.XLOOKUP(R136:AF136,增益!$A:$A,增益!$N:$N,0))</f>
        <v>0</v>
      </c>
      <c r="BE136">
        <f t="shared" si="40"/>
        <v>570.28</v>
      </c>
      <c r="BF136">
        <f t="shared" si="41"/>
        <v>1582.156</v>
      </c>
      <c r="BG136" s="33" cm="1">
        <f t="array" ref="BG136">IF($F$14-$I$4+VLOOKUP($Q136,武学奇术!$A:$ZZ,15,FALSE)+SUM(_xlfn.XLOOKUP(R136:AF136,增益!$A:$A,增益!$O:$O,0))&gt;0,($F$14-$I$4+VLOOKUP($Q136,武学奇术!$A:$ZZ,15,FALSE)+SUM(_xlfn.XLOOKUP(R136:AF136,增益!$A:$A,增益!$O:$O,0)))/200,($F$14-$I$4+VLOOKUP($Q136,武学奇术!$A:$ZZ,15,FALSE)+SUM(_xlfn.XLOOKUP(R136:AF136,增益!$A:$A,增益!$O:$O,0)))/100)</f>
        <v>0.08</v>
      </c>
      <c r="BH136" s="33" cm="1">
        <f t="array" ref="BH136">$G$14+VLOOKUP($Q136,武学奇术!$A:$ZZ,16,FALSE)+SUM(_xlfn.XLOOKUP(R136:AF136,增益!$A:$A,增益!$P:$P,0))</f>
        <v>0.24</v>
      </c>
      <c r="BI136" s="27">
        <f>MIN(IF(VLOOKUP($Q136,武学奇术!$A:$ZZ,23,FALSE)=1,100%,$B$8),100%)</f>
        <v>1</v>
      </c>
      <c r="BJ136" s="27" cm="1">
        <f t="array" ref="BJ136">IF(VLOOKUP($Q136,武学奇术!$A:$ZZ,23,FALSE)=1,100%,MIN(80%,$B$9+VLOOKUP($Q136,武学奇术!$A:$ZZ,17,FALSE)+SUM(_xlfn.XLOOKUP(R136:AF136,增益!$A:$A,增益!$Q:$Q,0)))+$B$11+SUM(_xlfn.XLOOKUP(R136:AF136,增益!$A:$A,增益!$U:$U,0)))*IF(VLOOKUP($Q136,武学奇术!$A:$ZZ,24,FALSE)=1,0,1)+MIN(IF(VLOOKUP($Q136,武学奇术!$A:$ZZ,32,FALSE)=1,IF(VLOOKUP($Q136,武学奇术!$A:$ZZ,24,FALSE)=1,100%,MIN(40%,$B$10+VLOOKUP($Q136,武学奇术!$A:$ZZ,19,FALSE)+SUM(_xlfn.XLOOKUP(R136:AF136,增益!$A:$A,增益!$S:$S,0)))+$B$12+SUM(_xlfn.XLOOKUP(R136:AF136,增益!$A:$A,增益!$V:$V,0))),0),12%)</f>
        <v>0.918</v>
      </c>
      <c r="BK136" s="27" cm="1">
        <f t="array" ref="BK136">1+$B$13+VLOOKUP($Q136,武学奇术!$A:$ZZ,18,FALSE)+SUM(_xlfn.XLOOKUP(R136:AF136,增益!$A:$A,增益!$R:$R,0))</f>
        <v>1.89</v>
      </c>
      <c r="BL136" s="27" cm="1">
        <f t="array" ref="BL136">MAX(IF(VLOOKUP($Q136,武学奇术!$A:$ZZ,24,FALSE)=1,100%,MIN(40%,$B$10+VLOOKUP($Q136,武学奇术!$A:$ZZ,19,FALSE)+SUM(_xlfn.XLOOKUP(R136:AF136,增益!$A:$A,增益!$S:$S,0)))+$B$12+SUM(_xlfn.XLOOKUP(R136:AF136,增益!$A:$A,增益!$V:$V,0)))*IF(VLOOKUP($Q136,武学奇术!$A:$ZZ,23,FALSE)=1,0,1)-IF(VLOOKUP($Q136,武学奇术!$A:$ZZ,32,FALSE)=1,12%,0),0)</f>
        <v>0.0895</v>
      </c>
      <c r="BM136" s="27" cm="1">
        <f t="array" ref="BM136">1+$B$14+VLOOKUP($Q136,武学奇术!$A:$ZZ,20,FALSE)+SUM(_xlfn.XLOOKUP(R136:AF136,增益!$A:$A,增益!$T:$T,0))</f>
        <v>1.35</v>
      </c>
      <c r="BN136" s="27">
        <f t="shared" si="43"/>
        <v>0.9105</v>
      </c>
      <c r="BO136" s="27">
        <f t="shared" si="44"/>
        <v>0</v>
      </c>
      <c r="BP136" s="27">
        <f>IF(VLOOKUP($Q136,武学奇术!$A:$ZZ,22,FALSE)=1,0,(1-$BI136))*(1-$BL136)</f>
        <v>0</v>
      </c>
      <c r="BQ136" s="27" cm="1">
        <f t="array" ref="BQ136">SUM(_xlfn.XLOOKUP(R136:AF136,增益!$A:$A,增益!$W:$W,0))+$I$5</f>
        <v>0.31</v>
      </c>
    </row>
  </sheetData>
  <mergeCells count="39">
    <mergeCell ref="H1:I1"/>
    <mergeCell ref="C8:G8"/>
    <mergeCell ref="C15:D15"/>
    <mergeCell ref="C21:D21"/>
    <mergeCell ref="C22:D22"/>
    <mergeCell ref="C23:D23"/>
    <mergeCell ref="C24:D24"/>
    <mergeCell ref="C40:C47"/>
    <mergeCell ref="C53:C64"/>
    <mergeCell ref="C97:C105"/>
    <mergeCell ref="C116:C123"/>
    <mergeCell ref="D37:D48"/>
    <mergeCell ref="D58:D62"/>
    <mergeCell ref="D73:D80"/>
    <mergeCell ref="D81:D84"/>
    <mergeCell ref="D97:D100"/>
    <mergeCell ref="D116:D119"/>
    <mergeCell ref="D120:D130"/>
    <mergeCell ref="D131:D134"/>
    <mergeCell ref="E40:E44"/>
    <mergeCell ref="F37:F51"/>
    <mergeCell ref="F57:F72"/>
    <mergeCell ref="F78:F92"/>
    <mergeCell ref="F101:F115"/>
    <mergeCell ref="F121:F134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C22:D22">
      <formula1>"断石之构,三穷致知"</formula1>
    </dataValidation>
    <dataValidation type="list" allowBlank="1" showInputMessage="1" showErrorMessage="1" sqref="C24:D24">
      <formula1>"易水歌,征人归"</formula1>
    </dataValidation>
    <dataValidation type="list" allowBlank="1" showInputMessage="1" showErrorMessage="1" sqref="R28:S28 U28:AF28 R82:Y82 Z82 AA82:AF82 T28:T33 R2:AF15 R34:AF81 R16:AF27 R29:S33 U29:AF33 R83:AF136">
      <formula1>增益!$A:$A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Q2:Q15 Q16:Q81 Q82:Q136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36"/>
  <sheetViews>
    <sheetView workbookViewId="0">
      <selection activeCell="H32" sqref="H32"/>
    </sheetView>
  </sheetViews>
  <sheetFormatPr defaultColWidth="9" defaultRowHeight="13.5"/>
  <cols>
    <col min="1" max="1" width="12.875" customWidth="1"/>
    <col min="11" max="15" width="12.625" style="28" customWidth="1"/>
    <col min="16" max="16" width="9.375"/>
    <col min="17" max="17" width="24.625" style="32" customWidth="1"/>
    <col min="18" max="32" width="9" style="32"/>
    <col min="34" max="34" width="9" style="27"/>
    <col min="35" max="35" width="9" style="28"/>
    <col min="36" max="36" width="9" style="27"/>
    <col min="37" max="37" width="9" style="28"/>
    <col min="38" max="39" width="9" style="27"/>
    <col min="42" max="44" width="9" style="33"/>
    <col min="47" max="48" width="9" style="33"/>
    <col min="61" max="65" width="9" style="27"/>
    <col min="66" max="67" width="9.00833333333333" style="27" customWidth="1"/>
    <col min="68" max="69" width="9" style="27"/>
    <col min="70" max="70" width="12.625"/>
  </cols>
  <sheetData>
    <row r="1" spans="1:69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40" t="s">
        <v>12</v>
      </c>
      <c r="Q1" s="41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t="s">
        <v>29</v>
      </c>
      <c r="AH1" s="27" t="s">
        <v>30</v>
      </c>
      <c r="AI1" s="28" t="s">
        <v>31</v>
      </c>
      <c r="AJ1" s="27" t="s">
        <v>32</v>
      </c>
      <c r="AK1" s="28" t="s">
        <v>33</v>
      </c>
      <c r="AL1" s="27" t="s">
        <v>34</v>
      </c>
      <c r="AM1" s="27" t="s">
        <v>35</v>
      </c>
      <c r="AN1" t="s">
        <v>36</v>
      </c>
      <c r="AO1" t="s">
        <v>37</v>
      </c>
      <c r="AP1" s="33" t="s">
        <v>38</v>
      </c>
      <c r="AQ1" s="33" t="s">
        <v>39</v>
      </c>
      <c r="AR1" s="33" t="s">
        <v>40</v>
      </c>
      <c r="AS1" t="s">
        <v>41</v>
      </c>
      <c r="AT1" t="s">
        <v>42</v>
      </c>
      <c r="AU1" s="33" t="s">
        <v>43</v>
      </c>
      <c r="AV1" s="33" t="s">
        <v>44</v>
      </c>
      <c r="AW1" t="s">
        <v>45</v>
      </c>
      <c r="AX1" t="s">
        <v>46</v>
      </c>
      <c r="AY1" s="33" t="s">
        <v>47</v>
      </c>
      <c r="AZ1" s="33" t="s">
        <v>48</v>
      </c>
      <c r="BA1" t="s">
        <v>49</v>
      </c>
      <c r="BB1" t="s">
        <v>50</v>
      </c>
      <c r="BC1" s="33" t="s">
        <v>51</v>
      </c>
      <c r="BD1" s="33" t="s">
        <v>52</v>
      </c>
      <c r="BE1" t="s">
        <v>53</v>
      </c>
      <c r="BF1" t="s">
        <v>54</v>
      </c>
      <c r="BG1" s="33" t="s">
        <v>55</v>
      </c>
      <c r="BH1" s="33" t="s">
        <v>56</v>
      </c>
      <c r="BI1" s="27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</row>
    <row r="2" spans="1:69">
      <c r="A2" s="42" t="s">
        <v>66</v>
      </c>
      <c r="B2" s="32"/>
      <c r="C2" s="32"/>
      <c r="D2" s="32"/>
      <c r="E2" s="43"/>
      <c r="F2" s="44" t="s">
        <v>67</v>
      </c>
      <c r="G2" s="45" t="s">
        <v>68</v>
      </c>
      <c r="H2" s="46" t="s">
        <v>69</v>
      </c>
      <c r="I2" s="11">
        <f>620*(1-IF(F17="√",0.06,0)-IF(D20="√",0.04,0))</f>
        <v>620</v>
      </c>
      <c r="K2" s="39">
        <f t="shared" ref="K2:K65" si="0">($L2*$BN2+$M2*$BL2+$N2*$BO2+$O2*$BP2)</f>
        <v>20669.6673097203</v>
      </c>
      <c r="L2" s="39">
        <f>((($AN2+($AO2-$AN2)*IF(VLOOKUP($Q2,武学奇术!$A:$ZZ,31,FALSE)=1,$F$18,0.5))*$AH2+$AI2)*(1+$AP2)*(1+$AQ2)+(($AS2+($AT2-$AS2)*IF(VLOOKUP($Q2,武学奇术!$A:$ZZ,31,FALSE)=1,$F$18,0.5))*IF($G$1="鸣金",$AJ2,$AH2)+IF($G$1="鸣金",$AK2*1.5,0))*(1+$AU2)*(1+$AV2)+(($AW2+($AX2-$AW2)*IF(VLOOKUP($Q2,武学奇术!$A:$ZZ,31,FALSE)=1,$F$18,0.5))*IF($G$1="裂石",$AJ2,$AH2)+IF($G$1="裂石",$AK2*1.5,0))*(1+$AY2)*(1+$AZ2)+(($BA2+($BB2-$BA2)*IF(VLOOKUP($Q2,武学奇术!$A:$ZZ,31,FALSE)=1,$F$18,0.5))*IF($G$1="牵丝",$AJ2,$AH2)+IF($G$1="牵丝",$AK2*1.5,0))*(1+$BC2)*(1+$BD2)+(($BE2+($BF2-$BE2)*IF(VLOOKUP($Q2,武学奇术!$A:$ZZ,31,FALSE)=1,$F$18,0.5))*IF($G$1="破竹",$AJ2,$AH2)+IF($G$1="破竹",$AK2*1.5,0))*(1+$BG2)*(1+$BH2))*(1+$AL2)*$BK2*$P2*(1+IF(VLOOKUP($Q2,武学奇术!$A:$ZZ,30,FALSE)="蓄力技",$B$21,0))*(1+$BQ2)</f>
        <v>20695.4439544106</v>
      </c>
      <c r="M2" s="39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20407.4367511675</v>
      </c>
      <c r="N2" s="39">
        <f>((($AN2+($AO2-$AN2)*IF(VLOOKUP($Q2,武学奇术!$A:$ZZ,31,FALSE)=1,$F$18,0.5))*$AH2+$AI2)*(1+$AP2)*(1+$AQ2)+(($AS2+($AT2-$AS2)*IF(VLOOKUP($Q2,武学奇术!$A:$ZZ,31,FALSE)=1,$F$18,0.5))*IF($G$1="鸣金",$AJ2,$AH2)+IF($G$1="鸣金",$AK2*1.5,0))*(1+$AU2)*(1+$AV2)+(($AW2+($AX2-$AW2)*IF(VLOOKUP($Q2,武学奇术!$A:$ZZ,31,FALSE)=1,$F$18,0.5))*IF($G$1="裂石",$AJ2,$AH2)+IF($G$1="裂石",$AK2*1.5,0))*(1+$AY2)*(1+$AZ2)+(($BA2+($BB2-$BA2)*IF(VLOOKUP($Q2,武学奇术!$A:$ZZ,31,FALSE)=1,$F$18,0.5))*IF($G$1="牵丝",$AJ2,$AH2)+IF($G$1="牵丝",$AK2*1.5,0))*(1+$BC2)*(1+$BD2)+(($BE2+($BF2-$BE2)*IF(VLOOKUP($Q2,武学奇术!$A:$ZZ,31,FALSE)=1,$F$18,0.5))*IF($G$1="破竹",$AJ2,$AH2)+IF($G$1="破竹",$AK2*1.5,0))*(1+$BG2)*(1+$BH2))*(1+$AL2)*$P2*(1+IF(VLOOKUP($Q2,武学奇术!$A:$ZZ,30,FALSE)="蓄力技",$B$21,0))*(1+$BQ2)</f>
        <v>13351.8993254262</v>
      </c>
      <c r="O2" s="39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11587.1788351728</v>
      </c>
      <c r="P2" s="40">
        <v>1</v>
      </c>
      <c r="Q2" s="41" t="s">
        <v>70</v>
      </c>
      <c r="R2" s="41" t="s">
        <v>71</v>
      </c>
      <c r="S2" s="41" t="s">
        <v>72</v>
      </c>
      <c r="T2" s="41" t="s">
        <v>72</v>
      </c>
      <c r="U2" s="41" t="s">
        <v>73</v>
      </c>
      <c r="V2" s="41" t="s">
        <v>72</v>
      </c>
      <c r="W2" s="41" t="s">
        <v>72</v>
      </c>
      <c r="X2" s="41" t="s">
        <v>74</v>
      </c>
      <c r="Y2" s="41" t="s">
        <v>72</v>
      </c>
      <c r="Z2" s="41" t="s">
        <v>72</v>
      </c>
      <c r="AA2" s="41" t="s">
        <v>72</v>
      </c>
      <c r="AB2" s="41" t="s">
        <v>72</v>
      </c>
      <c r="AC2" s="41" t="s">
        <v>72</v>
      </c>
      <c r="AD2" s="41" t="s">
        <v>72</v>
      </c>
      <c r="AE2" s="41" t="s">
        <v>75</v>
      </c>
      <c r="AF2" s="41" t="s">
        <v>76</v>
      </c>
      <c r="AG2" t="str">
        <f>VLOOKUP($Q2,武学奇术!$A:$ZZ,25,FALSE)</f>
        <v>群体奇术</v>
      </c>
      <c r="AH2" s="27">
        <f>VLOOKUP($Q2,武学奇术!$A:$ZZ,26,FALSE)</f>
        <v>1.4904</v>
      </c>
      <c r="AI2" s="28">
        <f>VLOOKUP($Q2,武学奇术!$A:$ZZ,27,FALSE)*(1+IF(OR($AG2=$F$4,$AG2=$F$5),$B$22,0))</f>
        <v>368</v>
      </c>
      <c r="AJ2" s="27">
        <f>VLOOKUP($Q2,武学奇术!$A:$ZZ,28,FALSE)</f>
        <v>2.2353</v>
      </c>
      <c r="AK2" s="28">
        <f>VLOOKUP($Q2,武学奇术!$A:$ZZ,29,FALSE)*(1+IF(OR($AG2=$F$4,$AG2=$F$5),$B$22,0))</f>
        <v>0</v>
      </c>
      <c r="AL2" s="27" cm="1">
        <f t="array" ref="AL2">$G$3+IFERROR(VLOOKUP($AG2,$F$4:$G$7,2,FALSE),0)+VLOOKUP($Q2,武学奇术!$A:$ZZ,2,FALSE)+SUM(_xlfn.XLOOKUP($R2:$AF2,增益!$A:$A,增益!$B:$B,0))</f>
        <v>0.1337</v>
      </c>
      <c r="AM2" s="27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3742.006</v>
      </c>
      <c r="AO2" cm="1">
        <f t="array" ref="AO2">$E$10*(1+$AM2)+VLOOKUP($Q2,武学奇术!$A:$ZZ,4,FALSE)+SUM(_xlfn.XLOOKUP($R2:$AF2,增益!$A:$A,增益!$D:$D,0))-$I$2</f>
        <v>3742.006</v>
      </c>
      <c r="AP2" s="33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0.177</v>
      </c>
      <c r="AQ2" s="33" cm="1">
        <f t="array" ref="AQ2">$G$10+VLOOKUP($Q2,武学奇术!$A:$ZZ,7,FALSE)+SUM(_xlfn.XLOOKUP(R2:AF2,增益!$A:$A,增益!$G:$G,0))</f>
        <v>0.09</v>
      </c>
      <c r="AR2" s="27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3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3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3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33" cm="1">
        <f t="array" ref="AZ2">$G$12+VLOOKUP($Q2,武学奇术!$A:$ZZ,12,FALSE)+SUM(_xlfn.XLOOKUP(R2:AF2,增益!$A:$A,增益!$L:$L,0))</f>
        <v>0</v>
      </c>
      <c r="BA2">
        <f t="shared" ref="BA2:BA65" si="5">$D$13*(1+$AR2)</f>
        <v>0</v>
      </c>
      <c r="BB2">
        <f t="shared" ref="BB2:BB65" si="6">$E$13*(1+$AR2)</f>
        <v>0</v>
      </c>
      <c r="BC2" s="33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3" cm="1">
        <f t="array" ref="BD2">$G$13+VLOOKUP($Q2,武学奇术!$A:$ZZ,14,FALSE)+SUM(_xlfn.XLOOKUP(R2:AF2,增益!$A:$A,增益!$N:$N,0))</f>
        <v>0</v>
      </c>
      <c r="BE2">
        <f t="shared" ref="BE2:BE65" si="7">$D$14*(1+$AR2)</f>
        <v>570.28</v>
      </c>
      <c r="BF2">
        <f t="shared" ref="BF2:BF65" si="8">$E$14*(1+$AR2)</f>
        <v>1582.156</v>
      </c>
      <c r="BG2" s="33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0</v>
      </c>
      <c r="BH2" s="33" cm="1">
        <f t="array" ref="BH2">$G$14+VLOOKUP($Q2,武学奇术!$A:$ZZ,16,FALSE)+SUM(_xlfn.XLOOKUP(R2:AF2,增益!$A:$A,增益!$P:$P,0))</f>
        <v>0.24</v>
      </c>
      <c r="BI2" s="27">
        <f>MIN(IF(VLOOKUP($Q2,武学奇术!$A:$ZZ,23,FALSE)=1,100%,$B$8),100%)</f>
        <v>1</v>
      </c>
      <c r="BJ2" s="27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+MIN(IF(VLOOKUP($Q2,武学奇术!$A:$ZZ,32,FALSE)=1,IF(VLOOKUP($Q2,武学奇术!$A:$ZZ,24,FALSE)=1,100%,MIN(40%,$B$10+VLOOKUP($Q2,武学奇术!$A:$ZZ,19,FALSE)+SUM(_xlfn.XLOOKUP(R2:AF2,增益!$A:$A,增益!$S:$S,0)))+$B$12+SUM(_xlfn.XLOOKUP(R2:AF2,增益!$A:$A,增益!$V:$V,0))),0),12%)</f>
        <v>0.918</v>
      </c>
      <c r="BK2" s="27" cm="1">
        <f t="array" ref="BK2">1+$B$13+VLOOKUP($Q2,武学奇术!$A:$ZZ,18,FALSE)+SUM(_xlfn.XLOOKUP(R2:AF2,增益!$A:$A,增益!$R:$R,0))</f>
        <v>1.55</v>
      </c>
      <c r="BL2" s="27" cm="1">
        <f t="array" ref="BL2">MAX(IF(VLOOKUP($Q2,武学奇术!$A:$ZZ,24,FALSE)=1,100%,MIN(40%,$B$10+VLOOKUP($Q2,武学奇术!$A:$ZZ,19,FALSE)+SUM(_xlfn.XLOOKUP(R2:AF2,增益!$A:$A,增益!$S:$S,0)))+$B$12+SUM(_xlfn.XLOOKUP(R2:AF2,增益!$A:$A,增益!$V:$V,0)))*IF(VLOOKUP($Q2,武学奇术!$A:$ZZ,23,FALSE)=1,0,1)-IF(VLOOKUP($Q2,武学奇术!$A:$ZZ,32,FALSE)=1,12%,0),0)</f>
        <v>0.0895</v>
      </c>
      <c r="BM2" s="27" cm="1">
        <f t="array" ref="BM2">1+$B$14+VLOOKUP($Q2,武学奇术!$A:$ZZ,20,FALSE)+SUM(_xlfn.XLOOKUP(R2:AF2,增益!$A:$A,增益!$T:$T,0))</f>
        <v>1.35</v>
      </c>
      <c r="BN2" s="27">
        <f t="shared" ref="BN2:BN65" si="9">MIN((1-BL2)*BI2,BI2*BJ2)</f>
        <v>0.9105</v>
      </c>
      <c r="BO2" s="27">
        <f t="shared" ref="BO2:BO65" si="10">1-BL2-BN2-BP2</f>
        <v>0</v>
      </c>
      <c r="BP2" s="27">
        <f>IF(VLOOKUP($Q2,武学奇术!$A:$ZZ,22,FALSE)=1,0,(1-$BI2))*(1-$BL2)</f>
        <v>0</v>
      </c>
      <c r="BQ2" s="27" cm="1">
        <f t="array" ref="BQ2">SUM(_xlfn.XLOOKUP(R2:AF2,增益!$A:$A,增益!$W:$W,0))+$I$5</f>
        <v>0.11</v>
      </c>
    </row>
    <row r="3" spans="1:69">
      <c r="A3" s="47" t="s">
        <v>77</v>
      </c>
      <c r="B3" s="48"/>
      <c r="C3" s="48"/>
      <c r="D3" s="48"/>
      <c r="E3" s="49"/>
      <c r="F3" s="46" t="s">
        <v>34</v>
      </c>
      <c r="G3" s="50">
        <f>B16+1.5%+IF($D$16="√",8%,0)+IF($C$24="征人归",8%,0)</f>
        <v>0.1037</v>
      </c>
      <c r="H3" s="46" t="s">
        <v>78</v>
      </c>
      <c r="I3" s="11">
        <f>25-IF(D17="√",10,0)-IF(F17="√",10,0)</f>
        <v>25</v>
      </c>
      <c r="K3" s="39">
        <f t="shared" si="0"/>
        <v>21585.5467648849</v>
      </c>
      <c r="L3" s="39">
        <f>((($AN3+($AO3-$AN3)*IF(VLOOKUP($Q3,武学奇术!$A:$ZZ,31,FALSE)=1,$F$18,0.5))*$AH3+$AI3)*(1+$AP3)*(1+$AQ3)+(($AS3+($AT3-$AS3)*IF(VLOOKUP($Q3,武学奇术!$A:$ZZ,31,FALSE)=1,$F$18,0.5))*IF($G$1="鸣金",$AJ3,$AH3)+IF($G$1="鸣金",$AK3*1.5,0))*(1+$AU3)*(1+$AV3)+(($AW3+($AX3-$AW3)*IF(VLOOKUP($Q3,武学奇术!$A:$ZZ,31,FALSE)=1,$F$18,0.5))*IF($G$1="裂石",$AJ3,$AH3)+IF($G$1="裂石",$AK3*1.5,0))*(1+$AY3)*(1+$AZ3)+(($BA3+($BB3-$BA3)*IF(VLOOKUP($Q3,武学奇术!$A:$ZZ,31,FALSE)=1,$F$18,0.5))*IF($G$1="牵丝",$AJ3,$AH3)+IF($G$1="牵丝",$AK3*1.5,0))*(1+$BC3)*(1+$BD3)+(($BE3+($BF3-$BE3)*IF(VLOOKUP($Q3,武学奇术!$A:$ZZ,31,FALSE)=1,$F$18,0.5))*IF($G$1="破竹",$AJ3,$AH3)+IF($G$1="破竹",$AK3*1.5,0))*(1+$BG3)*(1+$BH3))*(1+$AL3)*$BK3*$P3*(1+IF(VLOOKUP($Q3,武学奇术!$A:$ZZ,30,FALSE)="蓄力技",$B$21,0))*(1+$BQ3)</f>
        <v>21613.638172238</v>
      </c>
      <c r="M3" s="39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21299.7676990191</v>
      </c>
      <c r="N3" s="39">
        <f>((($AN3+($AO3-$AN3)*IF(VLOOKUP($Q3,武学奇术!$A:$ZZ,31,FALSE)=1,$F$18,0.5))*$AH3+$AI3)*(1+$AP3)*(1+$AQ3)+(($AS3+($AT3-$AS3)*IF(VLOOKUP($Q3,武学奇术!$A:$ZZ,31,FALSE)=1,$F$18,0.5))*IF($G$1="鸣金",$AJ3,$AH3)+IF($G$1="鸣金",$AK3*1.5,0))*(1+$AU3)*(1+$AV3)+(($AW3+($AX3-$AW3)*IF(VLOOKUP($Q3,武学奇术!$A:$ZZ,31,FALSE)=1,$F$18,0.5))*IF($G$1="裂石",$AJ3,$AH3)+IF($G$1="裂石",$AK3*1.5,0))*(1+$AY3)*(1+$AZ3)+(($BA3+($BB3-$BA3)*IF(VLOOKUP($Q3,武学奇术!$A:$ZZ,31,FALSE)=1,$F$18,0.5))*IF($G$1="牵丝",$AJ3,$AH3)+IF($G$1="牵丝",$AK3*1.5,0))*(1+$BC3)*(1+$BD3)+(($BE3+($BF3-$BE3)*IF(VLOOKUP($Q3,武学奇术!$A:$ZZ,31,FALSE)=1,$F$18,0.5))*IF($G$1="破竹",$AJ3,$AH3)+IF($G$1="破竹",$AK3*1.5,0))*(1+$BG3)*(1+$BH3))*(1+$AL3)*$P3*(1+IF(VLOOKUP($Q3,武学奇术!$A:$ZZ,30,FALSE)="蓄力技",$B$21,0))*(1+$BQ3)</f>
        <v>13854.8962642551</v>
      </c>
      <c r="O3" s="39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11932.1868255332</v>
      </c>
      <c r="P3" s="40">
        <v>1</v>
      </c>
      <c r="Q3" s="41" t="s">
        <v>70</v>
      </c>
      <c r="R3" s="41" t="s">
        <v>79</v>
      </c>
      <c r="S3" s="41" t="s">
        <v>72</v>
      </c>
      <c r="T3" s="41" t="s">
        <v>72</v>
      </c>
      <c r="U3" s="41" t="s">
        <v>73</v>
      </c>
      <c r="V3" s="41" t="s">
        <v>72</v>
      </c>
      <c r="W3" s="41" t="s">
        <v>72</v>
      </c>
      <c r="X3" s="41" t="s">
        <v>80</v>
      </c>
      <c r="Y3" s="41" t="s">
        <v>81</v>
      </c>
      <c r="Z3" s="41" t="s">
        <v>72</v>
      </c>
      <c r="AA3" s="41" t="s">
        <v>72</v>
      </c>
      <c r="AB3" s="41" t="s">
        <v>72</v>
      </c>
      <c r="AC3" s="41" t="s">
        <v>72</v>
      </c>
      <c r="AD3" s="41" t="s">
        <v>72</v>
      </c>
      <c r="AE3" s="41" t="s">
        <v>75</v>
      </c>
      <c r="AF3" s="41" t="s">
        <v>76</v>
      </c>
      <c r="AG3" t="str">
        <f>VLOOKUP($Q3,武学奇术!$A:$ZZ,25,FALSE)</f>
        <v>群体奇术</v>
      </c>
      <c r="AH3" s="27">
        <f>VLOOKUP($Q3,武学奇术!$A:$ZZ,26,FALSE)</f>
        <v>1.4904</v>
      </c>
      <c r="AI3" s="28">
        <f>VLOOKUP($Q3,武学奇术!$A:$ZZ,27,FALSE)*(1+IF(OR($AG3=$F$4,$AG3=$F$5),$B$22,0))</f>
        <v>368</v>
      </c>
      <c r="AJ3" s="27">
        <f>VLOOKUP($Q3,武学奇术!$A:$ZZ,28,FALSE)</f>
        <v>2.2353</v>
      </c>
      <c r="AK3" s="28">
        <f>VLOOKUP($Q3,武学奇术!$A:$ZZ,29,FALSE)*(1+IF(OR($AG3=$F$4,$AG3=$F$5),$B$22,0))</f>
        <v>0</v>
      </c>
      <c r="AL3" s="27" cm="1">
        <f t="array" ref="AL3">$G$3+IFERROR(VLOOKUP($AG3,$F$4:$G$7,2,FALSE),0)+VLOOKUP($Q3,武学奇术!$A:$ZZ,2,FALSE)+SUM(_xlfn.XLOOKUP($R3:$AF3,增益!$A:$A,增益!$B:$B,0))</f>
        <v>0.1437</v>
      </c>
      <c r="AM3" s="27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3742.006</v>
      </c>
      <c r="AO3" cm="1">
        <f t="array" ref="AO3">$E$10*(1+$AM3)+VLOOKUP($Q3,武学奇术!$A:$ZZ,4,FALSE)+SUM(_xlfn.XLOOKUP($R3:$AF3,增益!$A:$A,增益!$D:$D,0))-$I$2</f>
        <v>3742.006</v>
      </c>
      <c r="AP3" s="33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0.187</v>
      </c>
      <c r="AQ3" s="33" cm="1">
        <f t="array" ref="AQ3">$G$10+VLOOKUP($Q3,武学奇术!$A:$ZZ,7,FALSE)+SUM(_xlfn.XLOOKUP(R3:AF3,增益!$A:$A,增益!$G:$G,0))</f>
        <v>0.09</v>
      </c>
      <c r="AR3" s="27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3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3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3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3" cm="1">
        <f t="array" ref="AZ3">$G$12+VLOOKUP($Q3,武学奇术!$A:$ZZ,12,FALSE)+SUM(_xlfn.XLOOKUP(R3:AF3,增益!$A:$A,增益!$L:$L,0))</f>
        <v>0</v>
      </c>
      <c r="BA3">
        <f t="shared" si="5"/>
        <v>0</v>
      </c>
      <c r="BB3">
        <f t="shared" si="6"/>
        <v>0</v>
      </c>
      <c r="BC3" s="33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-0.14</v>
      </c>
      <c r="BD3" s="33" cm="1">
        <f t="array" ref="BD3">$G$13+VLOOKUP($Q3,武学奇术!$A:$ZZ,14,FALSE)+SUM(_xlfn.XLOOKUP(R3:AF3,增益!$A:$A,增益!$N:$N,0))</f>
        <v>0</v>
      </c>
      <c r="BE3">
        <f t="shared" si="7"/>
        <v>570.28</v>
      </c>
      <c r="BF3">
        <f t="shared" si="8"/>
        <v>1582.156</v>
      </c>
      <c r="BG3" s="33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0.08</v>
      </c>
      <c r="BH3" s="33" cm="1">
        <f t="array" ref="BH3">$G$14+VLOOKUP($Q3,武学奇术!$A:$ZZ,16,FALSE)+SUM(_xlfn.XLOOKUP(R3:AF3,增益!$A:$A,增益!$P:$P,0))</f>
        <v>0.24</v>
      </c>
      <c r="BI3" s="27">
        <f>MIN(IF(VLOOKUP($Q3,武学奇术!$A:$ZZ,23,FALSE)=1,100%,$B$8),100%)</f>
        <v>1</v>
      </c>
      <c r="BJ3" s="27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+MIN(IF(VLOOKUP($Q3,武学奇术!$A:$ZZ,32,FALSE)=1,IF(VLOOKUP($Q3,武学奇术!$A:$ZZ,24,FALSE)=1,100%,MIN(40%,$B$10+VLOOKUP($Q3,武学奇术!$A:$ZZ,19,FALSE)+SUM(_xlfn.XLOOKUP(R3:AF3,增益!$A:$A,增益!$S:$S,0)))+$B$12+SUM(_xlfn.XLOOKUP(R3:AF3,增益!$A:$A,增益!$V:$V,0))),0),12%)</f>
        <v>0.918</v>
      </c>
      <c r="BK3" s="27" cm="1">
        <f t="array" ref="BK3">1+$B$13+VLOOKUP($Q3,武学奇术!$A:$ZZ,18,FALSE)+SUM(_xlfn.XLOOKUP(R3:AF3,增益!$A:$A,增益!$R:$R,0))</f>
        <v>1.56</v>
      </c>
      <c r="BL3" s="27" cm="1">
        <f t="array" ref="BL3">MAX(IF(VLOOKUP($Q3,武学奇术!$A:$ZZ,24,FALSE)=1,100%,MIN(40%,$B$10+VLOOKUP($Q3,武学奇术!$A:$ZZ,19,FALSE)+SUM(_xlfn.XLOOKUP(R3:AF3,增益!$A:$A,增益!$S:$S,0)))+$B$12+SUM(_xlfn.XLOOKUP(R3:AF3,增益!$A:$A,增益!$V:$V,0)))*IF(VLOOKUP($Q3,武学奇术!$A:$ZZ,23,FALSE)=1,0,1)-IF(VLOOKUP($Q3,武学奇术!$A:$ZZ,32,FALSE)=1,12%,0),0)</f>
        <v>0.0895</v>
      </c>
      <c r="BM3" s="27" cm="1">
        <f t="array" ref="BM3">1+$B$14+VLOOKUP($Q3,武学奇术!$A:$ZZ,20,FALSE)+SUM(_xlfn.XLOOKUP(R3:AF3,增益!$A:$A,增益!$T:$T,0))</f>
        <v>1.35</v>
      </c>
      <c r="BN3" s="27">
        <f t="shared" si="9"/>
        <v>0.9105</v>
      </c>
      <c r="BO3" s="27">
        <f t="shared" si="10"/>
        <v>0</v>
      </c>
      <c r="BP3" s="27">
        <f>IF(VLOOKUP($Q3,武学奇术!$A:$ZZ,22,FALSE)=1,0,(1-$BI3))*(1-$BL3)</f>
        <v>0</v>
      </c>
      <c r="BQ3" s="27" cm="1">
        <f t="array" ref="BQ3">SUM(_xlfn.XLOOKUP(R3:AF3,增益!$A:$A,增益!$W:$W,0))+$I$5</f>
        <v>0.11</v>
      </c>
    </row>
    <row r="4" ht="14.25" spans="1:69">
      <c r="A4" s="51" t="s">
        <v>82</v>
      </c>
      <c r="B4" s="52"/>
      <c r="C4" s="52"/>
      <c r="D4" s="52"/>
      <c r="E4" s="53"/>
      <c r="F4" s="46" t="s">
        <v>83</v>
      </c>
      <c r="G4" s="50">
        <f>B15+B17</f>
        <v>0.1704</v>
      </c>
      <c r="H4" s="54" t="s">
        <v>84</v>
      </c>
      <c r="I4" s="15">
        <f>30</f>
        <v>30</v>
      </c>
      <c r="K4" s="39">
        <f t="shared" si="0"/>
        <v>22030.1856668621</v>
      </c>
      <c r="L4" s="39">
        <f>((($AN4+($AO4-$AN4)*IF(VLOOKUP($Q4,武学奇术!$A:$ZZ,31,FALSE)=1,$F$18,0.5))*$AH4+$AI4)*(1+$AP4)*(1+$AQ4)+(($AS4+($AT4-$AS4)*IF(VLOOKUP($Q4,武学奇术!$A:$ZZ,31,FALSE)=1,$F$18,0.5))*IF($G$1="鸣金",$AJ4,$AH4)+IF($G$1="鸣金",$AK4*1.5,0))*(1+$AU4)*(1+$AV4)+(($AW4+($AX4-$AW4)*IF(VLOOKUP($Q4,武学奇术!$A:$ZZ,31,FALSE)=1,$F$18,0.5))*IF($G$1="裂石",$AJ4,$AH4)+IF($G$1="裂石",$AK4*1.5,0))*(1+$AY4)*(1+$AZ4)+(($BA4+($BB4-$BA4)*IF(VLOOKUP($Q4,武学奇术!$A:$ZZ,31,FALSE)=1,$F$18,0.5))*IF($G$1="牵丝",$AJ4,$AH4)+IF($G$1="牵丝",$AK4*1.5,0))*(1+$BC4)*(1+$BD4)+(($BE4+($BF4-$BE4)*IF(VLOOKUP($Q4,武学奇术!$A:$ZZ,31,FALSE)=1,$F$18,0.5))*IF($G$1="破竹",$AJ4,$AH4)+IF($G$1="破竹",$AK4*1.5,0))*(1+$BG4)*(1+$BH4))*(1+$AL4)*$BK4*$P4*(1+IF(VLOOKUP($Q4,武学奇术!$A:$ZZ,30,FALSE)="蓄力技",$B$21,0))*(1+$BQ4)</f>
        <v>22072.66522425</v>
      </c>
      <c r="M4" s="39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21598.0332981276</v>
      </c>
      <c r="N4" s="39">
        <f>((($AN4+($AO4-$AN4)*IF(VLOOKUP($Q4,武学奇术!$A:$ZZ,31,FALSE)=1,$F$18,0.5))*$AH4+$AI4)*(1+$AP4)*(1+$AQ4)+(($AS4+($AT4-$AS4)*IF(VLOOKUP($Q4,武学奇术!$A:$ZZ,31,FALSE)=1,$F$18,0.5))*IF($G$1="鸣金",$AJ4,$AH4)+IF($G$1="鸣金",$AK4*1.5,0))*(1+$AU4)*(1+$AV4)+(($AW4+($AX4-$AW4)*IF(VLOOKUP($Q4,武学奇术!$A:$ZZ,31,FALSE)=1,$F$18,0.5))*IF($G$1="裂石",$AJ4,$AH4)+IF($G$1="裂石",$AK4*1.5,0))*(1+$AY4)*(1+$AZ4)+(($BA4+($BB4-$BA4)*IF(VLOOKUP($Q4,武学奇术!$A:$ZZ,31,FALSE)=1,$F$18,0.5))*IF($G$1="牵丝",$AJ4,$AH4)+IF($G$1="牵丝",$AK4*1.5,0))*(1+$BC4)*(1+$BD4)+(($BE4+($BF4-$BE4)*IF(VLOOKUP($Q4,武学奇术!$A:$ZZ,31,FALSE)=1,$F$18,0.5))*IF($G$1="破竹",$AJ4,$AH4)+IF($G$1="破竹",$AK4*1.5,0))*(1+$BG4)*(1+$BH4))*(1+$AL4)*$P4*(1+IF(VLOOKUP($Q4,武学奇术!$A:$ZZ,30,FALSE)="蓄力技",$B$21,0))*(1+$BQ4)</f>
        <v>14059.022435828</v>
      </c>
      <c r="O4" s="39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12119.5016878578</v>
      </c>
      <c r="P4" s="40">
        <v>1</v>
      </c>
      <c r="Q4" s="41" t="s">
        <v>70</v>
      </c>
      <c r="R4" s="41" t="s">
        <v>85</v>
      </c>
      <c r="S4" s="41" t="s">
        <v>72</v>
      </c>
      <c r="T4" s="41" t="s">
        <v>72</v>
      </c>
      <c r="U4" s="41" t="s">
        <v>73</v>
      </c>
      <c r="V4" s="41" t="s">
        <v>72</v>
      </c>
      <c r="W4" s="41" t="s">
        <v>72</v>
      </c>
      <c r="X4" s="41" t="s">
        <v>86</v>
      </c>
      <c r="Y4" s="41" t="s">
        <v>81</v>
      </c>
      <c r="Z4" s="41" t="s">
        <v>72</v>
      </c>
      <c r="AA4" s="41" t="s">
        <v>72</v>
      </c>
      <c r="AB4" s="41" t="s">
        <v>72</v>
      </c>
      <c r="AC4" s="41" t="s">
        <v>72</v>
      </c>
      <c r="AD4" s="41" t="s">
        <v>72</v>
      </c>
      <c r="AE4" s="41" t="s">
        <v>75</v>
      </c>
      <c r="AF4" s="41" t="s">
        <v>76</v>
      </c>
      <c r="AG4" t="str">
        <f>VLOOKUP($Q4,武学奇术!$A:$ZZ,25,FALSE)</f>
        <v>群体奇术</v>
      </c>
      <c r="AH4" s="27">
        <f>VLOOKUP($Q4,武学奇术!$A:$ZZ,26,FALSE)</f>
        <v>1.4904</v>
      </c>
      <c r="AI4" s="28">
        <f>VLOOKUP($Q4,武学奇术!$A:$ZZ,27,FALSE)*(1+IF(OR($AG4=$F$4,$AG4=$F$5),$B$22,0))</f>
        <v>368</v>
      </c>
      <c r="AJ4" s="27">
        <f>VLOOKUP($Q4,武学奇术!$A:$ZZ,28,FALSE)</f>
        <v>2.2353</v>
      </c>
      <c r="AK4" s="28">
        <f>VLOOKUP($Q4,武学奇术!$A:$ZZ,29,FALSE)*(1+IF(OR($AG4=$F$4,$AG4=$F$5),$B$22,0))</f>
        <v>0</v>
      </c>
      <c r="AL4" s="27" cm="1">
        <f t="array" ref="AL4">$G$3+IFERROR(VLOOKUP($AG4,$F$4:$G$7,2,FALSE),0)+VLOOKUP($Q4,武学奇术!$A:$ZZ,2,FALSE)+SUM(_xlfn.XLOOKUP($R4:$AF4,增益!$A:$A,增益!$B:$B,0))</f>
        <v>0.1537</v>
      </c>
      <c r="AM4" s="27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3742.006</v>
      </c>
      <c r="AO4" cm="1">
        <f t="array" ref="AO4">$E$10*(1+$AM4)+VLOOKUP($Q4,武学奇术!$A:$ZZ,4,FALSE)+SUM(_xlfn.XLOOKUP($R4:$AF4,增益!$A:$A,增益!$D:$D,0))-$I$2</f>
        <v>3742.006</v>
      </c>
      <c r="AP4" s="33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0.197</v>
      </c>
      <c r="AQ4" s="33" cm="1">
        <f t="array" ref="AQ4">$G$10+VLOOKUP($Q4,武学奇术!$A:$ZZ,7,FALSE)+SUM(_xlfn.XLOOKUP(R4:AF4,增益!$A:$A,增益!$G:$G,0))</f>
        <v>0.09</v>
      </c>
      <c r="AR4" s="27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3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3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3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3" cm="1">
        <f t="array" ref="AZ4">$G$12+VLOOKUP($Q4,武学奇术!$A:$ZZ,12,FALSE)+SUM(_xlfn.XLOOKUP(R4:AF4,增益!$A:$A,增益!$L:$L,0))</f>
        <v>0</v>
      </c>
      <c r="BA4">
        <f t="shared" si="5"/>
        <v>0</v>
      </c>
      <c r="BB4">
        <f t="shared" si="6"/>
        <v>0</v>
      </c>
      <c r="BC4" s="33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-0.14</v>
      </c>
      <c r="BD4" s="33" cm="1">
        <f t="array" ref="BD4">$G$13+VLOOKUP($Q4,武学奇术!$A:$ZZ,14,FALSE)+SUM(_xlfn.XLOOKUP(R4:AF4,增益!$A:$A,增益!$N:$N,0))</f>
        <v>0</v>
      </c>
      <c r="BE4">
        <f t="shared" si="7"/>
        <v>570.28</v>
      </c>
      <c r="BF4">
        <f t="shared" si="8"/>
        <v>1582.156</v>
      </c>
      <c r="BG4" s="33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0.08</v>
      </c>
      <c r="BH4" s="33" cm="1">
        <f t="array" ref="BH4">$G$14+VLOOKUP($Q4,武学奇术!$A:$ZZ,16,FALSE)+SUM(_xlfn.XLOOKUP(R4:AF4,增益!$A:$A,增益!$P:$P,0))</f>
        <v>0.24</v>
      </c>
      <c r="BI4" s="27">
        <f>MIN(IF(VLOOKUP($Q4,武学奇术!$A:$ZZ,23,FALSE)=1,100%,$B$8),100%)</f>
        <v>1</v>
      </c>
      <c r="BJ4" s="27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+MIN(IF(VLOOKUP($Q4,武学奇术!$A:$ZZ,32,FALSE)=1,IF(VLOOKUP($Q4,武学奇术!$A:$ZZ,24,FALSE)=1,100%,MIN(40%,$B$10+VLOOKUP($Q4,武学奇术!$A:$ZZ,19,FALSE)+SUM(_xlfn.XLOOKUP(R4:AF4,增益!$A:$A,增益!$S:$S,0)))+$B$12+SUM(_xlfn.XLOOKUP(R4:AF4,增益!$A:$A,增益!$V:$V,0))),0),12%)</f>
        <v>0.918</v>
      </c>
      <c r="BK4" s="27" cm="1">
        <f t="array" ref="BK4">1+$B$13+VLOOKUP($Q4,武学奇术!$A:$ZZ,18,FALSE)+SUM(_xlfn.XLOOKUP(R4:AF4,增益!$A:$A,增益!$R:$R,0))</f>
        <v>1.57</v>
      </c>
      <c r="BL4" s="27" cm="1">
        <f t="array" ref="BL4">MAX(IF(VLOOKUP($Q4,武学奇术!$A:$ZZ,24,FALSE)=1,100%,MIN(40%,$B$10+VLOOKUP($Q4,武学奇术!$A:$ZZ,19,FALSE)+SUM(_xlfn.XLOOKUP(R4:AF4,增益!$A:$A,增益!$S:$S,0)))+$B$12+SUM(_xlfn.XLOOKUP(R4:AF4,增益!$A:$A,增益!$V:$V,0)))*IF(VLOOKUP($Q4,武学奇术!$A:$ZZ,23,FALSE)=1,0,1)-IF(VLOOKUP($Q4,武学奇术!$A:$ZZ,32,FALSE)=1,12%,0),0)</f>
        <v>0.0895</v>
      </c>
      <c r="BM4" s="27" cm="1">
        <f t="array" ref="BM4">1+$B$14+VLOOKUP($Q4,武学奇术!$A:$ZZ,20,FALSE)+SUM(_xlfn.XLOOKUP(R4:AF4,增益!$A:$A,增益!$T:$T,0))</f>
        <v>1.35</v>
      </c>
      <c r="BN4" s="27">
        <f t="shared" si="9"/>
        <v>0.9105</v>
      </c>
      <c r="BO4" s="27">
        <f t="shared" si="10"/>
        <v>0</v>
      </c>
      <c r="BP4" s="27">
        <f>IF(VLOOKUP($Q4,武学奇术!$A:$ZZ,22,FALSE)=1,0,(1-$BI4))*(1-$BL4)</f>
        <v>0</v>
      </c>
      <c r="BQ4" s="27" cm="1">
        <f t="array" ref="BQ4">SUM(_xlfn.XLOOKUP(R4:AF4,增益!$A:$A,增益!$W:$W,0))+$I$5</f>
        <v>0.11</v>
      </c>
    </row>
    <row r="5" spans="1:69">
      <c r="A5" s="55" t="s">
        <v>87</v>
      </c>
      <c r="B5" s="56"/>
      <c r="C5" s="56"/>
      <c r="D5" s="56"/>
      <c r="E5" s="57"/>
      <c r="F5" s="46" t="s">
        <v>88</v>
      </c>
      <c r="G5" s="50">
        <f>B15+B18</f>
        <v>0.0852</v>
      </c>
      <c r="H5" t="s">
        <v>89</v>
      </c>
      <c r="I5" s="29">
        <v>0.06</v>
      </c>
      <c r="K5" s="39">
        <f t="shared" si="0"/>
        <v>22480.7850681301</v>
      </c>
      <c r="L5" s="39">
        <f>((($AN5+($AO5-$AN5)*IF(VLOOKUP($Q5,武学奇术!$A:$ZZ,31,FALSE)=1,$F$18,0.5))*$AH5+$AI5)*(1+$AP5)*(1+$AQ5)+(($AS5+($AT5-$AS5)*IF(VLOOKUP($Q5,武学奇术!$A:$ZZ,31,FALSE)=1,$F$18,0.5))*IF($G$1="鸣金",$AJ5,$AH5)+IF($G$1="鸣金",$AK5*1.5,0))*(1+$AU5)*(1+$AV5)+(($AW5+($AX5-$AW5)*IF(VLOOKUP($Q5,武学奇术!$A:$ZZ,31,FALSE)=1,$F$18,0.5))*IF($G$1="裂石",$AJ5,$AH5)+IF($G$1="裂石",$AK5*1.5,0))*(1+$AY5)*(1+$AZ5)+(($BA5+($BB5-$BA5)*IF(VLOOKUP($Q5,武学奇术!$A:$ZZ,31,FALSE)=1,$F$18,0.5))*IF($G$1="牵丝",$AJ5,$AH5)+IF($G$1="牵丝",$AK5*1.5,0))*(1+$BC5)*(1+$BD5)+(($BE5+($BF5-$BE5)*IF(VLOOKUP($Q5,武学奇术!$A:$ZZ,31,FALSE)=1,$F$18,0.5))*IF($G$1="破竹",$AJ5,$AH5)+IF($G$1="破竹",$AK5*1.5,0))*(1+$BG5)*(1+$BH5))*(1+$AL5)*$BK5*$P5*(1+IF(VLOOKUP($Q5,武学奇术!$A:$ZZ,30,FALSE)="蓄力技",$B$21,0))*(1+$BQ5)</f>
        <v>22538.0477748132</v>
      </c>
      <c r="M5" s="39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21898.2409962308</v>
      </c>
      <c r="N5" s="39">
        <f>((($AN5+($AO5-$AN5)*IF(VLOOKUP($Q5,武学奇术!$A:$ZZ,31,FALSE)=1,$F$18,0.5))*$AH5+$AI5)*(1+$AP5)*(1+$AQ5)+(($AS5+($AT5-$AS5)*IF(VLOOKUP($Q5,武学奇术!$A:$ZZ,31,FALSE)=1,$F$18,0.5))*IF($G$1="鸣金",$AJ5,$AH5)+IF($G$1="鸣金",$AK5*1.5,0))*(1+$AU5)*(1+$AV5)+(($AW5+($AX5-$AW5)*IF(VLOOKUP($Q5,武学奇术!$A:$ZZ,31,FALSE)=1,$F$18,0.5))*IF($G$1="裂石",$AJ5,$AH5)+IF($G$1="裂石",$AK5*1.5,0))*(1+$AY5)*(1+$AZ5)+(($BA5+($BB5-$BA5)*IF(VLOOKUP($Q5,武学奇术!$A:$ZZ,31,FALSE)=1,$F$18,0.5))*IF($G$1="牵丝",$AJ5,$AH5)+IF($G$1="牵丝",$AK5*1.5,0))*(1+$BC5)*(1+$BD5)+(($BE5+($BF5-$BE5)*IF(VLOOKUP($Q5,武学奇术!$A:$ZZ,31,FALSE)=1,$F$18,0.5))*IF($G$1="破竹",$AJ5,$AH5)+IF($G$1="破竹",$AK5*1.5,0))*(1+$BG5)*(1+$BH5))*(1+$AL5)*$P5*(1+IF(VLOOKUP($Q5,武学奇术!$A:$ZZ,30,FALSE)="蓄力技",$B$21,0))*(1+$BQ5)</f>
        <v>14264.5871992489</v>
      </c>
      <c r="O5" s="39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12308.2551420304</v>
      </c>
      <c r="P5" s="40">
        <v>1</v>
      </c>
      <c r="Q5" s="41" t="s">
        <v>70</v>
      </c>
      <c r="R5" s="41" t="s">
        <v>90</v>
      </c>
      <c r="S5" s="41" t="s">
        <v>72</v>
      </c>
      <c r="T5" s="41" t="s">
        <v>72</v>
      </c>
      <c r="U5" s="41" t="s">
        <v>73</v>
      </c>
      <c r="V5" s="41" t="s">
        <v>72</v>
      </c>
      <c r="W5" s="41" t="s">
        <v>72</v>
      </c>
      <c r="X5" s="41" t="s">
        <v>91</v>
      </c>
      <c r="Y5" s="41" t="s">
        <v>81</v>
      </c>
      <c r="Z5" s="41" t="s">
        <v>72</v>
      </c>
      <c r="AA5" s="41" t="s">
        <v>72</v>
      </c>
      <c r="AB5" s="41" t="s">
        <v>72</v>
      </c>
      <c r="AC5" s="41" t="s">
        <v>72</v>
      </c>
      <c r="AD5" s="41" t="s">
        <v>72</v>
      </c>
      <c r="AE5" s="41" t="s">
        <v>75</v>
      </c>
      <c r="AF5" s="41" t="s">
        <v>76</v>
      </c>
      <c r="AG5" t="str">
        <f>VLOOKUP($Q5,武学奇术!$A:$ZZ,25,FALSE)</f>
        <v>群体奇术</v>
      </c>
      <c r="AH5" s="27">
        <f>VLOOKUP($Q5,武学奇术!$A:$ZZ,26,FALSE)</f>
        <v>1.4904</v>
      </c>
      <c r="AI5" s="28">
        <f>VLOOKUP($Q5,武学奇术!$A:$ZZ,27,FALSE)*(1+IF(OR($AG5=$F$4,$AG5=$F$5),$B$22,0))</f>
        <v>368</v>
      </c>
      <c r="AJ5" s="27">
        <f>VLOOKUP($Q5,武学奇术!$A:$ZZ,28,FALSE)</f>
        <v>2.2353</v>
      </c>
      <c r="AK5" s="28">
        <f>VLOOKUP($Q5,武学奇术!$A:$ZZ,29,FALSE)*(1+IF(OR($AG5=$F$4,$AG5=$F$5),$B$22,0))</f>
        <v>0</v>
      </c>
      <c r="AL5" s="27" cm="1">
        <f t="array" ref="AL5">$G$3+IFERROR(VLOOKUP($AG5,$F$4:$G$7,2,FALSE),0)+VLOOKUP($Q5,武学奇术!$A:$ZZ,2,FALSE)+SUM(_xlfn.XLOOKUP($R5:$AF5,增益!$A:$A,增益!$B:$B,0))</f>
        <v>0.1637</v>
      </c>
      <c r="AM5" s="27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3742.006</v>
      </c>
      <c r="AO5" cm="1">
        <f t="array" ref="AO5">$E$10*(1+$AM5)+VLOOKUP($Q5,武学奇术!$A:$ZZ,4,FALSE)+SUM(_xlfn.XLOOKUP($R5:$AF5,增益!$A:$A,增益!$D:$D,0))-$I$2</f>
        <v>3742.006</v>
      </c>
      <c r="AP5" s="33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0.207</v>
      </c>
      <c r="AQ5" s="33" cm="1">
        <f t="array" ref="AQ5">$G$10+VLOOKUP($Q5,武学奇术!$A:$ZZ,7,FALSE)+SUM(_xlfn.XLOOKUP(R5:AF5,增益!$A:$A,增益!$G:$G,0))</f>
        <v>0.09</v>
      </c>
      <c r="AR5" s="27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3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3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3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3" cm="1">
        <f t="array" ref="AZ5">$G$12+VLOOKUP($Q5,武学奇术!$A:$ZZ,12,FALSE)+SUM(_xlfn.XLOOKUP(R5:AF5,增益!$A:$A,增益!$L:$L,0))</f>
        <v>0</v>
      </c>
      <c r="BA5">
        <f t="shared" si="5"/>
        <v>0</v>
      </c>
      <c r="BB5">
        <f t="shared" si="6"/>
        <v>0</v>
      </c>
      <c r="BC5" s="33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-0.14</v>
      </c>
      <c r="BD5" s="33" cm="1">
        <f t="array" ref="BD5">$G$13+VLOOKUP($Q5,武学奇术!$A:$ZZ,14,FALSE)+SUM(_xlfn.XLOOKUP(R5:AF5,增益!$A:$A,增益!$N:$N,0))</f>
        <v>0</v>
      </c>
      <c r="BE5">
        <f t="shared" si="7"/>
        <v>570.28</v>
      </c>
      <c r="BF5">
        <f t="shared" si="8"/>
        <v>1582.156</v>
      </c>
      <c r="BG5" s="33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0.08</v>
      </c>
      <c r="BH5" s="33" cm="1">
        <f t="array" ref="BH5">$G$14+VLOOKUP($Q5,武学奇术!$A:$ZZ,16,FALSE)+SUM(_xlfn.XLOOKUP(R5:AF5,增益!$A:$A,增益!$P:$P,0))</f>
        <v>0.24</v>
      </c>
      <c r="BI5" s="27">
        <f>MIN(IF(VLOOKUP($Q5,武学奇术!$A:$ZZ,23,FALSE)=1,100%,$B$8),100%)</f>
        <v>1</v>
      </c>
      <c r="BJ5" s="27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+MIN(IF(VLOOKUP($Q5,武学奇术!$A:$ZZ,32,FALSE)=1,IF(VLOOKUP($Q5,武学奇术!$A:$ZZ,24,FALSE)=1,100%,MIN(40%,$B$10+VLOOKUP($Q5,武学奇术!$A:$ZZ,19,FALSE)+SUM(_xlfn.XLOOKUP(R5:AF5,增益!$A:$A,增益!$S:$S,0)))+$B$12+SUM(_xlfn.XLOOKUP(R5:AF5,增益!$A:$A,增益!$V:$V,0))),0),12%)</f>
        <v>0.918</v>
      </c>
      <c r="BK5" s="27" cm="1">
        <f t="array" ref="BK5">1+$B$13+VLOOKUP($Q5,武学奇术!$A:$ZZ,18,FALSE)+SUM(_xlfn.XLOOKUP(R5:AF5,增益!$A:$A,增益!$R:$R,0))</f>
        <v>1.58</v>
      </c>
      <c r="BL5" s="27" cm="1">
        <f t="array" ref="BL5">MAX(IF(VLOOKUP($Q5,武学奇术!$A:$ZZ,24,FALSE)=1,100%,MIN(40%,$B$10+VLOOKUP($Q5,武学奇术!$A:$ZZ,19,FALSE)+SUM(_xlfn.XLOOKUP(R5:AF5,增益!$A:$A,增益!$S:$S,0)))+$B$12+SUM(_xlfn.XLOOKUP(R5:AF5,增益!$A:$A,增益!$V:$V,0)))*IF(VLOOKUP($Q5,武学奇术!$A:$ZZ,23,FALSE)=1,0,1)-IF(VLOOKUP($Q5,武学奇术!$A:$ZZ,32,FALSE)=1,12%,0),0)</f>
        <v>0.0895</v>
      </c>
      <c r="BM5" s="27" cm="1">
        <f t="array" ref="BM5">1+$B$14+VLOOKUP($Q5,武学奇术!$A:$ZZ,20,FALSE)+SUM(_xlfn.XLOOKUP(R5:AF5,增益!$A:$A,增益!$T:$T,0))</f>
        <v>1.35</v>
      </c>
      <c r="BN5" s="27">
        <f t="shared" si="9"/>
        <v>0.9105</v>
      </c>
      <c r="BO5" s="27">
        <f t="shared" si="10"/>
        <v>0</v>
      </c>
      <c r="BP5" s="27">
        <f>IF(VLOOKUP($Q5,武学奇术!$A:$ZZ,22,FALSE)=1,0,(1-$BI5))*(1-$BL5)</f>
        <v>0</v>
      </c>
      <c r="BQ5" s="27" cm="1">
        <f t="array" ref="BQ5">SUM(_xlfn.XLOOKUP(R5:AF5,增益!$A:$A,增益!$W:$W,0))+$I$5</f>
        <v>0.11</v>
      </c>
    </row>
    <row r="6" spans="1:69">
      <c r="A6" s="58" t="s">
        <v>5</v>
      </c>
      <c r="B6" s="59"/>
      <c r="C6" s="59"/>
      <c r="D6" s="59"/>
      <c r="E6" s="60"/>
      <c r="F6" s="46" t="s">
        <v>92</v>
      </c>
      <c r="G6" s="50">
        <f>B19</f>
        <v>0</v>
      </c>
      <c r="K6" s="39">
        <f t="shared" si="0"/>
        <v>22805.6204318265</v>
      </c>
      <c r="L6" s="39">
        <f>((($AN6+($AO6-$AN6)*IF(VLOOKUP($Q6,武学奇术!$A:$ZZ,31,FALSE)=1,$F$18,0.5))*$AH6+$AI6)*(1+$AP6)*(1+$AQ6)+(($AS6+($AT6-$AS6)*IF(VLOOKUP($Q6,武学奇术!$A:$ZZ,31,FALSE)=1,$F$18,0.5))*IF($G$1="鸣金",$AJ6,$AH6)+IF($G$1="鸣金",$AK6*1.5,0))*(1+$AU6)*(1+$AV6)+(($AW6+($AX6-$AW6)*IF(VLOOKUP($Q6,武学奇术!$A:$ZZ,31,FALSE)=1,$F$18,0.5))*IF($G$1="裂石",$AJ6,$AH6)+IF($G$1="裂石",$AK6*1.5,0))*(1+$AY6)*(1+$AZ6)+(($BA6+($BB6-$BA6)*IF(VLOOKUP($Q6,武学奇术!$A:$ZZ,31,FALSE)=1,$F$18,0.5))*IF($G$1="牵丝",$AJ6,$AH6)+IF($G$1="牵丝",$AK6*1.5,0))*(1+$BC6)*(1+$BD6)+(($BE6+($BF6-$BE6)*IF(VLOOKUP($Q6,武学奇术!$A:$ZZ,31,FALSE)=1,$F$18,0.5))*IF($G$1="破竹",$AJ6,$AH6)+IF($G$1="破竹",$AK6*1.5,0))*(1+$BG6)*(1+$BH6))*(1+$AL6)*$BK6*$P6*(1+IF(VLOOKUP($Q6,武学奇术!$A:$ZZ,30,FALSE)="蓄力技",$B$21,0))*(1+$BQ6)</f>
        <v>22865.1130761379</v>
      </c>
      <c r="M6" s="39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22200.3907933288</v>
      </c>
      <c r="N6" s="39">
        <f>((($AN6+($AO6-$AN6)*IF(VLOOKUP($Q6,武学奇术!$A:$ZZ,31,FALSE)=1,$F$18,0.5))*$AH6+$AI6)*(1+$AP6)*(1+$AQ6)+(($AS6+($AT6-$AS6)*IF(VLOOKUP($Q6,武学奇术!$A:$ZZ,31,FALSE)=1,$F$18,0.5))*IF($G$1="鸣金",$AJ6,$AH6)+IF($G$1="鸣金",$AK6*1.5,0))*(1+$AU6)*(1+$AV6)+(($AW6+($AX6-$AW6)*IF(VLOOKUP($Q6,武学奇术!$A:$ZZ,31,FALSE)=1,$F$18,0.5))*IF($G$1="裂石",$AJ6,$AH6)+IF($G$1="裂石",$AK6*1.5,0))*(1+$AY6)*(1+$AZ6)+(($BA6+($BB6-$BA6)*IF(VLOOKUP($Q6,武学奇术!$A:$ZZ,31,FALSE)=1,$F$18,0.5))*IF($G$1="牵丝",$AJ6,$AH6)+IF($G$1="牵丝",$AK6*1.5,0))*(1+$BC6)*(1+$BD6)+(($BE6+($BF6-$BE6)*IF(VLOOKUP($Q6,武学奇术!$A:$ZZ,31,FALSE)=1,$F$18,0.5))*IF($G$1="破竹",$AJ6,$AH6)+IF($G$1="破竹",$AK6*1.5,0))*(1+$BG6)*(1+$BH6))*(1+$AL6)*$P6*(1+IF(VLOOKUP($Q6,武学奇术!$A:$ZZ,30,FALSE)="蓄力技",$B$21,0))*(1+$BQ6)</f>
        <v>14471.5905545176</v>
      </c>
      <c r="O6" s="39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12498.447188051</v>
      </c>
      <c r="P6" s="40">
        <v>1</v>
      </c>
      <c r="Q6" s="41" t="s">
        <v>70</v>
      </c>
      <c r="R6" s="41" t="s">
        <v>93</v>
      </c>
      <c r="S6" s="41" t="s">
        <v>72</v>
      </c>
      <c r="T6" s="41" t="s">
        <v>72</v>
      </c>
      <c r="U6" s="41" t="s">
        <v>73</v>
      </c>
      <c r="V6" s="41" t="s">
        <v>72</v>
      </c>
      <c r="W6" s="41" t="s">
        <v>72</v>
      </c>
      <c r="X6" s="41" t="s">
        <v>91</v>
      </c>
      <c r="Y6" s="41" t="s">
        <v>81</v>
      </c>
      <c r="Z6" s="41" t="s">
        <v>72</v>
      </c>
      <c r="AA6" s="41" t="s">
        <v>72</v>
      </c>
      <c r="AB6" s="41" t="s">
        <v>72</v>
      </c>
      <c r="AC6" s="41" t="s">
        <v>72</v>
      </c>
      <c r="AD6" s="41" t="s">
        <v>72</v>
      </c>
      <c r="AE6" s="41" t="s">
        <v>75</v>
      </c>
      <c r="AF6" s="41" t="s">
        <v>76</v>
      </c>
      <c r="AG6" t="str">
        <f>VLOOKUP($Q6,武学奇术!$A:$ZZ,25,FALSE)</f>
        <v>群体奇术</v>
      </c>
      <c r="AH6" s="27">
        <f>VLOOKUP($Q6,武学奇术!$A:$ZZ,26,FALSE)</f>
        <v>1.4904</v>
      </c>
      <c r="AI6" s="28">
        <f>VLOOKUP($Q6,武学奇术!$A:$ZZ,27,FALSE)*(1+IF(OR($AG6=$F$4,$AG6=$F$5),$B$22,0))</f>
        <v>368</v>
      </c>
      <c r="AJ6" s="27">
        <f>VLOOKUP($Q6,武学奇术!$A:$ZZ,28,FALSE)</f>
        <v>2.2353</v>
      </c>
      <c r="AK6" s="28">
        <f>VLOOKUP($Q6,武学奇术!$A:$ZZ,29,FALSE)*(1+IF(OR($AG6=$F$4,$AG6=$F$5),$B$22,0))</f>
        <v>0</v>
      </c>
      <c r="AL6" s="27" cm="1">
        <f t="array" ref="AL6">$G$3+IFERROR(VLOOKUP($AG6,$F$4:$G$7,2,FALSE),0)+VLOOKUP($Q6,武学奇术!$A:$ZZ,2,FALSE)+SUM(_xlfn.XLOOKUP($R6:$AF6,增益!$A:$A,增益!$B:$B,0))</f>
        <v>0.1737</v>
      </c>
      <c r="AM6" s="27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3742.006</v>
      </c>
      <c r="AO6" cm="1">
        <f t="array" ref="AO6">$E$10*(1+$AM6)+VLOOKUP($Q6,武学奇术!$A:$ZZ,4,FALSE)+SUM(_xlfn.XLOOKUP($R6:$AF6,增益!$A:$A,增益!$D:$D,0))-$I$2</f>
        <v>3742.006</v>
      </c>
      <c r="AP6" s="33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0.217</v>
      </c>
      <c r="AQ6" s="33" cm="1">
        <f t="array" ref="AQ6">$G$10+VLOOKUP($Q6,武学奇术!$A:$ZZ,7,FALSE)+SUM(_xlfn.XLOOKUP(R6:AF6,增益!$A:$A,增益!$G:$G,0))</f>
        <v>0.09</v>
      </c>
      <c r="AR6" s="27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3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3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3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3" cm="1">
        <f t="array" ref="AZ6">$G$12+VLOOKUP($Q6,武学奇术!$A:$ZZ,12,FALSE)+SUM(_xlfn.XLOOKUP(R6:AF6,增益!$A:$A,增益!$L:$L,0))</f>
        <v>0</v>
      </c>
      <c r="BA6">
        <f t="shared" si="5"/>
        <v>0</v>
      </c>
      <c r="BB6">
        <f t="shared" si="6"/>
        <v>0</v>
      </c>
      <c r="BC6" s="33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-0.14</v>
      </c>
      <c r="BD6" s="33" cm="1">
        <f t="array" ref="BD6">$G$13+VLOOKUP($Q6,武学奇术!$A:$ZZ,14,FALSE)+SUM(_xlfn.XLOOKUP(R6:AF6,增益!$A:$A,增益!$N:$N,0))</f>
        <v>0</v>
      </c>
      <c r="BE6">
        <f t="shared" si="7"/>
        <v>570.28</v>
      </c>
      <c r="BF6">
        <f t="shared" si="8"/>
        <v>1582.156</v>
      </c>
      <c r="BG6" s="33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0.08</v>
      </c>
      <c r="BH6" s="33" cm="1">
        <f t="array" ref="BH6">$G$14+VLOOKUP($Q6,武学奇术!$A:$ZZ,16,FALSE)+SUM(_xlfn.XLOOKUP(R6:AF6,增益!$A:$A,增益!$P:$P,0))</f>
        <v>0.24</v>
      </c>
      <c r="BI6" s="27">
        <f>MIN(IF(VLOOKUP($Q6,武学奇术!$A:$ZZ,23,FALSE)=1,100%,$B$8),100%)</f>
        <v>1</v>
      </c>
      <c r="BJ6" s="27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+MIN(IF(VLOOKUP($Q6,武学奇术!$A:$ZZ,32,FALSE)=1,IF(VLOOKUP($Q6,武学奇术!$A:$ZZ,24,FALSE)=1,100%,MIN(40%,$B$10+VLOOKUP($Q6,武学奇术!$A:$ZZ,19,FALSE)+SUM(_xlfn.XLOOKUP(R6:AF6,增益!$A:$A,增益!$S:$S,0)))+$B$12+SUM(_xlfn.XLOOKUP(R6:AF6,增益!$A:$A,增益!$V:$V,0))),0),12%)</f>
        <v>0.918</v>
      </c>
      <c r="BK6" s="27" cm="1">
        <f t="array" ref="BK6">1+$B$13+VLOOKUP($Q6,武学奇术!$A:$ZZ,18,FALSE)+SUM(_xlfn.XLOOKUP(R6:AF6,增益!$A:$A,增益!$R:$R,0))</f>
        <v>1.58</v>
      </c>
      <c r="BL6" s="27" cm="1">
        <f t="array" ref="BL6">MAX(IF(VLOOKUP($Q6,武学奇术!$A:$ZZ,24,FALSE)=1,100%,MIN(40%,$B$10+VLOOKUP($Q6,武学奇术!$A:$ZZ,19,FALSE)+SUM(_xlfn.XLOOKUP(R6:AF6,增益!$A:$A,增益!$S:$S,0)))+$B$12+SUM(_xlfn.XLOOKUP(R6:AF6,增益!$A:$A,增益!$V:$V,0)))*IF(VLOOKUP($Q6,武学奇术!$A:$ZZ,23,FALSE)=1,0,1)-IF(VLOOKUP($Q6,武学奇术!$A:$ZZ,32,FALSE)=1,12%,0),0)</f>
        <v>0.0895</v>
      </c>
      <c r="BM6" s="27" cm="1">
        <f t="array" ref="BM6">1+$B$14+VLOOKUP($Q6,武学奇术!$A:$ZZ,20,FALSE)+SUM(_xlfn.XLOOKUP(R6:AF6,增益!$A:$A,增益!$T:$T,0))</f>
        <v>1.35</v>
      </c>
      <c r="BN6" s="27">
        <f t="shared" si="9"/>
        <v>0.9105</v>
      </c>
      <c r="BO6" s="27">
        <f t="shared" si="10"/>
        <v>0</v>
      </c>
      <c r="BP6" s="27">
        <f>IF(VLOOKUP($Q6,武学奇术!$A:$ZZ,22,FALSE)=1,0,(1-$BI6))*(1-$BL6)</f>
        <v>0</v>
      </c>
      <c r="BQ6" s="27" cm="1">
        <f t="array" ref="BQ6">SUM(_xlfn.XLOOKUP(R6:AF6,增益!$A:$A,增益!$W:$W,0))+$I$5</f>
        <v>0.11</v>
      </c>
    </row>
    <row r="7" ht="14.25" spans="1:69">
      <c r="A7" s="42" t="s">
        <v>94</v>
      </c>
      <c r="B7" s="61"/>
      <c r="C7" s="61"/>
      <c r="D7" s="62"/>
      <c r="E7" s="63"/>
      <c r="F7" s="54" t="s">
        <v>95</v>
      </c>
      <c r="G7" s="64">
        <f>B20</f>
        <v>0</v>
      </c>
      <c r="K7" s="39">
        <f t="shared" si="0"/>
        <v>7718.7573994755</v>
      </c>
      <c r="L7" s="39">
        <f>((($AN7+($AO7-$AN7)*IF(VLOOKUP($Q7,武学奇术!$A:$ZZ,31,FALSE)=1,$F$18,0.5))*$AH7+$AI7)*(1+$AP7)*(1+$AQ7)+(($AS7+($AT7-$AS7)*IF(VLOOKUP($Q7,武学奇术!$A:$ZZ,31,FALSE)=1,$F$18,0.5))*IF($G$1="鸣金",$AJ7,$AH7)+IF($G$1="鸣金",$AK7*1.5,0))*(1+$AU7)*(1+$AV7)+(($AW7+($AX7-$AW7)*IF(VLOOKUP($Q7,武学奇术!$A:$ZZ,31,FALSE)=1,$F$18,0.5))*IF($G$1="裂石",$AJ7,$AH7)+IF($G$1="裂石",$AK7*1.5,0))*(1+$AY7)*(1+$AZ7)+(($BA7+($BB7-$BA7)*IF(VLOOKUP($Q7,武学奇术!$A:$ZZ,31,FALSE)=1,$F$18,0.5))*IF($G$1="牵丝",$AJ7,$AH7)+IF($G$1="牵丝",$AK7*1.5,0))*(1+$BC7)*(1+$BD7)+(($BE7+($BF7-$BE7)*IF(VLOOKUP($Q7,武学奇术!$A:$ZZ,31,FALSE)=1,$F$18,0.5))*IF($G$1="破竹",$AJ7,$AH7)+IF($G$1="破竹",$AK7*1.5,0))*(1+$BG7)*(1+$BH7))*(1+$AL7)*$BK7*$P7*(1+IF(VLOOKUP($Q7,武学奇术!$A:$ZZ,30,FALSE)="蓄力技",$B$21,0))*(1+$BQ7)</f>
        <v>7729.45285848388</v>
      </c>
      <c r="M7" s="39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7609.95052319479</v>
      </c>
      <c r="N7" s="39">
        <f>((($AN7+($AO7-$AN7)*IF(VLOOKUP($Q7,武学奇术!$A:$ZZ,31,FALSE)=1,$F$18,0.5))*$AH7+$AI7)*(1+$AP7)*(1+$AQ7)+(($AS7+($AT7-$AS7)*IF(VLOOKUP($Q7,武学奇术!$A:$ZZ,31,FALSE)=1,$F$18,0.5))*IF($G$1="鸣金",$AJ7,$AH7)+IF($G$1="鸣金",$AK7*1.5,0))*(1+$AU7)*(1+$AV7)+(($AW7+($AX7-$AW7)*IF(VLOOKUP($Q7,武学奇术!$A:$ZZ,31,FALSE)=1,$F$18,0.5))*IF($G$1="裂石",$AJ7,$AH7)+IF($G$1="裂石",$AK7*1.5,0))*(1+$AY7)*(1+$AZ7)+(($BA7+($BB7-$BA7)*IF(VLOOKUP($Q7,武学奇术!$A:$ZZ,31,FALSE)=1,$F$18,0.5))*IF($G$1="牵丝",$AJ7,$AH7)+IF($G$1="牵丝",$AK7*1.5,0))*(1+$BC7)*(1+$BD7)+(($BE7+($BF7-$BE7)*IF(VLOOKUP($Q7,武学奇术!$A:$ZZ,31,FALSE)=1,$F$18,0.5))*IF($G$1="破竹",$AJ7,$AH7)+IF($G$1="破竹",$AK7*1.5,0))*(1+$BG7)*(1+$BH7))*(1+$AL7)*$P7*(1+IF(VLOOKUP($Q7,武学奇术!$A:$ZZ,30,FALSE)="蓄力技",$B$21,0))*(1+$BQ7)</f>
        <v>5019.12523278174</v>
      </c>
      <c r="O7" s="39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4401.25007801178</v>
      </c>
      <c r="P7" s="40">
        <v>1</v>
      </c>
      <c r="Q7" s="41" t="s">
        <v>96</v>
      </c>
      <c r="R7" s="41" t="s">
        <v>72</v>
      </c>
      <c r="S7" s="41" t="s">
        <v>72</v>
      </c>
      <c r="T7" s="41" t="s">
        <v>72</v>
      </c>
      <c r="U7" s="41" t="s">
        <v>72</v>
      </c>
      <c r="V7" s="41" t="s">
        <v>72</v>
      </c>
      <c r="W7" s="41" t="s">
        <v>72</v>
      </c>
      <c r="X7" s="41" t="s">
        <v>72</v>
      </c>
      <c r="Y7" s="41" t="s">
        <v>72</v>
      </c>
      <c r="Z7" s="41" t="s">
        <v>72</v>
      </c>
      <c r="AA7" s="41" t="s">
        <v>72</v>
      </c>
      <c r="AB7" s="41" t="s">
        <v>72</v>
      </c>
      <c r="AC7" s="41" t="s">
        <v>72</v>
      </c>
      <c r="AD7" s="41" t="s">
        <v>72</v>
      </c>
      <c r="AE7" s="41" t="s">
        <v>75</v>
      </c>
      <c r="AF7" s="41" t="s">
        <v>76</v>
      </c>
      <c r="AG7" t="str">
        <f>VLOOKUP($Q7,武学奇术!$A:$ZZ,25,FALSE)</f>
        <v>绳镖</v>
      </c>
      <c r="AH7" s="27">
        <f>VLOOKUP($Q7,武学奇术!$A:$ZZ,26,FALSE)</f>
        <v>0.4975</v>
      </c>
      <c r="AI7" s="28">
        <f>VLOOKUP($Q7,武学奇术!$A:$ZZ,27,FALSE)*(1+IF(OR($AG7=$F$4,$AG7=$F$5),$B$22,0))</f>
        <v>191.8</v>
      </c>
      <c r="AJ7" s="27">
        <f>VLOOKUP($Q7,武学奇术!$A:$ZZ,28,FALSE)</f>
        <v>0.7463</v>
      </c>
      <c r="AK7" s="28">
        <f>VLOOKUP($Q7,武学奇术!$A:$ZZ,29,FALSE)*(1+IF(OR($AG7=$F$4,$AG7=$F$5),$B$22,0))</f>
        <v>105</v>
      </c>
      <c r="AL7" s="27" cm="1">
        <f t="array" ref="AL7">$G$3+IFERROR(VLOOKUP($AG7,$F$4:$G$7,2,FALSE),0)+VLOOKUP($Q7,武学奇术!$A:$ZZ,2,FALSE)+SUM(_xlfn.XLOOKUP($R7:$AF7,增益!$A:$A,增益!$B:$B,0))</f>
        <v>0.1889</v>
      </c>
      <c r="AM7" s="27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3742.006</v>
      </c>
      <c r="AO7" cm="1">
        <f t="array" ref="AO7">$E$10*(1+$AM7)+VLOOKUP($Q7,武学奇术!$A:$ZZ,4,FALSE)+SUM(_xlfn.XLOOKUP($R7:$AF7,增益!$A:$A,增益!$D:$D,0))-$I$2</f>
        <v>3742.006</v>
      </c>
      <c r="AP7" s="33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0.167</v>
      </c>
      <c r="AQ7" s="33" cm="1">
        <f t="array" ref="AQ7">$G$10+VLOOKUP($Q7,武学奇术!$A:$ZZ,7,FALSE)+SUM(_xlfn.XLOOKUP(R7:AF7,增益!$A:$A,增益!$G:$G,0))</f>
        <v>0.09</v>
      </c>
      <c r="AR7" s="27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3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3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3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3" cm="1">
        <f t="array" ref="AZ7">$G$12+VLOOKUP($Q7,武学奇术!$A:$ZZ,12,FALSE)+SUM(_xlfn.XLOOKUP(R7:AF7,增益!$A:$A,增益!$L:$L,0))</f>
        <v>0</v>
      </c>
      <c r="BA7">
        <f t="shared" si="5"/>
        <v>0</v>
      </c>
      <c r="BB7">
        <f t="shared" si="6"/>
        <v>0</v>
      </c>
      <c r="BC7" s="33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3" cm="1">
        <f t="array" ref="BD7">$G$13+VLOOKUP($Q7,武学奇术!$A:$ZZ,14,FALSE)+SUM(_xlfn.XLOOKUP(R7:AF7,增益!$A:$A,增益!$N:$N,0))</f>
        <v>0</v>
      </c>
      <c r="BE7">
        <f t="shared" si="7"/>
        <v>570.28</v>
      </c>
      <c r="BF7">
        <f t="shared" si="8"/>
        <v>1582.156</v>
      </c>
      <c r="BG7" s="33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0</v>
      </c>
      <c r="BH7" s="33" cm="1">
        <f t="array" ref="BH7">$G$14+VLOOKUP($Q7,武学奇术!$A:$ZZ,16,FALSE)+SUM(_xlfn.XLOOKUP(R7:AF7,增益!$A:$A,增益!$P:$P,0))</f>
        <v>0.24</v>
      </c>
      <c r="BI7" s="27">
        <f>MIN(IF(VLOOKUP($Q7,武学奇术!$A:$ZZ,23,FALSE)=1,100%,$B$8),100%)</f>
        <v>1</v>
      </c>
      <c r="BJ7" s="27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+MIN(IF(VLOOKUP($Q7,武学奇术!$A:$ZZ,32,FALSE)=1,IF(VLOOKUP($Q7,武学奇术!$A:$ZZ,24,FALSE)=1,100%,MIN(40%,$B$10+VLOOKUP($Q7,武学奇术!$A:$ZZ,19,FALSE)+SUM(_xlfn.XLOOKUP(R7:AF7,增益!$A:$A,增益!$S:$S,0)))+$B$12+SUM(_xlfn.XLOOKUP(R7:AF7,增益!$A:$A,增益!$V:$V,0))),0),12%)</f>
        <v>0.918</v>
      </c>
      <c r="BK7" s="27" cm="1">
        <f t="array" ref="BK7">1+$B$13+VLOOKUP($Q7,武学奇术!$A:$ZZ,18,FALSE)+SUM(_xlfn.XLOOKUP(R7:AF7,增益!$A:$A,增益!$R:$R,0))</f>
        <v>1.54</v>
      </c>
      <c r="BL7" s="27" cm="1">
        <f t="array" ref="BL7">MAX(IF(VLOOKUP($Q7,武学奇术!$A:$ZZ,24,FALSE)=1,100%,MIN(40%,$B$10+VLOOKUP($Q7,武学奇术!$A:$ZZ,19,FALSE)+SUM(_xlfn.XLOOKUP(R7:AF7,增益!$A:$A,增益!$S:$S,0)))+$B$12+SUM(_xlfn.XLOOKUP(R7:AF7,增益!$A:$A,增益!$V:$V,0)))*IF(VLOOKUP($Q7,武学奇术!$A:$ZZ,23,FALSE)=1,0,1)-IF(VLOOKUP($Q7,武学奇术!$A:$ZZ,32,FALSE)=1,12%,0),0)</f>
        <v>0.0895</v>
      </c>
      <c r="BM7" s="27" cm="1">
        <f t="array" ref="BM7">1+$B$14+VLOOKUP($Q7,武学奇术!$A:$ZZ,20,FALSE)+SUM(_xlfn.XLOOKUP(R7:AF7,增益!$A:$A,增益!$T:$T,0))</f>
        <v>1.35</v>
      </c>
      <c r="BN7" s="27">
        <f t="shared" si="9"/>
        <v>0.9105</v>
      </c>
      <c r="BO7" s="27">
        <f t="shared" si="10"/>
        <v>0</v>
      </c>
      <c r="BP7" s="27">
        <f>IF(VLOOKUP($Q7,武学奇术!$A:$ZZ,22,FALSE)=1,0,(1-$BI7))*(1-$BL7)</f>
        <v>0</v>
      </c>
      <c r="BQ7" s="27" cm="1">
        <f t="array" ref="BQ7">SUM(_xlfn.XLOOKUP(R7:AF7,增益!$A:$A,增益!$W:$W,0))+$I$5</f>
        <v>0.11</v>
      </c>
    </row>
    <row r="8" spans="1:69">
      <c r="A8" s="65" t="s">
        <v>97</v>
      </c>
      <c r="B8" s="66">
        <f>期望!B8</f>
        <v>1.0218</v>
      </c>
      <c r="C8" s="67" t="s">
        <v>98</v>
      </c>
      <c r="D8" s="67"/>
      <c r="E8" s="67"/>
      <c r="F8" s="67"/>
      <c r="G8" s="38"/>
      <c r="H8" s="68" t="s">
        <v>99</v>
      </c>
      <c r="I8" s="19">
        <v>110.5</v>
      </c>
      <c r="J8" s="69"/>
      <c r="K8" s="39">
        <f t="shared" si="0"/>
        <v>49415.7275726637</v>
      </c>
      <c r="L8" s="39">
        <f>((($AN8+($AO8-$AN8)*IF(VLOOKUP($Q8,武学奇术!$A:$ZZ,31,FALSE)=1,$F$18,0.5))*$AH8+$AI8)*(1+$AP8)*(1+$AQ8)+(($AS8+($AT8-$AS8)*IF(VLOOKUP($Q8,武学奇术!$A:$ZZ,31,FALSE)=1,$F$18,0.5))*IF($G$1="鸣金",$AJ8,$AH8)+IF($G$1="鸣金",$AK8*1.5,0))*(1+$AU8)*(1+$AV8)+(($AW8+($AX8-$AW8)*IF(VLOOKUP($Q8,武学奇术!$A:$ZZ,31,FALSE)=1,$F$18,0.5))*IF($G$1="裂石",$AJ8,$AH8)+IF($G$1="裂石",$AK8*1.5,0))*(1+$AY8)*(1+$AZ8)+(($BA8+($BB8-$BA8)*IF(VLOOKUP($Q8,武学奇术!$A:$ZZ,31,FALSE)=1,$F$18,0.5))*IF($G$1="牵丝",$AJ8,$AH8)+IF($G$1="牵丝",$AK8*1.5,0))*(1+$BC8)*(1+$BD8)+(($BE8+($BF8-$BE8)*IF(VLOOKUP($Q8,武学奇术!$A:$ZZ,31,FALSE)=1,$F$18,0.5))*IF($G$1="破竹",$AJ8,$AH8)+IF($G$1="破竹",$AK8*1.5,0))*(1+$BG8)*(1+$BH8))*(1+$AL8)*$BK8*$P8*(1+IF(VLOOKUP($Q8,武学奇术!$A:$ZZ,30,FALSE)="蓄力技",$B$21,0))*(1+$BQ8)</f>
        <v>50174.6797812767</v>
      </c>
      <c r="M8" s="39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41694.7668358805</v>
      </c>
      <c r="N8" s="39">
        <f>((($AN8+($AO8-$AN8)*IF(VLOOKUP($Q8,武学奇术!$A:$ZZ,31,FALSE)=1,$F$18,0.5))*$AH8+$AI8)*(1+$AP8)*(1+$AQ8)+(($AS8+($AT8-$AS8)*IF(VLOOKUP($Q8,武学奇术!$A:$ZZ,31,FALSE)=1,$F$18,0.5))*IF($G$1="鸣金",$AJ8,$AH8)+IF($G$1="鸣金",$AK8*1.5,0))*(1+$AU8)*(1+$AV8)+(($AW8+($AX8-$AW8)*IF(VLOOKUP($Q8,武学奇术!$A:$ZZ,31,FALSE)=1,$F$18,0.5))*IF($G$1="裂石",$AJ8,$AH8)+IF($G$1="裂石",$AK8*1.5,0))*(1+$AY8)*(1+$AZ8)+(($BA8+($BB8-$BA8)*IF(VLOOKUP($Q8,武学奇术!$A:$ZZ,31,FALSE)=1,$F$18,0.5))*IF($G$1="牵丝",$AJ8,$AH8)+IF($G$1="牵丝",$AK8*1.5,0))*(1+$BC8)*(1+$BD8)+(($BE8+($BF8-$BE8)*IF(VLOOKUP($Q8,武学奇术!$A:$ZZ,31,FALSE)=1,$F$18,0.5))*IF($G$1="破竹",$AJ8,$AH8)+IF($G$1="破竹",$AK8*1.5,0))*(1+$BG8)*(1+$BH8))*(1+$AL8)*$P8*(1+IF(VLOOKUP($Q8,武学奇术!$A:$ZZ,30,FALSE)="蓄力技",$B$21,0))*(1+$BQ8)</f>
        <v>27121.4485304198</v>
      </c>
      <c r="O8" s="39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23357.8845898171</v>
      </c>
      <c r="P8" s="40">
        <v>1</v>
      </c>
      <c r="Q8" s="41" t="s">
        <v>100</v>
      </c>
      <c r="R8" s="41" t="s">
        <v>71</v>
      </c>
      <c r="S8" s="41" t="s">
        <v>72</v>
      </c>
      <c r="T8" s="41" t="s">
        <v>72</v>
      </c>
      <c r="U8" s="41" t="s">
        <v>72</v>
      </c>
      <c r="V8" s="41" t="s">
        <v>72</v>
      </c>
      <c r="W8" s="41" t="s">
        <v>72</v>
      </c>
      <c r="X8" s="41" t="s">
        <v>74</v>
      </c>
      <c r="Y8" s="41" t="s">
        <v>72</v>
      </c>
      <c r="Z8" s="41" t="s">
        <v>101</v>
      </c>
      <c r="AA8" s="41" t="s">
        <v>72</v>
      </c>
      <c r="AB8" s="41" t="s">
        <v>72</v>
      </c>
      <c r="AC8" s="41" t="s">
        <v>72</v>
      </c>
      <c r="AD8" s="41" t="s">
        <v>72</v>
      </c>
      <c r="AE8" s="41" t="s">
        <v>75</v>
      </c>
      <c r="AF8" s="41" t="s">
        <v>76</v>
      </c>
      <c r="AG8" t="str">
        <f>VLOOKUP($Q8,武学奇术!$A:$ZZ,25,FALSE)</f>
        <v>绳镖</v>
      </c>
      <c r="AH8" s="27">
        <f>VLOOKUP($Q8,武学奇术!$A:$ZZ,26,FALSE)</f>
        <v>2.33376</v>
      </c>
      <c r="AI8" s="28">
        <f>VLOOKUP($Q8,武学奇术!$A:$ZZ,27,FALSE)*(1+IF(OR($AG8=$F$4,$AG8=$F$5),$B$22,0))</f>
        <v>0</v>
      </c>
      <c r="AJ8" s="27">
        <f>VLOOKUP($Q8,武学奇术!$A:$ZZ,28,FALSE)</f>
        <v>3.50064</v>
      </c>
      <c r="AK8" s="28">
        <f>VLOOKUP($Q8,武学奇术!$A:$ZZ,29,FALSE)*(1+IF(OR($AG8=$F$4,$AG8=$F$5),$B$22,0))</f>
        <v>0</v>
      </c>
      <c r="AL8" s="27" cm="1">
        <f t="array" ref="AL8">$G$3+IFERROR(VLOOKUP($AG8,$F$4:$G$7,2,FALSE),0)+VLOOKUP($Q8,武学奇术!$A:$ZZ,2,FALSE)+SUM(_xlfn.XLOOKUP($R8:$AF8,增益!$A:$A,增益!$B:$B,0))</f>
        <v>0.4989</v>
      </c>
      <c r="AM8" s="27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3742.006</v>
      </c>
      <c r="AO8" cm="1">
        <f t="array" ref="AO8">$E$10*(1+$AM8)+VLOOKUP($Q8,武学奇术!$A:$ZZ,4,FALSE)+SUM(_xlfn.XLOOKUP($R8:$AF8,增益!$A:$A,增益!$D:$D,0))-$I$2</f>
        <v>3742.006</v>
      </c>
      <c r="AP8" s="33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0.207</v>
      </c>
      <c r="AQ8" s="33" cm="1">
        <f t="array" ref="AQ8">$G$10+VLOOKUP($Q8,武学奇术!$A:$ZZ,7,FALSE)+SUM(_xlfn.XLOOKUP(R8:AF8,增益!$A:$A,增益!$G:$G,0))</f>
        <v>0.09</v>
      </c>
      <c r="AR8" s="27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3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-0.24</v>
      </c>
      <c r="AV8" s="33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3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-0.24</v>
      </c>
      <c r="AZ8" s="33" cm="1">
        <f t="array" ref="AZ8">$G$12+VLOOKUP($Q8,武学奇术!$A:$ZZ,12,FALSE)+SUM(_xlfn.XLOOKUP(R8:AF8,增益!$A:$A,增益!$L:$L,0))</f>
        <v>0</v>
      </c>
      <c r="BA8">
        <f t="shared" si="5"/>
        <v>0</v>
      </c>
      <c r="BB8">
        <f t="shared" si="6"/>
        <v>0</v>
      </c>
      <c r="BC8" s="33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-0.24</v>
      </c>
      <c r="BD8" s="33" cm="1">
        <f t="array" ref="BD8">$G$13+VLOOKUP($Q8,武学奇术!$A:$ZZ,14,FALSE)+SUM(_xlfn.XLOOKUP(R8:AF8,增益!$A:$A,增益!$N:$N,0))</f>
        <v>0</v>
      </c>
      <c r="BE8">
        <f t="shared" si="7"/>
        <v>570.28</v>
      </c>
      <c r="BF8">
        <f t="shared" si="8"/>
        <v>1582.156</v>
      </c>
      <c r="BG8" s="33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0.03</v>
      </c>
      <c r="BH8" s="33" cm="1">
        <f t="array" ref="BH8">$G$14+VLOOKUP($Q8,武学奇术!$A:$ZZ,16,FALSE)+SUM(_xlfn.XLOOKUP(R8:AF8,增益!$A:$A,增益!$P:$P,0))</f>
        <v>0.24</v>
      </c>
      <c r="BI8" s="27">
        <f>MIN(IF(VLOOKUP($Q8,武学奇术!$A:$ZZ,23,FALSE)=1,100%,$B$8),100%)</f>
        <v>1</v>
      </c>
      <c r="BJ8" s="27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+MIN(IF(VLOOKUP($Q8,武学奇术!$A:$ZZ,32,FALSE)=1,IF(VLOOKUP($Q8,武学奇术!$A:$ZZ,24,FALSE)=1,100%,MIN(40%,$B$10+VLOOKUP($Q8,武学奇术!$A:$ZZ,19,FALSE)+SUM(_xlfn.XLOOKUP(R8:AF8,增益!$A:$A,增益!$S:$S,0)))+$B$12+SUM(_xlfn.XLOOKUP(R8:AF8,增益!$A:$A,增益!$V:$V,0))),0),12%)</f>
        <v>0.918</v>
      </c>
      <c r="BK8" s="27" cm="1">
        <f t="array" ref="BK8">1+$B$13+VLOOKUP($Q8,武学奇术!$A:$ZZ,18,FALSE)+SUM(_xlfn.XLOOKUP(R8:AF8,增益!$A:$A,增益!$R:$R,0))</f>
        <v>1.85</v>
      </c>
      <c r="BL8" s="27" cm="1">
        <f t="array" ref="BL8">MAX(IF(VLOOKUP($Q8,武学奇术!$A:$ZZ,24,FALSE)=1,100%,MIN(40%,$B$10+VLOOKUP($Q8,武学奇术!$A:$ZZ,19,FALSE)+SUM(_xlfn.XLOOKUP(R8:AF8,增益!$A:$A,增益!$S:$S,0)))+$B$12+SUM(_xlfn.XLOOKUP(R8:AF8,增益!$A:$A,增益!$V:$V,0)))*IF(VLOOKUP($Q8,武学奇术!$A:$ZZ,23,FALSE)=1,0,1)-IF(VLOOKUP($Q8,武学奇术!$A:$ZZ,32,FALSE)=1,12%,0),0)</f>
        <v>0.0895</v>
      </c>
      <c r="BM8" s="27" cm="1">
        <f t="array" ref="BM8">1+$B$14+VLOOKUP($Q8,武学奇术!$A:$ZZ,20,FALSE)+SUM(_xlfn.XLOOKUP(R8:AF8,增益!$A:$A,增益!$T:$T,0))</f>
        <v>1.35</v>
      </c>
      <c r="BN8" s="27">
        <f t="shared" si="9"/>
        <v>0.9105</v>
      </c>
      <c r="BO8" s="27">
        <f t="shared" si="10"/>
        <v>0</v>
      </c>
      <c r="BP8" s="27">
        <f>IF(VLOOKUP($Q8,武学奇术!$A:$ZZ,22,FALSE)=1,0,(1-$BI8))*(1-$BL8)</f>
        <v>0</v>
      </c>
      <c r="BQ8" s="27" cm="1">
        <f t="array" ref="BQ8">SUM(_xlfn.XLOOKUP(R8:AF8,增益!$A:$A,增益!$W:$W,0))+$I$5</f>
        <v>0.11</v>
      </c>
    </row>
    <row r="9" ht="14.25" spans="1:69">
      <c r="A9" s="42" t="s">
        <v>102</v>
      </c>
      <c r="B9" s="70">
        <f>期望!B9</f>
        <v>0.785</v>
      </c>
      <c r="C9" s="12"/>
      <c r="D9" t="s">
        <v>0</v>
      </c>
      <c r="E9" t="s">
        <v>1</v>
      </c>
      <c r="F9" s="40" t="s">
        <v>2</v>
      </c>
      <c r="G9" s="45" t="s">
        <v>3</v>
      </c>
      <c r="H9" s="71"/>
      <c r="I9" s="22"/>
      <c r="J9" s="72"/>
      <c r="K9" s="39">
        <f t="shared" si="0"/>
        <v>69502.1439693656</v>
      </c>
      <c r="L9" s="39">
        <f>((($AN9+($AO9-$AN9)*IF(VLOOKUP($Q9,武学奇术!$A:$ZZ,31,FALSE)=1,$F$18,0.5))*$AH9+$AI9)*(1+$AP9)*(1+$AQ9)+(($AS9+($AT9-$AS9)*IF(VLOOKUP($Q9,武学奇术!$A:$ZZ,31,FALSE)=1,$F$18,0.5))*IF($G$1="鸣金",$AJ9,$AH9)+IF($G$1="鸣金",$AK9*1.5,0))*(1+$AU9)*(1+$AV9)+(($AW9+($AX9-$AW9)*IF(VLOOKUP($Q9,武学奇术!$A:$ZZ,31,FALSE)=1,$F$18,0.5))*IF($G$1="裂石",$AJ9,$AH9)+IF($G$1="裂石",$AK9*1.5,0))*(1+$AY9)*(1+$AZ9)+(($BA9+($BB9-$BA9)*IF(VLOOKUP($Q9,武学奇术!$A:$ZZ,31,FALSE)=1,$F$18,0.5))*IF($G$1="牵丝",$AJ9,$AH9)+IF($G$1="牵丝",$AK9*1.5,0))*(1+$BC9)*(1+$BD9)+(($BE9+($BF9-$BE9)*IF(VLOOKUP($Q9,武学奇术!$A:$ZZ,31,FALSE)=1,$F$18,0.5))*IF($G$1="破竹",$AJ9,$AH9)+IF($G$1="破竹",$AK9*1.5,0))*(1+$BG9)*(1+$BH9))*(1+$AL9)*$BK9*$P9*(1+IF(VLOOKUP($Q9,武学奇术!$A:$ZZ,30,FALSE)="蓄力技",$B$21,0))*(1+$BQ9)</f>
        <v>70644.298616423</v>
      </c>
      <c r="M9" s="39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57882.7941800271</v>
      </c>
      <c r="N9" s="39">
        <f>((($AN9+($AO9-$AN9)*IF(VLOOKUP($Q9,武学奇术!$A:$ZZ,31,FALSE)=1,$F$18,0.5))*$AH9+$AI9)*(1+$AP9)*(1+$AQ9)+(($AS9+($AT9-$AS9)*IF(VLOOKUP($Q9,武学奇术!$A:$ZZ,31,FALSE)=1,$F$18,0.5))*IF($G$1="鸣金",$AJ9,$AH9)+IF($G$1="鸣金",$AK9*1.5,0))*(1+$AU9)*(1+$AV9)+(($AW9+($AX9-$AW9)*IF(VLOOKUP($Q9,武学奇术!$A:$ZZ,31,FALSE)=1,$F$18,0.5))*IF($G$1="裂石",$AJ9,$AH9)+IF($G$1="裂石",$AK9*1.5,0))*(1+$AY9)*(1+$AZ9)+(($BA9+($BB9-$BA9)*IF(VLOOKUP($Q9,武学奇术!$A:$ZZ,31,FALSE)=1,$F$18,0.5))*IF($G$1="牵丝",$AJ9,$AH9)+IF($G$1="牵丝",$AK9*1.5,0))*(1+$BC9)*(1+$BD9)+(($BE9+($BF9-$BE9)*IF(VLOOKUP($Q9,武学奇术!$A:$ZZ,31,FALSE)=1,$F$18,0.5))*IF($G$1="破竹",$AJ9,$AH9)+IF($G$1="破竹",$AK9*1.5,0))*(1+$BG9)*(1+$BH9))*(1+$AL9)*$P9*(1+IF(VLOOKUP($Q9,武学奇术!$A:$ZZ,30,FALSE)="蓄力技",$B$21,0))*(1+$BQ9)</f>
        <v>38186.1073602287</v>
      </c>
      <c r="O9" s="39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33496.0708834002</v>
      </c>
      <c r="P9" s="40">
        <v>1</v>
      </c>
      <c r="Q9" s="41" t="s">
        <v>103</v>
      </c>
      <c r="R9" s="41" t="s">
        <v>71</v>
      </c>
      <c r="S9" s="41" t="s">
        <v>72</v>
      </c>
      <c r="T9" s="41" t="s">
        <v>72</v>
      </c>
      <c r="U9" s="41" t="s">
        <v>72</v>
      </c>
      <c r="V9" s="41" t="s">
        <v>72</v>
      </c>
      <c r="W9" s="41" t="s">
        <v>72</v>
      </c>
      <c r="X9" s="41" t="s">
        <v>74</v>
      </c>
      <c r="Y9" s="41" t="s">
        <v>72</v>
      </c>
      <c r="Z9" s="41" t="s">
        <v>101</v>
      </c>
      <c r="AA9" s="41" t="s">
        <v>72</v>
      </c>
      <c r="AB9" s="41" t="s">
        <v>72</v>
      </c>
      <c r="AC9" s="41" t="s">
        <v>72</v>
      </c>
      <c r="AD9" s="41" t="s">
        <v>72</v>
      </c>
      <c r="AE9" s="41" t="s">
        <v>75</v>
      </c>
      <c r="AF9" s="41" t="s">
        <v>76</v>
      </c>
      <c r="AG9" t="str">
        <f>VLOOKUP($Q9,武学奇术!$A:$ZZ,25,FALSE)</f>
        <v>拳甲</v>
      </c>
      <c r="AH9" s="27">
        <f>VLOOKUP($Q9,武学奇术!$A:$ZZ,26,FALSE)</f>
        <v>2.75166</v>
      </c>
      <c r="AI9" s="28">
        <f>VLOOKUP($Q9,武学奇术!$A:$ZZ,27,FALSE)*(1+IF(OR($AG9=$F$4,$AG9=$F$5),$B$22,0))</f>
        <v>1060.92</v>
      </c>
      <c r="AJ9" s="27">
        <f>VLOOKUP($Q9,武学奇术!$A:$ZZ,28,FALSE)</f>
        <v>4.12776</v>
      </c>
      <c r="AK9" s="28">
        <f>VLOOKUP($Q9,武学奇术!$A:$ZZ,29,FALSE)*(1+IF(OR($AG9=$F$4,$AG9=$F$5),$B$22,0))</f>
        <v>574.56</v>
      </c>
      <c r="AL9" s="27" cm="1">
        <f t="array" ref="AL9">$G$3+IFERROR(VLOOKUP($AG9,$F$4:$G$7,2,FALSE),0)+VLOOKUP($Q9,武学奇术!$A:$ZZ,2,FALSE)+SUM(_xlfn.XLOOKUP($R9:$AF9,增益!$A:$A,增益!$B:$B,0))</f>
        <v>0.5841</v>
      </c>
      <c r="AM9" s="27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3742.006</v>
      </c>
      <c r="AO9" cm="1">
        <f t="array" ref="AO9">$E$10*(1+$AM9)+VLOOKUP($Q9,武学奇术!$A:$ZZ,4,FALSE)+SUM(_xlfn.XLOOKUP($R9:$AF9,增益!$A:$A,增益!$D:$D,0))-$I$2</f>
        <v>3742.006</v>
      </c>
      <c r="AP9" s="33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0.207</v>
      </c>
      <c r="AQ9" s="33" cm="1">
        <f t="array" ref="AQ9">$G$10+VLOOKUP($Q9,武学奇术!$A:$ZZ,7,FALSE)+SUM(_xlfn.XLOOKUP(R9:AF9,增益!$A:$A,增益!$G:$G,0))</f>
        <v>0.09</v>
      </c>
      <c r="AR9" s="27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3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-0.24</v>
      </c>
      <c r="AV9" s="33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3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-0.24</v>
      </c>
      <c r="AZ9" s="33" cm="1">
        <f t="array" ref="AZ9">$G$12+VLOOKUP($Q9,武学奇术!$A:$ZZ,12,FALSE)+SUM(_xlfn.XLOOKUP(R9:AF9,增益!$A:$A,增益!$L:$L,0))</f>
        <v>0</v>
      </c>
      <c r="BA9">
        <f t="shared" si="5"/>
        <v>0</v>
      </c>
      <c r="BB9">
        <f t="shared" si="6"/>
        <v>0</v>
      </c>
      <c r="BC9" s="33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-0.24</v>
      </c>
      <c r="BD9" s="33" cm="1">
        <f t="array" ref="BD9">$G$13+VLOOKUP($Q9,武学奇术!$A:$ZZ,14,FALSE)+SUM(_xlfn.XLOOKUP(R9:AF9,增益!$A:$A,增益!$N:$N,0))</f>
        <v>0</v>
      </c>
      <c r="BE9">
        <f t="shared" si="7"/>
        <v>570.28</v>
      </c>
      <c r="BF9">
        <f t="shared" si="8"/>
        <v>1582.156</v>
      </c>
      <c r="BG9" s="33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0.03</v>
      </c>
      <c r="BH9" s="33" cm="1">
        <f t="array" ref="BH9">$G$14+VLOOKUP($Q9,武学奇术!$A:$ZZ,16,FALSE)+SUM(_xlfn.XLOOKUP(R9:AF9,增益!$A:$A,增益!$P:$P,0))</f>
        <v>0.24</v>
      </c>
      <c r="BI9" s="27">
        <f>MIN(IF(VLOOKUP($Q9,武学奇术!$A:$ZZ,23,FALSE)=1,100%,$B$8),100%)</f>
        <v>1</v>
      </c>
      <c r="BJ9" s="27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+MIN(IF(VLOOKUP($Q9,武学奇术!$A:$ZZ,32,FALSE)=1,IF(VLOOKUP($Q9,武学奇术!$A:$ZZ,24,FALSE)=1,100%,MIN(40%,$B$10+VLOOKUP($Q9,武学奇术!$A:$ZZ,19,FALSE)+SUM(_xlfn.XLOOKUP(R9:AF9,增益!$A:$A,增益!$S:$S,0)))+$B$12+SUM(_xlfn.XLOOKUP(R9:AF9,增益!$A:$A,增益!$V:$V,0))),0),12%)</f>
        <v>0.918</v>
      </c>
      <c r="BK9" s="27" cm="1">
        <f t="array" ref="BK9">1+$B$13+VLOOKUP($Q9,武学奇术!$A:$ZZ,18,FALSE)+SUM(_xlfn.XLOOKUP(R9:AF9,增益!$A:$A,增益!$R:$R,0))</f>
        <v>1.85</v>
      </c>
      <c r="BL9" s="27" cm="1">
        <f t="array" ref="BL9">MAX(IF(VLOOKUP($Q9,武学奇术!$A:$ZZ,24,FALSE)=1,100%,MIN(40%,$B$10+VLOOKUP($Q9,武学奇术!$A:$ZZ,19,FALSE)+SUM(_xlfn.XLOOKUP(R9:AF9,增益!$A:$A,增益!$S:$S,0)))+$B$12+SUM(_xlfn.XLOOKUP(R9:AF9,增益!$A:$A,增益!$V:$V,0)))*IF(VLOOKUP($Q9,武学奇术!$A:$ZZ,23,FALSE)=1,0,1)-IF(VLOOKUP($Q9,武学奇术!$A:$ZZ,32,FALSE)=1,12%,0),0)</f>
        <v>0.0895</v>
      </c>
      <c r="BM9" s="27" cm="1">
        <f t="array" ref="BM9">1+$B$14+VLOOKUP($Q9,武学奇术!$A:$ZZ,20,FALSE)+SUM(_xlfn.XLOOKUP(R9:AF9,增益!$A:$A,增益!$T:$T,0))</f>
        <v>1.35</v>
      </c>
      <c r="BN9" s="27">
        <f t="shared" si="9"/>
        <v>0.9105</v>
      </c>
      <c r="BO9" s="27">
        <f t="shared" si="10"/>
        <v>0</v>
      </c>
      <c r="BP9" s="27">
        <f>IF(VLOOKUP($Q9,武学奇术!$A:$ZZ,22,FALSE)=1,0,(1-$BI9))*(1-$BL9)</f>
        <v>0</v>
      </c>
      <c r="BQ9" s="27" cm="1">
        <f t="array" ref="BQ9">SUM(_xlfn.XLOOKUP(R9:AF9,增益!$A:$A,增益!$W:$W,0))+$I$5</f>
        <v>0.11</v>
      </c>
    </row>
    <row r="10" spans="1:69">
      <c r="A10" s="42" t="s">
        <v>104</v>
      </c>
      <c r="B10" s="70">
        <f>期望!B10</f>
        <v>0.0895</v>
      </c>
      <c r="C10" s="12" t="s">
        <v>66</v>
      </c>
      <c r="D10" s="28">
        <f>期望!D10</f>
        <v>4362.006</v>
      </c>
      <c r="E10" s="28">
        <f>期望!E10</f>
        <v>4362.006</v>
      </c>
      <c r="F10" s="28">
        <f>期望!F10</f>
        <v>58.4</v>
      </c>
      <c r="G10" s="50">
        <f>期望!G10</f>
        <v>0</v>
      </c>
      <c r="H10" s="68" t="s">
        <v>105</v>
      </c>
      <c r="I10" s="73">
        <f>SUM(K:K)</f>
        <v>12641818.1986867</v>
      </c>
      <c r="J10" s="74"/>
      <c r="K10" s="39">
        <f t="shared" si="0"/>
        <v>23057.6154961568</v>
      </c>
      <c r="L10" s="39">
        <f>((($AN10+($AO10-$AN10)*IF(VLOOKUP($Q10,武学奇术!$A:$ZZ,31,FALSE)=1,$F$18,0.5))*$AH10+$AI10)*(1+$AP10)*(1+$AQ10)+(($AS10+($AT10-$AS10)*IF(VLOOKUP($Q10,武学奇术!$A:$ZZ,31,FALSE)=1,$F$18,0.5))*IF($G$1="鸣金",$AJ10,$AH10)+IF($G$1="鸣金",$AK10*1.5,0))*(1+$AU10)*(1+$AV10)+(($AW10+($AX10-$AW10)*IF(VLOOKUP($Q10,武学奇术!$A:$ZZ,31,FALSE)=1,$F$18,0.5))*IF($G$1="裂石",$AJ10,$AH10)+IF($G$1="裂石",$AK10*1.5,0))*(1+$AY10)*(1+$AZ10)+(($BA10+($BB10-$BA10)*IF(VLOOKUP($Q10,武学奇术!$A:$ZZ,31,FALSE)=1,$F$18,0.5))*IF($G$1="牵丝",$AJ10,$AH10)+IF($G$1="牵丝",$AK10*1.5,0))*(1+$BC10)*(1+$BD10)+(($BE10+($BF10-$BE10)*IF(VLOOKUP($Q10,武学奇术!$A:$ZZ,31,FALSE)=1,$F$18,0.5))*IF($G$1="破竹",$AJ10,$AH10)+IF($G$1="破竹",$AK10*1.5,0))*(1+$BG10)*(1+$BH10))*(1+$AL10)*$BK10*$P10*(1+IF(VLOOKUP($Q10,武学奇术!$A:$ZZ,30,FALSE)="蓄力技",$B$21,0))*(1+$BQ10)</f>
        <v>23093.6883784837</v>
      </c>
      <c r="M10" s="39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22690.6394139379</v>
      </c>
      <c r="N10" s="39">
        <f>((($AN10+($AO10-$AN10)*IF(VLOOKUP($Q10,武学奇术!$A:$ZZ,31,FALSE)=1,$F$18,0.5))*$AH10+$AI10)*(1+$AP10)*(1+$AQ10)+(($AS10+($AT10-$AS10)*IF(VLOOKUP($Q10,武学奇术!$A:$ZZ,31,FALSE)=1,$F$18,0.5))*IF($G$1="鸣金",$AJ10,$AH10)+IF($G$1="鸣金",$AK10*1.5,0))*(1+$AU10)*(1+$AV10)+(($AW10+($AX10-$AW10)*IF(VLOOKUP($Q10,武学奇术!$A:$ZZ,31,FALSE)=1,$F$18,0.5))*IF($G$1="裂石",$AJ10,$AH10)+IF($G$1="裂石",$AK10*1.5,0))*(1+$AY10)*(1+$AZ10)+(($BA10+($BB10-$BA10)*IF(VLOOKUP($Q10,武学奇术!$A:$ZZ,31,FALSE)=1,$F$18,0.5))*IF($G$1="牵丝",$AJ10,$AH10)+IF($G$1="牵丝",$AK10*1.5,0))*(1+$BC10)*(1+$BD10)+(($BE10+($BF10-$BE10)*IF(VLOOKUP($Q10,武学奇术!$A:$ZZ,31,FALSE)=1,$F$18,0.5))*IF($G$1="破竹",$AJ10,$AH10)+IF($G$1="破竹",$AK10*1.5,0))*(1+$BG10)*(1+$BH10))*(1+$AL10)*$P10*(1+IF(VLOOKUP($Q10,武学奇术!$A:$ZZ,30,FALSE)="蓄力技",$B$21,0))*(1+$BQ10)</f>
        <v>14899.1537925701</v>
      </c>
      <c r="O10" s="39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12990.4265377788</v>
      </c>
      <c r="P10" s="40">
        <v>1</v>
      </c>
      <c r="Q10" s="41" t="s">
        <v>106</v>
      </c>
      <c r="R10" s="41" t="s">
        <v>79</v>
      </c>
      <c r="S10" s="41" t="s">
        <v>72</v>
      </c>
      <c r="T10" s="41" t="s">
        <v>72</v>
      </c>
      <c r="U10" s="41" t="s">
        <v>73</v>
      </c>
      <c r="V10" s="41" t="s">
        <v>72</v>
      </c>
      <c r="W10" s="41" t="s">
        <v>72</v>
      </c>
      <c r="X10" s="41" t="s">
        <v>74</v>
      </c>
      <c r="Y10" s="41" t="s">
        <v>81</v>
      </c>
      <c r="Z10" s="41" t="s">
        <v>72</v>
      </c>
      <c r="AA10" s="41" t="s">
        <v>72</v>
      </c>
      <c r="AB10" s="41" t="s">
        <v>72</v>
      </c>
      <c r="AC10" s="41" t="s">
        <v>72</v>
      </c>
      <c r="AD10" s="41" t="s">
        <v>72</v>
      </c>
      <c r="AE10" s="41" t="s">
        <v>75</v>
      </c>
      <c r="AF10" s="41" t="s">
        <v>76</v>
      </c>
      <c r="AG10" t="str">
        <f>VLOOKUP($Q10,武学奇术!$A:$ZZ,25,FALSE)</f>
        <v>拳甲</v>
      </c>
      <c r="AH10" s="27">
        <f>VLOOKUP($Q10,武学奇术!$A:$ZZ,26,FALSE)</f>
        <v>1.2876</v>
      </c>
      <c r="AI10" s="28">
        <f>VLOOKUP($Q10,武学奇术!$A:$ZZ,27,FALSE)*(1+IF(OR($AG10=$F$4,$AG10=$F$5),$B$22,0))</f>
        <v>501.2</v>
      </c>
      <c r="AJ10" s="27">
        <f>VLOOKUP($Q10,武学奇术!$A:$ZZ,28,FALSE)</f>
        <v>1.9313</v>
      </c>
      <c r="AK10" s="28">
        <f>VLOOKUP($Q10,武学奇术!$A:$ZZ,29,FALSE)*(1+IF(OR($AG10=$F$4,$AG10=$F$5),$B$22,0))</f>
        <v>273</v>
      </c>
      <c r="AL10" s="27" cm="1">
        <f t="array" ref="AL10">$G$3+IFERROR(VLOOKUP($AG10,$F$4:$G$7,2,FALSE),0)+VLOOKUP($Q10,武学奇术!$A:$ZZ,2,FALSE)+SUM(_xlfn.XLOOKUP($R10:$AF10,增益!$A:$A,增益!$B:$B,0))</f>
        <v>0.3141</v>
      </c>
      <c r="AM10" s="27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3742.006</v>
      </c>
      <c r="AO10" cm="1">
        <f t="array" ref="AO10">$E$10*(1+$AM10)+VLOOKUP($Q10,武学奇术!$A:$ZZ,4,FALSE)+SUM(_xlfn.XLOOKUP($R10:$AF10,增益!$A:$A,增益!$D:$D,0))-$I$2</f>
        <v>3742.006</v>
      </c>
      <c r="AP10" s="33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0.187</v>
      </c>
      <c r="AQ10" s="33" cm="1">
        <f t="array" ref="AQ10">$G$10+VLOOKUP($Q10,武学奇术!$A:$ZZ,7,FALSE)+SUM(_xlfn.XLOOKUP(R10:AF10,增益!$A:$A,增益!$G:$G,0))</f>
        <v>0.09</v>
      </c>
      <c r="AR10" s="27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3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3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3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3" cm="1">
        <f t="array" ref="AZ10">$G$12+VLOOKUP($Q10,武学奇术!$A:$ZZ,12,FALSE)+SUM(_xlfn.XLOOKUP(R10:AF10,增益!$A:$A,增益!$L:$L,0))</f>
        <v>0</v>
      </c>
      <c r="BA10">
        <f t="shared" si="5"/>
        <v>0</v>
      </c>
      <c r="BB10">
        <f t="shared" si="6"/>
        <v>0</v>
      </c>
      <c r="BC10" s="33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-0.14</v>
      </c>
      <c r="BD10" s="33" cm="1">
        <f t="array" ref="BD10">$G$13+VLOOKUP($Q10,武学奇术!$A:$ZZ,14,FALSE)+SUM(_xlfn.XLOOKUP(R10:AF10,增益!$A:$A,增益!$N:$N,0))</f>
        <v>0</v>
      </c>
      <c r="BE10">
        <f t="shared" si="7"/>
        <v>570.28</v>
      </c>
      <c r="BF10">
        <f t="shared" si="8"/>
        <v>1582.156</v>
      </c>
      <c r="BG10" s="33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0.08</v>
      </c>
      <c r="BH10" s="33" cm="1">
        <f t="array" ref="BH10">$G$14+VLOOKUP($Q10,武学奇术!$A:$ZZ,16,FALSE)+SUM(_xlfn.XLOOKUP(R10:AF10,增益!$A:$A,增益!$P:$P,0))</f>
        <v>0.24</v>
      </c>
      <c r="BI10" s="27">
        <f>MIN(IF(VLOOKUP($Q10,武学奇术!$A:$ZZ,23,FALSE)=1,100%,$B$8),100%)</f>
        <v>1</v>
      </c>
      <c r="BJ10" s="27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+MIN(IF(VLOOKUP($Q10,武学奇术!$A:$ZZ,32,FALSE)=1,IF(VLOOKUP($Q10,武学奇术!$A:$ZZ,24,FALSE)=1,100%,MIN(40%,$B$10+VLOOKUP($Q10,武学奇术!$A:$ZZ,19,FALSE)+SUM(_xlfn.XLOOKUP(R10:AF10,增益!$A:$A,增益!$S:$S,0)))+$B$12+SUM(_xlfn.XLOOKUP(R10:AF10,增益!$A:$A,增益!$V:$V,0))),0),12%)</f>
        <v>0.918</v>
      </c>
      <c r="BK10" s="27" cm="1">
        <f t="array" ref="BK10">1+$B$13+VLOOKUP($Q10,武学奇术!$A:$ZZ,18,FALSE)+SUM(_xlfn.XLOOKUP(R10:AF10,增益!$A:$A,增益!$R:$R,0))</f>
        <v>1.55</v>
      </c>
      <c r="BL10" s="27" cm="1">
        <f t="array" ref="BL10">MAX(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-IF(VLOOKUP($Q10,武学奇术!$A:$ZZ,32,FALSE)=1,12%,0),0)</f>
        <v>0.0895</v>
      </c>
      <c r="BM10" s="27" cm="1">
        <f t="array" ref="BM10">1+$B$14+VLOOKUP($Q10,武学奇术!$A:$ZZ,20,FALSE)+SUM(_xlfn.XLOOKUP(R10:AF10,增益!$A:$A,增益!$T:$T,0))</f>
        <v>1.35</v>
      </c>
      <c r="BN10" s="27">
        <f t="shared" si="9"/>
        <v>0.9105</v>
      </c>
      <c r="BO10" s="27">
        <f t="shared" si="10"/>
        <v>0</v>
      </c>
      <c r="BP10" s="27">
        <f>IF(VLOOKUP($Q10,武学奇术!$A:$ZZ,22,FALSE)=1,0,(1-$BI10))*(1-$BL10)</f>
        <v>0</v>
      </c>
      <c r="BQ10" s="27" cm="1">
        <f t="array" ref="BQ10">SUM(_xlfn.XLOOKUP(R10:AF10,增益!$A:$A,增益!$W:$W,0))+$I$5</f>
        <v>0.11</v>
      </c>
    </row>
    <row r="11" ht="14.25" spans="1:69">
      <c r="A11" s="42" t="s">
        <v>107</v>
      </c>
      <c r="B11" s="70">
        <f>期望!B11</f>
        <v>0.133</v>
      </c>
      <c r="C11" s="12" t="s">
        <v>77</v>
      </c>
      <c r="D11" s="28">
        <f>期望!D11</f>
        <v>0</v>
      </c>
      <c r="E11" s="28">
        <f>期望!E11</f>
        <v>0</v>
      </c>
      <c r="F11" s="28">
        <f>期望!F11</f>
        <v>0</v>
      </c>
      <c r="G11" s="50">
        <f>期望!G11</f>
        <v>0</v>
      </c>
      <c r="H11" s="71"/>
      <c r="I11" s="75"/>
      <c r="J11" s="76"/>
      <c r="K11" s="39">
        <f t="shared" si="0"/>
        <v>54768.3396211487</v>
      </c>
      <c r="L11" s="39">
        <f>((($AN11+($AO11-$AN11)*IF(VLOOKUP($Q11,武学奇术!$A:$ZZ,31,FALSE)=1,$F$18,0.5))*$AH11+$AI11)*(1+$AP11)*(1+$AQ11)+(($AS11+($AT11-$AS11)*IF(VLOOKUP($Q11,武学奇术!$A:$ZZ,31,FALSE)=1,$F$18,0.5))*IF($G$1="鸣金",$AJ11,$AH11)+IF($G$1="鸣金",$AK11*1.5,0))*(1+$AU11)*(1+$AV11)+(($AW11+($AX11-$AW11)*IF(VLOOKUP($Q11,武学奇术!$A:$ZZ,31,FALSE)=1,$F$18,0.5))*IF($G$1="裂石",$AJ11,$AH11)+IF($G$1="裂石",$AK11*1.5,0))*(1+$AY11)*(1+$AZ11)+(($BA11+($BB11-$BA11)*IF(VLOOKUP($Q11,武学奇术!$A:$ZZ,31,FALSE)=1,$F$18,0.5))*IF($G$1="牵丝",$AJ11,$AH11)+IF($G$1="牵丝",$AK11*1.5,0))*(1+$BC11)*(1+$BD11)+(($BE11+($BF11-$BE11)*IF(VLOOKUP($Q11,武学奇术!$A:$ZZ,31,FALSE)=1,$F$18,0.5))*IF($G$1="破竹",$AJ11,$AH11)+IF($G$1="破竹",$AK11*1.5,0))*(1+$BG11)*(1+$BH11))*(1+$AL11)*$BK11*$P11*(1+IF(VLOOKUP($Q11,武学奇术!$A:$ZZ,30,FALSE)="蓄力技",$B$21,0))*(1+$BQ11)</f>
        <v>55585.1849379293</v>
      </c>
      <c r="M11" s="39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46458.4216219444</v>
      </c>
      <c r="N11" s="39">
        <f>((($AN11+($AO11-$AN11)*IF(VLOOKUP($Q11,武学奇术!$A:$ZZ,31,FALSE)=1,$F$18,0.5))*$AH11+$AI11)*(1+$AP11)*(1+$AQ11)+(($AS11+($AT11-$AS11)*IF(VLOOKUP($Q11,武学奇术!$A:$ZZ,31,FALSE)=1,$F$18,0.5))*IF($G$1="鸣金",$AJ11,$AH11)+IF($G$1="鸣金",$AK11*1.5,0))*(1+$AU11)*(1+$AV11)+(($AW11+($AX11-$AW11)*IF(VLOOKUP($Q11,武学奇术!$A:$ZZ,31,FALSE)=1,$F$18,0.5))*IF($G$1="裂石",$AJ11,$AH11)+IF($G$1="裂石",$AK11*1.5,0))*(1+$AY11)*(1+$AZ11)+(($BA11+($BB11-$BA11)*IF(VLOOKUP($Q11,武学奇术!$A:$ZZ,31,FALSE)=1,$F$18,0.5))*IF($G$1="牵丝",$AJ11,$AH11)+IF($G$1="牵丝",$AK11*1.5,0))*(1+$BC11)*(1+$BD11)+(($BE11+($BF11-$BE11)*IF(VLOOKUP($Q11,武学奇术!$A:$ZZ,31,FALSE)=1,$F$18,0.5))*IF($G$1="破竹",$AJ11,$AH11)+IF($G$1="破竹",$AK11*1.5,0))*(1+$BG11)*(1+$BH11))*(1+$AL11)*$P11*(1+IF(VLOOKUP($Q11,武学奇术!$A:$ZZ,30,FALSE)="蓄力技",$B$21,0))*(1+$BQ11)</f>
        <v>30046.0459123942</v>
      </c>
      <c r="O11" s="39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25678.4461789037</v>
      </c>
      <c r="P11" s="40">
        <v>1</v>
      </c>
      <c r="Q11" s="41" t="s">
        <v>108</v>
      </c>
      <c r="R11" s="41" t="s">
        <v>79</v>
      </c>
      <c r="S11" s="41" t="s">
        <v>72</v>
      </c>
      <c r="T11" s="41" t="s">
        <v>72</v>
      </c>
      <c r="U11" s="41" t="s">
        <v>73</v>
      </c>
      <c r="V11" s="41" t="s">
        <v>72</v>
      </c>
      <c r="W11" s="41" t="s">
        <v>72</v>
      </c>
      <c r="X11" s="41" t="s">
        <v>74</v>
      </c>
      <c r="Y11" s="41" t="s">
        <v>81</v>
      </c>
      <c r="Z11" s="41" t="s">
        <v>101</v>
      </c>
      <c r="AA11" s="41" t="s">
        <v>72</v>
      </c>
      <c r="AB11" s="41" t="s">
        <v>72</v>
      </c>
      <c r="AC11" s="41" t="s">
        <v>72</v>
      </c>
      <c r="AD11" s="41" t="s">
        <v>72</v>
      </c>
      <c r="AE11" s="41" t="s">
        <v>75</v>
      </c>
      <c r="AF11" s="41" t="s">
        <v>76</v>
      </c>
      <c r="AG11" t="str">
        <f>VLOOKUP($Q11,武学奇术!$A:$ZZ,25,FALSE)</f>
        <v>拳甲</v>
      </c>
      <c r="AH11" s="27">
        <f>VLOOKUP($Q11,武学奇术!$A:$ZZ,26,FALSE)</f>
        <v>2.33376</v>
      </c>
      <c r="AI11" s="28">
        <f>VLOOKUP($Q11,武学奇术!$A:$ZZ,27,FALSE)*(1+IF(OR($AG11=$F$4,$AG11=$F$5),$B$22,0))</f>
        <v>0</v>
      </c>
      <c r="AJ11" s="27">
        <f>VLOOKUP($Q11,武学奇术!$A:$ZZ,28,FALSE)</f>
        <v>3.50064</v>
      </c>
      <c r="AK11" s="28">
        <f>VLOOKUP($Q11,武学奇术!$A:$ZZ,29,FALSE)*(1+IF(OR($AG11=$F$4,$AG11=$F$5),$B$22,0))</f>
        <v>0</v>
      </c>
      <c r="AL11" s="27" cm="1">
        <f t="array" ref="AL11">$G$3+IFERROR(VLOOKUP($AG11,$F$4:$G$7,2,FALSE),0)+VLOOKUP($Q11,武学奇术!$A:$ZZ,2,FALSE)+SUM(_xlfn.XLOOKUP($R11:$AF11,增益!$A:$A,增益!$B:$B,0))</f>
        <v>0.6141</v>
      </c>
      <c r="AM11" s="27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3742.006</v>
      </c>
      <c r="AO11" cm="1">
        <f t="array" ref="AO11">$E$10*(1+$AM11)+VLOOKUP($Q11,武学奇术!$A:$ZZ,4,FALSE)+SUM(_xlfn.XLOOKUP($R11:$AF11,增益!$A:$A,增益!$D:$D,0))-$I$2</f>
        <v>3742.006</v>
      </c>
      <c r="AP11" s="33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0.217</v>
      </c>
      <c r="AQ11" s="33" cm="1">
        <f t="array" ref="AQ11">$G$10+VLOOKUP($Q11,武学奇术!$A:$ZZ,7,FALSE)+SUM(_xlfn.XLOOKUP(R11:AF11,增益!$A:$A,增益!$G:$G,0))</f>
        <v>0.09</v>
      </c>
      <c r="AR11" s="27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3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-0.08</v>
      </c>
      <c r="AV11" s="33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3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-0.08</v>
      </c>
      <c r="AZ11" s="33" cm="1">
        <f t="array" ref="AZ11">$G$12+VLOOKUP($Q11,武学奇术!$A:$ZZ,12,FALSE)+SUM(_xlfn.XLOOKUP(R11:AF11,增益!$A:$A,增益!$L:$L,0))</f>
        <v>0</v>
      </c>
      <c r="BA11">
        <f t="shared" si="5"/>
        <v>0</v>
      </c>
      <c r="BB11">
        <f t="shared" si="6"/>
        <v>0</v>
      </c>
      <c r="BC11" s="33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-0.08</v>
      </c>
      <c r="BD11" s="33" cm="1">
        <f t="array" ref="BD11">$G$13+VLOOKUP($Q11,武学奇术!$A:$ZZ,14,FALSE)+SUM(_xlfn.XLOOKUP(R11:AF11,增益!$A:$A,增益!$N:$N,0))</f>
        <v>0</v>
      </c>
      <c r="BE11">
        <f t="shared" si="7"/>
        <v>570.28</v>
      </c>
      <c r="BF11">
        <f t="shared" si="8"/>
        <v>1582.156</v>
      </c>
      <c r="BG11" s="33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0.11</v>
      </c>
      <c r="BH11" s="33" cm="1">
        <f t="array" ref="BH11">$G$14+VLOOKUP($Q11,武学奇术!$A:$ZZ,16,FALSE)+SUM(_xlfn.XLOOKUP(R11:AF11,增益!$A:$A,增益!$P:$P,0))</f>
        <v>0.24</v>
      </c>
      <c r="BI11" s="27">
        <f>MIN(IF(VLOOKUP($Q11,武学奇术!$A:$ZZ,23,FALSE)=1,100%,$B$8),100%)</f>
        <v>1</v>
      </c>
      <c r="BJ11" s="27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+MIN(IF(VLOOKUP($Q11,武学奇术!$A:$ZZ,32,FALSE)=1,IF(VLOOKUP($Q11,武学奇术!$A:$ZZ,24,FALSE)=1,100%,MIN(40%,$B$10+VLOOKUP($Q11,武学奇术!$A:$ZZ,19,FALSE)+SUM(_xlfn.XLOOKUP(R11:AF11,增益!$A:$A,增益!$S:$S,0)))+$B$12+SUM(_xlfn.XLOOKUP(R11:AF11,增益!$A:$A,增益!$V:$V,0))),0),12%)</f>
        <v>0.918</v>
      </c>
      <c r="BK11" s="27" cm="1">
        <f t="array" ref="BK11">1+$B$13+VLOOKUP($Q11,武学奇术!$A:$ZZ,18,FALSE)+SUM(_xlfn.XLOOKUP(R11:AF11,增益!$A:$A,增益!$R:$R,0))</f>
        <v>1.85</v>
      </c>
      <c r="BL11" s="27" cm="1">
        <f t="array" ref="BL11">MAX(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-IF(VLOOKUP($Q11,武学奇术!$A:$ZZ,32,FALSE)=1,12%,0),0)</f>
        <v>0.0895</v>
      </c>
      <c r="BM11" s="27" cm="1">
        <f t="array" ref="BM11">1+$B$14+VLOOKUP($Q11,武学奇术!$A:$ZZ,20,FALSE)+SUM(_xlfn.XLOOKUP(R11:AF11,增益!$A:$A,增益!$T:$T,0))</f>
        <v>1.35</v>
      </c>
      <c r="BN11" s="27">
        <f t="shared" si="9"/>
        <v>0.9105</v>
      </c>
      <c r="BO11" s="27">
        <f t="shared" si="10"/>
        <v>0</v>
      </c>
      <c r="BP11" s="27">
        <f>IF(VLOOKUP($Q11,武学奇术!$A:$ZZ,22,FALSE)=1,0,(1-$BI11))*(1-$BL11)</f>
        <v>0</v>
      </c>
      <c r="BQ11" s="27" cm="1">
        <f t="array" ref="BQ11">SUM(_xlfn.XLOOKUP(R11:AF11,增益!$A:$A,增益!$W:$W,0))+$I$5</f>
        <v>0.11</v>
      </c>
    </row>
    <row r="12" spans="1:69">
      <c r="A12" s="42" t="s">
        <v>109</v>
      </c>
      <c r="B12" s="70">
        <f>期望!B12</f>
        <v>0</v>
      </c>
      <c r="C12" s="12" t="s">
        <v>82</v>
      </c>
      <c r="D12" s="28">
        <f>期望!D12</f>
        <v>0</v>
      </c>
      <c r="E12" s="28">
        <f>期望!E12</f>
        <v>0</v>
      </c>
      <c r="F12" s="28">
        <f>期望!F12</f>
        <v>0</v>
      </c>
      <c r="G12" s="50">
        <f>期望!G12</f>
        <v>0</v>
      </c>
      <c r="H12" s="68" t="s">
        <v>110</v>
      </c>
      <c r="I12" s="39">
        <f>I10/I8</f>
        <v>114405.59455825</v>
      </c>
      <c r="J12" s="77"/>
      <c r="K12" s="39">
        <f t="shared" si="0"/>
        <v>43949.9627552849</v>
      </c>
      <c r="L12" s="39">
        <f>((($AN12+($AO12-$AN12)*IF(VLOOKUP($Q12,武学奇术!$A:$ZZ,31,FALSE)=1,$F$18,0.5))*$AH12+$AI12)*(1+$AP12)*(1+$AQ12)+(($AS12+($AT12-$AS12)*IF(VLOOKUP($Q12,武学奇术!$A:$ZZ,31,FALSE)=1,$F$18,0.5))*IF($G$1="鸣金",$AJ12,$AH12)+IF($G$1="鸣金",$AK12*1.5,0))*(1+$AU12)*(1+$AV12)+(($AW12+($AX12-$AW12)*IF(VLOOKUP($Q12,武学奇术!$A:$ZZ,31,FALSE)=1,$F$18,0.5))*IF($G$1="裂石",$AJ12,$AH12)+IF($G$1="裂石",$AK12*1.5,0))*(1+$AY12)*(1+$AZ12)+(($BA12+($BB12-$BA12)*IF(VLOOKUP($Q12,武学奇术!$A:$ZZ,31,FALSE)=1,$F$18,0.5))*IF($G$1="牵丝",$AJ12,$AH12)+IF($G$1="牵丝",$AK12*1.5,0))*(1+$BC12)*(1+$BD12)+(($BE12+($BF12-$BE12)*IF(VLOOKUP($Q12,武学奇术!$A:$ZZ,31,FALSE)=1,$F$18,0.5))*IF($G$1="破竹",$AJ12,$AH12)+IF($G$1="破竹",$AK12*1.5,0))*(1+$BG12)*(1+$BH12))*(1+$AL12)*$BK12*$P12*(1+IF(VLOOKUP($Q12,武学奇术!$A:$ZZ,30,FALSE)="蓄力技",$B$21,0))*(1+$BQ12)</f>
        <v>44043.1409976846</v>
      </c>
      <c r="M12" s="39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43002.0433172405</v>
      </c>
      <c r="N12" s="39">
        <f>((($AN12+($AO12-$AN12)*IF(VLOOKUP($Q12,武学奇术!$A:$ZZ,31,FALSE)=1,$F$18,0.5))*$AH12+$AI12)*(1+$AP12)*(1+$AQ12)+(($AS12+($AT12-$AS12)*IF(VLOOKUP($Q12,武学奇术!$A:$ZZ,31,FALSE)=1,$F$18,0.5))*IF($G$1="鸣金",$AJ12,$AH12)+IF($G$1="鸣金",$AK12*1.5,0))*(1+$AU12)*(1+$AV12)+(($AW12+($AX12-$AW12)*IF(VLOOKUP($Q12,武学奇术!$A:$ZZ,31,FALSE)=1,$F$18,0.5))*IF($G$1="裂石",$AJ12,$AH12)+IF($G$1="裂石",$AK12*1.5,0))*(1+$AY12)*(1+$AZ12)+(($BA12+($BB12-$BA12)*IF(VLOOKUP($Q12,武学奇术!$A:$ZZ,31,FALSE)=1,$F$18,0.5))*IF($G$1="牵丝",$AJ12,$AH12)+IF($G$1="牵丝",$AK12*1.5,0))*(1+$BC12)*(1+$BD12)+(($BE12+($BF12-$BE12)*IF(VLOOKUP($Q12,武学奇术!$A:$ZZ,31,FALSE)=1,$F$18,0.5))*IF($G$1="破竹",$AJ12,$AH12)+IF($G$1="破竹",$AK12*1.5,0))*(1+$BG12)*(1+$BH12))*(1+$AL12)*$P12*(1+IF(VLOOKUP($Q12,武学奇术!$A:$ZZ,30,FALSE)="蓄力技",$B$21,0))*(1+$BQ12)</f>
        <v>28232.7826908235</v>
      </c>
      <c r="O12" s="39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24612.1999614689</v>
      </c>
      <c r="P12" s="40">
        <v>1</v>
      </c>
      <c r="Q12" s="41" t="s">
        <v>111</v>
      </c>
      <c r="R12" s="41" t="s">
        <v>79</v>
      </c>
      <c r="S12" s="41" t="s">
        <v>72</v>
      </c>
      <c r="T12" s="41" t="s">
        <v>72</v>
      </c>
      <c r="U12" s="41" t="s">
        <v>73</v>
      </c>
      <c r="V12" s="41" t="s">
        <v>72</v>
      </c>
      <c r="W12" s="41" t="s">
        <v>72</v>
      </c>
      <c r="X12" s="41" t="s">
        <v>80</v>
      </c>
      <c r="Y12" s="41" t="s">
        <v>81</v>
      </c>
      <c r="Z12" s="41" t="s">
        <v>72</v>
      </c>
      <c r="AA12" s="41" t="s">
        <v>72</v>
      </c>
      <c r="AB12" s="41" t="s">
        <v>72</v>
      </c>
      <c r="AC12" s="41" t="s">
        <v>72</v>
      </c>
      <c r="AD12" s="41" t="s">
        <v>72</v>
      </c>
      <c r="AE12" s="41" t="s">
        <v>75</v>
      </c>
      <c r="AF12" s="41" t="s">
        <v>76</v>
      </c>
      <c r="AG12" t="str">
        <f>VLOOKUP($Q12,武学奇术!$A:$ZZ,25,FALSE)</f>
        <v>拳甲</v>
      </c>
      <c r="AH12" s="27">
        <f>VLOOKUP($Q12,武学奇术!$A:$ZZ,26,FALSE)</f>
        <v>2.4421</v>
      </c>
      <c r="AI12" s="28">
        <f>VLOOKUP($Q12,武学奇术!$A:$ZZ,27,FALSE)*(1+IF(OR($AG12=$F$4,$AG12=$F$5),$B$22,0))</f>
        <v>945</v>
      </c>
      <c r="AJ12" s="27">
        <f>VLOOKUP($Q12,武学奇术!$A:$ZZ,28,FALSE)</f>
        <v>3.6634</v>
      </c>
      <c r="AK12" s="28">
        <f>VLOOKUP($Q12,武学奇术!$A:$ZZ,29,FALSE)*(1+IF(OR($AG12=$F$4,$AG12=$F$5),$B$22,0))</f>
        <v>512.4</v>
      </c>
      <c r="AL12" s="27" cm="1">
        <f t="array" ref="AL12">$G$3+IFERROR(VLOOKUP($AG12,$F$4:$G$7,2,FALSE),0)+VLOOKUP($Q12,武学奇术!$A:$ZZ,2,FALSE)+SUM(_xlfn.XLOOKUP($R12:$AF12,增益!$A:$A,增益!$B:$B,0))</f>
        <v>0.3141</v>
      </c>
      <c r="AM12" s="27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3742.006</v>
      </c>
      <c r="AO12" cm="1">
        <f t="array" ref="AO12">$E$10*(1+$AM12)+VLOOKUP($Q12,武学奇术!$A:$ZZ,4,FALSE)+SUM(_xlfn.XLOOKUP($R12:$AF12,增益!$A:$A,增益!$D:$D,0))-$I$2</f>
        <v>3742.006</v>
      </c>
      <c r="AP12" s="33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0.187</v>
      </c>
      <c r="AQ12" s="33" cm="1">
        <f t="array" ref="AQ12">$G$10+VLOOKUP($Q12,武学奇术!$A:$ZZ,7,FALSE)+SUM(_xlfn.XLOOKUP(R12:AF12,增益!$A:$A,增益!$G:$G,0))</f>
        <v>0.09</v>
      </c>
      <c r="AR12" s="27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3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-0.14</v>
      </c>
      <c r="AV12" s="33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3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-0.14</v>
      </c>
      <c r="AZ12" s="33" cm="1">
        <f t="array" ref="AZ12">$G$12+VLOOKUP($Q12,武学奇术!$A:$ZZ,12,FALSE)+SUM(_xlfn.XLOOKUP(R12:AF12,增益!$A:$A,增益!$L:$L,0))</f>
        <v>0</v>
      </c>
      <c r="BA12">
        <f t="shared" si="5"/>
        <v>0</v>
      </c>
      <c r="BB12">
        <f t="shared" si="6"/>
        <v>0</v>
      </c>
      <c r="BC12" s="33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-0.14</v>
      </c>
      <c r="BD12" s="33" cm="1">
        <f t="array" ref="BD12">$G$13+VLOOKUP($Q12,武学奇术!$A:$ZZ,14,FALSE)+SUM(_xlfn.XLOOKUP(R12:AF12,增益!$A:$A,增益!$N:$N,0))</f>
        <v>0</v>
      </c>
      <c r="BE12">
        <f t="shared" si="7"/>
        <v>570.28</v>
      </c>
      <c r="BF12">
        <f t="shared" si="8"/>
        <v>1582.156</v>
      </c>
      <c r="BG12" s="33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0.08</v>
      </c>
      <c r="BH12" s="33" cm="1">
        <f t="array" ref="BH12">$G$14+VLOOKUP($Q12,武学奇术!$A:$ZZ,16,FALSE)+SUM(_xlfn.XLOOKUP(R12:AF12,增益!$A:$A,增益!$P:$P,0))</f>
        <v>0.24</v>
      </c>
      <c r="BI12" s="27">
        <f>MIN(IF(VLOOKUP($Q12,武学奇术!$A:$ZZ,23,FALSE)=1,100%,$B$8),100%)</f>
        <v>1</v>
      </c>
      <c r="BJ12" s="27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+MIN(IF(VLOOKUP($Q12,武学奇术!$A:$ZZ,32,FALSE)=1,IF(VLOOKUP($Q12,武学奇术!$A:$ZZ,24,FALSE)=1,100%,MIN(40%,$B$10+VLOOKUP($Q12,武学奇术!$A:$ZZ,19,FALSE)+SUM(_xlfn.XLOOKUP(R12:AF12,增益!$A:$A,增益!$S:$S,0)))+$B$12+SUM(_xlfn.XLOOKUP(R12:AF12,增益!$A:$A,增益!$V:$V,0))),0),12%)</f>
        <v>0.918</v>
      </c>
      <c r="BK12" s="27" cm="1">
        <f t="array" ref="BK12">1+$B$13+VLOOKUP($Q12,武学奇术!$A:$ZZ,18,FALSE)+SUM(_xlfn.XLOOKUP(R12:AF12,增益!$A:$A,增益!$R:$R,0))</f>
        <v>1.56</v>
      </c>
      <c r="BL12" s="27" cm="1">
        <f t="array" ref="BL12">MAX(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-IF(VLOOKUP($Q12,武学奇术!$A:$ZZ,32,FALSE)=1,12%,0),0)</f>
        <v>0.0895</v>
      </c>
      <c r="BM12" s="27" cm="1">
        <f t="array" ref="BM12">1+$B$14+VLOOKUP($Q12,武学奇术!$A:$ZZ,20,FALSE)+SUM(_xlfn.XLOOKUP(R12:AF12,增益!$A:$A,增益!$T:$T,0))</f>
        <v>1.35</v>
      </c>
      <c r="BN12" s="27">
        <f t="shared" si="9"/>
        <v>0.9105</v>
      </c>
      <c r="BO12" s="27">
        <f t="shared" si="10"/>
        <v>0</v>
      </c>
      <c r="BP12" s="27">
        <f>IF(VLOOKUP($Q12,武学奇术!$A:$ZZ,22,FALSE)=1,0,(1-$BI12))*(1-$BL12)</f>
        <v>0</v>
      </c>
      <c r="BQ12" s="27" cm="1">
        <f t="array" ref="BQ12">SUM(_xlfn.XLOOKUP(R12:AF12,增益!$A:$A,增益!$W:$W,0))+$I$5</f>
        <v>0.11</v>
      </c>
    </row>
    <row r="13" ht="14.25" spans="1:69">
      <c r="A13" s="42" t="s">
        <v>112</v>
      </c>
      <c r="B13" s="70">
        <f>期望!B13</f>
        <v>0.54</v>
      </c>
      <c r="C13" s="12" t="s">
        <v>87</v>
      </c>
      <c r="D13" s="28">
        <f>期望!D13</f>
        <v>0</v>
      </c>
      <c r="E13" s="28">
        <f>期望!E13</f>
        <v>0</v>
      </c>
      <c r="F13" s="28">
        <f>期望!F13</f>
        <v>0</v>
      </c>
      <c r="G13" s="50">
        <f>期望!G13</f>
        <v>0</v>
      </c>
      <c r="H13" s="71"/>
      <c r="I13" s="78"/>
      <c r="J13" s="76"/>
      <c r="K13" s="39">
        <f t="shared" si="0"/>
        <v>23501.1068356981</v>
      </c>
      <c r="L13" s="39">
        <f>((($AN13+($AO13-$AN13)*IF(VLOOKUP($Q13,武学奇术!$A:$ZZ,31,FALSE)=1,$F$18,0.5))*$AH13+$AI13)*(1+$AP13)*(1+$AQ13)+(($AS13+($AT13-$AS13)*IF(VLOOKUP($Q13,武学奇术!$A:$ZZ,31,FALSE)=1,$F$18,0.5))*IF($G$1="鸣金",$AJ13,$AH13)+IF($G$1="鸣金",$AK13*1.5,0))*(1+$AU13)*(1+$AV13)+(($AW13+($AX13-$AW13)*IF(VLOOKUP($Q13,武学奇术!$A:$ZZ,31,FALSE)=1,$F$18,0.5))*IF($G$1="裂石",$AJ13,$AH13)+IF($G$1="裂石",$AK13*1.5,0))*(1+$AY13)*(1+$AZ13)+(($BA13+($BB13-$BA13)*IF(VLOOKUP($Q13,武学奇术!$A:$ZZ,31,FALSE)=1,$F$18,0.5))*IF($G$1="牵丝",$AJ13,$AH13)+IF($G$1="牵丝",$AK13*1.5,0))*(1+$BC13)*(1+$BD13)+(($BE13+($BF13-$BE13)*IF(VLOOKUP($Q13,武学奇术!$A:$ZZ,31,FALSE)=1,$F$18,0.5))*IF($G$1="破竹",$AJ13,$AH13)+IF($G$1="破竹",$AK13*1.5,0))*(1+$BG13)*(1+$BH13))*(1+$AL13)*$BK13*$P13*(1+IF(VLOOKUP($Q13,武学奇术!$A:$ZZ,30,FALSE)="蓄力技",$B$21,0))*(1+$BQ13)</f>
        <v>23552.4921215778</v>
      </c>
      <c r="M13" s="39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22978.3548491787</v>
      </c>
      <c r="N13" s="39">
        <f>((($AN13+($AO13-$AN13)*IF(VLOOKUP($Q13,武学奇术!$A:$ZZ,31,FALSE)=1,$F$18,0.5))*$AH13+$AI13)*(1+$AP13)*(1+$AQ13)+(($AS13+($AT13-$AS13)*IF(VLOOKUP($Q13,武学奇术!$A:$ZZ,31,FALSE)=1,$F$18,0.5))*IF($G$1="鸣金",$AJ13,$AH13)+IF($G$1="鸣金",$AK13*1.5,0))*(1+$AU13)*(1+$AV13)+(($AW13+($AX13-$AW13)*IF(VLOOKUP($Q13,武学奇术!$A:$ZZ,31,FALSE)=1,$F$18,0.5))*IF($G$1="裂石",$AJ13,$AH13)+IF($G$1="裂石",$AK13*1.5,0))*(1+$AY13)*(1+$AZ13)+(($BA13+($BB13-$BA13)*IF(VLOOKUP($Q13,武学奇术!$A:$ZZ,31,FALSE)=1,$F$18,0.5))*IF($G$1="牵丝",$AJ13,$AH13)+IF($G$1="牵丝",$AK13*1.5,0))*(1+$BC13)*(1+$BD13)+(($BE13+($BF13-$BE13)*IF(VLOOKUP($Q13,武学奇术!$A:$ZZ,31,FALSE)=1,$F$18,0.5))*IF($G$1="破竹",$AJ13,$AH13)+IF($G$1="破竹",$AK13*1.5,0))*(1+$BG13)*(1+$BH13))*(1+$AL13)*$P13*(1+IF(VLOOKUP($Q13,武学奇术!$A:$ZZ,30,FALSE)="蓄力技",$B$21,0))*(1+$BQ13)</f>
        <v>15097.7513599858</v>
      </c>
      <c r="O13" s="39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13174.4991279873</v>
      </c>
      <c r="P13" s="40">
        <v>1</v>
      </c>
      <c r="Q13" s="41" t="s">
        <v>106</v>
      </c>
      <c r="R13" s="41" t="s">
        <v>85</v>
      </c>
      <c r="S13" s="41" t="s">
        <v>72</v>
      </c>
      <c r="T13" s="41" t="s">
        <v>72</v>
      </c>
      <c r="U13" s="41" t="s">
        <v>73</v>
      </c>
      <c r="V13" s="41" t="s">
        <v>72</v>
      </c>
      <c r="W13" s="41" t="s">
        <v>72</v>
      </c>
      <c r="X13" s="41" t="s">
        <v>80</v>
      </c>
      <c r="Y13" s="41" t="s">
        <v>81</v>
      </c>
      <c r="Z13" s="41" t="s">
        <v>72</v>
      </c>
      <c r="AA13" s="41" t="s">
        <v>72</v>
      </c>
      <c r="AB13" s="41" t="s">
        <v>72</v>
      </c>
      <c r="AC13" s="41" t="s">
        <v>72</v>
      </c>
      <c r="AD13" s="41" t="s">
        <v>72</v>
      </c>
      <c r="AE13" s="41" t="s">
        <v>75</v>
      </c>
      <c r="AF13" s="41" t="s">
        <v>76</v>
      </c>
      <c r="AG13" t="str">
        <f>VLOOKUP($Q13,武学奇术!$A:$ZZ,25,FALSE)</f>
        <v>拳甲</v>
      </c>
      <c r="AH13" s="27">
        <f>VLOOKUP($Q13,武学奇术!$A:$ZZ,26,FALSE)</f>
        <v>1.2876</v>
      </c>
      <c r="AI13" s="28">
        <f>VLOOKUP($Q13,武学奇术!$A:$ZZ,27,FALSE)*(1+IF(OR($AG13=$F$4,$AG13=$F$5),$B$22,0))</f>
        <v>501.2</v>
      </c>
      <c r="AJ13" s="27">
        <f>VLOOKUP($Q13,武学奇术!$A:$ZZ,28,FALSE)</f>
        <v>1.9313</v>
      </c>
      <c r="AK13" s="28">
        <f>VLOOKUP($Q13,武学奇术!$A:$ZZ,29,FALSE)*(1+IF(OR($AG13=$F$4,$AG13=$F$5),$B$22,0))</f>
        <v>273</v>
      </c>
      <c r="AL13" s="27" cm="1">
        <f t="array" ref="AL13">$G$3+IFERROR(VLOOKUP($AG13,$F$4:$G$7,2,FALSE),0)+VLOOKUP($Q13,武学奇术!$A:$ZZ,2,FALSE)+SUM(_xlfn.XLOOKUP($R13:$AF13,增益!$A:$A,增益!$B:$B,0))</f>
        <v>0.3241</v>
      </c>
      <c r="AM13" s="27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3742.006</v>
      </c>
      <c r="AO13" cm="1">
        <f t="array" ref="AO13">$E$10*(1+$AM13)+VLOOKUP($Q13,武学奇术!$A:$ZZ,4,FALSE)+SUM(_xlfn.XLOOKUP($R13:$AF13,增益!$A:$A,增益!$D:$D,0))-$I$2</f>
        <v>3742.006</v>
      </c>
      <c r="AP13" s="33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0.197</v>
      </c>
      <c r="AQ13" s="33" cm="1">
        <f t="array" ref="AQ13">$G$10+VLOOKUP($Q13,武学奇术!$A:$ZZ,7,FALSE)+SUM(_xlfn.XLOOKUP(R13:AF13,增益!$A:$A,增益!$G:$G,0))</f>
        <v>0.09</v>
      </c>
      <c r="AR13" s="27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3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-0.14</v>
      </c>
      <c r="AV13" s="33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3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-0.14</v>
      </c>
      <c r="AZ13" s="33" cm="1">
        <f t="array" ref="AZ13">$G$12+VLOOKUP($Q13,武学奇术!$A:$ZZ,12,FALSE)+SUM(_xlfn.XLOOKUP(R13:AF13,增益!$A:$A,增益!$L:$L,0))</f>
        <v>0</v>
      </c>
      <c r="BA13">
        <f t="shared" si="5"/>
        <v>0</v>
      </c>
      <c r="BB13">
        <f t="shared" si="6"/>
        <v>0</v>
      </c>
      <c r="BC13" s="33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-0.14</v>
      </c>
      <c r="BD13" s="33" cm="1">
        <f t="array" ref="BD13">$G$13+VLOOKUP($Q13,武学奇术!$A:$ZZ,14,FALSE)+SUM(_xlfn.XLOOKUP(R13:AF13,增益!$A:$A,增益!$N:$N,0))</f>
        <v>0</v>
      </c>
      <c r="BE13">
        <f t="shared" si="7"/>
        <v>570.28</v>
      </c>
      <c r="BF13">
        <f t="shared" si="8"/>
        <v>1582.156</v>
      </c>
      <c r="BG13" s="33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0.08</v>
      </c>
      <c r="BH13" s="33" cm="1">
        <f t="array" ref="BH13">$G$14+VLOOKUP($Q13,武学奇术!$A:$ZZ,16,FALSE)+SUM(_xlfn.XLOOKUP(R13:AF13,增益!$A:$A,增益!$P:$P,0))</f>
        <v>0.24</v>
      </c>
      <c r="BI13" s="27">
        <f>MIN(IF(VLOOKUP($Q13,武学奇术!$A:$ZZ,23,FALSE)=1,100%,$B$8),100%)</f>
        <v>1</v>
      </c>
      <c r="BJ13" s="27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+MIN(IF(VLOOKUP($Q13,武学奇术!$A:$ZZ,32,FALSE)=1,IF(VLOOKUP($Q13,武学奇术!$A:$ZZ,24,FALSE)=1,100%,MIN(40%,$B$10+VLOOKUP($Q13,武学奇术!$A:$ZZ,19,FALSE)+SUM(_xlfn.XLOOKUP(R13:AF13,增益!$A:$A,增益!$S:$S,0)))+$B$12+SUM(_xlfn.XLOOKUP(R13:AF13,增益!$A:$A,增益!$V:$V,0))),0),12%)</f>
        <v>0.918</v>
      </c>
      <c r="BK13" s="27" cm="1">
        <f t="array" ref="BK13">1+$B$13+VLOOKUP($Q13,武学奇术!$A:$ZZ,18,FALSE)+SUM(_xlfn.XLOOKUP(R13:AF13,增益!$A:$A,增益!$R:$R,0))</f>
        <v>1.56</v>
      </c>
      <c r="BL13" s="27" cm="1">
        <f t="array" ref="BL13">MAX(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-IF(VLOOKUP($Q13,武学奇术!$A:$ZZ,32,FALSE)=1,12%,0),0)</f>
        <v>0.0895</v>
      </c>
      <c r="BM13" s="27" cm="1">
        <f t="array" ref="BM13">1+$B$14+VLOOKUP($Q13,武学奇术!$A:$ZZ,20,FALSE)+SUM(_xlfn.XLOOKUP(R13:AF13,增益!$A:$A,增益!$T:$T,0))</f>
        <v>1.35</v>
      </c>
      <c r="BN13" s="27">
        <f t="shared" si="9"/>
        <v>0.9105</v>
      </c>
      <c r="BO13" s="27">
        <f t="shared" si="10"/>
        <v>0</v>
      </c>
      <c r="BP13" s="27">
        <f>IF(VLOOKUP($Q13,武学奇术!$A:$ZZ,22,FALSE)=1,0,(1-$BI13))*(1-$BL13)</f>
        <v>0</v>
      </c>
      <c r="BQ13" s="27" cm="1">
        <f t="array" ref="BQ13">SUM(_xlfn.XLOOKUP(R13:AF13,增益!$A:$A,增益!$W:$W,0))+$I$5</f>
        <v>0.11</v>
      </c>
    </row>
    <row r="14" ht="14.25" spans="1:69">
      <c r="A14" s="42" t="s">
        <v>113</v>
      </c>
      <c r="B14" s="70">
        <f>期望!B14</f>
        <v>0.35</v>
      </c>
      <c r="C14" s="14" t="s">
        <v>5</v>
      </c>
      <c r="D14" s="79">
        <f>期望!D14</f>
        <v>570.28</v>
      </c>
      <c r="E14" s="79">
        <f>期望!E14</f>
        <v>1582.156</v>
      </c>
      <c r="F14" s="79">
        <f>期望!F14</f>
        <v>30</v>
      </c>
      <c r="G14" s="64">
        <f>期望!G14</f>
        <v>0.15</v>
      </c>
      <c r="H14" s="37" t="s">
        <v>114</v>
      </c>
      <c r="I14" s="73">
        <f>I12</f>
        <v>114405.59455825</v>
      </c>
      <c r="J14" s="74"/>
      <c r="K14" s="39">
        <f t="shared" si="0"/>
        <v>55694.2630319564</v>
      </c>
      <c r="L14" s="39">
        <f>((($AN14+($AO14-$AN14)*IF(VLOOKUP($Q14,武学奇术!$A:$ZZ,31,FALSE)=1,$F$18,0.5))*$AH14+$AI14)*(1+$AP14)*(1+$AQ14)+(($AS14+($AT14-$AS14)*IF(VLOOKUP($Q14,武学奇术!$A:$ZZ,31,FALSE)=1,$F$18,0.5))*IF($G$1="鸣金",$AJ14,$AH14)+IF($G$1="鸣金",$AK14*1.5,0))*(1+$AU14)*(1+$AV14)+(($AW14+($AX14-$AW14)*IF(VLOOKUP($Q14,武学奇术!$A:$ZZ,31,FALSE)=1,$F$18,0.5))*IF($G$1="裂石",$AJ14,$AH14)+IF($G$1="裂石",$AK14*1.5,0))*(1+$AY14)*(1+$AZ14)+(($BA14+($BB14-$BA14)*IF(VLOOKUP($Q14,武学奇术!$A:$ZZ,31,FALSE)=1,$F$18,0.5))*IF($G$1="牵丝",$AJ14,$AH14)+IF($G$1="牵丝",$AK14*1.5,0))*(1+$BC14)*(1+$BD14)+(($BE14+($BF14-$BE14)*IF(VLOOKUP($Q14,武学奇术!$A:$ZZ,31,FALSE)=1,$F$18,0.5))*IF($G$1="破竹",$AJ14,$AH14)+IF($G$1="破竹",$AK14*1.5,0))*(1+$BG14)*(1+$BH14))*(1+$AL14)*$BK14*$P14*(1+IF(VLOOKUP($Q14,武学奇术!$A:$ZZ,30,FALSE)="蓄力技",$B$21,0))*(1+$BQ14)</f>
        <v>56551.0596312114</v>
      </c>
      <c r="M14" s="39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46977.9132708199</v>
      </c>
      <c r="N14" s="39">
        <f>((($AN14+($AO14-$AN14)*IF(VLOOKUP($Q14,武学奇术!$A:$ZZ,31,FALSE)=1,$F$18,0.5))*$AH14+$AI14)*(1+$AP14)*(1+$AQ14)+(($AS14+($AT14-$AS14)*IF(VLOOKUP($Q14,武学奇术!$A:$ZZ,31,FALSE)=1,$F$18,0.5))*IF($G$1="鸣金",$AJ14,$AH14)+IF($G$1="鸣金",$AK14*1.5,0))*(1+$AU14)*(1+$AV14)+(($AW14+($AX14-$AW14)*IF(VLOOKUP($Q14,武学奇术!$A:$ZZ,31,FALSE)=1,$F$18,0.5))*IF($G$1="裂石",$AJ14,$AH14)+IF($G$1="裂石",$AK14*1.5,0))*(1+$AY14)*(1+$AZ14)+(($BA14+($BB14-$BA14)*IF(VLOOKUP($Q14,武学奇术!$A:$ZZ,31,FALSE)=1,$F$18,0.5))*IF($G$1="牵丝",$AJ14,$AH14)+IF($G$1="牵丝",$AK14*1.5,0))*(1+$BC14)*(1+$BD14)+(($BE14+($BF14-$BE14)*IF(VLOOKUP($Q14,武学奇术!$A:$ZZ,31,FALSE)=1,$F$18,0.5))*IF($G$1="破竹",$AJ14,$AH14)+IF($G$1="破竹",$AK14*1.5,0))*(1+$BG14)*(1+$BH14))*(1+$AL14)*$P14*(1+IF(VLOOKUP($Q14,武学奇术!$A:$ZZ,30,FALSE)="蓄力技",$B$21,0))*(1+$BQ14)</f>
        <v>30403.7955006513</v>
      </c>
      <c r="O14" s="39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26009.1367266212</v>
      </c>
      <c r="P14" s="40">
        <v>1</v>
      </c>
      <c r="Q14" s="41" t="s">
        <v>108</v>
      </c>
      <c r="R14" s="41" t="s">
        <v>85</v>
      </c>
      <c r="S14" s="41" t="s">
        <v>72</v>
      </c>
      <c r="T14" s="41" t="s">
        <v>72</v>
      </c>
      <c r="U14" s="41" t="s">
        <v>73</v>
      </c>
      <c r="V14" s="41" t="s">
        <v>72</v>
      </c>
      <c r="W14" s="41" t="s">
        <v>72</v>
      </c>
      <c r="X14" s="41" t="s">
        <v>80</v>
      </c>
      <c r="Y14" s="41" t="s">
        <v>81</v>
      </c>
      <c r="Z14" s="41" t="s">
        <v>101</v>
      </c>
      <c r="AA14" s="41" t="s">
        <v>72</v>
      </c>
      <c r="AB14" s="41" t="s">
        <v>72</v>
      </c>
      <c r="AC14" s="41" t="s">
        <v>72</v>
      </c>
      <c r="AD14" s="41" t="s">
        <v>72</v>
      </c>
      <c r="AE14" s="41" t="s">
        <v>75</v>
      </c>
      <c r="AF14" s="41" t="s">
        <v>76</v>
      </c>
      <c r="AG14" t="str">
        <f>VLOOKUP($Q14,武学奇术!$A:$ZZ,25,FALSE)</f>
        <v>拳甲</v>
      </c>
      <c r="AH14" s="27">
        <f>VLOOKUP($Q14,武学奇术!$A:$ZZ,26,FALSE)</f>
        <v>2.33376</v>
      </c>
      <c r="AI14" s="28">
        <f>VLOOKUP($Q14,武学奇术!$A:$ZZ,27,FALSE)*(1+IF(OR($AG14=$F$4,$AG14=$F$5),$B$22,0))</f>
        <v>0</v>
      </c>
      <c r="AJ14" s="27">
        <f>VLOOKUP($Q14,武学奇术!$A:$ZZ,28,FALSE)</f>
        <v>3.50064</v>
      </c>
      <c r="AK14" s="28">
        <f>VLOOKUP($Q14,武学奇术!$A:$ZZ,29,FALSE)*(1+IF(OR($AG14=$F$4,$AG14=$F$5),$B$22,0))</f>
        <v>0</v>
      </c>
      <c r="AL14" s="27" cm="1">
        <f t="array" ref="AL14">$G$3+IFERROR(VLOOKUP($AG14,$F$4:$G$7,2,FALSE),0)+VLOOKUP($Q14,武学奇术!$A:$ZZ,2,FALSE)+SUM(_xlfn.XLOOKUP($R14:$AF14,增益!$A:$A,增益!$B:$B,0))</f>
        <v>0.6241</v>
      </c>
      <c r="AM14" s="27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3742.006</v>
      </c>
      <c r="AO14" cm="1">
        <f t="array" ref="AO14">$E$10*(1+$AM14)+VLOOKUP($Q14,武学奇术!$A:$ZZ,4,FALSE)+SUM(_xlfn.XLOOKUP($R14:$AF14,增益!$A:$A,增益!$D:$D,0))-$I$2</f>
        <v>3742.006</v>
      </c>
      <c r="AP14" s="33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0.227</v>
      </c>
      <c r="AQ14" s="33" cm="1">
        <f t="array" ref="AQ14">$G$10+VLOOKUP($Q14,武学奇术!$A:$ZZ,7,FALSE)+SUM(_xlfn.XLOOKUP(R14:AF14,增益!$A:$A,增益!$G:$G,0))</f>
        <v>0.09</v>
      </c>
      <c r="AR14" s="27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3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-0.08</v>
      </c>
      <c r="AV14" s="33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3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-0.08</v>
      </c>
      <c r="AZ14" s="33" cm="1">
        <f t="array" ref="AZ14">$G$12+VLOOKUP($Q14,武学奇术!$A:$ZZ,12,FALSE)+SUM(_xlfn.XLOOKUP(R14:AF14,增益!$A:$A,增益!$L:$L,0))</f>
        <v>0</v>
      </c>
      <c r="BA14">
        <f t="shared" si="5"/>
        <v>0</v>
      </c>
      <c r="BB14">
        <f t="shared" si="6"/>
        <v>0</v>
      </c>
      <c r="BC14" s="33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-0.08</v>
      </c>
      <c r="BD14" s="33" cm="1">
        <f t="array" ref="BD14">$G$13+VLOOKUP($Q14,武学奇术!$A:$ZZ,14,FALSE)+SUM(_xlfn.XLOOKUP(R14:AF14,增益!$A:$A,增益!$N:$N,0))</f>
        <v>0</v>
      </c>
      <c r="BE14">
        <f t="shared" si="7"/>
        <v>570.28</v>
      </c>
      <c r="BF14">
        <f t="shared" si="8"/>
        <v>1582.156</v>
      </c>
      <c r="BG14" s="33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0.11</v>
      </c>
      <c r="BH14" s="33" cm="1">
        <f t="array" ref="BH14">$G$14+VLOOKUP($Q14,武学奇术!$A:$ZZ,16,FALSE)+SUM(_xlfn.XLOOKUP(R14:AF14,增益!$A:$A,增益!$P:$P,0))</f>
        <v>0.24</v>
      </c>
      <c r="BI14" s="27">
        <f>MIN(IF(VLOOKUP($Q14,武学奇术!$A:$ZZ,23,FALSE)=1,100%,$B$8),100%)</f>
        <v>1</v>
      </c>
      <c r="BJ14" s="27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+MIN(IF(VLOOKUP($Q14,武学奇术!$A:$ZZ,32,FALSE)=1,IF(VLOOKUP($Q14,武学奇术!$A:$ZZ,24,FALSE)=1,100%,MIN(40%,$B$10+VLOOKUP($Q14,武学奇术!$A:$ZZ,19,FALSE)+SUM(_xlfn.XLOOKUP(R14:AF14,增益!$A:$A,增益!$S:$S,0)))+$B$12+SUM(_xlfn.XLOOKUP(R14:AF14,增益!$A:$A,增益!$V:$V,0))),0),12%)</f>
        <v>0.918</v>
      </c>
      <c r="BK14" s="27" cm="1">
        <f t="array" ref="BK14">1+$B$13+VLOOKUP($Q14,武学奇术!$A:$ZZ,18,FALSE)+SUM(_xlfn.XLOOKUP(R14:AF14,增益!$A:$A,增益!$R:$R,0))</f>
        <v>1.86</v>
      </c>
      <c r="BL14" s="27" cm="1">
        <f t="array" ref="BL14">MAX(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-IF(VLOOKUP($Q14,武学奇术!$A:$ZZ,32,FALSE)=1,12%,0),0)</f>
        <v>0.0895</v>
      </c>
      <c r="BM14" s="27" cm="1">
        <f t="array" ref="BM14">1+$B$14+VLOOKUP($Q14,武学奇术!$A:$ZZ,20,FALSE)+SUM(_xlfn.XLOOKUP(R14:AF14,增益!$A:$A,增益!$T:$T,0))</f>
        <v>1.35</v>
      </c>
      <c r="BN14" s="27">
        <f t="shared" si="9"/>
        <v>0.9105</v>
      </c>
      <c r="BO14" s="27">
        <f t="shared" si="10"/>
        <v>0</v>
      </c>
      <c r="BP14" s="27">
        <f>IF(VLOOKUP($Q14,武学奇术!$A:$ZZ,22,FALSE)=1,0,(1-$BI14))*(1-$BL14)</f>
        <v>0</v>
      </c>
      <c r="BQ14" s="27" cm="1">
        <f t="array" ref="BQ14">SUM(_xlfn.XLOOKUP(R14:AF14,增益!$A:$A,增益!$W:$W,0))+$I$5</f>
        <v>0.11</v>
      </c>
    </row>
    <row r="15" ht="14.25" spans="1:69">
      <c r="A15" s="42" t="s">
        <v>115</v>
      </c>
      <c r="B15" s="70">
        <f>期望!B15</f>
        <v>0.0852</v>
      </c>
      <c r="C15" s="40" t="s">
        <v>116</v>
      </c>
      <c r="D15" s="40"/>
      <c r="F15" s="80"/>
      <c r="H15" s="81"/>
      <c r="I15" s="75"/>
      <c r="J15" s="76"/>
      <c r="K15" s="39">
        <f t="shared" si="0"/>
        <v>14490.7159094434</v>
      </c>
      <c r="L15" s="39">
        <f>((($AN15+($AO15-$AN15)*IF(VLOOKUP($Q15,武学奇术!$A:$ZZ,31,FALSE)=1,$F$18,0.5))*$AH15+$AI15)*(1+$AP15)*(1+$AQ15)+(($AS15+($AT15-$AS15)*IF(VLOOKUP($Q15,武学奇术!$A:$ZZ,31,FALSE)=1,$F$18,0.5))*IF($G$1="鸣金",$AJ15,$AH15)+IF($G$1="鸣金",$AK15*1.5,0))*(1+$AU15)*(1+$AV15)+(($AW15+($AX15-$AW15)*IF(VLOOKUP($Q15,武学奇术!$A:$ZZ,31,FALSE)=1,$F$18,0.5))*IF($G$1="裂石",$AJ15,$AH15)+IF($G$1="裂石",$AK15*1.5,0))*(1+$AY15)*(1+$AZ15)+(($BA15+($BB15-$BA15)*IF(VLOOKUP($Q15,武学奇术!$A:$ZZ,31,FALSE)=1,$F$18,0.5))*IF($G$1="牵丝",$AJ15,$AH15)+IF($G$1="牵丝",$AK15*1.5,0))*(1+$BC15)*(1+$BD15)+(($BE15+($BF15-$BE15)*IF(VLOOKUP($Q15,武学奇术!$A:$ZZ,31,FALSE)=1,$F$18,0.5))*IF($G$1="破竹",$AJ15,$AH15)+IF($G$1="破竹",$AK15*1.5,0))*(1+$BG15)*(1+$BH15))*(1+$AL15)*$BK15*$P15*(1+IF(VLOOKUP($Q15,武学奇术!$A:$ZZ,30,FALSE)="蓄力技",$B$21,0))*(1+$BQ15)</f>
        <v>14715.2760260966</v>
      </c>
      <c r="M15" s="39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12206.2244433796</v>
      </c>
      <c r="N15" s="39">
        <f>((($AN15+($AO15-$AN15)*IF(VLOOKUP($Q15,武学奇术!$A:$ZZ,31,FALSE)=1,$F$18,0.5))*$AH15+$AI15)*(1+$AP15)*(1+$AQ15)+(($AS15+($AT15-$AS15)*IF(VLOOKUP($Q15,武学奇术!$A:$ZZ,31,FALSE)=1,$F$18,0.5))*IF($G$1="鸣金",$AJ15,$AH15)+IF($G$1="鸣金",$AK15*1.5,0))*(1+$AU15)*(1+$AV15)+(($AW15+($AX15-$AW15)*IF(VLOOKUP($Q15,武学奇术!$A:$ZZ,31,FALSE)=1,$F$18,0.5))*IF($G$1="裂石",$AJ15,$AH15)+IF($G$1="裂石",$AK15*1.5,0))*(1+$AY15)*(1+$AZ15)+(($BA15+($BB15-$BA15)*IF(VLOOKUP($Q15,武学奇术!$A:$ZZ,31,FALSE)=1,$F$18,0.5))*IF($G$1="牵丝",$AJ15,$AH15)+IF($G$1="牵丝",$AK15*1.5,0))*(1+$BC15)*(1+$BD15)+(($BE15+($BF15-$BE15)*IF(VLOOKUP($Q15,武学奇术!$A:$ZZ,31,FALSE)=1,$F$18,0.5))*IF($G$1="破竹",$AJ15,$AH15)+IF($G$1="破竹",$AK15*1.5,0))*(1+$BG15)*(1+$BH15))*(1+$AL15)*$P15*(1+IF(VLOOKUP($Q15,武学奇术!$A:$ZZ,30,FALSE)="蓄力技",$B$21,0))*(1+$BQ15)</f>
        <v>8085.31649785526</v>
      </c>
      <c r="O15" s="39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7128.98525987377</v>
      </c>
      <c r="P15" s="40">
        <v>1</v>
      </c>
      <c r="Q15" s="41" t="s">
        <v>117</v>
      </c>
      <c r="R15" s="41" t="s">
        <v>90</v>
      </c>
      <c r="S15" s="41" t="s">
        <v>118</v>
      </c>
      <c r="T15" s="41" t="s">
        <v>119</v>
      </c>
      <c r="U15" s="41" t="s">
        <v>73</v>
      </c>
      <c r="V15" s="41" t="s">
        <v>72</v>
      </c>
      <c r="W15" s="41" t="s">
        <v>72</v>
      </c>
      <c r="X15" s="41" t="s">
        <v>86</v>
      </c>
      <c r="Y15" s="41" t="s">
        <v>81</v>
      </c>
      <c r="Z15" s="41" t="s">
        <v>72</v>
      </c>
      <c r="AA15" s="41" t="s">
        <v>72</v>
      </c>
      <c r="AB15" s="41" t="s">
        <v>72</v>
      </c>
      <c r="AC15" s="41" t="s">
        <v>72</v>
      </c>
      <c r="AD15" s="41" t="s">
        <v>72</v>
      </c>
      <c r="AE15" s="41" t="s">
        <v>75</v>
      </c>
      <c r="AF15" s="41" t="s">
        <v>76</v>
      </c>
      <c r="AG15" t="str">
        <f>VLOOKUP($Q15,武学奇术!$A:$ZZ,25,FALSE)</f>
        <v>拳甲</v>
      </c>
      <c r="AH15" s="27">
        <f>VLOOKUP($Q15,武学奇术!$A:$ZZ,26,FALSE)</f>
        <v>0.5712</v>
      </c>
      <c r="AI15" s="28">
        <f>VLOOKUP($Q15,武学奇术!$A:$ZZ,27,FALSE)*(1+IF(OR($AG15=$F$4,$AG15=$F$5),$B$22,0))</f>
        <v>224</v>
      </c>
      <c r="AJ15" s="27">
        <f>VLOOKUP($Q15,武学奇术!$A:$ZZ,28,FALSE)</f>
        <v>0.8568</v>
      </c>
      <c r="AK15" s="28">
        <f>VLOOKUP($Q15,武学奇术!$A:$ZZ,29,FALSE)*(1+IF(OR($AG15=$F$4,$AG15=$F$5),$B$22,0))</f>
        <v>121.8</v>
      </c>
      <c r="AL15" s="27" cm="1">
        <f t="array" ref="AL15">$G$3+IFERROR(VLOOKUP($AG15,$F$4:$G$7,2,FALSE),0)+VLOOKUP($Q15,武学奇术!$A:$ZZ,2,FALSE)+SUM(_xlfn.XLOOKUP($R15:$AF15,增益!$A:$A,增益!$B:$B,0))</f>
        <v>0.4841</v>
      </c>
      <c r="AM15" s="27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3742.006</v>
      </c>
      <c r="AO15" cm="1">
        <f t="array" ref="AO15">$E$10*(1+$AM15)+VLOOKUP($Q15,武学奇术!$A:$ZZ,4,FALSE)+SUM(_xlfn.XLOOKUP($R15:$AF15,增益!$A:$A,增益!$D:$D,0))-$I$2</f>
        <v>3742.006</v>
      </c>
      <c r="AP15" s="33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0.332</v>
      </c>
      <c r="AQ15" s="33" cm="1">
        <f t="array" ref="AQ15">$G$10+VLOOKUP($Q15,武学奇术!$A:$ZZ,7,FALSE)+SUM(_xlfn.XLOOKUP(R15:AF15,增益!$A:$A,增益!$G:$G,0))</f>
        <v>0.09</v>
      </c>
      <c r="AR15" s="27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3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-0.14</v>
      </c>
      <c r="AV15" s="33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3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-0.14</v>
      </c>
      <c r="AZ15" s="33" cm="1">
        <f t="array" ref="AZ15">$G$12+VLOOKUP($Q15,武学奇术!$A:$ZZ,12,FALSE)+SUM(_xlfn.XLOOKUP(R15:AF15,增益!$A:$A,增益!$L:$L,0))</f>
        <v>0</v>
      </c>
      <c r="BA15">
        <f t="shared" si="5"/>
        <v>0</v>
      </c>
      <c r="BB15">
        <f t="shared" si="6"/>
        <v>0</v>
      </c>
      <c r="BC15" s="33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-0.14</v>
      </c>
      <c r="BD15" s="33" cm="1">
        <f t="array" ref="BD15">$G$13+VLOOKUP($Q15,武学奇术!$A:$ZZ,14,FALSE)+SUM(_xlfn.XLOOKUP(R15:AF15,增益!$A:$A,增益!$N:$N,0))</f>
        <v>0</v>
      </c>
      <c r="BE15">
        <f t="shared" si="7"/>
        <v>570.28</v>
      </c>
      <c r="BF15">
        <f t="shared" si="8"/>
        <v>1582.156</v>
      </c>
      <c r="BG15" s="33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0.08</v>
      </c>
      <c r="BH15" s="33" cm="1">
        <f t="array" ref="BH15">$G$14+VLOOKUP($Q15,武学奇术!$A:$ZZ,16,FALSE)+SUM(_xlfn.XLOOKUP(R15:AF15,增益!$A:$A,增益!$P:$P,0))</f>
        <v>0.24</v>
      </c>
      <c r="BI15" s="27">
        <f>MIN(IF(VLOOKUP($Q15,武学奇术!$A:$ZZ,23,FALSE)=1,100%,$B$8),100%)</f>
        <v>1</v>
      </c>
      <c r="BJ15" s="27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+MIN(IF(VLOOKUP($Q15,武学奇术!$A:$ZZ,32,FALSE)=1,IF(VLOOKUP($Q15,武学奇术!$A:$ZZ,24,FALSE)=1,100%,MIN(40%,$B$10+VLOOKUP($Q15,武学奇术!$A:$ZZ,19,FALSE)+SUM(_xlfn.XLOOKUP(R15:AF15,增益!$A:$A,增益!$S:$S,0)))+$B$12+SUM(_xlfn.XLOOKUP(R15:AF15,增益!$A:$A,增益!$V:$V,0))),0),12%)</f>
        <v>0.918</v>
      </c>
      <c r="BK15" s="27" cm="1">
        <f t="array" ref="BK15">1+$B$13+VLOOKUP($Q15,武学奇术!$A:$ZZ,18,FALSE)+SUM(_xlfn.XLOOKUP(R15:AF15,增益!$A:$A,增益!$R:$R,0))</f>
        <v>1.82</v>
      </c>
      <c r="BL15" s="27" cm="1">
        <f t="array" ref="BL15">MAX(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-IF(VLOOKUP($Q15,武学奇术!$A:$ZZ,32,FALSE)=1,12%,0),0)</f>
        <v>0.0895</v>
      </c>
      <c r="BM15" s="27" cm="1">
        <f t="array" ref="BM15">1+$B$14+VLOOKUP($Q15,武学奇术!$A:$ZZ,20,FALSE)+SUM(_xlfn.XLOOKUP(R15:AF15,增益!$A:$A,增益!$T:$T,0))</f>
        <v>1.35</v>
      </c>
      <c r="BN15" s="27">
        <f t="shared" si="9"/>
        <v>0.9105</v>
      </c>
      <c r="BO15" s="27">
        <f t="shared" si="10"/>
        <v>0</v>
      </c>
      <c r="BP15" s="27">
        <f>IF(VLOOKUP($Q15,武学奇术!$A:$ZZ,22,FALSE)=1,0,(1-$BI15))*(1-$BL15)</f>
        <v>0</v>
      </c>
      <c r="BQ15" s="27" cm="1">
        <f t="array" ref="BQ15">SUM(_xlfn.XLOOKUP(R15:AF15,增益!$A:$A,增益!$W:$W,0))+$I$5</f>
        <v>0.11</v>
      </c>
    </row>
    <row r="16" spans="1:69">
      <c r="A16" s="42" t="s">
        <v>120</v>
      </c>
      <c r="B16" s="70">
        <f>期望!B16</f>
        <v>0.0887</v>
      </c>
      <c r="C16" s="40" t="s">
        <v>121</v>
      </c>
      <c r="D16" s="80" t="s">
        <v>192</v>
      </c>
      <c r="E16" s="40" t="s">
        <v>123</v>
      </c>
      <c r="F16" s="80" t="s">
        <v>122</v>
      </c>
      <c r="H16" s="68" t="s">
        <v>124</v>
      </c>
      <c r="I16" s="82"/>
      <c r="J16" s="83"/>
      <c r="K16" s="39">
        <f t="shared" si="0"/>
        <v>905509.774057608</v>
      </c>
      <c r="L16" s="39">
        <f>((($AN16+($AO16-$AN16)*IF(VLOOKUP($Q16,武学奇术!$A:$ZZ,31,FALSE)=1,$F$18,0.5))*$AH16+$AI16)*(1+$AP16)*(1+$AQ16)+(($AS16+($AT16-$AS16)*IF(VLOOKUP($Q16,武学奇术!$A:$ZZ,31,FALSE)=1,$F$18,0.5))*IF($G$1="鸣金",$AJ16,$AH16)+IF($G$1="鸣金",$AK16*1.5,0))*(1+$AU16)*(1+$AV16)+(($AW16+($AX16-$AW16)*IF(VLOOKUP($Q16,武学奇术!$A:$ZZ,31,FALSE)=1,$F$18,0.5))*IF($G$1="裂石",$AJ16,$AH16)+IF($G$1="裂石",$AK16*1.5,0))*(1+$AY16)*(1+$AZ16)+(($BA16+($BB16-$BA16)*IF(VLOOKUP($Q16,武学奇术!$A:$ZZ,31,FALSE)=1,$F$18,0.5))*IF($G$1="牵丝",$AJ16,$AH16)+IF($G$1="牵丝",$AK16*1.5,0))*(1+$BC16)*(1+$BD16)+(($BE16+($BF16-$BE16)*IF(VLOOKUP($Q16,武学奇术!$A:$ZZ,31,FALSE)=1,$F$18,0.5))*IF($G$1="破竹",$AJ16,$AH16)+IF($G$1="破竹",$AK16*1.5,0))*(1+$BG16)*(1+$BH16))*(1+$AL16)*$BK16*$P16*(1+IF(VLOOKUP($Q16,武学奇术!$A:$ZZ,30,FALSE)="蓄力技",$B$21,0))*(1+$BQ16)</f>
        <v>905509.774057608</v>
      </c>
      <c r="M16" s="39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589228.67611991</v>
      </c>
      <c r="N16" s="39">
        <f>((($AN16+($AO16-$AN16)*IF(VLOOKUP($Q16,武学奇术!$A:$ZZ,31,FALSE)=1,$F$18,0.5))*$AH16+$AI16)*(1+$AP16)*(1+$AQ16)+(($AS16+($AT16-$AS16)*IF(VLOOKUP($Q16,武学奇术!$A:$ZZ,31,FALSE)=1,$F$18,0.5))*IF($G$1="鸣金",$AJ16,$AH16)+IF($G$1="鸣金",$AK16*1.5,0))*(1+$AU16)*(1+$AV16)+(($AW16+($AX16-$AW16)*IF(VLOOKUP($Q16,武学奇术!$A:$ZZ,31,FALSE)=1,$F$18,0.5))*IF($G$1="裂石",$AJ16,$AH16)+IF($G$1="裂石",$AK16*1.5,0))*(1+$AY16)*(1+$AZ16)+(($BA16+($BB16-$BA16)*IF(VLOOKUP($Q16,武学奇术!$A:$ZZ,31,FALSE)=1,$F$18,0.5))*IF($G$1="牵丝",$AJ16,$AH16)+IF($G$1="牵丝",$AK16*1.5,0))*(1+$BC16)*(1+$BD16)+(($BE16+($BF16-$BE16)*IF(VLOOKUP($Q16,武学奇术!$A:$ZZ,31,FALSE)=1,$F$18,0.5))*IF($G$1="破竹",$AJ16,$AH16)+IF($G$1="破竹",$AK16*1.5,0))*(1+$BG16)*(1+$BH16))*(1+$AL16)*$P16*(1+IF(VLOOKUP($Q16,武学奇术!$A:$ZZ,30,FALSE)="蓄力技",$B$21,0))*(1+$BQ16)</f>
        <v>390305.937093796</v>
      </c>
      <c r="O16" s="39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344146.188172845</v>
      </c>
      <c r="P16" s="40">
        <v>1</v>
      </c>
      <c r="Q16" s="41" t="s">
        <v>125</v>
      </c>
      <c r="R16" s="41" t="s">
        <v>93</v>
      </c>
      <c r="S16" s="41" t="s">
        <v>118</v>
      </c>
      <c r="T16" s="41" t="s">
        <v>119</v>
      </c>
      <c r="U16" s="41" t="s">
        <v>73</v>
      </c>
      <c r="V16" s="41" t="s">
        <v>72</v>
      </c>
      <c r="W16" s="41" t="s">
        <v>72</v>
      </c>
      <c r="X16" s="41" t="s">
        <v>86</v>
      </c>
      <c r="Y16" s="41" t="s">
        <v>81</v>
      </c>
      <c r="Z16" s="41" t="s">
        <v>101</v>
      </c>
      <c r="AA16" s="41" t="s">
        <v>72</v>
      </c>
      <c r="AB16" s="41" t="s">
        <v>72</v>
      </c>
      <c r="AC16" s="41" t="s">
        <v>72</v>
      </c>
      <c r="AD16" s="41" t="s">
        <v>72</v>
      </c>
      <c r="AE16" s="41" t="s">
        <v>75</v>
      </c>
      <c r="AF16" s="41" t="s">
        <v>76</v>
      </c>
      <c r="AG16" t="str">
        <f>VLOOKUP($Q16,武学奇术!$A:$ZZ,25,FALSE)</f>
        <v>拳甲</v>
      </c>
      <c r="AH16" s="27">
        <f>VLOOKUP($Q16,武学奇术!$A:$ZZ,26,FALSE)</f>
        <v>16.8107</v>
      </c>
      <c r="AI16" s="28">
        <f>VLOOKUP($Q16,武学奇术!$A:$ZZ,27,FALSE)*(1+IF(OR($AG16=$F$4,$AG16=$F$5),$B$22,0))</f>
        <v>6505.8</v>
      </c>
      <c r="AJ16" s="27">
        <f>VLOOKUP($Q16,武学奇术!$A:$ZZ,28,FALSE)</f>
        <v>25.2161</v>
      </c>
      <c r="AK16" s="28">
        <f>VLOOKUP($Q16,武学奇术!$A:$ZZ,29,FALSE)*(1+IF(OR($AG16=$F$4,$AG16=$F$5),$B$22,0))</f>
        <v>3546.2</v>
      </c>
      <c r="AL16" s="27" cm="1">
        <f t="array" ref="AL16">$G$3+IFERROR(VLOOKUP($AG16,$F$4:$G$7,2,FALSE),0)+VLOOKUP($Q16,武学奇术!$A:$ZZ,2,FALSE)+SUM(_xlfn.XLOOKUP($R16:$AF16,增益!$A:$A,增益!$B:$B,0))</f>
        <v>0.7941</v>
      </c>
      <c r="AM16" s="27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3742.006</v>
      </c>
      <c r="AO16" cm="1">
        <f t="array" ref="AO16">$E$10*(1+$AM16)+VLOOKUP($Q16,武学奇术!$A:$ZZ,4,FALSE)+SUM(_xlfn.XLOOKUP($R16:$AF16,增益!$A:$A,增益!$D:$D,0))-$I$2</f>
        <v>3742.006</v>
      </c>
      <c r="AP16" s="33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0.372</v>
      </c>
      <c r="AQ16" s="33" cm="1">
        <f t="array" ref="AQ16">$G$10+VLOOKUP($Q16,武学奇术!$A:$ZZ,7,FALSE)+SUM(_xlfn.XLOOKUP(R16:AF16,增益!$A:$A,增益!$G:$G,0))</f>
        <v>0.09</v>
      </c>
      <c r="AR16" s="27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3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-0.08</v>
      </c>
      <c r="AV16" s="33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3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-0.08</v>
      </c>
      <c r="AZ16" s="33" cm="1">
        <f t="array" ref="AZ16">$G$12+VLOOKUP($Q16,武学奇术!$A:$ZZ,12,FALSE)+SUM(_xlfn.XLOOKUP(R16:AF16,增益!$A:$A,增益!$L:$L,0))</f>
        <v>0</v>
      </c>
      <c r="BA16">
        <f t="shared" si="5"/>
        <v>0</v>
      </c>
      <c r="BB16">
        <f t="shared" si="6"/>
        <v>0</v>
      </c>
      <c r="BC16" s="33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-0.08</v>
      </c>
      <c r="BD16" s="33" cm="1">
        <f t="array" ref="BD16">$G$13+VLOOKUP($Q16,武学奇术!$A:$ZZ,14,FALSE)+SUM(_xlfn.XLOOKUP(R16:AF16,增益!$A:$A,增益!$N:$N,0))</f>
        <v>0</v>
      </c>
      <c r="BE16">
        <f t="shared" si="7"/>
        <v>570.28</v>
      </c>
      <c r="BF16">
        <f t="shared" si="8"/>
        <v>1582.156</v>
      </c>
      <c r="BG16" s="33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0.11</v>
      </c>
      <c r="BH16" s="33" cm="1">
        <f t="array" ref="BH16">$G$14+VLOOKUP($Q16,武学奇术!$A:$ZZ,16,FALSE)+SUM(_xlfn.XLOOKUP(R16:AF16,增益!$A:$A,增益!$P:$P,0))</f>
        <v>0.24</v>
      </c>
      <c r="BI16" s="27">
        <f>MIN(IF(VLOOKUP($Q16,武学奇术!$A:$ZZ,23,FALSE)=1,100%,$B$8),100%)</f>
        <v>1</v>
      </c>
      <c r="BJ16" s="27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+MIN(IF(VLOOKUP($Q16,武学奇术!$A:$ZZ,32,FALSE)=1,IF(VLOOKUP($Q16,武学奇术!$A:$ZZ,24,FALSE)=1,100%,MIN(40%,$B$10+VLOOKUP($Q16,武学奇术!$A:$ZZ,19,FALSE)+SUM(_xlfn.XLOOKUP(R16:AF16,增益!$A:$A,增益!$S:$S,0)))+$B$12+SUM(_xlfn.XLOOKUP(R16:AF16,增益!$A:$A,增益!$V:$V,0))),0),12%)</f>
        <v>1.0075</v>
      </c>
      <c r="BK16" s="27" cm="1">
        <f t="array" ref="BK16">1+$B$13+VLOOKUP($Q16,武学奇术!$A:$ZZ,18,FALSE)+SUM(_xlfn.XLOOKUP(R16:AF16,增益!$A:$A,增益!$R:$R,0))</f>
        <v>2.32</v>
      </c>
      <c r="BL16" s="27" cm="1">
        <f t="array" ref="BL16">MAX(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-IF(VLOOKUP($Q16,武学奇术!$A:$ZZ,32,FALSE)=1,12%,0),0)</f>
        <v>0</v>
      </c>
      <c r="BM16" s="27" cm="1">
        <f t="array" ref="BM16">1+$B$14+VLOOKUP($Q16,武学奇术!$A:$ZZ,20,FALSE)+SUM(_xlfn.XLOOKUP(R16:AF16,增益!$A:$A,增益!$T:$T,0))</f>
        <v>1.35</v>
      </c>
      <c r="BN16" s="27">
        <f t="shared" si="9"/>
        <v>1</v>
      </c>
      <c r="BO16" s="27">
        <f t="shared" si="10"/>
        <v>0</v>
      </c>
      <c r="BP16" s="27">
        <f>IF(VLOOKUP($Q16,武学奇术!$A:$ZZ,22,FALSE)=1,0,(1-$BI16))*(1-$BL16)</f>
        <v>0</v>
      </c>
      <c r="BQ16" s="27" cm="1">
        <f t="array" ref="BQ16">SUM(_xlfn.XLOOKUP(R16:AF16,增益!$A:$A,增益!$W:$W,0))+$I$5</f>
        <v>0.11</v>
      </c>
    </row>
    <row r="17" ht="14.25" spans="1:69">
      <c r="A17" s="42" t="s">
        <v>126</v>
      </c>
      <c r="B17" s="70">
        <f>期望!B17</f>
        <v>0.0852</v>
      </c>
      <c r="C17" s="40" t="s">
        <v>127</v>
      </c>
      <c r="D17" s="80" t="s">
        <v>192</v>
      </c>
      <c r="E17" s="40" t="s">
        <v>128</v>
      </c>
      <c r="F17" s="80" t="s">
        <v>192</v>
      </c>
      <c r="H17" s="71"/>
      <c r="I17" s="84"/>
      <c r="J17" s="85"/>
      <c r="K17" s="39">
        <f t="shared" si="0"/>
        <v>348633.050250185</v>
      </c>
      <c r="L17" s="39">
        <f>((($AN17+($AO17-$AN17)*IF(VLOOKUP($Q17,武学奇术!$A:$ZZ,31,FALSE)=1,$F$18,0.5))*$AH17+$AI17)*(1+$AP17)*(1+$AQ17)+(($AS17+($AT17-$AS17)*IF(VLOOKUP($Q17,武学奇术!$A:$ZZ,31,FALSE)=1,$F$18,0.5))*IF($G$1="鸣金",$AJ17,$AH17)+IF($G$1="鸣金",$AK17*1.5,0))*(1+$AU17)*(1+$AV17)+(($AW17+($AX17-$AW17)*IF(VLOOKUP($Q17,武学奇术!$A:$ZZ,31,FALSE)=1,$F$18,0.5))*IF($G$1="裂石",$AJ17,$AH17)+IF($G$1="裂石",$AK17*1.5,0))*(1+$AY17)*(1+$AZ17)+(($BA17+($BB17-$BA17)*IF(VLOOKUP($Q17,武学奇术!$A:$ZZ,31,FALSE)=1,$F$18,0.5))*IF($G$1="牵丝",$AJ17,$AH17)+IF($G$1="牵丝",$AK17*1.5,0))*(1+$BC17)*(1+$BD17)+(($BE17+($BF17-$BE17)*IF(VLOOKUP($Q17,武学奇术!$A:$ZZ,31,FALSE)=1,$F$18,0.5))*IF($G$1="破竹",$AJ17,$AH17)+IF($G$1="破竹",$AK17*1.5,0))*(1+$BG17)*(1+$BH17))*(1+$AL17)*$BK17*$P17*(1+IF(VLOOKUP($Q17,武学奇术!$A:$ZZ,30,FALSE)="蓄力技",$B$21,0))*(1+$BQ17)</f>
        <v>348633.050250185</v>
      </c>
      <c r="M17" s="39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226860.100667399</v>
      </c>
      <c r="N17" s="39">
        <f>((($AN17+($AO17-$AN17)*IF(VLOOKUP($Q17,武学奇术!$A:$ZZ,31,FALSE)=1,$F$18,0.5))*$AH17+$AI17)*(1+$AP17)*(1+$AQ17)+(($AS17+($AT17-$AS17)*IF(VLOOKUP($Q17,武学奇术!$A:$ZZ,31,FALSE)=1,$F$18,0.5))*IF($G$1="鸣金",$AJ17,$AH17)+IF($G$1="鸣金",$AK17*1.5,0))*(1+$AU17)*(1+$AV17)+(($AW17+($AX17-$AW17)*IF(VLOOKUP($Q17,武学奇术!$A:$ZZ,31,FALSE)=1,$F$18,0.5))*IF($G$1="裂石",$AJ17,$AH17)+IF($G$1="裂石",$AK17*1.5,0))*(1+$AY17)*(1+$AZ17)+(($BA17+($BB17-$BA17)*IF(VLOOKUP($Q17,武学奇术!$A:$ZZ,31,FALSE)=1,$F$18,0.5))*IF($G$1="牵丝",$AJ17,$AH17)+IF($G$1="牵丝",$AK17*1.5,0))*(1+$BC17)*(1+$BD17)+(($BE17+($BF17-$BE17)*IF(VLOOKUP($Q17,武学奇术!$A:$ZZ,31,FALSE)=1,$F$18,0.5))*IF($G$1="破竹",$AJ17,$AH17)+IF($G$1="破竹",$AK17*1.5,0))*(1+$BG17)*(1+$BH17))*(1+$AL17)*$P17*(1+IF(VLOOKUP($Q17,武学奇术!$A:$ZZ,30,FALSE)="蓄力技",$B$21,0))*(1+$BQ17)</f>
        <v>150272.866487149</v>
      </c>
      <c r="O17" s="39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132501.213961409</v>
      </c>
      <c r="P17" s="40">
        <v>1</v>
      </c>
      <c r="Q17" s="41" t="s">
        <v>129</v>
      </c>
      <c r="R17" s="41" t="s">
        <v>93</v>
      </c>
      <c r="S17" s="41" t="s">
        <v>118</v>
      </c>
      <c r="T17" s="41" t="s">
        <v>119</v>
      </c>
      <c r="U17" s="41" t="s">
        <v>73</v>
      </c>
      <c r="V17" s="41" t="s">
        <v>72</v>
      </c>
      <c r="W17" s="41" t="s">
        <v>72</v>
      </c>
      <c r="X17" s="41" t="s">
        <v>86</v>
      </c>
      <c r="Y17" s="41" t="s">
        <v>81</v>
      </c>
      <c r="Z17" s="41" t="s">
        <v>101</v>
      </c>
      <c r="AA17" s="41" t="s">
        <v>72</v>
      </c>
      <c r="AB17" s="41" t="s">
        <v>72</v>
      </c>
      <c r="AC17" s="41" t="s">
        <v>72</v>
      </c>
      <c r="AD17" s="41" t="s">
        <v>72</v>
      </c>
      <c r="AE17" s="41" t="s">
        <v>75</v>
      </c>
      <c r="AF17" s="41" t="s">
        <v>76</v>
      </c>
      <c r="AG17" t="str">
        <f>VLOOKUP($Q17,武学奇术!$A:$ZZ,25,FALSE)</f>
        <v>拳甲</v>
      </c>
      <c r="AH17" s="27">
        <f>VLOOKUP($Q17,武学奇术!$A:$ZZ,26,FALSE)</f>
        <v>6.4722</v>
      </c>
      <c r="AI17" s="28">
        <f>VLOOKUP($Q17,武学奇术!$A:$ZZ,27,FALSE)*(1+IF(OR($AG17=$F$4,$AG17=$F$5),$B$22,0))</f>
        <v>2504.88</v>
      </c>
      <c r="AJ17" s="27">
        <f>VLOOKUP($Q17,武学奇术!$A:$ZZ,28,FALSE)</f>
        <v>9.70828</v>
      </c>
      <c r="AK17" s="28">
        <f>VLOOKUP($Q17,武学奇术!$A:$ZZ,29,FALSE)*(1+IF(OR($AG17=$F$4,$AG17=$F$5),$B$22,0))</f>
        <v>1365.84</v>
      </c>
      <c r="AL17" s="27" cm="1">
        <f t="array" ref="AL17">$G$3+IFERROR(VLOOKUP($AG17,$F$4:$G$7,2,FALSE),0)+VLOOKUP($Q17,武学奇术!$A:$ZZ,2,FALSE)+SUM(_xlfn.XLOOKUP($R17:$AF17,增益!$A:$A,增益!$B:$B,0))</f>
        <v>0.7941</v>
      </c>
      <c r="AM17" s="27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3742.006</v>
      </c>
      <c r="AO17" cm="1">
        <f t="array" ref="AO17">$E$10*(1+$AM17)+VLOOKUP($Q17,武学奇术!$A:$ZZ,4,FALSE)+SUM(_xlfn.XLOOKUP($R17:$AF17,增益!$A:$A,增益!$D:$D,0))-$I$2</f>
        <v>3742.006</v>
      </c>
      <c r="AP17" s="33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0.372</v>
      </c>
      <c r="AQ17" s="33" cm="1">
        <f t="array" ref="AQ17">$G$10+VLOOKUP($Q17,武学奇术!$A:$ZZ,7,FALSE)+SUM(_xlfn.XLOOKUP(R17:AF17,增益!$A:$A,增益!$G:$G,0))</f>
        <v>0.09</v>
      </c>
      <c r="AR17" s="27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3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-0.08</v>
      </c>
      <c r="AV17" s="33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3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-0.08</v>
      </c>
      <c r="AZ17" s="33" cm="1">
        <f t="array" ref="AZ17">$G$12+VLOOKUP($Q17,武学奇术!$A:$ZZ,12,FALSE)+SUM(_xlfn.XLOOKUP(R17:AF17,增益!$A:$A,增益!$L:$L,0))</f>
        <v>0</v>
      </c>
      <c r="BA17">
        <f t="shared" si="5"/>
        <v>0</v>
      </c>
      <c r="BB17">
        <f t="shared" si="6"/>
        <v>0</v>
      </c>
      <c r="BC17" s="33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-0.08</v>
      </c>
      <c r="BD17" s="33" cm="1">
        <f t="array" ref="BD17">$G$13+VLOOKUP($Q17,武学奇术!$A:$ZZ,14,FALSE)+SUM(_xlfn.XLOOKUP(R17:AF17,增益!$A:$A,增益!$N:$N,0))</f>
        <v>0</v>
      </c>
      <c r="BE17">
        <f t="shared" si="7"/>
        <v>570.28</v>
      </c>
      <c r="BF17">
        <f t="shared" si="8"/>
        <v>1582.156</v>
      </c>
      <c r="BG17" s="33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0.11</v>
      </c>
      <c r="BH17" s="33" cm="1">
        <f t="array" ref="BH17">$G$14+VLOOKUP($Q17,武学奇术!$A:$ZZ,16,FALSE)+SUM(_xlfn.XLOOKUP(R17:AF17,增益!$A:$A,增益!$P:$P,0))</f>
        <v>0.24</v>
      </c>
      <c r="BI17" s="27">
        <f>MIN(IF(VLOOKUP($Q17,武学奇术!$A:$ZZ,23,FALSE)=1,100%,$B$8),100%)</f>
        <v>1</v>
      </c>
      <c r="BJ17" s="27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+MIN(IF(VLOOKUP($Q17,武学奇术!$A:$ZZ,32,FALSE)=1,IF(VLOOKUP($Q17,武学奇术!$A:$ZZ,24,FALSE)=1,100%,MIN(40%,$B$10+VLOOKUP($Q17,武学奇术!$A:$ZZ,19,FALSE)+SUM(_xlfn.XLOOKUP(R17:AF17,增益!$A:$A,增益!$S:$S,0)))+$B$12+SUM(_xlfn.XLOOKUP(R17:AF17,增益!$A:$A,增益!$V:$V,0))),0),12%)</f>
        <v>1.0075</v>
      </c>
      <c r="BK17" s="27" cm="1">
        <f t="array" ref="BK17">1+$B$13+VLOOKUP($Q17,武学奇术!$A:$ZZ,18,FALSE)+SUM(_xlfn.XLOOKUP(R17:AF17,增益!$A:$A,增益!$R:$R,0))</f>
        <v>2.32</v>
      </c>
      <c r="BL17" s="27" cm="1">
        <f t="array" ref="BL17">MAX(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-IF(VLOOKUP($Q17,武学奇术!$A:$ZZ,32,FALSE)=1,12%,0),0)</f>
        <v>0</v>
      </c>
      <c r="BM17" s="27" cm="1">
        <f t="array" ref="BM17">1+$B$14+VLOOKUP($Q17,武学奇术!$A:$ZZ,20,FALSE)+SUM(_xlfn.XLOOKUP(R17:AF17,增益!$A:$A,增益!$T:$T,0))</f>
        <v>1.35</v>
      </c>
      <c r="BN17" s="27">
        <f t="shared" si="9"/>
        <v>1</v>
      </c>
      <c r="BO17" s="27">
        <f t="shared" si="10"/>
        <v>0</v>
      </c>
      <c r="BP17" s="27">
        <f>IF(VLOOKUP($Q17,武学奇术!$A:$ZZ,22,FALSE)=1,0,(1-$BI17))*(1-$BL17)</f>
        <v>0</v>
      </c>
      <c r="BQ17" s="27" cm="1">
        <f t="array" ref="BQ17">SUM(_xlfn.XLOOKUP(R17:AF17,增益!$A:$A,增益!$W:$W,0))+$I$5</f>
        <v>0.11</v>
      </c>
    </row>
    <row r="18" spans="1:69">
      <c r="A18" s="42" t="s">
        <v>130</v>
      </c>
      <c r="B18" s="70">
        <f>期望!B18</f>
        <v>0</v>
      </c>
      <c r="C18" s="40" t="s">
        <v>131</v>
      </c>
      <c r="D18" s="80" t="s">
        <v>192</v>
      </c>
      <c r="E18" s="40" t="s">
        <v>132</v>
      </c>
      <c r="F18" s="86">
        <v>0.5</v>
      </c>
      <c r="K18" s="39">
        <f t="shared" si="0"/>
        <v>51407.3291718365</v>
      </c>
      <c r="L18" s="39">
        <f>((($AN18+($AO18-$AN18)*IF(VLOOKUP($Q18,武学奇术!$A:$ZZ,31,FALSE)=1,$F$18,0.5))*$AH18+$AI18)*(1+$AP18)*(1+$AQ18)+(($AS18+($AT18-$AS18)*IF(VLOOKUP($Q18,武学奇术!$A:$ZZ,31,FALSE)=1,$F$18,0.5))*IF($G$1="鸣金",$AJ18,$AH18)+IF($G$1="鸣金",$AK18*1.5,0))*(1+$AU18)*(1+$AV18)+(($AW18+($AX18-$AW18)*IF(VLOOKUP($Q18,武学奇术!$A:$ZZ,31,FALSE)=1,$F$18,0.5))*IF($G$1="裂石",$AJ18,$AH18)+IF($G$1="裂石",$AK18*1.5,0))*(1+$AY18)*(1+$AZ18)+(($BA18+($BB18-$BA18)*IF(VLOOKUP($Q18,武学奇术!$A:$ZZ,31,FALSE)=1,$F$18,0.5))*IF($G$1="牵丝",$AJ18,$AH18)+IF($G$1="牵丝",$AK18*1.5,0))*(1+$BC18)*(1+$BD18)+(($BE18+($BF18-$BE18)*IF(VLOOKUP($Q18,武学奇术!$A:$ZZ,31,FALSE)=1,$F$18,0.5))*IF($G$1="破竹",$AJ18,$AH18)+IF($G$1="破竹",$AK18*1.5,0))*(1+$BG18)*(1+$BH18))*(1+$AL18)*$BK18*$P18*(1+IF(VLOOKUP($Q18,武学奇术!$A:$ZZ,30,FALSE)="蓄力技",$B$21,0))*(1+$BQ18)</f>
        <v>51581.9861470017</v>
      </c>
      <c r="M18" s="39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49630.5115641509</v>
      </c>
      <c r="N18" s="39">
        <f>((($AN18+($AO18-$AN18)*IF(VLOOKUP($Q18,武学奇术!$A:$ZZ,31,FALSE)=1,$F$18,0.5))*$AH18+$AI18)*(1+$AP18)*(1+$AQ18)+(($AS18+($AT18-$AS18)*IF(VLOOKUP($Q18,武学奇术!$A:$ZZ,31,FALSE)=1,$F$18,0.5))*IF($G$1="鸣金",$AJ18,$AH18)+IF($G$1="鸣金",$AK18*1.5,0))*(1+$AU18)*(1+$AV18)+(($AW18+($AX18-$AW18)*IF(VLOOKUP($Q18,武学奇术!$A:$ZZ,31,FALSE)=1,$F$18,0.5))*IF($G$1="裂石",$AJ18,$AH18)+IF($G$1="裂石",$AK18*1.5,0))*(1+$AY18)*(1+$AZ18)+(($BA18+($BB18-$BA18)*IF(VLOOKUP($Q18,武学奇术!$A:$ZZ,31,FALSE)=1,$F$18,0.5))*IF($G$1="牵丝",$AJ18,$AH18)+IF($G$1="牵丝",$AK18*1.5,0))*(1+$BC18)*(1+$BD18)+(($BE18+($BF18-$BE18)*IF(VLOOKUP($Q18,武学奇术!$A:$ZZ,31,FALSE)=1,$F$18,0.5))*IF($G$1="破竹",$AJ18,$AH18)+IF($G$1="破竹",$AK18*1.5,0))*(1+$BG18)*(1+$BH18))*(1+$AL18)*$P18*(1+IF(VLOOKUP($Q18,武学奇术!$A:$ZZ,30,FALSE)="蓄力技",$B$21,0))*(1+$BQ18)</f>
        <v>32646.8266753175</v>
      </c>
      <c r="O18" s="39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28530.311451264</v>
      </c>
      <c r="P18" s="40">
        <v>1</v>
      </c>
      <c r="Q18" s="41" t="s">
        <v>111</v>
      </c>
      <c r="R18" s="41" t="s">
        <v>93</v>
      </c>
      <c r="S18" s="41" t="s">
        <v>72</v>
      </c>
      <c r="T18" s="41" t="s">
        <v>119</v>
      </c>
      <c r="U18" s="41" t="s">
        <v>73</v>
      </c>
      <c r="V18" s="41" t="s">
        <v>72</v>
      </c>
      <c r="W18" s="41" t="s">
        <v>72</v>
      </c>
      <c r="X18" s="41" t="s">
        <v>91</v>
      </c>
      <c r="Y18" s="41" t="s">
        <v>81</v>
      </c>
      <c r="Z18" s="41" t="s">
        <v>72</v>
      </c>
      <c r="AA18" s="41" t="s">
        <v>72</v>
      </c>
      <c r="AB18" s="41" t="s">
        <v>72</v>
      </c>
      <c r="AC18" s="41" t="s">
        <v>72</v>
      </c>
      <c r="AD18" s="41" t="s">
        <v>72</v>
      </c>
      <c r="AE18" s="41" t="s">
        <v>75</v>
      </c>
      <c r="AF18" s="41" t="s">
        <v>76</v>
      </c>
      <c r="AG18" t="str">
        <f>VLOOKUP($Q18,武学奇术!$A:$ZZ,25,FALSE)</f>
        <v>拳甲</v>
      </c>
      <c r="AH18" s="27">
        <f>VLOOKUP($Q18,武学奇术!$A:$ZZ,26,FALSE)</f>
        <v>2.4421</v>
      </c>
      <c r="AI18" s="28">
        <f>VLOOKUP($Q18,武学奇术!$A:$ZZ,27,FALSE)*(1+IF(OR($AG18=$F$4,$AG18=$F$5),$B$22,0))</f>
        <v>945</v>
      </c>
      <c r="AJ18" s="27">
        <f>VLOOKUP($Q18,武学奇术!$A:$ZZ,28,FALSE)</f>
        <v>3.6634</v>
      </c>
      <c r="AK18" s="28">
        <f>VLOOKUP($Q18,武学奇术!$A:$ZZ,29,FALSE)*(1+IF(OR($AG18=$F$4,$AG18=$F$5),$B$22,0))</f>
        <v>512.4</v>
      </c>
      <c r="AL18" s="27" cm="1">
        <f t="array" ref="AL18">$G$3+IFERROR(VLOOKUP($AG18,$F$4:$G$7,2,FALSE),0)+VLOOKUP($Q18,武学奇术!$A:$ZZ,2,FALSE)+SUM(_xlfn.XLOOKUP($R18:$AF18,增益!$A:$A,增益!$B:$B,0))</f>
        <v>0.4941</v>
      </c>
      <c r="AM18" s="27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3742.006</v>
      </c>
      <c r="AO18" cm="1">
        <f t="array" ref="AO18">$E$10*(1+$AM18)+VLOOKUP($Q18,武学奇术!$A:$ZZ,4,FALSE)+SUM(_xlfn.XLOOKUP($R18:$AF18,增益!$A:$A,增益!$D:$D,0))-$I$2</f>
        <v>3742.006</v>
      </c>
      <c r="AP18" s="33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0.217</v>
      </c>
      <c r="AQ18" s="33" cm="1">
        <f t="array" ref="AQ18">$G$10+VLOOKUP($Q18,武学奇术!$A:$ZZ,7,FALSE)+SUM(_xlfn.XLOOKUP(R18:AF18,增益!$A:$A,增益!$G:$G,0))</f>
        <v>0.09</v>
      </c>
      <c r="AR18" s="27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3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-0.14</v>
      </c>
      <c r="AV18" s="33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3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-0.14</v>
      </c>
      <c r="AZ18" s="33" cm="1">
        <f t="array" ref="AZ18">$G$12+VLOOKUP($Q18,武学奇术!$A:$ZZ,12,FALSE)+SUM(_xlfn.XLOOKUP(R18:AF18,增益!$A:$A,增益!$L:$L,0))</f>
        <v>0</v>
      </c>
      <c r="BA18">
        <f t="shared" si="5"/>
        <v>0</v>
      </c>
      <c r="BB18">
        <f t="shared" si="6"/>
        <v>0</v>
      </c>
      <c r="BC18" s="33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-0.14</v>
      </c>
      <c r="BD18" s="33" cm="1">
        <f t="array" ref="BD18">$G$13+VLOOKUP($Q18,武学奇术!$A:$ZZ,14,FALSE)+SUM(_xlfn.XLOOKUP(R18:AF18,增益!$A:$A,增益!$N:$N,0))</f>
        <v>0</v>
      </c>
      <c r="BE18">
        <f t="shared" si="7"/>
        <v>570.28</v>
      </c>
      <c r="BF18">
        <f t="shared" si="8"/>
        <v>1582.156</v>
      </c>
      <c r="BG18" s="33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0.08</v>
      </c>
      <c r="BH18" s="33" cm="1">
        <f t="array" ref="BH18">$G$14+VLOOKUP($Q18,武学奇术!$A:$ZZ,16,FALSE)+SUM(_xlfn.XLOOKUP(R18:AF18,增益!$A:$A,增益!$P:$P,0))</f>
        <v>0.24</v>
      </c>
      <c r="BI18" s="27">
        <f>MIN(IF(VLOOKUP($Q18,武学奇术!$A:$ZZ,23,FALSE)=1,100%,$B$8),100%)</f>
        <v>1</v>
      </c>
      <c r="BJ18" s="27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+MIN(IF(VLOOKUP($Q18,武学奇术!$A:$ZZ,32,FALSE)=1,IF(VLOOKUP($Q18,武学奇术!$A:$ZZ,24,FALSE)=1,100%,MIN(40%,$B$10+VLOOKUP($Q18,武学奇术!$A:$ZZ,19,FALSE)+SUM(_xlfn.XLOOKUP(R18:AF18,增益!$A:$A,增益!$S:$S,0)))+$B$12+SUM(_xlfn.XLOOKUP(R18:AF18,增益!$A:$A,增益!$V:$V,0))),0),12%)</f>
        <v>0.918</v>
      </c>
      <c r="BK18" s="27" cm="1">
        <f t="array" ref="BK18">1+$B$13+VLOOKUP($Q18,武学奇术!$A:$ZZ,18,FALSE)+SUM(_xlfn.XLOOKUP(R18:AF18,增益!$A:$A,增益!$R:$R,0))</f>
        <v>1.58</v>
      </c>
      <c r="BL18" s="27" cm="1">
        <f t="array" ref="BL18">MAX(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-IF(VLOOKUP($Q18,武学奇术!$A:$ZZ,32,FALSE)=1,12%,0),0)</f>
        <v>0.0895</v>
      </c>
      <c r="BM18" s="27" cm="1">
        <f t="array" ref="BM18">1+$B$14+VLOOKUP($Q18,武学奇术!$A:$ZZ,20,FALSE)+SUM(_xlfn.XLOOKUP(R18:AF18,增益!$A:$A,增益!$T:$T,0))</f>
        <v>1.35</v>
      </c>
      <c r="BN18" s="27">
        <f t="shared" si="9"/>
        <v>0.9105</v>
      </c>
      <c r="BO18" s="27">
        <f t="shared" si="10"/>
        <v>0</v>
      </c>
      <c r="BP18" s="27">
        <f>IF(VLOOKUP($Q18,武学奇术!$A:$ZZ,22,FALSE)=1,0,(1-$BI18))*(1-$BL18)</f>
        <v>0</v>
      </c>
      <c r="BQ18" s="27" cm="1">
        <f t="array" ref="BQ18">SUM(_xlfn.XLOOKUP(R18:AF18,增益!$A:$A,增益!$W:$W,0))+$I$5</f>
        <v>0.11</v>
      </c>
    </row>
    <row r="19" spans="1:69">
      <c r="A19" s="42" t="s">
        <v>134</v>
      </c>
      <c r="B19" s="70">
        <f>期望!B19</f>
        <v>0</v>
      </c>
      <c r="C19" s="40" t="s">
        <v>135</v>
      </c>
      <c r="D19" s="80" t="s">
        <v>192</v>
      </c>
      <c r="K19" s="39">
        <f t="shared" si="0"/>
        <v>27128.5259784598</v>
      </c>
      <c r="L19" s="39">
        <f>((($AN19+($AO19-$AN19)*IF(VLOOKUP($Q19,武学奇术!$A:$ZZ,31,FALSE)=1,$F$18,0.5))*$AH19+$AI19)*(1+$AP19)*(1+$AQ19)+(($AS19+($AT19-$AS19)*IF(VLOOKUP($Q19,武学奇术!$A:$ZZ,31,FALSE)=1,$F$18,0.5))*IF($G$1="鸣金",$AJ19,$AH19)+IF($G$1="鸣金",$AK19*1.5,0))*(1+$AU19)*(1+$AV19)+(($AW19+($AX19-$AW19)*IF(VLOOKUP($Q19,武学奇术!$A:$ZZ,31,FALSE)=1,$F$18,0.5))*IF($G$1="裂石",$AJ19,$AH19)+IF($G$1="裂石",$AK19*1.5,0))*(1+$AY19)*(1+$AZ19)+(($BA19+($BB19-$BA19)*IF(VLOOKUP($Q19,武学奇术!$A:$ZZ,31,FALSE)=1,$F$18,0.5))*IF($G$1="牵丝",$AJ19,$AH19)+IF($G$1="牵丝",$AK19*1.5,0))*(1+$BC19)*(1+$BD19)+(($BE19+($BF19-$BE19)*IF(VLOOKUP($Q19,武学奇术!$A:$ZZ,31,FALSE)=1,$F$18,0.5))*IF($G$1="破竹",$AJ19,$AH19)+IF($G$1="破竹",$AK19*1.5,0))*(1+$BG19)*(1+$BH19))*(1+$AL19)*$BK19*$P19*(1+IF(VLOOKUP($Q19,武学奇术!$A:$ZZ,30,FALSE)="蓄力技",$B$21,0))*(1+$BQ19)</f>
        <v>27220.9621497348</v>
      </c>
      <c r="M19" s="39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26188.1557667741</v>
      </c>
      <c r="N19" s="39">
        <f>((($AN19+($AO19-$AN19)*IF(VLOOKUP($Q19,武学奇术!$A:$ZZ,31,FALSE)=1,$F$18,0.5))*$AH19+$AI19)*(1+$AP19)*(1+$AQ19)+(($AS19+($AT19-$AS19)*IF(VLOOKUP($Q19,武学奇术!$A:$ZZ,31,FALSE)=1,$F$18,0.5))*IF($G$1="鸣金",$AJ19,$AH19)+IF($G$1="鸣金",$AK19*1.5,0))*(1+$AU19)*(1+$AV19)+(($AW19+($AX19-$AW19)*IF(VLOOKUP($Q19,武学奇术!$A:$ZZ,31,FALSE)=1,$F$18,0.5))*IF($G$1="裂石",$AJ19,$AH19)+IF($G$1="裂石",$AK19*1.5,0))*(1+$AY19)*(1+$AZ19)+(($BA19+($BB19-$BA19)*IF(VLOOKUP($Q19,武学奇术!$A:$ZZ,31,FALSE)=1,$F$18,0.5))*IF($G$1="牵丝",$AJ19,$AH19)+IF($G$1="牵丝",$AK19*1.5,0))*(1+$BC19)*(1+$BD19)+(($BE19+($BF19-$BE19)*IF(VLOOKUP($Q19,武学奇术!$A:$ZZ,31,FALSE)=1,$F$18,0.5))*IF($G$1="破竹",$AJ19,$AH19)+IF($G$1="破竹",$AK19*1.5,0))*(1+$BG19)*(1+$BH19))*(1+$AL19)*$P19*(1+IF(VLOOKUP($Q19,武学奇术!$A:$ZZ,30,FALSE)="蓄力技",$B$21,0))*(1+$BQ19)</f>
        <v>17228.4570567942</v>
      </c>
      <c r="O19" s="39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15058.2802122742</v>
      </c>
      <c r="P19" s="40">
        <v>1</v>
      </c>
      <c r="Q19" s="41" t="s">
        <v>106</v>
      </c>
      <c r="R19" s="41" t="s">
        <v>93</v>
      </c>
      <c r="S19" s="41" t="s">
        <v>72</v>
      </c>
      <c r="T19" s="41" t="s">
        <v>119</v>
      </c>
      <c r="U19" s="41" t="s">
        <v>73</v>
      </c>
      <c r="V19" s="41" t="s">
        <v>72</v>
      </c>
      <c r="W19" s="41" t="s">
        <v>72</v>
      </c>
      <c r="X19" s="41" t="s">
        <v>91</v>
      </c>
      <c r="Y19" s="41" t="s">
        <v>81</v>
      </c>
      <c r="Z19" s="41" t="s">
        <v>72</v>
      </c>
      <c r="AA19" s="41" t="s">
        <v>72</v>
      </c>
      <c r="AB19" s="41" t="s">
        <v>72</v>
      </c>
      <c r="AC19" s="41" t="s">
        <v>72</v>
      </c>
      <c r="AD19" s="41" t="s">
        <v>72</v>
      </c>
      <c r="AE19" s="41" t="s">
        <v>75</v>
      </c>
      <c r="AF19" s="41" t="s">
        <v>76</v>
      </c>
      <c r="AG19" t="str">
        <f>VLOOKUP($Q19,武学奇术!$A:$ZZ,25,FALSE)</f>
        <v>拳甲</v>
      </c>
      <c r="AH19" s="27">
        <f>VLOOKUP($Q19,武学奇术!$A:$ZZ,26,FALSE)</f>
        <v>1.2876</v>
      </c>
      <c r="AI19" s="28">
        <f>VLOOKUP($Q19,武学奇术!$A:$ZZ,27,FALSE)*(1+IF(OR($AG19=$F$4,$AG19=$F$5),$B$22,0))</f>
        <v>501.2</v>
      </c>
      <c r="AJ19" s="27">
        <f>VLOOKUP($Q19,武学奇术!$A:$ZZ,28,FALSE)</f>
        <v>1.9313</v>
      </c>
      <c r="AK19" s="28">
        <f>VLOOKUP($Q19,武学奇术!$A:$ZZ,29,FALSE)*(1+IF(OR($AG19=$F$4,$AG19=$F$5),$B$22,0))</f>
        <v>273</v>
      </c>
      <c r="AL19" s="27" cm="1">
        <f t="array" ref="AL19">$G$3+IFERROR(VLOOKUP($AG19,$F$4:$G$7,2,FALSE),0)+VLOOKUP($Q19,武学奇术!$A:$ZZ,2,FALSE)+SUM(_xlfn.XLOOKUP($R19:$AF19,增益!$A:$A,增益!$B:$B,0))</f>
        <v>0.4941</v>
      </c>
      <c r="AM19" s="27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3742.006</v>
      </c>
      <c r="AO19" cm="1">
        <f t="array" ref="AO19">$E$10*(1+$AM19)+VLOOKUP($Q19,武学奇术!$A:$ZZ,4,FALSE)+SUM(_xlfn.XLOOKUP($R19:$AF19,增益!$A:$A,增益!$D:$D,0))-$I$2</f>
        <v>3742.006</v>
      </c>
      <c r="AP19" s="33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0.217</v>
      </c>
      <c r="AQ19" s="33" cm="1">
        <f t="array" ref="AQ19">$G$10+VLOOKUP($Q19,武学奇术!$A:$ZZ,7,FALSE)+SUM(_xlfn.XLOOKUP(R19:AF19,增益!$A:$A,增益!$G:$G,0))</f>
        <v>0.09</v>
      </c>
      <c r="AR19" s="27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3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-0.14</v>
      </c>
      <c r="AV19" s="33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3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-0.14</v>
      </c>
      <c r="AZ19" s="33" cm="1">
        <f t="array" ref="AZ19">$G$12+VLOOKUP($Q19,武学奇术!$A:$ZZ,12,FALSE)+SUM(_xlfn.XLOOKUP(R19:AF19,增益!$A:$A,增益!$L:$L,0))</f>
        <v>0</v>
      </c>
      <c r="BA19">
        <f t="shared" si="5"/>
        <v>0</v>
      </c>
      <c r="BB19">
        <f t="shared" si="6"/>
        <v>0</v>
      </c>
      <c r="BC19" s="33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-0.14</v>
      </c>
      <c r="BD19" s="33" cm="1">
        <f t="array" ref="BD19">$G$13+VLOOKUP($Q19,武学奇术!$A:$ZZ,14,FALSE)+SUM(_xlfn.XLOOKUP(R19:AF19,增益!$A:$A,增益!$N:$N,0))</f>
        <v>0</v>
      </c>
      <c r="BE19">
        <f t="shared" si="7"/>
        <v>570.28</v>
      </c>
      <c r="BF19">
        <f t="shared" si="8"/>
        <v>1582.156</v>
      </c>
      <c r="BG19" s="33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0.08</v>
      </c>
      <c r="BH19" s="33" cm="1">
        <f t="array" ref="BH19">$G$14+VLOOKUP($Q19,武学奇术!$A:$ZZ,16,FALSE)+SUM(_xlfn.XLOOKUP(R19:AF19,增益!$A:$A,增益!$P:$P,0))</f>
        <v>0.24</v>
      </c>
      <c r="BI19" s="27">
        <f>MIN(IF(VLOOKUP($Q19,武学奇术!$A:$ZZ,23,FALSE)=1,100%,$B$8),100%)</f>
        <v>1</v>
      </c>
      <c r="BJ19" s="27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+MIN(IF(VLOOKUP($Q19,武学奇术!$A:$ZZ,32,FALSE)=1,IF(VLOOKUP($Q19,武学奇术!$A:$ZZ,24,FALSE)=1,100%,MIN(40%,$B$10+VLOOKUP($Q19,武学奇术!$A:$ZZ,19,FALSE)+SUM(_xlfn.XLOOKUP(R19:AF19,增益!$A:$A,增益!$S:$S,0)))+$B$12+SUM(_xlfn.XLOOKUP(R19:AF19,增益!$A:$A,增益!$V:$V,0))),0),12%)</f>
        <v>0.918</v>
      </c>
      <c r="BK19" s="27" cm="1">
        <f t="array" ref="BK19">1+$B$13+VLOOKUP($Q19,武学奇术!$A:$ZZ,18,FALSE)+SUM(_xlfn.XLOOKUP(R19:AF19,增益!$A:$A,增益!$R:$R,0))</f>
        <v>1.58</v>
      </c>
      <c r="BL19" s="27" cm="1">
        <f t="array" ref="BL19">MAX(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-IF(VLOOKUP($Q19,武学奇术!$A:$ZZ,32,FALSE)=1,12%,0),0)</f>
        <v>0.0895</v>
      </c>
      <c r="BM19" s="27" cm="1">
        <f t="array" ref="BM19">1+$B$14+VLOOKUP($Q19,武学奇术!$A:$ZZ,20,FALSE)+SUM(_xlfn.XLOOKUP(R19:AF19,增益!$A:$A,增益!$T:$T,0))</f>
        <v>1.35</v>
      </c>
      <c r="BN19" s="27">
        <f t="shared" si="9"/>
        <v>0.9105</v>
      </c>
      <c r="BO19" s="27">
        <f t="shared" si="10"/>
        <v>0</v>
      </c>
      <c r="BP19" s="27">
        <f>IF(VLOOKUP($Q19,武学奇术!$A:$ZZ,22,FALSE)=1,0,(1-$BI19))*(1-$BL19)</f>
        <v>0</v>
      </c>
      <c r="BQ19" s="27" cm="1">
        <f t="array" ref="BQ19">SUM(_xlfn.XLOOKUP(R19:AF19,增益!$A:$A,增益!$W:$W,0))+$I$5</f>
        <v>0.11</v>
      </c>
    </row>
    <row r="20" spans="1:69">
      <c r="A20" s="42" t="s">
        <v>136</v>
      </c>
      <c r="B20" s="70">
        <f>期望!B20</f>
        <v>0</v>
      </c>
      <c r="C20" s="40" t="s">
        <v>137</v>
      </c>
      <c r="D20" s="80" t="s">
        <v>192</v>
      </c>
      <c r="K20" s="39">
        <f t="shared" si="0"/>
        <v>62830.3525778667</v>
      </c>
      <c r="L20" s="39">
        <f>((($AN20+($AO20-$AN20)*IF(VLOOKUP($Q20,武学奇术!$A:$ZZ,31,FALSE)=1,$F$18,0.5))*$AH20+$AI20)*(1+$AP20)*(1+$AQ20)+(($AS20+($AT20-$AS20)*IF(VLOOKUP($Q20,武学奇术!$A:$ZZ,31,FALSE)=1,$F$18,0.5))*IF($G$1="鸣金",$AJ20,$AH20)+IF($G$1="鸣金",$AK20*1.5,0))*(1+$AU20)*(1+$AV20)+(($AW20+($AX20-$AW20)*IF(VLOOKUP($Q20,武学奇术!$A:$ZZ,31,FALSE)=1,$F$18,0.5))*IF($G$1="裂石",$AJ20,$AH20)+IF($G$1="裂石",$AK20*1.5,0))*(1+$AY20)*(1+$AZ20)+(($BA20+($BB20-$BA20)*IF(VLOOKUP($Q20,武学奇术!$A:$ZZ,31,FALSE)=1,$F$18,0.5))*IF($G$1="牵丝",$AJ20,$AH20)+IF($G$1="牵丝",$AK20*1.5,0))*(1+$BC20)*(1+$BD20)+(($BE20+($BF20-$BE20)*IF(VLOOKUP($Q20,武学奇术!$A:$ZZ,31,FALSE)=1,$F$18,0.5))*IF($G$1="破竹",$AJ20,$AH20)+IF($G$1="破竹",$AK20*1.5,0))*(1+$BG20)*(1+$BH20))*(1+$AL20)*$BK20*$P20*(1+IF(VLOOKUP($Q20,武学奇术!$A:$ZZ,30,FALSE)="蓄力技",$B$21,0))*(1+$BQ20)</f>
        <v>63854.9363396171</v>
      </c>
      <c r="M20" s="39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52407.0730798359</v>
      </c>
      <c r="N20" s="39">
        <f>((($AN20+($AO20-$AN20)*IF(VLOOKUP($Q20,武学奇术!$A:$ZZ,31,FALSE)=1,$F$18,0.5))*$AH20+$AI20)*(1+$AP20)*(1+$AQ20)+(($AS20+($AT20-$AS20)*IF(VLOOKUP($Q20,武学奇术!$A:$ZZ,31,FALSE)=1,$F$18,0.5))*IF($G$1="鸣金",$AJ20,$AH20)+IF($G$1="鸣金",$AK20*1.5,0))*(1+$AU20)*(1+$AV20)+(($AW20+($AX20-$AW20)*IF(VLOOKUP($Q20,武学奇术!$A:$ZZ,31,FALSE)=1,$F$18,0.5))*IF($G$1="裂石",$AJ20,$AH20)+IF($G$1="裂石",$AK20*1.5,0))*(1+$AY20)*(1+$AZ20)+(($BA20+($BB20-$BA20)*IF(VLOOKUP($Q20,武学奇术!$A:$ZZ,31,FALSE)=1,$F$18,0.5))*IF($G$1="牵丝",$AJ20,$AH20)+IF($G$1="牵丝",$AK20*1.5,0))*(1+$BC20)*(1+$BD20)+(($BE20+($BF20-$BE20)*IF(VLOOKUP($Q20,武学奇术!$A:$ZZ,31,FALSE)=1,$F$18,0.5))*IF($G$1="破竹",$AJ20,$AH20)+IF($G$1="破竹",$AK20*1.5,0))*(1+$BG20)*(1+$BH20))*(1+$AL20)*$P20*(1+IF(VLOOKUP($Q20,武学奇术!$A:$ZZ,30,FALSE)="蓄力技",$B$21,0))*(1+$BQ20)</f>
        <v>33965.3916700091</v>
      </c>
      <c r="O20" s="39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29110.7292068065</v>
      </c>
      <c r="P20" s="40">
        <v>1</v>
      </c>
      <c r="Q20" s="41" t="s">
        <v>108</v>
      </c>
      <c r="R20" s="41" t="s">
        <v>93</v>
      </c>
      <c r="S20" s="41" t="s">
        <v>72</v>
      </c>
      <c r="T20" s="41" t="s">
        <v>119</v>
      </c>
      <c r="U20" s="41" t="s">
        <v>73</v>
      </c>
      <c r="V20" s="41" t="s">
        <v>72</v>
      </c>
      <c r="W20" s="41" t="s">
        <v>72</v>
      </c>
      <c r="X20" s="41" t="s">
        <v>91</v>
      </c>
      <c r="Y20" s="41" t="s">
        <v>81</v>
      </c>
      <c r="Z20" s="41" t="s">
        <v>101</v>
      </c>
      <c r="AA20" s="41" t="s">
        <v>72</v>
      </c>
      <c r="AB20" s="41" t="s">
        <v>72</v>
      </c>
      <c r="AC20" s="41" t="s">
        <v>72</v>
      </c>
      <c r="AD20" s="41" t="s">
        <v>72</v>
      </c>
      <c r="AE20" s="41" t="s">
        <v>75</v>
      </c>
      <c r="AF20" s="41" t="s">
        <v>76</v>
      </c>
      <c r="AG20" t="str">
        <f>VLOOKUP($Q20,武学奇术!$A:$ZZ,25,FALSE)</f>
        <v>拳甲</v>
      </c>
      <c r="AH20" s="27">
        <f>VLOOKUP($Q20,武学奇术!$A:$ZZ,26,FALSE)</f>
        <v>2.33376</v>
      </c>
      <c r="AI20" s="28">
        <f>VLOOKUP($Q20,武学奇术!$A:$ZZ,27,FALSE)*(1+IF(OR($AG20=$F$4,$AG20=$F$5),$B$22,0))</f>
        <v>0</v>
      </c>
      <c r="AJ20" s="27">
        <f>VLOOKUP($Q20,武学奇术!$A:$ZZ,28,FALSE)</f>
        <v>3.50064</v>
      </c>
      <c r="AK20" s="28">
        <f>VLOOKUP($Q20,武学奇术!$A:$ZZ,29,FALSE)*(1+IF(OR($AG20=$F$4,$AG20=$F$5),$B$22,0))</f>
        <v>0</v>
      </c>
      <c r="AL20" s="27" cm="1">
        <f t="array" ref="AL20">$G$3+IFERROR(VLOOKUP($AG20,$F$4:$G$7,2,FALSE),0)+VLOOKUP($Q20,武学奇术!$A:$ZZ,2,FALSE)+SUM(_xlfn.XLOOKUP($R20:$AF20,增益!$A:$A,增益!$B:$B,0))</f>
        <v>0.7941</v>
      </c>
      <c r="AM20" s="27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3742.006</v>
      </c>
      <c r="AO20" cm="1">
        <f t="array" ref="AO20">$E$10*(1+$AM20)+VLOOKUP($Q20,武学奇术!$A:$ZZ,4,FALSE)+SUM(_xlfn.XLOOKUP($R20:$AF20,增益!$A:$A,增益!$D:$D,0))-$I$2</f>
        <v>3742.006</v>
      </c>
      <c r="AP20" s="33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0.247</v>
      </c>
      <c r="AQ20" s="33" cm="1">
        <f t="array" ref="AQ20">$G$10+VLOOKUP($Q20,武学奇术!$A:$ZZ,7,FALSE)+SUM(_xlfn.XLOOKUP(R20:AF20,增益!$A:$A,增益!$G:$G,0))</f>
        <v>0.09</v>
      </c>
      <c r="AR20" s="27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3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-0.08</v>
      </c>
      <c r="AV20" s="33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3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-0.08</v>
      </c>
      <c r="AZ20" s="33" cm="1">
        <f t="array" ref="AZ20">$G$12+VLOOKUP($Q20,武学奇术!$A:$ZZ,12,FALSE)+SUM(_xlfn.XLOOKUP(R20:AF20,增益!$A:$A,增益!$L:$L,0))</f>
        <v>0</v>
      </c>
      <c r="BA20">
        <f t="shared" si="5"/>
        <v>0</v>
      </c>
      <c r="BB20">
        <f t="shared" si="6"/>
        <v>0</v>
      </c>
      <c r="BC20" s="33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-0.08</v>
      </c>
      <c r="BD20" s="33" cm="1">
        <f t="array" ref="BD20">$G$13+VLOOKUP($Q20,武学奇术!$A:$ZZ,14,FALSE)+SUM(_xlfn.XLOOKUP(R20:AF20,增益!$A:$A,增益!$N:$N,0))</f>
        <v>0</v>
      </c>
      <c r="BE20">
        <f t="shared" si="7"/>
        <v>570.28</v>
      </c>
      <c r="BF20">
        <f t="shared" si="8"/>
        <v>1582.156</v>
      </c>
      <c r="BG20" s="33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0.11</v>
      </c>
      <c r="BH20" s="33" cm="1">
        <f t="array" ref="BH20">$G$14+VLOOKUP($Q20,武学奇术!$A:$ZZ,16,FALSE)+SUM(_xlfn.XLOOKUP(R20:AF20,增益!$A:$A,增益!$P:$P,0))</f>
        <v>0.24</v>
      </c>
      <c r="BI20" s="27">
        <f>MIN(IF(VLOOKUP($Q20,武学奇术!$A:$ZZ,23,FALSE)=1,100%,$B$8),100%)</f>
        <v>1</v>
      </c>
      <c r="BJ20" s="27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+MIN(IF(VLOOKUP($Q20,武学奇术!$A:$ZZ,32,FALSE)=1,IF(VLOOKUP($Q20,武学奇术!$A:$ZZ,24,FALSE)=1,100%,MIN(40%,$B$10+VLOOKUP($Q20,武学奇术!$A:$ZZ,19,FALSE)+SUM(_xlfn.XLOOKUP(R20:AF20,增益!$A:$A,增益!$S:$S,0)))+$B$12+SUM(_xlfn.XLOOKUP(R20:AF20,增益!$A:$A,增益!$V:$V,0))),0),12%)</f>
        <v>0.918</v>
      </c>
      <c r="BK20" s="27" cm="1">
        <f t="array" ref="BK20">1+$B$13+VLOOKUP($Q20,武学奇术!$A:$ZZ,18,FALSE)+SUM(_xlfn.XLOOKUP(R20:AF20,增益!$A:$A,增益!$R:$R,0))</f>
        <v>1.88</v>
      </c>
      <c r="BL20" s="27" cm="1">
        <f t="array" ref="BL20">MAX(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-IF(VLOOKUP($Q20,武学奇术!$A:$ZZ,32,FALSE)=1,12%,0),0)</f>
        <v>0.0895</v>
      </c>
      <c r="BM20" s="27" cm="1">
        <f t="array" ref="BM20">1+$B$14+VLOOKUP($Q20,武学奇术!$A:$ZZ,20,FALSE)+SUM(_xlfn.XLOOKUP(R20:AF20,增益!$A:$A,增益!$T:$T,0))</f>
        <v>1.35</v>
      </c>
      <c r="BN20" s="27">
        <f t="shared" si="9"/>
        <v>0.9105</v>
      </c>
      <c r="BO20" s="27">
        <f t="shared" si="10"/>
        <v>0</v>
      </c>
      <c r="BP20" s="27">
        <f>IF(VLOOKUP($Q20,武学奇术!$A:$ZZ,22,FALSE)=1,0,(1-$BI20))*(1-$BL20)</f>
        <v>0</v>
      </c>
      <c r="BQ20" s="27" cm="1">
        <f t="array" ref="BQ20">SUM(_xlfn.XLOOKUP(R20:AF20,增益!$A:$A,增益!$W:$W,0))+$I$5</f>
        <v>0.11</v>
      </c>
    </row>
    <row r="21" ht="14.25" spans="1:69">
      <c r="A21" s="87" t="s">
        <v>138</v>
      </c>
      <c r="B21" s="88">
        <f>期望!B21</f>
        <v>0.32</v>
      </c>
      <c r="C21" s="40" t="s">
        <v>139</v>
      </c>
      <c r="D21" s="40"/>
      <c r="K21" s="39">
        <f t="shared" si="0"/>
        <v>23303.8033154831</v>
      </c>
      <c r="L21" s="39">
        <f>((($AN21+($AO21-$AN21)*IF(VLOOKUP($Q21,武学奇术!$A:$ZZ,31,FALSE)=1,$F$18,0.5))*$AH21+$AI21)*(1+$AP21)*(1+$AQ21)+(($AS21+($AT21-$AS21)*IF(VLOOKUP($Q21,武学奇术!$A:$ZZ,31,FALSE)=1,$F$18,0.5))*IF($G$1="鸣金",$AJ21,$AH21)+IF($G$1="鸣金",$AK21*1.5,0))*(1+$AU21)*(1+$AV21)+(($AW21+($AX21-$AW21)*IF(VLOOKUP($Q21,武学奇术!$A:$ZZ,31,FALSE)=1,$F$18,0.5))*IF($G$1="裂石",$AJ21,$AH21)+IF($G$1="裂石",$AK21*1.5,0))*(1+$AY21)*(1+$AZ21)+(($BA21+($BB21-$BA21)*IF(VLOOKUP($Q21,武学奇术!$A:$ZZ,31,FALSE)=1,$F$18,0.5))*IF($G$1="牵丝",$AJ21,$AH21)+IF($G$1="牵丝",$AK21*1.5,0))*(1+$BC21)*(1+$BD21)+(($BE21+($BF21-$BE21)*IF(VLOOKUP($Q21,武学奇术!$A:$ZZ,31,FALSE)=1,$F$18,0.5))*IF($G$1="破竹",$AJ21,$AH21)+IF($G$1="破竹",$AK21*1.5,0))*(1+$BG21)*(1+$BH21))*(1+$AL21)*$BK21*$P21*(1+IF(VLOOKUP($Q21,武学奇术!$A:$ZZ,30,FALSE)="蓄力技",$B$21,0))*(1+$BQ21)</f>
        <v>23395.7519837344</v>
      </c>
      <c r="M21" s="39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22368.3925619321</v>
      </c>
      <c r="N21" s="39">
        <f>((($AN21+($AO21-$AN21)*IF(VLOOKUP($Q21,武学奇术!$A:$ZZ,31,FALSE)=1,$F$18,0.5))*$AH21+$AI21)*(1+$AP21)*(1+$AQ21)+(($AS21+($AT21-$AS21)*IF(VLOOKUP($Q21,武学奇术!$A:$ZZ,31,FALSE)=1,$F$18,0.5))*IF($G$1="鸣金",$AJ21,$AH21)+IF($G$1="鸣金",$AK21*1.5,0))*(1+$AU21)*(1+$AV21)+(($AW21+($AX21-$AW21)*IF(VLOOKUP($Q21,武学奇术!$A:$ZZ,31,FALSE)=1,$F$18,0.5))*IF($G$1="裂石",$AJ21,$AH21)+IF($G$1="裂石",$AK21*1.5,0))*(1+$AY21)*(1+$AZ21)+(($BA21+($BB21-$BA21)*IF(VLOOKUP($Q21,武学奇术!$A:$ZZ,31,FALSE)=1,$F$18,0.5))*IF($G$1="牵丝",$AJ21,$AH21)+IF($G$1="牵丝",$AK21*1.5,0))*(1+$BC21)*(1+$BD21)+(($BE21+($BF21-$BE21)*IF(VLOOKUP($Q21,武学奇术!$A:$ZZ,31,FALSE)=1,$F$18,0.5))*IF($G$1="破竹",$AJ21,$AH21)+IF($G$1="破竹",$AK21*1.5,0))*(1+$BG21)*(1+$BH21))*(1+$AL21)*$P21*(1+IF(VLOOKUP($Q21,武学奇术!$A:$ZZ,30,FALSE)="蓄力技",$B$21,0))*(1+$BQ21)</f>
        <v>14714.3094237323</v>
      </c>
      <c r="O21" s="39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12859.4391719593</v>
      </c>
      <c r="P21" s="40">
        <v>1</v>
      </c>
      <c r="Q21" s="41" t="s">
        <v>140</v>
      </c>
      <c r="R21" s="41" t="s">
        <v>93</v>
      </c>
      <c r="S21" s="41" t="s">
        <v>72</v>
      </c>
      <c r="T21" s="41" t="s">
        <v>119</v>
      </c>
      <c r="U21" s="41" t="s">
        <v>73</v>
      </c>
      <c r="V21" s="41" t="s">
        <v>72</v>
      </c>
      <c r="W21" s="41" t="s">
        <v>72</v>
      </c>
      <c r="X21" s="41" t="s">
        <v>141</v>
      </c>
      <c r="Y21" s="41" t="s">
        <v>81</v>
      </c>
      <c r="Z21" s="41" t="s">
        <v>72</v>
      </c>
      <c r="AA21" s="41" t="s">
        <v>72</v>
      </c>
      <c r="AB21" s="41" t="s">
        <v>72</v>
      </c>
      <c r="AC21" s="41" t="s">
        <v>72</v>
      </c>
      <c r="AD21" s="41" t="s">
        <v>72</v>
      </c>
      <c r="AE21" s="41" t="s">
        <v>75</v>
      </c>
      <c r="AF21" s="41" t="s">
        <v>76</v>
      </c>
      <c r="AG21" t="str">
        <f>VLOOKUP($Q21,武学奇术!$A:$ZZ,25,FALSE)</f>
        <v>拳甲</v>
      </c>
      <c r="AH21" s="27">
        <f>VLOOKUP($Q21,武学奇术!$A:$ZZ,26,FALSE)</f>
        <v>1.1005</v>
      </c>
      <c r="AI21" s="28">
        <f>VLOOKUP($Q21,武学奇术!$A:$ZZ,27,FALSE)*(1+IF(OR($AG21=$F$4,$AG21=$F$5),$B$22,0))</f>
        <v>427</v>
      </c>
      <c r="AJ21" s="27">
        <f>VLOOKUP($Q21,武学奇术!$A:$ZZ,28,FALSE)</f>
        <v>1.6507</v>
      </c>
      <c r="AK21" s="28">
        <f>VLOOKUP($Q21,武学奇术!$A:$ZZ,29,FALSE)*(1+IF(OR($AG21=$F$4,$AG21=$F$5),$B$22,0))</f>
        <v>231</v>
      </c>
      <c r="AL21" s="27" cm="1">
        <f t="array" ref="AL21">$G$3+IFERROR(VLOOKUP($AG21,$F$4:$G$7,2,FALSE),0)+VLOOKUP($Q21,武学奇术!$A:$ZZ,2,FALSE)+SUM(_xlfn.XLOOKUP($R21:$AF21,增益!$A:$A,增益!$B:$B,0))</f>
        <v>0.4941</v>
      </c>
      <c r="AM21" s="27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3742.006</v>
      </c>
      <c r="AO21" cm="1">
        <f t="array" ref="AO21">$E$10*(1+$AM21)+VLOOKUP($Q21,武学奇术!$A:$ZZ,4,FALSE)+SUM(_xlfn.XLOOKUP($R21:$AF21,增益!$A:$A,增益!$D:$D,0))-$I$2</f>
        <v>3742.006</v>
      </c>
      <c r="AP21" s="33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0.217</v>
      </c>
      <c r="AQ21" s="33" cm="1">
        <f t="array" ref="AQ21">$G$10+VLOOKUP($Q21,武学奇术!$A:$ZZ,7,FALSE)+SUM(_xlfn.XLOOKUP(R21:AF21,增益!$A:$A,增益!$G:$G,0))</f>
        <v>0.09</v>
      </c>
      <c r="AR21" s="27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3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-0.14</v>
      </c>
      <c r="AV21" s="33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3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-0.14</v>
      </c>
      <c r="AZ21" s="33" cm="1">
        <f t="array" ref="AZ21">$G$12+VLOOKUP($Q21,武学奇术!$A:$ZZ,12,FALSE)+SUM(_xlfn.XLOOKUP(R21:AF21,增益!$A:$A,增益!$L:$L,0))</f>
        <v>0</v>
      </c>
      <c r="BA21">
        <f t="shared" si="5"/>
        <v>0</v>
      </c>
      <c r="BB21">
        <f t="shared" si="6"/>
        <v>0</v>
      </c>
      <c r="BC21" s="33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-0.14</v>
      </c>
      <c r="BD21" s="33" cm="1">
        <f t="array" ref="BD21">$G$13+VLOOKUP($Q21,武学奇术!$A:$ZZ,14,FALSE)+SUM(_xlfn.XLOOKUP(R21:AF21,增益!$A:$A,增益!$N:$N,0))</f>
        <v>0</v>
      </c>
      <c r="BE21">
        <f t="shared" si="7"/>
        <v>570.28</v>
      </c>
      <c r="BF21">
        <f t="shared" si="8"/>
        <v>1582.156</v>
      </c>
      <c r="BG21" s="33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0.08</v>
      </c>
      <c r="BH21" s="33" cm="1">
        <f t="array" ref="BH21">$G$14+VLOOKUP($Q21,武学奇术!$A:$ZZ,16,FALSE)+SUM(_xlfn.XLOOKUP(R21:AF21,增益!$A:$A,增益!$P:$P,0))</f>
        <v>0.24</v>
      </c>
      <c r="BI21" s="27">
        <f>MIN(IF(VLOOKUP($Q21,武学奇术!$A:$ZZ,23,FALSE)=1,100%,$B$8),100%)</f>
        <v>1</v>
      </c>
      <c r="BJ21" s="27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+MIN(IF(VLOOKUP($Q21,武学奇术!$A:$ZZ,32,FALSE)=1,IF(VLOOKUP($Q21,武学奇术!$A:$ZZ,24,FALSE)=1,100%,MIN(40%,$B$10+VLOOKUP($Q21,武学奇术!$A:$ZZ,19,FALSE)+SUM(_xlfn.XLOOKUP(R21:AF21,增益!$A:$A,增益!$S:$S,0)))+$B$12+SUM(_xlfn.XLOOKUP(R21:AF21,增益!$A:$A,增益!$V:$V,0))),0),12%)</f>
        <v>0.918</v>
      </c>
      <c r="BK21" s="27" cm="1">
        <f t="array" ref="BK21">1+$B$13+VLOOKUP($Q21,武学奇术!$A:$ZZ,18,FALSE)+SUM(_xlfn.XLOOKUP(R21:AF21,增益!$A:$A,增益!$R:$R,0))</f>
        <v>1.59</v>
      </c>
      <c r="BL21" s="27" cm="1">
        <f t="array" ref="BL21">MAX(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-IF(VLOOKUP($Q21,武学奇术!$A:$ZZ,32,FALSE)=1,12%,0),0)</f>
        <v>0.0895</v>
      </c>
      <c r="BM21" s="27" cm="1">
        <f t="array" ref="BM21">1+$B$14+VLOOKUP($Q21,武学奇术!$A:$ZZ,20,FALSE)+SUM(_xlfn.XLOOKUP(R21:AF21,增益!$A:$A,增益!$T:$T,0))</f>
        <v>1.35</v>
      </c>
      <c r="BN21" s="27">
        <f t="shared" si="9"/>
        <v>0.9105</v>
      </c>
      <c r="BO21" s="27">
        <f t="shared" si="10"/>
        <v>0</v>
      </c>
      <c r="BP21" s="27">
        <f>IF(VLOOKUP($Q21,武学奇术!$A:$ZZ,22,FALSE)=1,0,(1-$BI21))*(1-$BL21)</f>
        <v>0</v>
      </c>
      <c r="BQ21" s="27" cm="1">
        <f t="array" ref="BQ21">SUM(_xlfn.XLOOKUP(R21:AF21,增益!$A:$A,增益!$W:$W,0))+$I$5</f>
        <v>0.11</v>
      </c>
    </row>
    <row r="22" spans="1:69">
      <c r="A22" t="s">
        <v>142</v>
      </c>
      <c r="B22" s="29">
        <f>期望!B22</f>
        <v>0.4</v>
      </c>
      <c r="C22" s="40" t="str">
        <f>期望!C22</f>
        <v>断石之构</v>
      </c>
      <c r="D22" s="40"/>
      <c r="K22" s="39">
        <f t="shared" si="0"/>
        <v>77056.514201275</v>
      </c>
      <c r="L22" s="39">
        <f>((($AN22+($AO22-$AN22)*IF(VLOOKUP($Q22,武学奇术!$A:$ZZ,31,FALSE)=1,$F$18,0.5))*$AH22+$AI22)*(1+$AP22)*(1+$AQ22)+(($AS22+($AT22-$AS22)*IF(VLOOKUP($Q22,武学奇术!$A:$ZZ,31,FALSE)=1,$F$18,0.5))*IF($G$1="鸣金",$AJ22,$AH22)+IF($G$1="鸣金",$AK22*1.5,0))*(1+$AU22)*(1+$AV22)+(($AW22+($AX22-$AW22)*IF(VLOOKUP($Q22,武学奇术!$A:$ZZ,31,FALSE)=1,$F$18,0.5))*IF($G$1="裂石",$AJ22,$AH22)+IF($G$1="裂石",$AK22*1.5,0))*(1+$AY22)*(1+$AZ22)+(($BA22+($BB22-$BA22)*IF(VLOOKUP($Q22,武学奇术!$A:$ZZ,31,FALSE)=1,$F$18,0.5))*IF($G$1="牵丝",$AJ22,$AH22)+IF($G$1="牵丝",$AK22*1.5,0))*(1+$BC22)*(1+$BD22)+(($BE22+($BF22-$BE22)*IF(VLOOKUP($Q22,武学奇术!$A:$ZZ,31,FALSE)=1,$F$18,0.5))*IF($G$1="破竹",$AJ22,$AH22)+IF($G$1="破竹",$AK22*1.5,0))*(1+$BG22)*(1+$BH22))*(1+$AL22)*$BK22*$P22*(1+IF(VLOOKUP($Q22,武学奇术!$A:$ZZ,30,FALSE)="蓄力技",$B$21,0))*(1+$BQ22)</f>
        <v>78428.2180020713</v>
      </c>
      <c r="M22" s="39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63101.9185518328</v>
      </c>
      <c r="N22" s="39">
        <f>((($AN22+($AO22-$AN22)*IF(VLOOKUP($Q22,武学奇术!$A:$ZZ,31,FALSE)=1,$F$18,0.5))*$AH22+$AI22)*(1+$AP22)*(1+$AQ22)+(($AS22+($AT22-$AS22)*IF(VLOOKUP($Q22,武学奇术!$A:$ZZ,31,FALSE)=1,$F$18,0.5))*IF($G$1="鸣金",$AJ22,$AH22)+IF($G$1="鸣金",$AK22*1.5,0))*(1+$AU22)*(1+$AV22)+(($AW22+($AX22-$AW22)*IF(VLOOKUP($Q22,武学奇术!$A:$ZZ,31,FALSE)=1,$F$18,0.5))*IF($G$1="裂石",$AJ22,$AH22)+IF($G$1="裂石",$AK22*1.5,0))*(1+$AY22)*(1+$AZ22)+(($BA22+($BB22-$BA22)*IF(VLOOKUP($Q22,武学奇术!$A:$ZZ,31,FALSE)=1,$F$18,0.5))*IF($G$1="牵丝",$AJ22,$AH22)+IF($G$1="牵丝",$AK22*1.5,0))*(1+$BC22)*(1+$BD22)+(($BE22+($BF22-$BE22)*IF(VLOOKUP($Q22,武学奇术!$A:$ZZ,31,FALSE)=1,$F$18,0.5))*IF($G$1="破竹",$AJ22,$AH22)+IF($G$1="破竹",$AK22*1.5,0))*(1+$BG22)*(1+$BH22))*(1+$AL22)*$P22*(1+IF(VLOOKUP($Q22,武学奇术!$A:$ZZ,30,FALSE)="蓄力技",$B$21,0))*(1+$BQ22)</f>
        <v>41496.4116413076</v>
      </c>
      <c r="O22" s="39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36250.6613923686</v>
      </c>
      <c r="P22" s="40">
        <v>1</v>
      </c>
      <c r="Q22" s="41" t="s">
        <v>103</v>
      </c>
      <c r="R22" s="41" t="s">
        <v>93</v>
      </c>
      <c r="S22" s="41" t="s">
        <v>72</v>
      </c>
      <c r="T22" s="41" t="s">
        <v>72</v>
      </c>
      <c r="U22" s="41" t="s">
        <v>73</v>
      </c>
      <c r="V22" s="41" t="s">
        <v>72</v>
      </c>
      <c r="W22" s="41" t="s">
        <v>72</v>
      </c>
      <c r="X22" s="41" t="s">
        <v>141</v>
      </c>
      <c r="Y22" s="41" t="s">
        <v>81</v>
      </c>
      <c r="Z22" s="41" t="s">
        <v>101</v>
      </c>
      <c r="AA22" s="41" t="s">
        <v>72</v>
      </c>
      <c r="AB22" s="41" t="s">
        <v>72</v>
      </c>
      <c r="AC22" s="41" t="s">
        <v>72</v>
      </c>
      <c r="AD22" s="41" t="s">
        <v>72</v>
      </c>
      <c r="AE22" s="41" t="s">
        <v>75</v>
      </c>
      <c r="AF22" s="41" t="s">
        <v>76</v>
      </c>
      <c r="AG22" t="str">
        <f>VLOOKUP($Q22,武学奇术!$A:$ZZ,25,FALSE)</f>
        <v>拳甲</v>
      </c>
      <c r="AH22" s="27">
        <f>VLOOKUP($Q22,武学奇术!$A:$ZZ,26,FALSE)</f>
        <v>2.75166</v>
      </c>
      <c r="AI22" s="28">
        <f>VLOOKUP($Q22,武学奇术!$A:$ZZ,27,FALSE)*(1+IF(OR($AG22=$F$4,$AG22=$F$5),$B$22,0))</f>
        <v>1060.92</v>
      </c>
      <c r="AJ22" s="27">
        <f>VLOOKUP($Q22,武学奇术!$A:$ZZ,28,FALSE)</f>
        <v>4.12776</v>
      </c>
      <c r="AK22" s="28">
        <f>VLOOKUP($Q22,武学奇术!$A:$ZZ,29,FALSE)*(1+IF(OR($AG22=$F$4,$AG22=$F$5),$B$22,0))</f>
        <v>574.56</v>
      </c>
      <c r="AL22" s="27" cm="1">
        <f t="array" ref="AL22">$G$3+IFERROR(VLOOKUP($AG22,$F$4:$G$7,2,FALSE),0)+VLOOKUP($Q22,武学奇术!$A:$ZZ,2,FALSE)+SUM(_xlfn.XLOOKUP($R22:$AF22,增益!$A:$A,增益!$B:$B,0))</f>
        <v>0.6441</v>
      </c>
      <c r="AM22" s="27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3742.006</v>
      </c>
      <c r="AO22" cm="1">
        <f t="array" ref="AO22">$E$10*(1+$AM22)+VLOOKUP($Q22,武学奇术!$A:$ZZ,4,FALSE)+SUM(_xlfn.XLOOKUP($R22:$AF22,增益!$A:$A,增益!$D:$D,0))-$I$2</f>
        <v>3742.006</v>
      </c>
      <c r="AP22" s="33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0.247</v>
      </c>
      <c r="AQ22" s="33" cm="1">
        <f t="array" ref="AQ22">$G$10+VLOOKUP($Q22,武学奇术!$A:$ZZ,7,FALSE)+SUM(_xlfn.XLOOKUP(R22:AF22,增益!$A:$A,增益!$G:$G,0))</f>
        <v>0.09</v>
      </c>
      <c r="AR22" s="27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3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-0.08</v>
      </c>
      <c r="AV22" s="33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3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-0.08</v>
      </c>
      <c r="AZ22" s="33" cm="1">
        <f t="array" ref="AZ22">$G$12+VLOOKUP($Q22,武学奇术!$A:$ZZ,12,FALSE)+SUM(_xlfn.XLOOKUP(R22:AF22,增益!$A:$A,增益!$L:$L,0))</f>
        <v>0</v>
      </c>
      <c r="BA22">
        <f t="shared" si="5"/>
        <v>0</v>
      </c>
      <c r="BB22">
        <f t="shared" si="6"/>
        <v>0</v>
      </c>
      <c r="BC22" s="33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-0.08</v>
      </c>
      <c r="BD22" s="33" cm="1">
        <f t="array" ref="BD22">$G$13+VLOOKUP($Q22,武学奇术!$A:$ZZ,14,FALSE)+SUM(_xlfn.XLOOKUP(R22:AF22,增益!$A:$A,增益!$N:$N,0))</f>
        <v>0</v>
      </c>
      <c r="BE22">
        <f t="shared" si="7"/>
        <v>570.28</v>
      </c>
      <c r="BF22">
        <f t="shared" si="8"/>
        <v>1582.156</v>
      </c>
      <c r="BG22" s="33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0.11</v>
      </c>
      <c r="BH22" s="33" cm="1">
        <f t="array" ref="BH22">$G$14+VLOOKUP($Q22,武学奇术!$A:$ZZ,16,FALSE)+SUM(_xlfn.XLOOKUP(R22:AF22,增益!$A:$A,增益!$P:$P,0))</f>
        <v>0.24</v>
      </c>
      <c r="BI22" s="27">
        <f>MIN(IF(VLOOKUP($Q22,武学奇术!$A:$ZZ,23,FALSE)=1,100%,$B$8),100%)</f>
        <v>1</v>
      </c>
      <c r="BJ22" s="27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+MIN(IF(VLOOKUP($Q22,武学奇术!$A:$ZZ,32,FALSE)=1,IF(VLOOKUP($Q22,武学奇术!$A:$ZZ,24,FALSE)=1,100%,MIN(40%,$B$10+VLOOKUP($Q22,武学奇术!$A:$ZZ,19,FALSE)+SUM(_xlfn.XLOOKUP(R22:AF22,增益!$A:$A,增益!$S:$S,0)))+$B$12+SUM(_xlfn.XLOOKUP(R22:AF22,增益!$A:$A,增益!$V:$V,0))),0),12%)</f>
        <v>0.918</v>
      </c>
      <c r="BK22" s="27" cm="1">
        <f t="array" ref="BK22">1+$B$13+VLOOKUP($Q22,武学奇术!$A:$ZZ,18,FALSE)+SUM(_xlfn.XLOOKUP(R22:AF22,增益!$A:$A,增益!$R:$R,0))</f>
        <v>1.89</v>
      </c>
      <c r="BL22" s="27" cm="1">
        <f t="array" ref="BL22">MAX(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-IF(VLOOKUP($Q22,武学奇术!$A:$ZZ,32,FALSE)=1,12%,0),0)</f>
        <v>0.0895</v>
      </c>
      <c r="BM22" s="27" cm="1">
        <f t="array" ref="BM22">1+$B$14+VLOOKUP($Q22,武学奇术!$A:$ZZ,20,FALSE)+SUM(_xlfn.XLOOKUP(R22:AF22,增益!$A:$A,增益!$T:$T,0))</f>
        <v>1.35</v>
      </c>
      <c r="BN22" s="27">
        <f t="shared" si="9"/>
        <v>0.9105</v>
      </c>
      <c r="BO22" s="27">
        <f t="shared" si="10"/>
        <v>0</v>
      </c>
      <c r="BP22" s="27">
        <f>IF(VLOOKUP($Q22,武学奇术!$A:$ZZ,22,FALSE)=1,0,(1-$BI22))*(1-$BL22)</f>
        <v>0</v>
      </c>
      <c r="BQ22" s="27" cm="1">
        <f t="array" ref="BQ22">SUM(_xlfn.XLOOKUP(R22:AF22,增益!$A:$A,增益!$W:$W,0))+$I$5</f>
        <v>0.11</v>
      </c>
    </row>
    <row r="23" spans="1:69">
      <c r="A23" t="s">
        <v>144</v>
      </c>
      <c r="B23" s="89">
        <f>期望!B23</f>
        <v>200</v>
      </c>
      <c r="C23" s="40" t="s">
        <v>145</v>
      </c>
      <c r="D23" s="40"/>
      <c r="K23" s="39">
        <f t="shared" si="0"/>
        <v>24319.8523591972</v>
      </c>
      <c r="L23" s="39">
        <f>((($AN23+($AO23-$AN23)*IF(VLOOKUP($Q23,武学奇术!$A:$ZZ,31,FALSE)=1,$F$18,0.5))*$AH23+$AI23)*(1+$AP23)*(1+$AQ23)+(($AS23+($AT23-$AS23)*IF(VLOOKUP($Q23,武学奇术!$A:$ZZ,31,FALSE)=1,$F$18,0.5))*IF($G$1="鸣金",$AJ23,$AH23)+IF($G$1="鸣金",$AK23*1.5,0))*(1+$AU23)*(1+$AV23)+(($AW23+($AX23-$AW23)*IF(VLOOKUP($Q23,武学奇术!$A:$ZZ,31,FALSE)=1,$F$18,0.5))*IF($G$1="裂石",$AJ23,$AH23)+IF($G$1="裂石",$AK23*1.5,0))*(1+$AY23)*(1+$AZ23)+(($BA23+($BB23-$BA23)*IF(VLOOKUP($Q23,武学奇术!$A:$ZZ,31,FALSE)=1,$F$18,0.5))*IF($G$1="牵丝",$AJ23,$AH23)+IF($G$1="牵丝",$AK23*1.5,0))*(1+$BC23)*(1+$BD23)+(($BE23+($BF23-$BE23)*IF(VLOOKUP($Q23,武学奇术!$A:$ZZ,31,FALSE)=1,$F$18,0.5))*IF($G$1="破竹",$AJ23,$AH23)+IF($G$1="破竹",$AK23*1.5,0))*(1+$BG23)*(1+$BH23))*(1+$AL23)*$BK23*$P23*(1+IF(VLOOKUP($Q23,武学奇术!$A:$ZZ,30,FALSE)="蓄力技",$B$21,0))*(1+$BQ23)</f>
        <v>24429.1011192302</v>
      </c>
      <c r="M23" s="39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23208.4445825484</v>
      </c>
      <c r="N23" s="39">
        <f>((($AN23+($AO23-$AN23)*IF(VLOOKUP($Q23,武学奇术!$A:$ZZ,31,FALSE)=1,$F$18,0.5))*$AH23+$AI23)*(1+$AP23)*(1+$AQ23)+(($AS23+($AT23-$AS23)*IF(VLOOKUP($Q23,武学奇术!$A:$ZZ,31,FALSE)=1,$F$18,0.5))*IF($G$1="鸣金",$AJ23,$AH23)+IF($G$1="鸣金",$AK23*1.5,0))*(1+$AU23)*(1+$AV23)+(($AW23+($AX23-$AW23)*IF(VLOOKUP($Q23,武学奇术!$A:$ZZ,31,FALSE)=1,$F$18,0.5))*IF($G$1="裂石",$AJ23,$AH23)+IF($G$1="裂石",$AK23*1.5,0))*(1+$AY23)*(1+$AZ23)+(($BA23+($BB23-$BA23)*IF(VLOOKUP($Q23,武学奇术!$A:$ZZ,31,FALSE)=1,$F$18,0.5))*IF($G$1="牵丝",$AJ23,$AH23)+IF($G$1="牵丝",$AK23*1.5,0))*(1+$BC23)*(1+$BD23)+(($BE23+($BF23-$BE23)*IF(VLOOKUP($Q23,武学奇术!$A:$ZZ,31,FALSE)=1,$F$18,0.5))*IF($G$1="破竹",$AJ23,$AH23)+IF($G$1="破竹",$AK23*1.5,0))*(1+$BG23)*(1+$BH23))*(1+$AL23)*$P23*(1+IF(VLOOKUP($Q23,武学奇术!$A:$ZZ,30,FALSE)="蓄力技",$B$21,0))*(1+$BQ23)</f>
        <v>15268.1881995189</v>
      </c>
      <c r="O23" s="39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13344.9359675204</v>
      </c>
      <c r="P23" s="40">
        <v>1</v>
      </c>
      <c r="Q23" s="41" t="s">
        <v>106</v>
      </c>
      <c r="R23" s="41" t="s">
        <v>93</v>
      </c>
      <c r="S23" s="41" t="s">
        <v>72</v>
      </c>
      <c r="T23" s="41" t="s">
        <v>72</v>
      </c>
      <c r="U23" s="41" t="s">
        <v>72</v>
      </c>
      <c r="V23" s="41" t="s">
        <v>72</v>
      </c>
      <c r="W23" s="41" t="s">
        <v>72</v>
      </c>
      <c r="X23" s="41" t="s">
        <v>146</v>
      </c>
      <c r="Y23" s="41" t="s">
        <v>81</v>
      </c>
      <c r="Z23" s="41" t="s">
        <v>72</v>
      </c>
      <c r="AA23" s="41" t="s">
        <v>72</v>
      </c>
      <c r="AB23" s="41" t="s">
        <v>72</v>
      </c>
      <c r="AC23" s="41" t="s">
        <v>72</v>
      </c>
      <c r="AD23" s="41" t="s">
        <v>72</v>
      </c>
      <c r="AE23" s="41" t="s">
        <v>75</v>
      </c>
      <c r="AF23" s="41" t="s">
        <v>76</v>
      </c>
      <c r="AG23" t="str">
        <f>VLOOKUP($Q23,武学奇术!$A:$ZZ,25,FALSE)</f>
        <v>拳甲</v>
      </c>
      <c r="AH23" s="27">
        <f>VLOOKUP($Q23,武学奇术!$A:$ZZ,26,FALSE)</f>
        <v>1.2876</v>
      </c>
      <c r="AI23" s="28">
        <f>VLOOKUP($Q23,武学奇术!$A:$ZZ,27,FALSE)*(1+IF(OR($AG23=$F$4,$AG23=$F$5),$B$22,0))</f>
        <v>501.2</v>
      </c>
      <c r="AJ23" s="27">
        <f>VLOOKUP($Q23,武学奇术!$A:$ZZ,28,FALSE)</f>
        <v>1.9313</v>
      </c>
      <c r="AK23" s="28">
        <f>VLOOKUP($Q23,武学奇术!$A:$ZZ,29,FALSE)*(1+IF(OR($AG23=$F$4,$AG23=$F$5),$B$22,0))</f>
        <v>273</v>
      </c>
      <c r="AL23" s="27" cm="1">
        <f t="array" ref="AL23">$G$3+IFERROR(VLOOKUP($AG23,$F$4:$G$7,2,FALSE),0)+VLOOKUP($Q23,武学奇术!$A:$ZZ,2,FALSE)+SUM(_xlfn.XLOOKUP($R23:$AF23,增益!$A:$A,增益!$B:$B,0))</f>
        <v>0.3241</v>
      </c>
      <c r="AM23" s="27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3742.006</v>
      </c>
      <c r="AO23" cm="1">
        <f t="array" ref="AO23">$E$10*(1+$AM23)+VLOOKUP($Q23,武学奇术!$A:$ZZ,4,FALSE)+SUM(_xlfn.XLOOKUP($R23:$AF23,增益!$A:$A,增益!$D:$D,0))-$I$2</f>
        <v>3742.006</v>
      </c>
      <c r="AP23" s="33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0.217</v>
      </c>
      <c r="AQ23" s="33" cm="1">
        <f t="array" ref="AQ23">$G$10+VLOOKUP($Q23,武学奇术!$A:$ZZ,7,FALSE)+SUM(_xlfn.XLOOKUP(R23:AF23,增益!$A:$A,增益!$G:$G,0))</f>
        <v>0.09</v>
      </c>
      <c r="AR23" s="27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3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-0.14</v>
      </c>
      <c r="AV23" s="33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3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-0.14</v>
      </c>
      <c r="AZ23" s="33" cm="1">
        <f t="array" ref="AZ23">$G$12+VLOOKUP($Q23,武学奇术!$A:$ZZ,12,FALSE)+SUM(_xlfn.XLOOKUP(R23:AF23,增益!$A:$A,增益!$L:$L,0))</f>
        <v>0</v>
      </c>
      <c r="BA23">
        <f t="shared" si="5"/>
        <v>0</v>
      </c>
      <c r="BB23">
        <f t="shared" si="6"/>
        <v>0</v>
      </c>
      <c r="BC23" s="33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-0.14</v>
      </c>
      <c r="BD23" s="33" cm="1">
        <f t="array" ref="BD23">$G$13+VLOOKUP($Q23,武学奇术!$A:$ZZ,14,FALSE)+SUM(_xlfn.XLOOKUP(R23:AF23,增益!$A:$A,增益!$N:$N,0))</f>
        <v>0</v>
      </c>
      <c r="BE23">
        <f t="shared" si="7"/>
        <v>570.28</v>
      </c>
      <c r="BF23">
        <f t="shared" si="8"/>
        <v>1582.156</v>
      </c>
      <c r="BG23" s="33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0.08</v>
      </c>
      <c r="BH23" s="33" cm="1">
        <f t="array" ref="BH23">$G$14+VLOOKUP($Q23,武学奇术!$A:$ZZ,16,FALSE)+SUM(_xlfn.XLOOKUP(R23:AF23,增益!$A:$A,增益!$P:$P,0))</f>
        <v>0.24</v>
      </c>
      <c r="BI23" s="27">
        <f>MIN(IF(VLOOKUP($Q23,武学奇术!$A:$ZZ,23,FALSE)=1,100%,$B$8),100%)</f>
        <v>1</v>
      </c>
      <c r="BJ23" s="27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+MIN(IF(VLOOKUP($Q23,武学奇术!$A:$ZZ,32,FALSE)=1,IF(VLOOKUP($Q23,武学奇术!$A:$ZZ,24,FALSE)=1,100%,MIN(40%,$B$10+VLOOKUP($Q23,武学奇术!$A:$ZZ,19,FALSE)+SUM(_xlfn.XLOOKUP(R23:AF23,增益!$A:$A,增益!$S:$S,0)))+$B$12+SUM(_xlfn.XLOOKUP(R23:AF23,增益!$A:$A,增益!$V:$V,0))),0),12%)</f>
        <v>0.918</v>
      </c>
      <c r="BK23" s="27" cm="1">
        <f t="array" ref="BK23">1+$B$13+VLOOKUP($Q23,武学奇术!$A:$ZZ,18,FALSE)+SUM(_xlfn.XLOOKUP(R23:AF23,增益!$A:$A,增益!$R:$R,0))</f>
        <v>1.6</v>
      </c>
      <c r="BL23" s="27" cm="1">
        <f t="array" ref="BL23">MAX(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-IF(VLOOKUP($Q23,武学奇术!$A:$ZZ,32,FALSE)=1,12%,0),0)</f>
        <v>0.0895</v>
      </c>
      <c r="BM23" s="27" cm="1">
        <f t="array" ref="BM23">1+$B$14+VLOOKUP($Q23,武学奇术!$A:$ZZ,20,FALSE)+SUM(_xlfn.XLOOKUP(R23:AF23,增益!$A:$A,增益!$T:$T,0))</f>
        <v>1.35</v>
      </c>
      <c r="BN23" s="27">
        <f t="shared" si="9"/>
        <v>0.9105</v>
      </c>
      <c r="BO23" s="27">
        <f t="shared" si="10"/>
        <v>0</v>
      </c>
      <c r="BP23" s="27">
        <f>IF(VLOOKUP($Q23,武学奇术!$A:$ZZ,22,FALSE)=1,0,(1-$BI23))*(1-$BL23)</f>
        <v>0</v>
      </c>
      <c r="BQ23" s="27" cm="1">
        <f t="array" ref="BQ23">SUM(_xlfn.XLOOKUP(R23:AF23,增益!$A:$A,增益!$W:$W,0))+$I$5</f>
        <v>0.11</v>
      </c>
    </row>
    <row r="24" spans="1:69">
      <c r="B24" s="89">
        <f>期望!B24</f>
        <v>400</v>
      </c>
      <c r="C24" s="90" t="str">
        <f>期望!C24</f>
        <v>易水歌</v>
      </c>
      <c r="D24" s="90"/>
      <c r="K24" s="39">
        <f t="shared" si="0"/>
        <v>57436.7634798308</v>
      </c>
      <c r="L24" s="39">
        <f>((($AN24+($AO24-$AN24)*IF(VLOOKUP($Q24,武学奇术!$A:$ZZ,31,FALSE)=1,$F$18,0.5))*$AH24+$AI24)*(1+$AP24)*(1+$AQ24)+(($AS24+($AT24-$AS24)*IF(VLOOKUP($Q24,武学奇术!$A:$ZZ,31,FALSE)=1,$F$18,0.5))*IF($G$1="鸣金",$AJ24,$AH24)+IF($G$1="鸣金",$AK24*1.5,0))*(1+$AU24)*(1+$AV24)+(($AW24+($AX24-$AW24)*IF(VLOOKUP($Q24,武学奇术!$A:$ZZ,31,FALSE)=1,$F$18,0.5))*IF($G$1="裂石",$AJ24,$AH24)+IF($G$1="裂石",$AK24*1.5,0))*(1+$AY24)*(1+$AZ24)+(($BA24+($BB24-$BA24)*IF(VLOOKUP($Q24,武学奇术!$A:$ZZ,31,FALSE)=1,$F$18,0.5))*IF($G$1="牵丝",$AJ24,$AH24)+IF($G$1="牵丝",$AK24*1.5,0))*(1+$BC24)*(1+$BD24)+(($BE24+($BF24-$BE24)*IF(VLOOKUP($Q24,武学奇术!$A:$ZZ,31,FALSE)=1,$F$18,0.5))*IF($G$1="破竹",$AJ24,$AH24)+IF($G$1="破竹",$AK24*1.5,0))*(1+$BG24)*(1+$BH24))*(1+$AL24)*$BK24*$P24*(1+IF(VLOOKUP($Q24,武学奇术!$A:$ZZ,30,FALSE)="蓄力技",$B$21,0))*(1+$BQ24)</f>
        <v>58419.2999060239</v>
      </c>
      <c r="M24" s="39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47441.2392781681</v>
      </c>
      <c r="N24" s="39">
        <f>((($AN24+($AO24-$AN24)*IF(VLOOKUP($Q24,武学奇术!$A:$ZZ,31,FALSE)=1,$F$18,0.5))*$AH24+$AI24)*(1+$AP24)*(1+$AQ24)+(($AS24+($AT24-$AS24)*IF(VLOOKUP($Q24,武学奇术!$A:$ZZ,31,FALSE)=1,$F$18,0.5))*IF($G$1="鸣金",$AJ24,$AH24)+IF($G$1="鸣金",$AK24*1.5,0))*(1+$AU24)*(1+$AV24)+(($AW24+($AX24-$AW24)*IF(VLOOKUP($Q24,武学奇术!$A:$ZZ,31,FALSE)=1,$F$18,0.5))*IF($G$1="裂石",$AJ24,$AH24)+IF($G$1="裂石",$AK24*1.5,0))*(1+$AY24)*(1+$AZ24)+(($BA24+($BB24-$BA24)*IF(VLOOKUP($Q24,武学奇术!$A:$ZZ,31,FALSE)=1,$F$18,0.5))*IF($G$1="牵丝",$AJ24,$AH24)+IF($G$1="牵丝",$AK24*1.5,0))*(1+$BC24)*(1+$BD24)+(($BE24+($BF24-$BE24)*IF(VLOOKUP($Q24,武学奇术!$A:$ZZ,31,FALSE)=1,$F$18,0.5))*IF($G$1="破竹",$AJ24,$AH24)+IF($G$1="破竹",$AK24*1.5,0))*(1+$BG24)*(1+$BH24))*(1+$AL24)*$P24*(1+IF(VLOOKUP($Q24,武学奇术!$A:$ZZ,30,FALSE)="蓄力技",$B$21,0))*(1+$BQ24)</f>
        <v>30746.9999505389</v>
      </c>
      <c r="O24" s="39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26352.3411765088</v>
      </c>
      <c r="P24" s="40">
        <v>1</v>
      </c>
      <c r="Q24" s="41" t="s">
        <v>108</v>
      </c>
      <c r="R24" s="41" t="s">
        <v>93</v>
      </c>
      <c r="S24" s="41" t="s">
        <v>72</v>
      </c>
      <c r="T24" s="41" t="s">
        <v>72</v>
      </c>
      <c r="U24" s="41" t="s">
        <v>72</v>
      </c>
      <c r="V24" s="41" t="s">
        <v>72</v>
      </c>
      <c r="W24" s="41" t="s">
        <v>72</v>
      </c>
      <c r="X24" s="41" t="s">
        <v>146</v>
      </c>
      <c r="Y24" s="41" t="s">
        <v>81</v>
      </c>
      <c r="Z24" s="41" t="s">
        <v>101</v>
      </c>
      <c r="AA24" s="41" t="s">
        <v>72</v>
      </c>
      <c r="AB24" s="41" t="s">
        <v>72</v>
      </c>
      <c r="AC24" s="41" t="s">
        <v>72</v>
      </c>
      <c r="AD24" s="41" t="s">
        <v>72</v>
      </c>
      <c r="AE24" s="41" t="s">
        <v>75</v>
      </c>
      <c r="AF24" s="41" t="s">
        <v>76</v>
      </c>
      <c r="AG24" t="str">
        <f>VLOOKUP($Q24,武学奇术!$A:$ZZ,25,FALSE)</f>
        <v>拳甲</v>
      </c>
      <c r="AH24" s="27">
        <f>VLOOKUP($Q24,武学奇术!$A:$ZZ,26,FALSE)</f>
        <v>2.33376</v>
      </c>
      <c r="AI24" s="28">
        <f>VLOOKUP($Q24,武学奇术!$A:$ZZ,27,FALSE)*(1+IF(OR($AG24=$F$4,$AG24=$F$5),$B$22,0))</f>
        <v>0</v>
      </c>
      <c r="AJ24" s="27">
        <f>VLOOKUP($Q24,武学奇术!$A:$ZZ,28,FALSE)</f>
        <v>3.50064</v>
      </c>
      <c r="AK24" s="28">
        <f>VLOOKUP($Q24,武学奇术!$A:$ZZ,29,FALSE)*(1+IF(OR($AG24=$F$4,$AG24=$F$5),$B$22,0))</f>
        <v>0</v>
      </c>
      <c r="AL24" s="27" cm="1">
        <f t="array" ref="AL24">$G$3+IFERROR(VLOOKUP($AG24,$F$4:$G$7,2,FALSE),0)+VLOOKUP($Q24,武学奇术!$A:$ZZ,2,FALSE)+SUM(_xlfn.XLOOKUP($R24:$AF24,增益!$A:$A,增益!$B:$B,0))</f>
        <v>0.6241</v>
      </c>
      <c r="AM24" s="27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3742.006</v>
      </c>
      <c r="AO24" cm="1">
        <f t="array" ref="AO24">$E$10*(1+$AM24)+VLOOKUP($Q24,武学奇术!$A:$ZZ,4,FALSE)+SUM(_xlfn.XLOOKUP($R24:$AF24,增益!$A:$A,增益!$D:$D,0))-$I$2</f>
        <v>3742.006</v>
      </c>
      <c r="AP24" s="33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0.247</v>
      </c>
      <c r="AQ24" s="33" cm="1">
        <f t="array" ref="AQ24">$G$10+VLOOKUP($Q24,武学奇术!$A:$ZZ,7,FALSE)+SUM(_xlfn.XLOOKUP(R24:AF24,增益!$A:$A,增益!$G:$G,0))</f>
        <v>0.09</v>
      </c>
      <c r="AR24" s="27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3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-0.08</v>
      </c>
      <c r="AV24" s="33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3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-0.08</v>
      </c>
      <c r="AZ24" s="33" cm="1">
        <f t="array" ref="AZ24">$G$12+VLOOKUP($Q24,武学奇术!$A:$ZZ,12,FALSE)+SUM(_xlfn.XLOOKUP(R24:AF24,增益!$A:$A,增益!$L:$L,0))</f>
        <v>0</v>
      </c>
      <c r="BA24">
        <f t="shared" si="5"/>
        <v>0</v>
      </c>
      <c r="BB24">
        <f t="shared" si="6"/>
        <v>0</v>
      </c>
      <c r="BC24" s="33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-0.08</v>
      </c>
      <c r="BD24" s="33" cm="1">
        <f t="array" ref="BD24">$G$13+VLOOKUP($Q24,武学奇术!$A:$ZZ,14,FALSE)+SUM(_xlfn.XLOOKUP(R24:AF24,增益!$A:$A,增益!$N:$N,0))</f>
        <v>0</v>
      </c>
      <c r="BE24">
        <f t="shared" si="7"/>
        <v>570.28</v>
      </c>
      <c r="BF24">
        <f t="shared" si="8"/>
        <v>1582.156</v>
      </c>
      <c r="BG24" s="33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0.11</v>
      </c>
      <c r="BH24" s="33" cm="1">
        <f t="array" ref="BH24">$G$14+VLOOKUP($Q24,武学奇术!$A:$ZZ,16,FALSE)+SUM(_xlfn.XLOOKUP(R24:AF24,增益!$A:$A,增益!$P:$P,0))</f>
        <v>0.24</v>
      </c>
      <c r="BI24" s="27">
        <f>MIN(IF(VLOOKUP($Q24,武学奇术!$A:$ZZ,23,FALSE)=1,100%,$B$8),100%)</f>
        <v>1</v>
      </c>
      <c r="BJ24" s="27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+MIN(IF(VLOOKUP($Q24,武学奇术!$A:$ZZ,32,FALSE)=1,IF(VLOOKUP($Q24,武学奇术!$A:$ZZ,24,FALSE)=1,100%,MIN(40%,$B$10+VLOOKUP($Q24,武学奇术!$A:$ZZ,19,FALSE)+SUM(_xlfn.XLOOKUP(R24:AF24,增益!$A:$A,增益!$S:$S,0)))+$B$12+SUM(_xlfn.XLOOKUP(R24:AF24,增益!$A:$A,增益!$V:$V,0))),0),12%)</f>
        <v>0.918</v>
      </c>
      <c r="BK24" s="27" cm="1">
        <f t="array" ref="BK24">1+$B$13+VLOOKUP($Q24,武学奇术!$A:$ZZ,18,FALSE)+SUM(_xlfn.XLOOKUP(R24:AF24,增益!$A:$A,增益!$R:$R,0))</f>
        <v>1.9</v>
      </c>
      <c r="BL24" s="27" cm="1">
        <f t="array" ref="BL24">MAX(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-IF(VLOOKUP($Q24,武学奇术!$A:$ZZ,32,FALSE)=1,12%,0),0)</f>
        <v>0.0895</v>
      </c>
      <c r="BM24" s="27" cm="1">
        <f t="array" ref="BM24">1+$B$14+VLOOKUP($Q24,武学奇术!$A:$ZZ,20,FALSE)+SUM(_xlfn.XLOOKUP(R24:AF24,增益!$A:$A,增益!$T:$T,0))</f>
        <v>1.35</v>
      </c>
      <c r="BN24" s="27">
        <f t="shared" si="9"/>
        <v>0.9105</v>
      </c>
      <c r="BO24" s="27">
        <f t="shared" si="10"/>
        <v>0</v>
      </c>
      <c r="BP24" s="27">
        <f>IF(VLOOKUP($Q24,武学奇术!$A:$ZZ,22,FALSE)=1,0,(1-$BI24))*(1-$BL24)</f>
        <v>0</v>
      </c>
      <c r="BQ24" s="27" cm="1">
        <f t="array" ref="BQ24">SUM(_xlfn.XLOOKUP(R24:AF24,增益!$A:$A,增益!$W:$W,0))+$I$5</f>
        <v>0.11</v>
      </c>
    </row>
    <row r="25" spans="1:69">
      <c r="K25" s="39">
        <f t="shared" si="0"/>
        <v>22091.5956478862</v>
      </c>
      <c r="L25" s="39">
        <f>((($AN25+($AO25-$AN25)*IF(VLOOKUP($Q25,武学奇术!$A:$ZZ,31,FALSE)=1,$F$18,0.5))*$AH25+$AI25)*(1+$AP25)*(1+$AQ25)+(($AS25+($AT25-$AS25)*IF(VLOOKUP($Q25,武学奇术!$A:$ZZ,31,FALSE)=1,$F$18,0.5))*IF($G$1="鸣金",$AJ25,$AH25)+IF($G$1="鸣金",$AK25*1.5,0))*(1+$AU25)*(1+$AV25)+(($AW25+($AX25-$AW25)*IF(VLOOKUP($Q25,武学奇术!$A:$ZZ,31,FALSE)=1,$F$18,0.5))*IF($G$1="裂石",$AJ25,$AH25)+IF($G$1="裂石",$AK25*1.5,0))*(1+$AY25)*(1+$AZ25)+(($BA25+($BB25-$BA25)*IF(VLOOKUP($Q25,武学奇术!$A:$ZZ,31,FALSE)=1,$F$18,0.5))*IF($G$1="牵丝",$AJ25,$AH25)+IF($G$1="牵丝",$AK25*1.5,0))*(1+$BC25)*(1+$BD25)+(($BE25+($BF25-$BE25)*IF(VLOOKUP($Q25,武学奇术!$A:$ZZ,31,FALSE)=1,$F$18,0.5))*IF($G$1="破竹",$AJ25,$AH25)+IF($G$1="破竹",$AK25*1.5,0))*(1+$BG25)*(1+$BH25))*(1+$AL25)*$BK25*$P25*(1+IF(VLOOKUP($Q25,武学奇术!$A:$ZZ,30,FALSE)="蓄力技",$B$21,0))*(1+$BQ25)</f>
        <v>22190.7772080287</v>
      </c>
      <c r="M25" s="39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21082.6033516877</v>
      </c>
      <c r="N25" s="39">
        <f>((($AN25+($AO25-$AN25)*IF(VLOOKUP($Q25,武学奇术!$A:$ZZ,31,FALSE)=1,$F$18,0.5))*$AH25+$AI25)*(1+$AP25)*(1+$AQ25)+(($AS25+($AT25-$AS25)*IF(VLOOKUP($Q25,武学奇术!$A:$ZZ,31,FALSE)=1,$F$18,0.5))*IF($G$1="鸣金",$AJ25,$AH25)+IF($G$1="鸣金",$AK25*1.5,0))*(1+$AU25)*(1+$AV25)+(($AW25+($AX25-$AW25)*IF(VLOOKUP($Q25,武学奇术!$A:$ZZ,31,FALSE)=1,$F$18,0.5))*IF($G$1="裂石",$AJ25,$AH25)+IF($G$1="裂石",$AK25*1.5,0))*(1+$AY25)*(1+$AZ25)+(($BA25+($BB25-$BA25)*IF(VLOOKUP($Q25,武学奇术!$A:$ZZ,31,FALSE)=1,$F$18,0.5))*IF($G$1="牵丝",$AJ25,$AH25)+IF($G$1="牵丝",$AK25*1.5,0))*(1+$BC25)*(1+$BD25)+(($BE25+($BF25-$BE25)*IF(VLOOKUP($Q25,武学奇术!$A:$ZZ,31,FALSE)=1,$F$18,0.5))*IF($G$1="破竹",$AJ25,$AH25)+IF($G$1="破竹",$AK25*1.5,0))*(1+$BG25)*(1+$BH25))*(1+$AL25)*$P25*(1+IF(VLOOKUP($Q25,武学奇术!$A:$ZZ,30,FALSE)="蓄力技",$B$21,0))*(1+$BQ25)</f>
        <v>13869.2357550179</v>
      </c>
      <c r="O25" s="39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12121.7282865635</v>
      </c>
      <c r="P25" s="40">
        <v>1</v>
      </c>
      <c r="Q25" s="41" t="s">
        <v>148</v>
      </c>
      <c r="R25" s="41" t="s">
        <v>93</v>
      </c>
      <c r="S25" s="41" t="s">
        <v>72</v>
      </c>
      <c r="T25" s="41" t="s">
        <v>72</v>
      </c>
      <c r="U25" s="41" t="s">
        <v>72</v>
      </c>
      <c r="V25" s="41" t="s">
        <v>72</v>
      </c>
      <c r="W25" s="41" t="s">
        <v>72</v>
      </c>
      <c r="X25" s="41" t="s">
        <v>146</v>
      </c>
      <c r="Y25" s="41" t="s">
        <v>81</v>
      </c>
      <c r="Z25" s="41" t="s">
        <v>72</v>
      </c>
      <c r="AA25" s="41" t="s">
        <v>72</v>
      </c>
      <c r="AB25" s="41" t="s">
        <v>72</v>
      </c>
      <c r="AC25" s="41" t="s">
        <v>72</v>
      </c>
      <c r="AD25" s="41" t="s">
        <v>72</v>
      </c>
      <c r="AE25" s="41" t="s">
        <v>75</v>
      </c>
      <c r="AF25" s="41" t="s">
        <v>76</v>
      </c>
      <c r="AG25" t="str">
        <f>VLOOKUP($Q25,武学奇术!$A:$ZZ,25,FALSE)</f>
        <v>绳镖</v>
      </c>
      <c r="AH25" s="27">
        <f>VLOOKUP($Q25,武学奇术!$A:$ZZ,26,FALSE)</f>
        <v>1.2503</v>
      </c>
      <c r="AI25" s="28">
        <f>VLOOKUP($Q25,武学奇术!$A:$ZZ,27,FALSE)*(1+IF(OR($AG25=$F$4,$AG25=$F$5),$B$22,0))</f>
        <v>485.8</v>
      </c>
      <c r="AJ25" s="27">
        <f>VLOOKUP($Q25,武学奇术!$A:$ZZ,28,FALSE)</f>
        <v>1.8755</v>
      </c>
      <c r="AK25" s="28">
        <f>VLOOKUP($Q25,武学奇术!$A:$ZZ,29,FALSE)*(1+IF(OR($AG25=$F$4,$AG25=$F$5),$B$22,0))</f>
        <v>264.6</v>
      </c>
      <c r="AL25" s="27" cm="1">
        <f t="array" ref="AL25">$G$3+IFERROR(VLOOKUP($AG25,$F$4:$G$7,2,FALSE),0)+VLOOKUP($Q25,武学奇术!$A:$ZZ,2,FALSE)+SUM(_xlfn.XLOOKUP($R25:$AF25,增益!$A:$A,增益!$B:$B,0))</f>
        <v>0.2389</v>
      </c>
      <c r="AM25" s="27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3742.006</v>
      </c>
      <c r="AO25" cm="1">
        <f t="array" ref="AO25">$E$10*(1+$AM25)+VLOOKUP($Q25,武学奇术!$A:$ZZ,4,FALSE)+SUM(_xlfn.XLOOKUP($R25:$AF25,增益!$A:$A,增益!$D:$D,0))-$I$2</f>
        <v>3742.006</v>
      </c>
      <c r="AP25" s="33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0.217</v>
      </c>
      <c r="AQ25" s="33" cm="1">
        <f t="array" ref="AQ25">$G$10+VLOOKUP($Q25,武学奇术!$A:$ZZ,7,FALSE)+SUM(_xlfn.XLOOKUP(R25:AF25,增益!$A:$A,增益!$G:$G,0))</f>
        <v>0.09</v>
      </c>
      <c r="AR25" s="27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3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-0.14</v>
      </c>
      <c r="AV25" s="33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3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-0.14</v>
      </c>
      <c r="AZ25" s="33" cm="1">
        <f t="array" ref="AZ25">$G$12+VLOOKUP($Q25,武学奇术!$A:$ZZ,12,FALSE)+SUM(_xlfn.XLOOKUP(R25:AF25,增益!$A:$A,增益!$L:$L,0))</f>
        <v>0</v>
      </c>
      <c r="BA25">
        <f t="shared" si="5"/>
        <v>0</v>
      </c>
      <c r="BB25">
        <f t="shared" si="6"/>
        <v>0</v>
      </c>
      <c r="BC25" s="33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-0.14</v>
      </c>
      <c r="BD25" s="33" cm="1">
        <f t="array" ref="BD25">$G$13+VLOOKUP($Q25,武学奇术!$A:$ZZ,14,FALSE)+SUM(_xlfn.XLOOKUP(R25:AF25,增益!$A:$A,增益!$N:$N,0))</f>
        <v>0</v>
      </c>
      <c r="BE25">
        <f t="shared" si="7"/>
        <v>570.28</v>
      </c>
      <c r="BF25">
        <f t="shared" si="8"/>
        <v>1582.156</v>
      </c>
      <c r="BG25" s="33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0.08</v>
      </c>
      <c r="BH25" s="33" cm="1">
        <f t="array" ref="BH25">$G$14+VLOOKUP($Q25,武学奇术!$A:$ZZ,16,FALSE)+SUM(_xlfn.XLOOKUP(R25:AF25,增益!$A:$A,增益!$P:$P,0))</f>
        <v>0.24</v>
      </c>
      <c r="BI25" s="27">
        <f>MIN(IF(VLOOKUP($Q25,武学奇术!$A:$ZZ,23,FALSE)=1,100%,$B$8),100%)</f>
        <v>1</v>
      </c>
      <c r="BJ25" s="27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+MIN(IF(VLOOKUP($Q25,武学奇术!$A:$ZZ,32,FALSE)=1,IF(VLOOKUP($Q25,武学奇术!$A:$ZZ,24,FALSE)=1,100%,MIN(40%,$B$10+VLOOKUP($Q25,武学奇术!$A:$ZZ,19,FALSE)+SUM(_xlfn.XLOOKUP(R25:AF25,增益!$A:$A,增益!$S:$S,0)))+$B$12+SUM(_xlfn.XLOOKUP(R25:AF25,增益!$A:$A,增益!$V:$V,0))),0),12%)</f>
        <v>0.918</v>
      </c>
      <c r="BK25" s="27" cm="1">
        <f t="array" ref="BK25">1+$B$13+VLOOKUP($Q25,武学奇术!$A:$ZZ,18,FALSE)+SUM(_xlfn.XLOOKUP(R25:AF25,增益!$A:$A,增益!$R:$R,0))</f>
        <v>1.6</v>
      </c>
      <c r="BL25" s="27" cm="1">
        <f t="array" ref="BL25">MAX(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-IF(VLOOKUP($Q25,武学奇术!$A:$ZZ,32,FALSE)=1,12%,0),0)</f>
        <v>0.0895</v>
      </c>
      <c r="BM25" s="27" cm="1">
        <f t="array" ref="BM25">1+$B$14+VLOOKUP($Q25,武学奇术!$A:$ZZ,20,FALSE)+SUM(_xlfn.XLOOKUP(R25:AF25,增益!$A:$A,增益!$T:$T,0))</f>
        <v>1.35</v>
      </c>
      <c r="BN25" s="27">
        <f t="shared" si="9"/>
        <v>0.9105</v>
      </c>
      <c r="BO25" s="27">
        <f t="shared" si="10"/>
        <v>0</v>
      </c>
      <c r="BP25" s="27">
        <f>IF(VLOOKUP($Q25,武学奇术!$A:$ZZ,22,FALSE)=1,0,(1-$BI25))*(1-$BL25)</f>
        <v>0</v>
      </c>
      <c r="BQ25" s="27" cm="1">
        <f t="array" ref="BQ25">SUM(_xlfn.XLOOKUP(R25:AF25,增益!$A:$A,增益!$W:$W,0))+$I$5</f>
        <v>0.11</v>
      </c>
    </row>
    <row r="26" spans="1:69">
      <c r="F26" s="4"/>
      <c r="G26" s="4"/>
      <c r="K26" s="39">
        <f t="shared" si="0"/>
        <v>45353.0341517926</v>
      </c>
      <c r="L26" s="39">
        <f>((($AN26+($AO26-$AN26)*IF(VLOOKUP($Q26,武学奇术!$A:$ZZ,31,FALSE)=1,$F$18,0.5))*$AH26+$AI26)*(1+$AP26)*(1+$AQ26)+(($AS26+($AT26-$AS26)*IF(VLOOKUP($Q26,武学奇术!$A:$ZZ,31,FALSE)=1,$F$18,0.5))*IF($G$1="鸣金",$AJ26,$AH26)+IF($G$1="鸣金",$AK26*1.5,0))*(1+$AU26)*(1+$AV26)+(($AW26+($AX26-$AW26)*IF(VLOOKUP($Q26,武学奇术!$A:$ZZ,31,FALSE)=1,$F$18,0.5))*IF($G$1="裂石",$AJ26,$AH26)+IF($G$1="裂石",$AK26*1.5,0))*(1+$AY26)*(1+$AZ26)+(($BA26+($BB26-$BA26)*IF(VLOOKUP($Q26,武学奇术!$A:$ZZ,31,FALSE)=1,$F$18,0.5))*IF($G$1="牵丝",$AJ26,$AH26)+IF($G$1="牵丝",$AK26*1.5,0))*(1+$BC26)*(1+$BD26)+(($BE26+($BF26-$BE26)*IF(VLOOKUP($Q26,武学奇术!$A:$ZZ,31,FALSE)=1,$F$18,0.5))*IF($G$1="破竹",$AJ26,$AH26)+IF($G$1="破竹",$AK26*1.5,0))*(1+$BG26)*(1+$BH26))*(1+$AL26)*$BK26*$P26*(1+IF(VLOOKUP($Q26,武学奇术!$A:$ZZ,30,FALSE)="蓄力技",$B$21,0))*(1+$BQ26)</f>
        <v>46128.861433707</v>
      </c>
      <c r="M26" s="39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37460.4001832671</v>
      </c>
      <c r="N26" s="39">
        <f>((($AN26+($AO26-$AN26)*IF(VLOOKUP($Q26,武学奇术!$A:$ZZ,31,FALSE)=1,$F$18,0.5))*$AH26+$AI26)*(1+$AP26)*(1+$AQ26)+(($AS26+($AT26-$AS26)*IF(VLOOKUP($Q26,武学奇术!$A:$ZZ,31,FALSE)=1,$F$18,0.5))*IF($G$1="鸣金",$AJ26,$AH26)+IF($G$1="鸣金",$AK26*1.5,0))*(1+$AU26)*(1+$AV26)+(($AW26+($AX26-$AW26)*IF(VLOOKUP($Q26,武学奇术!$A:$ZZ,31,FALSE)=1,$F$18,0.5))*IF($G$1="裂石",$AJ26,$AH26)+IF($G$1="裂石",$AK26*1.5,0))*(1+$AY26)*(1+$AZ26)+(($BA26+($BB26-$BA26)*IF(VLOOKUP($Q26,武学奇术!$A:$ZZ,31,FALSE)=1,$F$18,0.5))*IF($G$1="牵丝",$AJ26,$AH26)+IF($G$1="牵丝",$AK26*1.5,0))*(1+$BC26)*(1+$BD26)+(($BE26+($BF26-$BE26)*IF(VLOOKUP($Q26,武学奇术!$A:$ZZ,31,FALSE)=1,$F$18,0.5))*IF($G$1="破竹",$AJ26,$AH26)+IF($G$1="破竹",$AK26*1.5,0))*(1+$BG26)*(1+$BH26))*(1+$AL26)*$P26*(1+IF(VLOOKUP($Q26,武学奇术!$A:$ZZ,30,FALSE)="蓄力技",$B$21,0))*(1+$BQ26)</f>
        <v>24278.3481230037</v>
      </c>
      <c r="O26" s="39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20808.2516658095</v>
      </c>
      <c r="P26" s="40">
        <v>1</v>
      </c>
      <c r="Q26" s="41" t="s">
        <v>149</v>
      </c>
      <c r="R26" s="41" t="s">
        <v>93</v>
      </c>
      <c r="S26" s="41" t="s">
        <v>72</v>
      </c>
      <c r="T26" s="41" t="s">
        <v>72</v>
      </c>
      <c r="U26" s="41" t="s">
        <v>72</v>
      </c>
      <c r="V26" s="41" t="s">
        <v>72</v>
      </c>
      <c r="W26" s="41" t="s">
        <v>72</v>
      </c>
      <c r="X26" s="41" t="s">
        <v>146</v>
      </c>
      <c r="Y26" s="41" t="s">
        <v>81</v>
      </c>
      <c r="Z26" s="41" t="s">
        <v>101</v>
      </c>
      <c r="AA26" s="41" t="s">
        <v>72</v>
      </c>
      <c r="AB26" s="41" t="s">
        <v>72</v>
      </c>
      <c r="AC26" s="41" t="s">
        <v>72</v>
      </c>
      <c r="AD26" s="41" t="s">
        <v>72</v>
      </c>
      <c r="AE26" s="41" t="s">
        <v>75</v>
      </c>
      <c r="AF26" s="41" t="s">
        <v>76</v>
      </c>
      <c r="AG26" t="str">
        <f>VLOOKUP($Q26,武学奇术!$A:$ZZ,25,FALSE)</f>
        <v>绳镖</v>
      </c>
      <c r="AH26" s="27">
        <f>VLOOKUP($Q26,武学奇术!$A:$ZZ,26,FALSE)</f>
        <v>1.9448</v>
      </c>
      <c r="AI26" s="28">
        <f>VLOOKUP($Q26,武学奇术!$A:$ZZ,27,FALSE)*(1+IF(OR($AG26=$F$4,$AG26=$F$5),$B$22,0))</f>
        <v>0</v>
      </c>
      <c r="AJ26" s="27">
        <f>VLOOKUP($Q26,武学奇术!$A:$ZZ,28,FALSE)</f>
        <v>2.9172</v>
      </c>
      <c r="AK26" s="28">
        <f>VLOOKUP($Q26,武学奇术!$A:$ZZ,29,FALSE)*(1+IF(OR($AG26=$F$4,$AG26=$F$5),$B$22,0))</f>
        <v>0</v>
      </c>
      <c r="AL26" s="27" cm="1">
        <f t="array" ref="AL26">$G$3+IFERROR(VLOOKUP($AG26,$F$4:$G$7,2,FALSE),0)+VLOOKUP($Q26,武学奇术!$A:$ZZ,2,FALSE)+SUM(_xlfn.XLOOKUP($R26:$AF26,增益!$A:$A,增益!$B:$B,0))</f>
        <v>0.5389</v>
      </c>
      <c r="AM26" s="27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3742.006</v>
      </c>
      <c r="AO26" cm="1">
        <f t="array" ref="AO26">$E$10*(1+$AM26)+VLOOKUP($Q26,武学奇术!$A:$ZZ,4,FALSE)+SUM(_xlfn.XLOOKUP($R26:$AF26,增益!$A:$A,增益!$D:$D,0))-$I$2</f>
        <v>3742.006</v>
      </c>
      <c r="AP26" s="33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0.247</v>
      </c>
      <c r="AQ26" s="33" cm="1">
        <f t="array" ref="AQ26">$G$10+VLOOKUP($Q26,武学奇术!$A:$ZZ,7,FALSE)+SUM(_xlfn.XLOOKUP(R26:AF26,增益!$A:$A,增益!$G:$G,0))</f>
        <v>0.09</v>
      </c>
      <c r="AR26" s="27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3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-0.08</v>
      </c>
      <c r="AV26" s="33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3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-0.08</v>
      </c>
      <c r="AZ26" s="33" cm="1">
        <f t="array" ref="AZ26">$G$12+VLOOKUP($Q26,武学奇术!$A:$ZZ,12,FALSE)+SUM(_xlfn.XLOOKUP(R26:AF26,增益!$A:$A,增益!$L:$L,0))</f>
        <v>0</v>
      </c>
      <c r="BA26">
        <f t="shared" si="5"/>
        <v>0</v>
      </c>
      <c r="BB26">
        <f t="shared" si="6"/>
        <v>0</v>
      </c>
      <c r="BC26" s="33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-0.08</v>
      </c>
      <c r="BD26" s="33" cm="1">
        <f t="array" ref="BD26">$G$13+VLOOKUP($Q26,武学奇术!$A:$ZZ,14,FALSE)+SUM(_xlfn.XLOOKUP(R26:AF26,增益!$A:$A,增益!$N:$N,0))</f>
        <v>0</v>
      </c>
      <c r="BE26">
        <f t="shared" si="7"/>
        <v>570.28</v>
      </c>
      <c r="BF26">
        <f t="shared" si="8"/>
        <v>1582.156</v>
      </c>
      <c r="BG26" s="33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0.11</v>
      </c>
      <c r="BH26" s="33" cm="1">
        <f t="array" ref="BH26">$G$14+VLOOKUP($Q26,武学奇术!$A:$ZZ,16,FALSE)+SUM(_xlfn.XLOOKUP(R26:AF26,增益!$A:$A,增益!$P:$P,0))</f>
        <v>0.24</v>
      </c>
      <c r="BI26" s="27">
        <f>MIN(IF(VLOOKUP($Q26,武学奇术!$A:$ZZ,23,FALSE)=1,100%,$B$8),100%)</f>
        <v>1</v>
      </c>
      <c r="BJ26" s="27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+MIN(IF(VLOOKUP($Q26,武学奇术!$A:$ZZ,32,FALSE)=1,IF(VLOOKUP($Q26,武学奇术!$A:$ZZ,24,FALSE)=1,100%,MIN(40%,$B$10+VLOOKUP($Q26,武学奇术!$A:$ZZ,19,FALSE)+SUM(_xlfn.XLOOKUP(R26:AF26,增益!$A:$A,增益!$S:$S,0)))+$B$12+SUM(_xlfn.XLOOKUP(R26:AF26,增益!$A:$A,增益!$V:$V,0))),0),12%)</f>
        <v>0.918</v>
      </c>
      <c r="BK26" s="27" cm="1">
        <f t="array" ref="BK26">1+$B$13+VLOOKUP($Q26,武学奇术!$A:$ZZ,18,FALSE)+SUM(_xlfn.XLOOKUP(R26:AF26,增益!$A:$A,增益!$R:$R,0))</f>
        <v>1.9</v>
      </c>
      <c r="BL26" s="27" cm="1">
        <f t="array" ref="BL26">MAX(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-IF(VLOOKUP($Q26,武学奇术!$A:$ZZ,32,FALSE)=1,12%,0),0)</f>
        <v>0.0895</v>
      </c>
      <c r="BM26" s="27" cm="1">
        <f t="array" ref="BM26">1+$B$14+VLOOKUP($Q26,武学奇术!$A:$ZZ,20,FALSE)+SUM(_xlfn.XLOOKUP(R26:AF26,增益!$A:$A,增益!$T:$T,0))</f>
        <v>1.35</v>
      </c>
      <c r="BN26" s="27">
        <f t="shared" si="9"/>
        <v>0.9105</v>
      </c>
      <c r="BO26" s="27">
        <f t="shared" si="10"/>
        <v>0</v>
      </c>
      <c r="BP26" s="27">
        <f>IF(VLOOKUP($Q26,武学奇术!$A:$ZZ,22,FALSE)=1,0,(1-$BI26))*(1-$BL26)</f>
        <v>0</v>
      </c>
      <c r="BQ26" s="27" cm="1">
        <f t="array" ref="BQ26">SUM(_xlfn.XLOOKUP(R26:AF26,增益!$A:$A,增益!$W:$W,0))+$I$5</f>
        <v>0.11</v>
      </c>
    </row>
    <row r="27" spans="1:69">
      <c r="K27" s="39">
        <f t="shared" si="0"/>
        <v>28578.8841553113</v>
      </c>
      <c r="L27" s="39">
        <f>((($AN27+($AO27-$AN27)*IF(VLOOKUP($Q27,武学奇术!$A:$ZZ,31,FALSE)=1,$F$18,0.5))*$AH27+$AI27)*(1+$AP27)*(1+$AQ27)+(($AS27+($AT27-$AS27)*IF(VLOOKUP($Q27,武学奇术!$A:$ZZ,31,FALSE)=1,$F$18,0.5))*IF($G$1="鸣金",$AJ27,$AH27)+IF($G$1="鸣金",$AK27*1.5,0))*(1+$AU27)*(1+$AV27)+(($AW27+($AX27-$AW27)*IF(VLOOKUP($Q27,武学奇术!$A:$ZZ,31,FALSE)=1,$F$18,0.5))*IF($G$1="裂石",$AJ27,$AH27)+IF($G$1="裂石",$AK27*1.5,0))*(1+$AY27)*(1+$AZ27)+(($BA27+($BB27-$BA27)*IF(VLOOKUP($Q27,武学奇术!$A:$ZZ,31,FALSE)=1,$F$18,0.5))*IF($G$1="牵丝",$AJ27,$AH27)+IF($G$1="牵丝",$AK27*1.5,0))*(1+$BC27)*(1+$BD27)+(($BE27+($BF27-$BE27)*IF(VLOOKUP($Q27,武学奇术!$A:$ZZ,31,FALSE)=1,$F$18,0.5))*IF($G$1="破竹",$AJ27,$AH27)+IF($G$1="破竹",$AK27*1.5,0))*(1+$BG27)*(1+$BH27))*(1+$AL27)*$BK27*$P27*(1+IF(VLOOKUP($Q27,武学奇术!$A:$ZZ,30,FALSE)="蓄力技",$B$21,0))*(1+$BQ27)</f>
        <v>28721.2247397573</v>
      </c>
      <c r="M27" s="39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27130.827148182</v>
      </c>
      <c r="N27" s="39">
        <f>((($AN27+($AO27-$AN27)*IF(VLOOKUP($Q27,武学奇术!$A:$ZZ,31,FALSE)=1,$F$18,0.5))*$AH27+$AI27)*(1+$AP27)*(1+$AQ27)+(($AS27+($AT27-$AS27)*IF(VLOOKUP($Q27,武学奇术!$A:$ZZ,31,FALSE)=1,$F$18,0.5))*IF($G$1="鸣金",$AJ27,$AH27)+IF($G$1="鸣金",$AK27*1.5,0))*(1+$AU27)*(1+$AV27)+(($AW27+($AX27-$AW27)*IF(VLOOKUP($Q27,武学奇术!$A:$ZZ,31,FALSE)=1,$F$18,0.5))*IF($G$1="裂石",$AJ27,$AH27)+IF($G$1="裂石",$AK27*1.5,0))*(1+$AY27)*(1+$AZ27)+(($BA27+($BB27-$BA27)*IF(VLOOKUP($Q27,武学奇术!$A:$ZZ,31,FALSE)=1,$F$18,0.5))*IF($G$1="牵丝",$AJ27,$AH27)+IF($G$1="牵丝",$AK27*1.5,0))*(1+$BC27)*(1+$BD27)+(($BE27+($BF27-$BE27)*IF(VLOOKUP($Q27,武学奇术!$A:$ZZ,31,FALSE)=1,$F$18,0.5))*IF($G$1="破竹",$AJ27,$AH27)+IF($G$1="破竹",$AK27*1.5,0))*(1+$BG27)*(1+$BH27))*(1+$AL27)*$P27*(1+IF(VLOOKUP($Q27,武学奇术!$A:$ZZ,30,FALSE)="蓄力技",$B$21,0))*(1+$BQ27)</f>
        <v>17950.7654623483</v>
      </c>
      <c r="O27" s="39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15804.6219260433</v>
      </c>
      <c r="P27" s="40">
        <v>1</v>
      </c>
      <c r="Q27" s="41" t="s">
        <v>151</v>
      </c>
      <c r="R27" s="41" t="s">
        <v>93</v>
      </c>
      <c r="S27" s="41" t="s">
        <v>72</v>
      </c>
      <c r="T27" s="41" t="s">
        <v>72</v>
      </c>
      <c r="U27" s="41" t="s">
        <v>72</v>
      </c>
      <c r="V27" s="41" t="s">
        <v>72</v>
      </c>
      <c r="W27" s="41" t="s">
        <v>72</v>
      </c>
      <c r="X27" s="41" t="s">
        <v>146</v>
      </c>
      <c r="Y27" s="41" t="s">
        <v>72</v>
      </c>
      <c r="Z27" s="41" t="s">
        <v>72</v>
      </c>
      <c r="AA27" s="41" t="s">
        <v>72</v>
      </c>
      <c r="AB27" s="41" t="s">
        <v>72</v>
      </c>
      <c r="AC27" s="41" t="s">
        <v>72</v>
      </c>
      <c r="AD27" s="41" t="s">
        <v>72</v>
      </c>
      <c r="AE27" s="41" t="s">
        <v>75</v>
      </c>
      <c r="AF27" s="41" t="s">
        <v>76</v>
      </c>
      <c r="AG27" t="str">
        <f>VLOOKUP($Q27,武学奇术!$A:$ZZ,25,FALSE)</f>
        <v>绳镖</v>
      </c>
      <c r="AH27" s="27">
        <f>VLOOKUP($Q27,武学奇术!$A:$ZZ,26,FALSE)</f>
        <v>1.6584</v>
      </c>
      <c r="AI27" s="28">
        <f>VLOOKUP($Q27,武学奇术!$A:$ZZ,27,FALSE)*(1+IF(OR($AG27=$F$4,$AG27=$F$5),$B$22,0))</f>
        <v>641.2</v>
      </c>
      <c r="AJ27" s="27">
        <f>VLOOKUP($Q27,武学奇术!$A:$ZZ,28,FALSE)</f>
        <v>2.4876</v>
      </c>
      <c r="AK27" s="28">
        <f>VLOOKUP($Q27,武学奇术!$A:$ZZ,29,FALSE)*(1+IF(OR($AG27=$F$4,$AG27=$F$5),$B$22,0))</f>
        <v>350</v>
      </c>
      <c r="AL27" s="27" cm="1">
        <f t="array" ref="AL27">$G$3+IFERROR(VLOOKUP($AG27,$F$4:$G$7,2,FALSE),0)+VLOOKUP($Q27,武学奇术!$A:$ZZ,2,FALSE)+SUM(_xlfn.XLOOKUP($R27:$AF27,增益!$A:$A,增益!$B:$B,0))</f>
        <v>0.2389</v>
      </c>
      <c r="AM27" s="27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3742.006</v>
      </c>
      <c r="AO27" cm="1">
        <f t="array" ref="AO27">$E$10*(1+$AM27)+VLOOKUP($Q27,武学奇术!$A:$ZZ,4,FALSE)+SUM(_xlfn.XLOOKUP($R27:$AF27,增益!$A:$A,增益!$D:$D,0))-$I$2</f>
        <v>3742.006</v>
      </c>
      <c r="AP27" s="33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0.217</v>
      </c>
      <c r="AQ27" s="33" cm="1">
        <f t="array" ref="AQ27">$G$10+VLOOKUP($Q27,武学奇术!$A:$ZZ,7,FALSE)+SUM(_xlfn.XLOOKUP(R27:AF27,增益!$A:$A,增益!$G:$G,0))</f>
        <v>0.09</v>
      </c>
      <c r="AR27" s="27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3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3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3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3" cm="1">
        <f t="array" ref="AZ27">$G$12+VLOOKUP($Q27,武学奇术!$A:$ZZ,12,FALSE)+SUM(_xlfn.XLOOKUP(R27:AF27,增益!$A:$A,增益!$L:$L,0))</f>
        <v>0</v>
      </c>
      <c r="BA27">
        <f t="shared" si="5"/>
        <v>0</v>
      </c>
      <c r="BB27">
        <f t="shared" si="6"/>
        <v>0</v>
      </c>
      <c r="BC27" s="33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-0.3</v>
      </c>
      <c r="BD27" s="33" cm="1">
        <f t="array" ref="BD27">$G$13+VLOOKUP($Q27,武学奇术!$A:$ZZ,14,FALSE)+SUM(_xlfn.XLOOKUP(R27:AF27,增益!$A:$A,增益!$N:$N,0))</f>
        <v>0</v>
      </c>
      <c r="BE27">
        <f t="shared" si="7"/>
        <v>570.28</v>
      </c>
      <c r="BF27">
        <f t="shared" si="8"/>
        <v>1582.156</v>
      </c>
      <c r="BG27" s="33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</v>
      </c>
      <c r="BH27" s="33" cm="1">
        <f t="array" ref="BH27">$G$14+VLOOKUP($Q27,武学奇术!$A:$ZZ,16,FALSE)+SUM(_xlfn.XLOOKUP(R27:AF27,增益!$A:$A,增益!$P:$P,0))</f>
        <v>0.24</v>
      </c>
      <c r="BI27" s="27">
        <f>MIN(IF(VLOOKUP($Q27,武学奇术!$A:$ZZ,23,FALSE)=1,100%,$B$8),100%)</f>
        <v>1</v>
      </c>
      <c r="BJ27" s="27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+MIN(IF(VLOOKUP($Q27,武学奇术!$A:$ZZ,32,FALSE)=1,IF(VLOOKUP($Q27,武学奇术!$A:$ZZ,24,FALSE)=1,100%,MIN(40%,$B$10+VLOOKUP($Q27,武学奇术!$A:$ZZ,19,FALSE)+SUM(_xlfn.XLOOKUP(R27:AF27,增益!$A:$A,增益!$S:$S,0)))+$B$12+SUM(_xlfn.XLOOKUP(R27:AF27,增益!$A:$A,增益!$V:$V,0))),0),12%)</f>
        <v>0.918</v>
      </c>
      <c r="BK27" s="27" cm="1">
        <f t="array" ref="BK27">1+$B$13+VLOOKUP($Q27,武学奇术!$A:$ZZ,18,FALSE)+SUM(_xlfn.XLOOKUP(R27:AF27,增益!$A:$A,增益!$R:$R,0))</f>
        <v>1.6</v>
      </c>
      <c r="BL27" s="27" cm="1">
        <f t="array" ref="BL27">MAX(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-IF(VLOOKUP($Q27,武学奇术!$A:$ZZ,32,FALSE)=1,12%,0),0)</f>
        <v>0.0895</v>
      </c>
      <c r="BM27" s="27" cm="1">
        <f t="array" ref="BM27">1+$B$14+VLOOKUP($Q27,武学奇术!$A:$ZZ,20,FALSE)+SUM(_xlfn.XLOOKUP(R27:AF27,增益!$A:$A,增益!$T:$T,0))</f>
        <v>1.35</v>
      </c>
      <c r="BN27" s="27">
        <f t="shared" si="9"/>
        <v>0.9105</v>
      </c>
      <c r="BO27" s="27">
        <f t="shared" si="10"/>
        <v>0</v>
      </c>
      <c r="BP27" s="27">
        <f>IF(VLOOKUP($Q27,武学奇术!$A:$ZZ,22,FALSE)=1,0,(1-$BI27))*(1-$BL27)</f>
        <v>0</v>
      </c>
      <c r="BQ27" s="27" cm="1">
        <f t="array" ref="BQ27">SUM(_xlfn.XLOOKUP(R27:AF27,增益!$A:$A,增益!$W:$W,0))+$I$5</f>
        <v>0.11</v>
      </c>
    </row>
    <row r="28" spans="1:69">
      <c r="A28" s="4"/>
      <c r="B28" s="4"/>
      <c r="K28" s="39">
        <f t="shared" si="0"/>
        <v>53205.8449931014</v>
      </c>
      <c r="L28" s="39">
        <f>((($AN28+($AO28-$AN28)*IF(VLOOKUP($Q28,武学奇术!$A:$ZZ,31,FALSE)=1,$F$18,0.5))*$AH28+$AI28)*(1+$AP28)*(1+$AQ28)+(($AS28+($AT28-$AS28)*IF(VLOOKUP($Q28,武学奇术!$A:$ZZ,31,FALSE)=1,$F$18,0.5))*IF($G$1="鸣金",$AJ28,$AH28)+IF($G$1="鸣金",$AK28*1.5,0))*(1+$AU28)*(1+$AV28)+(($AW28+($AX28-$AW28)*IF(VLOOKUP($Q28,武学奇术!$A:$ZZ,31,FALSE)=1,$F$18,0.5))*IF($G$1="裂石",$AJ28,$AH28)+IF($G$1="裂石",$AK28*1.5,0))*(1+$AY28)*(1+$AZ28)+(($BA28+($BB28-$BA28)*IF(VLOOKUP($Q28,武学奇术!$A:$ZZ,31,FALSE)=1,$F$18,0.5))*IF($G$1="牵丝",$AJ28,$AH28)+IF($G$1="牵丝",$AK28*1.5,0))*(1+$BC28)*(1+$BD28)+(($BE28+($BF28-$BE28)*IF(VLOOKUP($Q28,武学奇术!$A:$ZZ,31,FALSE)=1,$F$18,0.5))*IF($G$1="破竹",$AJ28,$AH28)+IF($G$1="破竹",$AK28*1.5,0))*(1+$BG28)*(1+$BH28))*(1+$AL28)*$BK28*$P28*(1+IF(VLOOKUP($Q28,武学奇术!$A:$ZZ,30,FALSE)="蓄力技",$B$21,0))*(1+$BQ28)</f>
        <v>54141.6740705837</v>
      </c>
      <c r="M28" s="39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43685.4832607258</v>
      </c>
      <c r="N28" s="39">
        <f>((($AN28+($AO28-$AN28)*IF(VLOOKUP($Q28,武学奇术!$A:$ZZ,31,FALSE)=1,$F$18,0.5))*$AH28+$AI28)*(1+$AP28)*(1+$AQ28)+(($AS28+($AT28-$AS28)*IF(VLOOKUP($Q28,武学奇术!$A:$ZZ,31,FALSE)=1,$F$18,0.5))*IF($G$1="鸣金",$AJ28,$AH28)+IF($G$1="鸣金",$AK28*1.5,0))*(1+$AU28)*(1+$AV28)+(($AW28+($AX28-$AW28)*IF(VLOOKUP($Q28,武学奇术!$A:$ZZ,31,FALSE)=1,$F$18,0.5))*IF($G$1="裂石",$AJ28,$AH28)+IF($G$1="裂石",$AK28*1.5,0))*(1+$AY28)*(1+$AZ28)+(($BA28+($BB28-$BA28)*IF(VLOOKUP($Q28,武学奇术!$A:$ZZ,31,FALSE)=1,$F$18,0.5))*IF($G$1="牵丝",$AJ28,$AH28)+IF($G$1="牵丝",$AK28*1.5,0))*(1+$BC28)*(1+$BD28)+(($BE28+($BF28-$BE28)*IF(VLOOKUP($Q28,武学奇术!$A:$ZZ,31,FALSE)=1,$F$18,0.5))*IF($G$1="破竹",$AJ28,$AH28)+IF($G$1="破竹",$AK28*1.5,0))*(1+$BG28)*(1+$BH28))*(1+$AL28)*$P28*(1+IF(VLOOKUP($Q28,武学奇术!$A:$ZZ,30,FALSE)="蓄力技",$B$21,0))*(1+$BQ28)</f>
        <v>28495.6179318861</v>
      </c>
      <c r="O28" s="39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24631.618633605</v>
      </c>
      <c r="P28" s="40">
        <v>1</v>
      </c>
      <c r="Q28" s="41" t="s">
        <v>100</v>
      </c>
      <c r="R28" s="41" t="s">
        <v>93</v>
      </c>
      <c r="S28" s="41" t="s">
        <v>72</v>
      </c>
      <c r="T28" s="41" t="s">
        <v>72</v>
      </c>
      <c r="U28" s="41" t="s">
        <v>72</v>
      </c>
      <c r="V28" s="41" t="s">
        <v>72</v>
      </c>
      <c r="W28" s="41" t="s">
        <v>72</v>
      </c>
      <c r="X28" s="41" t="s">
        <v>146</v>
      </c>
      <c r="Y28" s="41" t="s">
        <v>72</v>
      </c>
      <c r="Z28" s="41" t="s">
        <v>101</v>
      </c>
      <c r="AA28" s="41" t="s">
        <v>72</v>
      </c>
      <c r="AB28" s="41" t="s">
        <v>72</v>
      </c>
      <c r="AC28" s="41" t="s">
        <v>72</v>
      </c>
      <c r="AD28" s="41" t="s">
        <v>72</v>
      </c>
      <c r="AE28" s="41" t="s">
        <v>75</v>
      </c>
      <c r="AF28" s="41" t="s">
        <v>76</v>
      </c>
      <c r="AG28" t="str">
        <f>VLOOKUP($Q28,武学奇术!$A:$ZZ,25,FALSE)</f>
        <v>绳镖</v>
      </c>
      <c r="AH28" s="27">
        <f>VLOOKUP($Q28,武学奇术!$A:$ZZ,26,FALSE)</f>
        <v>2.33376</v>
      </c>
      <c r="AI28" s="28">
        <f>VLOOKUP($Q28,武学奇术!$A:$ZZ,27,FALSE)*(1+IF(OR($AG28=$F$4,$AG28=$F$5),$B$22,0))</f>
        <v>0</v>
      </c>
      <c r="AJ28" s="27">
        <f>VLOOKUP($Q28,武学奇术!$A:$ZZ,28,FALSE)</f>
        <v>3.50064</v>
      </c>
      <c r="AK28" s="28">
        <f>VLOOKUP($Q28,武学奇术!$A:$ZZ,29,FALSE)*(1+IF(OR($AG28=$F$4,$AG28=$F$5),$B$22,0))</f>
        <v>0</v>
      </c>
      <c r="AL28" s="27" cm="1">
        <f t="array" ref="AL28">$G$3+IFERROR(VLOOKUP($AG28,$F$4:$G$7,2,FALSE),0)+VLOOKUP($Q28,武学奇术!$A:$ZZ,2,FALSE)+SUM(_xlfn.XLOOKUP($R28:$AF28,增益!$A:$A,增益!$B:$B,0))</f>
        <v>0.5389</v>
      </c>
      <c r="AM28" s="27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3742.006</v>
      </c>
      <c r="AO28" cm="1">
        <f t="array" ref="AO28">$E$10*(1+$AM28)+VLOOKUP($Q28,武学奇术!$A:$ZZ,4,FALSE)+SUM(_xlfn.XLOOKUP($R28:$AF28,增益!$A:$A,增益!$D:$D,0))-$I$2</f>
        <v>3742.006</v>
      </c>
      <c r="AP28" s="33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0.247</v>
      </c>
      <c r="AQ28" s="33" cm="1">
        <f t="array" ref="AQ28">$G$10+VLOOKUP($Q28,武学奇术!$A:$ZZ,7,FALSE)+SUM(_xlfn.XLOOKUP(R28:AF28,增益!$A:$A,增益!$G:$G,0))</f>
        <v>0.09</v>
      </c>
      <c r="AR28" s="27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3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-0.24</v>
      </c>
      <c r="AV28" s="33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3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-0.24</v>
      </c>
      <c r="AZ28" s="33" cm="1">
        <f t="array" ref="AZ28">$G$12+VLOOKUP($Q28,武学奇术!$A:$ZZ,12,FALSE)+SUM(_xlfn.XLOOKUP(R28:AF28,增益!$A:$A,增益!$L:$L,0))</f>
        <v>0</v>
      </c>
      <c r="BA28">
        <f t="shared" si="5"/>
        <v>0</v>
      </c>
      <c r="BB28">
        <f t="shared" si="6"/>
        <v>0</v>
      </c>
      <c r="BC28" s="33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-0.24</v>
      </c>
      <c r="BD28" s="33" cm="1">
        <f t="array" ref="BD28">$G$13+VLOOKUP($Q28,武学奇术!$A:$ZZ,14,FALSE)+SUM(_xlfn.XLOOKUP(R28:AF28,增益!$A:$A,增益!$N:$N,0))</f>
        <v>0</v>
      </c>
      <c r="BE28">
        <f t="shared" si="7"/>
        <v>570.28</v>
      </c>
      <c r="BF28">
        <f t="shared" si="8"/>
        <v>1582.156</v>
      </c>
      <c r="BG28" s="33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0.03</v>
      </c>
      <c r="BH28" s="33" cm="1">
        <f t="array" ref="BH28">$G$14+VLOOKUP($Q28,武学奇术!$A:$ZZ,16,FALSE)+SUM(_xlfn.XLOOKUP(R28:AF28,增益!$A:$A,增益!$P:$P,0))</f>
        <v>0.24</v>
      </c>
      <c r="BI28" s="27">
        <f>MIN(IF(VLOOKUP($Q28,武学奇术!$A:$ZZ,23,FALSE)=1,100%,$B$8),100%)</f>
        <v>1</v>
      </c>
      <c r="BJ28" s="27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+MIN(IF(VLOOKUP($Q28,武学奇术!$A:$ZZ,32,FALSE)=1,IF(VLOOKUP($Q28,武学奇术!$A:$ZZ,24,FALSE)=1,100%,MIN(40%,$B$10+VLOOKUP($Q28,武学奇术!$A:$ZZ,19,FALSE)+SUM(_xlfn.XLOOKUP(R28:AF28,增益!$A:$A,增益!$S:$S,0)))+$B$12+SUM(_xlfn.XLOOKUP(R28:AF28,增益!$A:$A,增益!$V:$V,0))),0),12%)</f>
        <v>0.918</v>
      </c>
      <c r="BK28" s="27" cm="1">
        <f t="array" ref="BK28">1+$B$13+VLOOKUP($Q28,武学奇术!$A:$ZZ,18,FALSE)+SUM(_xlfn.XLOOKUP(R28:AF28,增益!$A:$A,增益!$R:$R,0))</f>
        <v>1.9</v>
      </c>
      <c r="BL28" s="27" cm="1">
        <f t="array" ref="BL28">MAX(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-IF(VLOOKUP($Q28,武学奇术!$A:$ZZ,32,FALSE)=1,12%,0),0)</f>
        <v>0.0895</v>
      </c>
      <c r="BM28" s="27" cm="1">
        <f t="array" ref="BM28">1+$B$14+VLOOKUP($Q28,武学奇术!$A:$ZZ,20,FALSE)+SUM(_xlfn.XLOOKUP(R28:AF28,增益!$A:$A,增益!$T:$T,0))</f>
        <v>1.35</v>
      </c>
      <c r="BN28" s="27">
        <f t="shared" si="9"/>
        <v>0.9105</v>
      </c>
      <c r="BO28" s="27">
        <f t="shared" si="10"/>
        <v>0</v>
      </c>
      <c r="BP28" s="27">
        <f>IF(VLOOKUP($Q28,武学奇术!$A:$ZZ,22,FALSE)=1,0,(1-$BI28))*(1-$BL28)</f>
        <v>0</v>
      </c>
      <c r="BQ28" s="27" cm="1">
        <f t="array" ref="BQ28">SUM(_xlfn.XLOOKUP(R28:AF28,增益!$A:$A,增益!$W:$W,0))+$I$5</f>
        <v>0.11</v>
      </c>
    </row>
    <row r="29" spans="1:69">
      <c r="K29" s="39">
        <f t="shared" si="0"/>
        <v>45225.8794894659</v>
      </c>
      <c r="L29" s="39">
        <f>((($AN29+($AO29-$AN29)*IF(VLOOKUP($Q29,武学奇术!$A:$ZZ,31,FALSE)=1,$F$18,0.5))*$AH29+$AI29)*(1+$AP29)*(1+$AQ29)+(($AS29+($AT29-$AS29)*IF(VLOOKUP($Q29,武学奇术!$A:$ZZ,31,FALSE)=1,$F$18,0.5))*IF($G$1="鸣金",$AJ29,$AH29)+IF($G$1="鸣金",$AK29*1.5,0))*(1+$AU29)*(1+$AV29)+(($AW29+($AX29-$AW29)*IF(VLOOKUP($Q29,武学奇术!$A:$ZZ,31,FALSE)=1,$F$18,0.5))*IF($G$1="裂石",$AJ29,$AH29)+IF($G$1="裂石",$AK29*1.5,0))*(1+$AY29)*(1+$AZ29)+(($BA29+($BB29-$BA29)*IF(VLOOKUP($Q29,武学奇术!$A:$ZZ,31,FALSE)=1,$F$18,0.5))*IF($G$1="牵丝",$AJ29,$AH29)+IF($G$1="牵丝",$AK29*1.5,0))*(1+$BC29)*(1+$BD29)+(($BE29+($BF29-$BE29)*IF(VLOOKUP($Q29,武学奇术!$A:$ZZ,31,FALSE)=1,$F$18,0.5))*IF($G$1="破竹",$AJ29,$AH29)+IF($G$1="破竹",$AK29*1.5,0))*(1+$BG29)*(1+$BH29))*(1+$AL29)*$BK29*$P29*(1+IF(VLOOKUP($Q29,武学奇术!$A:$ZZ,30,FALSE)="蓄力技",$B$21,0))*(1+$BQ29)</f>
        <v>45475.0137363214</v>
      </c>
      <c r="M29" s="39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42691.3908664273</v>
      </c>
      <c r="N29" s="39">
        <f>((($AN29+($AO29-$AN29)*IF(VLOOKUP($Q29,武学奇术!$A:$ZZ,31,FALSE)=1,$F$18,0.5))*$AH29+$AI29)*(1+$AP29)*(1+$AQ29)+(($AS29+($AT29-$AS29)*IF(VLOOKUP($Q29,武学奇术!$A:$ZZ,31,FALSE)=1,$F$18,0.5))*IF($G$1="鸣金",$AJ29,$AH29)+IF($G$1="鸣金",$AK29*1.5,0))*(1+$AU29)*(1+$AV29)+(($AW29+($AX29-$AW29)*IF(VLOOKUP($Q29,武学奇术!$A:$ZZ,31,FALSE)=1,$F$18,0.5))*IF($G$1="裂石",$AJ29,$AH29)+IF($G$1="裂石",$AK29*1.5,0))*(1+$AY29)*(1+$AZ29)+(($BA29+($BB29-$BA29)*IF(VLOOKUP($Q29,武学奇术!$A:$ZZ,31,FALSE)=1,$F$18,0.5))*IF($G$1="牵丝",$AJ29,$AH29)+IF($G$1="牵丝",$AK29*1.5,0))*(1+$BC29)*(1+$BD29)+(($BE29+($BF29-$BE29)*IF(VLOOKUP($Q29,武学奇术!$A:$ZZ,31,FALSE)=1,$F$18,0.5))*IF($G$1="破竹",$AJ29,$AH29)+IF($G$1="破竹",$AK29*1.5,0))*(1+$BG29)*(1+$BH29))*(1+$AL29)*$P29*(1+IF(VLOOKUP($Q29,武学奇术!$A:$ZZ,30,FALSE)="蓄力技",$B$21,0))*(1+$BQ29)</f>
        <v>28245.3501467835</v>
      </c>
      <c r="O29" s="39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24867.4477999171</v>
      </c>
      <c r="P29" s="40">
        <v>1</v>
      </c>
      <c r="Q29" s="41" t="s">
        <v>111</v>
      </c>
      <c r="R29" s="41" t="s">
        <v>93</v>
      </c>
      <c r="S29" s="41" t="s">
        <v>72</v>
      </c>
      <c r="T29" s="41" t="s">
        <v>72</v>
      </c>
      <c r="U29" s="41" t="s">
        <v>72</v>
      </c>
      <c r="V29" s="41" t="s">
        <v>72</v>
      </c>
      <c r="W29" s="41" t="s">
        <v>72</v>
      </c>
      <c r="X29" s="41" t="s">
        <v>154</v>
      </c>
      <c r="Y29" s="41" t="s">
        <v>72</v>
      </c>
      <c r="Z29" s="41" t="s">
        <v>72</v>
      </c>
      <c r="AA29" s="41" t="s">
        <v>72</v>
      </c>
      <c r="AB29" s="41" t="s">
        <v>72</v>
      </c>
      <c r="AC29" s="41" t="s">
        <v>72</v>
      </c>
      <c r="AD29" s="41" t="s">
        <v>72</v>
      </c>
      <c r="AE29" s="41" t="s">
        <v>75</v>
      </c>
      <c r="AF29" s="41" t="s">
        <v>76</v>
      </c>
      <c r="AG29" t="str">
        <f>VLOOKUP($Q29,武学奇术!$A:$ZZ,25,FALSE)</f>
        <v>拳甲</v>
      </c>
      <c r="AH29" s="27">
        <f>VLOOKUP($Q29,武学奇术!$A:$ZZ,26,FALSE)</f>
        <v>2.4421</v>
      </c>
      <c r="AI29" s="28">
        <f>VLOOKUP($Q29,武学奇术!$A:$ZZ,27,FALSE)*(1+IF(OR($AG29=$F$4,$AG29=$F$5),$B$22,0))</f>
        <v>945</v>
      </c>
      <c r="AJ29" s="27">
        <f>VLOOKUP($Q29,武学奇术!$A:$ZZ,28,FALSE)</f>
        <v>3.6634</v>
      </c>
      <c r="AK29" s="28">
        <f>VLOOKUP($Q29,武学奇术!$A:$ZZ,29,FALSE)*(1+IF(OR($AG29=$F$4,$AG29=$F$5),$B$22,0))</f>
        <v>512.4</v>
      </c>
      <c r="AL29" s="27" cm="1">
        <f t="array" ref="AL29">$G$3+IFERROR(VLOOKUP($AG29,$F$4:$G$7,2,FALSE),0)+VLOOKUP($Q29,武学奇术!$A:$ZZ,2,FALSE)+SUM(_xlfn.XLOOKUP($R29:$AF29,增益!$A:$A,增益!$B:$B,0))</f>
        <v>0.3241</v>
      </c>
      <c r="AM29" s="27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3742.006</v>
      </c>
      <c r="AO29" cm="1">
        <f t="array" ref="AO29">$E$10*(1+$AM29)+VLOOKUP($Q29,武学奇术!$A:$ZZ,4,FALSE)+SUM(_xlfn.XLOOKUP($R29:$AF29,增益!$A:$A,增益!$D:$D,0))-$I$2</f>
        <v>3742.006</v>
      </c>
      <c r="AP29" s="33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0.217</v>
      </c>
      <c r="AQ29" s="33" cm="1">
        <f t="array" ref="AQ29">$G$10+VLOOKUP($Q29,武学奇术!$A:$ZZ,7,FALSE)+SUM(_xlfn.XLOOKUP(R29:AF29,增益!$A:$A,增益!$G:$G,0))</f>
        <v>0.09</v>
      </c>
      <c r="AR29" s="27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3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3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3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3" cm="1">
        <f t="array" ref="AZ29">$G$12+VLOOKUP($Q29,武学奇术!$A:$ZZ,12,FALSE)+SUM(_xlfn.XLOOKUP(R29:AF29,增益!$A:$A,增益!$L:$L,0))</f>
        <v>0</v>
      </c>
      <c r="BA29">
        <f t="shared" si="5"/>
        <v>0</v>
      </c>
      <c r="BB29">
        <f t="shared" si="6"/>
        <v>0</v>
      </c>
      <c r="BC29" s="33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-0.3</v>
      </c>
      <c r="BD29" s="33" cm="1">
        <f t="array" ref="BD29">$G$13+VLOOKUP($Q29,武学奇术!$A:$ZZ,14,FALSE)+SUM(_xlfn.XLOOKUP(R29:AF29,增益!$A:$A,增益!$N:$N,0))</f>
        <v>0</v>
      </c>
      <c r="BE29">
        <f t="shared" si="7"/>
        <v>570.28</v>
      </c>
      <c r="BF29">
        <f t="shared" si="8"/>
        <v>1582.156</v>
      </c>
      <c r="BG29" s="33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</v>
      </c>
      <c r="BH29" s="33" cm="1">
        <f t="array" ref="BH29">$G$14+VLOOKUP($Q29,武学奇术!$A:$ZZ,16,FALSE)+SUM(_xlfn.XLOOKUP(R29:AF29,增益!$A:$A,增益!$P:$P,0))</f>
        <v>0.24</v>
      </c>
      <c r="BI29" s="27">
        <f>MIN(IF(VLOOKUP($Q29,武学奇术!$A:$ZZ,23,FALSE)=1,100%,$B$8),100%)</f>
        <v>1</v>
      </c>
      <c r="BJ29" s="27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+MIN(IF(VLOOKUP($Q29,武学奇术!$A:$ZZ,32,FALSE)=1,IF(VLOOKUP($Q29,武学奇术!$A:$ZZ,24,FALSE)=1,100%,MIN(40%,$B$10+VLOOKUP($Q29,武学奇术!$A:$ZZ,19,FALSE)+SUM(_xlfn.XLOOKUP(R29:AF29,增益!$A:$A,增益!$S:$S,0)))+$B$12+SUM(_xlfn.XLOOKUP(R29:AF29,增益!$A:$A,增益!$V:$V,0))),0),12%)</f>
        <v>0.918</v>
      </c>
      <c r="BK29" s="27" cm="1">
        <f t="array" ref="BK29">1+$B$13+VLOOKUP($Q29,武学奇术!$A:$ZZ,18,FALSE)+SUM(_xlfn.XLOOKUP(R29:AF29,增益!$A:$A,增益!$R:$R,0))</f>
        <v>1.61</v>
      </c>
      <c r="BL29" s="27" cm="1">
        <f t="array" ref="BL29">MAX(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-IF(VLOOKUP($Q29,武学奇术!$A:$ZZ,32,FALSE)=1,12%,0),0)</f>
        <v>0.0895</v>
      </c>
      <c r="BM29" s="27" cm="1">
        <f t="array" ref="BM29">1+$B$14+VLOOKUP($Q29,武学奇术!$A:$ZZ,20,FALSE)+SUM(_xlfn.XLOOKUP(R29:AF29,增益!$A:$A,增益!$T:$T,0))</f>
        <v>1.35</v>
      </c>
      <c r="BN29" s="27">
        <f t="shared" si="9"/>
        <v>0.9105</v>
      </c>
      <c r="BO29" s="27">
        <f t="shared" si="10"/>
        <v>0</v>
      </c>
      <c r="BP29" s="27">
        <f>IF(VLOOKUP($Q29,武学奇术!$A:$ZZ,22,FALSE)=1,0,(1-$BI29))*(1-$BL29)</f>
        <v>0</v>
      </c>
      <c r="BQ29" s="27" cm="1">
        <f t="array" ref="BQ29">SUM(_xlfn.XLOOKUP(R29:AF29,增益!$A:$A,增益!$W:$W,0))+$I$5</f>
        <v>0.11</v>
      </c>
    </row>
    <row r="30" spans="1:69">
      <c r="K30" s="39">
        <f t="shared" si="0"/>
        <v>23866.071970548</v>
      </c>
      <c r="L30" s="39">
        <f>((($AN30+($AO30-$AN30)*IF(VLOOKUP($Q30,武学奇术!$A:$ZZ,31,FALSE)=1,$F$18,0.5))*$AH30+$AI30)*(1+$AP30)*(1+$AQ30)+(($AS30+($AT30-$AS30)*IF(VLOOKUP($Q30,武学奇术!$A:$ZZ,31,FALSE)=1,$F$18,0.5))*IF($G$1="鸣金",$AJ30,$AH30)+IF($G$1="鸣金",$AK30*1.5,0))*(1+$AU30)*(1+$AV30)+(($AW30+($AX30-$AW30)*IF(VLOOKUP($Q30,武学奇术!$A:$ZZ,31,FALSE)=1,$F$18,0.5))*IF($G$1="裂石",$AJ30,$AH30)+IF($G$1="裂石",$AK30*1.5,0))*(1+$AY30)*(1+$AZ30)+(($BA30+($BB30-$BA30)*IF(VLOOKUP($Q30,武学奇术!$A:$ZZ,31,FALSE)=1,$F$18,0.5))*IF($G$1="牵丝",$AJ30,$AH30)+IF($G$1="牵丝",$AK30*1.5,0))*(1+$BC30)*(1+$BD30)+(($BE30+($BF30-$BE30)*IF(VLOOKUP($Q30,武学奇术!$A:$ZZ,31,FALSE)=1,$F$18,0.5))*IF($G$1="破竹",$AJ30,$AH30)+IF($G$1="破竹",$AK30*1.5,0))*(1+$BG30)*(1+$BH30))*(1+$AL30)*$BK30*$P30*(1+IF(VLOOKUP($Q30,武学奇术!$A:$ZZ,30,FALSE)="蓄力技",$B$21,0))*(1+$BQ30)</f>
        <v>23997.7577058605</v>
      </c>
      <c r="M30" s="39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22526.4087079556</v>
      </c>
      <c r="N30" s="39">
        <f>((($AN30+($AO30-$AN30)*IF(VLOOKUP($Q30,武学奇术!$A:$ZZ,31,FALSE)=1,$F$18,0.5))*$AH30+$AI30)*(1+$AP30)*(1+$AQ30)+(($AS30+($AT30-$AS30)*IF(VLOOKUP($Q30,武学奇术!$A:$ZZ,31,FALSE)=1,$F$18,0.5))*IF($G$1="鸣金",$AJ30,$AH30)+IF($G$1="鸣金",$AK30*1.5,0))*(1+$AU30)*(1+$AV30)+(($AW30+($AX30-$AW30)*IF(VLOOKUP($Q30,武学奇术!$A:$ZZ,31,FALSE)=1,$F$18,0.5))*IF($G$1="裂石",$AJ30,$AH30)+IF($G$1="裂石",$AK30*1.5,0))*(1+$AY30)*(1+$AZ30)+(($BA30+($BB30-$BA30)*IF(VLOOKUP($Q30,武学奇术!$A:$ZZ,31,FALSE)=1,$F$18,0.5))*IF($G$1="牵丝",$AJ30,$AH30)+IF($G$1="牵丝",$AK30*1.5,0))*(1+$BC30)*(1+$BD30)+(($BE30+($BF30-$BE30)*IF(VLOOKUP($Q30,武学奇术!$A:$ZZ,31,FALSE)=1,$F$18,0.5))*IF($G$1="破竹",$AJ30,$AH30)+IF($G$1="破竹",$AK30*1.5,0))*(1+$BG30)*(1+$BH30))*(1+$AL30)*$P30*(1+IF(VLOOKUP($Q30,武学奇术!$A:$ZZ,30,FALSE)="蓄力技",$B$21,0))*(1+$BQ30)</f>
        <v>14905.4395688574</v>
      </c>
      <c r="O30" s="39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13124.6504651551</v>
      </c>
      <c r="P30" s="40">
        <v>1</v>
      </c>
      <c r="Q30" s="41" t="s">
        <v>106</v>
      </c>
      <c r="R30" s="41" t="s">
        <v>93</v>
      </c>
      <c r="S30" s="41" t="s">
        <v>72</v>
      </c>
      <c r="T30" s="41" t="s">
        <v>72</v>
      </c>
      <c r="U30" s="41" t="s">
        <v>72</v>
      </c>
      <c r="V30" s="41" t="s">
        <v>72</v>
      </c>
      <c r="W30" s="41" t="s">
        <v>72</v>
      </c>
      <c r="X30" s="41" t="s">
        <v>154</v>
      </c>
      <c r="Y30" s="41" t="s">
        <v>72</v>
      </c>
      <c r="Z30" s="41" t="s">
        <v>72</v>
      </c>
      <c r="AA30" s="41" t="s">
        <v>72</v>
      </c>
      <c r="AB30" s="41" t="s">
        <v>72</v>
      </c>
      <c r="AC30" s="41" t="s">
        <v>72</v>
      </c>
      <c r="AD30" s="41" t="s">
        <v>72</v>
      </c>
      <c r="AE30" s="41" t="s">
        <v>75</v>
      </c>
      <c r="AF30" s="41" t="s">
        <v>76</v>
      </c>
      <c r="AG30" t="str">
        <f>VLOOKUP($Q30,武学奇术!$A:$ZZ,25,FALSE)</f>
        <v>拳甲</v>
      </c>
      <c r="AH30" s="27">
        <f>VLOOKUP($Q30,武学奇术!$A:$ZZ,26,FALSE)</f>
        <v>1.2876</v>
      </c>
      <c r="AI30" s="28">
        <f>VLOOKUP($Q30,武学奇术!$A:$ZZ,27,FALSE)*(1+IF(OR($AG30=$F$4,$AG30=$F$5),$B$22,0))</f>
        <v>501.2</v>
      </c>
      <c r="AJ30" s="27">
        <f>VLOOKUP($Q30,武学奇术!$A:$ZZ,28,FALSE)</f>
        <v>1.9313</v>
      </c>
      <c r="AK30" s="28">
        <f>VLOOKUP($Q30,武学奇术!$A:$ZZ,29,FALSE)*(1+IF(OR($AG30=$F$4,$AG30=$F$5),$B$22,0))</f>
        <v>273</v>
      </c>
      <c r="AL30" s="27" cm="1">
        <f t="array" ref="AL30">$G$3+IFERROR(VLOOKUP($AG30,$F$4:$G$7,2,FALSE),0)+VLOOKUP($Q30,武学奇术!$A:$ZZ,2,FALSE)+SUM(_xlfn.XLOOKUP($R30:$AF30,增益!$A:$A,增益!$B:$B,0))</f>
        <v>0.3241</v>
      </c>
      <c r="AM30" s="27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3742.006</v>
      </c>
      <c r="AO30" cm="1">
        <f t="array" ref="AO30">$E$10*(1+$AM30)+VLOOKUP($Q30,武学奇术!$A:$ZZ,4,FALSE)+SUM(_xlfn.XLOOKUP($R30:$AF30,增益!$A:$A,增益!$D:$D,0))-$I$2</f>
        <v>3742.006</v>
      </c>
      <c r="AP30" s="33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0.217</v>
      </c>
      <c r="AQ30" s="33" cm="1">
        <f t="array" ref="AQ30">$G$10+VLOOKUP($Q30,武学奇术!$A:$ZZ,7,FALSE)+SUM(_xlfn.XLOOKUP(R30:AF30,增益!$A:$A,增益!$G:$G,0))</f>
        <v>0.09</v>
      </c>
      <c r="AR30" s="27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3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3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3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3" cm="1">
        <f t="array" ref="AZ30">$G$12+VLOOKUP($Q30,武学奇术!$A:$ZZ,12,FALSE)+SUM(_xlfn.XLOOKUP(R30:AF30,增益!$A:$A,增益!$L:$L,0))</f>
        <v>0</v>
      </c>
      <c r="BA30">
        <f t="shared" si="5"/>
        <v>0</v>
      </c>
      <c r="BB30">
        <f t="shared" si="6"/>
        <v>0</v>
      </c>
      <c r="BC30" s="33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-0.3</v>
      </c>
      <c r="BD30" s="33" cm="1">
        <f t="array" ref="BD30">$G$13+VLOOKUP($Q30,武学奇术!$A:$ZZ,14,FALSE)+SUM(_xlfn.XLOOKUP(R30:AF30,增益!$A:$A,增益!$N:$N,0))</f>
        <v>0</v>
      </c>
      <c r="BE30">
        <f t="shared" si="7"/>
        <v>570.28</v>
      </c>
      <c r="BF30">
        <f t="shared" si="8"/>
        <v>1582.156</v>
      </c>
      <c r="BG30" s="33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0</v>
      </c>
      <c r="BH30" s="33" cm="1">
        <f t="array" ref="BH30">$G$14+VLOOKUP($Q30,武学奇术!$A:$ZZ,16,FALSE)+SUM(_xlfn.XLOOKUP(R30:AF30,增益!$A:$A,增益!$P:$P,0))</f>
        <v>0.24</v>
      </c>
      <c r="BI30" s="27">
        <f>MIN(IF(VLOOKUP($Q30,武学奇术!$A:$ZZ,23,FALSE)=1,100%,$B$8),100%)</f>
        <v>1</v>
      </c>
      <c r="BJ30" s="27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+MIN(IF(VLOOKUP($Q30,武学奇术!$A:$ZZ,32,FALSE)=1,IF(VLOOKUP($Q30,武学奇术!$A:$ZZ,24,FALSE)=1,100%,MIN(40%,$B$10+VLOOKUP($Q30,武学奇术!$A:$ZZ,19,FALSE)+SUM(_xlfn.XLOOKUP(R30:AF30,增益!$A:$A,增益!$S:$S,0)))+$B$12+SUM(_xlfn.XLOOKUP(R30:AF30,增益!$A:$A,增益!$V:$V,0))),0),12%)</f>
        <v>0.918</v>
      </c>
      <c r="BK30" s="27" cm="1">
        <f t="array" ref="BK30">1+$B$13+VLOOKUP($Q30,武学奇术!$A:$ZZ,18,FALSE)+SUM(_xlfn.XLOOKUP(R30:AF30,增益!$A:$A,增益!$R:$R,0))</f>
        <v>1.61</v>
      </c>
      <c r="BL30" s="27" cm="1">
        <f t="array" ref="BL30">MAX(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-IF(VLOOKUP($Q30,武学奇术!$A:$ZZ,32,FALSE)=1,12%,0),0)</f>
        <v>0.0895</v>
      </c>
      <c r="BM30" s="27" cm="1">
        <f t="array" ref="BM30">1+$B$14+VLOOKUP($Q30,武学奇术!$A:$ZZ,20,FALSE)+SUM(_xlfn.XLOOKUP(R30:AF30,增益!$A:$A,增益!$T:$T,0))</f>
        <v>1.35</v>
      </c>
      <c r="BN30" s="27">
        <f t="shared" si="9"/>
        <v>0.9105</v>
      </c>
      <c r="BO30" s="27">
        <f t="shared" si="10"/>
        <v>0</v>
      </c>
      <c r="BP30" s="27">
        <f>IF(VLOOKUP($Q30,武学奇术!$A:$ZZ,22,FALSE)=1,0,(1-$BI30))*(1-$BL30)</f>
        <v>0</v>
      </c>
      <c r="BQ30" s="27" cm="1">
        <f t="array" ref="BQ30">SUM(_xlfn.XLOOKUP(R30:AF30,增益!$A:$A,增益!$W:$W,0))+$I$5</f>
        <v>0.11</v>
      </c>
    </row>
    <row r="31" spans="1:69">
      <c r="K31" s="39">
        <f t="shared" si="0"/>
        <v>56425.3621567472</v>
      </c>
      <c r="L31" s="39">
        <f>((($AN31+($AO31-$AN31)*IF(VLOOKUP($Q31,武学奇术!$A:$ZZ,31,FALSE)=1,$F$18,0.5))*$AH31+$AI31)*(1+$AP31)*(1+$AQ31)+(($AS31+($AT31-$AS31)*IF(VLOOKUP($Q31,武学奇术!$A:$ZZ,31,FALSE)=1,$F$18,0.5))*IF($G$1="鸣金",$AJ31,$AH31)+IF($G$1="鸣金",$AK31*1.5,0))*(1+$AU31)*(1+$AV31)+(($AW31+($AX31-$AW31)*IF(VLOOKUP($Q31,武学奇术!$A:$ZZ,31,FALSE)=1,$F$18,0.5))*IF($G$1="裂石",$AJ31,$AH31)+IF($G$1="裂石",$AK31*1.5,0))*(1+$AY31)*(1+$AZ31)+(($BA31+($BB31-$BA31)*IF(VLOOKUP($Q31,武学奇术!$A:$ZZ,31,FALSE)=1,$F$18,0.5))*IF($G$1="牵丝",$AJ31,$AH31)+IF($G$1="牵丝",$AK31*1.5,0))*(1+$BC31)*(1+$BD31)+(($BE31+($BF31-$BE31)*IF(VLOOKUP($Q31,武学奇术!$A:$ZZ,31,FALSE)=1,$F$18,0.5))*IF($G$1="破竹",$AJ31,$AH31)+IF($G$1="破竹",$AK31*1.5,0))*(1+$BG31)*(1+$BH31))*(1+$AL31)*$BK31*$P31*(1+IF(VLOOKUP($Q31,武学奇术!$A:$ZZ,30,FALSE)="蓄力技",$B$21,0))*(1+$BQ31)</f>
        <v>57439.9182460632</v>
      </c>
      <c r="M31" s="39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46104.0960190687</v>
      </c>
      <c r="N31" s="39">
        <f>((($AN31+($AO31-$AN31)*IF(VLOOKUP($Q31,武学奇术!$A:$ZZ,31,FALSE)=1,$F$18,0.5))*$AH31+$AI31)*(1+$AP31)*(1+$AQ31)+(($AS31+($AT31-$AS31)*IF(VLOOKUP($Q31,武学奇术!$A:$ZZ,31,FALSE)=1,$F$18,0.5))*IF($G$1="鸣金",$AJ31,$AH31)+IF($G$1="鸣金",$AK31*1.5,0))*(1+$AU31)*(1+$AV31)+(($AW31+($AX31-$AW31)*IF(VLOOKUP($Q31,武学奇术!$A:$ZZ,31,FALSE)=1,$F$18,0.5))*IF($G$1="裂石",$AJ31,$AH31)+IF($G$1="裂石",$AK31*1.5,0))*(1+$AY31)*(1+$AZ31)+(($BA31+($BB31-$BA31)*IF(VLOOKUP($Q31,武学奇术!$A:$ZZ,31,FALSE)=1,$F$18,0.5))*IF($G$1="牵丝",$AJ31,$AH31)+IF($G$1="牵丝",$AK31*1.5,0))*(1+$BC31)*(1+$BD31)+(($BE31+($BF31-$BE31)*IF(VLOOKUP($Q31,武学奇术!$A:$ZZ,31,FALSE)=1,$F$18,0.5))*IF($G$1="破竹",$AJ31,$AH31)+IF($G$1="破竹",$AK31*1.5,0))*(1+$BG31)*(1+$BH31))*(1+$AL31)*$P31*(1+IF(VLOOKUP($Q31,武学奇术!$A:$ZZ,30,FALSE)="蓄力技",$B$21,0))*(1+$BQ31)</f>
        <v>30073.2556262111</v>
      </c>
      <c r="O31" s="39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25995.3290160751</v>
      </c>
      <c r="P31" s="40">
        <v>1</v>
      </c>
      <c r="Q31" s="41" t="s">
        <v>108</v>
      </c>
      <c r="R31" s="41" t="s">
        <v>93</v>
      </c>
      <c r="S31" s="41" t="s">
        <v>72</v>
      </c>
      <c r="T31" s="41" t="s">
        <v>72</v>
      </c>
      <c r="U31" s="41" t="s">
        <v>72</v>
      </c>
      <c r="V31" s="41" t="s">
        <v>72</v>
      </c>
      <c r="W31" s="41" t="s">
        <v>72</v>
      </c>
      <c r="X31" s="41" t="s">
        <v>154</v>
      </c>
      <c r="Y31" s="41" t="s">
        <v>72</v>
      </c>
      <c r="Z31" s="41" t="s">
        <v>101</v>
      </c>
      <c r="AA31" s="41" t="s">
        <v>72</v>
      </c>
      <c r="AB31" s="41" t="s">
        <v>72</v>
      </c>
      <c r="AC31" s="41" t="s">
        <v>72</v>
      </c>
      <c r="AD31" s="41" t="s">
        <v>72</v>
      </c>
      <c r="AE31" s="41" t="s">
        <v>75</v>
      </c>
      <c r="AF31" s="41" t="s">
        <v>76</v>
      </c>
      <c r="AG31" t="str">
        <f>VLOOKUP($Q31,武学奇术!$A:$ZZ,25,FALSE)</f>
        <v>拳甲</v>
      </c>
      <c r="AH31" s="27">
        <f>VLOOKUP($Q31,武学奇术!$A:$ZZ,26,FALSE)</f>
        <v>2.33376</v>
      </c>
      <c r="AI31" s="28">
        <f>VLOOKUP($Q31,武学奇术!$A:$ZZ,27,FALSE)*(1+IF(OR($AG31=$F$4,$AG31=$F$5),$B$22,0))</f>
        <v>0</v>
      </c>
      <c r="AJ31" s="27">
        <f>VLOOKUP($Q31,武学奇术!$A:$ZZ,28,FALSE)</f>
        <v>3.50064</v>
      </c>
      <c r="AK31" s="28">
        <f>VLOOKUP($Q31,武学奇术!$A:$ZZ,29,FALSE)*(1+IF(OR($AG31=$F$4,$AG31=$F$5),$B$22,0))</f>
        <v>0</v>
      </c>
      <c r="AL31" s="27" cm="1">
        <f t="array" ref="AL31">$G$3+IFERROR(VLOOKUP($AG31,$F$4:$G$7,2,FALSE),0)+VLOOKUP($Q31,武学奇术!$A:$ZZ,2,FALSE)+SUM(_xlfn.XLOOKUP($R31:$AF31,增益!$A:$A,增益!$B:$B,0))</f>
        <v>0.6241</v>
      </c>
      <c r="AM31" s="27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3742.006</v>
      </c>
      <c r="AO31" cm="1">
        <f t="array" ref="AO31">$E$10*(1+$AM31)+VLOOKUP($Q31,武学奇术!$A:$ZZ,4,FALSE)+SUM(_xlfn.XLOOKUP($R31:$AF31,增益!$A:$A,增益!$D:$D,0))-$I$2</f>
        <v>3742.006</v>
      </c>
      <c r="AP31" s="33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0.247</v>
      </c>
      <c r="AQ31" s="33" cm="1">
        <f t="array" ref="AQ31">$G$10+VLOOKUP($Q31,武学奇术!$A:$ZZ,7,FALSE)+SUM(_xlfn.XLOOKUP(R31:AF31,增益!$A:$A,增益!$G:$G,0))</f>
        <v>0.09</v>
      </c>
      <c r="AR31" s="27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3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-0.24</v>
      </c>
      <c r="AV31" s="33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3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-0.24</v>
      </c>
      <c r="AZ31" s="33" cm="1">
        <f t="array" ref="AZ31">$G$12+VLOOKUP($Q31,武学奇术!$A:$ZZ,12,FALSE)+SUM(_xlfn.XLOOKUP(R31:AF31,增益!$A:$A,增益!$L:$L,0))</f>
        <v>0</v>
      </c>
      <c r="BA31">
        <f t="shared" si="5"/>
        <v>0</v>
      </c>
      <c r="BB31">
        <f t="shared" si="6"/>
        <v>0</v>
      </c>
      <c r="BC31" s="33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-0.24</v>
      </c>
      <c r="BD31" s="33" cm="1">
        <f t="array" ref="BD31">$G$13+VLOOKUP($Q31,武学奇术!$A:$ZZ,14,FALSE)+SUM(_xlfn.XLOOKUP(R31:AF31,增益!$A:$A,增益!$N:$N,0))</f>
        <v>0</v>
      </c>
      <c r="BE31">
        <f t="shared" si="7"/>
        <v>570.28</v>
      </c>
      <c r="BF31">
        <f t="shared" si="8"/>
        <v>1582.156</v>
      </c>
      <c r="BG31" s="33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0.03</v>
      </c>
      <c r="BH31" s="33" cm="1">
        <f t="array" ref="BH31">$G$14+VLOOKUP($Q31,武学奇术!$A:$ZZ,16,FALSE)+SUM(_xlfn.XLOOKUP(R31:AF31,增益!$A:$A,增益!$P:$P,0))</f>
        <v>0.24</v>
      </c>
      <c r="BI31" s="27">
        <f>MIN(IF(VLOOKUP($Q31,武学奇术!$A:$ZZ,23,FALSE)=1,100%,$B$8),100%)</f>
        <v>1</v>
      </c>
      <c r="BJ31" s="27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+MIN(IF(VLOOKUP($Q31,武学奇术!$A:$ZZ,32,FALSE)=1,IF(VLOOKUP($Q31,武学奇术!$A:$ZZ,24,FALSE)=1,100%,MIN(40%,$B$10+VLOOKUP($Q31,武学奇术!$A:$ZZ,19,FALSE)+SUM(_xlfn.XLOOKUP(R31:AF31,增益!$A:$A,增益!$S:$S,0)))+$B$12+SUM(_xlfn.XLOOKUP(R31:AF31,增益!$A:$A,增益!$V:$V,0))),0),12%)</f>
        <v>0.918</v>
      </c>
      <c r="BK31" s="27" cm="1">
        <f t="array" ref="BK31">1+$B$13+VLOOKUP($Q31,武学奇术!$A:$ZZ,18,FALSE)+SUM(_xlfn.XLOOKUP(R31:AF31,增益!$A:$A,增益!$R:$R,0))</f>
        <v>1.91</v>
      </c>
      <c r="BL31" s="27" cm="1">
        <f t="array" ref="BL31">MAX(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-IF(VLOOKUP($Q31,武学奇术!$A:$ZZ,32,FALSE)=1,12%,0),0)</f>
        <v>0.0895</v>
      </c>
      <c r="BM31" s="27" cm="1">
        <f t="array" ref="BM31">1+$B$14+VLOOKUP($Q31,武学奇术!$A:$ZZ,20,FALSE)+SUM(_xlfn.XLOOKUP(R31:AF31,增益!$A:$A,增益!$T:$T,0))</f>
        <v>1.35</v>
      </c>
      <c r="BN31" s="27">
        <f t="shared" si="9"/>
        <v>0.9105</v>
      </c>
      <c r="BO31" s="27">
        <f t="shared" si="10"/>
        <v>0</v>
      </c>
      <c r="BP31" s="27">
        <f>IF(VLOOKUP($Q31,武学奇术!$A:$ZZ,22,FALSE)=1,0,(1-$BI31))*(1-$BL31)</f>
        <v>0</v>
      </c>
      <c r="BQ31" s="27" cm="1">
        <f t="array" ref="BQ31">SUM(_xlfn.XLOOKUP(R31:AF31,增益!$A:$A,增益!$W:$W,0))+$I$5</f>
        <v>0.11</v>
      </c>
    </row>
    <row r="32" spans="1:69">
      <c r="K32" s="39">
        <f t="shared" si="0"/>
        <v>59345.4479617</v>
      </c>
      <c r="L32" s="39">
        <f>((($AN32+($AO32-$AN32)*IF(VLOOKUP($Q32,武学奇术!$A:$ZZ,31,FALSE)=1,$F$18,0.5))*$AH32+$AI32)*(1+$AP32)*(1+$AQ32)+(($AS32+($AT32-$AS32)*IF(VLOOKUP($Q32,武学奇术!$A:$ZZ,31,FALSE)=1,$F$18,0.5))*IF($G$1="鸣金",$AJ32,$AH32)+IF($G$1="鸣金",$AK32*1.5,0))*(1+$AU32)*(1+$AV32)+(($AW32+($AX32-$AW32)*IF(VLOOKUP($Q32,武学奇术!$A:$ZZ,31,FALSE)=1,$F$18,0.5))*IF($G$1="裂石",$AJ32,$AH32)+IF($G$1="裂石",$AK32*1.5,0))*(1+$AY32)*(1+$AZ32)+(($BA32+($BB32-$BA32)*IF(VLOOKUP($Q32,武学奇术!$A:$ZZ,31,FALSE)=1,$F$18,0.5))*IF($G$1="牵丝",$AJ32,$AH32)+IF($G$1="牵丝",$AK32*1.5,0))*(1+$BC32)*(1+$BD32)+(($BE32+($BF32-$BE32)*IF(VLOOKUP($Q32,武学奇术!$A:$ZZ,31,FALSE)=1,$F$18,0.5))*IF($G$1="破竹",$AJ32,$AH32)+IF($G$1="破竹",$AK32*1.5,0))*(1+$BG32)*(1+$BH32))*(1+$AL32)*$BK32*$P32*(1+IF(VLOOKUP($Q32,武学奇术!$A:$ZZ,30,FALSE)="蓄力技",$B$21,0))*(1+$BQ32)</f>
        <v>59654.9838841333</v>
      </c>
      <c r="M32" s="39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56196.4819575047</v>
      </c>
      <c r="N32" s="39">
        <f>((($AN32+($AO32-$AN32)*IF(VLOOKUP($Q32,武学奇术!$A:$ZZ,31,FALSE)=1,$F$18,0.5))*$AH32+$AI32)*(1+$AP32)*(1+$AQ32)+(($AS32+($AT32-$AS32)*IF(VLOOKUP($Q32,武学奇术!$A:$ZZ,31,FALSE)=1,$F$18,0.5))*IF($G$1="鸣金",$AJ32,$AH32)+IF($G$1="鸣金",$AK32*1.5,0))*(1+$AU32)*(1+$AV32)+(($AW32+($AX32-$AW32)*IF(VLOOKUP($Q32,武学奇术!$A:$ZZ,31,FALSE)=1,$F$18,0.5))*IF($G$1="裂石",$AJ32,$AH32)+IF($G$1="裂石",$AK32*1.5,0))*(1+$AY32)*(1+$AZ32)+(($BA32+($BB32-$BA32)*IF(VLOOKUP($Q32,武学奇术!$A:$ZZ,31,FALSE)=1,$F$18,0.5))*IF($G$1="牵丝",$AJ32,$AH32)+IF($G$1="牵丝",$AK32*1.5,0))*(1+$BC32)*(1+$BD32)+(($BE32+($BF32-$BE32)*IF(VLOOKUP($Q32,武学奇术!$A:$ZZ,31,FALSE)=1,$F$18,0.5))*IF($G$1="破竹",$AJ32,$AH32)+IF($G$1="破竹",$AK32*1.5,0))*(1+$BG32)*(1+$BH32))*(1+$AL32)*$P32*(1+IF(VLOOKUP($Q32,武学奇术!$A:$ZZ,30,FALSE)="蓄力技",$B$21,0))*(1+$BQ32)</f>
        <v>36824.0641260082</v>
      </c>
      <c r="O32" s="39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32021.1045797907</v>
      </c>
      <c r="P32" s="40">
        <v>1</v>
      </c>
      <c r="Q32" s="41" t="s">
        <v>157</v>
      </c>
      <c r="R32" s="41" t="s">
        <v>93</v>
      </c>
      <c r="S32" s="41" t="s">
        <v>72</v>
      </c>
      <c r="T32" s="41" t="s">
        <v>72</v>
      </c>
      <c r="U32" s="41" t="s">
        <v>72</v>
      </c>
      <c r="V32" s="41" t="s">
        <v>72</v>
      </c>
      <c r="W32" s="41" t="s">
        <v>72</v>
      </c>
      <c r="X32" s="41" t="s">
        <v>158</v>
      </c>
      <c r="Y32" s="41" t="s">
        <v>72</v>
      </c>
      <c r="Z32" s="41" t="s">
        <v>72</v>
      </c>
      <c r="AA32" s="41" t="s">
        <v>72</v>
      </c>
      <c r="AB32" s="41" t="s">
        <v>72</v>
      </c>
      <c r="AC32" s="41" t="s">
        <v>72</v>
      </c>
      <c r="AD32" s="41" t="s">
        <v>72</v>
      </c>
      <c r="AE32" s="41" t="s">
        <v>75</v>
      </c>
      <c r="AF32" s="41" t="s">
        <v>76</v>
      </c>
      <c r="AG32" t="str">
        <f>VLOOKUP($Q32,武学奇术!$A:$ZZ,25,FALSE)</f>
        <v>单体奇术</v>
      </c>
      <c r="AH32" s="27">
        <f>VLOOKUP($Q32,武学奇术!$A:$ZZ,26,FALSE)</f>
        <v>3.9855</v>
      </c>
      <c r="AI32" s="28">
        <f>VLOOKUP($Q32,武学奇术!$A:$ZZ,27,FALSE)*(1+IF(OR($AG32=$F$4,$AG32=$F$5),$B$22,0))</f>
        <v>749</v>
      </c>
      <c r="AJ32" s="27">
        <f>VLOOKUP($Q32,武学奇术!$A:$ZZ,28,FALSE)</f>
        <v>5.97825</v>
      </c>
      <c r="AK32" s="28">
        <f>VLOOKUP($Q32,武学奇术!$A:$ZZ,29,FALSE)*(1+IF(OR($AG32=$F$4,$AG32=$F$5),$B$22,0))</f>
        <v>0</v>
      </c>
      <c r="AL32" s="27" cm="1">
        <f t="array" ref="AL32">$G$3+IFERROR(VLOOKUP($AG32,$F$4:$G$7,2,FALSE),0)+VLOOKUP($Q32,武学奇术!$A:$ZZ,2,FALSE)+SUM(_xlfn.XLOOKUP($R32:$AF32,增益!$A:$A,增益!$B:$B,0))</f>
        <v>0.1537</v>
      </c>
      <c r="AM32" s="27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3742.006</v>
      </c>
      <c r="AO32" cm="1">
        <f t="array" ref="AO32">$E$10*(1+$AM32)+VLOOKUP($Q32,武学奇术!$A:$ZZ,4,FALSE)+SUM(_xlfn.XLOOKUP($R32:$AF32,增益!$A:$A,增益!$D:$D,0))-$I$2</f>
        <v>3742.006</v>
      </c>
      <c r="AP32" s="33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0.217</v>
      </c>
      <c r="AQ32" s="33" cm="1">
        <f t="array" ref="AQ32">$G$10+VLOOKUP($Q32,武学奇术!$A:$ZZ,7,FALSE)+SUM(_xlfn.XLOOKUP(R32:AF32,增益!$A:$A,增益!$G:$G,0))</f>
        <v>0.09</v>
      </c>
      <c r="AR32" s="27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3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3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3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3" cm="1">
        <f t="array" ref="AZ32">$G$12+VLOOKUP($Q32,武学奇术!$A:$ZZ,12,FALSE)+SUM(_xlfn.XLOOKUP(R32:AF32,增益!$A:$A,增益!$L:$L,0))</f>
        <v>0</v>
      </c>
      <c r="BA32">
        <f t="shared" si="5"/>
        <v>0</v>
      </c>
      <c r="BB32">
        <f t="shared" si="6"/>
        <v>0</v>
      </c>
      <c r="BC32" s="33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-0.3</v>
      </c>
      <c r="BD32" s="33" cm="1">
        <f t="array" ref="BD32">$G$13+VLOOKUP($Q32,武学奇术!$A:$ZZ,14,FALSE)+SUM(_xlfn.XLOOKUP(R32:AF32,增益!$A:$A,增益!$N:$N,0))</f>
        <v>0</v>
      </c>
      <c r="BE32">
        <f t="shared" si="7"/>
        <v>570.28</v>
      </c>
      <c r="BF32">
        <f t="shared" si="8"/>
        <v>1582.156</v>
      </c>
      <c r="BG32" s="33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</v>
      </c>
      <c r="BH32" s="33" cm="1">
        <f t="array" ref="BH32">$G$14+VLOOKUP($Q32,武学奇术!$A:$ZZ,16,FALSE)+SUM(_xlfn.XLOOKUP(R32:AF32,增益!$A:$A,增益!$P:$P,0))</f>
        <v>0.24</v>
      </c>
      <c r="BI32" s="27">
        <f>MIN(IF(VLOOKUP($Q32,武学奇术!$A:$ZZ,23,FALSE)=1,100%,$B$8),100%)</f>
        <v>1</v>
      </c>
      <c r="BJ32" s="27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+MIN(IF(VLOOKUP($Q32,武学奇术!$A:$ZZ,32,FALSE)=1,IF(VLOOKUP($Q32,武学奇术!$A:$ZZ,24,FALSE)=1,100%,MIN(40%,$B$10+VLOOKUP($Q32,武学奇术!$A:$ZZ,19,FALSE)+SUM(_xlfn.XLOOKUP(R32:AF32,增益!$A:$A,增益!$S:$S,0)))+$B$12+SUM(_xlfn.XLOOKUP(R32:AF32,增益!$A:$A,增益!$V:$V,0))),0),12%)</f>
        <v>0.918</v>
      </c>
      <c r="BK32" s="27" cm="1">
        <f t="array" ref="BK32">1+$B$13+VLOOKUP($Q32,武学奇术!$A:$ZZ,18,FALSE)+SUM(_xlfn.XLOOKUP(R32:AF32,增益!$A:$A,增益!$R:$R,0))</f>
        <v>1.62</v>
      </c>
      <c r="BL32" s="27" cm="1">
        <f t="array" ref="BL32">MAX(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-IF(VLOOKUP($Q32,武学奇术!$A:$ZZ,32,FALSE)=1,12%,0),0)</f>
        <v>0.0895</v>
      </c>
      <c r="BM32" s="27" cm="1">
        <f t="array" ref="BM32">1+$B$14+VLOOKUP($Q32,武学奇术!$A:$ZZ,20,FALSE)+SUM(_xlfn.XLOOKUP(R32:AF32,增益!$A:$A,增益!$T:$T,0))</f>
        <v>1.35</v>
      </c>
      <c r="BN32" s="27">
        <f t="shared" si="9"/>
        <v>0.9105</v>
      </c>
      <c r="BO32" s="27">
        <f t="shared" si="10"/>
        <v>0</v>
      </c>
      <c r="BP32" s="27">
        <f>IF(VLOOKUP($Q32,武学奇术!$A:$ZZ,22,FALSE)=1,0,(1-$BI32))*(1-$BL32)</f>
        <v>0</v>
      </c>
      <c r="BQ32" s="27" cm="1">
        <f t="array" ref="BQ32">SUM(_xlfn.XLOOKUP(R32:AF32,增益!$A:$A,增益!$W:$W,0))+$I$5</f>
        <v>0.11</v>
      </c>
    </row>
    <row r="33" spans="1:69">
      <c r="K33" s="39">
        <f t="shared" si="0"/>
        <v>12823.3469082541</v>
      </c>
      <c r="L33" s="39">
        <f>((($AN33+($AO33-$AN33)*IF(VLOOKUP($Q33,武学奇术!$A:$ZZ,31,FALSE)=1,$F$18,0.5))*$AH33+$AI33)*(1+$AP33)*(1+$AQ33)+(($AS33+($AT33-$AS33)*IF(VLOOKUP($Q33,武学奇术!$A:$ZZ,31,FALSE)=1,$F$18,0.5))*IF($G$1="鸣金",$AJ33,$AH33)+IF($G$1="鸣金",$AK33*1.5,0))*(1+$AU33)*(1+$AV33)+(($AW33+($AX33-$AW33)*IF(VLOOKUP($Q33,武学奇术!$A:$ZZ,31,FALSE)=1,$F$18,0.5))*IF($G$1="裂石",$AJ33,$AH33)+IF($G$1="裂石",$AK33*1.5,0))*(1+$AY33)*(1+$AZ33)+(($BA33+($BB33-$BA33)*IF(VLOOKUP($Q33,武学奇术!$A:$ZZ,31,FALSE)=1,$F$18,0.5))*IF($G$1="牵丝",$AJ33,$AH33)+IF($G$1="牵丝",$AK33*1.5,0))*(1+$BC33)*(1+$BD33)+(($BE33+($BF33-$BE33)*IF(VLOOKUP($Q33,武学奇术!$A:$ZZ,31,FALSE)=1,$F$18,0.5))*IF($G$1="破竹",$AJ33,$AH33)+IF($G$1="破竹",$AK33*1.5,0))*(1+$BG33)*(1+$BH33))*(1+$AL33)*$BK33*$P33*(1+IF(VLOOKUP($Q33,武学奇术!$A:$ZZ,30,FALSE)="蓄力技",$B$21,0))*(1+$BQ33)</f>
        <v>12890.1967854955</v>
      </c>
      <c r="M33" s="39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12143.270782798</v>
      </c>
      <c r="N33" s="39">
        <f>((($AN33+($AO33-$AN33)*IF(VLOOKUP($Q33,武学奇术!$A:$ZZ,31,FALSE)=1,$F$18,0.5))*$AH33+$AI33)*(1+$AP33)*(1+$AQ33)+(($AS33+($AT33-$AS33)*IF(VLOOKUP($Q33,武学奇术!$A:$ZZ,31,FALSE)=1,$F$18,0.5))*IF($G$1="鸣金",$AJ33,$AH33)+IF($G$1="鸣金",$AK33*1.5,0))*(1+$AU33)*(1+$AV33)+(($AW33+($AX33-$AW33)*IF(VLOOKUP($Q33,武学奇术!$A:$ZZ,31,FALSE)=1,$F$18,0.5))*IF($G$1="裂石",$AJ33,$AH33)+IF($G$1="裂石",$AK33*1.5,0))*(1+$AY33)*(1+$AZ33)+(($BA33+($BB33-$BA33)*IF(VLOOKUP($Q33,武学奇术!$A:$ZZ,31,FALSE)=1,$F$18,0.5))*IF($G$1="牵丝",$AJ33,$AH33)+IF($G$1="牵丝",$AK33*1.5,0))*(1+$BC33)*(1+$BD33)+(($BE33+($BF33-$BE33)*IF(VLOOKUP($Q33,武学奇术!$A:$ZZ,31,FALSE)=1,$F$18,0.5))*IF($G$1="破竹",$AJ33,$AH33)+IF($G$1="破竹",$AK33*1.5,0))*(1+$BG33)*(1+$BH33))*(1+$AL33)*$P33*(1+IF(VLOOKUP($Q33,武学奇术!$A:$ZZ,30,FALSE)="蓄力技",$B$21,0))*(1+$BQ33)</f>
        <v>7956.91159598486</v>
      </c>
      <c r="O33" s="39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6918.80779730457</v>
      </c>
      <c r="P33" s="40">
        <v>3</v>
      </c>
      <c r="Q33" s="41" t="s">
        <v>160</v>
      </c>
      <c r="R33" s="41" t="s">
        <v>93</v>
      </c>
      <c r="S33" s="41" t="s">
        <v>72</v>
      </c>
      <c r="T33" s="41" t="s">
        <v>72</v>
      </c>
      <c r="U33" s="41" t="s">
        <v>72</v>
      </c>
      <c r="V33" s="41" t="s">
        <v>72</v>
      </c>
      <c r="W33" s="41" t="s">
        <v>72</v>
      </c>
      <c r="X33" s="41" t="s">
        <v>158</v>
      </c>
      <c r="Y33" s="41" t="s">
        <v>72</v>
      </c>
      <c r="Z33" s="41" t="s">
        <v>72</v>
      </c>
      <c r="AA33" s="41" t="s">
        <v>161</v>
      </c>
      <c r="AB33" s="41" t="s">
        <v>72</v>
      </c>
      <c r="AC33" s="41" t="s">
        <v>72</v>
      </c>
      <c r="AD33" s="41" t="s">
        <v>72</v>
      </c>
      <c r="AE33" s="41" t="s">
        <v>75</v>
      </c>
      <c r="AF33" s="41" t="s">
        <v>76</v>
      </c>
      <c r="AG33" t="str">
        <f>VLOOKUP($Q33,武学奇术!$A:$ZZ,25,FALSE)</f>
        <v>单体奇术</v>
      </c>
      <c r="AH33" s="27">
        <f>VLOOKUP($Q33,武学奇术!$A:$ZZ,26,FALSE)</f>
        <v>0.236</v>
      </c>
      <c r="AI33" s="28">
        <f>VLOOKUP($Q33,武学奇术!$A:$ZZ,27,FALSE)*(1+IF(OR($AG33=$F$4,$AG33=$F$5),$B$22,0))</f>
        <v>44</v>
      </c>
      <c r="AJ33" s="27">
        <f>VLOOKUP($Q33,武学奇术!$A:$ZZ,28,FALSE)</f>
        <v>0.354</v>
      </c>
      <c r="AK33" s="28">
        <f>VLOOKUP($Q33,武学奇术!$A:$ZZ,29,FALSE)*(1+IF(OR($AG33=$F$4,$AG33=$F$5),$B$22,0))</f>
        <v>0</v>
      </c>
      <c r="AL33" s="27" cm="1">
        <f t="array" ref="AL33">$G$3+IFERROR(VLOOKUP($AG33,$F$4:$G$7,2,FALSE),0)+VLOOKUP($Q33,武学奇术!$A:$ZZ,2,FALSE)+SUM(_xlfn.XLOOKUP($R33:$AF33,增益!$A:$A,增益!$B:$B,0))</f>
        <v>0.4037</v>
      </c>
      <c r="AM33" s="27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3742.006</v>
      </c>
      <c r="AO33" cm="1">
        <f t="array" ref="AO33">$E$10*(1+$AM33)+VLOOKUP($Q33,武学奇术!$A:$ZZ,4,FALSE)+SUM(_xlfn.XLOOKUP($R33:$AF33,增益!$A:$A,增益!$D:$D,0))-$I$2</f>
        <v>3742.006</v>
      </c>
      <c r="AP33" s="33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0.217</v>
      </c>
      <c r="AQ33" s="33" cm="1">
        <f t="array" ref="AQ33">$G$10+VLOOKUP($Q33,武学奇术!$A:$ZZ,7,FALSE)+SUM(_xlfn.XLOOKUP(R33:AF33,增益!$A:$A,增益!$G:$G,0))</f>
        <v>0.09</v>
      </c>
      <c r="AR33" s="27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3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3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3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3" cm="1">
        <f t="array" ref="AZ33">$G$12+VLOOKUP($Q33,武学奇术!$A:$ZZ,12,FALSE)+SUM(_xlfn.XLOOKUP(R33:AF33,增益!$A:$A,增益!$L:$L,0))</f>
        <v>0</v>
      </c>
      <c r="BA33">
        <f t="shared" si="5"/>
        <v>0</v>
      </c>
      <c r="BB33">
        <f t="shared" si="6"/>
        <v>0</v>
      </c>
      <c r="BC33" s="33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-0.3</v>
      </c>
      <c r="BD33" s="33" cm="1">
        <f t="array" ref="BD33">$G$13+VLOOKUP($Q33,武学奇术!$A:$ZZ,14,FALSE)+SUM(_xlfn.XLOOKUP(R33:AF33,增益!$A:$A,增益!$N:$N,0))</f>
        <v>0</v>
      </c>
      <c r="BE33">
        <f t="shared" si="7"/>
        <v>570.28</v>
      </c>
      <c r="BF33">
        <f t="shared" si="8"/>
        <v>1582.156</v>
      </c>
      <c r="BG33" s="33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0</v>
      </c>
      <c r="BH33" s="33" cm="1">
        <f t="array" ref="BH33">$G$14+VLOOKUP($Q33,武学奇术!$A:$ZZ,16,FALSE)+SUM(_xlfn.XLOOKUP(R33:AF33,增益!$A:$A,增益!$P:$P,0))</f>
        <v>0.24</v>
      </c>
      <c r="BI33" s="27">
        <f>MIN(IF(VLOOKUP($Q33,武学奇术!$A:$ZZ,23,FALSE)=1,100%,$B$8),100%)</f>
        <v>1</v>
      </c>
      <c r="BJ33" s="27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+MIN(IF(VLOOKUP($Q33,武学奇术!$A:$ZZ,32,FALSE)=1,IF(VLOOKUP($Q33,武学奇术!$A:$ZZ,24,FALSE)=1,100%,MIN(40%,$B$10+VLOOKUP($Q33,武学奇术!$A:$ZZ,19,FALSE)+SUM(_xlfn.XLOOKUP(R33:AF33,增益!$A:$A,增益!$S:$S,0)))+$B$12+SUM(_xlfn.XLOOKUP(R33:AF33,增益!$A:$A,增益!$V:$V,0))),0),12%)</f>
        <v>0.918</v>
      </c>
      <c r="BK33" s="27" cm="1">
        <f t="array" ref="BK33">1+$B$13+VLOOKUP($Q33,武学奇术!$A:$ZZ,18,FALSE)+SUM(_xlfn.XLOOKUP(R33:AF33,增益!$A:$A,增益!$R:$R,0))</f>
        <v>1.62</v>
      </c>
      <c r="BL33" s="27" cm="1">
        <f t="array" ref="BL33">MAX(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-IF(VLOOKUP($Q33,武学奇术!$A:$ZZ,32,FALSE)=1,12%,0),0)</f>
        <v>0.0895</v>
      </c>
      <c r="BM33" s="27" cm="1">
        <f t="array" ref="BM33">1+$B$14+VLOOKUP($Q33,武学奇术!$A:$ZZ,20,FALSE)+SUM(_xlfn.XLOOKUP(R33:AF33,增益!$A:$A,增益!$T:$T,0))</f>
        <v>1.35</v>
      </c>
      <c r="BN33" s="27">
        <f t="shared" si="9"/>
        <v>0.9105</v>
      </c>
      <c r="BO33" s="27">
        <f t="shared" si="10"/>
        <v>0</v>
      </c>
      <c r="BP33" s="27">
        <f>IF(VLOOKUP($Q33,武学奇术!$A:$ZZ,22,FALSE)=1,0,(1-$BI33))*(1-$BL33)</f>
        <v>0</v>
      </c>
      <c r="BQ33" s="27" cm="1">
        <f t="array" ref="BQ33">SUM(_xlfn.XLOOKUP(R33:AF33,增益!$A:$A,增益!$W:$W,0))+$I$5</f>
        <v>0.11</v>
      </c>
    </row>
    <row r="34" spans="1:69">
      <c r="F34" s="4"/>
      <c r="G34" s="91"/>
      <c r="K34" s="39">
        <f t="shared" si="0"/>
        <v>17757.7783744043</v>
      </c>
      <c r="L34" s="39">
        <f>((($AN34+($AO34-$AN34)*IF(VLOOKUP($Q34,武学奇术!$A:$ZZ,31,FALSE)=1,$F$18,0.5))*$AH34+$AI34)*(1+$AP34)*(1+$AQ34)+(($AS34+($AT34-$AS34)*IF(VLOOKUP($Q34,武学奇术!$A:$ZZ,31,FALSE)=1,$F$18,0.5))*IF($G$1="鸣金",$AJ34,$AH34)+IF($G$1="鸣金",$AK34*1.5,0))*(1+$AU34)*(1+$AV34)+(($AW34+($AX34-$AW34)*IF(VLOOKUP($Q34,武学奇术!$A:$ZZ,31,FALSE)=1,$F$18,0.5))*IF($G$1="裂石",$AJ34,$AH34)+IF($G$1="裂石",$AK34*1.5,0))*(1+$AY34)*(1+$AZ34)+(($BA34+($BB34-$BA34)*IF(VLOOKUP($Q34,武学奇术!$A:$ZZ,31,FALSE)=1,$F$18,0.5))*IF($G$1="牵丝",$AJ34,$AH34)+IF($G$1="牵丝",$AK34*1.5,0))*(1+$BC34)*(1+$BD34)+(($BE34+($BF34-$BE34)*IF(VLOOKUP($Q34,武学奇术!$A:$ZZ,31,FALSE)=1,$F$18,0.5))*IF($G$1="破竹",$AJ34,$AH34)+IF($G$1="破竹",$AK34*1.5,0))*(1+$BG34)*(1+$BH34))*(1+$AL34)*$BK34*$P34*(1+IF(VLOOKUP($Q34,武学奇术!$A:$ZZ,30,FALSE)="蓄力技",$B$21,0))*(1+$BQ34)</f>
        <v>18057.2427645275</v>
      </c>
      <c r="M34" s="39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14711.2719251623</v>
      </c>
      <c r="N34" s="39">
        <f>((($AN34+($AO34-$AN34)*IF(VLOOKUP($Q34,武学奇术!$A:$ZZ,31,FALSE)=1,$F$18,0.5))*$AH34+$AI34)*(1+$AP34)*(1+$AQ34)+(($AS34+($AT34-$AS34)*IF(VLOOKUP($Q34,武学奇术!$A:$ZZ,31,FALSE)=1,$F$18,0.5))*IF($G$1="鸣金",$AJ34,$AH34)+IF($G$1="鸣金",$AK34*1.5,0))*(1+$AU34)*(1+$AV34)+(($AW34+($AX34-$AW34)*IF(VLOOKUP($Q34,武学奇术!$A:$ZZ,31,FALSE)=1,$F$18,0.5))*IF($G$1="裂石",$AJ34,$AH34)+IF($G$1="裂石",$AK34*1.5,0))*(1+$AY34)*(1+$AZ34)+(($BA34+($BB34-$BA34)*IF(VLOOKUP($Q34,武学奇术!$A:$ZZ,31,FALSE)=1,$F$18,0.5))*IF($G$1="牵丝",$AJ34,$AH34)+IF($G$1="牵丝",$AK34*1.5,0))*(1+$BC34)*(1+$BD34)+(($BE34+($BF34-$BE34)*IF(VLOOKUP($Q34,武学奇术!$A:$ZZ,31,FALSE)=1,$F$18,0.5))*IF($G$1="破竹",$AJ34,$AH34)+IF($G$1="破竹",$AK34*1.5,0))*(1+$BG34)*(1+$BH34))*(1+$AL34)*$P34*(1+IF(VLOOKUP($Q34,武学奇术!$A:$ZZ,30,FALSE)="蓄力技",$B$21,0))*(1+$BQ34)</f>
        <v>9656.27955322328</v>
      </c>
      <c r="O34" s="39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8415.32064336338</v>
      </c>
      <c r="P34" s="40">
        <v>3</v>
      </c>
      <c r="Q34" s="41" t="s">
        <v>160</v>
      </c>
      <c r="R34" s="41" t="s">
        <v>93</v>
      </c>
      <c r="S34" s="41" t="s">
        <v>118</v>
      </c>
      <c r="T34" s="41" t="s">
        <v>119</v>
      </c>
      <c r="U34" s="41" t="s">
        <v>72</v>
      </c>
      <c r="V34" s="41" t="s">
        <v>72</v>
      </c>
      <c r="W34" s="41" t="s">
        <v>72</v>
      </c>
      <c r="X34" s="41" t="s">
        <v>158</v>
      </c>
      <c r="Y34" s="41" t="s">
        <v>81</v>
      </c>
      <c r="Z34" s="41" t="s">
        <v>72</v>
      </c>
      <c r="AA34" s="41" t="s">
        <v>161</v>
      </c>
      <c r="AB34" s="41" t="s">
        <v>72</v>
      </c>
      <c r="AC34" s="41" t="s">
        <v>72</v>
      </c>
      <c r="AD34" s="41" t="s">
        <v>72</v>
      </c>
      <c r="AE34" s="41" t="s">
        <v>75</v>
      </c>
      <c r="AF34" s="41" t="s">
        <v>76</v>
      </c>
      <c r="AG34" t="str">
        <f>VLOOKUP($Q34,武学奇术!$A:$ZZ,25,FALSE)</f>
        <v>单体奇术</v>
      </c>
      <c r="AH34" s="27">
        <f>VLOOKUP($Q34,武学奇术!$A:$ZZ,26,FALSE)</f>
        <v>0.236</v>
      </c>
      <c r="AI34" s="28">
        <f>VLOOKUP($Q34,武学奇术!$A:$ZZ,27,FALSE)*(1+IF(OR($AG34=$F$4,$AG34=$F$5),$B$22,0))</f>
        <v>44</v>
      </c>
      <c r="AJ34" s="27">
        <f>VLOOKUP($Q34,武学奇术!$A:$ZZ,28,FALSE)</f>
        <v>0.354</v>
      </c>
      <c r="AK34" s="28">
        <f>VLOOKUP($Q34,武学奇术!$A:$ZZ,29,FALSE)*(1+IF(OR($AG34=$F$4,$AG34=$F$5),$B$22,0))</f>
        <v>0</v>
      </c>
      <c r="AL34" s="27" cm="1">
        <f t="array" ref="AL34">$G$3+IFERROR(VLOOKUP($AG34,$F$4:$G$7,2,FALSE),0)+VLOOKUP($Q34,武学奇术!$A:$ZZ,2,FALSE)+SUM(_xlfn.XLOOKUP($R34:$AF34,增益!$A:$A,增益!$B:$B,0))</f>
        <v>0.5537</v>
      </c>
      <c r="AM34" s="27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3742.006</v>
      </c>
      <c r="AO34" cm="1">
        <f t="array" ref="AO34">$E$10*(1+$AM34)+VLOOKUP($Q34,武学奇术!$A:$ZZ,4,FALSE)+SUM(_xlfn.XLOOKUP($R34:$AF34,增益!$A:$A,增益!$D:$D,0))-$I$2</f>
        <v>3742.006</v>
      </c>
      <c r="AP34" s="33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0.342</v>
      </c>
      <c r="AQ34" s="33" cm="1">
        <f t="array" ref="AQ34">$G$10+VLOOKUP($Q34,武学奇术!$A:$ZZ,7,FALSE)+SUM(_xlfn.XLOOKUP(R34:AF34,增益!$A:$A,增益!$G:$G,0))</f>
        <v>0.09</v>
      </c>
      <c r="AR34" s="27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3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-0.14</v>
      </c>
      <c r="AV34" s="33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3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-0.14</v>
      </c>
      <c r="AZ34" s="33" cm="1">
        <f t="array" ref="AZ34">$G$12+VLOOKUP($Q34,武学奇术!$A:$ZZ,12,FALSE)+SUM(_xlfn.XLOOKUP(R34:AF34,增益!$A:$A,增益!$L:$L,0))</f>
        <v>0</v>
      </c>
      <c r="BA34">
        <f t="shared" si="5"/>
        <v>0</v>
      </c>
      <c r="BB34">
        <f t="shared" si="6"/>
        <v>0</v>
      </c>
      <c r="BC34" s="33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-0.14</v>
      </c>
      <c r="BD34" s="33" cm="1">
        <f t="array" ref="BD34">$G$13+VLOOKUP($Q34,武学奇术!$A:$ZZ,14,FALSE)+SUM(_xlfn.XLOOKUP(R34:AF34,增益!$A:$A,增益!$N:$N,0))</f>
        <v>0</v>
      </c>
      <c r="BE34">
        <f t="shared" si="7"/>
        <v>570.28</v>
      </c>
      <c r="BF34">
        <f t="shared" si="8"/>
        <v>1582.156</v>
      </c>
      <c r="BG34" s="33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0.08</v>
      </c>
      <c r="BH34" s="33" cm="1">
        <f t="array" ref="BH34">$G$14+VLOOKUP($Q34,武学奇术!$A:$ZZ,16,FALSE)+SUM(_xlfn.XLOOKUP(R34:AF34,增益!$A:$A,增益!$P:$P,0))</f>
        <v>0.24</v>
      </c>
      <c r="BI34" s="27">
        <f>MIN(IF(VLOOKUP($Q34,武学奇术!$A:$ZZ,23,FALSE)=1,100%,$B$8),100%)</f>
        <v>1</v>
      </c>
      <c r="BJ34" s="27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+MIN(IF(VLOOKUP($Q34,武学奇术!$A:$ZZ,32,FALSE)=1,IF(VLOOKUP($Q34,武学奇术!$A:$ZZ,24,FALSE)=1,100%,MIN(40%,$B$10+VLOOKUP($Q34,武学奇术!$A:$ZZ,19,FALSE)+SUM(_xlfn.XLOOKUP(R34:AF34,增益!$A:$A,增益!$S:$S,0)))+$B$12+SUM(_xlfn.XLOOKUP(R34:AF34,增益!$A:$A,增益!$V:$V,0))),0),12%)</f>
        <v>0.918</v>
      </c>
      <c r="BK34" s="27" cm="1">
        <f t="array" ref="BK34">1+$B$13+VLOOKUP($Q34,武学奇术!$A:$ZZ,18,FALSE)+SUM(_xlfn.XLOOKUP(R34:AF34,增益!$A:$A,增益!$R:$R,0))</f>
        <v>1.87</v>
      </c>
      <c r="BL34" s="27" cm="1">
        <f t="array" ref="BL34">MAX(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-IF(VLOOKUP($Q34,武学奇术!$A:$ZZ,32,FALSE)=1,12%,0),0)</f>
        <v>0.0895</v>
      </c>
      <c r="BM34" s="27" cm="1">
        <f t="array" ref="BM34">1+$B$14+VLOOKUP($Q34,武学奇术!$A:$ZZ,20,FALSE)+SUM(_xlfn.XLOOKUP(R34:AF34,增益!$A:$A,增益!$T:$T,0))</f>
        <v>1.35</v>
      </c>
      <c r="BN34" s="27">
        <f t="shared" si="9"/>
        <v>0.9105</v>
      </c>
      <c r="BO34" s="27">
        <f t="shared" si="10"/>
        <v>0</v>
      </c>
      <c r="BP34" s="27">
        <f>IF(VLOOKUP($Q34,武学奇术!$A:$ZZ,22,FALSE)=1,0,(1-$BI34))*(1-$BL34)</f>
        <v>0</v>
      </c>
      <c r="BQ34" s="27" cm="1">
        <f t="array" ref="BQ34">SUM(_xlfn.XLOOKUP(R34:AF34,增益!$A:$A,增益!$W:$W,0))+$I$5</f>
        <v>0.11</v>
      </c>
    </row>
    <row r="35" spans="1:69">
      <c r="F35" s="4"/>
      <c r="G35" s="4"/>
      <c r="K35" s="39">
        <f t="shared" si="0"/>
        <v>35691.3975994729</v>
      </c>
      <c r="L35" s="39">
        <f>((($AN35+($AO35-$AN35)*IF(VLOOKUP($Q35,武学奇术!$A:$ZZ,31,FALSE)=1,$F$18,0.5))*$AH35+$AI35)*(1+$AP35)*(1+$AQ35)+(($AS35+($AT35-$AS35)*IF(VLOOKUP($Q35,武学奇术!$A:$ZZ,31,FALSE)=1,$F$18,0.5))*IF($G$1="鸣金",$AJ35,$AH35)+IF($G$1="鸣金",$AK35*1.5,0))*(1+$AU35)*(1+$AV35)+(($AW35+($AX35-$AW35)*IF(VLOOKUP($Q35,武学奇术!$A:$ZZ,31,FALSE)=1,$F$18,0.5))*IF($G$1="裂石",$AJ35,$AH35)+IF($G$1="裂石",$AK35*1.5,0))*(1+$AY35)*(1+$AZ35)+(($BA35+($BB35-$BA35)*IF(VLOOKUP($Q35,武学奇术!$A:$ZZ,31,FALSE)=1,$F$18,0.5))*IF($G$1="牵丝",$AJ35,$AH35)+IF($G$1="牵丝",$AK35*1.5,0))*(1+$BC35)*(1+$BD35)+(($BE35+($BF35-$BE35)*IF(VLOOKUP($Q35,武学奇术!$A:$ZZ,31,FALSE)=1,$F$18,0.5))*IF($G$1="破竹",$AJ35,$AH35)+IF($G$1="破竹",$AK35*1.5,0))*(1+$BG35)*(1+$BH35))*(1+$AL35)*$BK35*$P35*(1+IF(VLOOKUP($Q35,武学奇术!$A:$ZZ,30,FALSE)="蓄力技",$B$21,0))*(1+$BQ35)</f>
        <v>36307.6111201195</v>
      </c>
      <c r="M35" s="39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29422.5438503246</v>
      </c>
      <c r="N35" s="39">
        <f>((($AN35+($AO35-$AN35)*IF(VLOOKUP($Q35,武学奇术!$A:$ZZ,31,FALSE)=1,$F$18,0.5))*$AH35+$AI35)*(1+$AP35)*(1+$AQ35)+(($AS35+($AT35-$AS35)*IF(VLOOKUP($Q35,武学奇术!$A:$ZZ,31,FALSE)=1,$F$18,0.5))*IF($G$1="鸣金",$AJ35,$AH35)+IF($G$1="鸣金",$AK35*1.5,0))*(1+$AU35)*(1+$AV35)+(($AW35+($AX35-$AW35)*IF(VLOOKUP($Q35,武学奇术!$A:$ZZ,31,FALSE)=1,$F$18,0.5))*IF($G$1="裂石",$AJ35,$AH35)+IF($G$1="裂石",$AK35*1.5,0))*(1+$AY35)*(1+$AZ35)+(($BA35+($BB35-$BA35)*IF(VLOOKUP($Q35,武学奇术!$A:$ZZ,31,FALSE)=1,$F$18,0.5))*IF($G$1="牵丝",$AJ35,$AH35)+IF($G$1="牵丝",$AK35*1.5,0))*(1+$BC35)*(1+$BD35)+(($BE35+($BF35-$BE35)*IF(VLOOKUP($Q35,武学奇术!$A:$ZZ,31,FALSE)=1,$F$18,0.5))*IF($G$1="破竹",$AJ35,$AH35)+IF($G$1="破竹",$AK35*1.5,0))*(1+$BG35)*(1+$BH35))*(1+$AL35)*$P35*(1+IF(VLOOKUP($Q35,武学奇术!$A:$ZZ,30,FALSE)="蓄力技",$B$21,0))*(1+$BQ35)</f>
        <v>19312.5591064466</v>
      </c>
      <c r="O35" s="39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16830.6412867268</v>
      </c>
      <c r="P35" s="40">
        <v>6</v>
      </c>
      <c r="Q35" s="41" t="s">
        <v>160</v>
      </c>
      <c r="R35" s="41" t="s">
        <v>93</v>
      </c>
      <c r="S35" s="41" t="s">
        <v>118</v>
      </c>
      <c r="T35" s="41" t="s">
        <v>119</v>
      </c>
      <c r="U35" s="41" t="s">
        <v>72</v>
      </c>
      <c r="V35" s="41" t="s">
        <v>72</v>
      </c>
      <c r="W35" s="41" t="s">
        <v>72</v>
      </c>
      <c r="X35" s="41" t="s">
        <v>163</v>
      </c>
      <c r="Y35" s="41" t="s">
        <v>81</v>
      </c>
      <c r="Z35" s="41" t="s">
        <v>72</v>
      </c>
      <c r="AA35" s="41" t="s">
        <v>161</v>
      </c>
      <c r="AB35" s="41" t="s">
        <v>72</v>
      </c>
      <c r="AC35" s="41" t="s">
        <v>72</v>
      </c>
      <c r="AD35" s="41" t="s">
        <v>72</v>
      </c>
      <c r="AE35" s="41" t="s">
        <v>75</v>
      </c>
      <c r="AF35" s="41" t="s">
        <v>76</v>
      </c>
      <c r="AG35" t="str">
        <f>VLOOKUP($Q35,武学奇术!$A:$ZZ,25,FALSE)</f>
        <v>单体奇术</v>
      </c>
      <c r="AH35" s="27">
        <f>VLOOKUP($Q35,武学奇术!$A:$ZZ,26,FALSE)</f>
        <v>0.236</v>
      </c>
      <c r="AI35" s="28">
        <f>VLOOKUP($Q35,武学奇术!$A:$ZZ,27,FALSE)*(1+IF(OR($AG35=$F$4,$AG35=$F$5),$B$22,0))</f>
        <v>44</v>
      </c>
      <c r="AJ35" s="27">
        <f>VLOOKUP($Q35,武学奇术!$A:$ZZ,28,FALSE)</f>
        <v>0.354</v>
      </c>
      <c r="AK35" s="28">
        <f>VLOOKUP($Q35,武学奇术!$A:$ZZ,29,FALSE)*(1+IF(OR($AG35=$F$4,$AG35=$F$5),$B$22,0))</f>
        <v>0</v>
      </c>
      <c r="AL35" s="27" cm="1">
        <f t="array" ref="AL35">$G$3+IFERROR(VLOOKUP($AG35,$F$4:$G$7,2,FALSE),0)+VLOOKUP($Q35,武学奇术!$A:$ZZ,2,FALSE)+SUM(_xlfn.XLOOKUP($R35:$AF35,增益!$A:$A,增益!$B:$B,0))</f>
        <v>0.5537</v>
      </c>
      <c r="AM35" s="27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3742.006</v>
      </c>
      <c r="AO35" cm="1">
        <f t="array" ref="AO35">$E$10*(1+$AM35)+VLOOKUP($Q35,武学奇术!$A:$ZZ,4,FALSE)+SUM(_xlfn.XLOOKUP($R35:$AF35,增益!$A:$A,增益!$D:$D,0))-$I$2</f>
        <v>3742.006</v>
      </c>
      <c r="AP35" s="33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0.342</v>
      </c>
      <c r="AQ35" s="33" cm="1">
        <f t="array" ref="AQ35">$G$10+VLOOKUP($Q35,武学奇术!$A:$ZZ,7,FALSE)+SUM(_xlfn.XLOOKUP(R35:AF35,增益!$A:$A,增益!$G:$G,0))</f>
        <v>0.09</v>
      </c>
      <c r="AR35" s="27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3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-0.14</v>
      </c>
      <c r="AV35" s="33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3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-0.14</v>
      </c>
      <c r="AZ35" s="33" cm="1">
        <f t="array" ref="AZ35">$G$12+VLOOKUP($Q35,武学奇术!$A:$ZZ,12,FALSE)+SUM(_xlfn.XLOOKUP(R35:AF35,增益!$A:$A,增益!$L:$L,0))</f>
        <v>0</v>
      </c>
      <c r="BA35">
        <f t="shared" si="5"/>
        <v>0</v>
      </c>
      <c r="BB35">
        <f t="shared" si="6"/>
        <v>0</v>
      </c>
      <c r="BC35" s="33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-0.14</v>
      </c>
      <c r="BD35" s="33" cm="1">
        <f t="array" ref="BD35">$G$13+VLOOKUP($Q35,武学奇术!$A:$ZZ,14,FALSE)+SUM(_xlfn.XLOOKUP(R35:AF35,增益!$A:$A,增益!$N:$N,0))</f>
        <v>0</v>
      </c>
      <c r="BE35">
        <f t="shared" si="7"/>
        <v>570.28</v>
      </c>
      <c r="BF35">
        <f t="shared" si="8"/>
        <v>1582.156</v>
      </c>
      <c r="BG35" s="33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0.08</v>
      </c>
      <c r="BH35" s="33" cm="1">
        <f t="array" ref="BH35">$G$14+VLOOKUP($Q35,武学奇术!$A:$ZZ,16,FALSE)+SUM(_xlfn.XLOOKUP(R35:AF35,增益!$A:$A,增益!$P:$P,0))</f>
        <v>0.24</v>
      </c>
      <c r="BI35" s="27">
        <f>MIN(IF(VLOOKUP($Q35,武学奇术!$A:$ZZ,23,FALSE)=1,100%,$B$8),100%)</f>
        <v>1</v>
      </c>
      <c r="BJ35" s="27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+MIN(IF(VLOOKUP($Q35,武学奇术!$A:$ZZ,32,FALSE)=1,IF(VLOOKUP($Q35,武学奇术!$A:$ZZ,24,FALSE)=1,100%,MIN(40%,$B$10+VLOOKUP($Q35,武学奇术!$A:$ZZ,19,FALSE)+SUM(_xlfn.XLOOKUP(R35:AF35,增益!$A:$A,增益!$S:$S,0)))+$B$12+SUM(_xlfn.XLOOKUP(R35:AF35,增益!$A:$A,增益!$V:$V,0))),0),12%)</f>
        <v>0.918</v>
      </c>
      <c r="BK35" s="27" cm="1">
        <f t="array" ref="BK35">1+$B$13+VLOOKUP($Q35,武学奇术!$A:$ZZ,18,FALSE)+SUM(_xlfn.XLOOKUP(R35:AF35,增益!$A:$A,增益!$R:$R,0))</f>
        <v>1.88</v>
      </c>
      <c r="BL35" s="27" cm="1">
        <f t="array" ref="BL35">MAX(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-IF(VLOOKUP($Q35,武学奇术!$A:$ZZ,32,FALSE)=1,12%,0),0)</f>
        <v>0.0895</v>
      </c>
      <c r="BM35" s="27" cm="1">
        <f t="array" ref="BM35">1+$B$14+VLOOKUP($Q35,武学奇术!$A:$ZZ,20,FALSE)+SUM(_xlfn.XLOOKUP(R35:AF35,增益!$A:$A,增益!$T:$T,0))</f>
        <v>1.35</v>
      </c>
      <c r="BN35" s="27">
        <f t="shared" si="9"/>
        <v>0.9105</v>
      </c>
      <c r="BO35" s="27">
        <f t="shared" si="10"/>
        <v>0</v>
      </c>
      <c r="BP35" s="27">
        <f>IF(VLOOKUP($Q35,武学奇术!$A:$ZZ,22,FALSE)=1,0,(1-$BI35))*(1-$BL35)</f>
        <v>0</v>
      </c>
      <c r="BQ35" s="27" cm="1">
        <f t="array" ref="BQ35">SUM(_xlfn.XLOOKUP(R35:AF35,增益!$A:$A,增益!$W:$W,0))+$I$5</f>
        <v>0.11</v>
      </c>
    </row>
    <row r="36" spans="1:69">
      <c r="F36" s="4"/>
      <c r="G36" s="91"/>
      <c r="K36" s="39">
        <f t="shared" si="0"/>
        <v>5977.87307502285</v>
      </c>
      <c r="L36" s="39">
        <f>((($AN36+($AO36-$AN36)*IF(VLOOKUP($Q36,武学奇术!$A:$ZZ,31,FALSE)=1,$F$18,0.5))*$AH36+$AI36)*(1+$AP36)*(1+$AQ36)+(($AS36+($AT36-$AS36)*IF(VLOOKUP($Q36,武学奇术!$A:$ZZ,31,FALSE)=1,$F$18,0.5))*IF($G$1="鸣金",$AJ36,$AH36)+IF($G$1="鸣金",$AK36*1.5,0))*(1+$AU36)*(1+$AV36)+(($AW36+($AX36-$AW36)*IF(VLOOKUP($Q36,武学奇术!$A:$ZZ,31,FALSE)=1,$F$18,0.5))*IF($G$1="裂石",$AJ36,$AH36)+IF($G$1="裂石",$AK36*1.5,0))*(1+$AY36)*(1+$AZ36)+(($BA36+($BB36-$BA36)*IF(VLOOKUP($Q36,武学奇术!$A:$ZZ,31,FALSE)=1,$F$18,0.5))*IF($G$1="牵丝",$AJ36,$AH36)+IF($G$1="牵丝",$AK36*1.5,0))*(1+$BC36)*(1+$BD36)+(($BE36+($BF36-$BE36)*IF(VLOOKUP($Q36,武学奇术!$A:$ZZ,31,FALSE)=1,$F$18,0.5))*IF($G$1="破竹",$AJ36,$AH36)+IF($G$1="破竹",$AK36*1.5,0))*(1+$BG36)*(1+$BH36))*(1+$AL36)*$BK36*$P36*(1+IF(VLOOKUP($Q36,武学奇术!$A:$ZZ,30,FALSE)="蓄力技",$B$21,0))*(1+$BQ36)</f>
        <v>6083.45611853067</v>
      </c>
      <c r="M36" s="39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4903.75730838743</v>
      </c>
      <c r="N36" s="39">
        <f>((($AN36+($AO36-$AN36)*IF(VLOOKUP($Q36,武学奇术!$A:$ZZ,31,FALSE)=1,$F$18,0.5))*$AH36+$AI36)*(1+$AP36)*(1+$AQ36)+(($AS36+($AT36-$AS36)*IF(VLOOKUP($Q36,武学奇术!$A:$ZZ,31,FALSE)=1,$F$18,0.5))*IF($G$1="鸣金",$AJ36,$AH36)+IF($G$1="鸣金",$AK36*1.5,0))*(1+$AU36)*(1+$AV36)+(($AW36+($AX36-$AW36)*IF(VLOOKUP($Q36,武学奇术!$A:$ZZ,31,FALSE)=1,$F$18,0.5))*IF($G$1="裂石",$AJ36,$AH36)+IF($G$1="裂石",$AK36*1.5,0))*(1+$AY36)*(1+$AZ36)+(($BA36+($BB36-$BA36)*IF(VLOOKUP($Q36,武学奇术!$A:$ZZ,31,FALSE)=1,$F$18,0.5))*IF($G$1="牵丝",$AJ36,$AH36)+IF($G$1="牵丝",$AK36*1.5,0))*(1+$BC36)*(1+$BD36)+(($BE36+($BF36-$BE36)*IF(VLOOKUP($Q36,武学奇术!$A:$ZZ,31,FALSE)=1,$F$18,0.5))*IF($G$1="破竹",$AJ36,$AH36)+IF($G$1="破竹",$AK36*1.5,0))*(1+$BG36)*(1+$BH36))*(1+$AL36)*$P36*(1+IF(VLOOKUP($Q36,武学奇术!$A:$ZZ,30,FALSE)="蓄力技",$B$21,0))*(1+$BQ36)</f>
        <v>3218.75985107443</v>
      </c>
      <c r="O36" s="39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2805.10688112113</v>
      </c>
      <c r="P36" s="40">
        <v>1</v>
      </c>
      <c r="Q36" s="41" t="s">
        <v>160</v>
      </c>
      <c r="R36" s="41" t="s">
        <v>93</v>
      </c>
      <c r="S36" s="41" t="s">
        <v>118</v>
      </c>
      <c r="T36" s="41" t="s">
        <v>119</v>
      </c>
      <c r="U36" s="41" t="s">
        <v>72</v>
      </c>
      <c r="V36" s="41" t="s">
        <v>72</v>
      </c>
      <c r="W36" s="41" t="s">
        <v>72</v>
      </c>
      <c r="X36" s="41" t="s">
        <v>165</v>
      </c>
      <c r="Y36" s="41" t="s">
        <v>81</v>
      </c>
      <c r="Z36" s="41" t="s">
        <v>72</v>
      </c>
      <c r="AA36" s="41" t="s">
        <v>161</v>
      </c>
      <c r="AB36" s="41" t="s">
        <v>72</v>
      </c>
      <c r="AC36" s="41" t="s">
        <v>72</v>
      </c>
      <c r="AD36" s="41" t="s">
        <v>72</v>
      </c>
      <c r="AE36" s="41" t="s">
        <v>75</v>
      </c>
      <c r="AF36" s="41" t="s">
        <v>76</v>
      </c>
      <c r="AG36" t="str">
        <f>VLOOKUP($Q36,武学奇术!$A:$ZZ,25,FALSE)</f>
        <v>单体奇术</v>
      </c>
      <c r="AH36" s="27">
        <f>VLOOKUP($Q36,武学奇术!$A:$ZZ,26,FALSE)</f>
        <v>0.236</v>
      </c>
      <c r="AI36" s="28">
        <f>VLOOKUP($Q36,武学奇术!$A:$ZZ,27,FALSE)*(1+IF(OR($AG36=$F$4,$AG36=$F$5),$B$22,0))</f>
        <v>44</v>
      </c>
      <c r="AJ36" s="27">
        <f>VLOOKUP($Q36,武学奇术!$A:$ZZ,28,FALSE)</f>
        <v>0.354</v>
      </c>
      <c r="AK36" s="28">
        <f>VLOOKUP($Q36,武学奇术!$A:$ZZ,29,FALSE)*(1+IF(OR($AG36=$F$4,$AG36=$F$5),$B$22,0))</f>
        <v>0</v>
      </c>
      <c r="AL36" s="27" cm="1">
        <f t="array" ref="AL36">$G$3+IFERROR(VLOOKUP($AG36,$F$4:$G$7,2,FALSE),0)+VLOOKUP($Q36,武学奇术!$A:$ZZ,2,FALSE)+SUM(_xlfn.XLOOKUP($R36:$AF36,增益!$A:$A,增益!$B:$B,0))</f>
        <v>0.5537</v>
      </c>
      <c r="AM36" s="27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3742.006</v>
      </c>
      <c r="AO36" cm="1">
        <f t="array" ref="AO36">$E$10*(1+$AM36)+VLOOKUP($Q36,武学奇术!$A:$ZZ,4,FALSE)+SUM(_xlfn.XLOOKUP($R36:$AF36,增益!$A:$A,增益!$D:$D,0))-$I$2</f>
        <v>3742.006</v>
      </c>
      <c r="AP36" s="33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0.342</v>
      </c>
      <c r="AQ36" s="33" cm="1">
        <f t="array" ref="AQ36">$G$10+VLOOKUP($Q36,武学奇术!$A:$ZZ,7,FALSE)+SUM(_xlfn.XLOOKUP(R36:AF36,增益!$A:$A,增益!$G:$G,0))</f>
        <v>0.09</v>
      </c>
      <c r="AR36" s="27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3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-0.14</v>
      </c>
      <c r="AV36" s="33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3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-0.14</v>
      </c>
      <c r="AZ36" s="33" cm="1">
        <f t="array" ref="AZ36">$G$12+VLOOKUP($Q36,武学奇术!$A:$ZZ,12,FALSE)+SUM(_xlfn.XLOOKUP(R36:AF36,增益!$A:$A,增益!$L:$L,0))</f>
        <v>0</v>
      </c>
      <c r="BA36">
        <f t="shared" si="5"/>
        <v>0</v>
      </c>
      <c r="BB36">
        <f t="shared" si="6"/>
        <v>0</v>
      </c>
      <c r="BC36" s="33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-0.14</v>
      </c>
      <c r="BD36" s="33" cm="1">
        <f t="array" ref="BD36">$G$13+VLOOKUP($Q36,武学奇术!$A:$ZZ,14,FALSE)+SUM(_xlfn.XLOOKUP(R36:AF36,增益!$A:$A,增益!$N:$N,0))</f>
        <v>0</v>
      </c>
      <c r="BE36">
        <f t="shared" si="7"/>
        <v>570.28</v>
      </c>
      <c r="BF36">
        <f t="shared" si="8"/>
        <v>1582.156</v>
      </c>
      <c r="BG36" s="33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0.08</v>
      </c>
      <c r="BH36" s="33" cm="1">
        <f t="array" ref="BH36">$G$14+VLOOKUP($Q36,武学奇术!$A:$ZZ,16,FALSE)+SUM(_xlfn.XLOOKUP(R36:AF36,增益!$A:$A,增益!$P:$P,0))</f>
        <v>0.24</v>
      </c>
      <c r="BI36" s="27">
        <f>MIN(IF(VLOOKUP($Q36,武学奇术!$A:$ZZ,23,FALSE)=1,100%,$B$8),100%)</f>
        <v>1</v>
      </c>
      <c r="BJ36" s="27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+MIN(IF(VLOOKUP($Q36,武学奇术!$A:$ZZ,32,FALSE)=1,IF(VLOOKUP($Q36,武学奇术!$A:$ZZ,24,FALSE)=1,100%,MIN(40%,$B$10+VLOOKUP($Q36,武学奇术!$A:$ZZ,19,FALSE)+SUM(_xlfn.XLOOKUP(R36:AF36,增益!$A:$A,增益!$S:$S,0)))+$B$12+SUM(_xlfn.XLOOKUP(R36:AF36,增益!$A:$A,增益!$V:$V,0))),0),12%)</f>
        <v>0.918</v>
      </c>
      <c r="BK36" s="27" cm="1">
        <f t="array" ref="BK36">1+$B$13+VLOOKUP($Q36,武学奇术!$A:$ZZ,18,FALSE)+SUM(_xlfn.XLOOKUP(R36:AF36,增益!$A:$A,增益!$R:$R,0))</f>
        <v>1.89</v>
      </c>
      <c r="BL36" s="27" cm="1">
        <f t="array" ref="BL36">MAX(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-IF(VLOOKUP($Q36,武学奇术!$A:$ZZ,32,FALSE)=1,12%,0),0)</f>
        <v>0.0895</v>
      </c>
      <c r="BM36" s="27" cm="1">
        <f t="array" ref="BM36">1+$B$14+VLOOKUP($Q36,武学奇术!$A:$ZZ,20,FALSE)+SUM(_xlfn.XLOOKUP(R36:AF36,增益!$A:$A,增益!$T:$T,0))</f>
        <v>1.35</v>
      </c>
      <c r="BN36" s="27">
        <f t="shared" si="9"/>
        <v>0.9105</v>
      </c>
      <c r="BO36" s="27">
        <f t="shared" si="10"/>
        <v>0</v>
      </c>
      <c r="BP36" s="27">
        <f>IF(VLOOKUP($Q36,武学奇术!$A:$ZZ,22,FALSE)=1,0,(1-$BI36))*(1-$BL36)</f>
        <v>0</v>
      </c>
      <c r="BQ36" s="27" cm="1">
        <f t="array" ref="BQ36">SUM(_xlfn.XLOOKUP(R36:AF36,增益!$A:$A,增益!$W:$W,0))+$I$5</f>
        <v>0.11</v>
      </c>
    </row>
    <row r="37" spans="1:69">
      <c r="A37" s="4"/>
      <c r="B37" s="91"/>
      <c r="K37" s="39">
        <f t="shared" si="0"/>
        <v>29361.4894578801</v>
      </c>
      <c r="L37" s="39">
        <f>((($AN37+($AO37-$AN37)*IF(VLOOKUP($Q37,武学奇术!$A:$ZZ,31,FALSE)=1,$F$18,0.5))*$AH37+$AI37)*(1+$AP37)*(1+$AQ37)+(($AS37+($AT37-$AS37)*IF(VLOOKUP($Q37,武学奇术!$A:$ZZ,31,FALSE)=1,$F$18,0.5))*IF($G$1="鸣金",$AJ37,$AH37)+IF($G$1="鸣金",$AK37*1.5,0))*(1+$AU37)*(1+$AV37)+(($AW37+($AX37-$AW37)*IF(VLOOKUP($Q37,武学奇术!$A:$ZZ,31,FALSE)=1,$F$18,0.5))*IF($G$1="裂石",$AJ37,$AH37)+IF($G$1="裂石",$AK37*1.5,0))*(1+$AY37)*(1+$AZ37)+(($BA37+($BB37-$BA37)*IF(VLOOKUP($Q37,武学奇术!$A:$ZZ,31,FALSE)=1,$F$18,0.5))*IF($G$1="牵丝",$AJ37,$AH37)+IF($G$1="牵丝",$AK37*1.5,0))*(1+$BC37)*(1+$BD37)+(($BE37+($BF37-$BE37)*IF(VLOOKUP($Q37,武学奇术!$A:$ZZ,31,FALSE)=1,$F$18,0.5))*IF($G$1="破竹",$AJ37,$AH37)+IF($G$1="破竹",$AK37*1.5,0))*(1+$BG37)*(1+$BH37))*(1+$AL37)*$BK37*$P37*(1+IF(VLOOKUP($Q37,武学奇术!$A:$ZZ,30,FALSE)="蓄力技",$B$21,0))*(1+$BQ37)</f>
        <v>29528.9432755546</v>
      </c>
      <c r="M37" s="39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27657.9508993039</v>
      </c>
      <c r="N37" s="39">
        <f>((($AN37+($AO37-$AN37)*IF(VLOOKUP($Q37,武学奇术!$A:$ZZ,31,FALSE)=1,$F$18,0.5))*$AH37+$AI37)*(1+$AP37)*(1+$AQ37)+(($AS37+($AT37-$AS37)*IF(VLOOKUP($Q37,武学奇术!$A:$ZZ,31,FALSE)=1,$F$18,0.5))*IF($G$1="鸣金",$AJ37,$AH37)+IF($G$1="鸣金",$AK37*1.5,0))*(1+$AU37)*(1+$AV37)+(($AW37+($AX37-$AW37)*IF(VLOOKUP($Q37,武学奇术!$A:$ZZ,31,FALSE)=1,$F$18,0.5))*IF($G$1="裂石",$AJ37,$AH37)+IF($G$1="裂石",$AK37*1.5,0))*(1+$AY37)*(1+$AZ37)+(($BA37+($BB37-$BA37)*IF(VLOOKUP($Q37,武学奇术!$A:$ZZ,31,FALSE)=1,$F$18,0.5))*IF($G$1="牵丝",$AJ37,$AH37)+IF($G$1="牵丝",$AK37*1.5,0))*(1+$BC37)*(1+$BD37)+(($BE37+($BF37-$BE37)*IF(VLOOKUP($Q37,武学奇术!$A:$ZZ,31,FALSE)=1,$F$18,0.5))*IF($G$1="破竹",$AJ37,$AH37)+IF($G$1="破竹",$AK37*1.5,0))*(1+$BG37)*(1+$BH37))*(1+$AL37)*$P37*(1+IF(VLOOKUP($Q37,武学奇术!$A:$ZZ,30,FALSE)="蓄力技",$B$21,0))*(1+$BQ37)</f>
        <v>18005.4532168016</v>
      </c>
      <c r="O37" s="39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15523.5353970818</v>
      </c>
      <c r="P37" s="40">
        <v>6</v>
      </c>
      <c r="Q37" s="41" t="s">
        <v>160</v>
      </c>
      <c r="R37" s="41" t="s">
        <v>93</v>
      </c>
      <c r="S37" s="41" t="s">
        <v>72</v>
      </c>
      <c r="T37" s="41" t="s">
        <v>119</v>
      </c>
      <c r="U37" s="41" t="s">
        <v>72</v>
      </c>
      <c r="V37" s="41" t="s">
        <v>72</v>
      </c>
      <c r="W37" s="41" t="s">
        <v>72</v>
      </c>
      <c r="X37" s="41" t="s">
        <v>165</v>
      </c>
      <c r="Y37" s="41" t="s">
        <v>81</v>
      </c>
      <c r="Z37" s="41" t="s">
        <v>72</v>
      </c>
      <c r="AA37" s="41" t="s">
        <v>161</v>
      </c>
      <c r="AB37" s="41" t="s">
        <v>72</v>
      </c>
      <c r="AC37" s="41" t="s">
        <v>72</v>
      </c>
      <c r="AD37" s="41" t="s">
        <v>72</v>
      </c>
      <c r="AE37" s="41" t="s">
        <v>75</v>
      </c>
      <c r="AF37" s="41" t="s">
        <v>76</v>
      </c>
      <c r="AG37" t="str">
        <f>VLOOKUP($Q37,武学奇术!$A:$ZZ,25,FALSE)</f>
        <v>单体奇术</v>
      </c>
      <c r="AH37" s="27">
        <f>VLOOKUP($Q37,武学奇术!$A:$ZZ,26,FALSE)</f>
        <v>0.236</v>
      </c>
      <c r="AI37" s="28">
        <f>VLOOKUP($Q37,武学奇术!$A:$ZZ,27,FALSE)*(1+IF(OR($AG37=$F$4,$AG37=$F$5),$B$22,0))</f>
        <v>44</v>
      </c>
      <c r="AJ37" s="27">
        <f>VLOOKUP($Q37,武学奇术!$A:$ZZ,28,FALSE)</f>
        <v>0.354</v>
      </c>
      <c r="AK37" s="28">
        <f>VLOOKUP($Q37,武学奇术!$A:$ZZ,29,FALSE)*(1+IF(OR($AG37=$F$4,$AG37=$F$5),$B$22,0))</f>
        <v>0</v>
      </c>
      <c r="AL37" s="27" cm="1">
        <f t="array" ref="AL37">$G$3+IFERROR(VLOOKUP($AG37,$F$4:$G$7,2,FALSE),0)+VLOOKUP($Q37,武学奇术!$A:$ZZ,2,FALSE)+SUM(_xlfn.XLOOKUP($R37:$AF37,增益!$A:$A,增益!$B:$B,0))</f>
        <v>0.5537</v>
      </c>
      <c r="AM37" s="27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3742.006</v>
      </c>
      <c r="AO37" cm="1">
        <f t="array" ref="AO37">$E$10*(1+$AM37)+VLOOKUP($Q37,武学奇术!$A:$ZZ,4,FALSE)+SUM(_xlfn.XLOOKUP($R37:$AF37,增益!$A:$A,增益!$D:$D,0))-$I$2</f>
        <v>3742.006</v>
      </c>
      <c r="AP37" s="33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0.217</v>
      </c>
      <c r="AQ37" s="33" cm="1">
        <f t="array" ref="AQ37">$G$10+VLOOKUP($Q37,武学奇术!$A:$ZZ,7,FALSE)+SUM(_xlfn.XLOOKUP(R37:AF37,增益!$A:$A,增益!$G:$G,0))</f>
        <v>0.09</v>
      </c>
      <c r="AR37" s="27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3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-0.14</v>
      </c>
      <c r="AV37" s="33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3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-0.14</v>
      </c>
      <c r="AZ37" s="33" cm="1">
        <f t="array" ref="AZ37">$G$12+VLOOKUP($Q37,武学奇术!$A:$ZZ,12,FALSE)+SUM(_xlfn.XLOOKUP(R37:AF37,增益!$A:$A,增益!$L:$L,0))</f>
        <v>0</v>
      </c>
      <c r="BA37">
        <f t="shared" si="5"/>
        <v>0</v>
      </c>
      <c r="BB37">
        <f t="shared" si="6"/>
        <v>0</v>
      </c>
      <c r="BC37" s="33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-0.14</v>
      </c>
      <c r="BD37" s="33" cm="1">
        <f t="array" ref="BD37">$G$13+VLOOKUP($Q37,武学奇术!$A:$ZZ,14,FALSE)+SUM(_xlfn.XLOOKUP(R37:AF37,增益!$A:$A,增益!$N:$N,0))</f>
        <v>0</v>
      </c>
      <c r="BE37">
        <f t="shared" si="7"/>
        <v>570.28</v>
      </c>
      <c r="BF37">
        <f t="shared" si="8"/>
        <v>1582.156</v>
      </c>
      <c r="BG37" s="33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0.08</v>
      </c>
      <c r="BH37" s="33" cm="1">
        <f t="array" ref="BH37">$G$14+VLOOKUP($Q37,武学奇术!$A:$ZZ,16,FALSE)+SUM(_xlfn.XLOOKUP(R37:AF37,增益!$A:$A,增益!$P:$P,0))</f>
        <v>0.24</v>
      </c>
      <c r="BI37" s="27">
        <f>MIN(IF(VLOOKUP($Q37,武学奇术!$A:$ZZ,23,FALSE)=1,100%,$B$8),100%)</f>
        <v>1</v>
      </c>
      <c r="BJ37" s="27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+MIN(IF(VLOOKUP($Q37,武学奇术!$A:$ZZ,32,FALSE)=1,IF(VLOOKUP($Q37,武学奇术!$A:$ZZ,24,FALSE)=1,100%,MIN(40%,$B$10+VLOOKUP($Q37,武学奇术!$A:$ZZ,19,FALSE)+SUM(_xlfn.XLOOKUP(R37:AF37,增益!$A:$A,增益!$S:$S,0)))+$B$12+SUM(_xlfn.XLOOKUP(R37:AF37,增益!$A:$A,增益!$V:$V,0))),0),12%)</f>
        <v>0.918</v>
      </c>
      <c r="BK37" s="27" cm="1">
        <f t="array" ref="BK37">1+$B$13+VLOOKUP($Q37,武学奇术!$A:$ZZ,18,FALSE)+SUM(_xlfn.XLOOKUP(R37:AF37,增益!$A:$A,增益!$R:$R,0))</f>
        <v>1.64</v>
      </c>
      <c r="BL37" s="27" cm="1">
        <f t="array" ref="BL37">MAX(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-IF(VLOOKUP($Q37,武学奇术!$A:$ZZ,32,FALSE)=1,12%,0),0)</f>
        <v>0.0895</v>
      </c>
      <c r="BM37" s="27" cm="1">
        <f t="array" ref="BM37">1+$B$14+VLOOKUP($Q37,武学奇术!$A:$ZZ,20,FALSE)+SUM(_xlfn.XLOOKUP(R37:AF37,增益!$A:$A,增益!$T:$T,0))</f>
        <v>1.35</v>
      </c>
      <c r="BN37" s="27">
        <f t="shared" si="9"/>
        <v>0.9105</v>
      </c>
      <c r="BO37" s="27">
        <f t="shared" si="10"/>
        <v>0</v>
      </c>
      <c r="BP37" s="27">
        <f>IF(VLOOKUP($Q37,武学奇术!$A:$ZZ,22,FALSE)=1,0,(1-$BI37))*(1-$BL37)</f>
        <v>0</v>
      </c>
      <c r="BQ37" s="27" cm="1">
        <f t="array" ref="BQ37">SUM(_xlfn.XLOOKUP(R37:AF37,增益!$A:$A,增益!$W:$W,0))+$I$5</f>
        <v>0.11</v>
      </c>
    </row>
    <row r="38" spans="1:69">
      <c r="A38" s="4"/>
      <c r="B38" s="4"/>
      <c r="F38" s="4"/>
      <c r="G38" s="91"/>
      <c r="K38" s="39">
        <f t="shared" si="0"/>
        <v>8842.27387355481</v>
      </c>
      <c r="L38" s="39">
        <f>((($AN38+($AO38-$AN38)*IF(VLOOKUP($Q38,武学奇术!$A:$ZZ,31,FALSE)=1,$F$18,0.5))*$AH38+$AI38)*(1+$AP38)*(1+$AQ38)+(($AS38+($AT38-$AS38)*IF(VLOOKUP($Q38,武学奇术!$A:$ZZ,31,FALSE)=1,$F$18,0.5))*IF($G$1="鸣金",$AJ38,$AH38)+IF($G$1="鸣金",$AK38*1.5,0))*(1+$AU38)*(1+$AV38)+(($AW38+($AX38-$AW38)*IF(VLOOKUP($Q38,武学奇术!$A:$ZZ,31,FALSE)=1,$F$18,0.5))*IF($G$1="裂石",$AJ38,$AH38)+IF($G$1="裂石",$AK38*1.5,0))*(1+$AY38)*(1+$AZ38)+(($BA38+($BB38-$BA38)*IF(VLOOKUP($Q38,武学奇术!$A:$ZZ,31,FALSE)=1,$F$18,0.5))*IF($G$1="牵丝",$AJ38,$AH38)+IF($G$1="牵丝",$AK38*1.5,0))*(1+$BC38)*(1+$BD38)+(($BE38+($BF38-$BE38)*IF(VLOOKUP($Q38,武学奇术!$A:$ZZ,31,FALSE)=1,$F$18,0.5))*IF($G$1="破竹",$AJ38,$AH38)+IF($G$1="破竹",$AK38*1.5,0))*(1+$BG38)*(1+$BH38))*(1+$AL38)*$BK38*$P38*(1+IF(VLOOKUP($Q38,武学奇术!$A:$ZZ,30,FALSE)="蓄力技",$B$21,0))*(1+$BQ38)</f>
        <v>8892.70294048528</v>
      </c>
      <c r="M38" s="39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8329.24967869233</v>
      </c>
      <c r="N38" s="39">
        <f>((($AN38+($AO38-$AN38)*IF(VLOOKUP($Q38,武学奇术!$A:$ZZ,31,FALSE)=1,$F$18,0.5))*$AH38+$AI38)*(1+$AP38)*(1+$AQ38)+(($AS38+($AT38-$AS38)*IF(VLOOKUP($Q38,武学奇术!$A:$ZZ,31,FALSE)=1,$F$18,0.5))*IF($G$1="鸣金",$AJ38,$AH38)+IF($G$1="鸣金",$AK38*1.5,0))*(1+$AU38)*(1+$AV38)+(($AW38+($AX38-$AW38)*IF(VLOOKUP($Q38,武学奇术!$A:$ZZ,31,FALSE)=1,$F$18,0.5))*IF($G$1="裂石",$AJ38,$AH38)+IF($G$1="裂石",$AK38*1.5,0))*(1+$AY38)*(1+$AZ38)+(($BA38+($BB38-$BA38)*IF(VLOOKUP($Q38,武学奇术!$A:$ZZ,31,FALSE)=1,$F$18,0.5))*IF($G$1="牵丝",$AJ38,$AH38)+IF($G$1="牵丝",$AK38*1.5,0))*(1+$BC38)*(1+$BD38)+(($BE38+($BF38-$BE38)*IF(VLOOKUP($Q38,武学奇术!$A:$ZZ,31,FALSE)=1,$F$18,0.5))*IF($G$1="破竹",$AJ38,$AH38)+IF($G$1="破竹",$AK38*1.5,0))*(1+$BG38)*(1+$BH38))*(1+$AL38)*$P38*(1+IF(VLOOKUP($Q38,武学奇术!$A:$ZZ,30,FALSE)="蓄力技",$B$21,0))*(1+$BQ38)</f>
        <v>5422.37984175932</v>
      </c>
      <c r="O38" s="39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4674.9451067095</v>
      </c>
      <c r="P38" s="40">
        <v>2</v>
      </c>
      <c r="Q38" s="41" t="s">
        <v>160</v>
      </c>
      <c r="R38" s="41" t="s">
        <v>93</v>
      </c>
      <c r="S38" s="41" t="s">
        <v>72</v>
      </c>
      <c r="T38" s="41" t="s">
        <v>72</v>
      </c>
      <c r="U38" s="41" t="s">
        <v>72</v>
      </c>
      <c r="V38" s="41" t="s">
        <v>72</v>
      </c>
      <c r="W38" s="41" t="s">
        <v>72</v>
      </c>
      <c r="X38" s="41" t="s">
        <v>165</v>
      </c>
      <c r="Y38" s="41" t="s">
        <v>81</v>
      </c>
      <c r="Z38" s="41" t="s">
        <v>72</v>
      </c>
      <c r="AA38" s="41" t="s">
        <v>161</v>
      </c>
      <c r="AB38" s="41" t="s">
        <v>72</v>
      </c>
      <c r="AC38" s="41" t="s">
        <v>72</v>
      </c>
      <c r="AD38" s="41" t="s">
        <v>72</v>
      </c>
      <c r="AE38" s="41" t="s">
        <v>75</v>
      </c>
      <c r="AF38" s="41" t="s">
        <v>76</v>
      </c>
      <c r="AG38" t="str">
        <f>VLOOKUP($Q38,武学奇术!$A:$ZZ,25,FALSE)</f>
        <v>单体奇术</v>
      </c>
      <c r="AH38" s="27">
        <f>VLOOKUP($Q38,武学奇术!$A:$ZZ,26,FALSE)</f>
        <v>0.236</v>
      </c>
      <c r="AI38" s="28">
        <f>VLOOKUP($Q38,武学奇术!$A:$ZZ,27,FALSE)*(1+IF(OR($AG38=$F$4,$AG38=$F$5),$B$22,0))</f>
        <v>44</v>
      </c>
      <c r="AJ38" s="27">
        <f>VLOOKUP($Q38,武学奇术!$A:$ZZ,28,FALSE)</f>
        <v>0.354</v>
      </c>
      <c r="AK38" s="28">
        <f>VLOOKUP($Q38,武学奇术!$A:$ZZ,29,FALSE)*(1+IF(OR($AG38=$F$4,$AG38=$F$5),$B$22,0))</f>
        <v>0</v>
      </c>
      <c r="AL38" s="27" cm="1">
        <f t="array" ref="AL38">$G$3+IFERROR(VLOOKUP($AG38,$F$4:$G$7,2,FALSE),0)+VLOOKUP($Q38,武学奇术!$A:$ZZ,2,FALSE)+SUM(_xlfn.XLOOKUP($R38:$AF38,增益!$A:$A,增益!$B:$B,0))</f>
        <v>0.4037</v>
      </c>
      <c r="AM38" s="27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3742.006</v>
      </c>
      <c r="AO38" cm="1">
        <f t="array" ref="AO38">$E$10*(1+$AM38)+VLOOKUP($Q38,武学奇术!$A:$ZZ,4,FALSE)+SUM(_xlfn.XLOOKUP($R38:$AF38,增益!$A:$A,增益!$D:$D,0))-$I$2</f>
        <v>3742.006</v>
      </c>
      <c r="AP38" s="33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0.217</v>
      </c>
      <c r="AQ38" s="33" cm="1">
        <f t="array" ref="AQ38">$G$10+VLOOKUP($Q38,武学奇术!$A:$ZZ,7,FALSE)+SUM(_xlfn.XLOOKUP(R38:AF38,增益!$A:$A,增益!$G:$G,0))</f>
        <v>0.09</v>
      </c>
      <c r="AR38" s="27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3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-0.14</v>
      </c>
      <c r="AV38" s="33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3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-0.14</v>
      </c>
      <c r="AZ38" s="33" cm="1">
        <f t="array" ref="AZ38">$G$12+VLOOKUP($Q38,武学奇术!$A:$ZZ,12,FALSE)+SUM(_xlfn.XLOOKUP(R38:AF38,增益!$A:$A,增益!$L:$L,0))</f>
        <v>0</v>
      </c>
      <c r="BA38">
        <f t="shared" si="5"/>
        <v>0</v>
      </c>
      <c r="BB38">
        <f t="shared" si="6"/>
        <v>0</v>
      </c>
      <c r="BC38" s="33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-0.14</v>
      </c>
      <c r="BD38" s="33" cm="1">
        <f t="array" ref="BD38">$G$13+VLOOKUP($Q38,武学奇术!$A:$ZZ,14,FALSE)+SUM(_xlfn.XLOOKUP(R38:AF38,增益!$A:$A,增益!$N:$N,0))</f>
        <v>0</v>
      </c>
      <c r="BE38">
        <f t="shared" si="7"/>
        <v>570.28</v>
      </c>
      <c r="BF38">
        <f t="shared" si="8"/>
        <v>1582.156</v>
      </c>
      <c r="BG38" s="33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0.08</v>
      </c>
      <c r="BH38" s="33" cm="1">
        <f t="array" ref="BH38">$G$14+VLOOKUP($Q38,武学奇术!$A:$ZZ,16,FALSE)+SUM(_xlfn.XLOOKUP(R38:AF38,增益!$A:$A,增益!$P:$P,0))</f>
        <v>0.24</v>
      </c>
      <c r="BI38" s="27">
        <f>MIN(IF(VLOOKUP($Q38,武学奇术!$A:$ZZ,23,FALSE)=1,100%,$B$8),100%)</f>
        <v>1</v>
      </c>
      <c r="BJ38" s="27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+MIN(IF(VLOOKUP($Q38,武学奇术!$A:$ZZ,32,FALSE)=1,IF(VLOOKUP($Q38,武学奇术!$A:$ZZ,24,FALSE)=1,100%,MIN(40%,$B$10+VLOOKUP($Q38,武学奇术!$A:$ZZ,19,FALSE)+SUM(_xlfn.XLOOKUP(R38:AF38,增益!$A:$A,增益!$S:$S,0)))+$B$12+SUM(_xlfn.XLOOKUP(R38:AF38,增益!$A:$A,增益!$V:$V,0))),0),12%)</f>
        <v>0.918</v>
      </c>
      <c r="BK38" s="27" cm="1">
        <f t="array" ref="BK38">1+$B$13+VLOOKUP($Q38,武学奇术!$A:$ZZ,18,FALSE)+SUM(_xlfn.XLOOKUP(R38:AF38,增益!$A:$A,增益!$R:$R,0))</f>
        <v>1.64</v>
      </c>
      <c r="BL38" s="27" cm="1">
        <f t="array" ref="BL38">MAX(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-IF(VLOOKUP($Q38,武学奇术!$A:$ZZ,32,FALSE)=1,12%,0),0)</f>
        <v>0.0895</v>
      </c>
      <c r="BM38" s="27" cm="1">
        <f t="array" ref="BM38">1+$B$14+VLOOKUP($Q38,武学奇术!$A:$ZZ,20,FALSE)+SUM(_xlfn.XLOOKUP(R38:AF38,增益!$A:$A,增益!$T:$T,0))</f>
        <v>1.35</v>
      </c>
      <c r="BN38" s="27">
        <f t="shared" si="9"/>
        <v>0.9105</v>
      </c>
      <c r="BO38" s="27">
        <f t="shared" si="10"/>
        <v>0</v>
      </c>
      <c r="BP38" s="27">
        <f>IF(VLOOKUP($Q38,武学奇术!$A:$ZZ,22,FALSE)=1,0,(1-$BI38))*(1-$BL38)</f>
        <v>0</v>
      </c>
      <c r="BQ38" s="27" cm="1">
        <f t="array" ref="BQ38">SUM(_xlfn.XLOOKUP(R38:AF38,增益!$A:$A,增益!$W:$W,0))+$I$5</f>
        <v>0.11</v>
      </c>
    </row>
    <row r="39" spans="1:69">
      <c r="A39" s="4"/>
      <c r="B39" s="91"/>
      <c r="F39" s="4"/>
      <c r="G39" s="91"/>
      <c r="K39" s="39">
        <f t="shared" si="0"/>
        <v>33416.0269485909</v>
      </c>
      <c r="L39" s="39">
        <f>((($AN39+($AO39-$AN39)*IF(VLOOKUP($Q39,武学奇术!$A:$ZZ,31,FALSE)=1,$F$18,0.5))*$AH39+$AI39)*(1+$AP39)*(1+$AQ39)+(($AS39+($AT39-$AS39)*IF(VLOOKUP($Q39,武学奇术!$A:$ZZ,31,FALSE)=1,$F$18,0.5))*IF($G$1="鸣金",$AJ39,$AH39)+IF($G$1="鸣金",$AK39*1.5,0))*(1+$AU39)*(1+$AV39)+(($AW39+($AX39-$AW39)*IF(VLOOKUP($Q39,武学奇术!$A:$ZZ,31,FALSE)=1,$F$18,0.5))*IF($G$1="裂石",$AJ39,$AH39)+IF($G$1="裂石",$AK39*1.5,0))*(1+$AY39)*(1+$AZ39)+(($BA39+($BB39-$BA39)*IF(VLOOKUP($Q39,武学奇术!$A:$ZZ,31,FALSE)=1,$F$18,0.5))*IF($G$1="牵丝",$AJ39,$AH39)+IF($G$1="牵丝",$AK39*1.5,0))*(1+$BC39)*(1+$BD39)+(($BE39+($BF39-$BE39)*IF(VLOOKUP($Q39,武学奇术!$A:$ZZ,31,FALSE)=1,$F$18,0.5))*IF($G$1="破竹",$AJ39,$AH39)+IF($G$1="破竹",$AK39*1.5,0))*(1+$BG39)*(1+$BH39))*(1+$AL39)*$BK39*$P39*(1+IF(VLOOKUP($Q39,武学奇术!$A:$ZZ,30,FALSE)="蓄力技",$B$21,0))*(1+$BQ39)</f>
        <v>34003.5966219251</v>
      </c>
      <c r="M39" s="39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27438.5723388613</v>
      </c>
      <c r="N39" s="39">
        <f>((($AN39+($AO39-$AN39)*IF(VLOOKUP($Q39,武学奇术!$A:$ZZ,31,FALSE)=1,$F$18,0.5))*$AH39+$AI39)*(1+$AP39)*(1+$AQ39)+(($AS39+($AT39-$AS39)*IF(VLOOKUP($Q39,武学奇术!$A:$ZZ,31,FALSE)=1,$F$18,0.5))*IF($G$1="鸣金",$AJ39,$AH39)+IF($G$1="鸣金",$AK39*1.5,0))*(1+$AU39)*(1+$AV39)+(($AW39+($AX39-$AW39)*IF(VLOOKUP($Q39,武学奇术!$A:$ZZ,31,FALSE)=1,$F$18,0.5))*IF($G$1="裂石",$AJ39,$AH39)+IF($G$1="裂石",$AK39*1.5,0))*(1+$AY39)*(1+$AZ39)+(($BA39+($BB39-$BA39)*IF(VLOOKUP($Q39,武学奇术!$A:$ZZ,31,FALSE)=1,$F$18,0.5))*IF($G$1="牵丝",$AJ39,$AH39)+IF($G$1="牵丝",$AK39*1.5,0))*(1+$BC39)*(1+$BD39)+(($BE39+($BF39-$BE39)*IF(VLOOKUP($Q39,武学奇术!$A:$ZZ,31,FALSE)=1,$F$18,0.5))*IF($G$1="破竹",$AJ39,$AH39)+IF($G$1="破竹",$AK39*1.5,0))*(1+$BG39)*(1+$BH39))*(1+$AL39)*$P39*(1+IF(VLOOKUP($Q39,武学奇术!$A:$ZZ,30,FALSE)="蓄力技",$B$21,0))*(1+$BQ39)</f>
        <v>18183.7415090508</v>
      </c>
      <c r="O39" s="39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16042.6146189451</v>
      </c>
      <c r="P39" s="40">
        <v>1</v>
      </c>
      <c r="Q39" s="41" t="s">
        <v>106</v>
      </c>
      <c r="R39" s="41" t="s">
        <v>93</v>
      </c>
      <c r="S39" s="41" t="s">
        <v>118</v>
      </c>
      <c r="T39" s="41" t="s">
        <v>119</v>
      </c>
      <c r="U39" s="41" t="s">
        <v>72</v>
      </c>
      <c r="V39" s="41" t="s">
        <v>72</v>
      </c>
      <c r="W39" s="41" t="s">
        <v>72</v>
      </c>
      <c r="X39" s="41" t="s">
        <v>158</v>
      </c>
      <c r="Y39" s="41" t="s">
        <v>81</v>
      </c>
      <c r="Z39" s="41" t="s">
        <v>72</v>
      </c>
      <c r="AA39" s="41" t="s">
        <v>72</v>
      </c>
      <c r="AB39" s="41" t="s">
        <v>72</v>
      </c>
      <c r="AC39" s="41" t="s">
        <v>72</v>
      </c>
      <c r="AD39" s="41" t="s">
        <v>72</v>
      </c>
      <c r="AE39" s="41" t="s">
        <v>75</v>
      </c>
      <c r="AF39" s="41" t="s">
        <v>76</v>
      </c>
      <c r="AG39" t="str">
        <f>VLOOKUP($Q39,武学奇术!$A:$ZZ,25,FALSE)</f>
        <v>拳甲</v>
      </c>
      <c r="AH39" s="27">
        <f>VLOOKUP($Q39,武学奇术!$A:$ZZ,26,FALSE)</f>
        <v>1.2876</v>
      </c>
      <c r="AI39" s="28">
        <f>VLOOKUP($Q39,武学奇术!$A:$ZZ,27,FALSE)*(1+IF(OR($AG39=$F$4,$AG39=$F$5),$B$22,0))</f>
        <v>501.2</v>
      </c>
      <c r="AJ39" s="27">
        <f>VLOOKUP($Q39,武学奇术!$A:$ZZ,28,FALSE)</f>
        <v>1.9313</v>
      </c>
      <c r="AK39" s="28">
        <f>VLOOKUP($Q39,武学奇术!$A:$ZZ,29,FALSE)*(1+IF(OR($AG39=$F$4,$AG39=$F$5),$B$22,0))</f>
        <v>273</v>
      </c>
      <c r="AL39" s="27" cm="1">
        <f t="array" ref="AL39">$G$3+IFERROR(VLOOKUP($AG39,$F$4:$G$7,2,FALSE),0)+VLOOKUP($Q39,武学奇术!$A:$ZZ,2,FALSE)+SUM(_xlfn.XLOOKUP($R39:$AF39,增益!$A:$A,增益!$B:$B,0))</f>
        <v>0.4741</v>
      </c>
      <c r="AM39" s="27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3742.006</v>
      </c>
      <c r="AO39" cm="1">
        <f t="array" ref="AO39">$E$10*(1+$AM39)+VLOOKUP($Q39,武学奇术!$A:$ZZ,4,FALSE)+SUM(_xlfn.XLOOKUP($R39:$AF39,增益!$A:$A,增益!$D:$D,0))-$I$2</f>
        <v>3742.006</v>
      </c>
      <c r="AP39" s="33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0.342</v>
      </c>
      <c r="AQ39" s="33" cm="1">
        <f t="array" ref="AQ39">$G$10+VLOOKUP($Q39,武学奇术!$A:$ZZ,7,FALSE)+SUM(_xlfn.XLOOKUP(R39:AF39,增益!$A:$A,增益!$G:$G,0))</f>
        <v>0.09</v>
      </c>
      <c r="AR39" s="27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3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-0.14</v>
      </c>
      <c r="AV39" s="33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3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-0.14</v>
      </c>
      <c r="AZ39" s="33" cm="1">
        <f t="array" ref="AZ39">$G$12+VLOOKUP($Q39,武学奇术!$A:$ZZ,12,FALSE)+SUM(_xlfn.XLOOKUP(R39:AF39,增益!$A:$A,增益!$L:$L,0))</f>
        <v>0</v>
      </c>
      <c r="BA39">
        <f t="shared" si="5"/>
        <v>0</v>
      </c>
      <c r="BB39">
        <f t="shared" si="6"/>
        <v>0</v>
      </c>
      <c r="BC39" s="33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-0.14</v>
      </c>
      <c r="BD39" s="33" cm="1">
        <f t="array" ref="BD39">$G$13+VLOOKUP($Q39,武学奇术!$A:$ZZ,14,FALSE)+SUM(_xlfn.XLOOKUP(R39:AF39,增益!$A:$A,增益!$N:$N,0))</f>
        <v>0</v>
      </c>
      <c r="BE39">
        <f t="shared" si="7"/>
        <v>570.28</v>
      </c>
      <c r="BF39">
        <f t="shared" si="8"/>
        <v>1582.156</v>
      </c>
      <c r="BG39" s="33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0.08</v>
      </c>
      <c r="BH39" s="33" cm="1">
        <f t="array" ref="BH39">$G$14+VLOOKUP($Q39,武学奇术!$A:$ZZ,16,FALSE)+SUM(_xlfn.XLOOKUP(R39:AF39,增益!$A:$A,增益!$P:$P,0))</f>
        <v>0.24</v>
      </c>
      <c r="BI39" s="27">
        <f>MIN(IF(VLOOKUP($Q39,武学奇术!$A:$ZZ,23,FALSE)=1,100%,$B$8),100%)</f>
        <v>1</v>
      </c>
      <c r="BJ39" s="27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+MIN(IF(VLOOKUP($Q39,武学奇术!$A:$ZZ,32,FALSE)=1,IF(VLOOKUP($Q39,武学奇术!$A:$ZZ,24,FALSE)=1,100%,MIN(40%,$B$10+VLOOKUP($Q39,武学奇术!$A:$ZZ,19,FALSE)+SUM(_xlfn.XLOOKUP(R39:AF39,增益!$A:$A,增益!$S:$S,0)))+$B$12+SUM(_xlfn.XLOOKUP(R39:AF39,增益!$A:$A,增益!$V:$V,0))),0),12%)</f>
        <v>0.918</v>
      </c>
      <c r="BK39" s="27" cm="1">
        <f t="array" ref="BK39">1+$B$13+VLOOKUP($Q39,武学奇术!$A:$ZZ,18,FALSE)+SUM(_xlfn.XLOOKUP(R39:AF39,增益!$A:$A,增益!$R:$R,0))</f>
        <v>1.87</v>
      </c>
      <c r="BL39" s="27" cm="1">
        <f t="array" ref="BL39">MAX(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-IF(VLOOKUP($Q39,武学奇术!$A:$ZZ,32,FALSE)=1,12%,0),0)</f>
        <v>0.0895</v>
      </c>
      <c r="BM39" s="27" cm="1">
        <f t="array" ref="BM39">1+$B$14+VLOOKUP($Q39,武学奇术!$A:$ZZ,20,FALSE)+SUM(_xlfn.XLOOKUP(R39:AF39,增益!$A:$A,增益!$T:$T,0))</f>
        <v>1.35</v>
      </c>
      <c r="BN39" s="27">
        <f t="shared" si="9"/>
        <v>0.9105</v>
      </c>
      <c r="BO39" s="27">
        <f t="shared" si="10"/>
        <v>0</v>
      </c>
      <c r="BP39" s="27">
        <f>IF(VLOOKUP($Q39,武学奇术!$A:$ZZ,22,FALSE)=1,0,(1-$BI39))*(1-$BL39)</f>
        <v>0</v>
      </c>
      <c r="BQ39" s="27" cm="1">
        <f t="array" ref="BQ39">SUM(_xlfn.XLOOKUP(R39:AF39,增益!$A:$A,增益!$W:$W,0))+$I$5</f>
        <v>0.11</v>
      </c>
    </row>
    <row r="40" spans="1:69">
      <c r="F40" s="4"/>
      <c r="G40" s="4"/>
      <c r="K40" s="39">
        <f t="shared" si="0"/>
        <v>75911.0080735734</v>
      </c>
      <c r="L40" s="39">
        <f>((($AN40+($AO40-$AN40)*IF(VLOOKUP($Q40,武学奇术!$A:$ZZ,31,FALSE)=1,$F$18,0.5))*$AH40+$AI40)*(1+$AP40)*(1+$AQ40)+(($AS40+($AT40-$AS40)*IF(VLOOKUP($Q40,武学奇术!$A:$ZZ,31,FALSE)=1,$F$18,0.5))*IF($G$1="鸣金",$AJ40,$AH40)+IF($G$1="鸣金",$AK40*1.5,0))*(1+$AU40)*(1+$AV40)+(($AW40+($AX40-$AW40)*IF(VLOOKUP($Q40,武学奇术!$A:$ZZ,31,FALSE)=1,$F$18,0.5))*IF($G$1="裂石",$AJ40,$AH40)+IF($G$1="裂石",$AK40*1.5,0))*(1+$AY40)*(1+$AZ40)+(($BA40+($BB40-$BA40)*IF(VLOOKUP($Q40,武学奇术!$A:$ZZ,31,FALSE)=1,$F$18,0.5))*IF($G$1="牵丝",$AJ40,$AH40)+IF($G$1="牵丝",$AK40*1.5,0))*(1+$BC40)*(1+$BD40)+(($BE40+($BF40-$BE40)*IF(VLOOKUP($Q40,武学奇术!$A:$ZZ,31,FALSE)=1,$F$18,0.5))*IF($G$1="破竹",$AJ40,$AH40)+IF($G$1="破竹",$AK40*1.5,0))*(1+$BG40)*(1+$BH40))*(1+$AL40)*$BK40*$P40*(1+IF(VLOOKUP($Q40,武学奇术!$A:$ZZ,30,FALSE)="蓄力技",$B$21,0))*(1+$BQ40)</f>
        <v>77967.8774726674</v>
      </c>
      <c r="M40" s="39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54986.0964772036</v>
      </c>
      <c r="N40" s="39">
        <f>((($AN40+($AO40-$AN40)*IF(VLOOKUP($Q40,武学奇术!$A:$ZZ,31,FALSE)=1,$F$18,0.5))*$AH40+$AI40)*(1+$AP40)*(1+$AQ40)+(($AS40+($AT40-$AS40)*IF(VLOOKUP($Q40,武学奇术!$A:$ZZ,31,FALSE)=1,$F$18,0.5))*IF($G$1="鸣金",$AJ40,$AH40)+IF($G$1="鸣金",$AK40*1.5,0))*(1+$AU40)*(1+$AV40)+(($AW40+($AX40-$AW40)*IF(VLOOKUP($Q40,武学奇术!$A:$ZZ,31,FALSE)=1,$F$18,0.5))*IF($G$1="裂石",$AJ40,$AH40)+IF($G$1="裂石",$AK40*1.5,0))*(1+$AY40)*(1+$AZ40)+(($BA40+($BB40-$BA40)*IF(VLOOKUP($Q40,武学奇术!$A:$ZZ,31,FALSE)=1,$F$18,0.5))*IF($G$1="牵丝",$AJ40,$AH40)+IF($G$1="牵丝",$AK40*1.5,0))*(1+$BC40)*(1+$BD40)+(($BE40+($BF40-$BE40)*IF(VLOOKUP($Q40,武学奇术!$A:$ZZ,31,FALSE)=1,$F$18,0.5))*IF($G$1="破竹",$AJ40,$AH40)+IF($G$1="破竹",$AK40*1.5,0))*(1+$BG40)*(1+$BH40))*(1+$AL40)*$P40*(1+IF(VLOOKUP($Q40,武学奇术!$A:$ZZ,30,FALSE)="蓄力技",$B$21,0))*(1+$BQ40)</f>
        <v>35929.8974528421</v>
      </c>
      <c r="O40" s="39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31129.3530707186</v>
      </c>
      <c r="P40" s="40">
        <v>1</v>
      </c>
      <c r="Q40" s="41" t="s">
        <v>108</v>
      </c>
      <c r="R40" s="41" t="s">
        <v>93</v>
      </c>
      <c r="S40" s="41" t="s">
        <v>118</v>
      </c>
      <c r="T40" s="41" t="s">
        <v>119</v>
      </c>
      <c r="U40" s="41" t="s">
        <v>72</v>
      </c>
      <c r="V40" s="41" t="s">
        <v>72</v>
      </c>
      <c r="W40" s="41" t="s">
        <v>72</v>
      </c>
      <c r="X40" s="41" t="s">
        <v>158</v>
      </c>
      <c r="Y40" s="41" t="s">
        <v>81</v>
      </c>
      <c r="Z40" s="41" t="s">
        <v>101</v>
      </c>
      <c r="AA40" s="41" t="s">
        <v>72</v>
      </c>
      <c r="AB40" s="41" t="s">
        <v>72</v>
      </c>
      <c r="AC40" s="41" t="s">
        <v>72</v>
      </c>
      <c r="AD40" s="41" t="s">
        <v>72</v>
      </c>
      <c r="AE40" s="41" t="s">
        <v>75</v>
      </c>
      <c r="AF40" s="41" t="s">
        <v>76</v>
      </c>
      <c r="AG40" t="str">
        <f>VLOOKUP($Q40,武学奇术!$A:$ZZ,25,FALSE)</f>
        <v>拳甲</v>
      </c>
      <c r="AH40" s="27">
        <f>VLOOKUP($Q40,武学奇术!$A:$ZZ,26,FALSE)</f>
        <v>2.33376</v>
      </c>
      <c r="AI40" s="28">
        <f>VLOOKUP($Q40,武学奇术!$A:$ZZ,27,FALSE)*(1+IF(OR($AG40=$F$4,$AG40=$F$5),$B$22,0))</f>
        <v>0</v>
      </c>
      <c r="AJ40" s="27">
        <f>VLOOKUP($Q40,武学奇术!$A:$ZZ,28,FALSE)</f>
        <v>3.50064</v>
      </c>
      <c r="AK40" s="28">
        <f>VLOOKUP($Q40,武学奇术!$A:$ZZ,29,FALSE)*(1+IF(OR($AG40=$F$4,$AG40=$F$5),$B$22,0))</f>
        <v>0</v>
      </c>
      <c r="AL40" s="27" cm="1">
        <f t="array" ref="AL40">$G$3+IFERROR(VLOOKUP($AG40,$F$4:$G$7,2,FALSE),0)+VLOOKUP($Q40,武学奇术!$A:$ZZ,2,FALSE)+SUM(_xlfn.XLOOKUP($R40:$AF40,增益!$A:$A,增益!$B:$B,0))</f>
        <v>0.7741</v>
      </c>
      <c r="AM40" s="27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3742.006</v>
      </c>
      <c r="AO40" cm="1">
        <f t="array" ref="AO40">$E$10*(1+$AM40)+VLOOKUP($Q40,武学奇术!$A:$ZZ,4,FALSE)+SUM(_xlfn.XLOOKUP($R40:$AF40,增益!$A:$A,增益!$D:$D,0))-$I$2</f>
        <v>3742.006</v>
      </c>
      <c r="AP40" s="33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0.372</v>
      </c>
      <c r="AQ40" s="33" cm="1">
        <f t="array" ref="AQ40">$G$10+VLOOKUP($Q40,武学奇术!$A:$ZZ,7,FALSE)+SUM(_xlfn.XLOOKUP(R40:AF40,增益!$A:$A,增益!$G:$G,0))</f>
        <v>0.09</v>
      </c>
      <c r="AR40" s="27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3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-0.08</v>
      </c>
      <c r="AV40" s="33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3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-0.08</v>
      </c>
      <c r="AZ40" s="33" cm="1">
        <f t="array" ref="AZ40">$G$12+VLOOKUP($Q40,武学奇术!$A:$ZZ,12,FALSE)+SUM(_xlfn.XLOOKUP(R40:AF40,增益!$A:$A,增益!$L:$L,0))</f>
        <v>0</v>
      </c>
      <c r="BA40">
        <f t="shared" si="5"/>
        <v>0</v>
      </c>
      <c r="BB40">
        <f t="shared" si="6"/>
        <v>0</v>
      </c>
      <c r="BC40" s="33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-0.08</v>
      </c>
      <c r="BD40" s="33" cm="1">
        <f t="array" ref="BD40">$G$13+VLOOKUP($Q40,武学奇术!$A:$ZZ,14,FALSE)+SUM(_xlfn.XLOOKUP(R40:AF40,增益!$A:$A,增益!$N:$N,0))</f>
        <v>0</v>
      </c>
      <c r="BE40">
        <f t="shared" si="7"/>
        <v>570.28</v>
      </c>
      <c r="BF40">
        <f t="shared" si="8"/>
        <v>1582.156</v>
      </c>
      <c r="BG40" s="33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0.11</v>
      </c>
      <c r="BH40" s="33" cm="1">
        <f t="array" ref="BH40">$G$14+VLOOKUP($Q40,武学奇术!$A:$ZZ,16,FALSE)+SUM(_xlfn.XLOOKUP(R40:AF40,增益!$A:$A,增益!$P:$P,0))</f>
        <v>0.24</v>
      </c>
      <c r="BI40" s="27">
        <f>MIN(IF(VLOOKUP($Q40,武学奇术!$A:$ZZ,23,FALSE)=1,100%,$B$8),100%)</f>
        <v>1</v>
      </c>
      <c r="BJ40" s="27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+MIN(IF(VLOOKUP($Q40,武学奇术!$A:$ZZ,32,FALSE)=1,IF(VLOOKUP($Q40,武学奇术!$A:$ZZ,24,FALSE)=1,100%,MIN(40%,$B$10+VLOOKUP($Q40,武学奇术!$A:$ZZ,19,FALSE)+SUM(_xlfn.XLOOKUP(R40:AF40,增益!$A:$A,增益!$S:$S,0)))+$B$12+SUM(_xlfn.XLOOKUP(R40:AF40,增益!$A:$A,增益!$V:$V,0))),0),12%)</f>
        <v>0.918</v>
      </c>
      <c r="BK40" s="27" cm="1">
        <f t="array" ref="BK40">1+$B$13+VLOOKUP($Q40,武学奇术!$A:$ZZ,18,FALSE)+SUM(_xlfn.XLOOKUP(R40:AF40,增益!$A:$A,增益!$R:$R,0))</f>
        <v>2.17</v>
      </c>
      <c r="BL40" s="27" cm="1">
        <f t="array" ref="BL40">MAX(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-IF(VLOOKUP($Q40,武学奇术!$A:$ZZ,32,FALSE)=1,12%,0),0)</f>
        <v>0.0895</v>
      </c>
      <c r="BM40" s="27" cm="1">
        <f t="array" ref="BM40">1+$B$14+VLOOKUP($Q40,武学奇术!$A:$ZZ,20,FALSE)+SUM(_xlfn.XLOOKUP(R40:AF40,增益!$A:$A,增益!$T:$T,0))</f>
        <v>1.35</v>
      </c>
      <c r="BN40" s="27">
        <f t="shared" si="9"/>
        <v>0.9105</v>
      </c>
      <c r="BO40" s="27">
        <f t="shared" si="10"/>
        <v>0</v>
      </c>
      <c r="BP40" s="27">
        <f>IF(VLOOKUP($Q40,武学奇术!$A:$ZZ,22,FALSE)=1,0,(1-$BI40))*(1-$BL40)</f>
        <v>0</v>
      </c>
      <c r="BQ40" s="27" cm="1">
        <f t="array" ref="BQ40">SUM(_xlfn.XLOOKUP(R40:AF40,增益!$A:$A,增益!$W:$W,0))+$I$5</f>
        <v>0.11</v>
      </c>
    </row>
    <row r="41" spans="1:69">
      <c r="A41" s="4"/>
      <c r="B41" s="91"/>
      <c r="F41" s="4"/>
      <c r="G41" s="4"/>
      <c r="K41" s="39">
        <f t="shared" si="0"/>
        <v>922432.313452689</v>
      </c>
      <c r="L41" s="39">
        <f>((($AN41+($AO41-$AN41)*IF(VLOOKUP($Q41,武学奇术!$A:$ZZ,31,FALSE)=1,$F$18,0.5))*$AH41+$AI41)*(1+$AP41)*(1+$AQ41)+(($AS41+($AT41-$AS41)*IF(VLOOKUP($Q41,武学奇术!$A:$ZZ,31,FALSE)=1,$F$18,0.5))*IF($G$1="鸣金",$AJ41,$AH41)+IF($G$1="鸣金",$AK41*1.5,0))*(1+$AU41)*(1+$AV41)+(($AW41+($AX41-$AW41)*IF(VLOOKUP($Q41,武学奇术!$A:$ZZ,31,FALSE)=1,$F$18,0.5))*IF($G$1="裂石",$AJ41,$AH41)+IF($G$1="裂石",$AK41*1.5,0))*(1+$AY41)*(1+$AZ41)+(($BA41+($BB41-$BA41)*IF(VLOOKUP($Q41,武学奇术!$A:$ZZ,31,FALSE)=1,$F$18,0.5))*IF($G$1="牵丝",$AJ41,$AH41)+IF($G$1="牵丝",$AK41*1.5,0))*(1+$BC41)*(1+$BD41)+(($BE41+($BF41-$BE41)*IF(VLOOKUP($Q41,武学奇术!$A:$ZZ,31,FALSE)=1,$F$18,0.5))*IF($G$1="破竹",$AJ41,$AH41)+IF($G$1="破竹",$AK41*1.5,0))*(1+$BG41)*(1+$BH41))*(1+$AL41)*$BK41*$P41*(1+IF(VLOOKUP($Q41,武学奇术!$A:$ZZ,30,FALSE)="蓄力技",$B$21,0))*(1+$BQ41)</f>
        <v>922432.313452689</v>
      </c>
      <c r="M41" s="39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582660.160695799</v>
      </c>
      <c r="N41" s="39">
        <f>((($AN41+($AO41-$AN41)*IF(VLOOKUP($Q41,武学奇术!$A:$ZZ,31,FALSE)=1,$F$18,0.5))*$AH41+$AI41)*(1+$AP41)*(1+$AQ41)+(($AS41+($AT41-$AS41)*IF(VLOOKUP($Q41,武学奇术!$A:$ZZ,31,FALSE)=1,$F$18,0.5))*IF($G$1="鸣金",$AJ41,$AH41)+IF($G$1="鸣金",$AK41*1.5,0))*(1+$AU41)*(1+$AV41)+(($AW41+($AX41-$AW41)*IF(VLOOKUP($Q41,武学奇术!$A:$ZZ,31,FALSE)=1,$F$18,0.5))*IF($G$1="裂石",$AJ41,$AH41)+IF($G$1="裂石",$AK41*1.5,0))*(1+$AY41)*(1+$AZ41)+(($BA41+($BB41-$BA41)*IF(VLOOKUP($Q41,武学奇术!$A:$ZZ,31,FALSE)=1,$F$18,0.5))*IF($G$1="牵丝",$AJ41,$AH41)+IF($G$1="牵丝",$AK41*1.5,0))*(1+$BC41)*(1+$BD41)+(($BE41+($BF41-$BE41)*IF(VLOOKUP($Q41,武学奇术!$A:$ZZ,31,FALSE)=1,$F$18,0.5))*IF($G$1="破竹",$AJ41,$AH41)+IF($G$1="破竹",$AK41*1.5,0))*(1+$BG41)*(1+$BH41))*(1+$AL41)*$P41*(1+IF(VLOOKUP($Q41,武学奇术!$A:$ZZ,30,FALSE)="蓄力技",$B$21,0))*(1+$BQ41)</f>
        <v>385954.942867234</v>
      </c>
      <c r="O41" s="39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340309.766700543</v>
      </c>
      <c r="P41" s="40">
        <v>1</v>
      </c>
      <c r="Q41" s="41" t="s">
        <v>125</v>
      </c>
      <c r="R41" s="41" t="s">
        <v>93</v>
      </c>
      <c r="S41" s="41" t="s">
        <v>118</v>
      </c>
      <c r="T41" s="41" t="s">
        <v>119</v>
      </c>
      <c r="U41" s="41" t="s">
        <v>72</v>
      </c>
      <c r="V41" s="41" t="s">
        <v>72</v>
      </c>
      <c r="W41" s="41" t="s">
        <v>72</v>
      </c>
      <c r="X41" s="41" t="s">
        <v>165</v>
      </c>
      <c r="Y41" s="41" t="s">
        <v>81</v>
      </c>
      <c r="Z41" s="41" t="s">
        <v>101</v>
      </c>
      <c r="AA41" s="41" t="s">
        <v>72</v>
      </c>
      <c r="AB41" s="41" t="s">
        <v>72</v>
      </c>
      <c r="AC41" s="41" t="s">
        <v>72</v>
      </c>
      <c r="AD41" s="41" t="s">
        <v>72</v>
      </c>
      <c r="AE41" s="41" t="s">
        <v>75</v>
      </c>
      <c r="AF41" s="41" t="s">
        <v>76</v>
      </c>
      <c r="AG41" t="str">
        <f>VLOOKUP($Q41,武学奇术!$A:$ZZ,25,FALSE)</f>
        <v>拳甲</v>
      </c>
      <c r="AH41" s="27">
        <f>VLOOKUP($Q41,武学奇术!$A:$ZZ,26,FALSE)</f>
        <v>16.8107</v>
      </c>
      <c r="AI41" s="28">
        <f>VLOOKUP($Q41,武学奇术!$A:$ZZ,27,FALSE)*(1+IF(OR($AG41=$F$4,$AG41=$F$5),$B$22,0))</f>
        <v>6505.8</v>
      </c>
      <c r="AJ41" s="27">
        <f>VLOOKUP($Q41,武学奇术!$A:$ZZ,28,FALSE)</f>
        <v>25.2161</v>
      </c>
      <c r="AK41" s="28">
        <f>VLOOKUP($Q41,武学奇术!$A:$ZZ,29,FALSE)*(1+IF(OR($AG41=$F$4,$AG41=$F$5),$B$22,0))</f>
        <v>3546.2</v>
      </c>
      <c r="AL41" s="27" cm="1">
        <f t="array" ref="AL41">$G$3+IFERROR(VLOOKUP($AG41,$F$4:$G$7,2,FALSE),0)+VLOOKUP($Q41,武学奇术!$A:$ZZ,2,FALSE)+SUM(_xlfn.XLOOKUP($R41:$AF41,增益!$A:$A,增益!$B:$B,0))</f>
        <v>0.7741</v>
      </c>
      <c r="AM41" s="27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3742.006</v>
      </c>
      <c r="AO41" cm="1">
        <f t="array" ref="AO41">$E$10*(1+$AM41)+VLOOKUP($Q41,武学奇术!$A:$ZZ,4,FALSE)+SUM(_xlfn.XLOOKUP($R41:$AF41,增益!$A:$A,增益!$D:$D,0))-$I$2</f>
        <v>3742.006</v>
      </c>
      <c r="AP41" s="33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0.372</v>
      </c>
      <c r="AQ41" s="33" cm="1">
        <f t="array" ref="AQ41">$G$10+VLOOKUP($Q41,武学奇术!$A:$ZZ,7,FALSE)+SUM(_xlfn.XLOOKUP(R41:AF41,增益!$A:$A,增益!$G:$G,0))</f>
        <v>0.09</v>
      </c>
      <c r="AR41" s="27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3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-0.08</v>
      </c>
      <c r="AV41" s="33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3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-0.08</v>
      </c>
      <c r="AZ41" s="33" cm="1">
        <f t="array" ref="AZ41">$G$12+VLOOKUP($Q41,武学奇术!$A:$ZZ,12,FALSE)+SUM(_xlfn.XLOOKUP(R41:AF41,增益!$A:$A,增益!$L:$L,0))</f>
        <v>0</v>
      </c>
      <c r="BA41">
        <f t="shared" si="5"/>
        <v>0</v>
      </c>
      <c r="BB41">
        <f t="shared" si="6"/>
        <v>0</v>
      </c>
      <c r="BC41" s="33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-0.08</v>
      </c>
      <c r="BD41" s="33" cm="1">
        <f t="array" ref="BD41">$G$13+VLOOKUP($Q41,武学奇术!$A:$ZZ,14,FALSE)+SUM(_xlfn.XLOOKUP(R41:AF41,增益!$A:$A,增益!$N:$N,0))</f>
        <v>0</v>
      </c>
      <c r="BE41">
        <f t="shared" si="7"/>
        <v>570.28</v>
      </c>
      <c r="BF41">
        <f t="shared" si="8"/>
        <v>1582.156</v>
      </c>
      <c r="BG41" s="33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0.11</v>
      </c>
      <c r="BH41" s="33" cm="1">
        <f t="array" ref="BH41">$G$14+VLOOKUP($Q41,武学奇术!$A:$ZZ,16,FALSE)+SUM(_xlfn.XLOOKUP(R41:AF41,增益!$A:$A,增益!$P:$P,0))</f>
        <v>0.24</v>
      </c>
      <c r="BI41" s="27">
        <f>MIN(IF(VLOOKUP($Q41,武学奇术!$A:$ZZ,23,FALSE)=1,100%,$B$8),100%)</f>
        <v>1</v>
      </c>
      <c r="BJ41" s="27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+MIN(IF(VLOOKUP($Q41,武学奇术!$A:$ZZ,32,FALSE)=1,IF(VLOOKUP($Q41,武学奇术!$A:$ZZ,24,FALSE)=1,100%,MIN(40%,$B$10+VLOOKUP($Q41,武学奇术!$A:$ZZ,19,FALSE)+SUM(_xlfn.XLOOKUP(R41:AF41,增益!$A:$A,增益!$S:$S,0)))+$B$12+SUM(_xlfn.XLOOKUP(R41:AF41,增益!$A:$A,增益!$V:$V,0))),0),12%)</f>
        <v>1.0075</v>
      </c>
      <c r="BK41" s="27" cm="1">
        <f t="array" ref="BK41">1+$B$13+VLOOKUP($Q41,武学奇术!$A:$ZZ,18,FALSE)+SUM(_xlfn.XLOOKUP(R41:AF41,增益!$A:$A,增益!$R:$R,0))</f>
        <v>2.39</v>
      </c>
      <c r="BL41" s="27" cm="1">
        <f t="array" ref="BL41">MAX(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-IF(VLOOKUP($Q41,武学奇术!$A:$ZZ,32,FALSE)=1,12%,0),0)</f>
        <v>0</v>
      </c>
      <c r="BM41" s="27" cm="1">
        <f t="array" ref="BM41">1+$B$14+VLOOKUP($Q41,武学奇术!$A:$ZZ,20,FALSE)+SUM(_xlfn.XLOOKUP(R41:AF41,增益!$A:$A,增益!$T:$T,0))</f>
        <v>1.35</v>
      </c>
      <c r="BN41" s="27">
        <f t="shared" si="9"/>
        <v>1</v>
      </c>
      <c r="BO41" s="27">
        <f t="shared" si="10"/>
        <v>0</v>
      </c>
      <c r="BP41" s="27">
        <f>IF(VLOOKUP($Q41,武学奇术!$A:$ZZ,22,FALSE)=1,0,(1-$BI41))*(1-$BL41)</f>
        <v>0</v>
      </c>
      <c r="BQ41" s="27" cm="1">
        <f t="array" ref="BQ41">SUM(_xlfn.XLOOKUP(R41:AF41,增益!$A:$A,增益!$W:$W,0))+$I$5</f>
        <v>0.11</v>
      </c>
    </row>
    <row r="42" spans="1:69">
      <c r="A42" s="4"/>
      <c r="B42" s="91"/>
      <c r="F42" s="4"/>
      <c r="G42" s="4"/>
      <c r="K42" s="39">
        <f t="shared" si="0"/>
        <v>355148.448202047</v>
      </c>
      <c r="L42" s="39">
        <f>((($AN42+($AO42-$AN42)*IF(VLOOKUP($Q42,武学奇术!$A:$ZZ,31,FALSE)=1,$F$18,0.5))*$AH42+$AI42)*(1+$AP42)*(1+$AQ42)+(($AS42+($AT42-$AS42)*IF(VLOOKUP($Q42,武学奇术!$A:$ZZ,31,FALSE)=1,$F$18,0.5))*IF($G$1="鸣金",$AJ42,$AH42)+IF($G$1="鸣金",$AK42*1.5,0))*(1+$AU42)*(1+$AV42)+(($AW42+($AX42-$AW42)*IF(VLOOKUP($Q42,武学奇术!$A:$ZZ,31,FALSE)=1,$F$18,0.5))*IF($G$1="裂石",$AJ42,$AH42)+IF($G$1="裂石",$AK42*1.5,0))*(1+$AY42)*(1+$AZ42)+(($BA42+($BB42-$BA42)*IF(VLOOKUP($Q42,武学奇术!$A:$ZZ,31,FALSE)=1,$F$18,0.5))*IF($G$1="牵丝",$AJ42,$AH42)+IF($G$1="牵丝",$AK42*1.5,0))*(1+$BC42)*(1+$BD42)+(($BE42+($BF42-$BE42)*IF(VLOOKUP($Q42,武学奇术!$A:$ZZ,31,FALSE)=1,$F$18,0.5))*IF($G$1="破竹",$AJ42,$AH42)+IF($G$1="破竹",$AK42*1.5,0))*(1+$BG42)*(1+$BH42))*(1+$AL42)*$BK42*$P42*(1+IF(VLOOKUP($Q42,武学奇术!$A:$ZZ,30,FALSE)="蓄力技",$B$21,0))*(1+$BQ42)</f>
        <v>355148.448202047</v>
      </c>
      <c r="M42" s="39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224331.143522676</v>
      </c>
      <c r="N42" s="39">
        <f>((($AN42+($AO42-$AN42)*IF(VLOOKUP($Q42,武学奇术!$A:$ZZ,31,FALSE)=1,$F$18,0.5))*$AH42+$AI42)*(1+$AP42)*(1+$AQ42)+(($AS42+($AT42-$AS42)*IF(VLOOKUP($Q42,武学奇术!$A:$ZZ,31,FALSE)=1,$F$18,0.5))*IF($G$1="鸣金",$AJ42,$AH42)+IF($G$1="鸣金",$AK42*1.5,0))*(1+$AU42)*(1+$AV42)+(($AW42+($AX42-$AW42)*IF(VLOOKUP($Q42,武学奇术!$A:$ZZ,31,FALSE)=1,$F$18,0.5))*IF($G$1="裂石",$AJ42,$AH42)+IF($G$1="裂石",$AK42*1.5,0))*(1+$AY42)*(1+$AZ42)+(($BA42+($BB42-$BA42)*IF(VLOOKUP($Q42,武学奇术!$A:$ZZ,31,FALSE)=1,$F$18,0.5))*IF($G$1="牵丝",$AJ42,$AH42)+IF($G$1="牵丝",$AK42*1.5,0))*(1+$BC42)*(1+$BD42)+(($BE42+($BF42-$BE42)*IF(VLOOKUP($Q42,武学奇术!$A:$ZZ,31,FALSE)=1,$F$18,0.5))*IF($G$1="破竹",$AJ42,$AH42)+IF($G$1="破竹",$AK42*1.5,0))*(1+$BG42)*(1+$BH42))*(1+$AL42)*$P42*(1+IF(VLOOKUP($Q42,武学奇术!$A:$ZZ,30,FALSE)="蓄力技",$B$21,0))*(1+$BQ42)</f>
        <v>148597.677071986</v>
      </c>
      <c r="O42" s="39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131024.136719768</v>
      </c>
      <c r="P42" s="40">
        <v>1</v>
      </c>
      <c r="Q42" s="41" t="s">
        <v>129</v>
      </c>
      <c r="R42" s="41" t="s">
        <v>93</v>
      </c>
      <c r="S42" s="41" t="s">
        <v>118</v>
      </c>
      <c r="T42" s="41" t="s">
        <v>119</v>
      </c>
      <c r="U42" s="41" t="s">
        <v>72</v>
      </c>
      <c r="V42" s="41" t="s">
        <v>72</v>
      </c>
      <c r="W42" s="41" t="s">
        <v>72</v>
      </c>
      <c r="X42" s="41" t="s">
        <v>165</v>
      </c>
      <c r="Y42" s="41" t="s">
        <v>81</v>
      </c>
      <c r="Z42" s="41" t="s">
        <v>101</v>
      </c>
      <c r="AA42" s="41" t="s">
        <v>72</v>
      </c>
      <c r="AB42" s="41" t="s">
        <v>72</v>
      </c>
      <c r="AC42" s="41" t="s">
        <v>72</v>
      </c>
      <c r="AD42" s="41" t="s">
        <v>72</v>
      </c>
      <c r="AE42" s="41" t="s">
        <v>75</v>
      </c>
      <c r="AF42" s="41" t="s">
        <v>76</v>
      </c>
      <c r="AG42" t="str">
        <f>VLOOKUP($Q42,武学奇术!$A:$ZZ,25,FALSE)</f>
        <v>拳甲</v>
      </c>
      <c r="AH42" s="27">
        <f>VLOOKUP($Q42,武学奇术!$A:$ZZ,26,FALSE)</f>
        <v>6.4722</v>
      </c>
      <c r="AI42" s="28">
        <f>VLOOKUP($Q42,武学奇术!$A:$ZZ,27,FALSE)*(1+IF(OR($AG42=$F$4,$AG42=$F$5),$B$22,0))</f>
        <v>2504.88</v>
      </c>
      <c r="AJ42" s="27">
        <f>VLOOKUP($Q42,武学奇术!$A:$ZZ,28,FALSE)</f>
        <v>9.70828</v>
      </c>
      <c r="AK42" s="28">
        <f>VLOOKUP($Q42,武学奇术!$A:$ZZ,29,FALSE)*(1+IF(OR($AG42=$F$4,$AG42=$F$5),$B$22,0))</f>
        <v>1365.84</v>
      </c>
      <c r="AL42" s="27" cm="1">
        <f t="array" ref="AL42">$G$3+IFERROR(VLOOKUP($AG42,$F$4:$G$7,2,FALSE),0)+VLOOKUP($Q42,武学奇术!$A:$ZZ,2,FALSE)+SUM(_xlfn.XLOOKUP($R42:$AF42,增益!$A:$A,增益!$B:$B,0))</f>
        <v>0.7741</v>
      </c>
      <c r="AM42" s="27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3742.006</v>
      </c>
      <c r="AO42" cm="1">
        <f t="array" ref="AO42">$E$10*(1+$AM42)+VLOOKUP($Q42,武学奇术!$A:$ZZ,4,FALSE)+SUM(_xlfn.XLOOKUP($R42:$AF42,增益!$A:$A,增益!$D:$D,0))-$I$2</f>
        <v>3742.006</v>
      </c>
      <c r="AP42" s="33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0.372</v>
      </c>
      <c r="AQ42" s="33" cm="1">
        <f t="array" ref="AQ42">$G$10+VLOOKUP($Q42,武学奇术!$A:$ZZ,7,FALSE)+SUM(_xlfn.XLOOKUP(R42:AF42,增益!$A:$A,增益!$G:$G,0))</f>
        <v>0.09</v>
      </c>
      <c r="AR42" s="27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3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-0.08</v>
      </c>
      <c r="AV42" s="33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3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-0.08</v>
      </c>
      <c r="AZ42" s="33" cm="1">
        <f t="array" ref="AZ42">$G$12+VLOOKUP($Q42,武学奇术!$A:$ZZ,12,FALSE)+SUM(_xlfn.XLOOKUP(R42:AF42,增益!$A:$A,增益!$L:$L,0))</f>
        <v>0</v>
      </c>
      <c r="BA42">
        <f t="shared" si="5"/>
        <v>0</v>
      </c>
      <c r="BB42">
        <f t="shared" si="6"/>
        <v>0</v>
      </c>
      <c r="BC42" s="33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-0.08</v>
      </c>
      <c r="BD42" s="33" cm="1">
        <f t="array" ref="BD42">$G$13+VLOOKUP($Q42,武学奇术!$A:$ZZ,14,FALSE)+SUM(_xlfn.XLOOKUP(R42:AF42,增益!$A:$A,增益!$N:$N,0))</f>
        <v>0</v>
      </c>
      <c r="BE42">
        <f t="shared" si="7"/>
        <v>570.28</v>
      </c>
      <c r="BF42">
        <f t="shared" si="8"/>
        <v>1582.156</v>
      </c>
      <c r="BG42" s="33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0.11</v>
      </c>
      <c r="BH42" s="33" cm="1">
        <f t="array" ref="BH42">$G$14+VLOOKUP($Q42,武学奇术!$A:$ZZ,16,FALSE)+SUM(_xlfn.XLOOKUP(R42:AF42,增益!$A:$A,增益!$P:$P,0))</f>
        <v>0.24</v>
      </c>
      <c r="BI42" s="27">
        <f>MIN(IF(VLOOKUP($Q42,武学奇术!$A:$ZZ,23,FALSE)=1,100%,$B$8),100%)</f>
        <v>1</v>
      </c>
      <c r="BJ42" s="27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+MIN(IF(VLOOKUP($Q42,武学奇术!$A:$ZZ,32,FALSE)=1,IF(VLOOKUP($Q42,武学奇术!$A:$ZZ,24,FALSE)=1,100%,MIN(40%,$B$10+VLOOKUP($Q42,武学奇术!$A:$ZZ,19,FALSE)+SUM(_xlfn.XLOOKUP(R42:AF42,增益!$A:$A,增益!$S:$S,0)))+$B$12+SUM(_xlfn.XLOOKUP(R42:AF42,增益!$A:$A,增益!$V:$V,0))),0),12%)</f>
        <v>1.0075</v>
      </c>
      <c r="BK42" s="27" cm="1">
        <f t="array" ref="BK42">1+$B$13+VLOOKUP($Q42,武学奇术!$A:$ZZ,18,FALSE)+SUM(_xlfn.XLOOKUP(R42:AF42,增益!$A:$A,增益!$R:$R,0))</f>
        <v>2.39</v>
      </c>
      <c r="BL42" s="27" cm="1">
        <f t="array" ref="BL42">MAX(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-IF(VLOOKUP($Q42,武学奇术!$A:$ZZ,32,FALSE)=1,12%,0),0)</f>
        <v>0</v>
      </c>
      <c r="BM42" s="27" cm="1">
        <f t="array" ref="BM42">1+$B$14+VLOOKUP($Q42,武学奇术!$A:$ZZ,20,FALSE)+SUM(_xlfn.XLOOKUP(R42:AF42,增益!$A:$A,增益!$T:$T,0))</f>
        <v>1.35</v>
      </c>
      <c r="BN42" s="27">
        <f t="shared" si="9"/>
        <v>1</v>
      </c>
      <c r="BO42" s="27">
        <f t="shared" si="10"/>
        <v>0</v>
      </c>
      <c r="BP42" s="27">
        <f>IF(VLOOKUP($Q42,武学奇术!$A:$ZZ,22,FALSE)=1,0,(1-$BI42))*(1-$BL42)</f>
        <v>0</v>
      </c>
      <c r="BQ42" s="27" cm="1">
        <f t="array" ref="BQ42">SUM(_xlfn.XLOOKUP(R42:AF42,增益!$A:$A,增益!$W:$W,0))+$I$5</f>
        <v>0.11</v>
      </c>
    </row>
    <row r="43" spans="1:69">
      <c r="A43" s="4"/>
      <c r="B43" s="4"/>
      <c r="F43" s="4"/>
      <c r="G43" s="91"/>
      <c r="K43" s="39">
        <f t="shared" si="0"/>
        <v>52478.8137300409</v>
      </c>
      <c r="L43" s="39">
        <f>((($AN43+($AO43-$AN43)*IF(VLOOKUP($Q43,武学奇术!$A:$ZZ,31,FALSE)=1,$F$18,0.5))*$AH43+$AI43)*(1+$AP43)*(1+$AQ43)+(($AS43+($AT43-$AS43)*IF(VLOOKUP($Q43,武学奇术!$A:$ZZ,31,FALSE)=1,$F$18,0.5))*IF($G$1="鸣金",$AJ43,$AH43)+IF($G$1="鸣金",$AK43*1.5,0))*(1+$AU43)*(1+$AV43)+(($AW43+($AX43-$AW43)*IF(VLOOKUP($Q43,武学奇术!$A:$ZZ,31,FALSE)=1,$F$18,0.5))*IF($G$1="裂石",$AJ43,$AH43)+IF($G$1="裂石",$AK43*1.5,0))*(1+$AY43)*(1+$AZ43)+(($BA43+($BB43-$BA43)*IF(VLOOKUP($Q43,武学奇术!$A:$ZZ,31,FALSE)=1,$F$18,0.5))*IF($G$1="牵丝",$AJ43,$AH43)+IF($G$1="牵丝",$AK43*1.5,0))*(1+$BC43)*(1+$BD43)+(($BE43+($BF43-$BE43)*IF(VLOOKUP($Q43,武学奇术!$A:$ZZ,31,FALSE)=1,$F$18,0.5))*IF($G$1="破竹",$AJ43,$AH43)+IF($G$1="破竹",$AK43*1.5,0))*(1+$BG43)*(1+$BH43))*(1+$AL43)*$BK43*$P43*(1+IF(VLOOKUP($Q43,武学奇术!$A:$ZZ,30,FALSE)="蓄力技",$B$21,0))*(1+$BQ43)</f>
        <v>52824.0994655112</v>
      </c>
      <c r="M43" s="39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48966.1582870724</v>
      </c>
      <c r="N43" s="39">
        <f>((($AN43+($AO43-$AN43)*IF(VLOOKUP($Q43,武学奇术!$A:$ZZ,31,FALSE)=1,$F$18,0.5))*$AH43+$AI43)*(1+$AP43)*(1+$AQ43)+(($AS43+($AT43-$AS43)*IF(VLOOKUP($Q43,武学奇术!$A:$ZZ,31,FALSE)=1,$F$18,0.5))*IF($G$1="鸣金",$AJ43,$AH43)+IF($G$1="鸣金",$AK43*1.5,0))*(1+$AU43)*(1+$AV43)+(($AW43+($AX43-$AW43)*IF(VLOOKUP($Q43,武学奇术!$A:$ZZ,31,FALSE)=1,$F$18,0.5))*IF($G$1="裂石",$AJ43,$AH43)+IF($G$1="裂石",$AK43*1.5,0))*(1+$AY43)*(1+$AZ43)+(($BA43+($BB43-$BA43)*IF(VLOOKUP($Q43,武学奇术!$A:$ZZ,31,FALSE)=1,$F$18,0.5))*IF($G$1="牵丝",$AJ43,$AH43)+IF($G$1="牵丝",$AK43*1.5,0))*(1+$BC43)*(1+$BD43)+(($BE43+($BF43-$BE43)*IF(VLOOKUP($Q43,武学奇术!$A:$ZZ,31,FALSE)=1,$F$18,0.5))*IF($G$1="破竹",$AJ43,$AH43)+IF($G$1="破竹",$AK43*1.5,0))*(1+$BG43)*(1+$BH43))*(1+$AL43)*$P43*(1+IF(VLOOKUP($Q43,武学奇术!$A:$ZZ,30,FALSE)="蓄力技",$B$21,0))*(1+$BQ43)</f>
        <v>32209.8167472629</v>
      </c>
      <c r="O43" s="39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28148.4051337315</v>
      </c>
      <c r="P43" s="40">
        <v>1</v>
      </c>
      <c r="Q43" s="41" t="s">
        <v>111</v>
      </c>
      <c r="R43" s="41" t="s">
        <v>93</v>
      </c>
      <c r="S43" s="41" t="s">
        <v>72</v>
      </c>
      <c r="T43" s="41" t="s">
        <v>119</v>
      </c>
      <c r="U43" s="41" t="s">
        <v>72</v>
      </c>
      <c r="V43" s="41" t="s">
        <v>72</v>
      </c>
      <c r="W43" s="41" t="s">
        <v>72</v>
      </c>
      <c r="X43" s="41" t="s">
        <v>165</v>
      </c>
      <c r="Y43" s="41" t="s">
        <v>81</v>
      </c>
      <c r="Z43" s="41" t="s">
        <v>72</v>
      </c>
      <c r="AA43" s="41" t="s">
        <v>72</v>
      </c>
      <c r="AB43" s="41" t="s">
        <v>72</v>
      </c>
      <c r="AC43" s="41" t="s">
        <v>72</v>
      </c>
      <c r="AD43" s="41" t="s">
        <v>72</v>
      </c>
      <c r="AE43" s="41" t="s">
        <v>75</v>
      </c>
      <c r="AF43" s="41" t="s">
        <v>76</v>
      </c>
      <c r="AG43" t="str">
        <f>VLOOKUP($Q43,武学奇术!$A:$ZZ,25,FALSE)</f>
        <v>拳甲</v>
      </c>
      <c r="AH43" s="27">
        <f>VLOOKUP($Q43,武学奇术!$A:$ZZ,26,FALSE)</f>
        <v>2.4421</v>
      </c>
      <c r="AI43" s="28">
        <f>VLOOKUP($Q43,武学奇术!$A:$ZZ,27,FALSE)*(1+IF(OR($AG43=$F$4,$AG43=$F$5),$B$22,0))</f>
        <v>945</v>
      </c>
      <c r="AJ43" s="27">
        <f>VLOOKUP($Q43,武学奇术!$A:$ZZ,28,FALSE)</f>
        <v>3.6634</v>
      </c>
      <c r="AK43" s="28">
        <f>VLOOKUP($Q43,武学奇术!$A:$ZZ,29,FALSE)*(1+IF(OR($AG43=$F$4,$AG43=$F$5),$B$22,0))</f>
        <v>512.4</v>
      </c>
      <c r="AL43" s="27" cm="1">
        <f t="array" ref="AL43">$G$3+IFERROR(VLOOKUP($AG43,$F$4:$G$7,2,FALSE),0)+VLOOKUP($Q43,武学奇术!$A:$ZZ,2,FALSE)+SUM(_xlfn.XLOOKUP($R43:$AF43,增益!$A:$A,增益!$B:$B,0))</f>
        <v>0.4741</v>
      </c>
      <c r="AM43" s="27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3742.006</v>
      </c>
      <c r="AO43" cm="1">
        <f t="array" ref="AO43">$E$10*(1+$AM43)+VLOOKUP($Q43,武学奇术!$A:$ZZ,4,FALSE)+SUM(_xlfn.XLOOKUP($R43:$AF43,增益!$A:$A,增益!$D:$D,0))-$I$2</f>
        <v>3742.006</v>
      </c>
      <c r="AP43" s="33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0.217</v>
      </c>
      <c r="AQ43" s="33" cm="1">
        <f t="array" ref="AQ43">$G$10+VLOOKUP($Q43,武学奇术!$A:$ZZ,7,FALSE)+SUM(_xlfn.XLOOKUP(R43:AF43,增益!$A:$A,增益!$G:$G,0))</f>
        <v>0.09</v>
      </c>
      <c r="AR43" s="27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3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-0.14</v>
      </c>
      <c r="AV43" s="33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3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-0.14</v>
      </c>
      <c r="AZ43" s="33" cm="1">
        <f t="array" ref="AZ43">$G$12+VLOOKUP($Q43,武学奇术!$A:$ZZ,12,FALSE)+SUM(_xlfn.XLOOKUP(R43:AF43,增益!$A:$A,增益!$L:$L,0))</f>
        <v>0</v>
      </c>
      <c r="BA43">
        <f t="shared" si="5"/>
        <v>0</v>
      </c>
      <c r="BB43">
        <f t="shared" si="6"/>
        <v>0</v>
      </c>
      <c r="BC43" s="33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-0.14</v>
      </c>
      <c r="BD43" s="33" cm="1">
        <f t="array" ref="BD43">$G$13+VLOOKUP($Q43,武学奇术!$A:$ZZ,14,FALSE)+SUM(_xlfn.XLOOKUP(R43:AF43,增益!$A:$A,增益!$N:$N,0))</f>
        <v>0</v>
      </c>
      <c r="BE43">
        <f t="shared" si="7"/>
        <v>570.28</v>
      </c>
      <c r="BF43">
        <f t="shared" si="8"/>
        <v>1582.156</v>
      </c>
      <c r="BG43" s="33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0.08</v>
      </c>
      <c r="BH43" s="33" cm="1">
        <f t="array" ref="BH43">$G$14+VLOOKUP($Q43,武学奇术!$A:$ZZ,16,FALSE)+SUM(_xlfn.XLOOKUP(R43:AF43,增益!$A:$A,增益!$P:$P,0))</f>
        <v>0.24</v>
      </c>
      <c r="BI43" s="27">
        <f>MIN(IF(VLOOKUP($Q43,武学奇术!$A:$ZZ,23,FALSE)=1,100%,$B$8),100%)</f>
        <v>1</v>
      </c>
      <c r="BJ43" s="27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+MIN(IF(VLOOKUP($Q43,武学奇术!$A:$ZZ,32,FALSE)=1,IF(VLOOKUP($Q43,武学奇术!$A:$ZZ,24,FALSE)=1,100%,MIN(40%,$B$10+VLOOKUP($Q43,武学奇术!$A:$ZZ,19,FALSE)+SUM(_xlfn.XLOOKUP(R43:AF43,增益!$A:$A,增益!$S:$S,0)))+$B$12+SUM(_xlfn.XLOOKUP(R43:AF43,增益!$A:$A,增益!$V:$V,0))),0),12%)</f>
        <v>0.918</v>
      </c>
      <c r="BK43" s="27" cm="1">
        <f t="array" ref="BK43">1+$B$13+VLOOKUP($Q43,武学奇术!$A:$ZZ,18,FALSE)+SUM(_xlfn.XLOOKUP(R43:AF43,增益!$A:$A,增益!$R:$R,0))</f>
        <v>1.64</v>
      </c>
      <c r="BL43" s="27" cm="1">
        <f t="array" ref="BL43">MAX(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-IF(VLOOKUP($Q43,武学奇术!$A:$ZZ,32,FALSE)=1,12%,0),0)</f>
        <v>0.0895</v>
      </c>
      <c r="BM43" s="27" cm="1">
        <f t="array" ref="BM43">1+$B$14+VLOOKUP($Q43,武学奇术!$A:$ZZ,20,FALSE)+SUM(_xlfn.XLOOKUP(R43:AF43,增益!$A:$A,增益!$T:$T,0))</f>
        <v>1.35</v>
      </c>
      <c r="BN43" s="27">
        <f t="shared" si="9"/>
        <v>0.9105</v>
      </c>
      <c r="BO43" s="27">
        <f t="shared" si="10"/>
        <v>0</v>
      </c>
      <c r="BP43" s="27">
        <f>IF(VLOOKUP($Q43,武学奇术!$A:$ZZ,22,FALSE)=1,0,(1-$BI43))*(1-$BL43)</f>
        <v>0</v>
      </c>
      <c r="BQ43" s="27" cm="1">
        <f t="array" ref="BQ43">SUM(_xlfn.XLOOKUP(R43:AF43,增益!$A:$A,增益!$W:$W,0))+$I$5</f>
        <v>0.11</v>
      </c>
    </row>
    <row r="44" spans="1:69">
      <c r="A44" s="4"/>
      <c r="B44" s="4"/>
      <c r="K44" s="39">
        <f t="shared" si="0"/>
        <v>27693.9757858197</v>
      </c>
      <c r="L44" s="39">
        <f>((($AN44+($AO44-$AN44)*IF(VLOOKUP($Q44,武学奇术!$A:$ZZ,31,FALSE)=1,$F$18,0.5))*$AH44+$AI44)*(1+$AP44)*(1+$AQ44)+(($AS44+($AT44-$AS44)*IF(VLOOKUP($Q44,武学奇术!$A:$ZZ,31,FALSE)=1,$F$18,0.5))*IF($G$1="鸣金",$AJ44,$AH44)+IF($G$1="鸣金",$AK44*1.5,0))*(1+$AU44)*(1+$AV44)+(($AW44+($AX44-$AW44)*IF(VLOOKUP($Q44,武学奇术!$A:$ZZ,31,FALSE)=1,$F$18,0.5))*IF($G$1="裂石",$AJ44,$AH44)+IF($G$1="裂石",$AK44*1.5,0))*(1+$AY44)*(1+$AZ44)+(($BA44+($BB44-$BA44)*IF(VLOOKUP($Q44,武学奇术!$A:$ZZ,31,FALSE)=1,$F$18,0.5))*IF($G$1="牵丝",$AJ44,$AH44)+IF($G$1="牵丝",$AK44*1.5,0))*(1+$BC44)*(1+$BD44)+(($BE44+($BF44-$BE44)*IF(VLOOKUP($Q44,武学奇术!$A:$ZZ,31,FALSE)=1,$F$18,0.5))*IF($G$1="破竹",$AJ44,$AH44)+IF($G$1="破竹",$AK44*1.5,0))*(1+$BG44)*(1+$BH44))*(1+$AL44)*$BK44*$P44*(1+IF(VLOOKUP($Q44,武学奇术!$A:$ZZ,30,FALSE)="蓄力技",$B$21,0))*(1+$BQ44)</f>
        <v>27876.4529936211</v>
      </c>
      <c r="M44" s="39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25837.6015098064</v>
      </c>
      <c r="N44" s="39">
        <f>((($AN44+($AO44-$AN44)*IF(VLOOKUP($Q44,武学奇术!$A:$ZZ,31,FALSE)=1,$F$18,0.5))*$AH44+$AI44)*(1+$AP44)*(1+$AQ44)+(($AS44+($AT44-$AS44)*IF(VLOOKUP($Q44,武学奇术!$A:$ZZ,31,FALSE)=1,$F$18,0.5))*IF($G$1="鸣金",$AJ44,$AH44)+IF($G$1="鸣金",$AK44*1.5,0))*(1+$AU44)*(1+$AV44)+(($AW44+($AX44-$AW44)*IF(VLOOKUP($Q44,武学奇术!$A:$ZZ,31,FALSE)=1,$F$18,0.5))*IF($G$1="裂石",$AJ44,$AH44)+IF($G$1="裂石",$AK44*1.5,0))*(1+$AY44)*(1+$AZ44)+(($BA44+($BB44-$BA44)*IF(VLOOKUP($Q44,武学奇术!$A:$ZZ,31,FALSE)=1,$F$18,0.5))*IF($G$1="牵丝",$AJ44,$AH44)+IF($G$1="牵丝",$AK44*1.5,0))*(1+$BC44)*(1+$BD44)+(($BE44+($BF44-$BE44)*IF(VLOOKUP($Q44,武学奇术!$A:$ZZ,31,FALSE)=1,$F$18,0.5))*IF($G$1="破竹",$AJ44,$AH44)+IF($G$1="破竹",$AK44*1.5,0))*(1+$BG44)*(1+$BH44))*(1+$AL44)*$P44*(1+IF(VLOOKUP($Q44,武学奇术!$A:$ZZ,30,FALSE)="蓄力技",$B$21,0))*(1+$BQ44)</f>
        <v>16997.8371912324</v>
      </c>
      <c r="O44" s="39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14856.7103011267</v>
      </c>
      <c r="P44" s="40">
        <v>1</v>
      </c>
      <c r="Q44" s="41" t="s">
        <v>106</v>
      </c>
      <c r="R44" s="41" t="s">
        <v>93</v>
      </c>
      <c r="S44" s="41" t="s">
        <v>72</v>
      </c>
      <c r="T44" s="41" t="s">
        <v>119</v>
      </c>
      <c r="U44" s="41" t="s">
        <v>72</v>
      </c>
      <c r="V44" s="41" t="s">
        <v>72</v>
      </c>
      <c r="W44" s="41" t="s">
        <v>72</v>
      </c>
      <c r="X44" s="41" t="s">
        <v>165</v>
      </c>
      <c r="Y44" s="41" t="s">
        <v>81</v>
      </c>
      <c r="Z44" s="41" t="s">
        <v>72</v>
      </c>
      <c r="AA44" s="41" t="s">
        <v>72</v>
      </c>
      <c r="AB44" s="41" t="s">
        <v>72</v>
      </c>
      <c r="AC44" s="41" t="s">
        <v>72</v>
      </c>
      <c r="AD44" s="41" t="s">
        <v>72</v>
      </c>
      <c r="AE44" s="41" t="s">
        <v>75</v>
      </c>
      <c r="AF44" s="41" t="s">
        <v>76</v>
      </c>
      <c r="AG44" t="str">
        <f>VLOOKUP($Q44,武学奇术!$A:$ZZ,25,FALSE)</f>
        <v>拳甲</v>
      </c>
      <c r="AH44" s="27">
        <f>VLOOKUP($Q44,武学奇术!$A:$ZZ,26,FALSE)</f>
        <v>1.2876</v>
      </c>
      <c r="AI44" s="28">
        <f>VLOOKUP($Q44,武学奇术!$A:$ZZ,27,FALSE)*(1+IF(OR($AG44=$F$4,$AG44=$F$5),$B$22,0))</f>
        <v>501.2</v>
      </c>
      <c r="AJ44" s="27">
        <f>VLOOKUP($Q44,武学奇术!$A:$ZZ,28,FALSE)</f>
        <v>1.9313</v>
      </c>
      <c r="AK44" s="28">
        <f>VLOOKUP($Q44,武学奇术!$A:$ZZ,29,FALSE)*(1+IF(OR($AG44=$F$4,$AG44=$F$5),$B$22,0))</f>
        <v>273</v>
      </c>
      <c r="AL44" s="27" cm="1">
        <f t="array" ref="AL44">$G$3+IFERROR(VLOOKUP($AG44,$F$4:$G$7,2,FALSE),0)+VLOOKUP($Q44,武学奇术!$A:$ZZ,2,FALSE)+SUM(_xlfn.XLOOKUP($R44:$AF44,增益!$A:$A,增益!$B:$B,0))</f>
        <v>0.4741</v>
      </c>
      <c r="AM44" s="27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3742.006</v>
      </c>
      <c r="AO44" cm="1">
        <f t="array" ref="AO44">$E$10*(1+$AM44)+VLOOKUP($Q44,武学奇术!$A:$ZZ,4,FALSE)+SUM(_xlfn.XLOOKUP($R44:$AF44,增益!$A:$A,增益!$D:$D,0))-$I$2</f>
        <v>3742.006</v>
      </c>
      <c r="AP44" s="33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0.217</v>
      </c>
      <c r="AQ44" s="33" cm="1">
        <f t="array" ref="AQ44">$G$10+VLOOKUP($Q44,武学奇术!$A:$ZZ,7,FALSE)+SUM(_xlfn.XLOOKUP(R44:AF44,增益!$A:$A,增益!$G:$G,0))</f>
        <v>0.09</v>
      </c>
      <c r="AR44" s="27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3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-0.14</v>
      </c>
      <c r="AV44" s="33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3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-0.14</v>
      </c>
      <c r="AZ44" s="33" cm="1">
        <f t="array" ref="AZ44">$G$12+VLOOKUP($Q44,武学奇术!$A:$ZZ,12,FALSE)+SUM(_xlfn.XLOOKUP(R44:AF44,增益!$A:$A,增益!$L:$L,0))</f>
        <v>0</v>
      </c>
      <c r="BA44">
        <f t="shared" si="5"/>
        <v>0</v>
      </c>
      <c r="BB44">
        <f t="shared" si="6"/>
        <v>0</v>
      </c>
      <c r="BC44" s="33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-0.14</v>
      </c>
      <c r="BD44" s="33" cm="1">
        <f t="array" ref="BD44">$G$13+VLOOKUP($Q44,武学奇术!$A:$ZZ,14,FALSE)+SUM(_xlfn.XLOOKUP(R44:AF44,增益!$A:$A,增益!$N:$N,0))</f>
        <v>0</v>
      </c>
      <c r="BE44">
        <f t="shared" si="7"/>
        <v>570.28</v>
      </c>
      <c r="BF44">
        <f t="shared" si="8"/>
        <v>1582.156</v>
      </c>
      <c r="BG44" s="33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0.08</v>
      </c>
      <c r="BH44" s="33" cm="1">
        <f t="array" ref="BH44">$G$14+VLOOKUP($Q44,武学奇术!$A:$ZZ,16,FALSE)+SUM(_xlfn.XLOOKUP(R44:AF44,增益!$A:$A,增益!$P:$P,0))</f>
        <v>0.24</v>
      </c>
      <c r="BI44" s="27">
        <f>MIN(IF(VLOOKUP($Q44,武学奇术!$A:$ZZ,23,FALSE)=1,100%,$B$8),100%)</f>
        <v>1</v>
      </c>
      <c r="BJ44" s="27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+MIN(IF(VLOOKUP($Q44,武学奇术!$A:$ZZ,32,FALSE)=1,IF(VLOOKUP($Q44,武学奇术!$A:$ZZ,24,FALSE)=1,100%,MIN(40%,$B$10+VLOOKUP($Q44,武学奇术!$A:$ZZ,19,FALSE)+SUM(_xlfn.XLOOKUP(R44:AF44,增益!$A:$A,增益!$S:$S,0)))+$B$12+SUM(_xlfn.XLOOKUP(R44:AF44,增益!$A:$A,增益!$V:$V,0))),0),12%)</f>
        <v>0.918</v>
      </c>
      <c r="BK44" s="27" cm="1">
        <f t="array" ref="BK44">1+$B$13+VLOOKUP($Q44,武学奇术!$A:$ZZ,18,FALSE)+SUM(_xlfn.XLOOKUP(R44:AF44,增益!$A:$A,增益!$R:$R,0))</f>
        <v>1.64</v>
      </c>
      <c r="BL44" s="27" cm="1">
        <f t="array" ref="BL44">MAX(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-IF(VLOOKUP($Q44,武学奇术!$A:$ZZ,32,FALSE)=1,12%,0),0)</f>
        <v>0.0895</v>
      </c>
      <c r="BM44" s="27" cm="1">
        <f t="array" ref="BM44">1+$B$14+VLOOKUP($Q44,武学奇术!$A:$ZZ,20,FALSE)+SUM(_xlfn.XLOOKUP(R44:AF44,增益!$A:$A,增益!$T:$T,0))</f>
        <v>1.35</v>
      </c>
      <c r="BN44" s="27">
        <f t="shared" si="9"/>
        <v>0.9105</v>
      </c>
      <c r="BO44" s="27">
        <f t="shared" si="10"/>
        <v>0</v>
      </c>
      <c r="BP44" s="27">
        <f>IF(VLOOKUP($Q44,武学奇术!$A:$ZZ,22,FALSE)=1,0,(1-$BI44))*(1-$BL44)</f>
        <v>0</v>
      </c>
      <c r="BQ44" s="27" cm="1">
        <f t="array" ref="BQ44">SUM(_xlfn.XLOOKUP(R44:AF44,增益!$A:$A,增益!$W:$W,0))+$I$5</f>
        <v>0.11</v>
      </c>
    </row>
    <row r="45" spans="1:69">
      <c r="A45" s="4"/>
      <c r="B45" s="4"/>
      <c r="K45" s="39">
        <f t="shared" si="0"/>
        <v>63964.7863122382</v>
      </c>
      <c r="L45" s="39">
        <f>((($AN45+($AO45-$AN45)*IF(VLOOKUP($Q45,武学奇术!$A:$ZZ,31,FALSE)=1,$F$18,0.5))*$AH45+$AI45)*(1+$AP45)*(1+$AQ45)+(($AS45+($AT45-$AS45)*IF(VLOOKUP($Q45,武学奇术!$A:$ZZ,31,FALSE)=1,$F$18,0.5))*IF($G$1="鸣金",$AJ45,$AH45)+IF($G$1="鸣金",$AK45*1.5,0))*(1+$AU45)*(1+$AV45)+(($AW45+($AX45-$AW45)*IF(VLOOKUP($Q45,武学奇术!$A:$ZZ,31,FALSE)=1,$F$18,0.5))*IF($G$1="裂石",$AJ45,$AH45)+IF($G$1="裂石",$AK45*1.5,0))*(1+$AY45)*(1+$AZ45)+(($BA45+($BB45-$BA45)*IF(VLOOKUP($Q45,武学奇术!$A:$ZZ,31,FALSE)=1,$F$18,0.5))*IF($G$1="牵丝",$AJ45,$AH45)+IF($G$1="牵丝",$AK45*1.5,0))*(1+$BC45)*(1+$BD45)+(($BE45+($BF45-$BE45)*IF(VLOOKUP($Q45,武学奇术!$A:$ZZ,31,FALSE)=1,$F$18,0.5))*IF($G$1="破竹",$AJ45,$AH45)+IF($G$1="破竹",$AK45*1.5,0))*(1+$BG45)*(1+$BH45))*(1+$AL45)*$BK45*$P45*(1+IF(VLOOKUP($Q45,武学奇术!$A:$ZZ,30,FALSE)="蓄力技",$B$21,0))*(1+$BQ45)</f>
        <v>65158.3092591386</v>
      </c>
      <c r="M45" s="39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51822.8573384632</v>
      </c>
      <c r="N45" s="39">
        <f>((($AN45+($AO45-$AN45)*IF(VLOOKUP($Q45,武学奇术!$A:$ZZ,31,FALSE)=1,$F$18,0.5))*$AH45+$AI45)*(1+$AP45)*(1+$AQ45)+(($AS45+($AT45-$AS45)*IF(VLOOKUP($Q45,武学奇术!$A:$ZZ,31,FALSE)=1,$F$18,0.5))*IF($G$1="鸣金",$AJ45,$AH45)+IF($G$1="鸣金",$AK45*1.5,0))*(1+$AU45)*(1+$AV45)+(($AW45+($AX45-$AW45)*IF(VLOOKUP($Q45,武学奇术!$A:$ZZ,31,FALSE)=1,$F$18,0.5))*IF($G$1="裂石",$AJ45,$AH45)+IF($G$1="裂石",$AK45*1.5,0))*(1+$AY45)*(1+$AZ45)+(($BA45+($BB45-$BA45)*IF(VLOOKUP($Q45,武学奇术!$A:$ZZ,31,FALSE)=1,$F$18,0.5))*IF($G$1="牵丝",$AJ45,$AH45)+IF($G$1="牵丝",$AK45*1.5,0))*(1+$BC45)*(1+$BD45)+(($BE45+($BF45-$BE45)*IF(VLOOKUP($Q45,武学奇术!$A:$ZZ,31,FALSE)=1,$F$18,0.5))*IF($G$1="破竹",$AJ45,$AH45)+IF($G$1="破竹",$AK45*1.5,0))*(1+$BG45)*(1+$BH45))*(1+$AL45)*$P45*(1+IF(VLOOKUP($Q45,武学奇术!$A:$ZZ,30,FALSE)="蓄力技",$B$21,0))*(1+$BQ45)</f>
        <v>33586.7573500714</v>
      </c>
      <c r="O45" s="39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28786.2129679479</v>
      </c>
      <c r="P45" s="40">
        <v>1</v>
      </c>
      <c r="Q45" s="41" t="s">
        <v>108</v>
      </c>
      <c r="R45" s="41" t="s">
        <v>93</v>
      </c>
      <c r="S45" s="41" t="s">
        <v>72</v>
      </c>
      <c r="T45" s="41" t="s">
        <v>119</v>
      </c>
      <c r="U45" s="41" t="s">
        <v>72</v>
      </c>
      <c r="V45" s="41" t="s">
        <v>72</v>
      </c>
      <c r="W45" s="41" t="s">
        <v>72</v>
      </c>
      <c r="X45" s="41" t="s">
        <v>165</v>
      </c>
      <c r="Y45" s="41" t="s">
        <v>81</v>
      </c>
      <c r="Z45" s="41" t="s">
        <v>101</v>
      </c>
      <c r="AA45" s="41" t="s">
        <v>72</v>
      </c>
      <c r="AB45" s="41" t="s">
        <v>72</v>
      </c>
      <c r="AC45" s="41" t="s">
        <v>72</v>
      </c>
      <c r="AD45" s="41" t="s">
        <v>72</v>
      </c>
      <c r="AE45" s="41" t="s">
        <v>75</v>
      </c>
      <c r="AF45" s="41" t="s">
        <v>76</v>
      </c>
      <c r="AG45" t="str">
        <f>VLOOKUP($Q45,武学奇术!$A:$ZZ,25,FALSE)</f>
        <v>拳甲</v>
      </c>
      <c r="AH45" s="27">
        <f>VLOOKUP($Q45,武学奇术!$A:$ZZ,26,FALSE)</f>
        <v>2.33376</v>
      </c>
      <c r="AI45" s="28">
        <f>VLOOKUP($Q45,武学奇术!$A:$ZZ,27,FALSE)*(1+IF(OR($AG45=$F$4,$AG45=$F$5),$B$22,0))</f>
        <v>0</v>
      </c>
      <c r="AJ45" s="27">
        <f>VLOOKUP($Q45,武学奇术!$A:$ZZ,28,FALSE)</f>
        <v>3.50064</v>
      </c>
      <c r="AK45" s="28">
        <f>VLOOKUP($Q45,武学奇术!$A:$ZZ,29,FALSE)*(1+IF(OR($AG45=$F$4,$AG45=$F$5),$B$22,0))</f>
        <v>0</v>
      </c>
      <c r="AL45" s="27" cm="1">
        <f t="array" ref="AL45">$G$3+IFERROR(VLOOKUP($AG45,$F$4:$G$7,2,FALSE),0)+VLOOKUP($Q45,武学奇术!$A:$ZZ,2,FALSE)+SUM(_xlfn.XLOOKUP($R45:$AF45,增益!$A:$A,增益!$B:$B,0))</f>
        <v>0.7741</v>
      </c>
      <c r="AM45" s="27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3742.006</v>
      </c>
      <c r="AO45" cm="1">
        <f t="array" ref="AO45">$E$10*(1+$AM45)+VLOOKUP($Q45,武学奇术!$A:$ZZ,4,FALSE)+SUM(_xlfn.XLOOKUP($R45:$AF45,增益!$A:$A,增益!$D:$D,0))-$I$2</f>
        <v>3742.006</v>
      </c>
      <c r="AP45" s="33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0.247</v>
      </c>
      <c r="AQ45" s="33" cm="1">
        <f t="array" ref="AQ45">$G$10+VLOOKUP($Q45,武学奇术!$A:$ZZ,7,FALSE)+SUM(_xlfn.XLOOKUP(R45:AF45,增益!$A:$A,增益!$G:$G,0))</f>
        <v>0.09</v>
      </c>
      <c r="AR45" s="27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3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-0.08</v>
      </c>
      <c r="AV45" s="33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3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-0.08</v>
      </c>
      <c r="AZ45" s="33" cm="1">
        <f t="array" ref="AZ45">$G$12+VLOOKUP($Q45,武学奇术!$A:$ZZ,12,FALSE)+SUM(_xlfn.XLOOKUP(R45:AF45,增益!$A:$A,增益!$L:$L,0))</f>
        <v>0</v>
      </c>
      <c r="BA45">
        <f t="shared" si="5"/>
        <v>0</v>
      </c>
      <c r="BB45">
        <f t="shared" si="6"/>
        <v>0</v>
      </c>
      <c r="BC45" s="33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-0.08</v>
      </c>
      <c r="BD45" s="33" cm="1">
        <f t="array" ref="BD45">$G$13+VLOOKUP($Q45,武学奇术!$A:$ZZ,14,FALSE)+SUM(_xlfn.XLOOKUP(R45:AF45,增益!$A:$A,增益!$N:$N,0))</f>
        <v>0</v>
      </c>
      <c r="BE45">
        <f t="shared" si="7"/>
        <v>570.28</v>
      </c>
      <c r="BF45">
        <f t="shared" si="8"/>
        <v>1582.156</v>
      </c>
      <c r="BG45" s="33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0.11</v>
      </c>
      <c r="BH45" s="33" cm="1">
        <f t="array" ref="BH45">$G$14+VLOOKUP($Q45,武学奇术!$A:$ZZ,16,FALSE)+SUM(_xlfn.XLOOKUP(R45:AF45,增益!$A:$A,增益!$P:$P,0))</f>
        <v>0.24</v>
      </c>
      <c r="BI45" s="27">
        <f>MIN(IF(VLOOKUP($Q45,武学奇术!$A:$ZZ,23,FALSE)=1,100%,$B$8),100%)</f>
        <v>1</v>
      </c>
      <c r="BJ45" s="27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+MIN(IF(VLOOKUP($Q45,武学奇术!$A:$ZZ,32,FALSE)=1,IF(VLOOKUP($Q45,武学奇术!$A:$ZZ,24,FALSE)=1,100%,MIN(40%,$B$10+VLOOKUP($Q45,武学奇术!$A:$ZZ,19,FALSE)+SUM(_xlfn.XLOOKUP(R45:AF45,增益!$A:$A,增益!$S:$S,0)))+$B$12+SUM(_xlfn.XLOOKUP(R45:AF45,增益!$A:$A,增益!$V:$V,0))),0),12%)</f>
        <v>0.918</v>
      </c>
      <c r="BK45" s="27" cm="1">
        <f t="array" ref="BK45">1+$B$13+VLOOKUP($Q45,武学奇术!$A:$ZZ,18,FALSE)+SUM(_xlfn.XLOOKUP(R45:AF45,增益!$A:$A,增益!$R:$R,0))</f>
        <v>1.94</v>
      </c>
      <c r="BL45" s="27" cm="1">
        <f t="array" ref="BL45">MAX(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-IF(VLOOKUP($Q45,武学奇术!$A:$ZZ,32,FALSE)=1,12%,0),0)</f>
        <v>0.0895</v>
      </c>
      <c r="BM45" s="27" cm="1">
        <f t="array" ref="BM45">1+$B$14+VLOOKUP($Q45,武学奇术!$A:$ZZ,20,FALSE)+SUM(_xlfn.XLOOKUP(R45:AF45,增益!$A:$A,增益!$T:$T,0))</f>
        <v>1.35</v>
      </c>
      <c r="BN45" s="27">
        <f t="shared" si="9"/>
        <v>0.9105</v>
      </c>
      <c r="BO45" s="27">
        <f t="shared" si="10"/>
        <v>0</v>
      </c>
      <c r="BP45" s="27">
        <f>IF(VLOOKUP($Q45,武学奇术!$A:$ZZ,22,FALSE)=1,0,(1-$BI45))*(1-$BL45)</f>
        <v>0</v>
      </c>
      <c r="BQ45" s="27" cm="1">
        <f t="array" ref="BQ45">SUM(_xlfn.XLOOKUP(R45:AF45,增益!$A:$A,增益!$W:$W,0))+$I$5</f>
        <v>0.11</v>
      </c>
    </row>
    <row r="46" spans="1:69">
      <c r="A46" s="4"/>
      <c r="B46" s="91"/>
      <c r="F46" s="4"/>
      <c r="G46" s="91"/>
      <c r="K46" s="39">
        <f t="shared" si="0"/>
        <v>21245.926931846</v>
      </c>
      <c r="L46" s="39">
        <f>((($AN46+($AO46-$AN46)*IF(VLOOKUP($Q46,武学奇术!$A:$ZZ,31,FALSE)=1,$F$18,0.5))*$AH46+$AI46)*(1+$AP46)*(1+$AQ46)+(($AS46+($AT46-$AS46)*IF(VLOOKUP($Q46,武学奇术!$A:$ZZ,31,FALSE)=1,$F$18,0.5))*IF($G$1="鸣金",$AJ46,$AH46)+IF($G$1="鸣金",$AK46*1.5,0))*(1+$AU46)*(1+$AV46)+(($AW46+($AX46-$AW46)*IF(VLOOKUP($Q46,武学奇术!$A:$ZZ,31,FALSE)=1,$F$18,0.5))*IF($G$1="裂石",$AJ46,$AH46)+IF($G$1="裂石",$AK46*1.5,0))*(1+$AY46)*(1+$AZ46)+(($BA46+($BB46-$BA46)*IF(VLOOKUP($Q46,武学奇术!$A:$ZZ,31,FALSE)=1,$F$18,0.5))*IF($G$1="牵丝",$AJ46,$AH46)+IF($G$1="牵丝",$AK46*1.5,0))*(1+$BC46)*(1+$BD46)+(($BE46+($BF46-$BE46)*IF(VLOOKUP($Q46,武学奇术!$A:$ZZ,31,FALSE)=1,$F$18,0.5))*IF($G$1="破竹",$AJ46,$AH46)+IF($G$1="破竹",$AK46*1.5,0))*(1+$BG46)*(1+$BH46))*(1+$AL46)*$BK46*$P46*(1+IF(VLOOKUP($Q46,武学奇术!$A:$ZZ,30,FALSE)="蓄力技",$B$21,0))*(1+$BQ46)</f>
        <v>21385.7680590729</v>
      </c>
      <c r="M46" s="39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19823.2973638005</v>
      </c>
      <c r="N46" s="39">
        <f>((($AN46+($AO46-$AN46)*IF(VLOOKUP($Q46,武学奇术!$A:$ZZ,31,FALSE)=1,$F$18,0.5))*$AH46+$AI46)*(1+$AP46)*(1+$AQ46)+(($AS46+($AT46-$AS46)*IF(VLOOKUP($Q46,武学奇术!$A:$ZZ,31,FALSE)=1,$F$18,0.5))*IF($G$1="鸣金",$AJ46,$AH46)+IF($G$1="鸣金",$AK46*1.5,0))*(1+$AU46)*(1+$AV46)+(($AW46+($AX46-$AW46)*IF(VLOOKUP($Q46,武学奇术!$A:$ZZ,31,FALSE)=1,$F$18,0.5))*IF($G$1="裂石",$AJ46,$AH46)+IF($G$1="裂石",$AK46*1.5,0))*(1+$AY46)*(1+$AZ46)+(($BA46+($BB46-$BA46)*IF(VLOOKUP($Q46,武学奇术!$A:$ZZ,31,FALSE)=1,$F$18,0.5))*IF($G$1="牵丝",$AJ46,$AH46)+IF($G$1="牵丝",$AK46*1.5,0))*(1+$BC46)*(1+$BD46)+(($BE46+($BF46-$BE46)*IF(VLOOKUP($Q46,武学奇术!$A:$ZZ,31,FALSE)=1,$F$18,0.5))*IF($G$1="破竹",$AJ46,$AH46)+IF($G$1="破竹",$AK46*1.5,0))*(1+$BG46)*(1+$BH46))*(1+$AL46)*$P46*(1+IF(VLOOKUP($Q46,武学奇术!$A:$ZZ,30,FALSE)="蓄力技",$B$21,0))*(1+$BQ46)</f>
        <v>13040.1024750445</v>
      </c>
      <c r="O46" s="39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11396.2809769034</v>
      </c>
      <c r="P46" s="40">
        <v>1</v>
      </c>
      <c r="Q46" s="41" t="s">
        <v>140</v>
      </c>
      <c r="R46" s="41" t="s">
        <v>93</v>
      </c>
      <c r="S46" s="41" t="s">
        <v>72</v>
      </c>
      <c r="T46" s="41" t="s">
        <v>72</v>
      </c>
      <c r="U46" s="41" t="s">
        <v>72</v>
      </c>
      <c r="V46" s="41" t="s">
        <v>72</v>
      </c>
      <c r="W46" s="41" t="s">
        <v>72</v>
      </c>
      <c r="X46" s="41" t="s">
        <v>165</v>
      </c>
      <c r="Y46" s="41" t="s">
        <v>81</v>
      </c>
      <c r="Z46" s="41" t="s">
        <v>72</v>
      </c>
      <c r="AA46" s="41" t="s">
        <v>72</v>
      </c>
      <c r="AB46" s="41" t="s">
        <v>72</v>
      </c>
      <c r="AC46" s="41" t="s">
        <v>72</v>
      </c>
      <c r="AD46" s="41" t="s">
        <v>72</v>
      </c>
      <c r="AE46" s="41" t="s">
        <v>75</v>
      </c>
      <c r="AF46" s="41" t="s">
        <v>76</v>
      </c>
      <c r="AG46" t="str">
        <f>VLOOKUP($Q46,武学奇术!$A:$ZZ,25,FALSE)</f>
        <v>拳甲</v>
      </c>
      <c r="AH46" s="27">
        <f>VLOOKUP($Q46,武学奇术!$A:$ZZ,26,FALSE)</f>
        <v>1.1005</v>
      </c>
      <c r="AI46" s="28">
        <f>VLOOKUP($Q46,武学奇术!$A:$ZZ,27,FALSE)*(1+IF(OR($AG46=$F$4,$AG46=$F$5),$B$22,0))</f>
        <v>427</v>
      </c>
      <c r="AJ46" s="27">
        <f>VLOOKUP($Q46,武学奇术!$A:$ZZ,28,FALSE)</f>
        <v>1.6507</v>
      </c>
      <c r="AK46" s="28">
        <f>VLOOKUP($Q46,武学奇术!$A:$ZZ,29,FALSE)*(1+IF(OR($AG46=$F$4,$AG46=$F$5),$B$22,0))</f>
        <v>231</v>
      </c>
      <c r="AL46" s="27" cm="1">
        <f t="array" ref="AL46">$G$3+IFERROR(VLOOKUP($AG46,$F$4:$G$7,2,FALSE),0)+VLOOKUP($Q46,武学奇术!$A:$ZZ,2,FALSE)+SUM(_xlfn.XLOOKUP($R46:$AF46,增益!$A:$A,增益!$B:$B,0))</f>
        <v>0.3241</v>
      </c>
      <c r="AM46" s="27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3742.006</v>
      </c>
      <c r="AO46" cm="1">
        <f t="array" ref="AO46">$E$10*(1+$AM46)+VLOOKUP($Q46,武学奇术!$A:$ZZ,4,FALSE)+SUM(_xlfn.XLOOKUP($R46:$AF46,增益!$A:$A,增益!$D:$D,0))-$I$2</f>
        <v>3742.006</v>
      </c>
      <c r="AP46" s="33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0.217</v>
      </c>
      <c r="AQ46" s="33" cm="1">
        <f t="array" ref="AQ46">$G$10+VLOOKUP($Q46,武学奇术!$A:$ZZ,7,FALSE)+SUM(_xlfn.XLOOKUP(R46:AF46,增益!$A:$A,增益!$G:$G,0))</f>
        <v>0.09</v>
      </c>
      <c r="AR46" s="27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3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-0.14</v>
      </c>
      <c r="AV46" s="33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3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-0.14</v>
      </c>
      <c r="AZ46" s="33" cm="1">
        <f t="array" ref="AZ46">$G$12+VLOOKUP($Q46,武学奇术!$A:$ZZ,12,FALSE)+SUM(_xlfn.XLOOKUP(R46:AF46,增益!$A:$A,增益!$L:$L,0))</f>
        <v>0</v>
      </c>
      <c r="BA46">
        <f t="shared" si="5"/>
        <v>0</v>
      </c>
      <c r="BB46">
        <f t="shared" si="6"/>
        <v>0</v>
      </c>
      <c r="BC46" s="33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-0.14</v>
      </c>
      <c r="BD46" s="33" cm="1">
        <f t="array" ref="BD46">$G$13+VLOOKUP($Q46,武学奇术!$A:$ZZ,14,FALSE)+SUM(_xlfn.XLOOKUP(R46:AF46,增益!$A:$A,增益!$N:$N,0))</f>
        <v>0</v>
      </c>
      <c r="BE46">
        <f t="shared" si="7"/>
        <v>570.28</v>
      </c>
      <c r="BF46">
        <f t="shared" si="8"/>
        <v>1582.156</v>
      </c>
      <c r="BG46" s="33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0.08</v>
      </c>
      <c r="BH46" s="33" cm="1">
        <f t="array" ref="BH46">$G$14+VLOOKUP($Q46,武学奇术!$A:$ZZ,16,FALSE)+SUM(_xlfn.XLOOKUP(R46:AF46,增益!$A:$A,增益!$P:$P,0))</f>
        <v>0.24</v>
      </c>
      <c r="BI46" s="27">
        <f>MIN(IF(VLOOKUP($Q46,武学奇术!$A:$ZZ,23,FALSE)=1,100%,$B$8),100%)</f>
        <v>1</v>
      </c>
      <c r="BJ46" s="27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+MIN(IF(VLOOKUP($Q46,武学奇术!$A:$ZZ,32,FALSE)=1,IF(VLOOKUP($Q46,武学奇术!$A:$ZZ,24,FALSE)=1,100%,MIN(40%,$B$10+VLOOKUP($Q46,武学奇术!$A:$ZZ,19,FALSE)+SUM(_xlfn.XLOOKUP(R46:AF46,增益!$A:$A,增益!$S:$S,0)))+$B$12+SUM(_xlfn.XLOOKUP(R46:AF46,增益!$A:$A,增益!$V:$V,0))),0),12%)</f>
        <v>0.918</v>
      </c>
      <c r="BK46" s="27" cm="1">
        <f t="array" ref="BK46">1+$B$13+VLOOKUP($Q46,武学奇术!$A:$ZZ,18,FALSE)+SUM(_xlfn.XLOOKUP(R46:AF46,增益!$A:$A,增益!$R:$R,0))</f>
        <v>1.64</v>
      </c>
      <c r="BL46" s="27" cm="1">
        <f t="array" ref="BL46">MAX(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-IF(VLOOKUP($Q46,武学奇术!$A:$ZZ,32,FALSE)=1,12%,0),0)</f>
        <v>0.0895</v>
      </c>
      <c r="BM46" s="27" cm="1">
        <f t="array" ref="BM46">1+$B$14+VLOOKUP($Q46,武学奇术!$A:$ZZ,20,FALSE)+SUM(_xlfn.XLOOKUP(R46:AF46,增益!$A:$A,增益!$T:$T,0))</f>
        <v>1.35</v>
      </c>
      <c r="BN46" s="27">
        <f t="shared" si="9"/>
        <v>0.9105</v>
      </c>
      <c r="BO46" s="27">
        <f t="shared" si="10"/>
        <v>0</v>
      </c>
      <c r="BP46" s="27">
        <f>IF(VLOOKUP($Q46,武学奇术!$A:$ZZ,22,FALSE)=1,0,(1-$BI46))*(1-$BL46)</f>
        <v>0</v>
      </c>
      <c r="BQ46" s="27" cm="1">
        <f t="array" ref="BQ46">SUM(_xlfn.XLOOKUP(R46:AF46,增益!$A:$A,增益!$W:$W,0))+$I$5</f>
        <v>0.11</v>
      </c>
    </row>
    <row r="47" spans="1:69">
      <c r="K47" s="39">
        <f t="shared" si="0"/>
        <v>77985.2875311823</v>
      </c>
      <c r="L47" s="39">
        <f>((($AN47+($AO47-$AN47)*IF(VLOOKUP($Q47,武学奇术!$A:$ZZ,31,FALSE)=1,$F$18,0.5))*$AH47+$AI47)*(1+$AP47)*(1+$AQ47)+(($AS47+($AT47-$AS47)*IF(VLOOKUP($Q47,武学奇术!$A:$ZZ,31,FALSE)=1,$F$18,0.5))*IF($G$1="鸣金",$AJ47,$AH47)+IF($G$1="鸣金",$AK47*1.5,0))*(1+$AU47)*(1+$AV47)+(($AW47+($AX47-$AW47)*IF(VLOOKUP($Q47,武学奇术!$A:$ZZ,31,FALSE)=1,$F$18,0.5))*IF($G$1="裂石",$AJ47,$AH47)+IF($G$1="裂石",$AK47*1.5,0))*(1+$AY47)*(1+$AZ47)+(($BA47+($BB47-$BA47)*IF(VLOOKUP($Q47,武学奇术!$A:$ZZ,31,FALSE)=1,$F$18,0.5))*IF($G$1="牵丝",$AJ47,$AH47)+IF($G$1="牵丝",$AK47*1.5,0))*(1+$BC47)*(1+$BD47)+(($BE47+($BF47-$BE47)*IF(VLOOKUP($Q47,武学奇术!$A:$ZZ,31,FALSE)=1,$F$18,0.5))*IF($G$1="破竹",$AJ47,$AH47)+IF($G$1="破竹",$AK47*1.5,0))*(1+$BG47)*(1+$BH47))*(1+$AL47)*$BK47*$P47*(1+IF(VLOOKUP($Q47,武学奇术!$A:$ZZ,30,FALSE)="蓄力技",$B$21,0))*(1+$BQ47)</f>
        <v>79523.742451491</v>
      </c>
      <c r="M47" s="39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62334.3020011141</v>
      </c>
      <c r="N47" s="39">
        <f>((($AN47+($AO47-$AN47)*IF(VLOOKUP($Q47,武学奇术!$A:$ZZ,31,FALSE)=1,$F$18,0.5))*$AH47+$AI47)*(1+$AP47)*(1+$AQ47)+(($AS47+($AT47-$AS47)*IF(VLOOKUP($Q47,武学奇术!$A:$ZZ,31,FALSE)=1,$F$18,0.5))*IF($G$1="鸣金",$AJ47,$AH47)+IF($G$1="鸣金",$AK47*1.5,0))*(1+$AU47)*(1+$AV47)+(($AW47+($AX47-$AW47)*IF(VLOOKUP($Q47,武学奇术!$A:$ZZ,31,FALSE)=1,$F$18,0.5))*IF($G$1="裂石",$AJ47,$AH47)+IF($G$1="裂石",$AK47*1.5,0))*(1+$AY47)*(1+$AZ47)+(($BA47+($BB47-$BA47)*IF(VLOOKUP($Q47,武学奇术!$A:$ZZ,31,FALSE)=1,$F$18,0.5))*IF($G$1="牵丝",$AJ47,$AH47)+IF($G$1="牵丝",$AK47*1.5,0))*(1+$BC47)*(1+$BD47)+(($BE47+($BF47-$BE47)*IF(VLOOKUP($Q47,武学奇术!$A:$ZZ,31,FALSE)=1,$F$18,0.5))*IF($G$1="破竹",$AJ47,$AH47)+IF($G$1="破竹",$AK47*1.5,0))*(1+$BG47)*(1+$BH47))*(1+$AL47)*$P47*(1+IF(VLOOKUP($Q47,武学奇术!$A:$ZZ,30,FALSE)="蓄力技",$B$21,0))*(1+$BQ47)</f>
        <v>40991.6198203562</v>
      </c>
      <c r="O47" s="39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35809.6826028501</v>
      </c>
      <c r="P47" s="40">
        <v>1</v>
      </c>
      <c r="Q47" s="41" t="s">
        <v>103</v>
      </c>
      <c r="R47" s="41" t="s">
        <v>93</v>
      </c>
      <c r="S47" s="41" t="s">
        <v>72</v>
      </c>
      <c r="T47" s="41" t="s">
        <v>72</v>
      </c>
      <c r="U47" s="41" t="s">
        <v>72</v>
      </c>
      <c r="V47" s="41" t="s">
        <v>72</v>
      </c>
      <c r="W47" s="41" t="s">
        <v>72</v>
      </c>
      <c r="X47" s="41" t="s">
        <v>165</v>
      </c>
      <c r="Y47" s="41" t="s">
        <v>81</v>
      </c>
      <c r="Z47" s="41" t="s">
        <v>101</v>
      </c>
      <c r="AA47" s="41" t="s">
        <v>72</v>
      </c>
      <c r="AB47" s="41" t="s">
        <v>72</v>
      </c>
      <c r="AC47" s="41" t="s">
        <v>72</v>
      </c>
      <c r="AD47" s="41" t="s">
        <v>72</v>
      </c>
      <c r="AE47" s="41" t="s">
        <v>75</v>
      </c>
      <c r="AF47" s="41" t="s">
        <v>76</v>
      </c>
      <c r="AG47" t="str">
        <f>VLOOKUP($Q47,武学奇术!$A:$ZZ,25,FALSE)</f>
        <v>拳甲</v>
      </c>
      <c r="AH47" s="27">
        <f>VLOOKUP($Q47,武学奇术!$A:$ZZ,26,FALSE)</f>
        <v>2.75166</v>
      </c>
      <c r="AI47" s="28">
        <f>VLOOKUP($Q47,武学奇术!$A:$ZZ,27,FALSE)*(1+IF(OR($AG47=$F$4,$AG47=$F$5),$B$22,0))</f>
        <v>1060.92</v>
      </c>
      <c r="AJ47" s="27">
        <f>VLOOKUP($Q47,武学奇术!$A:$ZZ,28,FALSE)</f>
        <v>4.12776</v>
      </c>
      <c r="AK47" s="28">
        <f>VLOOKUP($Q47,武学奇术!$A:$ZZ,29,FALSE)*(1+IF(OR($AG47=$F$4,$AG47=$F$5),$B$22,0))</f>
        <v>574.56</v>
      </c>
      <c r="AL47" s="27" cm="1">
        <f t="array" ref="AL47">$G$3+IFERROR(VLOOKUP($AG47,$F$4:$G$7,2,FALSE),0)+VLOOKUP($Q47,武学奇术!$A:$ZZ,2,FALSE)+SUM(_xlfn.XLOOKUP($R47:$AF47,增益!$A:$A,增益!$B:$B,0))</f>
        <v>0.6241</v>
      </c>
      <c r="AM47" s="27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3742.006</v>
      </c>
      <c r="AO47" cm="1">
        <f t="array" ref="AO47">$E$10*(1+$AM47)+VLOOKUP($Q47,武学奇术!$A:$ZZ,4,FALSE)+SUM(_xlfn.XLOOKUP($R47:$AF47,增益!$A:$A,增益!$D:$D,0))-$I$2</f>
        <v>3742.006</v>
      </c>
      <c r="AP47" s="33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0.247</v>
      </c>
      <c r="AQ47" s="33" cm="1">
        <f t="array" ref="AQ47">$G$10+VLOOKUP($Q47,武学奇术!$A:$ZZ,7,FALSE)+SUM(_xlfn.XLOOKUP(R47:AF47,增益!$A:$A,增益!$G:$G,0))</f>
        <v>0.09</v>
      </c>
      <c r="AR47" s="27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3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-0.08</v>
      </c>
      <c r="AV47" s="33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3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-0.08</v>
      </c>
      <c r="AZ47" s="33" cm="1">
        <f t="array" ref="AZ47">$G$12+VLOOKUP($Q47,武学奇术!$A:$ZZ,12,FALSE)+SUM(_xlfn.XLOOKUP(R47:AF47,增益!$A:$A,增益!$L:$L,0))</f>
        <v>0</v>
      </c>
      <c r="BA47">
        <f t="shared" si="5"/>
        <v>0</v>
      </c>
      <c r="BB47">
        <f t="shared" si="6"/>
        <v>0</v>
      </c>
      <c r="BC47" s="33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-0.08</v>
      </c>
      <c r="BD47" s="33" cm="1">
        <f t="array" ref="BD47">$G$13+VLOOKUP($Q47,武学奇术!$A:$ZZ,14,FALSE)+SUM(_xlfn.XLOOKUP(R47:AF47,增益!$A:$A,增益!$N:$N,0))</f>
        <v>0</v>
      </c>
      <c r="BE47">
        <f t="shared" si="7"/>
        <v>570.28</v>
      </c>
      <c r="BF47">
        <f t="shared" si="8"/>
        <v>1582.156</v>
      </c>
      <c r="BG47" s="33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0.11</v>
      </c>
      <c r="BH47" s="33" cm="1">
        <f t="array" ref="BH47">$G$14+VLOOKUP($Q47,武学奇术!$A:$ZZ,16,FALSE)+SUM(_xlfn.XLOOKUP(R47:AF47,增益!$A:$A,增益!$P:$P,0))</f>
        <v>0.24</v>
      </c>
      <c r="BI47" s="27">
        <f>MIN(IF(VLOOKUP($Q47,武学奇术!$A:$ZZ,23,FALSE)=1,100%,$B$8),100%)</f>
        <v>1</v>
      </c>
      <c r="BJ47" s="27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+MIN(IF(VLOOKUP($Q47,武学奇术!$A:$ZZ,32,FALSE)=1,IF(VLOOKUP($Q47,武学奇术!$A:$ZZ,24,FALSE)=1,100%,MIN(40%,$B$10+VLOOKUP($Q47,武学奇术!$A:$ZZ,19,FALSE)+SUM(_xlfn.XLOOKUP(R47:AF47,增益!$A:$A,增益!$S:$S,0)))+$B$12+SUM(_xlfn.XLOOKUP(R47:AF47,增益!$A:$A,增益!$V:$V,0))),0),12%)</f>
        <v>0.918</v>
      </c>
      <c r="BK47" s="27" cm="1">
        <f t="array" ref="BK47">1+$B$13+VLOOKUP($Q47,武学奇术!$A:$ZZ,18,FALSE)+SUM(_xlfn.XLOOKUP(R47:AF47,增益!$A:$A,增益!$R:$R,0))</f>
        <v>1.94</v>
      </c>
      <c r="BL47" s="27" cm="1">
        <f t="array" ref="BL47">MAX(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-IF(VLOOKUP($Q47,武学奇术!$A:$ZZ,32,FALSE)=1,12%,0),0)</f>
        <v>0.0895</v>
      </c>
      <c r="BM47" s="27" cm="1">
        <f t="array" ref="BM47">1+$B$14+VLOOKUP($Q47,武学奇术!$A:$ZZ,20,FALSE)+SUM(_xlfn.XLOOKUP(R47:AF47,增益!$A:$A,增益!$T:$T,0))</f>
        <v>1.35</v>
      </c>
      <c r="BN47" s="27">
        <f t="shared" si="9"/>
        <v>0.9105</v>
      </c>
      <c r="BO47" s="27">
        <f t="shared" si="10"/>
        <v>0</v>
      </c>
      <c r="BP47" s="27">
        <f>IF(VLOOKUP($Q47,武学奇术!$A:$ZZ,22,FALSE)=1,0,(1-$BI47))*(1-$BL47)</f>
        <v>0</v>
      </c>
      <c r="BQ47" s="27" cm="1">
        <f t="array" ref="BQ47">SUM(_xlfn.XLOOKUP(R47:AF47,增益!$A:$A,增益!$W:$W,0))+$I$5</f>
        <v>0.11</v>
      </c>
    </row>
    <row r="48" spans="1:69">
      <c r="F48" s="4"/>
      <c r="G48" s="4"/>
      <c r="K48" s="39">
        <f t="shared" si="0"/>
        <v>24875.9197734237</v>
      </c>
      <c r="L48" s="39">
        <f>((($AN48+($AO48-$AN48)*IF(VLOOKUP($Q48,武学奇术!$A:$ZZ,31,FALSE)=1,$F$18,0.5))*$AH48+$AI48)*(1+$AP48)*(1+$AQ48)+(($AS48+($AT48-$AS48)*IF(VLOOKUP($Q48,武学奇术!$A:$ZZ,31,FALSE)=1,$F$18,0.5))*IF($G$1="鸣金",$AJ48,$AH48)+IF($G$1="鸣金",$AK48*1.5,0))*(1+$AU48)*(1+$AV48)+(($AW48+($AX48-$AW48)*IF(VLOOKUP($Q48,武学奇术!$A:$ZZ,31,FALSE)=1,$F$18,0.5))*IF($G$1="裂石",$AJ48,$AH48)+IF($G$1="裂石",$AK48*1.5,0))*(1+$AY48)*(1+$AZ48)+(($BA48+($BB48-$BA48)*IF(VLOOKUP($Q48,武学奇术!$A:$ZZ,31,FALSE)=1,$F$18,0.5))*IF($G$1="牵丝",$AJ48,$AH48)+IF($G$1="牵丝",$AK48*1.5,0))*(1+$BC48)*(1+$BD48)+(($BE48+($BF48-$BE48)*IF(VLOOKUP($Q48,武学奇术!$A:$ZZ,31,FALSE)=1,$F$18,0.5))*IF($G$1="破竹",$AJ48,$AH48)+IF($G$1="破竹",$AK48*1.5,0))*(1+$BG48)*(1+$BH48))*(1+$AL48)*$BK48*$P48*(1+IF(VLOOKUP($Q48,武学奇术!$A:$ZZ,30,FALSE)="蓄力技",$B$21,0))*(1+$BQ48)</f>
        <v>25039.828647211</v>
      </c>
      <c r="M48" s="39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23208.4445825484</v>
      </c>
      <c r="N48" s="39">
        <f>((($AN48+($AO48-$AN48)*IF(VLOOKUP($Q48,武学奇术!$A:$ZZ,31,FALSE)=1,$F$18,0.5))*$AH48+$AI48)*(1+$AP48)*(1+$AQ48)+(($AS48+($AT48-$AS48)*IF(VLOOKUP($Q48,武学奇术!$A:$ZZ,31,FALSE)=1,$F$18,0.5))*IF($G$1="鸣金",$AJ48,$AH48)+IF($G$1="鸣金",$AK48*1.5,0))*(1+$AU48)*(1+$AV48)+(($AW48+($AX48-$AW48)*IF(VLOOKUP($Q48,武学奇术!$A:$ZZ,31,FALSE)=1,$F$18,0.5))*IF($G$1="裂石",$AJ48,$AH48)+IF($G$1="裂石",$AK48*1.5,0))*(1+$AY48)*(1+$AZ48)+(($BA48+($BB48-$BA48)*IF(VLOOKUP($Q48,武学奇术!$A:$ZZ,31,FALSE)=1,$F$18,0.5))*IF($G$1="牵丝",$AJ48,$AH48)+IF($G$1="牵丝",$AK48*1.5,0))*(1+$BC48)*(1+$BD48)+(($BE48+($BF48-$BE48)*IF(VLOOKUP($Q48,武学奇术!$A:$ZZ,31,FALSE)=1,$F$18,0.5))*IF($G$1="破竹",$AJ48,$AH48)+IF($G$1="破竹",$AK48*1.5,0))*(1+$BG48)*(1+$BH48))*(1+$AL48)*$P48*(1+IF(VLOOKUP($Q48,武学奇术!$A:$ZZ,30,FALSE)="蓄力技",$B$21,0))*(1+$BQ48)</f>
        <v>15268.1881995189</v>
      </c>
      <c r="O48" s="39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13344.9359675204</v>
      </c>
      <c r="P48" s="40">
        <v>1</v>
      </c>
      <c r="Q48" s="41" t="s">
        <v>106</v>
      </c>
      <c r="R48" s="41" t="s">
        <v>93</v>
      </c>
      <c r="S48" s="41" t="s">
        <v>72</v>
      </c>
      <c r="T48" s="41" t="s">
        <v>72</v>
      </c>
      <c r="U48" s="41" t="s">
        <v>72</v>
      </c>
      <c r="V48" s="41" t="s">
        <v>72</v>
      </c>
      <c r="W48" s="41" t="s">
        <v>72</v>
      </c>
      <c r="X48" s="41" t="s">
        <v>165</v>
      </c>
      <c r="Y48" s="41" t="s">
        <v>81</v>
      </c>
      <c r="Z48" s="41" t="s">
        <v>72</v>
      </c>
      <c r="AA48" s="41" t="s">
        <v>72</v>
      </c>
      <c r="AB48" s="41" t="s">
        <v>72</v>
      </c>
      <c r="AC48" s="41" t="s">
        <v>72</v>
      </c>
      <c r="AD48" s="41" t="s">
        <v>72</v>
      </c>
      <c r="AE48" s="41" t="s">
        <v>75</v>
      </c>
      <c r="AF48" s="41" t="s">
        <v>76</v>
      </c>
      <c r="AG48" t="str">
        <f>VLOOKUP($Q48,武学奇术!$A:$ZZ,25,FALSE)</f>
        <v>拳甲</v>
      </c>
      <c r="AH48" s="27">
        <f>VLOOKUP($Q48,武学奇术!$A:$ZZ,26,FALSE)</f>
        <v>1.2876</v>
      </c>
      <c r="AI48" s="28">
        <f>VLOOKUP($Q48,武学奇术!$A:$ZZ,27,FALSE)*(1+IF(OR($AG48=$F$4,$AG48=$F$5),$B$22,0))</f>
        <v>501.2</v>
      </c>
      <c r="AJ48" s="27">
        <f>VLOOKUP($Q48,武学奇术!$A:$ZZ,28,FALSE)</f>
        <v>1.9313</v>
      </c>
      <c r="AK48" s="28">
        <f>VLOOKUP($Q48,武学奇术!$A:$ZZ,29,FALSE)*(1+IF(OR($AG48=$F$4,$AG48=$F$5),$B$22,0))</f>
        <v>273</v>
      </c>
      <c r="AL48" s="27" cm="1">
        <f t="array" ref="AL48">$G$3+IFERROR(VLOOKUP($AG48,$F$4:$G$7,2,FALSE),0)+VLOOKUP($Q48,武学奇术!$A:$ZZ,2,FALSE)+SUM(_xlfn.XLOOKUP($R48:$AF48,增益!$A:$A,增益!$B:$B,0))</f>
        <v>0.3241</v>
      </c>
      <c r="AM48" s="27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3742.006</v>
      </c>
      <c r="AO48" cm="1">
        <f t="array" ref="AO48">$E$10*(1+$AM48)+VLOOKUP($Q48,武学奇术!$A:$ZZ,4,FALSE)+SUM(_xlfn.XLOOKUP($R48:$AF48,增益!$A:$A,增益!$D:$D,0))-$I$2</f>
        <v>3742.006</v>
      </c>
      <c r="AP48" s="33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0.217</v>
      </c>
      <c r="AQ48" s="33" cm="1">
        <f t="array" ref="AQ48">$G$10+VLOOKUP($Q48,武学奇术!$A:$ZZ,7,FALSE)+SUM(_xlfn.XLOOKUP(R48:AF48,增益!$A:$A,增益!$G:$G,0))</f>
        <v>0.09</v>
      </c>
      <c r="AR48" s="27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3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-0.14</v>
      </c>
      <c r="AV48" s="33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3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-0.14</v>
      </c>
      <c r="AZ48" s="33" cm="1">
        <f t="array" ref="AZ48">$G$12+VLOOKUP($Q48,武学奇术!$A:$ZZ,12,FALSE)+SUM(_xlfn.XLOOKUP(R48:AF48,增益!$A:$A,增益!$L:$L,0))</f>
        <v>0</v>
      </c>
      <c r="BA48">
        <f t="shared" si="5"/>
        <v>0</v>
      </c>
      <c r="BB48">
        <f t="shared" si="6"/>
        <v>0</v>
      </c>
      <c r="BC48" s="33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-0.14</v>
      </c>
      <c r="BD48" s="33" cm="1">
        <f t="array" ref="BD48">$G$13+VLOOKUP($Q48,武学奇术!$A:$ZZ,14,FALSE)+SUM(_xlfn.XLOOKUP(R48:AF48,增益!$A:$A,增益!$N:$N,0))</f>
        <v>0</v>
      </c>
      <c r="BE48">
        <f t="shared" si="7"/>
        <v>570.28</v>
      </c>
      <c r="BF48">
        <f t="shared" si="8"/>
        <v>1582.156</v>
      </c>
      <c r="BG48" s="33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0.08</v>
      </c>
      <c r="BH48" s="33" cm="1">
        <f t="array" ref="BH48">$G$14+VLOOKUP($Q48,武学奇术!$A:$ZZ,16,FALSE)+SUM(_xlfn.XLOOKUP(R48:AF48,增益!$A:$A,增益!$P:$P,0))</f>
        <v>0.24</v>
      </c>
      <c r="BI48" s="27">
        <f>MIN(IF(VLOOKUP($Q48,武学奇术!$A:$ZZ,23,FALSE)=1,100%,$B$8),100%)</f>
        <v>1</v>
      </c>
      <c r="BJ48" s="27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+MIN(IF(VLOOKUP($Q48,武学奇术!$A:$ZZ,32,FALSE)=1,IF(VLOOKUP($Q48,武学奇术!$A:$ZZ,24,FALSE)=1,100%,MIN(40%,$B$10+VLOOKUP($Q48,武学奇术!$A:$ZZ,19,FALSE)+SUM(_xlfn.XLOOKUP(R48:AF48,增益!$A:$A,增益!$S:$S,0)))+$B$12+SUM(_xlfn.XLOOKUP(R48:AF48,增益!$A:$A,增益!$V:$V,0))),0),12%)</f>
        <v>0.918</v>
      </c>
      <c r="BK48" s="27" cm="1">
        <f t="array" ref="BK48">1+$B$13+VLOOKUP($Q48,武学奇术!$A:$ZZ,18,FALSE)+SUM(_xlfn.XLOOKUP(R48:AF48,增益!$A:$A,增益!$R:$R,0))</f>
        <v>1.64</v>
      </c>
      <c r="BL48" s="27" cm="1">
        <f t="array" ref="BL48">MAX(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-IF(VLOOKUP($Q48,武学奇术!$A:$ZZ,32,FALSE)=1,12%,0),0)</f>
        <v>0.0895</v>
      </c>
      <c r="BM48" s="27" cm="1">
        <f t="array" ref="BM48">1+$B$14+VLOOKUP($Q48,武学奇术!$A:$ZZ,20,FALSE)+SUM(_xlfn.XLOOKUP(R48:AF48,增益!$A:$A,增益!$T:$T,0))</f>
        <v>1.35</v>
      </c>
      <c r="BN48" s="27">
        <f t="shared" si="9"/>
        <v>0.9105</v>
      </c>
      <c r="BO48" s="27">
        <f t="shared" si="10"/>
        <v>0</v>
      </c>
      <c r="BP48" s="27">
        <f>IF(VLOOKUP($Q48,武学奇术!$A:$ZZ,22,FALSE)=1,0,(1-$BI48))*(1-$BL48)</f>
        <v>0</v>
      </c>
      <c r="BQ48" s="27" cm="1">
        <f t="array" ref="BQ48">SUM(_xlfn.XLOOKUP(R48:AF48,增益!$A:$A,增益!$W:$W,0))+$I$5</f>
        <v>0.11</v>
      </c>
    </row>
    <row r="49" spans="1:69">
      <c r="A49" s="4"/>
      <c r="B49" s="91"/>
      <c r="K49" s="39">
        <f t="shared" si="0"/>
        <v>58556.5692180294</v>
      </c>
      <c r="L49" s="39">
        <f>((($AN49+($AO49-$AN49)*IF(VLOOKUP($Q49,武学奇术!$A:$ZZ,31,FALSE)=1,$F$18,0.5))*$AH49+$AI49)*(1+$AP49)*(1+$AQ49)+(($AS49+($AT49-$AS49)*IF(VLOOKUP($Q49,武学奇术!$A:$ZZ,31,FALSE)=1,$F$18,0.5))*IF($G$1="鸣金",$AJ49,$AH49)+IF($G$1="鸣金",$AK49*1.5,0))*(1+$AU49)*(1+$AV49)+(($AW49+($AX49-$AW49)*IF(VLOOKUP($Q49,武学奇术!$A:$ZZ,31,FALSE)=1,$F$18,0.5))*IF($G$1="裂石",$AJ49,$AH49)+IF($G$1="裂石",$AK49*1.5,0))*(1+$AY49)*(1+$AZ49)+(($BA49+($BB49-$BA49)*IF(VLOOKUP($Q49,武学奇术!$A:$ZZ,31,FALSE)=1,$F$18,0.5))*IF($G$1="牵丝",$AJ49,$AH49)+IF($G$1="牵丝",$AK49*1.5,0))*(1+$BC49)*(1+$BD49)+(($BE49+($BF49-$BE49)*IF(VLOOKUP($Q49,武学奇术!$A:$ZZ,31,FALSE)=1,$F$18,0.5))*IF($G$1="破竹",$AJ49,$AH49)+IF($G$1="破竹",$AK49*1.5,0))*(1+$BG49)*(1+$BH49))*(1+$AL49)*$BK49*$P49*(1+IF(VLOOKUP($Q49,武学奇术!$A:$ZZ,30,FALSE)="蓄力技",$B$21,0))*(1+$BQ49)</f>
        <v>59649.1799040454</v>
      </c>
      <c r="M49" s="39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47441.2392781681</v>
      </c>
      <c r="N49" s="39">
        <f>((($AN49+($AO49-$AN49)*IF(VLOOKUP($Q49,武学奇术!$A:$ZZ,31,FALSE)=1,$F$18,0.5))*$AH49+$AI49)*(1+$AP49)*(1+$AQ49)+(($AS49+($AT49-$AS49)*IF(VLOOKUP($Q49,武学奇术!$A:$ZZ,31,FALSE)=1,$F$18,0.5))*IF($G$1="鸣金",$AJ49,$AH49)+IF($G$1="鸣金",$AK49*1.5,0))*(1+$AU49)*(1+$AV49)+(($AW49+($AX49-$AW49)*IF(VLOOKUP($Q49,武学奇术!$A:$ZZ,31,FALSE)=1,$F$18,0.5))*IF($G$1="裂石",$AJ49,$AH49)+IF($G$1="裂石",$AK49*1.5,0))*(1+$AY49)*(1+$AZ49)+(($BA49+($BB49-$BA49)*IF(VLOOKUP($Q49,武学奇术!$A:$ZZ,31,FALSE)=1,$F$18,0.5))*IF($G$1="牵丝",$AJ49,$AH49)+IF($G$1="牵丝",$AK49*1.5,0))*(1+$BC49)*(1+$BD49)+(($BE49+($BF49-$BE49)*IF(VLOOKUP($Q49,武学奇术!$A:$ZZ,31,FALSE)=1,$F$18,0.5))*IF($G$1="破竹",$AJ49,$AH49)+IF($G$1="破竹",$AK49*1.5,0))*(1+$BG49)*(1+$BH49))*(1+$AL49)*$P49*(1+IF(VLOOKUP($Q49,武学奇术!$A:$ZZ,30,FALSE)="蓄力技",$B$21,0))*(1+$BQ49)</f>
        <v>30746.9999505389</v>
      </c>
      <c r="O49" s="39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26352.3411765088</v>
      </c>
      <c r="P49" s="40">
        <v>1</v>
      </c>
      <c r="Q49" s="41" t="s">
        <v>108</v>
      </c>
      <c r="R49" s="41" t="s">
        <v>93</v>
      </c>
      <c r="S49" s="41" t="s">
        <v>72</v>
      </c>
      <c r="T49" s="41" t="s">
        <v>72</v>
      </c>
      <c r="U49" s="41" t="s">
        <v>72</v>
      </c>
      <c r="V49" s="41" t="s">
        <v>72</v>
      </c>
      <c r="W49" s="41" t="s">
        <v>72</v>
      </c>
      <c r="X49" s="41" t="s">
        <v>165</v>
      </c>
      <c r="Y49" s="41" t="s">
        <v>81</v>
      </c>
      <c r="Z49" s="41" t="s">
        <v>101</v>
      </c>
      <c r="AA49" s="41" t="s">
        <v>72</v>
      </c>
      <c r="AB49" s="41" t="s">
        <v>72</v>
      </c>
      <c r="AC49" s="41" t="s">
        <v>72</v>
      </c>
      <c r="AD49" s="41" t="s">
        <v>72</v>
      </c>
      <c r="AE49" s="41" t="s">
        <v>75</v>
      </c>
      <c r="AF49" s="41" t="s">
        <v>76</v>
      </c>
      <c r="AG49" t="str">
        <f>VLOOKUP($Q49,武学奇术!$A:$ZZ,25,FALSE)</f>
        <v>拳甲</v>
      </c>
      <c r="AH49" s="27">
        <f>VLOOKUP($Q49,武学奇术!$A:$ZZ,26,FALSE)</f>
        <v>2.33376</v>
      </c>
      <c r="AI49" s="28">
        <f>VLOOKUP($Q49,武学奇术!$A:$ZZ,27,FALSE)*(1+IF(OR($AG49=$F$4,$AG49=$F$5),$B$22,0))</f>
        <v>0</v>
      </c>
      <c r="AJ49" s="27">
        <f>VLOOKUP($Q49,武学奇术!$A:$ZZ,28,FALSE)</f>
        <v>3.50064</v>
      </c>
      <c r="AK49" s="28">
        <f>VLOOKUP($Q49,武学奇术!$A:$ZZ,29,FALSE)*(1+IF(OR($AG49=$F$4,$AG49=$F$5),$B$22,0))</f>
        <v>0</v>
      </c>
      <c r="AL49" s="27" cm="1">
        <f t="array" ref="AL49">$G$3+IFERROR(VLOOKUP($AG49,$F$4:$G$7,2,FALSE),0)+VLOOKUP($Q49,武学奇术!$A:$ZZ,2,FALSE)+SUM(_xlfn.XLOOKUP($R49:$AF49,增益!$A:$A,增益!$B:$B,0))</f>
        <v>0.6241</v>
      </c>
      <c r="AM49" s="27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3742.006</v>
      </c>
      <c r="AO49" cm="1">
        <f t="array" ref="AO49">$E$10*(1+$AM49)+VLOOKUP($Q49,武学奇术!$A:$ZZ,4,FALSE)+SUM(_xlfn.XLOOKUP($R49:$AF49,增益!$A:$A,增益!$D:$D,0))-$I$2</f>
        <v>3742.006</v>
      </c>
      <c r="AP49" s="33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0.247</v>
      </c>
      <c r="AQ49" s="33" cm="1">
        <f t="array" ref="AQ49">$G$10+VLOOKUP($Q49,武学奇术!$A:$ZZ,7,FALSE)+SUM(_xlfn.XLOOKUP(R49:AF49,增益!$A:$A,增益!$G:$G,0))</f>
        <v>0.09</v>
      </c>
      <c r="AR49" s="27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3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-0.08</v>
      </c>
      <c r="AV49" s="33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3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-0.08</v>
      </c>
      <c r="AZ49" s="33" cm="1">
        <f t="array" ref="AZ49">$G$12+VLOOKUP($Q49,武学奇术!$A:$ZZ,12,FALSE)+SUM(_xlfn.XLOOKUP(R49:AF49,增益!$A:$A,增益!$L:$L,0))</f>
        <v>0</v>
      </c>
      <c r="BA49">
        <f t="shared" si="5"/>
        <v>0</v>
      </c>
      <c r="BB49">
        <f t="shared" si="6"/>
        <v>0</v>
      </c>
      <c r="BC49" s="33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-0.08</v>
      </c>
      <c r="BD49" s="33" cm="1">
        <f t="array" ref="BD49">$G$13+VLOOKUP($Q49,武学奇术!$A:$ZZ,14,FALSE)+SUM(_xlfn.XLOOKUP(R49:AF49,增益!$A:$A,增益!$N:$N,0))</f>
        <v>0</v>
      </c>
      <c r="BE49">
        <f t="shared" si="7"/>
        <v>570.28</v>
      </c>
      <c r="BF49">
        <f t="shared" si="8"/>
        <v>1582.156</v>
      </c>
      <c r="BG49" s="33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0.11</v>
      </c>
      <c r="BH49" s="33" cm="1">
        <f t="array" ref="BH49">$G$14+VLOOKUP($Q49,武学奇术!$A:$ZZ,16,FALSE)+SUM(_xlfn.XLOOKUP(R49:AF49,增益!$A:$A,增益!$P:$P,0))</f>
        <v>0.24</v>
      </c>
      <c r="BI49" s="27">
        <f>MIN(IF(VLOOKUP($Q49,武学奇术!$A:$ZZ,23,FALSE)=1,100%,$B$8),100%)</f>
        <v>1</v>
      </c>
      <c r="BJ49" s="27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+MIN(IF(VLOOKUP($Q49,武学奇术!$A:$ZZ,32,FALSE)=1,IF(VLOOKUP($Q49,武学奇术!$A:$ZZ,24,FALSE)=1,100%,MIN(40%,$B$10+VLOOKUP($Q49,武学奇术!$A:$ZZ,19,FALSE)+SUM(_xlfn.XLOOKUP(R49:AF49,增益!$A:$A,增益!$S:$S,0)))+$B$12+SUM(_xlfn.XLOOKUP(R49:AF49,增益!$A:$A,增益!$V:$V,0))),0),12%)</f>
        <v>0.918</v>
      </c>
      <c r="BK49" s="27" cm="1">
        <f t="array" ref="BK49">1+$B$13+VLOOKUP($Q49,武学奇术!$A:$ZZ,18,FALSE)+SUM(_xlfn.XLOOKUP(R49:AF49,增益!$A:$A,增益!$R:$R,0))</f>
        <v>1.94</v>
      </c>
      <c r="BL49" s="27" cm="1">
        <f t="array" ref="BL49">MAX(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-IF(VLOOKUP($Q49,武学奇术!$A:$ZZ,32,FALSE)=1,12%,0),0)</f>
        <v>0.0895</v>
      </c>
      <c r="BM49" s="27" cm="1">
        <f t="array" ref="BM49">1+$B$14+VLOOKUP($Q49,武学奇术!$A:$ZZ,20,FALSE)+SUM(_xlfn.XLOOKUP(R49:AF49,增益!$A:$A,增益!$T:$T,0))</f>
        <v>1.35</v>
      </c>
      <c r="BN49" s="27">
        <f t="shared" si="9"/>
        <v>0.9105</v>
      </c>
      <c r="BO49" s="27">
        <f t="shared" si="10"/>
        <v>0</v>
      </c>
      <c r="BP49" s="27">
        <f>IF(VLOOKUP($Q49,武学奇术!$A:$ZZ,22,FALSE)=1,0,(1-$BI49))*(1-$BL49)</f>
        <v>0</v>
      </c>
      <c r="BQ49" s="27" cm="1">
        <f t="array" ref="BQ49">SUM(_xlfn.XLOOKUP(R49:AF49,增益!$A:$A,增益!$W:$W,0))+$I$5</f>
        <v>0.11</v>
      </c>
    </row>
    <row r="50" spans="1:69">
      <c r="K50" s="39">
        <f t="shared" si="0"/>
        <v>22596.7132140839</v>
      </c>
      <c r="L50" s="39">
        <f>((($AN50+($AO50-$AN50)*IF(VLOOKUP($Q50,武学奇术!$A:$ZZ,31,FALSE)=1,$F$18,0.5))*$AH50+$AI50)*(1+$AP50)*(1+$AQ50)+(($AS50+($AT50-$AS50)*IF(VLOOKUP($Q50,武学奇术!$A:$ZZ,31,FALSE)=1,$F$18,0.5))*IF($G$1="鸣金",$AJ50,$AH50)+IF($G$1="鸣金",$AK50*1.5,0))*(1+$AU50)*(1+$AV50)+(($AW50+($AX50-$AW50)*IF(VLOOKUP($Q50,武学奇术!$A:$ZZ,31,FALSE)=1,$F$18,0.5))*IF($G$1="裂石",$AJ50,$AH50)+IF($G$1="裂石",$AK50*1.5,0))*(1+$AY50)*(1+$AZ50)+(($BA50+($BB50-$BA50)*IF(VLOOKUP($Q50,武学奇术!$A:$ZZ,31,FALSE)=1,$F$18,0.5))*IF($G$1="牵丝",$AJ50,$AH50)+IF($G$1="牵丝",$AK50*1.5,0))*(1+$BC50)*(1+$BD50)+(($BE50+($BF50-$BE50)*IF(VLOOKUP($Q50,武学奇术!$A:$ZZ,31,FALSE)=1,$F$18,0.5))*IF($G$1="破竹",$AJ50,$AH50)+IF($G$1="破竹",$AK50*1.5,0))*(1+$BG50)*(1+$BH50))*(1+$AL50)*$BK50*$P50*(1+IF(VLOOKUP($Q50,武学奇术!$A:$ZZ,30,FALSE)="蓄力技",$B$21,0))*(1+$BQ50)</f>
        <v>22745.5466382294</v>
      </c>
      <c r="M50" s="39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21082.6033516877</v>
      </c>
      <c r="N50" s="39">
        <f>((($AN50+($AO50-$AN50)*IF(VLOOKUP($Q50,武学奇术!$A:$ZZ,31,FALSE)=1,$F$18,0.5))*$AH50+$AI50)*(1+$AP50)*(1+$AQ50)+(($AS50+($AT50-$AS50)*IF(VLOOKUP($Q50,武学奇术!$A:$ZZ,31,FALSE)=1,$F$18,0.5))*IF($G$1="鸣金",$AJ50,$AH50)+IF($G$1="鸣金",$AK50*1.5,0))*(1+$AU50)*(1+$AV50)+(($AW50+($AX50-$AW50)*IF(VLOOKUP($Q50,武学奇术!$A:$ZZ,31,FALSE)=1,$F$18,0.5))*IF($G$1="裂石",$AJ50,$AH50)+IF($G$1="裂石",$AK50*1.5,0))*(1+$AY50)*(1+$AZ50)+(($BA50+($BB50-$BA50)*IF(VLOOKUP($Q50,武学奇术!$A:$ZZ,31,FALSE)=1,$F$18,0.5))*IF($G$1="牵丝",$AJ50,$AH50)+IF($G$1="牵丝",$AK50*1.5,0))*(1+$BC50)*(1+$BD50)+(($BE50+($BF50-$BE50)*IF(VLOOKUP($Q50,武学奇术!$A:$ZZ,31,FALSE)=1,$F$18,0.5))*IF($G$1="破竹",$AJ50,$AH50)+IF($G$1="破竹",$AK50*1.5,0))*(1+$BG50)*(1+$BH50))*(1+$AL50)*$P50*(1+IF(VLOOKUP($Q50,武学奇术!$A:$ZZ,30,FALSE)="蓄力技",$B$21,0))*(1+$BQ50)</f>
        <v>13869.2357550179</v>
      </c>
      <c r="O50" s="39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12121.7282865635</v>
      </c>
      <c r="P50" s="40">
        <v>1</v>
      </c>
      <c r="Q50" s="41" t="s">
        <v>148</v>
      </c>
      <c r="R50" s="41" t="s">
        <v>93</v>
      </c>
      <c r="S50" s="41" t="s">
        <v>72</v>
      </c>
      <c r="T50" s="41" t="s">
        <v>72</v>
      </c>
      <c r="U50" s="41" t="s">
        <v>72</v>
      </c>
      <c r="V50" s="41" t="s">
        <v>72</v>
      </c>
      <c r="W50" s="41" t="s">
        <v>72</v>
      </c>
      <c r="X50" s="41" t="s">
        <v>165</v>
      </c>
      <c r="Y50" s="41" t="s">
        <v>81</v>
      </c>
      <c r="Z50" s="41" t="s">
        <v>72</v>
      </c>
      <c r="AA50" s="41" t="s">
        <v>72</v>
      </c>
      <c r="AB50" s="41" t="s">
        <v>72</v>
      </c>
      <c r="AC50" s="41" t="s">
        <v>72</v>
      </c>
      <c r="AD50" s="41" t="s">
        <v>72</v>
      </c>
      <c r="AE50" s="41" t="s">
        <v>75</v>
      </c>
      <c r="AF50" s="41" t="s">
        <v>76</v>
      </c>
      <c r="AG50" t="str">
        <f>VLOOKUP($Q50,武学奇术!$A:$ZZ,25,FALSE)</f>
        <v>绳镖</v>
      </c>
      <c r="AH50" s="27">
        <f>VLOOKUP($Q50,武学奇术!$A:$ZZ,26,FALSE)</f>
        <v>1.2503</v>
      </c>
      <c r="AI50" s="28">
        <f>VLOOKUP($Q50,武学奇术!$A:$ZZ,27,FALSE)*(1+IF(OR($AG50=$F$4,$AG50=$F$5),$B$22,0))</f>
        <v>485.8</v>
      </c>
      <c r="AJ50" s="27">
        <f>VLOOKUP($Q50,武学奇术!$A:$ZZ,28,FALSE)</f>
        <v>1.8755</v>
      </c>
      <c r="AK50" s="28">
        <f>VLOOKUP($Q50,武学奇术!$A:$ZZ,29,FALSE)*(1+IF(OR($AG50=$F$4,$AG50=$F$5),$B$22,0))</f>
        <v>264.6</v>
      </c>
      <c r="AL50" s="27" cm="1">
        <f t="array" ref="AL50">$G$3+IFERROR(VLOOKUP($AG50,$F$4:$G$7,2,FALSE),0)+VLOOKUP($Q50,武学奇术!$A:$ZZ,2,FALSE)+SUM(_xlfn.XLOOKUP($R50:$AF50,增益!$A:$A,增益!$B:$B,0))</f>
        <v>0.2389</v>
      </c>
      <c r="AM50" s="27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3742.006</v>
      </c>
      <c r="AO50" cm="1">
        <f t="array" ref="AO50">$E$10*(1+$AM50)+VLOOKUP($Q50,武学奇术!$A:$ZZ,4,FALSE)+SUM(_xlfn.XLOOKUP($R50:$AF50,增益!$A:$A,增益!$D:$D,0))-$I$2</f>
        <v>3742.006</v>
      </c>
      <c r="AP50" s="33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0.217</v>
      </c>
      <c r="AQ50" s="33" cm="1">
        <f t="array" ref="AQ50">$G$10+VLOOKUP($Q50,武学奇术!$A:$ZZ,7,FALSE)+SUM(_xlfn.XLOOKUP(R50:AF50,增益!$A:$A,增益!$G:$G,0))</f>
        <v>0.09</v>
      </c>
      <c r="AR50" s="27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3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-0.14</v>
      </c>
      <c r="AV50" s="33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3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-0.14</v>
      </c>
      <c r="AZ50" s="33" cm="1">
        <f t="array" ref="AZ50">$G$12+VLOOKUP($Q50,武学奇术!$A:$ZZ,12,FALSE)+SUM(_xlfn.XLOOKUP(R50:AF50,增益!$A:$A,增益!$L:$L,0))</f>
        <v>0</v>
      </c>
      <c r="BA50">
        <f t="shared" si="5"/>
        <v>0</v>
      </c>
      <c r="BB50">
        <f t="shared" si="6"/>
        <v>0</v>
      </c>
      <c r="BC50" s="33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-0.14</v>
      </c>
      <c r="BD50" s="33" cm="1">
        <f t="array" ref="BD50">$G$13+VLOOKUP($Q50,武学奇术!$A:$ZZ,14,FALSE)+SUM(_xlfn.XLOOKUP(R50:AF50,增益!$A:$A,增益!$N:$N,0))</f>
        <v>0</v>
      </c>
      <c r="BE50">
        <f t="shared" si="7"/>
        <v>570.28</v>
      </c>
      <c r="BF50">
        <f t="shared" si="8"/>
        <v>1582.156</v>
      </c>
      <c r="BG50" s="33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0.08</v>
      </c>
      <c r="BH50" s="33" cm="1">
        <f t="array" ref="BH50">$G$14+VLOOKUP($Q50,武学奇术!$A:$ZZ,16,FALSE)+SUM(_xlfn.XLOOKUP(R50:AF50,增益!$A:$A,增益!$P:$P,0))</f>
        <v>0.24</v>
      </c>
      <c r="BI50" s="27">
        <f>MIN(IF(VLOOKUP($Q50,武学奇术!$A:$ZZ,23,FALSE)=1,100%,$B$8),100%)</f>
        <v>1</v>
      </c>
      <c r="BJ50" s="27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+MIN(IF(VLOOKUP($Q50,武学奇术!$A:$ZZ,32,FALSE)=1,IF(VLOOKUP($Q50,武学奇术!$A:$ZZ,24,FALSE)=1,100%,MIN(40%,$B$10+VLOOKUP($Q50,武学奇术!$A:$ZZ,19,FALSE)+SUM(_xlfn.XLOOKUP(R50:AF50,增益!$A:$A,增益!$S:$S,0)))+$B$12+SUM(_xlfn.XLOOKUP(R50:AF50,增益!$A:$A,增益!$V:$V,0))),0),12%)</f>
        <v>0.918</v>
      </c>
      <c r="BK50" s="27" cm="1">
        <f t="array" ref="BK50">1+$B$13+VLOOKUP($Q50,武学奇术!$A:$ZZ,18,FALSE)+SUM(_xlfn.XLOOKUP(R50:AF50,增益!$A:$A,增益!$R:$R,0))</f>
        <v>1.64</v>
      </c>
      <c r="BL50" s="27" cm="1">
        <f t="array" ref="BL50">MAX(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-IF(VLOOKUP($Q50,武学奇术!$A:$ZZ,32,FALSE)=1,12%,0),0)</f>
        <v>0.0895</v>
      </c>
      <c r="BM50" s="27" cm="1">
        <f t="array" ref="BM50">1+$B$14+VLOOKUP($Q50,武学奇术!$A:$ZZ,20,FALSE)+SUM(_xlfn.XLOOKUP(R50:AF50,增益!$A:$A,增益!$T:$T,0))</f>
        <v>1.35</v>
      </c>
      <c r="BN50" s="27">
        <f t="shared" si="9"/>
        <v>0.9105</v>
      </c>
      <c r="BO50" s="27">
        <f t="shared" si="10"/>
        <v>0</v>
      </c>
      <c r="BP50" s="27">
        <f>IF(VLOOKUP($Q50,武学奇术!$A:$ZZ,22,FALSE)=1,0,(1-$BI50))*(1-$BL50)</f>
        <v>0</v>
      </c>
      <c r="BQ50" s="27" cm="1">
        <f t="array" ref="BQ50">SUM(_xlfn.XLOOKUP(R50:AF50,增益!$A:$A,增益!$W:$W,0))+$I$5</f>
        <v>0.11</v>
      </c>
    </row>
    <row r="51" spans="1:69">
      <c r="A51" s="4"/>
      <c r="B51" s="4"/>
      <c r="F51" s="4"/>
      <c r="G51" s="4"/>
      <c r="K51" s="39">
        <f t="shared" si="0"/>
        <v>46237.2515904324</v>
      </c>
      <c r="L51" s="39">
        <f>((($AN51+($AO51-$AN51)*IF(VLOOKUP($Q51,武学奇术!$A:$ZZ,31,FALSE)=1,$F$18,0.5))*$AH51+$AI51)*(1+$AP51)*(1+$AQ51)+(($AS51+($AT51-$AS51)*IF(VLOOKUP($Q51,武学奇术!$A:$ZZ,31,FALSE)=1,$F$18,0.5))*IF($G$1="鸣金",$AJ51,$AH51)+IF($G$1="鸣金",$AK51*1.5,0))*(1+$AU51)*(1+$AV51)+(($AW51+($AX51-$AW51)*IF(VLOOKUP($Q51,武学奇术!$A:$ZZ,31,FALSE)=1,$F$18,0.5))*IF($G$1="裂石",$AJ51,$AH51)+IF($G$1="裂石",$AK51*1.5,0))*(1+$AY51)*(1+$AZ51)+(($BA51+($BB51-$BA51)*IF(VLOOKUP($Q51,武学奇术!$A:$ZZ,31,FALSE)=1,$F$18,0.5))*IF($G$1="牵丝",$AJ51,$AH51)+IF($G$1="牵丝",$AK51*1.5,0))*(1+$BC51)*(1+$BD51)+(($BE51+($BF51-$BE51)*IF(VLOOKUP($Q51,武学奇术!$A:$ZZ,31,FALSE)=1,$F$18,0.5))*IF($G$1="破竹",$AJ51,$AH51)+IF($G$1="破竹",$AK51*1.5,0))*(1+$BG51)*(1+$BH51))*(1+$AL51)*$BK51*$P51*(1+IF(VLOOKUP($Q51,武学奇术!$A:$ZZ,30,FALSE)="蓄力技",$B$21,0))*(1+$BQ51)</f>
        <v>47099.9953586271</v>
      </c>
      <c r="M51" s="39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37460.4001832671</v>
      </c>
      <c r="N51" s="39">
        <f>((($AN51+($AO51-$AN51)*IF(VLOOKUP($Q51,武学奇术!$A:$ZZ,31,FALSE)=1,$F$18,0.5))*$AH51+$AI51)*(1+$AP51)*(1+$AQ51)+(($AS51+($AT51-$AS51)*IF(VLOOKUP($Q51,武学奇术!$A:$ZZ,31,FALSE)=1,$F$18,0.5))*IF($G$1="鸣金",$AJ51,$AH51)+IF($G$1="鸣金",$AK51*1.5,0))*(1+$AU51)*(1+$AV51)+(($AW51+($AX51-$AW51)*IF(VLOOKUP($Q51,武学奇术!$A:$ZZ,31,FALSE)=1,$F$18,0.5))*IF($G$1="裂石",$AJ51,$AH51)+IF($G$1="裂石",$AK51*1.5,0))*(1+$AY51)*(1+$AZ51)+(($BA51+($BB51-$BA51)*IF(VLOOKUP($Q51,武学奇术!$A:$ZZ,31,FALSE)=1,$F$18,0.5))*IF($G$1="牵丝",$AJ51,$AH51)+IF($G$1="牵丝",$AK51*1.5,0))*(1+$BC51)*(1+$BD51)+(($BE51+($BF51-$BE51)*IF(VLOOKUP($Q51,武学奇术!$A:$ZZ,31,FALSE)=1,$F$18,0.5))*IF($G$1="破竹",$AJ51,$AH51)+IF($G$1="破竹",$AK51*1.5,0))*(1+$BG51)*(1+$BH51))*(1+$AL51)*$P51*(1+IF(VLOOKUP($Q51,武学奇术!$A:$ZZ,30,FALSE)="蓄力技",$B$21,0))*(1+$BQ51)</f>
        <v>24278.3481230037</v>
      </c>
      <c r="O51" s="39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20808.2516658095</v>
      </c>
      <c r="P51" s="40">
        <v>1</v>
      </c>
      <c r="Q51" s="41" t="s">
        <v>149</v>
      </c>
      <c r="R51" s="41" t="s">
        <v>93</v>
      </c>
      <c r="S51" s="41" t="s">
        <v>72</v>
      </c>
      <c r="T51" s="41" t="s">
        <v>72</v>
      </c>
      <c r="U51" s="41" t="s">
        <v>72</v>
      </c>
      <c r="V51" s="41" t="s">
        <v>72</v>
      </c>
      <c r="W51" s="41" t="s">
        <v>72</v>
      </c>
      <c r="X51" s="41" t="s">
        <v>165</v>
      </c>
      <c r="Y51" s="41" t="s">
        <v>81</v>
      </c>
      <c r="Z51" s="41" t="s">
        <v>101</v>
      </c>
      <c r="AA51" s="41" t="s">
        <v>72</v>
      </c>
      <c r="AB51" s="41" t="s">
        <v>72</v>
      </c>
      <c r="AC51" s="41" t="s">
        <v>72</v>
      </c>
      <c r="AD51" s="41" t="s">
        <v>72</v>
      </c>
      <c r="AE51" s="41" t="s">
        <v>75</v>
      </c>
      <c r="AF51" s="41" t="s">
        <v>76</v>
      </c>
      <c r="AG51" t="str">
        <f>VLOOKUP($Q51,武学奇术!$A:$ZZ,25,FALSE)</f>
        <v>绳镖</v>
      </c>
      <c r="AH51" s="27">
        <f>VLOOKUP($Q51,武学奇术!$A:$ZZ,26,FALSE)</f>
        <v>1.9448</v>
      </c>
      <c r="AI51" s="28">
        <f>VLOOKUP($Q51,武学奇术!$A:$ZZ,27,FALSE)*(1+IF(OR($AG51=$F$4,$AG51=$F$5),$B$22,0))</f>
        <v>0</v>
      </c>
      <c r="AJ51" s="27">
        <f>VLOOKUP($Q51,武学奇术!$A:$ZZ,28,FALSE)</f>
        <v>2.9172</v>
      </c>
      <c r="AK51" s="28">
        <f>VLOOKUP($Q51,武学奇术!$A:$ZZ,29,FALSE)*(1+IF(OR($AG51=$F$4,$AG51=$F$5),$B$22,0))</f>
        <v>0</v>
      </c>
      <c r="AL51" s="27" cm="1">
        <f t="array" ref="AL51">$G$3+IFERROR(VLOOKUP($AG51,$F$4:$G$7,2,FALSE),0)+VLOOKUP($Q51,武学奇术!$A:$ZZ,2,FALSE)+SUM(_xlfn.XLOOKUP($R51:$AF51,增益!$A:$A,增益!$B:$B,0))</f>
        <v>0.5389</v>
      </c>
      <c r="AM51" s="27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3742.006</v>
      </c>
      <c r="AO51" cm="1">
        <f t="array" ref="AO51">$E$10*(1+$AM51)+VLOOKUP($Q51,武学奇术!$A:$ZZ,4,FALSE)+SUM(_xlfn.XLOOKUP($R51:$AF51,增益!$A:$A,增益!$D:$D,0))-$I$2</f>
        <v>3742.006</v>
      </c>
      <c r="AP51" s="33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0.247</v>
      </c>
      <c r="AQ51" s="33" cm="1">
        <f t="array" ref="AQ51">$G$10+VLOOKUP($Q51,武学奇术!$A:$ZZ,7,FALSE)+SUM(_xlfn.XLOOKUP(R51:AF51,增益!$A:$A,增益!$G:$G,0))</f>
        <v>0.09</v>
      </c>
      <c r="AR51" s="27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3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-0.08</v>
      </c>
      <c r="AV51" s="33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3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-0.08</v>
      </c>
      <c r="AZ51" s="33" cm="1">
        <f t="array" ref="AZ51">$G$12+VLOOKUP($Q51,武学奇术!$A:$ZZ,12,FALSE)+SUM(_xlfn.XLOOKUP(R51:AF51,增益!$A:$A,增益!$L:$L,0))</f>
        <v>0</v>
      </c>
      <c r="BA51">
        <f t="shared" si="5"/>
        <v>0</v>
      </c>
      <c r="BB51">
        <f t="shared" si="6"/>
        <v>0</v>
      </c>
      <c r="BC51" s="33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-0.08</v>
      </c>
      <c r="BD51" s="33" cm="1">
        <f t="array" ref="BD51">$G$13+VLOOKUP($Q51,武学奇术!$A:$ZZ,14,FALSE)+SUM(_xlfn.XLOOKUP(R51:AF51,增益!$A:$A,增益!$N:$N,0))</f>
        <v>0</v>
      </c>
      <c r="BE51">
        <f t="shared" si="7"/>
        <v>570.28</v>
      </c>
      <c r="BF51">
        <f t="shared" si="8"/>
        <v>1582.156</v>
      </c>
      <c r="BG51" s="33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0.11</v>
      </c>
      <c r="BH51" s="33" cm="1">
        <f t="array" ref="BH51">$G$14+VLOOKUP($Q51,武学奇术!$A:$ZZ,16,FALSE)+SUM(_xlfn.XLOOKUP(R51:AF51,增益!$A:$A,增益!$P:$P,0))</f>
        <v>0.24</v>
      </c>
      <c r="BI51" s="27">
        <f>MIN(IF(VLOOKUP($Q51,武学奇术!$A:$ZZ,23,FALSE)=1,100%,$B$8),100%)</f>
        <v>1</v>
      </c>
      <c r="BJ51" s="27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+MIN(IF(VLOOKUP($Q51,武学奇术!$A:$ZZ,32,FALSE)=1,IF(VLOOKUP($Q51,武学奇术!$A:$ZZ,24,FALSE)=1,100%,MIN(40%,$B$10+VLOOKUP($Q51,武学奇术!$A:$ZZ,19,FALSE)+SUM(_xlfn.XLOOKUP(R51:AF51,增益!$A:$A,增益!$S:$S,0)))+$B$12+SUM(_xlfn.XLOOKUP(R51:AF51,增益!$A:$A,增益!$V:$V,0))),0),12%)</f>
        <v>0.918</v>
      </c>
      <c r="BK51" s="27" cm="1">
        <f t="array" ref="BK51">1+$B$13+VLOOKUP($Q51,武学奇术!$A:$ZZ,18,FALSE)+SUM(_xlfn.XLOOKUP(R51:AF51,增益!$A:$A,增益!$R:$R,0))</f>
        <v>1.94</v>
      </c>
      <c r="BL51" s="27" cm="1">
        <f t="array" ref="BL51">MAX(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-IF(VLOOKUP($Q51,武学奇术!$A:$ZZ,32,FALSE)=1,12%,0),0)</f>
        <v>0.0895</v>
      </c>
      <c r="BM51" s="27" cm="1">
        <f t="array" ref="BM51">1+$B$14+VLOOKUP($Q51,武学奇术!$A:$ZZ,20,FALSE)+SUM(_xlfn.XLOOKUP(R51:AF51,增益!$A:$A,增益!$T:$T,0))</f>
        <v>1.35</v>
      </c>
      <c r="BN51" s="27">
        <f t="shared" si="9"/>
        <v>0.9105</v>
      </c>
      <c r="BO51" s="27">
        <f t="shared" si="10"/>
        <v>0</v>
      </c>
      <c r="BP51" s="27">
        <f>IF(VLOOKUP($Q51,武学奇术!$A:$ZZ,22,FALSE)=1,0,(1-$BI51))*(1-$BL51)</f>
        <v>0</v>
      </c>
      <c r="BQ51" s="27" cm="1">
        <f t="array" ref="BQ51">SUM(_xlfn.XLOOKUP(R51:AF51,增益!$A:$A,增益!$W:$W,0))+$I$5</f>
        <v>0.11</v>
      </c>
    </row>
    <row r="52" spans="1:69">
      <c r="F52" s="4"/>
      <c r="G52" s="91"/>
      <c r="K52" s="39">
        <f t="shared" si="0"/>
        <v>8985.73806448782</v>
      </c>
      <c r="L52" s="39">
        <f>((($AN52+($AO52-$AN52)*IF(VLOOKUP($Q52,武学奇术!$A:$ZZ,31,FALSE)=1,$F$18,0.5))*$AH52+$AI52)*(1+$AP52)*(1+$AQ52)+(($AS52+($AT52-$AS52)*IF(VLOOKUP($Q52,武学奇术!$A:$ZZ,31,FALSE)=1,$F$18,0.5))*IF($G$1="鸣金",$AJ52,$AH52)+IF($G$1="鸣金",$AK52*1.5,0))*(1+$AU52)*(1+$AV52)+(($AW52+($AX52-$AW52)*IF(VLOOKUP($Q52,武学奇术!$A:$ZZ,31,FALSE)=1,$F$18,0.5))*IF($G$1="裂石",$AJ52,$AH52)+IF($G$1="裂石",$AK52*1.5,0))*(1+$AY52)*(1+$AZ52)+(($BA52+($BB52-$BA52)*IF(VLOOKUP($Q52,武学奇术!$A:$ZZ,31,FALSE)=1,$F$18,0.5))*IF($G$1="牵丝",$AJ52,$AH52)+IF($G$1="牵丝",$AK52*1.5,0))*(1+$BC52)*(1+$BD52)+(($BE52+($BF52-$BE52)*IF(VLOOKUP($Q52,武学奇术!$A:$ZZ,31,FALSE)=1,$F$18,0.5))*IF($G$1="破竹",$AJ52,$AH52)+IF($G$1="破竹",$AK52*1.5,0))*(1+$BG52)*(1+$BH52))*(1+$AL52)*$BK52*$P52*(1+IF(VLOOKUP($Q52,武学奇术!$A:$ZZ,30,FALSE)="蓄力技",$B$21,0))*(1+$BQ52)</f>
        <v>9044.86612479119</v>
      </c>
      <c r="M52" s="39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8384.21740631781</v>
      </c>
      <c r="N52" s="39">
        <f>((($AN52+($AO52-$AN52)*IF(VLOOKUP($Q52,武学奇术!$A:$ZZ,31,FALSE)=1,$F$18,0.5))*$AH52+$AI52)*(1+$AP52)*(1+$AQ52)+(($AS52+($AT52-$AS52)*IF(VLOOKUP($Q52,武学奇术!$A:$ZZ,31,FALSE)=1,$F$18,0.5))*IF($G$1="鸣金",$AJ52,$AH52)+IF($G$1="鸣金",$AK52*1.5,0))*(1+$AU52)*(1+$AV52)+(($AW52+($AX52-$AW52)*IF(VLOOKUP($Q52,武学奇术!$A:$ZZ,31,FALSE)=1,$F$18,0.5))*IF($G$1="裂石",$AJ52,$AH52)+IF($G$1="裂石",$AK52*1.5,0))*(1+$AY52)*(1+$AZ52)+(($BA52+($BB52-$BA52)*IF(VLOOKUP($Q52,武学奇术!$A:$ZZ,31,FALSE)=1,$F$18,0.5))*IF($G$1="牵丝",$AJ52,$AH52)+IF($G$1="牵丝",$AK52*1.5,0))*(1+$BC52)*(1+$BD52)+(($BE52+($BF52-$BE52)*IF(VLOOKUP($Q52,武学奇术!$A:$ZZ,31,FALSE)=1,$F$18,0.5))*IF($G$1="破竹",$AJ52,$AH52)+IF($G$1="破竹",$AK52*1.5,0))*(1+$BG52)*(1+$BH52))*(1+$AL52)*$P52*(1+IF(VLOOKUP($Q52,武学奇术!$A:$ZZ,30,FALSE)="蓄力技",$B$21,0))*(1+$BQ52)</f>
        <v>5515.16227121414</v>
      </c>
      <c r="O52" s="39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4819.79313034101</v>
      </c>
      <c r="P52" s="40">
        <v>1</v>
      </c>
      <c r="Q52" s="41" t="s">
        <v>96</v>
      </c>
      <c r="R52" s="41" t="s">
        <v>93</v>
      </c>
      <c r="S52" s="41" t="s">
        <v>72</v>
      </c>
      <c r="T52" s="41" t="s">
        <v>72</v>
      </c>
      <c r="U52" s="41" t="s">
        <v>72</v>
      </c>
      <c r="V52" s="41" t="s">
        <v>72</v>
      </c>
      <c r="W52" s="41" t="s">
        <v>72</v>
      </c>
      <c r="X52" s="41" t="s">
        <v>165</v>
      </c>
      <c r="Y52" s="41" t="s">
        <v>81</v>
      </c>
      <c r="Z52" s="41" t="s">
        <v>72</v>
      </c>
      <c r="AA52" s="41" t="s">
        <v>72</v>
      </c>
      <c r="AB52" s="41" t="s">
        <v>72</v>
      </c>
      <c r="AC52" s="41" t="s">
        <v>72</v>
      </c>
      <c r="AD52" s="41" t="s">
        <v>72</v>
      </c>
      <c r="AE52" s="41" t="s">
        <v>75</v>
      </c>
      <c r="AF52" s="41" t="s">
        <v>76</v>
      </c>
      <c r="AG52" t="str">
        <f>VLOOKUP($Q52,武学奇术!$A:$ZZ,25,FALSE)</f>
        <v>绳镖</v>
      </c>
      <c r="AH52" s="27">
        <f>VLOOKUP($Q52,武学奇术!$A:$ZZ,26,FALSE)</f>
        <v>0.4975</v>
      </c>
      <c r="AI52" s="28">
        <f>VLOOKUP($Q52,武学奇术!$A:$ZZ,27,FALSE)*(1+IF(OR($AG52=$F$4,$AG52=$F$5),$B$22,0))</f>
        <v>191.8</v>
      </c>
      <c r="AJ52" s="27">
        <f>VLOOKUP($Q52,武学奇术!$A:$ZZ,28,FALSE)</f>
        <v>0.7463</v>
      </c>
      <c r="AK52" s="28">
        <f>VLOOKUP($Q52,武学奇术!$A:$ZZ,29,FALSE)*(1+IF(OR($AG52=$F$4,$AG52=$F$5),$B$22,0))</f>
        <v>105</v>
      </c>
      <c r="AL52" s="27" cm="1">
        <f t="array" ref="AL52">$G$3+IFERROR(VLOOKUP($AG52,$F$4:$G$7,2,FALSE),0)+VLOOKUP($Q52,武学奇术!$A:$ZZ,2,FALSE)+SUM(_xlfn.XLOOKUP($R52:$AF52,增益!$A:$A,增益!$B:$B,0))</f>
        <v>0.2389</v>
      </c>
      <c r="AM52" s="27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3742.006</v>
      </c>
      <c r="AO52" cm="1">
        <f t="array" ref="AO52">$E$10*(1+$AM52)+VLOOKUP($Q52,武学奇术!$A:$ZZ,4,FALSE)+SUM(_xlfn.XLOOKUP($R52:$AF52,增益!$A:$A,增益!$D:$D,0))-$I$2</f>
        <v>3742.006</v>
      </c>
      <c r="AP52" s="33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0.217</v>
      </c>
      <c r="AQ52" s="33" cm="1">
        <f t="array" ref="AQ52">$G$10+VLOOKUP($Q52,武学奇术!$A:$ZZ,7,FALSE)+SUM(_xlfn.XLOOKUP(R52:AF52,增益!$A:$A,增益!$G:$G,0))</f>
        <v>0.09</v>
      </c>
      <c r="AR52" s="27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3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-0.14</v>
      </c>
      <c r="AV52" s="33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3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-0.14</v>
      </c>
      <c r="AZ52" s="33" cm="1">
        <f t="array" ref="AZ52">$G$12+VLOOKUP($Q52,武学奇术!$A:$ZZ,12,FALSE)+SUM(_xlfn.XLOOKUP(R52:AF52,增益!$A:$A,增益!$L:$L,0))</f>
        <v>0</v>
      </c>
      <c r="BA52">
        <f t="shared" si="5"/>
        <v>0</v>
      </c>
      <c r="BB52">
        <f t="shared" si="6"/>
        <v>0</v>
      </c>
      <c r="BC52" s="33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-0.14</v>
      </c>
      <c r="BD52" s="33" cm="1">
        <f t="array" ref="BD52">$G$13+VLOOKUP($Q52,武学奇术!$A:$ZZ,14,FALSE)+SUM(_xlfn.XLOOKUP(R52:AF52,增益!$A:$A,增益!$N:$N,0))</f>
        <v>0</v>
      </c>
      <c r="BE52">
        <f t="shared" si="7"/>
        <v>570.28</v>
      </c>
      <c r="BF52">
        <f t="shared" si="8"/>
        <v>1582.156</v>
      </c>
      <c r="BG52" s="33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0.08</v>
      </c>
      <c r="BH52" s="33" cm="1">
        <f t="array" ref="BH52">$G$14+VLOOKUP($Q52,武学奇术!$A:$ZZ,16,FALSE)+SUM(_xlfn.XLOOKUP(R52:AF52,增益!$A:$A,增益!$P:$P,0))</f>
        <v>0.24</v>
      </c>
      <c r="BI52" s="27">
        <f>MIN(IF(VLOOKUP($Q52,武学奇术!$A:$ZZ,23,FALSE)=1,100%,$B$8),100%)</f>
        <v>1</v>
      </c>
      <c r="BJ52" s="27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+MIN(IF(VLOOKUP($Q52,武学奇术!$A:$ZZ,32,FALSE)=1,IF(VLOOKUP($Q52,武学奇术!$A:$ZZ,24,FALSE)=1,100%,MIN(40%,$B$10+VLOOKUP($Q52,武学奇术!$A:$ZZ,19,FALSE)+SUM(_xlfn.XLOOKUP(R52:AF52,增益!$A:$A,增益!$S:$S,0)))+$B$12+SUM(_xlfn.XLOOKUP(R52:AF52,增益!$A:$A,增益!$V:$V,0))),0),12%)</f>
        <v>0.918</v>
      </c>
      <c r="BK52" s="27" cm="1">
        <f t="array" ref="BK52">1+$B$13+VLOOKUP($Q52,武学奇术!$A:$ZZ,18,FALSE)+SUM(_xlfn.XLOOKUP(R52:AF52,增益!$A:$A,增益!$R:$R,0))</f>
        <v>1.64</v>
      </c>
      <c r="BL52" s="27" cm="1">
        <f t="array" ref="BL52">MAX(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-IF(VLOOKUP($Q52,武学奇术!$A:$ZZ,32,FALSE)=1,12%,0),0)</f>
        <v>0.0895</v>
      </c>
      <c r="BM52" s="27" cm="1">
        <f t="array" ref="BM52">1+$B$14+VLOOKUP($Q52,武学奇术!$A:$ZZ,20,FALSE)+SUM(_xlfn.XLOOKUP(R52:AF52,增益!$A:$A,增益!$T:$T,0))</f>
        <v>1.35</v>
      </c>
      <c r="BN52" s="27">
        <f t="shared" si="9"/>
        <v>0.9105</v>
      </c>
      <c r="BO52" s="27">
        <f t="shared" si="10"/>
        <v>0</v>
      </c>
      <c r="BP52" s="27">
        <f>IF(VLOOKUP($Q52,武学奇术!$A:$ZZ,22,FALSE)=1,0,(1-$BI52))*(1-$BL52)</f>
        <v>0</v>
      </c>
      <c r="BQ52" s="27" cm="1">
        <f t="array" ref="BQ52">SUM(_xlfn.XLOOKUP(R52:AF52,增益!$A:$A,增益!$W:$W,0))+$I$5</f>
        <v>0.11</v>
      </c>
    </row>
    <row r="53" spans="1:69">
      <c r="K53" s="39">
        <f t="shared" si="0"/>
        <v>55484.7019085188</v>
      </c>
      <c r="L53" s="39">
        <f>((($AN53+($AO53-$AN53)*IF(VLOOKUP($Q53,武学奇术!$A:$ZZ,31,FALSE)=1,$F$18,0.5))*$AH53+$AI53)*(1+$AP53)*(1+$AQ53)+(($AS53+($AT53-$AS53)*IF(VLOOKUP($Q53,武学奇术!$A:$ZZ,31,FALSE)=1,$F$18,0.5))*IF($G$1="鸣金",$AJ53,$AH53)+IF($G$1="鸣金",$AK53*1.5,0))*(1+$AU53)*(1+$AV53)+(($AW53+($AX53-$AW53)*IF(VLOOKUP($Q53,武学奇术!$A:$ZZ,31,FALSE)=1,$F$18,0.5))*IF($G$1="裂石",$AJ53,$AH53)+IF($G$1="裂石",$AK53*1.5,0))*(1+$AY53)*(1+$AZ53)+(($BA53+($BB53-$BA53)*IF(VLOOKUP($Q53,武学奇术!$A:$ZZ,31,FALSE)=1,$F$18,0.5))*IF($G$1="牵丝",$AJ53,$AH53)+IF($G$1="牵丝",$AK53*1.5,0))*(1+$BC53)*(1+$BD53)+(($BE53+($BF53-$BE53)*IF(VLOOKUP($Q53,武学奇术!$A:$ZZ,31,FALSE)=1,$F$18,0.5))*IF($G$1="破竹",$AJ53,$AH53)+IF($G$1="破竹",$AK53*1.5,0))*(1+$BG53)*(1+$BH53))*(1+$AL53)*$BK53*$P53*(1+IF(VLOOKUP($Q53,武学奇术!$A:$ZZ,30,FALSE)="蓄力技",$B$21,0))*(1+$BQ53)</f>
        <v>56519.9944303525</v>
      </c>
      <c r="M53" s="39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44952.4802199205</v>
      </c>
      <c r="N53" s="39">
        <f>((($AN53+($AO53-$AN53)*IF(VLOOKUP($Q53,武学奇术!$A:$ZZ,31,FALSE)=1,$F$18,0.5))*$AH53+$AI53)*(1+$AP53)*(1+$AQ53)+(($AS53+($AT53-$AS53)*IF(VLOOKUP($Q53,武学奇术!$A:$ZZ,31,FALSE)=1,$F$18,0.5))*IF($G$1="鸣金",$AJ53,$AH53)+IF($G$1="鸣金",$AK53*1.5,0))*(1+$AU53)*(1+$AV53)+(($AW53+($AX53-$AW53)*IF(VLOOKUP($Q53,武学奇术!$A:$ZZ,31,FALSE)=1,$F$18,0.5))*IF($G$1="裂石",$AJ53,$AH53)+IF($G$1="裂石",$AK53*1.5,0))*(1+$AY53)*(1+$AZ53)+(($BA53+($BB53-$BA53)*IF(VLOOKUP($Q53,武学奇术!$A:$ZZ,31,FALSE)=1,$F$18,0.5))*IF($G$1="牵丝",$AJ53,$AH53)+IF($G$1="牵丝",$AK53*1.5,0))*(1+$BC53)*(1+$BD53)+(($BE53+($BF53-$BE53)*IF(VLOOKUP($Q53,武学奇术!$A:$ZZ,31,FALSE)=1,$F$18,0.5))*IF($G$1="破竹",$AJ53,$AH53)+IF($G$1="破竹",$AK53*1.5,0))*(1+$BG53)*(1+$BH53))*(1+$AL53)*$P53*(1+IF(VLOOKUP($Q53,武学奇术!$A:$ZZ,30,FALSE)="蓄力技",$B$21,0))*(1+$BQ53)</f>
        <v>29134.0177476044</v>
      </c>
      <c r="O53" s="39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24969.9019989713</v>
      </c>
      <c r="P53" s="40">
        <v>1</v>
      </c>
      <c r="Q53" s="41" t="s">
        <v>100</v>
      </c>
      <c r="R53" s="41" t="s">
        <v>93</v>
      </c>
      <c r="S53" s="41" t="s">
        <v>72</v>
      </c>
      <c r="T53" s="41" t="s">
        <v>72</v>
      </c>
      <c r="U53" s="41" t="s">
        <v>72</v>
      </c>
      <c r="V53" s="41" t="s">
        <v>72</v>
      </c>
      <c r="W53" s="41" t="s">
        <v>72</v>
      </c>
      <c r="X53" s="41" t="s">
        <v>165</v>
      </c>
      <c r="Y53" s="41" t="s">
        <v>81</v>
      </c>
      <c r="Z53" s="41" t="s">
        <v>101</v>
      </c>
      <c r="AA53" s="41" t="s">
        <v>72</v>
      </c>
      <c r="AB53" s="41" t="s">
        <v>72</v>
      </c>
      <c r="AC53" s="41" t="s">
        <v>72</v>
      </c>
      <c r="AD53" s="41" t="s">
        <v>72</v>
      </c>
      <c r="AE53" s="41" t="s">
        <v>75</v>
      </c>
      <c r="AF53" s="41" t="s">
        <v>76</v>
      </c>
      <c r="AG53" t="str">
        <f>VLOOKUP($Q53,武学奇术!$A:$ZZ,25,FALSE)</f>
        <v>绳镖</v>
      </c>
      <c r="AH53" s="27">
        <f>VLOOKUP($Q53,武学奇术!$A:$ZZ,26,FALSE)</f>
        <v>2.33376</v>
      </c>
      <c r="AI53" s="28">
        <f>VLOOKUP($Q53,武学奇术!$A:$ZZ,27,FALSE)*(1+IF(OR($AG53=$F$4,$AG53=$F$5),$B$22,0))</f>
        <v>0</v>
      </c>
      <c r="AJ53" s="27">
        <f>VLOOKUP($Q53,武学奇术!$A:$ZZ,28,FALSE)</f>
        <v>3.50064</v>
      </c>
      <c r="AK53" s="28">
        <f>VLOOKUP($Q53,武学奇术!$A:$ZZ,29,FALSE)*(1+IF(OR($AG53=$F$4,$AG53=$F$5),$B$22,0))</f>
        <v>0</v>
      </c>
      <c r="AL53" s="27" cm="1">
        <f t="array" ref="AL53">$G$3+IFERROR(VLOOKUP($AG53,$F$4:$G$7,2,FALSE),0)+VLOOKUP($Q53,武学奇术!$A:$ZZ,2,FALSE)+SUM(_xlfn.XLOOKUP($R53:$AF53,增益!$A:$A,增益!$B:$B,0))</f>
        <v>0.5389</v>
      </c>
      <c r="AM53" s="27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3742.006</v>
      </c>
      <c r="AO53" cm="1">
        <f t="array" ref="AO53">$E$10*(1+$AM53)+VLOOKUP($Q53,武学奇术!$A:$ZZ,4,FALSE)+SUM(_xlfn.XLOOKUP($R53:$AF53,增益!$A:$A,增益!$D:$D,0))-$I$2</f>
        <v>3742.006</v>
      </c>
      <c r="AP53" s="33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0.247</v>
      </c>
      <c r="AQ53" s="33" cm="1">
        <f t="array" ref="AQ53">$G$10+VLOOKUP($Q53,武学奇术!$A:$ZZ,7,FALSE)+SUM(_xlfn.XLOOKUP(R53:AF53,增益!$A:$A,增益!$G:$G,0))</f>
        <v>0.09</v>
      </c>
      <c r="AR53" s="27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3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-0.08</v>
      </c>
      <c r="AV53" s="33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3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-0.08</v>
      </c>
      <c r="AZ53" s="33" cm="1">
        <f t="array" ref="AZ53">$G$12+VLOOKUP($Q53,武学奇术!$A:$ZZ,12,FALSE)+SUM(_xlfn.XLOOKUP(R53:AF53,增益!$A:$A,增益!$L:$L,0))</f>
        <v>0</v>
      </c>
      <c r="BA53">
        <f t="shared" si="5"/>
        <v>0</v>
      </c>
      <c r="BB53">
        <f t="shared" si="6"/>
        <v>0</v>
      </c>
      <c r="BC53" s="33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-0.08</v>
      </c>
      <c r="BD53" s="33" cm="1">
        <f t="array" ref="BD53">$G$13+VLOOKUP($Q53,武学奇术!$A:$ZZ,14,FALSE)+SUM(_xlfn.XLOOKUP(R53:AF53,增益!$A:$A,增益!$N:$N,0))</f>
        <v>0</v>
      </c>
      <c r="BE53">
        <f t="shared" si="7"/>
        <v>570.28</v>
      </c>
      <c r="BF53">
        <f t="shared" si="8"/>
        <v>1582.156</v>
      </c>
      <c r="BG53" s="33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0.11</v>
      </c>
      <c r="BH53" s="33" cm="1">
        <f t="array" ref="BH53">$G$14+VLOOKUP($Q53,武学奇术!$A:$ZZ,16,FALSE)+SUM(_xlfn.XLOOKUP(R53:AF53,增益!$A:$A,增益!$P:$P,0))</f>
        <v>0.24</v>
      </c>
      <c r="BI53" s="27">
        <f>MIN(IF(VLOOKUP($Q53,武学奇术!$A:$ZZ,23,FALSE)=1,100%,$B$8),100%)</f>
        <v>1</v>
      </c>
      <c r="BJ53" s="27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+MIN(IF(VLOOKUP($Q53,武学奇术!$A:$ZZ,32,FALSE)=1,IF(VLOOKUP($Q53,武学奇术!$A:$ZZ,24,FALSE)=1,100%,MIN(40%,$B$10+VLOOKUP($Q53,武学奇术!$A:$ZZ,19,FALSE)+SUM(_xlfn.XLOOKUP(R53:AF53,增益!$A:$A,增益!$S:$S,0)))+$B$12+SUM(_xlfn.XLOOKUP(R53:AF53,增益!$A:$A,增益!$V:$V,0))),0),12%)</f>
        <v>0.918</v>
      </c>
      <c r="BK53" s="27" cm="1">
        <f t="array" ref="BK53">1+$B$13+VLOOKUP($Q53,武学奇术!$A:$ZZ,18,FALSE)+SUM(_xlfn.XLOOKUP(R53:AF53,增益!$A:$A,增益!$R:$R,0))</f>
        <v>1.94</v>
      </c>
      <c r="BL53" s="27" cm="1">
        <f t="array" ref="BL53">MAX(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-IF(VLOOKUP($Q53,武学奇术!$A:$ZZ,32,FALSE)=1,12%,0),0)</f>
        <v>0.0895</v>
      </c>
      <c r="BM53" s="27" cm="1">
        <f t="array" ref="BM53">1+$B$14+VLOOKUP($Q53,武学奇术!$A:$ZZ,20,FALSE)+SUM(_xlfn.XLOOKUP(R53:AF53,增益!$A:$A,增益!$T:$T,0))</f>
        <v>1.35</v>
      </c>
      <c r="BN53" s="27">
        <f t="shared" si="9"/>
        <v>0.9105</v>
      </c>
      <c r="BO53" s="27">
        <f t="shared" si="10"/>
        <v>0</v>
      </c>
      <c r="BP53" s="27">
        <f>IF(VLOOKUP($Q53,武学奇术!$A:$ZZ,22,FALSE)=1,0,(1-$BI53))*(1-$BL53)</f>
        <v>0</v>
      </c>
      <c r="BQ53" s="27" cm="1">
        <f t="array" ref="BQ53">SUM(_xlfn.XLOOKUP(R53:AF53,增益!$A:$A,增益!$W:$W,0))+$I$5</f>
        <v>0.11</v>
      </c>
    </row>
    <row r="54" spans="1:69">
      <c r="A54" s="4"/>
      <c r="B54" s="4"/>
      <c r="K54" s="39">
        <f t="shared" si="0"/>
        <v>28646.7661338797</v>
      </c>
      <c r="L54" s="39">
        <f>((($AN54+($AO54-$AN54)*IF(VLOOKUP($Q54,武学奇术!$A:$ZZ,31,FALSE)=1,$F$18,0.5))*$AH54+$AI54)*(1+$AP54)*(1+$AQ54)+(($AS54+($AT54-$AS54)*IF(VLOOKUP($Q54,武学奇术!$A:$ZZ,31,FALSE)=1,$F$18,0.5))*IF($G$1="鸣金",$AJ54,$AH54)+IF($G$1="鸣金",$AK54*1.5,0))*(1+$AU54)*(1+$AV54)+(($AW54+($AX54-$AW54)*IF(VLOOKUP($Q54,武学奇术!$A:$ZZ,31,FALSE)=1,$F$18,0.5))*IF($G$1="裂石",$AJ54,$AH54)+IF($G$1="裂石",$AK54*1.5,0))*(1+$AY54)*(1+$AZ54)+(($BA54+($BB54-$BA54)*IF(VLOOKUP($Q54,武学奇术!$A:$ZZ,31,FALSE)=1,$F$18,0.5))*IF($G$1="牵丝",$AJ54,$AH54)+IF($G$1="牵丝",$AK54*1.5,0))*(1+$BC54)*(1+$BD54)+(($BE54+($BF54-$BE54)*IF(VLOOKUP($Q54,武学奇术!$A:$ZZ,31,FALSE)=1,$F$18,0.5))*IF($G$1="破竹",$AJ54,$AH54)+IF($G$1="破竹",$AK54*1.5,0))*(1+$BG54)*(1+$BH54))*(1+$AL54)*$BK54*$P54*(1+IF(VLOOKUP($Q54,武学奇术!$A:$ZZ,30,FALSE)="蓄力技",$B$21,0))*(1+$BQ54)</f>
        <v>28849.4111439039</v>
      </c>
      <c r="M54" s="39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26585.2210877675</v>
      </c>
      <c r="N54" s="39">
        <f>((($AN54+($AO54-$AN54)*IF(VLOOKUP($Q54,武学奇术!$A:$ZZ,31,FALSE)=1,$F$18,0.5))*$AH54+$AI54)*(1+$AP54)*(1+$AQ54)+(($AS54+($AT54-$AS54)*IF(VLOOKUP($Q54,武学奇术!$A:$ZZ,31,FALSE)=1,$F$18,0.5))*IF($G$1="鸣金",$AJ54,$AH54)+IF($G$1="鸣金",$AK54*1.5,0))*(1+$AU54)*(1+$AV54)+(($AW54+($AX54-$AW54)*IF(VLOOKUP($Q54,武学奇术!$A:$ZZ,31,FALSE)=1,$F$18,0.5))*IF($G$1="裂石",$AJ54,$AH54)+IF($G$1="裂石",$AK54*1.5,0))*(1+$AY54)*(1+$AZ54)+(($BA54+($BB54-$BA54)*IF(VLOOKUP($Q54,武学奇术!$A:$ZZ,31,FALSE)=1,$F$18,0.5))*IF($G$1="牵丝",$AJ54,$AH54)+IF($G$1="牵丝",$AK54*1.5,0))*(1+$BC54)*(1+$BD54)+(($BE54+($BF54-$BE54)*IF(VLOOKUP($Q54,武学奇术!$A:$ZZ,31,FALSE)=1,$F$18,0.5))*IF($G$1="破竹",$AJ54,$AH54)+IF($G$1="破竹",$AK54*1.5,0))*(1+$BG54)*(1+$BH54))*(1+$AL54)*$P54*(1+IF(VLOOKUP($Q54,武学奇术!$A:$ZZ,30,FALSE)="蓄力技",$B$21,0))*(1+$BQ54)</f>
        <v>17591.1043560389</v>
      </c>
      <c r="O54" s="39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15489.4523507687</v>
      </c>
      <c r="P54" s="40">
        <v>1</v>
      </c>
      <c r="Q54" s="41" t="s">
        <v>106</v>
      </c>
      <c r="R54" s="41" t="s">
        <v>93</v>
      </c>
      <c r="S54" s="41" t="s">
        <v>72</v>
      </c>
      <c r="T54" s="41" t="s">
        <v>72</v>
      </c>
      <c r="U54" s="41" t="s">
        <v>72</v>
      </c>
      <c r="V54" s="41" t="s">
        <v>176</v>
      </c>
      <c r="W54" s="41" t="s">
        <v>177</v>
      </c>
      <c r="X54" s="41" t="s">
        <v>165</v>
      </c>
      <c r="Y54" s="41" t="s">
        <v>72</v>
      </c>
      <c r="Z54" s="41" t="s">
        <v>72</v>
      </c>
      <c r="AA54" s="41" t="s">
        <v>72</v>
      </c>
      <c r="AB54" s="41" t="s">
        <v>72</v>
      </c>
      <c r="AC54" s="41" t="s">
        <v>72</v>
      </c>
      <c r="AD54" s="41" t="s">
        <v>72</v>
      </c>
      <c r="AE54" s="41" t="s">
        <v>75</v>
      </c>
      <c r="AF54" s="41" t="s">
        <v>76</v>
      </c>
      <c r="AG54" t="str">
        <f>VLOOKUP($Q54,武学奇术!$A:$ZZ,25,FALSE)</f>
        <v>拳甲</v>
      </c>
      <c r="AH54" s="27">
        <f>VLOOKUP($Q54,武学奇术!$A:$ZZ,26,FALSE)</f>
        <v>1.2876</v>
      </c>
      <c r="AI54" s="28">
        <f>VLOOKUP($Q54,武学奇术!$A:$ZZ,27,FALSE)*(1+IF(OR($AG54=$F$4,$AG54=$F$5),$B$22,0))</f>
        <v>501.2</v>
      </c>
      <c r="AJ54" s="27">
        <f>VLOOKUP($Q54,武学奇术!$A:$ZZ,28,FALSE)</f>
        <v>1.9313</v>
      </c>
      <c r="AK54" s="28">
        <f>VLOOKUP($Q54,武学奇术!$A:$ZZ,29,FALSE)*(1+IF(OR($AG54=$F$4,$AG54=$F$5),$B$22,0))</f>
        <v>273</v>
      </c>
      <c r="AL54" s="27" cm="1">
        <f t="array" ref="AL54">$G$3+IFERROR(VLOOKUP($AG54,$F$4:$G$7,2,FALSE),0)+VLOOKUP($Q54,武学奇术!$A:$ZZ,2,FALSE)+SUM(_xlfn.XLOOKUP($R54:$AF54,增益!$A:$A,增益!$B:$B,0))</f>
        <v>0.3241</v>
      </c>
      <c r="AM54" s="27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3742.006</v>
      </c>
      <c r="AO54" cm="1">
        <f t="array" ref="AO54">$E$10*(1+$AM54)+VLOOKUP($Q54,武学奇术!$A:$ZZ,4,FALSE)+SUM(_xlfn.XLOOKUP($R54:$AF54,增益!$A:$A,增益!$D:$D,0))-$I$2</f>
        <v>3742.006</v>
      </c>
      <c r="AP54" s="33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0.217</v>
      </c>
      <c r="AQ54" s="33" cm="1">
        <f t="array" ref="AQ54">$G$10+VLOOKUP($Q54,武学奇术!$A:$ZZ,7,FALSE)+SUM(_xlfn.XLOOKUP(R54:AF54,增益!$A:$A,增益!$G:$G,0))</f>
        <v>0.09</v>
      </c>
      <c r="AR54" s="27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3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3" cm="1">
        <f t="array" ref="AV54">$G$11+VLOOKUP($Q54,武学奇术!$A:$ZZ,10,FALSE)+SUM(_xlfn.XLOOKUP(R54:AF54,增益!$A:$A,增益!$J:$J,0))</f>
        <v>0.1</v>
      </c>
      <c r="AW54">
        <f t="shared" si="3"/>
        <v>0</v>
      </c>
      <c r="AX54">
        <f t="shared" si="4"/>
        <v>0</v>
      </c>
      <c r="AY54" s="33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3" cm="1">
        <f t="array" ref="AZ54">$G$12+VLOOKUP($Q54,武学奇术!$A:$ZZ,12,FALSE)+SUM(_xlfn.XLOOKUP(R54:AF54,增益!$A:$A,增益!$L:$L,0))</f>
        <v>0</v>
      </c>
      <c r="BA54">
        <f t="shared" si="5"/>
        <v>0</v>
      </c>
      <c r="BB54">
        <f t="shared" si="6"/>
        <v>0</v>
      </c>
      <c r="BC54" s="33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-0.3</v>
      </c>
      <c r="BD54" s="33" cm="1">
        <f t="array" ref="BD54">$G$13+VLOOKUP($Q54,武学奇术!$A:$ZZ,14,FALSE)+SUM(_xlfn.XLOOKUP(R54:AF54,增益!$A:$A,增益!$N:$N,0))</f>
        <v>0</v>
      </c>
      <c r="BE54">
        <f t="shared" si="7"/>
        <v>570.28</v>
      </c>
      <c r="BF54">
        <f t="shared" si="8"/>
        <v>1582.156</v>
      </c>
      <c r="BG54" s="33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0</v>
      </c>
      <c r="BH54" s="33" cm="1">
        <f t="array" ref="BH54">$G$14+VLOOKUP($Q54,武学奇术!$A:$ZZ,16,FALSE)+SUM(_xlfn.XLOOKUP(R54:AF54,增益!$A:$A,增益!$P:$P,0))</f>
        <v>0.24</v>
      </c>
      <c r="BI54" s="27">
        <f>MIN(IF(VLOOKUP($Q54,武学奇术!$A:$ZZ,23,FALSE)=1,100%,$B$8),100%)</f>
        <v>1</v>
      </c>
      <c r="BJ54" s="27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+MIN(IF(VLOOKUP($Q54,武学奇术!$A:$ZZ,32,FALSE)=1,IF(VLOOKUP($Q54,武学奇术!$A:$ZZ,24,FALSE)=1,100%,MIN(40%,$B$10+VLOOKUP($Q54,武学奇术!$A:$ZZ,19,FALSE)+SUM(_xlfn.XLOOKUP(R54:AF54,增益!$A:$A,增益!$S:$S,0)))+$B$12+SUM(_xlfn.XLOOKUP(R54:AF54,增益!$A:$A,增益!$V:$V,0))),0),12%)</f>
        <v>0.918</v>
      </c>
      <c r="BK54" s="27" cm="1">
        <f t="array" ref="BK54">1+$B$13+VLOOKUP($Q54,武学奇术!$A:$ZZ,18,FALSE)+SUM(_xlfn.XLOOKUP(R54:AF54,增益!$A:$A,增益!$R:$R,0))</f>
        <v>1.64</v>
      </c>
      <c r="BL54" s="27" cm="1">
        <f t="array" ref="BL54">MAX(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-IF(VLOOKUP($Q54,武学奇术!$A:$ZZ,32,FALSE)=1,12%,0),0)</f>
        <v>0.0895</v>
      </c>
      <c r="BM54" s="27" cm="1">
        <f t="array" ref="BM54">1+$B$14+VLOOKUP($Q54,武学奇术!$A:$ZZ,20,FALSE)+SUM(_xlfn.XLOOKUP(R54:AF54,增益!$A:$A,增益!$T:$T,0))</f>
        <v>1.35</v>
      </c>
      <c r="BN54" s="27">
        <f t="shared" si="9"/>
        <v>0.9105</v>
      </c>
      <c r="BO54" s="27">
        <f t="shared" si="10"/>
        <v>0</v>
      </c>
      <c r="BP54" s="27">
        <f>IF(VLOOKUP($Q54,武学奇术!$A:$ZZ,22,FALSE)=1,0,(1-$BI54))*(1-$BL54)</f>
        <v>0</v>
      </c>
      <c r="BQ54" s="27" cm="1">
        <f t="array" ref="BQ54">SUM(_xlfn.XLOOKUP(R54:AF54,增益!$A:$A,增益!$W:$W,0))+$I$5</f>
        <v>0.31</v>
      </c>
    </row>
    <row r="55" spans="1:69">
      <c r="A55" s="4"/>
      <c r="B55" s="91"/>
      <c r="F55" s="4"/>
      <c r="G55" s="91"/>
      <c r="K55" s="39">
        <f t="shared" si="0"/>
        <v>80994.0965933162</v>
      </c>
      <c r="L55" s="39">
        <f>((($AN55+($AO55-$AN55)*IF(VLOOKUP($Q55,武学奇术!$A:$ZZ,31,FALSE)=1,$F$18,0.5))*$AH55+$AI55)*(1+$AP55)*(1+$AQ55)+(($AS55+($AT55-$AS55)*IF(VLOOKUP($Q55,武学奇术!$A:$ZZ,31,FALSE)=1,$F$18,0.5))*IF($G$1="鸣金",$AJ55,$AH55)+IF($G$1="鸣金",$AK55*1.5,0))*(1+$AU55)*(1+$AV55)+(($AW55+($AX55-$AW55)*IF(VLOOKUP($Q55,武学奇术!$A:$ZZ,31,FALSE)=1,$F$18,0.5))*IF($G$1="裂石",$AJ55,$AH55)+IF($G$1="裂石",$AK55*1.5,0))*(1+$AY55)*(1+$AZ55)+(($BA55+($BB55-$BA55)*IF(VLOOKUP($Q55,武学奇术!$A:$ZZ,31,FALSE)=1,$F$18,0.5))*IF($G$1="牵丝",$AJ55,$AH55)+IF($G$1="牵丝",$AK55*1.5,0))*(1+$BC55)*(1+$BD55)+(($BE55+($BF55-$BE55)*IF(VLOOKUP($Q55,武学奇术!$A:$ZZ,31,FALSE)=1,$F$18,0.5))*IF($G$1="破竹",$AJ55,$AH55)+IF($G$1="破竹",$AK55*1.5,0))*(1+$BG55)*(1+$BH55))*(1+$AL55)*$BK55*$P55*(1+IF(VLOOKUP($Q55,武学奇术!$A:$ZZ,30,FALSE)="蓄力技",$B$21,0))*(1+$BQ55)</f>
        <v>83271.2012209935</v>
      </c>
      <c r="M55" s="39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57828.6914145439</v>
      </c>
      <c r="N55" s="39">
        <f>((($AN55+($AO55-$AN55)*IF(VLOOKUP($Q55,武学奇术!$A:$ZZ,31,FALSE)=1,$F$18,0.5))*$AH55+$AI55)*(1+$AP55)*(1+$AQ55)+(($AS55+($AT55-$AS55)*IF(VLOOKUP($Q55,武学奇术!$A:$ZZ,31,FALSE)=1,$F$18,0.5))*IF($G$1="鸣金",$AJ55,$AH55)+IF($G$1="鸣金",$AK55*1.5,0))*(1+$AU55)*(1+$AV55)+(($AW55+($AX55-$AW55)*IF(VLOOKUP($Q55,武学奇术!$A:$ZZ,31,FALSE)=1,$F$18,0.5))*IF($G$1="裂石",$AJ55,$AH55)+IF($G$1="裂石",$AK55*1.5,0))*(1+$AY55)*(1+$AZ55)+(($BA55+($BB55-$BA55)*IF(VLOOKUP($Q55,武学奇术!$A:$ZZ,31,FALSE)=1,$F$18,0.5))*IF($G$1="牵丝",$AJ55,$AH55)+IF($G$1="牵丝",$AK55*1.5,0))*(1+$BC55)*(1+$BD55)+(($BE55+($BF55-$BE55)*IF(VLOOKUP($Q55,武学奇术!$A:$ZZ,31,FALSE)=1,$F$18,0.5))*IF($G$1="破竹",$AJ55,$AH55)+IF($G$1="破竹",$AK55*1.5,0))*(1+$BG55)*(1+$BH55))*(1+$AL55)*$P55*(1+IF(VLOOKUP($Q55,武学奇术!$A:$ZZ,30,FALSE)="蓄力技",$B$21,0))*(1+$BQ55)</f>
        <v>38023.3795529651</v>
      </c>
      <c r="O55" s="39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33210.6913914532</v>
      </c>
      <c r="P55" s="40">
        <v>1</v>
      </c>
      <c r="Q55" s="41" t="s">
        <v>108</v>
      </c>
      <c r="R55" s="41" t="s">
        <v>93</v>
      </c>
      <c r="S55" s="41" t="s">
        <v>118</v>
      </c>
      <c r="T55" s="41" t="s">
        <v>72</v>
      </c>
      <c r="U55" s="41" t="s">
        <v>72</v>
      </c>
      <c r="V55" s="41" t="s">
        <v>176</v>
      </c>
      <c r="W55" s="41" t="s">
        <v>177</v>
      </c>
      <c r="X55" s="41" t="s">
        <v>165</v>
      </c>
      <c r="Y55" s="41" t="s">
        <v>72</v>
      </c>
      <c r="Z55" s="41" t="s">
        <v>101</v>
      </c>
      <c r="AA55" s="41" t="s">
        <v>72</v>
      </c>
      <c r="AB55" s="41" t="s">
        <v>72</v>
      </c>
      <c r="AC55" s="41" t="s">
        <v>72</v>
      </c>
      <c r="AD55" s="41" t="s">
        <v>72</v>
      </c>
      <c r="AE55" s="41" t="s">
        <v>75</v>
      </c>
      <c r="AF55" s="41" t="s">
        <v>76</v>
      </c>
      <c r="AG55" t="str">
        <f>VLOOKUP($Q55,武学奇术!$A:$ZZ,25,FALSE)</f>
        <v>拳甲</v>
      </c>
      <c r="AH55" s="27">
        <f>VLOOKUP($Q55,武学奇术!$A:$ZZ,26,FALSE)</f>
        <v>2.33376</v>
      </c>
      <c r="AI55" s="28">
        <f>VLOOKUP($Q55,武学奇术!$A:$ZZ,27,FALSE)*(1+IF(OR($AG55=$F$4,$AG55=$F$5),$B$22,0))</f>
        <v>0</v>
      </c>
      <c r="AJ55" s="27">
        <f>VLOOKUP($Q55,武学奇术!$A:$ZZ,28,FALSE)</f>
        <v>3.50064</v>
      </c>
      <c r="AK55" s="28">
        <f>VLOOKUP($Q55,武学奇术!$A:$ZZ,29,FALSE)*(1+IF(OR($AG55=$F$4,$AG55=$F$5),$B$22,0))</f>
        <v>0</v>
      </c>
      <c r="AL55" s="27" cm="1">
        <f t="array" ref="AL55">$G$3+IFERROR(VLOOKUP($AG55,$F$4:$G$7,2,FALSE),0)+VLOOKUP($Q55,武学奇术!$A:$ZZ,2,FALSE)+SUM(_xlfn.XLOOKUP($R55:$AF55,增益!$A:$A,增益!$B:$B,0))</f>
        <v>0.6241</v>
      </c>
      <c r="AM55" s="27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3742.006</v>
      </c>
      <c r="AO55" cm="1">
        <f t="array" ref="AO55">$E$10*(1+$AM55)+VLOOKUP($Q55,武学奇术!$A:$ZZ,4,FALSE)+SUM(_xlfn.XLOOKUP($R55:$AF55,增益!$A:$A,增益!$D:$D,0))-$I$2</f>
        <v>3742.006</v>
      </c>
      <c r="AP55" s="33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0.372</v>
      </c>
      <c r="AQ55" s="33" cm="1">
        <f t="array" ref="AQ55">$G$10+VLOOKUP($Q55,武学奇术!$A:$ZZ,7,FALSE)+SUM(_xlfn.XLOOKUP(R55:AF55,增益!$A:$A,增益!$G:$G,0))</f>
        <v>0.09</v>
      </c>
      <c r="AR55" s="27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3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-0.24</v>
      </c>
      <c r="AV55" s="33" cm="1">
        <f t="array" ref="AV55">$G$11+VLOOKUP($Q55,武学奇术!$A:$ZZ,10,FALSE)+SUM(_xlfn.XLOOKUP(R55:AF55,增益!$A:$A,增益!$J:$J,0))</f>
        <v>0.1</v>
      </c>
      <c r="AW55">
        <f t="shared" si="3"/>
        <v>0</v>
      </c>
      <c r="AX55">
        <f t="shared" si="4"/>
        <v>0</v>
      </c>
      <c r="AY55" s="33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-0.24</v>
      </c>
      <c r="AZ55" s="33" cm="1">
        <f t="array" ref="AZ55">$G$12+VLOOKUP($Q55,武学奇术!$A:$ZZ,12,FALSE)+SUM(_xlfn.XLOOKUP(R55:AF55,增益!$A:$A,增益!$L:$L,0))</f>
        <v>0</v>
      </c>
      <c r="BA55">
        <f t="shared" si="5"/>
        <v>0</v>
      </c>
      <c r="BB55">
        <f t="shared" si="6"/>
        <v>0</v>
      </c>
      <c r="BC55" s="33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-0.24</v>
      </c>
      <c r="BD55" s="33" cm="1">
        <f t="array" ref="BD55">$G$13+VLOOKUP($Q55,武学奇术!$A:$ZZ,14,FALSE)+SUM(_xlfn.XLOOKUP(R55:AF55,增益!$A:$A,增益!$N:$N,0))</f>
        <v>0</v>
      </c>
      <c r="BE55">
        <f t="shared" si="7"/>
        <v>570.28</v>
      </c>
      <c r="BF55">
        <f t="shared" si="8"/>
        <v>1582.156</v>
      </c>
      <c r="BG55" s="33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0.03</v>
      </c>
      <c r="BH55" s="33" cm="1">
        <f t="array" ref="BH55">$G$14+VLOOKUP($Q55,武学奇术!$A:$ZZ,16,FALSE)+SUM(_xlfn.XLOOKUP(R55:AF55,增益!$A:$A,增益!$P:$P,0))</f>
        <v>0.24</v>
      </c>
      <c r="BI55" s="27">
        <f>MIN(IF(VLOOKUP($Q55,武学奇术!$A:$ZZ,23,FALSE)=1,100%,$B$8),100%)</f>
        <v>1</v>
      </c>
      <c r="BJ55" s="27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+MIN(IF(VLOOKUP($Q55,武学奇术!$A:$ZZ,32,FALSE)=1,IF(VLOOKUP($Q55,武学奇术!$A:$ZZ,24,FALSE)=1,100%,MIN(40%,$B$10+VLOOKUP($Q55,武学奇术!$A:$ZZ,19,FALSE)+SUM(_xlfn.XLOOKUP(R55:AF55,增益!$A:$A,增益!$S:$S,0)))+$B$12+SUM(_xlfn.XLOOKUP(R55:AF55,增益!$A:$A,增益!$V:$V,0))),0),12%)</f>
        <v>0.918</v>
      </c>
      <c r="BK55" s="27" cm="1">
        <f t="array" ref="BK55">1+$B$13+VLOOKUP($Q55,武学奇术!$A:$ZZ,18,FALSE)+SUM(_xlfn.XLOOKUP(R55:AF55,增益!$A:$A,增益!$R:$R,0))</f>
        <v>2.19</v>
      </c>
      <c r="BL55" s="27" cm="1">
        <f t="array" ref="BL55">MAX(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-IF(VLOOKUP($Q55,武学奇术!$A:$ZZ,32,FALSE)=1,12%,0),0)</f>
        <v>0.0895</v>
      </c>
      <c r="BM55" s="27" cm="1">
        <f t="array" ref="BM55">1+$B$14+VLOOKUP($Q55,武学奇术!$A:$ZZ,20,FALSE)+SUM(_xlfn.XLOOKUP(R55:AF55,增益!$A:$A,增益!$T:$T,0))</f>
        <v>1.35</v>
      </c>
      <c r="BN55" s="27">
        <f t="shared" si="9"/>
        <v>0.9105</v>
      </c>
      <c r="BO55" s="27">
        <f t="shared" si="10"/>
        <v>0</v>
      </c>
      <c r="BP55" s="27">
        <f>IF(VLOOKUP($Q55,武学奇术!$A:$ZZ,22,FALSE)=1,0,(1-$BI55))*(1-$BL55)</f>
        <v>0</v>
      </c>
      <c r="BQ55" s="27" cm="1">
        <f t="array" ref="BQ55">SUM(_xlfn.XLOOKUP(R55:AF55,增益!$A:$A,增益!$W:$W,0))+$I$5</f>
        <v>0.31</v>
      </c>
    </row>
    <row r="56" spans="1:69">
      <c r="K56" s="39">
        <f t="shared" si="0"/>
        <v>66261.8059084569</v>
      </c>
      <c r="L56" s="39">
        <f>((($AN56+($AO56-$AN56)*IF(VLOOKUP($Q56,武学奇术!$A:$ZZ,31,FALSE)=1,$F$18,0.5))*$AH56+$AI56)*(1+$AP56)*(1+$AQ56)+(($AS56+($AT56-$AS56)*IF(VLOOKUP($Q56,武学奇术!$A:$ZZ,31,FALSE)=1,$F$18,0.5))*IF($G$1="鸣金",$AJ56,$AH56)+IF($G$1="鸣金",$AK56*1.5,0))*(1+$AU56)*(1+$AV56)+(($AW56+($AX56-$AW56)*IF(VLOOKUP($Q56,武学奇术!$A:$ZZ,31,FALSE)=1,$F$18,0.5))*IF($G$1="裂石",$AJ56,$AH56)+IF($G$1="裂石",$AK56*1.5,0))*(1+$AY56)*(1+$AZ56)+(($BA56+($BB56-$BA56)*IF(VLOOKUP($Q56,武学奇术!$A:$ZZ,31,FALSE)=1,$F$18,0.5))*IF($G$1="牵丝",$AJ56,$AH56)+IF($G$1="牵丝",$AK56*1.5,0))*(1+$BC56)*(1+$BD56)+(($BE56+($BF56-$BE56)*IF(VLOOKUP($Q56,武学奇术!$A:$ZZ,31,FALSE)=1,$F$18,0.5))*IF($G$1="破竹",$AJ56,$AH56)+IF($G$1="破竹",$AK56*1.5,0))*(1+$BG56)*(1+$BH56))*(1+$AL56)*$BK56*$P56*(1+IF(VLOOKUP($Q56,武学奇术!$A:$ZZ,30,FALSE)="蓄力技",$B$21,0))*(1+$BQ56)</f>
        <v>67506.3672588348</v>
      </c>
      <c r="M56" s="39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53600.6538467909</v>
      </c>
      <c r="N56" s="39">
        <f>((($AN56+($AO56-$AN56)*IF(VLOOKUP($Q56,武学奇术!$A:$ZZ,31,FALSE)=1,$F$18,0.5))*$AH56+$AI56)*(1+$AP56)*(1+$AQ56)+(($AS56+($AT56-$AS56)*IF(VLOOKUP($Q56,武学奇术!$A:$ZZ,31,FALSE)=1,$F$18,0.5))*IF($G$1="鸣金",$AJ56,$AH56)+IF($G$1="鸣金",$AK56*1.5,0))*(1+$AU56)*(1+$AV56)+(($AW56+($AX56-$AW56)*IF(VLOOKUP($Q56,武学奇术!$A:$ZZ,31,FALSE)=1,$F$18,0.5))*IF($G$1="裂石",$AJ56,$AH56)+IF($G$1="裂石",$AK56*1.5,0))*(1+$AY56)*(1+$AZ56)+(($BA56+($BB56-$BA56)*IF(VLOOKUP($Q56,武学奇术!$A:$ZZ,31,FALSE)=1,$F$18,0.5))*IF($G$1="牵丝",$AJ56,$AH56)+IF($G$1="牵丝",$AK56*1.5,0))*(1+$BC56)*(1+$BD56)+(($BE56+($BF56-$BE56)*IF(VLOOKUP($Q56,武学奇术!$A:$ZZ,31,FALSE)=1,$F$18,0.5))*IF($G$1="破竹",$AJ56,$AH56)+IF($G$1="破竹",$AK56*1.5,0))*(1+$BG56)*(1+$BH56))*(1+$AL56)*$P56*(1+IF(VLOOKUP($Q56,武学奇术!$A:$ZZ,30,FALSE)="蓄力技",$B$21,0))*(1+$BQ56)</f>
        <v>35717.6546343041</v>
      </c>
      <c r="O56" s="39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31731.1212339483</v>
      </c>
      <c r="P56" s="40">
        <v>1</v>
      </c>
      <c r="Q56" s="41" t="s">
        <v>111</v>
      </c>
      <c r="R56" s="41" t="s">
        <v>93</v>
      </c>
      <c r="S56" s="41" t="s">
        <v>118</v>
      </c>
      <c r="T56" s="41" t="s">
        <v>72</v>
      </c>
      <c r="U56" s="41" t="s">
        <v>72</v>
      </c>
      <c r="V56" s="41" t="s">
        <v>176</v>
      </c>
      <c r="W56" s="41" t="s">
        <v>177</v>
      </c>
      <c r="X56" s="41" t="s">
        <v>165</v>
      </c>
      <c r="Y56" s="41" t="s">
        <v>72</v>
      </c>
      <c r="Z56" s="41" t="s">
        <v>72</v>
      </c>
      <c r="AA56" s="41" t="s">
        <v>72</v>
      </c>
      <c r="AB56" s="41" t="s">
        <v>72</v>
      </c>
      <c r="AC56" s="41" t="s">
        <v>72</v>
      </c>
      <c r="AD56" s="41" t="s">
        <v>72</v>
      </c>
      <c r="AE56" s="41" t="s">
        <v>75</v>
      </c>
      <c r="AF56" s="41" t="s">
        <v>76</v>
      </c>
      <c r="AG56" t="str">
        <f>VLOOKUP($Q56,武学奇术!$A:$ZZ,25,FALSE)</f>
        <v>拳甲</v>
      </c>
      <c r="AH56" s="27">
        <f>VLOOKUP($Q56,武学奇术!$A:$ZZ,26,FALSE)</f>
        <v>2.4421</v>
      </c>
      <c r="AI56" s="28">
        <f>VLOOKUP($Q56,武学奇术!$A:$ZZ,27,FALSE)*(1+IF(OR($AG56=$F$4,$AG56=$F$5),$B$22,0))</f>
        <v>945</v>
      </c>
      <c r="AJ56" s="27">
        <f>VLOOKUP($Q56,武学奇术!$A:$ZZ,28,FALSE)</f>
        <v>3.6634</v>
      </c>
      <c r="AK56" s="28">
        <f>VLOOKUP($Q56,武学奇术!$A:$ZZ,29,FALSE)*(1+IF(OR($AG56=$F$4,$AG56=$F$5),$B$22,0))</f>
        <v>512.4</v>
      </c>
      <c r="AL56" s="27" cm="1">
        <f t="array" ref="AL56">$G$3+IFERROR(VLOOKUP($AG56,$F$4:$G$7,2,FALSE),0)+VLOOKUP($Q56,武学奇术!$A:$ZZ,2,FALSE)+SUM(_xlfn.XLOOKUP($R56:$AF56,增益!$A:$A,增益!$B:$B,0))</f>
        <v>0.3241</v>
      </c>
      <c r="AM56" s="27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3742.006</v>
      </c>
      <c r="AO56" cm="1">
        <f t="array" ref="AO56">$E$10*(1+$AM56)+VLOOKUP($Q56,武学奇术!$A:$ZZ,4,FALSE)+SUM(_xlfn.XLOOKUP($R56:$AF56,增益!$A:$A,增益!$D:$D,0))-$I$2</f>
        <v>3742.006</v>
      </c>
      <c r="AP56" s="33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0.342</v>
      </c>
      <c r="AQ56" s="33" cm="1">
        <f t="array" ref="AQ56">$G$10+VLOOKUP($Q56,武学奇术!$A:$ZZ,7,FALSE)+SUM(_xlfn.XLOOKUP(R56:AF56,增益!$A:$A,增益!$G:$G,0))</f>
        <v>0.09</v>
      </c>
      <c r="AR56" s="27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3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3" cm="1">
        <f t="array" ref="AV56">$G$11+VLOOKUP($Q56,武学奇术!$A:$ZZ,10,FALSE)+SUM(_xlfn.XLOOKUP(R56:AF56,增益!$A:$A,增益!$J:$J,0))</f>
        <v>0.1</v>
      </c>
      <c r="AW56">
        <f t="shared" si="3"/>
        <v>0</v>
      </c>
      <c r="AX56">
        <f t="shared" si="4"/>
        <v>0</v>
      </c>
      <c r="AY56" s="33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3" cm="1">
        <f t="array" ref="AZ56">$G$12+VLOOKUP($Q56,武学奇术!$A:$ZZ,12,FALSE)+SUM(_xlfn.XLOOKUP(R56:AF56,增益!$A:$A,增益!$L:$L,0))</f>
        <v>0</v>
      </c>
      <c r="BA56">
        <f t="shared" si="5"/>
        <v>0</v>
      </c>
      <c r="BB56">
        <f t="shared" si="6"/>
        <v>0</v>
      </c>
      <c r="BC56" s="33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-0.3</v>
      </c>
      <c r="BD56" s="33" cm="1">
        <f t="array" ref="BD56">$G$13+VLOOKUP($Q56,武学奇术!$A:$ZZ,14,FALSE)+SUM(_xlfn.XLOOKUP(R56:AF56,增益!$A:$A,增益!$N:$N,0))</f>
        <v>0</v>
      </c>
      <c r="BE56">
        <f t="shared" si="7"/>
        <v>570.28</v>
      </c>
      <c r="BF56">
        <f t="shared" si="8"/>
        <v>1582.156</v>
      </c>
      <c r="BG56" s="33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</v>
      </c>
      <c r="BH56" s="33" cm="1">
        <f t="array" ref="BH56">$G$14+VLOOKUP($Q56,武学奇术!$A:$ZZ,16,FALSE)+SUM(_xlfn.XLOOKUP(R56:AF56,增益!$A:$A,增益!$P:$P,0))</f>
        <v>0.24</v>
      </c>
      <c r="BI56" s="27">
        <f>MIN(IF(VLOOKUP($Q56,武学奇术!$A:$ZZ,23,FALSE)=1,100%,$B$8),100%)</f>
        <v>1</v>
      </c>
      <c r="BJ56" s="27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+MIN(IF(VLOOKUP($Q56,武学奇术!$A:$ZZ,32,FALSE)=1,IF(VLOOKUP($Q56,武学奇术!$A:$ZZ,24,FALSE)=1,100%,MIN(40%,$B$10+VLOOKUP($Q56,武学奇术!$A:$ZZ,19,FALSE)+SUM(_xlfn.XLOOKUP(R56:AF56,增益!$A:$A,增益!$S:$S,0)))+$B$12+SUM(_xlfn.XLOOKUP(R56:AF56,增益!$A:$A,增益!$V:$V,0))),0),12%)</f>
        <v>0.918</v>
      </c>
      <c r="BK56" s="27" cm="1">
        <f t="array" ref="BK56">1+$B$13+VLOOKUP($Q56,武学奇术!$A:$ZZ,18,FALSE)+SUM(_xlfn.XLOOKUP(R56:AF56,增益!$A:$A,增益!$R:$R,0))</f>
        <v>1.89</v>
      </c>
      <c r="BL56" s="27" cm="1">
        <f t="array" ref="BL56">MAX(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-IF(VLOOKUP($Q56,武学奇术!$A:$ZZ,32,FALSE)=1,12%,0),0)</f>
        <v>0.0895</v>
      </c>
      <c r="BM56" s="27" cm="1">
        <f t="array" ref="BM56">1+$B$14+VLOOKUP($Q56,武学奇术!$A:$ZZ,20,FALSE)+SUM(_xlfn.XLOOKUP(R56:AF56,增益!$A:$A,增益!$T:$T,0))</f>
        <v>1.35</v>
      </c>
      <c r="BN56" s="27">
        <f t="shared" si="9"/>
        <v>0.9105</v>
      </c>
      <c r="BO56" s="27">
        <f t="shared" si="10"/>
        <v>0</v>
      </c>
      <c r="BP56" s="27">
        <f>IF(VLOOKUP($Q56,武学奇术!$A:$ZZ,22,FALSE)=1,0,(1-$BI56))*(1-$BL56)</f>
        <v>0</v>
      </c>
      <c r="BQ56" s="27" cm="1">
        <f t="array" ref="BQ56">SUM(_xlfn.XLOOKUP(R56:AF56,增益!$A:$A,增益!$W:$W,0))+$I$5</f>
        <v>0.31</v>
      </c>
    </row>
    <row r="57" spans="1:69">
      <c r="D57" s="4"/>
      <c r="E57" s="4"/>
      <c r="F57" s="4"/>
      <c r="G57" s="91"/>
      <c r="K57" s="39">
        <f t="shared" si="0"/>
        <v>34966.2217960562</v>
      </c>
      <c r="L57" s="39">
        <f>((($AN57+($AO57-$AN57)*IF(VLOOKUP($Q57,武学奇术!$A:$ZZ,31,FALSE)=1,$F$18,0.5))*$AH57+$AI57)*(1+$AP57)*(1+$AQ57)+(($AS57+($AT57-$AS57)*IF(VLOOKUP($Q57,武学奇术!$A:$ZZ,31,FALSE)=1,$F$18,0.5))*IF($G$1="鸣金",$AJ57,$AH57)+IF($G$1="鸣金",$AK57*1.5,0))*(1+$AU57)*(1+$AV57)+(($AW57+($AX57-$AW57)*IF(VLOOKUP($Q57,武学奇术!$A:$ZZ,31,FALSE)=1,$F$18,0.5))*IF($G$1="裂石",$AJ57,$AH57)+IF($G$1="裂石",$AK57*1.5,0))*(1+$AY57)*(1+$AZ57)+(($BA57+($BB57-$BA57)*IF(VLOOKUP($Q57,武学奇术!$A:$ZZ,31,FALSE)=1,$F$18,0.5))*IF($G$1="牵丝",$AJ57,$AH57)+IF($G$1="牵丝",$AK57*1.5,0))*(1+$BC57)*(1+$BD57)+(($BE57+($BF57-$BE57)*IF(VLOOKUP($Q57,武学奇术!$A:$ZZ,31,FALSE)=1,$F$18,0.5))*IF($G$1="破竹",$AJ57,$AH57)+IF($G$1="破竹",$AK57*1.5,0))*(1+$BG57)*(1+$BH57))*(1+$AL57)*$BK57*$P57*(1+IF(VLOOKUP($Q57,武学奇术!$A:$ZZ,30,FALSE)="蓄力技",$B$21,0))*(1+$BQ57)</f>
        <v>35623.2264840398</v>
      </c>
      <c r="M57" s="39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28282.391981429</v>
      </c>
      <c r="N57" s="39">
        <f>((($AN57+($AO57-$AN57)*IF(VLOOKUP($Q57,武学奇术!$A:$ZZ,31,FALSE)=1,$F$18,0.5))*$AH57+$AI57)*(1+$AP57)*(1+$AQ57)+(($AS57+($AT57-$AS57)*IF(VLOOKUP($Q57,武学奇术!$A:$ZZ,31,FALSE)=1,$F$18,0.5))*IF($G$1="鸣金",$AJ57,$AH57)+IF($G$1="鸣金",$AK57*1.5,0))*(1+$AU57)*(1+$AV57)+(($AW57+($AX57-$AW57)*IF(VLOOKUP($Q57,武学奇术!$A:$ZZ,31,FALSE)=1,$F$18,0.5))*IF($G$1="裂石",$AJ57,$AH57)+IF($G$1="裂石",$AK57*1.5,0))*(1+$AY57)*(1+$AZ57)+(($BA57+($BB57-$BA57)*IF(VLOOKUP($Q57,武学奇术!$A:$ZZ,31,FALSE)=1,$F$18,0.5))*IF($G$1="牵丝",$AJ57,$AH57)+IF($G$1="牵丝",$AK57*1.5,0))*(1+$BC57)*(1+$BD57)+(($BE57+($BF57-$BE57)*IF(VLOOKUP($Q57,武学奇术!$A:$ZZ,31,FALSE)=1,$F$18,0.5))*IF($G$1="破竹",$AJ57,$AH57)+IF($G$1="破竹",$AK57*1.5,0))*(1+$BG57)*(1+$BH57))*(1+$AL57)*$P57*(1+IF(VLOOKUP($Q57,武学奇术!$A:$ZZ,30,FALSE)="蓄力技",$B$21,0))*(1+$BQ57)</f>
        <v>18848.2679809734</v>
      </c>
      <c r="O57" s="39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16746.6159757032</v>
      </c>
      <c r="P57" s="40">
        <v>1</v>
      </c>
      <c r="Q57" s="41" t="s">
        <v>106</v>
      </c>
      <c r="R57" s="41" t="s">
        <v>93</v>
      </c>
      <c r="S57" s="41" t="s">
        <v>118</v>
      </c>
      <c r="T57" s="41" t="s">
        <v>72</v>
      </c>
      <c r="U57" s="41" t="s">
        <v>72</v>
      </c>
      <c r="V57" s="41" t="s">
        <v>176</v>
      </c>
      <c r="W57" s="41" t="s">
        <v>177</v>
      </c>
      <c r="X57" s="41" t="s">
        <v>165</v>
      </c>
      <c r="Y57" s="41" t="s">
        <v>72</v>
      </c>
      <c r="Z57" s="41" t="s">
        <v>72</v>
      </c>
      <c r="AA57" s="41" t="s">
        <v>72</v>
      </c>
      <c r="AB57" s="41" t="s">
        <v>72</v>
      </c>
      <c r="AC57" s="41" t="s">
        <v>72</v>
      </c>
      <c r="AD57" s="41" t="s">
        <v>72</v>
      </c>
      <c r="AE57" s="41" t="s">
        <v>75</v>
      </c>
      <c r="AF57" s="41" t="s">
        <v>76</v>
      </c>
      <c r="AG57" t="str">
        <f>VLOOKUP($Q57,武学奇术!$A:$ZZ,25,FALSE)</f>
        <v>拳甲</v>
      </c>
      <c r="AH57" s="27">
        <f>VLOOKUP($Q57,武学奇术!$A:$ZZ,26,FALSE)</f>
        <v>1.2876</v>
      </c>
      <c r="AI57" s="28">
        <f>VLOOKUP($Q57,武学奇术!$A:$ZZ,27,FALSE)*(1+IF(OR($AG57=$F$4,$AG57=$F$5),$B$22,0))</f>
        <v>501.2</v>
      </c>
      <c r="AJ57" s="27">
        <f>VLOOKUP($Q57,武学奇术!$A:$ZZ,28,FALSE)</f>
        <v>1.9313</v>
      </c>
      <c r="AK57" s="28">
        <f>VLOOKUP($Q57,武学奇术!$A:$ZZ,29,FALSE)*(1+IF(OR($AG57=$F$4,$AG57=$F$5),$B$22,0))</f>
        <v>273</v>
      </c>
      <c r="AL57" s="27" cm="1">
        <f t="array" ref="AL57">$G$3+IFERROR(VLOOKUP($AG57,$F$4:$G$7,2,FALSE),0)+VLOOKUP($Q57,武学奇术!$A:$ZZ,2,FALSE)+SUM(_xlfn.XLOOKUP($R57:$AF57,增益!$A:$A,增益!$B:$B,0))</f>
        <v>0.3241</v>
      </c>
      <c r="AM57" s="27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3742.006</v>
      </c>
      <c r="AO57" cm="1">
        <f t="array" ref="AO57">$E$10*(1+$AM57)+VLOOKUP($Q57,武学奇术!$A:$ZZ,4,FALSE)+SUM(_xlfn.XLOOKUP($R57:$AF57,增益!$A:$A,增益!$D:$D,0))-$I$2</f>
        <v>3742.006</v>
      </c>
      <c r="AP57" s="33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0.342</v>
      </c>
      <c r="AQ57" s="33" cm="1">
        <f t="array" ref="AQ57">$G$10+VLOOKUP($Q57,武学奇术!$A:$ZZ,7,FALSE)+SUM(_xlfn.XLOOKUP(R57:AF57,增益!$A:$A,增益!$G:$G,0))</f>
        <v>0.09</v>
      </c>
      <c r="AR57" s="27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3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3" cm="1">
        <f t="array" ref="AV57">$G$11+VLOOKUP($Q57,武学奇术!$A:$ZZ,10,FALSE)+SUM(_xlfn.XLOOKUP(R57:AF57,增益!$A:$A,增益!$J:$J,0))</f>
        <v>0.1</v>
      </c>
      <c r="AW57">
        <f t="shared" si="3"/>
        <v>0</v>
      </c>
      <c r="AX57">
        <f t="shared" si="4"/>
        <v>0</v>
      </c>
      <c r="AY57" s="33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3" cm="1">
        <f t="array" ref="AZ57">$G$12+VLOOKUP($Q57,武学奇术!$A:$ZZ,12,FALSE)+SUM(_xlfn.XLOOKUP(R57:AF57,增益!$A:$A,增益!$L:$L,0))</f>
        <v>0</v>
      </c>
      <c r="BA57">
        <f t="shared" si="5"/>
        <v>0</v>
      </c>
      <c r="BB57">
        <f t="shared" si="6"/>
        <v>0</v>
      </c>
      <c r="BC57" s="33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3" cm="1">
        <f t="array" ref="BD57">$G$13+VLOOKUP($Q57,武学奇术!$A:$ZZ,14,FALSE)+SUM(_xlfn.XLOOKUP(R57:AF57,增益!$A:$A,增益!$N:$N,0))</f>
        <v>0</v>
      </c>
      <c r="BE57">
        <f t="shared" si="7"/>
        <v>570.28</v>
      </c>
      <c r="BF57">
        <f t="shared" si="8"/>
        <v>1582.156</v>
      </c>
      <c r="BG57" s="33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0</v>
      </c>
      <c r="BH57" s="33" cm="1">
        <f t="array" ref="BH57">$G$14+VLOOKUP($Q57,武学奇术!$A:$ZZ,16,FALSE)+SUM(_xlfn.XLOOKUP(R57:AF57,增益!$A:$A,增益!$P:$P,0))</f>
        <v>0.24</v>
      </c>
      <c r="BI57" s="27">
        <f>MIN(IF(VLOOKUP($Q57,武学奇术!$A:$ZZ,23,FALSE)=1,100%,$B$8),100%)</f>
        <v>1</v>
      </c>
      <c r="BJ57" s="27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+MIN(IF(VLOOKUP($Q57,武学奇术!$A:$ZZ,32,FALSE)=1,IF(VLOOKUP($Q57,武学奇术!$A:$ZZ,24,FALSE)=1,100%,MIN(40%,$B$10+VLOOKUP($Q57,武学奇术!$A:$ZZ,19,FALSE)+SUM(_xlfn.XLOOKUP(R57:AF57,增益!$A:$A,增益!$S:$S,0)))+$B$12+SUM(_xlfn.XLOOKUP(R57:AF57,增益!$A:$A,增益!$V:$V,0))),0),12%)</f>
        <v>0.918</v>
      </c>
      <c r="BK57" s="27" cm="1">
        <f t="array" ref="BK57">1+$B$13+VLOOKUP($Q57,武学奇术!$A:$ZZ,18,FALSE)+SUM(_xlfn.XLOOKUP(R57:AF57,增益!$A:$A,增益!$R:$R,0))</f>
        <v>1.89</v>
      </c>
      <c r="BL57" s="27" cm="1">
        <f t="array" ref="BL57">MAX(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-IF(VLOOKUP($Q57,武学奇术!$A:$ZZ,32,FALSE)=1,12%,0),0)</f>
        <v>0.0895</v>
      </c>
      <c r="BM57" s="27" cm="1">
        <f t="array" ref="BM57">1+$B$14+VLOOKUP($Q57,武学奇术!$A:$ZZ,20,FALSE)+SUM(_xlfn.XLOOKUP(R57:AF57,增益!$A:$A,增益!$T:$T,0))</f>
        <v>1.35</v>
      </c>
      <c r="BN57" s="27">
        <f t="shared" si="9"/>
        <v>0.9105</v>
      </c>
      <c r="BO57" s="27">
        <f t="shared" si="10"/>
        <v>0</v>
      </c>
      <c r="BP57" s="27">
        <f>IF(VLOOKUP($Q57,武学奇术!$A:$ZZ,22,FALSE)=1,0,(1-$BI57))*(1-$BL57)</f>
        <v>0</v>
      </c>
      <c r="BQ57" s="27" cm="1">
        <f t="array" ref="BQ57">SUM(_xlfn.XLOOKUP(R57:AF57,增益!$A:$A,增益!$W:$W,0))+$I$5</f>
        <v>0.31</v>
      </c>
    </row>
    <row r="58" spans="1:69">
      <c r="A58" s="4"/>
      <c r="B58" s="91"/>
      <c r="F58" s="4"/>
      <c r="G58" s="4"/>
      <c r="K58" s="39">
        <f t="shared" si="0"/>
        <v>80994.0965933162</v>
      </c>
      <c r="L58" s="39">
        <f>((($AN58+($AO58-$AN58)*IF(VLOOKUP($Q58,武学奇术!$A:$ZZ,31,FALSE)=1,$F$18,0.5))*$AH58+$AI58)*(1+$AP58)*(1+$AQ58)+(($AS58+($AT58-$AS58)*IF(VLOOKUP($Q58,武学奇术!$A:$ZZ,31,FALSE)=1,$F$18,0.5))*IF($G$1="鸣金",$AJ58,$AH58)+IF($G$1="鸣金",$AK58*1.5,0))*(1+$AU58)*(1+$AV58)+(($AW58+($AX58-$AW58)*IF(VLOOKUP($Q58,武学奇术!$A:$ZZ,31,FALSE)=1,$F$18,0.5))*IF($G$1="裂石",$AJ58,$AH58)+IF($G$1="裂石",$AK58*1.5,0))*(1+$AY58)*(1+$AZ58)+(($BA58+($BB58-$BA58)*IF(VLOOKUP($Q58,武学奇术!$A:$ZZ,31,FALSE)=1,$F$18,0.5))*IF($G$1="牵丝",$AJ58,$AH58)+IF($G$1="牵丝",$AK58*1.5,0))*(1+$BC58)*(1+$BD58)+(($BE58+($BF58-$BE58)*IF(VLOOKUP($Q58,武学奇术!$A:$ZZ,31,FALSE)=1,$F$18,0.5))*IF($G$1="破竹",$AJ58,$AH58)+IF($G$1="破竹",$AK58*1.5,0))*(1+$BG58)*(1+$BH58))*(1+$AL58)*$BK58*$P58*(1+IF(VLOOKUP($Q58,武学奇术!$A:$ZZ,30,FALSE)="蓄力技",$B$21,0))*(1+$BQ58)</f>
        <v>83271.2012209935</v>
      </c>
      <c r="M58" s="39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57828.6914145439</v>
      </c>
      <c r="N58" s="39">
        <f>((($AN58+($AO58-$AN58)*IF(VLOOKUP($Q58,武学奇术!$A:$ZZ,31,FALSE)=1,$F$18,0.5))*$AH58+$AI58)*(1+$AP58)*(1+$AQ58)+(($AS58+($AT58-$AS58)*IF(VLOOKUP($Q58,武学奇术!$A:$ZZ,31,FALSE)=1,$F$18,0.5))*IF($G$1="鸣金",$AJ58,$AH58)+IF($G$1="鸣金",$AK58*1.5,0))*(1+$AU58)*(1+$AV58)+(($AW58+($AX58-$AW58)*IF(VLOOKUP($Q58,武学奇术!$A:$ZZ,31,FALSE)=1,$F$18,0.5))*IF($G$1="裂石",$AJ58,$AH58)+IF($G$1="裂石",$AK58*1.5,0))*(1+$AY58)*(1+$AZ58)+(($BA58+($BB58-$BA58)*IF(VLOOKUP($Q58,武学奇术!$A:$ZZ,31,FALSE)=1,$F$18,0.5))*IF($G$1="牵丝",$AJ58,$AH58)+IF($G$1="牵丝",$AK58*1.5,0))*(1+$BC58)*(1+$BD58)+(($BE58+($BF58-$BE58)*IF(VLOOKUP($Q58,武学奇术!$A:$ZZ,31,FALSE)=1,$F$18,0.5))*IF($G$1="破竹",$AJ58,$AH58)+IF($G$1="破竹",$AK58*1.5,0))*(1+$BG58)*(1+$BH58))*(1+$AL58)*$P58*(1+IF(VLOOKUP($Q58,武学奇术!$A:$ZZ,30,FALSE)="蓄力技",$B$21,0))*(1+$BQ58)</f>
        <v>38023.3795529651</v>
      </c>
      <c r="O58" s="39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33210.6913914532</v>
      </c>
      <c r="P58" s="40">
        <v>1</v>
      </c>
      <c r="Q58" s="41" t="s">
        <v>108</v>
      </c>
      <c r="R58" s="41" t="s">
        <v>93</v>
      </c>
      <c r="S58" s="41" t="s">
        <v>118</v>
      </c>
      <c r="T58" s="41" t="s">
        <v>72</v>
      </c>
      <c r="U58" s="41" t="s">
        <v>72</v>
      </c>
      <c r="V58" s="41" t="s">
        <v>176</v>
      </c>
      <c r="W58" s="41" t="s">
        <v>177</v>
      </c>
      <c r="X58" s="41" t="s">
        <v>165</v>
      </c>
      <c r="Y58" s="41" t="s">
        <v>72</v>
      </c>
      <c r="Z58" s="41" t="s">
        <v>101</v>
      </c>
      <c r="AA58" s="41" t="s">
        <v>72</v>
      </c>
      <c r="AB58" s="41" t="s">
        <v>72</v>
      </c>
      <c r="AC58" s="41" t="s">
        <v>72</v>
      </c>
      <c r="AD58" s="41" t="s">
        <v>72</v>
      </c>
      <c r="AE58" s="41" t="s">
        <v>75</v>
      </c>
      <c r="AF58" s="41" t="s">
        <v>76</v>
      </c>
      <c r="AG58" t="str">
        <f>VLOOKUP($Q58,武学奇术!$A:$ZZ,25,FALSE)</f>
        <v>拳甲</v>
      </c>
      <c r="AH58" s="27">
        <f>VLOOKUP($Q58,武学奇术!$A:$ZZ,26,FALSE)</f>
        <v>2.33376</v>
      </c>
      <c r="AI58" s="28">
        <f>VLOOKUP($Q58,武学奇术!$A:$ZZ,27,FALSE)*(1+IF(OR($AG58=$F$4,$AG58=$F$5),$B$22,0))</f>
        <v>0</v>
      </c>
      <c r="AJ58" s="27">
        <f>VLOOKUP($Q58,武学奇术!$A:$ZZ,28,FALSE)</f>
        <v>3.50064</v>
      </c>
      <c r="AK58" s="28">
        <f>VLOOKUP($Q58,武学奇术!$A:$ZZ,29,FALSE)*(1+IF(OR($AG58=$F$4,$AG58=$F$5),$B$22,0))</f>
        <v>0</v>
      </c>
      <c r="AL58" s="27" cm="1">
        <f t="array" ref="AL58">$G$3+IFERROR(VLOOKUP($AG58,$F$4:$G$7,2,FALSE),0)+VLOOKUP($Q58,武学奇术!$A:$ZZ,2,FALSE)+SUM(_xlfn.XLOOKUP($R58:$AF58,增益!$A:$A,增益!$B:$B,0))</f>
        <v>0.6241</v>
      </c>
      <c r="AM58" s="27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3742.006</v>
      </c>
      <c r="AO58" cm="1">
        <f t="array" ref="AO58">$E$10*(1+$AM58)+VLOOKUP($Q58,武学奇术!$A:$ZZ,4,FALSE)+SUM(_xlfn.XLOOKUP($R58:$AF58,增益!$A:$A,增益!$D:$D,0))-$I$2</f>
        <v>3742.006</v>
      </c>
      <c r="AP58" s="33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0.372</v>
      </c>
      <c r="AQ58" s="33" cm="1">
        <f t="array" ref="AQ58">$G$10+VLOOKUP($Q58,武学奇术!$A:$ZZ,7,FALSE)+SUM(_xlfn.XLOOKUP(R58:AF58,增益!$A:$A,增益!$G:$G,0))</f>
        <v>0.09</v>
      </c>
      <c r="AR58" s="27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3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-0.24</v>
      </c>
      <c r="AV58" s="33" cm="1">
        <f t="array" ref="AV58">$G$11+VLOOKUP($Q58,武学奇术!$A:$ZZ,10,FALSE)+SUM(_xlfn.XLOOKUP(R58:AF58,增益!$A:$A,增益!$J:$J,0))</f>
        <v>0.1</v>
      </c>
      <c r="AW58">
        <f t="shared" si="3"/>
        <v>0</v>
      </c>
      <c r="AX58">
        <f t="shared" si="4"/>
        <v>0</v>
      </c>
      <c r="AY58" s="33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-0.24</v>
      </c>
      <c r="AZ58" s="33" cm="1">
        <f t="array" ref="AZ58">$G$12+VLOOKUP($Q58,武学奇术!$A:$ZZ,12,FALSE)+SUM(_xlfn.XLOOKUP(R58:AF58,增益!$A:$A,增益!$L:$L,0))</f>
        <v>0</v>
      </c>
      <c r="BA58">
        <f t="shared" si="5"/>
        <v>0</v>
      </c>
      <c r="BB58">
        <f t="shared" si="6"/>
        <v>0</v>
      </c>
      <c r="BC58" s="33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-0.24</v>
      </c>
      <c r="BD58" s="33" cm="1">
        <f t="array" ref="BD58">$G$13+VLOOKUP($Q58,武学奇术!$A:$ZZ,14,FALSE)+SUM(_xlfn.XLOOKUP(R58:AF58,增益!$A:$A,增益!$N:$N,0))</f>
        <v>0</v>
      </c>
      <c r="BE58">
        <f t="shared" si="7"/>
        <v>570.28</v>
      </c>
      <c r="BF58">
        <f t="shared" si="8"/>
        <v>1582.156</v>
      </c>
      <c r="BG58" s="33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0.03</v>
      </c>
      <c r="BH58" s="33" cm="1">
        <f t="array" ref="BH58">$G$14+VLOOKUP($Q58,武学奇术!$A:$ZZ,16,FALSE)+SUM(_xlfn.XLOOKUP(R58:AF58,增益!$A:$A,增益!$P:$P,0))</f>
        <v>0.24</v>
      </c>
      <c r="BI58" s="27">
        <f>MIN(IF(VLOOKUP($Q58,武学奇术!$A:$ZZ,23,FALSE)=1,100%,$B$8),100%)</f>
        <v>1</v>
      </c>
      <c r="BJ58" s="27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+MIN(IF(VLOOKUP($Q58,武学奇术!$A:$ZZ,32,FALSE)=1,IF(VLOOKUP($Q58,武学奇术!$A:$ZZ,24,FALSE)=1,100%,MIN(40%,$B$10+VLOOKUP($Q58,武学奇术!$A:$ZZ,19,FALSE)+SUM(_xlfn.XLOOKUP(R58:AF58,增益!$A:$A,增益!$S:$S,0)))+$B$12+SUM(_xlfn.XLOOKUP(R58:AF58,增益!$A:$A,增益!$V:$V,0))),0),12%)</f>
        <v>0.918</v>
      </c>
      <c r="BK58" s="27" cm="1">
        <f t="array" ref="BK58">1+$B$13+VLOOKUP($Q58,武学奇术!$A:$ZZ,18,FALSE)+SUM(_xlfn.XLOOKUP(R58:AF58,增益!$A:$A,增益!$R:$R,0))</f>
        <v>2.19</v>
      </c>
      <c r="BL58" s="27" cm="1">
        <f t="array" ref="BL58">MAX(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-IF(VLOOKUP($Q58,武学奇术!$A:$ZZ,32,FALSE)=1,12%,0),0)</f>
        <v>0.0895</v>
      </c>
      <c r="BM58" s="27" cm="1">
        <f t="array" ref="BM58">1+$B$14+VLOOKUP($Q58,武学奇术!$A:$ZZ,20,FALSE)+SUM(_xlfn.XLOOKUP(R58:AF58,增益!$A:$A,增益!$T:$T,0))</f>
        <v>1.35</v>
      </c>
      <c r="BN58" s="27">
        <f t="shared" si="9"/>
        <v>0.9105</v>
      </c>
      <c r="BO58" s="27">
        <f t="shared" si="10"/>
        <v>0</v>
      </c>
      <c r="BP58" s="27">
        <f>IF(VLOOKUP($Q58,武学奇术!$A:$ZZ,22,FALSE)=1,0,(1-$BI58))*(1-$BL58)</f>
        <v>0</v>
      </c>
      <c r="BQ58" s="27" cm="1">
        <f t="array" ref="BQ58">SUM(_xlfn.XLOOKUP(R58:AF58,增益!$A:$A,增益!$W:$W,0))+$I$5</f>
        <v>0.31</v>
      </c>
    </row>
    <row r="59" spans="1:69">
      <c r="F59" s="4"/>
      <c r="G59" s="4"/>
      <c r="K59" s="39">
        <f t="shared" si="0"/>
        <v>996592.226976069</v>
      </c>
      <c r="L59" s="39">
        <f>((($AN59+($AO59-$AN59)*IF(VLOOKUP($Q59,武学奇术!$A:$ZZ,31,FALSE)=1,$F$18,0.5))*$AH59+$AI59)*(1+$AP59)*(1+$AQ59)+(($AS59+($AT59-$AS59)*IF(VLOOKUP($Q59,武学奇术!$A:$ZZ,31,FALSE)=1,$F$18,0.5))*IF($G$1="鸣金",$AJ59,$AH59)+IF($G$1="鸣金",$AK59*1.5,0))*(1+$AU59)*(1+$AV59)+(($AW59+($AX59-$AW59)*IF(VLOOKUP($Q59,武学奇术!$A:$ZZ,31,FALSE)=1,$F$18,0.5))*IF($G$1="裂石",$AJ59,$AH59)+IF($G$1="裂石",$AK59*1.5,0))*(1+$AY59)*(1+$AZ59)+(($BA59+($BB59-$BA59)*IF(VLOOKUP($Q59,武学奇术!$A:$ZZ,31,FALSE)=1,$F$18,0.5))*IF($G$1="牵丝",$AJ59,$AH59)+IF($G$1="牵丝",$AK59*1.5,0))*(1+$BC59)*(1+$BD59)+(($BE59+($BF59-$BE59)*IF(VLOOKUP($Q59,武学奇术!$A:$ZZ,31,FALSE)=1,$F$18,0.5))*IF($G$1="破竹",$AJ59,$AH59)+IF($G$1="破竹",$AK59*1.5,0))*(1+$BG59)*(1+$BH59))*(1+$AL59)*$BK59*$P59*(1+IF(VLOOKUP($Q59,武学奇术!$A:$ZZ,30,FALSE)="蓄力技",$B$21,0))*(1+$BQ59)</f>
        <v>996592.226976069</v>
      </c>
      <c r="M59" s="39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629503.7355582</v>
      </c>
      <c r="N59" s="39">
        <f>((($AN59+($AO59-$AN59)*IF(VLOOKUP($Q59,武学奇术!$A:$ZZ,31,FALSE)=1,$F$18,0.5))*$AH59+$AI59)*(1+$AP59)*(1+$AQ59)+(($AS59+($AT59-$AS59)*IF(VLOOKUP($Q59,武学奇术!$A:$ZZ,31,FALSE)=1,$F$18,0.5))*IF($G$1="鸣金",$AJ59,$AH59)+IF($G$1="鸣金",$AK59*1.5,0))*(1+$AU59)*(1+$AV59)+(($AW59+($AX59-$AW59)*IF(VLOOKUP($Q59,武学奇术!$A:$ZZ,31,FALSE)=1,$F$18,0.5))*IF($G$1="裂石",$AJ59,$AH59)+IF($G$1="裂石",$AK59*1.5,0))*(1+$AY59)*(1+$AZ59)+(($BA59+($BB59-$BA59)*IF(VLOOKUP($Q59,武学奇术!$A:$ZZ,31,FALSE)=1,$F$18,0.5))*IF($G$1="牵丝",$AJ59,$AH59)+IF($G$1="牵丝",$AK59*1.5,0))*(1+$BC59)*(1+$BD59)+(($BE59+($BF59-$BE59)*IF(VLOOKUP($Q59,武学奇术!$A:$ZZ,31,FALSE)=1,$F$18,0.5))*IF($G$1="破竹",$AJ59,$AH59)+IF($G$1="破竹",$AK59*1.5,0))*(1+$BG59)*(1+$BH59))*(1+$AL59)*$P59*(1+IF(VLOOKUP($Q59,武学奇术!$A:$ZZ,30,FALSE)="蓄力技",$B$21,0))*(1+$BQ59)</f>
        <v>416984.195387477</v>
      </c>
      <c r="O59" s="39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367669.327398509</v>
      </c>
      <c r="P59" s="40">
        <v>1</v>
      </c>
      <c r="Q59" s="41" t="s">
        <v>125</v>
      </c>
      <c r="R59" s="41" t="s">
        <v>93</v>
      </c>
      <c r="S59" s="41" t="s">
        <v>118</v>
      </c>
      <c r="T59" s="41" t="s">
        <v>72</v>
      </c>
      <c r="U59" s="41" t="s">
        <v>72</v>
      </c>
      <c r="V59" s="41" t="s">
        <v>176</v>
      </c>
      <c r="W59" s="41" t="s">
        <v>177</v>
      </c>
      <c r="X59" s="41" t="s">
        <v>165</v>
      </c>
      <c r="Y59" s="41" t="s">
        <v>81</v>
      </c>
      <c r="Z59" s="41" t="s">
        <v>101</v>
      </c>
      <c r="AA59" s="41" t="s">
        <v>72</v>
      </c>
      <c r="AB59" s="41" t="s">
        <v>72</v>
      </c>
      <c r="AC59" s="41" t="s">
        <v>72</v>
      </c>
      <c r="AD59" s="41" t="s">
        <v>72</v>
      </c>
      <c r="AE59" s="41" t="s">
        <v>75</v>
      </c>
      <c r="AF59" s="41" t="s">
        <v>76</v>
      </c>
      <c r="AG59" t="str">
        <f>VLOOKUP($Q59,武学奇术!$A:$ZZ,25,FALSE)</f>
        <v>拳甲</v>
      </c>
      <c r="AH59" s="27">
        <f>VLOOKUP($Q59,武学奇术!$A:$ZZ,26,FALSE)</f>
        <v>16.8107</v>
      </c>
      <c r="AI59" s="28">
        <f>VLOOKUP($Q59,武学奇术!$A:$ZZ,27,FALSE)*(1+IF(OR($AG59=$F$4,$AG59=$F$5),$B$22,0))</f>
        <v>6505.8</v>
      </c>
      <c r="AJ59" s="27">
        <f>VLOOKUP($Q59,武学奇术!$A:$ZZ,28,FALSE)</f>
        <v>25.2161</v>
      </c>
      <c r="AK59" s="28">
        <f>VLOOKUP($Q59,武学奇术!$A:$ZZ,29,FALSE)*(1+IF(OR($AG59=$F$4,$AG59=$F$5),$B$22,0))</f>
        <v>3546.2</v>
      </c>
      <c r="AL59" s="27" cm="1">
        <f t="array" ref="AL59">$G$3+IFERROR(VLOOKUP($AG59,$F$4:$G$7,2,FALSE),0)+VLOOKUP($Q59,武学奇术!$A:$ZZ,2,FALSE)+SUM(_xlfn.XLOOKUP($R59:$AF59,增益!$A:$A,增益!$B:$B,0))</f>
        <v>0.6241</v>
      </c>
      <c r="AM59" s="27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3742.006</v>
      </c>
      <c r="AO59" cm="1">
        <f t="array" ref="AO59">$E$10*(1+$AM59)+VLOOKUP($Q59,武学奇术!$A:$ZZ,4,FALSE)+SUM(_xlfn.XLOOKUP($R59:$AF59,增益!$A:$A,增益!$D:$D,0))-$I$2</f>
        <v>3742.006</v>
      </c>
      <c r="AP59" s="33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0.372</v>
      </c>
      <c r="AQ59" s="33" cm="1">
        <f t="array" ref="AQ59">$G$10+VLOOKUP($Q59,武学奇术!$A:$ZZ,7,FALSE)+SUM(_xlfn.XLOOKUP(R59:AF59,增益!$A:$A,增益!$G:$G,0))</f>
        <v>0.09</v>
      </c>
      <c r="AR59" s="27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3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-0.08</v>
      </c>
      <c r="AV59" s="33" cm="1">
        <f t="array" ref="AV59">$G$11+VLOOKUP($Q59,武学奇术!$A:$ZZ,10,FALSE)+SUM(_xlfn.XLOOKUP(R59:AF59,增益!$A:$A,增益!$J:$J,0))</f>
        <v>0.1</v>
      </c>
      <c r="AW59">
        <f t="shared" si="3"/>
        <v>0</v>
      </c>
      <c r="AX59">
        <f t="shared" si="4"/>
        <v>0</v>
      </c>
      <c r="AY59" s="33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-0.08</v>
      </c>
      <c r="AZ59" s="33" cm="1">
        <f t="array" ref="AZ59">$G$12+VLOOKUP($Q59,武学奇术!$A:$ZZ,12,FALSE)+SUM(_xlfn.XLOOKUP(R59:AF59,增益!$A:$A,增益!$L:$L,0))</f>
        <v>0</v>
      </c>
      <c r="BA59">
        <f t="shared" si="5"/>
        <v>0</v>
      </c>
      <c r="BB59">
        <f t="shared" si="6"/>
        <v>0</v>
      </c>
      <c r="BC59" s="33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-0.08</v>
      </c>
      <c r="BD59" s="33" cm="1">
        <f t="array" ref="BD59">$G$13+VLOOKUP($Q59,武学奇术!$A:$ZZ,14,FALSE)+SUM(_xlfn.XLOOKUP(R59:AF59,增益!$A:$A,增益!$N:$N,0))</f>
        <v>0</v>
      </c>
      <c r="BE59">
        <f t="shared" si="7"/>
        <v>570.28</v>
      </c>
      <c r="BF59">
        <f t="shared" si="8"/>
        <v>1582.156</v>
      </c>
      <c r="BG59" s="33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0.11</v>
      </c>
      <c r="BH59" s="33" cm="1">
        <f t="array" ref="BH59">$G$14+VLOOKUP($Q59,武学奇术!$A:$ZZ,16,FALSE)+SUM(_xlfn.XLOOKUP(R59:AF59,增益!$A:$A,增益!$P:$P,0))</f>
        <v>0.24</v>
      </c>
      <c r="BI59" s="27">
        <f>MIN(IF(VLOOKUP($Q59,武学奇术!$A:$ZZ,23,FALSE)=1,100%,$B$8),100%)</f>
        <v>1</v>
      </c>
      <c r="BJ59" s="27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+MIN(IF(VLOOKUP($Q59,武学奇术!$A:$ZZ,32,FALSE)=1,IF(VLOOKUP($Q59,武学奇术!$A:$ZZ,24,FALSE)=1,100%,MIN(40%,$B$10+VLOOKUP($Q59,武学奇术!$A:$ZZ,19,FALSE)+SUM(_xlfn.XLOOKUP(R59:AF59,增益!$A:$A,增益!$S:$S,0)))+$B$12+SUM(_xlfn.XLOOKUP(R59:AF59,增益!$A:$A,增益!$V:$V,0))),0),12%)</f>
        <v>1.0075</v>
      </c>
      <c r="BK59" s="27" cm="1">
        <f t="array" ref="BK59">1+$B$13+VLOOKUP($Q59,武学奇术!$A:$ZZ,18,FALSE)+SUM(_xlfn.XLOOKUP(R59:AF59,增益!$A:$A,增益!$R:$R,0))</f>
        <v>2.39</v>
      </c>
      <c r="BL59" s="27" cm="1">
        <f t="array" ref="BL59">MAX(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-IF(VLOOKUP($Q59,武学奇术!$A:$ZZ,32,FALSE)=1,12%,0),0)</f>
        <v>0</v>
      </c>
      <c r="BM59" s="27" cm="1">
        <f t="array" ref="BM59">1+$B$14+VLOOKUP($Q59,武学奇术!$A:$ZZ,20,FALSE)+SUM(_xlfn.XLOOKUP(R59:AF59,增益!$A:$A,增益!$T:$T,0))</f>
        <v>1.35</v>
      </c>
      <c r="BN59" s="27">
        <f t="shared" si="9"/>
        <v>1</v>
      </c>
      <c r="BO59" s="27">
        <f t="shared" si="10"/>
        <v>0</v>
      </c>
      <c r="BP59" s="27">
        <f>IF(VLOOKUP($Q59,武学奇术!$A:$ZZ,22,FALSE)=1,0,(1-$BI59))*(1-$BL59)</f>
        <v>0</v>
      </c>
      <c r="BQ59" s="27" cm="1">
        <f t="array" ref="BQ59">SUM(_xlfn.XLOOKUP(R59:AF59,增益!$A:$A,增益!$W:$W,0))+$I$5</f>
        <v>0.31</v>
      </c>
    </row>
    <row r="60" spans="1:69">
      <c r="A60" s="4"/>
      <c r="B60" s="91"/>
      <c r="F60" s="4"/>
      <c r="G60" s="4"/>
      <c r="K60" s="39">
        <f t="shared" si="0"/>
        <v>383700.980265938</v>
      </c>
      <c r="L60" s="39">
        <f>((($AN60+($AO60-$AN60)*IF(VLOOKUP($Q60,武学奇术!$A:$ZZ,31,FALSE)=1,$F$18,0.5))*$AH60+$AI60)*(1+$AP60)*(1+$AQ60)+(($AS60+($AT60-$AS60)*IF(VLOOKUP($Q60,武学奇术!$A:$ZZ,31,FALSE)=1,$F$18,0.5))*IF($G$1="鸣金",$AJ60,$AH60)+IF($G$1="鸣金",$AK60*1.5,0))*(1+$AU60)*(1+$AV60)+(($AW60+($AX60-$AW60)*IF(VLOOKUP($Q60,武学奇术!$A:$ZZ,31,FALSE)=1,$F$18,0.5))*IF($G$1="裂石",$AJ60,$AH60)+IF($G$1="裂石",$AK60*1.5,0))*(1+$AY60)*(1+$AZ60)+(($BA60+($BB60-$BA60)*IF(VLOOKUP($Q60,武学奇术!$A:$ZZ,31,FALSE)=1,$F$18,0.5))*IF($G$1="牵丝",$AJ60,$AH60)+IF($G$1="牵丝",$AK60*1.5,0))*(1+$BC60)*(1+$BD60)+(($BE60+($BF60-$BE60)*IF(VLOOKUP($Q60,武学奇术!$A:$ZZ,31,FALSE)=1,$F$18,0.5))*IF($G$1="破竹",$AJ60,$AH60)+IF($G$1="破竹",$AK60*1.5,0))*(1+$BG60)*(1+$BH60))*(1+$AL60)*$BK60*$P60*(1+IF(VLOOKUP($Q60,武学奇术!$A:$ZZ,30,FALSE)="蓄力技",$B$21,0))*(1+$BQ60)</f>
        <v>383700.980265938</v>
      </c>
      <c r="M60" s="39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242366.481142162</v>
      </c>
      <c r="N60" s="39">
        <f>((($AN60+($AO60-$AN60)*IF(VLOOKUP($Q60,武学奇术!$A:$ZZ,31,FALSE)=1,$F$18,0.5))*$AH60+$AI60)*(1+$AP60)*(1+$AQ60)+(($AS60+($AT60-$AS60)*IF(VLOOKUP($Q60,武学奇术!$A:$ZZ,31,FALSE)=1,$F$18,0.5))*IF($G$1="鸣金",$AJ60,$AH60)+IF($G$1="鸣金",$AK60*1.5,0))*(1+$AU60)*(1+$AV60)+(($AW60+($AX60-$AW60)*IF(VLOOKUP($Q60,武学奇术!$A:$ZZ,31,FALSE)=1,$F$18,0.5))*IF($G$1="裂石",$AJ60,$AH60)+IF($G$1="裂石",$AK60*1.5,0))*(1+$AY60)*(1+$AZ60)+(($BA60+($BB60-$BA60)*IF(VLOOKUP($Q60,武学奇术!$A:$ZZ,31,FALSE)=1,$F$18,0.5))*IF($G$1="牵丝",$AJ60,$AH60)+IF($G$1="牵丝",$AK60*1.5,0))*(1+$BC60)*(1+$BD60)+(($BE60+($BF60-$BE60)*IF(VLOOKUP($Q60,武学奇术!$A:$ZZ,31,FALSE)=1,$F$18,0.5))*IF($G$1="破竹",$AJ60,$AH60)+IF($G$1="破竹",$AK60*1.5,0))*(1+$BG60)*(1+$BH60))*(1+$AL60)*$P60*(1+IF(VLOOKUP($Q60,武学奇术!$A:$ZZ,30,FALSE)="蓄力技",$B$21,0))*(1+$BQ60)</f>
        <v>160544.343207505</v>
      </c>
      <c r="O60" s="39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141557.959643039</v>
      </c>
      <c r="P60" s="40">
        <v>1</v>
      </c>
      <c r="Q60" s="41" t="s">
        <v>129</v>
      </c>
      <c r="R60" s="41" t="s">
        <v>93</v>
      </c>
      <c r="S60" s="41" t="s">
        <v>118</v>
      </c>
      <c r="T60" s="41" t="s">
        <v>72</v>
      </c>
      <c r="U60" s="41" t="s">
        <v>72</v>
      </c>
      <c r="V60" s="41" t="s">
        <v>176</v>
      </c>
      <c r="W60" s="41" t="s">
        <v>177</v>
      </c>
      <c r="X60" s="41" t="s">
        <v>165</v>
      </c>
      <c r="Y60" s="41" t="s">
        <v>81</v>
      </c>
      <c r="Z60" s="41" t="s">
        <v>101</v>
      </c>
      <c r="AA60" s="41" t="s">
        <v>72</v>
      </c>
      <c r="AB60" s="41" t="s">
        <v>72</v>
      </c>
      <c r="AC60" s="41" t="s">
        <v>72</v>
      </c>
      <c r="AD60" s="41" t="s">
        <v>72</v>
      </c>
      <c r="AE60" s="41" t="s">
        <v>75</v>
      </c>
      <c r="AF60" s="41" t="s">
        <v>76</v>
      </c>
      <c r="AG60" t="str">
        <f>VLOOKUP($Q60,武学奇术!$A:$ZZ,25,FALSE)</f>
        <v>拳甲</v>
      </c>
      <c r="AH60" s="27">
        <f>VLOOKUP($Q60,武学奇术!$A:$ZZ,26,FALSE)</f>
        <v>6.4722</v>
      </c>
      <c r="AI60" s="28">
        <f>VLOOKUP($Q60,武学奇术!$A:$ZZ,27,FALSE)*(1+IF(OR($AG60=$F$4,$AG60=$F$5),$B$22,0))</f>
        <v>2504.88</v>
      </c>
      <c r="AJ60" s="27">
        <f>VLOOKUP($Q60,武学奇术!$A:$ZZ,28,FALSE)</f>
        <v>9.70828</v>
      </c>
      <c r="AK60" s="28">
        <f>VLOOKUP($Q60,武学奇术!$A:$ZZ,29,FALSE)*(1+IF(OR($AG60=$F$4,$AG60=$F$5),$B$22,0))</f>
        <v>1365.84</v>
      </c>
      <c r="AL60" s="27" cm="1">
        <f t="array" ref="AL60">$G$3+IFERROR(VLOOKUP($AG60,$F$4:$G$7,2,FALSE),0)+VLOOKUP($Q60,武学奇术!$A:$ZZ,2,FALSE)+SUM(_xlfn.XLOOKUP($R60:$AF60,增益!$A:$A,增益!$B:$B,0))</f>
        <v>0.6241</v>
      </c>
      <c r="AM60" s="27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3742.006</v>
      </c>
      <c r="AO60" cm="1">
        <f t="array" ref="AO60">$E$10*(1+$AM60)+VLOOKUP($Q60,武学奇术!$A:$ZZ,4,FALSE)+SUM(_xlfn.XLOOKUP($R60:$AF60,增益!$A:$A,增益!$D:$D,0))-$I$2</f>
        <v>3742.006</v>
      </c>
      <c r="AP60" s="33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0.372</v>
      </c>
      <c r="AQ60" s="33" cm="1">
        <f t="array" ref="AQ60">$G$10+VLOOKUP($Q60,武学奇术!$A:$ZZ,7,FALSE)+SUM(_xlfn.XLOOKUP(R60:AF60,增益!$A:$A,增益!$G:$G,0))</f>
        <v>0.09</v>
      </c>
      <c r="AR60" s="27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3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-0.08</v>
      </c>
      <c r="AV60" s="33" cm="1">
        <f t="array" ref="AV60">$G$11+VLOOKUP($Q60,武学奇术!$A:$ZZ,10,FALSE)+SUM(_xlfn.XLOOKUP(R60:AF60,增益!$A:$A,增益!$J:$J,0))</f>
        <v>0.1</v>
      </c>
      <c r="AW60">
        <f t="shared" si="3"/>
        <v>0</v>
      </c>
      <c r="AX60">
        <f t="shared" si="4"/>
        <v>0</v>
      </c>
      <c r="AY60" s="33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-0.08</v>
      </c>
      <c r="AZ60" s="33" cm="1">
        <f t="array" ref="AZ60">$G$12+VLOOKUP($Q60,武学奇术!$A:$ZZ,12,FALSE)+SUM(_xlfn.XLOOKUP(R60:AF60,增益!$A:$A,增益!$L:$L,0))</f>
        <v>0</v>
      </c>
      <c r="BA60">
        <f t="shared" si="5"/>
        <v>0</v>
      </c>
      <c r="BB60">
        <f t="shared" si="6"/>
        <v>0</v>
      </c>
      <c r="BC60" s="33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-0.08</v>
      </c>
      <c r="BD60" s="33" cm="1">
        <f t="array" ref="BD60">$G$13+VLOOKUP($Q60,武学奇术!$A:$ZZ,14,FALSE)+SUM(_xlfn.XLOOKUP(R60:AF60,增益!$A:$A,增益!$N:$N,0))</f>
        <v>0</v>
      </c>
      <c r="BE60">
        <f t="shared" si="7"/>
        <v>570.28</v>
      </c>
      <c r="BF60">
        <f t="shared" si="8"/>
        <v>1582.156</v>
      </c>
      <c r="BG60" s="33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0.11</v>
      </c>
      <c r="BH60" s="33" cm="1">
        <f t="array" ref="BH60">$G$14+VLOOKUP($Q60,武学奇术!$A:$ZZ,16,FALSE)+SUM(_xlfn.XLOOKUP(R60:AF60,增益!$A:$A,增益!$P:$P,0))</f>
        <v>0.24</v>
      </c>
      <c r="BI60" s="27">
        <f>MIN(IF(VLOOKUP($Q60,武学奇术!$A:$ZZ,23,FALSE)=1,100%,$B$8),100%)</f>
        <v>1</v>
      </c>
      <c r="BJ60" s="27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+MIN(IF(VLOOKUP($Q60,武学奇术!$A:$ZZ,32,FALSE)=1,IF(VLOOKUP($Q60,武学奇术!$A:$ZZ,24,FALSE)=1,100%,MIN(40%,$B$10+VLOOKUP($Q60,武学奇术!$A:$ZZ,19,FALSE)+SUM(_xlfn.XLOOKUP(R60:AF60,增益!$A:$A,增益!$S:$S,0)))+$B$12+SUM(_xlfn.XLOOKUP(R60:AF60,增益!$A:$A,增益!$V:$V,0))),0),12%)</f>
        <v>1.0075</v>
      </c>
      <c r="BK60" s="27" cm="1">
        <f t="array" ref="BK60">1+$B$13+VLOOKUP($Q60,武学奇术!$A:$ZZ,18,FALSE)+SUM(_xlfn.XLOOKUP(R60:AF60,增益!$A:$A,增益!$R:$R,0))</f>
        <v>2.39</v>
      </c>
      <c r="BL60" s="27" cm="1">
        <f t="array" ref="BL60">MAX(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-IF(VLOOKUP($Q60,武学奇术!$A:$ZZ,32,FALSE)=1,12%,0),0)</f>
        <v>0</v>
      </c>
      <c r="BM60" s="27" cm="1">
        <f t="array" ref="BM60">1+$B$14+VLOOKUP($Q60,武学奇术!$A:$ZZ,20,FALSE)+SUM(_xlfn.XLOOKUP(R60:AF60,增益!$A:$A,增益!$T:$T,0))</f>
        <v>1.35</v>
      </c>
      <c r="BN60" s="27">
        <f t="shared" si="9"/>
        <v>1</v>
      </c>
      <c r="BO60" s="27">
        <f t="shared" si="10"/>
        <v>0</v>
      </c>
      <c r="BP60" s="27">
        <f>IF(VLOOKUP($Q60,武学奇术!$A:$ZZ,22,FALSE)=1,0,(1-$BI60))*(1-$BL60)</f>
        <v>0</v>
      </c>
      <c r="BQ60" s="27" cm="1">
        <f t="array" ref="BQ60">SUM(_xlfn.XLOOKUP(R60:AF60,增益!$A:$A,增益!$W:$W,0))+$I$5</f>
        <v>0.31</v>
      </c>
    </row>
    <row r="61" spans="1:69">
      <c r="A61" s="4"/>
      <c r="B61" s="4"/>
      <c r="F61" s="4"/>
      <c r="G61" s="91"/>
      <c r="K61" s="39">
        <f t="shared" si="0"/>
        <v>88493.2742042808</v>
      </c>
      <c r="L61" s="39">
        <f>((($AN61+($AO61-$AN61)*IF(VLOOKUP($Q61,武学奇术!$A:$ZZ,31,FALSE)=1,$F$18,0.5))*$AH61+$AI61)*(1+$AP61)*(1+$AQ61)+(($AS61+($AT61-$AS61)*IF(VLOOKUP($Q61,武学奇术!$A:$ZZ,31,FALSE)=1,$F$18,0.5))*IF($G$1="鸣金",$AJ61,$AH61)+IF($G$1="鸣金",$AK61*1.5,0))*(1+$AU61)*(1+$AV61)+(($AW61+($AX61-$AW61)*IF(VLOOKUP($Q61,武学奇术!$A:$ZZ,31,FALSE)=1,$F$18,0.5))*IF($G$1="裂石",$AJ61,$AH61)+IF($G$1="裂石",$AK61*1.5,0))*(1+$AY61)*(1+$AZ61)+(($BA61+($BB61-$BA61)*IF(VLOOKUP($Q61,武学奇术!$A:$ZZ,31,FALSE)=1,$F$18,0.5))*IF($G$1="牵丝",$AJ61,$AH61)+IF($G$1="牵丝",$AK61*1.5,0))*(1+$BC61)*(1+$BD61)+(($BE61+($BF61-$BE61)*IF(VLOOKUP($Q61,武学奇术!$A:$ZZ,31,FALSE)=1,$F$18,0.5))*IF($G$1="破竹",$AJ61,$AH61)+IF($G$1="破竹",$AK61*1.5,0))*(1+$BG61)*(1+$BH61))*(1+$AL61)*$BK61*$P61*(1+IF(VLOOKUP($Q61,武学奇术!$A:$ZZ,30,FALSE)="蓄力技",$B$21,0))*(1+$BQ61)</f>
        <v>90056.4773217512</v>
      </c>
      <c r="M61" s="39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72590.5207019705</v>
      </c>
      <c r="N61" s="39">
        <f>((($AN61+($AO61-$AN61)*IF(VLOOKUP($Q61,武学奇术!$A:$ZZ,31,FALSE)=1,$F$18,0.5))*$AH61+$AI61)*(1+$AP61)*(1+$AQ61)+(($AS61+($AT61-$AS61)*IF(VLOOKUP($Q61,武学奇术!$A:$ZZ,31,FALSE)=1,$F$18,0.5))*IF($G$1="鸣金",$AJ61,$AH61)+IF($G$1="鸣金",$AK61*1.5,0))*(1+$AU61)*(1+$AV61)+(($AW61+($AX61-$AW61)*IF(VLOOKUP($Q61,武学奇术!$A:$ZZ,31,FALSE)=1,$F$18,0.5))*IF($G$1="裂石",$AJ61,$AH61)+IF($G$1="裂石",$AK61*1.5,0))*(1+$AY61)*(1+$AZ61)+(($BA61+($BB61-$BA61)*IF(VLOOKUP($Q61,武学奇术!$A:$ZZ,31,FALSE)=1,$F$18,0.5))*IF($G$1="牵丝",$AJ61,$AH61)+IF($G$1="牵丝",$AK61*1.5,0))*(1+$BC61)*(1+$BD61)+(($BE61+($BF61-$BE61)*IF(VLOOKUP($Q61,武学奇术!$A:$ZZ,31,FALSE)=1,$F$18,0.5))*IF($G$1="破竹",$AJ61,$AH61)+IF($G$1="破竹",$AK61*1.5,0))*(1+$BG61)*(1+$BH61))*(1+$AL61)*$P61*(1+IF(VLOOKUP($Q61,武学奇术!$A:$ZZ,30,FALSE)="蓄力技",$B$21,0))*(1+$BQ61)</f>
        <v>47648.9297998684</v>
      </c>
      <c r="O61" s="39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41527.103524203</v>
      </c>
      <c r="P61" s="40">
        <v>1</v>
      </c>
      <c r="Q61" s="41" t="s">
        <v>157</v>
      </c>
      <c r="R61" s="41" t="s">
        <v>93</v>
      </c>
      <c r="S61" s="41" t="s">
        <v>118</v>
      </c>
      <c r="T61" s="41" t="s">
        <v>72</v>
      </c>
      <c r="U61" s="41" t="s">
        <v>72</v>
      </c>
      <c r="V61" s="41" t="s">
        <v>176</v>
      </c>
      <c r="W61" s="41" t="s">
        <v>177</v>
      </c>
      <c r="X61" s="41" t="s">
        <v>165</v>
      </c>
      <c r="Y61" s="41" t="s">
        <v>81</v>
      </c>
      <c r="Z61" s="41" t="s">
        <v>72</v>
      </c>
      <c r="AA61" s="41" t="s">
        <v>72</v>
      </c>
      <c r="AB61" s="41" t="s">
        <v>72</v>
      </c>
      <c r="AC61" s="41" t="s">
        <v>72</v>
      </c>
      <c r="AD61" s="41" t="s">
        <v>72</v>
      </c>
      <c r="AE61" s="41" t="s">
        <v>75</v>
      </c>
      <c r="AF61" s="41" t="s">
        <v>76</v>
      </c>
      <c r="AG61" t="str">
        <f>VLOOKUP($Q61,武学奇术!$A:$ZZ,25,FALSE)</f>
        <v>单体奇术</v>
      </c>
      <c r="AH61" s="27">
        <f>VLOOKUP($Q61,武学奇术!$A:$ZZ,26,FALSE)</f>
        <v>3.9855</v>
      </c>
      <c r="AI61" s="28">
        <f>VLOOKUP($Q61,武学奇术!$A:$ZZ,27,FALSE)*(1+IF(OR($AG61=$F$4,$AG61=$F$5),$B$22,0))</f>
        <v>749</v>
      </c>
      <c r="AJ61" s="27">
        <f>VLOOKUP($Q61,武学奇术!$A:$ZZ,28,FALSE)</f>
        <v>5.97825</v>
      </c>
      <c r="AK61" s="28">
        <f>VLOOKUP($Q61,武学奇术!$A:$ZZ,29,FALSE)*(1+IF(OR($AG61=$F$4,$AG61=$F$5),$B$22,0))</f>
        <v>0</v>
      </c>
      <c r="AL61" s="27" cm="1">
        <f t="array" ref="AL61">$G$3+IFERROR(VLOOKUP($AG61,$F$4:$G$7,2,FALSE),0)+VLOOKUP($Q61,武学奇术!$A:$ZZ,2,FALSE)+SUM(_xlfn.XLOOKUP($R61:$AF61,增益!$A:$A,增益!$B:$B,0))</f>
        <v>0.1537</v>
      </c>
      <c r="AM61" s="27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3742.006</v>
      </c>
      <c r="AO61" cm="1">
        <f t="array" ref="AO61">$E$10*(1+$AM61)+VLOOKUP($Q61,武学奇术!$A:$ZZ,4,FALSE)+SUM(_xlfn.XLOOKUP($R61:$AF61,增益!$A:$A,增益!$D:$D,0))-$I$2</f>
        <v>3742.006</v>
      </c>
      <c r="AP61" s="33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0.342</v>
      </c>
      <c r="AQ61" s="33" cm="1">
        <f t="array" ref="AQ61">$G$10+VLOOKUP($Q61,武学奇术!$A:$ZZ,7,FALSE)+SUM(_xlfn.XLOOKUP(R61:AF61,增益!$A:$A,增益!$G:$G,0))</f>
        <v>0.09</v>
      </c>
      <c r="AR61" s="27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3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-0.14</v>
      </c>
      <c r="AV61" s="33" cm="1">
        <f t="array" ref="AV61">$G$11+VLOOKUP($Q61,武学奇术!$A:$ZZ,10,FALSE)+SUM(_xlfn.XLOOKUP(R61:AF61,增益!$A:$A,增益!$J:$J,0))</f>
        <v>0.1</v>
      </c>
      <c r="AW61">
        <f t="shared" si="3"/>
        <v>0</v>
      </c>
      <c r="AX61">
        <f t="shared" si="4"/>
        <v>0</v>
      </c>
      <c r="AY61" s="33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-0.14</v>
      </c>
      <c r="AZ61" s="33" cm="1">
        <f t="array" ref="AZ61">$G$12+VLOOKUP($Q61,武学奇术!$A:$ZZ,12,FALSE)+SUM(_xlfn.XLOOKUP(R61:AF61,增益!$A:$A,增益!$L:$L,0))</f>
        <v>0</v>
      </c>
      <c r="BA61">
        <f t="shared" si="5"/>
        <v>0</v>
      </c>
      <c r="BB61">
        <f t="shared" si="6"/>
        <v>0</v>
      </c>
      <c r="BC61" s="33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-0.14</v>
      </c>
      <c r="BD61" s="33" cm="1">
        <f t="array" ref="BD61">$G$13+VLOOKUP($Q61,武学奇术!$A:$ZZ,14,FALSE)+SUM(_xlfn.XLOOKUP(R61:AF61,增益!$A:$A,增益!$N:$N,0))</f>
        <v>0</v>
      </c>
      <c r="BE61">
        <f t="shared" si="7"/>
        <v>570.28</v>
      </c>
      <c r="BF61">
        <f t="shared" si="8"/>
        <v>1582.156</v>
      </c>
      <c r="BG61" s="33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0.08</v>
      </c>
      <c r="BH61" s="33" cm="1">
        <f t="array" ref="BH61">$G$14+VLOOKUP($Q61,武学奇术!$A:$ZZ,16,FALSE)+SUM(_xlfn.XLOOKUP(R61:AF61,增益!$A:$A,增益!$P:$P,0))</f>
        <v>0.24</v>
      </c>
      <c r="BI61" s="27">
        <f>MIN(IF(VLOOKUP($Q61,武学奇术!$A:$ZZ,23,FALSE)=1,100%,$B$8),100%)</f>
        <v>1</v>
      </c>
      <c r="BJ61" s="27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+MIN(IF(VLOOKUP($Q61,武学奇术!$A:$ZZ,32,FALSE)=1,IF(VLOOKUP($Q61,武学奇术!$A:$ZZ,24,FALSE)=1,100%,MIN(40%,$B$10+VLOOKUP($Q61,武学奇术!$A:$ZZ,19,FALSE)+SUM(_xlfn.XLOOKUP(R61:AF61,增益!$A:$A,增益!$S:$S,0)))+$B$12+SUM(_xlfn.XLOOKUP(R61:AF61,增益!$A:$A,增益!$V:$V,0))),0),12%)</f>
        <v>0.918</v>
      </c>
      <c r="BK61" s="27" cm="1">
        <f t="array" ref="BK61">1+$B$13+VLOOKUP($Q61,武学奇术!$A:$ZZ,18,FALSE)+SUM(_xlfn.XLOOKUP(R61:AF61,增益!$A:$A,增益!$R:$R,0))</f>
        <v>1.89</v>
      </c>
      <c r="BL61" s="27" cm="1">
        <f t="array" ref="BL61">MAX(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-IF(VLOOKUP($Q61,武学奇术!$A:$ZZ,32,FALSE)=1,12%,0),0)</f>
        <v>0.0895</v>
      </c>
      <c r="BM61" s="27" cm="1">
        <f t="array" ref="BM61">1+$B$14+VLOOKUP($Q61,武学奇术!$A:$ZZ,20,FALSE)+SUM(_xlfn.XLOOKUP(R61:AF61,增益!$A:$A,增益!$T:$T,0))</f>
        <v>1.35</v>
      </c>
      <c r="BN61" s="27">
        <f t="shared" si="9"/>
        <v>0.9105</v>
      </c>
      <c r="BO61" s="27">
        <f t="shared" si="10"/>
        <v>0</v>
      </c>
      <c r="BP61" s="27">
        <f>IF(VLOOKUP($Q61,武学奇术!$A:$ZZ,22,FALSE)=1,0,(1-$BI61))*(1-$BL61)</f>
        <v>0</v>
      </c>
      <c r="BQ61" s="27" cm="1">
        <f t="array" ref="BQ61">SUM(_xlfn.XLOOKUP(R61:AF61,增益!$A:$A,增益!$W:$W,0))+$I$5</f>
        <v>0.31</v>
      </c>
    </row>
    <row r="62" spans="1:69">
      <c r="A62" s="4"/>
      <c r="B62" s="4"/>
      <c r="K62" s="39">
        <f t="shared" si="0"/>
        <v>70112.3987518617</v>
      </c>
      <c r="L62" s="39">
        <f>((($AN62+($AO62-$AN62)*IF(VLOOKUP($Q62,武学奇术!$A:$ZZ,31,FALSE)=1,$F$18,0.5))*$AH62+$AI62)*(1+$AP62)*(1+$AQ62)+(($AS62+($AT62-$AS62)*IF(VLOOKUP($Q62,武学奇术!$A:$ZZ,31,FALSE)=1,$F$18,0.5))*IF($G$1="鸣金",$AJ62,$AH62)+IF($G$1="鸣金",$AK62*1.5,0))*(1+$AU62)*(1+$AV62)+(($AW62+($AX62-$AW62)*IF(VLOOKUP($Q62,武学奇术!$A:$ZZ,31,FALSE)=1,$F$18,0.5))*IF($G$1="裂石",$AJ62,$AH62)+IF($G$1="裂石",$AK62*1.5,0))*(1+$AY62)*(1+$AZ62)+(($BA62+($BB62-$BA62)*IF(VLOOKUP($Q62,武学奇术!$A:$ZZ,31,FALSE)=1,$F$18,0.5))*IF($G$1="牵丝",$AJ62,$AH62)+IF($G$1="牵丝",$AK62*1.5,0))*(1+$BC62)*(1+$BD62)+(($BE62+($BF62-$BE62)*IF(VLOOKUP($Q62,武学奇术!$A:$ZZ,31,FALSE)=1,$F$18,0.5))*IF($G$1="破竹",$AJ62,$AH62)+IF($G$1="破竹",$AK62*1.5,0))*(1+$BG62)*(1+$BH62))*(1+$AL62)*$BK62*$P62*(1+IF(VLOOKUP($Q62,武学奇术!$A:$ZZ,30,FALSE)="蓄力技",$B$21,0))*(1+$BQ62)</f>
        <v>71350.7456279079</v>
      </c>
      <c r="M62" s="39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57514.4676832573</v>
      </c>
      <c r="N62" s="39">
        <f>((($AN62+($AO62-$AN62)*IF(VLOOKUP($Q62,武学奇术!$A:$ZZ,31,FALSE)=1,$F$18,0.5))*$AH62+$AI62)*(1+$AP62)*(1+$AQ62)+(($AS62+($AT62-$AS62)*IF(VLOOKUP($Q62,武学奇术!$A:$ZZ,31,FALSE)=1,$F$18,0.5))*IF($G$1="鸣金",$AJ62,$AH62)+IF($G$1="鸣金",$AK62*1.5,0))*(1+$AU62)*(1+$AV62)+(($AW62+($AX62-$AW62)*IF(VLOOKUP($Q62,武学奇术!$A:$ZZ,31,FALSE)=1,$F$18,0.5))*IF($G$1="裂石",$AJ62,$AH62)+IF($G$1="裂石",$AK62*1.5,0))*(1+$AY62)*(1+$AZ62)+(($BA62+($BB62-$BA62)*IF(VLOOKUP($Q62,武学奇术!$A:$ZZ,31,FALSE)=1,$F$18,0.5))*IF($G$1="牵丝",$AJ62,$AH62)+IF($G$1="牵丝",$AK62*1.5,0))*(1+$BC62)*(1+$BD62)+(($BE62+($BF62-$BE62)*IF(VLOOKUP($Q62,武学奇术!$A:$ZZ,31,FALSE)=1,$F$18,0.5))*IF($G$1="破竹",$AJ62,$AH62)+IF($G$1="破竹",$AK62*1.5,0))*(1+$BG62)*(1+$BH62))*(1+$AL62)*$P62*(1+IF(VLOOKUP($Q62,武学奇术!$A:$ZZ,30,FALSE)="蓄力技",$B$21,0))*(1+$BQ62)</f>
        <v>37751.7172634433</v>
      </c>
      <c r="O62" s="39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32900.1251318813</v>
      </c>
      <c r="P62" s="40">
        <v>11</v>
      </c>
      <c r="Q62" s="41" t="s">
        <v>160</v>
      </c>
      <c r="R62" s="41" t="s">
        <v>93</v>
      </c>
      <c r="S62" s="41" t="s">
        <v>118</v>
      </c>
      <c r="T62" s="41" t="s">
        <v>72</v>
      </c>
      <c r="U62" s="41" t="s">
        <v>72</v>
      </c>
      <c r="V62" s="41" t="s">
        <v>176</v>
      </c>
      <c r="W62" s="41" t="s">
        <v>177</v>
      </c>
      <c r="X62" s="41" t="s">
        <v>165</v>
      </c>
      <c r="Y62" s="41" t="s">
        <v>81</v>
      </c>
      <c r="Z62" s="41" t="s">
        <v>72</v>
      </c>
      <c r="AA62" s="41" t="s">
        <v>161</v>
      </c>
      <c r="AB62" s="41" t="s">
        <v>72</v>
      </c>
      <c r="AC62" s="41" t="s">
        <v>72</v>
      </c>
      <c r="AD62" s="41" t="s">
        <v>72</v>
      </c>
      <c r="AE62" s="41" t="s">
        <v>75</v>
      </c>
      <c r="AF62" s="41" t="s">
        <v>76</v>
      </c>
      <c r="AG62" t="str">
        <f>VLOOKUP($Q62,武学奇术!$A:$ZZ,25,FALSE)</f>
        <v>单体奇术</v>
      </c>
      <c r="AH62" s="27">
        <f>VLOOKUP($Q62,武学奇术!$A:$ZZ,26,FALSE)</f>
        <v>0.236</v>
      </c>
      <c r="AI62" s="28">
        <f>VLOOKUP($Q62,武学奇术!$A:$ZZ,27,FALSE)*(1+IF(OR($AG62=$F$4,$AG62=$F$5),$B$22,0))</f>
        <v>44</v>
      </c>
      <c r="AJ62" s="27">
        <f>VLOOKUP($Q62,武学奇术!$A:$ZZ,28,FALSE)</f>
        <v>0.354</v>
      </c>
      <c r="AK62" s="28">
        <f>VLOOKUP($Q62,武学奇术!$A:$ZZ,29,FALSE)*(1+IF(OR($AG62=$F$4,$AG62=$F$5),$B$22,0))</f>
        <v>0</v>
      </c>
      <c r="AL62" s="27" cm="1">
        <f t="array" ref="AL62">$G$3+IFERROR(VLOOKUP($AG62,$F$4:$G$7,2,FALSE),0)+VLOOKUP($Q62,武学奇术!$A:$ZZ,2,FALSE)+SUM(_xlfn.XLOOKUP($R62:$AF62,增益!$A:$A,增益!$B:$B,0))</f>
        <v>0.4037</v>
      </c>
      <c r="AM62" s="27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3742.006</v>
      </c>
      <c r="AO62" cm="1">
        <f t="array" ref="AO62">$E$10*(1+$AM62)+VLOOKUP($Q62,武学奇术!$A:$ZZ,4,FALSE)+SUM(_xlfn.XLOOKUP($R62:$AF62,增益!$A:$A,增益!$D:$D,0))-$I$2</f>
        <v>3742.006</v>
      </c>
      <c r="AP62" s="33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0.342</v>
      </c>
      <c r="AQ62" s="33" cm="1">
        <f t="array" ref="AQ62">$G$10+VLOOKUP($Q62,武学奇术!$A:$ZZ,7,FALSE)+SUM(_xlfn.XLOOKUP(R62:AF62,增益!$A:$A,增益!$G:$G,0))</f>
        <v>0.09</v>
      </c>
      <c r="AR62" s="27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3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-0.14</v>
      </c>
      <c r="AV62" s="33" cm="1">
        <f t="array" ref="AV62">$G$11+VLOOKUP($Q62,武学奇术!$A:$ZZ,10,FALSE)+SUM(_xlfn.XLOOKUP(R62:AF62,增益!$A:$A,增益!$J:$J,0))</f>
        <v>0.1</v>
      </c>
      <c r="AW62">
        <f t="shared" si="3"/>
        <v>0</v>
      </c>
      <c r="AX62">
        <f t="shared" si="4"/>
        <v>0</v>
      </c>
      <c r="AY62" s="33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-0.14</v>
      </c>
      <c r="AZ62" s="33" cm="1">
        <f t="array" ref="AZ62">$G$12+VLOOKUP($Q62,武学奇术!$A:$ZZ,12,FALSE)+SUM(_xlfn.XLOOKUP(R62:AF62,增益!$A:$A,增益!$L:$L,0))</f>
        <v>0</v>
      </c>
      <c r="BA62">
        <f t="shared" si="5"/>
        <v>0</v>
      </c>
      <c r="BB62">
        <f t="shared" si="6"/>
        <v>0</v>
      </c>
      <c r="BC62" s="33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-0.14</v>
      </c>
      <c r="BD62" s="33" cm="1">
        <f t="array" ref="BD62">$G$13+VLOOKUP($Q62,武学奇术!$A:$ZZ,14,FALSE)+SUM(_xlfn.XLOOKUP(R62:AF62,增益!$A:$A,增益!$N:$N,0))</f>
        <v>0</v>
      </c>
      <c r="BE62">
        <f t="shared" si="7"/>
        <v>570.28</v>
      </c>
      <c r="BF62">
        <f t="shared" si="8"/>
        <v>1582.156</v>
      </c>
      <c r="BG62" s="33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0.08</v>
      </c>
      <c r="BH62" s="33" cm="1">
        <f t="array" ref="BH62">$G$14+VLOOKUP($Q62,武学奇术!$A:$ZZ,16,FALSE)+SUM(_xlfn.XLOOKUP(R62:AF62,增益!$A:$A,增益!$P:$P,0))</f>
        <v>0.24</v>
      </c>
      <c r="BI62" s="27">
        <f>MIN(IF(VLOOKUP($Q62,武学奇术!$A:$ZZ,23,FALSE)=1,100%,$B$8),100%)</f>
        <v>1</v>
      </c>
      <c r="BJ62" s="27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+MIN(IF(VLOOKUP($Q62,武学奇术!$A:$ZZ,32,FALSE)=1,IF(VLOOKUP($Q62,武学奇术!$A:$ZZ,24,FALSE)=1,100%,MIN(40%,$B$10+VLOOKUP($Q62,武学奇术!$A:$ZZ,19,FALSE)+SUM(_xlfn.XLOOKUP(R62:AF62,增益!$A:$A,增益!$S:$S,0)))+$B$12+SUM(_xlfn.XLOOKUP(R62:AF62,增益!$A:$A,增益!$V:$V,0))),0),12%)</f>
        <v>0.918</v>
      </c>
      <c r="BK62" s="27" cm="1">
        <f t="array" ref="BK62">1+$B$13+VLOOKUP($Q62,武学奇术!$A:$ZZ,18,FALSE)+SUM(_xlfn.XLOOKUP(R62:AF62,增益!$A:$A,增益!$R:$R,0))</f>
        <v>1.89</v>
      </c>
      <c r="BL62" s="27" cm="1">
        <f t="array" ref="BL62">MAX(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-IF(VLOOKUP($Q62,武学奇术!$A:$ZZ,32,FALSE)=1,12%,0),0)</f>
        <v>0.0895</v>
      </c>
      <c r="BM62" s="27" cm="1">
        <f t="array" ref="BM62">1+$B$14+VLOOKUP($Q62,武学奇术!$A:$ZZ,20,FALSE)+SUM(_xlfn.XLOOKUP(R62:AF62,增益!$A:$A,增益!$T:$T,0))</f>
        <v>1.35</v>
      </c>
      <c r="BN62" s="27">
        <f t="shared" si="9"/>
        <v>0.9105</v>
      </c>
      <c r="BO62" s="27">
        <f t="shared" si="10"/>
        <v>0</v>
      </c>
      <c r="BP62" s="27">
        <f>IF(VLOOKUP($Q62,武学奇术!$A:$ZZ,22,FALSE)=1,0,(1-$BI62))*(1-$BL62)</f>
        <v>0</v>
      </c>
      <c r="BQ62" s="27" cm="1">
        <f t="array" ref="BQ62">SUM(_xlfn.XLOOKUP(R62:AF62,增益!$A:$A,增益!$W:$W,0))+$I$5</f>
        <v>0.31</v>
      </c>
    </row>
    <row r="63" spans="1:69">
      <c r="A63" s="4"/>
      <c r="B63" s="4"/>
      <c r="K63" s="39">
        <f t="shared" si="0"/>
        <v>54007.4688511912</v>
      </c>
      <c r="L63" s="39">
        <f>((($AN63+($AO63-$AN63)*IF(VLOOKUP($Q63,武学奇术!$A:$ZZ,31,FALSE)=1,$F$18,0.5))*$AH63+$AI63)*(1+$AP63)*(1+$AQ63)+(($AS63+($AT63-$AS63)*IF(VLOOKUP($Q63,武学奇术!$A:$ZZ,31,FALSE)=1,$F$18,0.5))*IF($G$1="鸣金",$AJ63,$AH63)+IF($G$1="鸣金",$AK63*1.5,0))*(1+$AU63)*(1+$AV63)+(($AW63+($AX63-$AW63)*IF(VLOOKUP($Q63,武学奇术!$A:$ZZ,31,FALSE)=1,$F$18,0.5))*IF($G$1="裂石",$AJ63,$AH63)+IF($G$1="裂石",$AK63*1.5,0))*(1+$AY63)*(1+$AZ63)+(($BA63+($BB63-$BA63)*IF(VLOOKUP($Q63,武学奇术!$A:$ZZ,31,FALSE)=1,$F$18,0.5))*IF($G$1="牵丝",$AJ63,$AH63)+IF($G$1="牵丝",$AK63*1.5,0))*(1+$BC63)*(1+$BD63)+(($BE63+($BF63-$BE63)*IF(VLOOKUP($Q63,武学奇术!$A:$ZZ,31,FALSE)=1,$F$18,0.5))*IF($G$1="破竹",$AJ63,$AH63)+IF($G$1="破竹",$AK63*1.5,0))*(1+$BG63)*(1+$BH63))*(1+$AL63)*$BK63*$P63*(1+IF(VLOOKUP($Q63,武学奇术!$A:$ZZ,30,FALSE)="蓄力技",$B$21,0))*(1+$BQ63)</f>
        <v>54961.365473267</v>
      </c>
      <c r="M63" s="39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44303.302656777</v>
      </c>
      <c r="N63" s="39">
        <f>((($AN63+($AO63-$AN63)*IF(VLOOKUP($Q63,武学奇术!$A:$ZZ,31,FALSE)=1,$F$18,0.5))*$AH63+$AI63)*(1+$AP63)*(1+$AQ63)+(($AS63+($AT63-$AS63)*IF(VLOOKUP($Q63,武学奇术!$A:$ZZ,31,FALSE)=1,$F$18,0.5))*IF($G$1="鸣金",$AJ63,$AH63)+IF($G$1="鸣金",$AK63*1.5,0))*(1+$AU63)*(1+$AV63)+(($AW63+($AX63-$AW63)*IF(VLOOKUP($Q63,武学奇术!$A:$ZZ,31,FALSE)=1,$F$18,0.5))*IF($G$1="裂石",$AJ63,$AH63)+IF($G$1="裂石",$AK63*1.5,0))*(1+$AY63)*(1+$AZ63)+(($BA63+($BB63-$BA63)*IF(VLOOKUP($Q63,武学奇术!$A:$ZZ,31,FALSE)=1,$F$18,0.5))*IF($G$1="牵丝",$AJ63,$AH63)+IF($G$1="牵丝",$AK63*1.5,0))*(1+$BC63)*(1+$BD63)+(($BE63+($BF63-$BE63)*IF(VLOOKUP($Q63,武学奇术!$A:$ZZ,31,FALSE)=1,$F$18,0.5))*IF($G$1="破竹",$AJ63,$AH63)+IF($G$1="破竹",$AK63*1.5,0))*(1+$BG63)*(1+$BH63))*(1+$AL63)*$P63*(1+IF(VLOOKUP($Q63,武学奇术!$A:$ZZ,30,FALSE)="蓄力技",$B$21,0))*(1+$BQ63)</f>
        <v>29080.0875519931</v>
      </c>
      <c r="O63" s="39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25342.9138767441</v>
      </c>
      <c r="P63" s="40">
        <v>10</v>
      </c>
      <c r="Q63" s="41" t="s">
        <v>160</v>
      </c>
      <c r="R63" s="41" t="s">
        <v>93</v>
      </c>
      <c r="S63" s="41" t="s">
        <v>118</v>
      </c>
      <c r="T63" s="41" t="s">
        <v>72</v>
      </c>
      <c r="U63" s="41" t="s">
        <v>72</v>
      </c>
      <c r="V63" s="41" t="s">
        <v>72</v>
      </c>
      <c r="W63" s="41" t="s">
        <v>72</v>
      </c>
      <c r="X63" s="41" t="s">
        <v>165</v>
      </c>
      <c r="Y63" s="41" t="s">
        <v>81</v>
      </c>
      <c r="Z63" s="41" t="s">
        <v>72</v>
      </c>
      <c r="AA63" s="41" t="s">
        <v>161</v>
      </c>
      <c r="AB63" s="41" t="s">
        <v>72</v>
      </c>
      <c r="AC63" s="41" t="s">
        <v>72</v>
      </c>
      <c r="AD63" s="41" t="s">
        <v>72</v>
      </c>
      <c r="AE63" s="41" t="s">
        <v>75</v>
      </c>
      <c r="AF63" s="41" t="s">
        <v>76</v>
      </c>
      <c r="AG63" t="str">
        <f>VLOOKUP($Q63,武学奇术!$A:$ZZ,25,FALSE)</f>
        <v>单体奇术</v>
      </c>
      <c r="AH63" s="27">
        <f>VLOOKUP($Q63,武学奇术!$A:$ZZ,26,FALSE)</f>
        <v>0.236</v>
      </c>
      <c r="AI63" s="28">
        <f>VLOOKUP($Q63,武学奇术!$A:$ZZ,27,FALSE)*(1+IF(OR($AG63=$F$4,$AG63=$F$5),$B$22,0))</f>
        <v>44</v>
      </c>
      <c r="AJ63" s="27">
        <f>VLOOKUP($Q63,武学奇术!$A:$ZZ,28,FALSE)</f>
        <v>0.354</v>
      </c>
      <c r="AK63" s="28">
        <f>VLOOKUP($Q63,武学奇术!$A:$ZZ,29,FALSE)*(1+IF(OR($AG63=$F$4,$AG63=$F$5),$B$22,0))</f>
        <v>0</v>
      </c>
      <c r="AL63" s="27" cm="1">
        <f t="array" ref="AL63">$G$3+IFERROR(VLOOKUP($AG63,$F$4:$G$7,2,FALSE),0)+VLOOKUP($Q63,武学奇术!$A:$ZZ,2,FALSE)+SUM(_xlfn.XLOOKUP($R63:$AF63,增益!$A:$A,增益!$B:$B,0))</f>
        <v>0.4037</v>
      </c>
      <c r="AM63" s="27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3742.006</v>
      </c>
      <c r="AO63" cm="1">
        <f t="array" ref="AO63">$E$10*(1+$AM63)+VLOOKUP($Q63,武学奇术!$A:$ZZ,4,FALSE)+SUM(_xlfn.XLOOKUP($R63:$AF63,增益!$A:$A,增益!$D:$D,0))-$I$2</f>
        <v>3742.006</v>
      </c>
      <c r="AP63" s="33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0.342</v>
      </c>
      <c r="AQ63" s="33" cm="1">
        <f t="array" ref="AQ63">$G$10+VLOOKUP($Q63,武学奇术!$A:$ZZ,7,FALSE)+SUM(_xlfn.XLOOKUP(R63:AF63,增益!$A:$A,增益!$G:$G,0))</f>
        <v>0.09</v>
      </c>
      <c r="AR63" s="27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3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-0.14</v>
      </c>
      <c r="AV63" s="33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3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-0.14</v>
      </c>
      <c r="AZ63" s="33" cm="1">
        <f t="array" ref="AZ63">$G$12+VLOOKUP($Q63,武学奇术!$A:$ZZ,12,FALSE)+SUM(_xlfn.XLOOKUP(R63:AF63,增益!$A:$A,增益!$L:$L,0))</f>
        <v>0</v>
      </c>
      <c r="BA63">
        <f t="shared" si="5"/>
        <v>0</v>
      </c>
      <c r="BB63">
        <f t="shared" si="6"/>
        <v>0</v>
      </c>
      <c r="BC63" s="33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-0.14</v>
      </c>
      <c r="BD63" s="33" cm="1">
        <f t="array" ref="BD63">$G$13+VLOOKUP($Q63,武学奇术!$A:$ZZ,14,FALSE)+SUM(_xlfn.XLOOKUP(R63:AF63,增益!$A:$A,增益!$N:$N,0))</f>
        <v>0</v>
      </c>
      <c r="BE63">
        <f t="shared" si="7"/>
        <v>570.28</v>
      </c>
      <c r="BF63">
        <f t="shared" si="8"/>
        <v>1582.156</v>
      </c>
      <c r="BG63" s="33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0.08</v>
      </c>
      <c r="BH63" s="33" cm="1">
        <f t="array" ref="BH63">$G$14+VLOOKUP($Q63,武学奇术!$A:$ZZ,16,FALSE)+SUM(_xlfn.XLOOKUP(R63:AF63,增益!$A:$A,增益!$P:$P,0))</f>
        <v>0.24</v>
      </c>
      <c r="BI63" s="27">
        <f>MIN(IF(VLOOKUP($Q63,武学奇术!$A:$ZZ,23,FALSE)=1,100%,$B$8),100%)</f>
        <v>1</v>
      </c>
      <c r="BJ63" s="27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+MIN(IF(VLOOKUP($Q63,武学奇术!$A:$ZZ,32,FALSE)=1,IF(VLOOKUP($Q63,武学奇术!$A:$ZZ,24,FALSE)=1,100%,MIN(40%,$B$10+VLOOKUP($Q63,武学奇术!$A:$ZZ,19,FALSE)+SUM(_xlfn.XLOOKUP(R63:AF63,增益!$A:$A,增益!$S:$S,0)))+$B$12+SUM(_xlfn.XLOOKUP(R63:AF63,增益!$A:$A,增益!$V:$V,0))),0),12%)</f>
        <v>0.918</v>
      </c>
      <c r="BK63" s="27" cm="1">
        <f t="array" ref="BK63">1+$B$13+VLOOKUP($Q63,武学奇术!$A:$ZZ,18,FALSE)+SUM(_xlfn.XLOOKUP(R63:AF63,增益!$A:$A,增益!$R:$R,0))</f>
        <v>1.89</v>
      </c>
      <c r="BL63" s="27" cm="1">
        <f t="array" ref="BL63">MAX(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-IF(VLOOKUP($Q63,武学奇术!$A:$ZZ,32,FALSE)=1,12%,0),0)</f>
        <v>0.0895</v>
      </c>
      <c r="BM63" s="27" cm="1">
        <f t="array" ref="BM63">1+$B$14+VLOOKUP($Q63,武学奇术!$A:$ZZ,20,FALSE)+SUM(_xlfn.XLOOKUP(R63:AF63,增益!$A:$A,增益!$T:$T,0))</f>
        <v>1.35</v>
      </c>
      <c r="BN63" s="27">
        <f t="shared" si="9"/>
        <v>0.9105</v>
      </c>
      <c r="BO63" s="27">
        <f t="shared" si="10"/>
        <v>0</v>
      </c>
      <c r="BP63" s="27">
        <f>IF(VLOOKUP($Q63,武学奇术!$A:$ZZ,22,FALSE)=1,0,(1-$BI63))*(1-$BL63)</f>
        <v>0</v>
      </c>
      <c r="BQ63" s="27" cm="1">
        <f t="array" ref="BQ63">SUM(_xlfn.XLOOKUP(R63:AF63,增益!$A:$A,增益!$W:$W,0))+$I$5</f>
        <v>0.11</v>
      </c>
    </row>
    <row r="64" spans="1:69">
      <c r="A64" s="4"/>
      <c r="B64" s="91"/>
      <c r="F64" s="4"/>
      <c r="G64" s="91"/>
      <c r="K64" s="39">
        <f t="shared" si="0"/>
        <v>30555.3480530674</v>
      </c>
      <c r="L64" s="39">
        <f>((($AN64+($AO64-$AN64)*IF(VLOOKUP($Q64,武学奇术!$A:$ZZ,31,FALSE)=1,$F$18,0.5))*$AH64+$AI64)*(1+$AP64)*(1+$AQ64)+(($AS64+($AT64-$AS64)*IF(VLOOKUP($Q64,武学奇术!$A:$ZZ,31,FALSE)=1,$F$18,0.5))*IF($G$1="鸣金",$AJ64,$AH64)+IF($G$1="鸣金",$AK64*1.5,0))*(1+$AU64)*(1+$AV64)+(($AW64+($AX64-$AW64)*IF(VLOOKUP($Q64,武学奇术!$A:$ZZ,31,FALSE)=1,$F$18,0.5))*IF($G$1="裂石",$AJ64,$AH64)+IF($G$1="裂石",$AK64*1.5,0))*(1+$AY64)*(1+$AZ64)+(($BA64+($BB64-$BA64)*IF(VLOOKUP($Q64,武学奇术!$A:$ZZ,31,FALSE)=1,$F$18,0.5))*IF($G$1="牵丝",$AJ64,$AH64)+IF($G$1="牵丝",$AK64*1.5,0))*(1+$BC64)*(1+$BD64)+(($BE64+($BF64-$BE64)*IF(VLOOKUP($Q64,武学奇术!$A:$ZZ,31,FALSE)=1,$F$18,0.5))*IF($G$1="破竹",$AJ64,$AH64)+IF($G$1="破竹",$AK64*1.5,0))*(1+$BG64)*(1+$BH64))*(1+$AL64)*$BK64*$P64*(1+IF(VLOOKUP($Q64,武学奇术!$A:$ZZ,30,FALSE)="蓄力技",$B$21,0))*(1+$BQ64)</f>
        <v>31116.6439196374</v>
      </c>
      <c r="M64" s="39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24845.1817233237</v>
      </c>
      <c r="N64" s="39">
        <f>((($AN64+($AO64-$AN64)*IF(VLOOKUP($Q64,武学奇术!$A:$ZZ,31,FALSE)=1,$F$18,0.5))*$AH64+$AI64)*(1+$AP64)*(1+$AQ64)+(($AS64+($AT64-$AS64)*IF(VLOOKUP($Q64,武学奇术!$A:$ZZ,31,FALSE)=1,$F$18,0.5))*IF($G$1="鸣金",$AJ64,$AH64)+IF($G$1="鸣金",$AK64*1.5,0))*(1+$AU64)*(1+$AV64)+(($AW64+($AX64-$AW64)*IF(VLOOKUP($Q64,武学奇术!$A:$ZZ,31,FALSE)=1,$F$18,0.5))*IF($G$1="裂石",$AJ64,$AH64)+IF($G$1="裂石",$AK64*1.5,0))*(1+$AY64)*(1+$AZ64)+(($BA64+($BB64-$BA64)*IF(VLOOKUP($Q64,武学奇术!$A:$ZZ,31,FALSE)=1,$F$18,0.5))*IF($G$1="牵丝",$AJ64,$AH64)+IF($G$1="牵丝",$AK64*1.5,0))*(1+$BC64)*(1+$BD64)+(($BE64+($BF64-$BE64)*IF(VLOOKUP($Q64,武学奇术!$A:$ZZ,31,FALSE)=1,$F$18,0.5))*IF($G$1="破竹",$AJ64,$AH64)+IF($G$1="破竹",$AK64*1.5,0))*(1+$BG64)*(1+$BH64))*(1+$AL64)*$P64*(1+IF(VLOOKUP($Q64,武学奇术!$A:$ZZ,30,FALSE)="蓄力技",$B$21,0))*(1+$BQ64)</f>
        <v>16463.8327617129</v>
      </c>
      <c r="O64" s="39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14523.8272098527</v>
      </c>
      <c r="P64" s="40">
        <v>1</v>
      </c>
      <c r="Q64" s="41" t="s">
        <v>140</v>
      </c>
      <c r="R64" s="41" t="s">
        <v>93</v>
      </c>
      <c r="S64" s="41" t="s">
        <v>118</v>
      </c>
      <c r="T64" s="41" t="s">
        <v>72</v>
      </c>
      <c r="U64" s="41" t="s">
        <v>72</v>
      </c>
      <c r="V64" s="41" t="s">
        <v>176</v>
      </c>
      <c r="W64" s="41" t="s">
        <v>177</v>
      </c>
      <c r="X64" s="41" t="s">
        <v>165</v>
      </c>
      <c r="Y64" s="41" t="s">
        <v>81</v>
      </c>
      <c r="Z64" s="41" t="s">
        <v>72</v>
      </c>
      <c r="AA64" s="41" t="s">
        <v>72</v>
      </c>
      <c r="AB64" s="41" t="s">
        <v>72</v>
      </c>
      <c r="AC64" s="41" t="s">
        <v>72</v>
      </c>
      <c r="AD64" s="41" t="s">
        <v>72</v>
      </c>
      <c r="AE64" s="41" t="s">
        <v>75</v>
      </c>
      <c r="AF64" s="41" t="s">
        <v>76</v>
      </c>
      <c r="AG64" t="str">
        <f>VLOOKUP($Q64,武学奇术!$A:$ZZ,25,FALSE)</f>
        <v>拳甲</v>
      </c>
      <c r="AH64" s="27">
        <f>VLOOKUP($Q64,武学奇术!$A:$ZZ,26,FALSE)</f>
        <v>1.1005</v>
      </c>
      <c r="AI64" s="28">
        <f>VLOOKUP($Q64,武学奇术!$A:$ZZ,27,FALSE)*(1+IF(OR($AG64=$F$4,$AG64=$F$5),$B$22,0))</f>
        <v>427</v>
      </c>
      <c r="AJ64" s="27">
        <f>VLOOKUP($Q64,武学奇术!$A:$ZZ,28,FALSE)</f>
        <v>1.6507</v>
      </c>
      <c r="AK64" s="28">
        <f>VLOOKUP($Q64,武学奇术!$A:$ZZ,29,FALSE)*(1+IF(OR($AG64=$F$4,$AG64=$F$5),$B$22,0))</f>
        <v>231</v>
      </c>
      <c r="AL64" s="27" cm="1">
        <f t="array" ref="AL64">$G$3+IFERROR(VLOOKUP($AG64,$F$4:$G$7,2,FALSE),0)+VLOOKUP($Q64,武学奇术!$A:$ZZ,2,FALSE)+SUM(_xlfn.XLOOKUP($R64:$AF64,增益!$A:$A,增益!$B:$B,0))</f>
        <v>0.3241</v>
      </c>
      <c r="AM64" s="27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3742.006</v>
      </c>
      <c r="AO64" cm="1">
        <f t="array" ref="AO64">$E$10*(1+$AM64)+VLOOKUP($Q64,武学奇术!$A:$ZZ,4,FALSE)+SUM(_xlfn.XLOOKUP($R64:$AF64,增益!$A:$A,增益!$D:$D,0))-$I$2</f>
        <v>3742.006</v>
      </c>
      <c r="AP64" s="33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0.342</v>
      </c>
      <c r="AQ64" s="33" cm="1">
        <f t="array" ref="AQ64">$G$10+VLOOKUP($Q64,武学奇术!$A:$ZZ,7,FALSE)+SUM(_xlfn.XLOOKUP(R64:AF64,增益!$A:$A,增益!$G:$G,0))</f>
        <v>0.09</v>
      </c>
      <c r="AR64" s="27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3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-0.14</v>
      </c>
      <c r="AV64" s="33" cm="1">
        <f t="array" ref="AV64">$G$11+VLOOKUP($Q64,武学奇术!$A:$ZZ,10,FALSE)+SUM(_xlfn.XLOOKUP(R64:AF64,增益!$A:$A,增益!$J:$J,0))</f>
        <v>0.1</v>
      </c>
      <c r="AW64">
        <f t="shared" si="3"/>
        <v>0</v>
      </c>
      <c r="AX64">
        <f t="shared" si="4"/>
        <v>0</v>
      </c>
      <c r="AY64" s="33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-0.14</v>
      </c>
      <c r="AZ64" s="33" cm="1">
        <f t="array" ref="AZ64">$G$12+VLOOKUP($Q64,武学奇术!$A:$ZZ,12,FALSE)+SUM(_xlfn.XLOOKUP(R64:AF64,增益!$A:$A,增益!$L:$L,0))</f>
        <v>0</v>
      </c>
      <c r="BA64">
        <f t="shared" si="5"/>
        <v>0</v>
      </c>
      <c r="BB64">
        <f t="shared" si="6"/>
        <v>0</v>
      </c>
      <c r="BC64" s="33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-0.14</v>
      </c>
      <c r="BD64" s="33" cm="1">
        <f t="array" ref="BD64">$G$13+VLOOKUP($Q64,武学奇术!$A:$ZZ,14,FALSE)+SUM(_xlfn.XLOOKUP(R64:AF64,增益!$A:$A,增益!$N:$N,0))</f>
        <v>0</v>
      </c>
      <c r="BE64">
        <f t="shared" si="7"/>
        <v>570.28</v>
      </c>
      <c r="BF64">
        <f t="shared" si="8"/>
        <v>1582.156</v>
      </c>
      <c r="BG64" s="33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0.08</v>
      </c>
      <c r="BH64" s="33" cm="1">
        <f t="array" ref="BH64">$G$14+VLOOKUP($Q64,武学奇术!$A:$ZZ,16,FALSE)+SUM(_xlfn.XLOOKUP(R64:AF64,增益!$A:$A,增益!$P:$P,0))</f>
        <v>0.24</v>
      </c>
      <c r="BI64" s="27">
        <f>MIN(IF(VLOOKUP($Q64,武学奇术!$A:$ZZ,23,FALSE)=1,100%,$B$8),100%)</f>
        <v>1</v>
      </c>
      <c r="BJ64" s="27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+MIN(IF(VLOOKUP($Q64,武学奇术!$A:$ZZ,32,FALSE)=1,IF(VLOOKUP($Q64,武学奇术!$A:$ZZ,24,FALSE)=1,100%,MIN(40%,$B$10+VLOOKUP($Q64,武学奇术!$A:$ZZ,19,FALSE)+SUM(_xlfn.XLOOKUP(R64:AF64,增益!$A:$A,增益!$S:$S,0)))+$B$12+SUM(_xlfn.XLOOKUP(R64:AF64,增益!$A:$A,增益!$V:$V,0))),0),12%)</f>
        <v>0.918</v>
      </c>
      <c r="BK64" s="27" cm="1">
        <f t="array" ref="BK64">1+$B$13+VLOOKUP($Q64,武学奇术!$A:$ZZ,18,FALSE)+SUM(_xlfn.XLOOKUP(R64:AF64,增益!$A:$A,增益!$R:$R,0))</f>
        <v>1.89</v>
      </c>
      <c r="BL64" s="27" cm="1">
        <f t="array" ref="BL64">MAX(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-IF(VLOOKUP($Q64,武学奇术!$A:$ZZ,32,FALSE)=1,12%,0),0)</f>
        <v>0.0895</v>
      </c>
      <c r="BM64" s="27" cm="1">
        <f t="array" ref="BM64">1+$B$14+VLOOKUP($Q64,武学奇术!$A:$ZZ,20,FALSE)+SUM(_xlfn.XLOOKUP(R64:AF64,增益!$A:$A,增益!$T:$T,0))</f>
        <v>1.35</v>
      </c>
      <c r="BN64" s="27">
        <f t="shared" si="9"/>
        <v>0.9105</v>
      </c>
      <c r="BO64" s="27">
        <f t="shared" si="10"/>
        <v>0</v>
      </c>
      <c r="BP64" s="27">
        <f>IF(VLOOKUP($Q64,武学奇术!$A:$ZZ,22,FALSE)=1,0,(1-$BI64))*(1-$BL64)</f>
        <v>0</v>
      </c>
      <c r="BQ64" s="27" cm="1">
        <f t="array" ref="BQ64">SUM(_xlfn.XLOOKUP(R64:AF64,增益!$A:$A,增益!$W:$W,0))+$I$5</f>
        <v>0.31</v>
      </c>
    </row>
    <row r="65" spans="1:69">
      <c r="K65" s="39">
        <f t="shared" si="0"/>
        <v>57443.1791145786</v>
      </c>
      <c r="L65" s="39">
        <f>((($AN65+($AO65-$AN65)*IF(VLOOKUP($Q65,武学奇术!$A:$ZZ,31,FALSE)=1,$F$18,0.5))*$AH65+$AI65)*(1+$AP65)*(1+$AQ65)+(($AS65+($AT65-$AS65)*IF(VLOOKUP($Q65,武学奇术!$A:$ZZ,31,FALSE)=1,$F$18,0.5))*IF($G$1="鸣金",$AJ65,$AH65)+IF($G$1="鸣金",$AK65*1.5,0))*(1+$AU65)*(1+$AV65)+(($AW65+($AX65-$AW65)*IF(VLOOKUP($Q65,武学奇术!$A:$ZZ,31,FALSE)=1,$F$18,0.5))*IF($G$1="裂石",$AJ65,$AH65)+IF($G$1="裂石",$AK65*1.5,0))*(1+$AY65)*(1+$AZ65)+(($BA65+($BB65-$BA65)*IF(VLOOKUP($Q65,武学奇术!$A:$ZZ,31,FALSE)=1,$F$18,0.5))*IF($G$1="牵丝",$AJ65,$AH65)+IF($G$1="牵丝",$AK65*1.5,0))*(1+$BC65)*(1+$BD65)+(($BE65+($BF65-$BE65)*IF(VLOOKUP($Q65,武学奇术!$A:$ZZ,31,FALSE)=1,$F$18,0.5))*IF($G$1="破竹",$AJ65,$AH65)+IF($G$1="破竹",$AK65*1.5,0))*(1+$BG65)*(1+$BH65))*(1+$AL65)*$BK65*$P65*(1+IF(VLOOKUP($Q65,武学奇术!$A:$ZZ,30,FALSE)="蓄力技",$B$21,0))*(1+$BQ65)</f>
        <v>58498.2777915314</v>
      </c>
      <c r="M65" s="39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46709.4657585393</v>
      </c>
      <c r="N65" s="39">
        <f>((($AN65+($AO65-$AN65)*IF(VLOOKUP($Q65,武学奇术!$A:$ZZ,31,FALSE)=1,$F$18,0.5))*$AH65+$AI65)*(1+$AP65)*(1+$AQ65)+(($AS65+($AT65-$AS65)*IF(VLOOKUP($Q65,武学奇术!$A:$ZZ,31,FALSE)=1,$F$18,0.5))*IF($G$1="鸣金",$AJ65,$AH65)+IF($G$1="鸣金",$AK65*1.5,0))*(1+$AU65)*(1+$AV65)+(($AW65+($AX65-$AW65)*IF(VLOOKUP($Q65,武学奇术!$A:$ZZ,31,FALSE)=1,$F$18,0.5))*IF($G$1="裂石",$AJ65,$AH65)+IF($G$1="裂石",$AK65*1.5,0))*(1+$AY65)*(1+$AZ65)+(($BA65+($BB65-$BA65)*IF(VLOOKUP($Q65,武学奇术!$A:$ZZ,31,FALSE)=1,$F$18,0.5))*IF($G$1="牵丝",$AJ65,$AH65)+IF($G$1="牵丝",$AK65*1.5,0))*(1+$BC65)*(1+$BD65)+(($BE65+($BF65-$BE65)*IF(VLOOKUP($Q65,武学奇术!$A:$ZZ,31,FALSE)=1,$F$18,0.5))*IF($G$1="破竹",$AJ65,$AH65)+IF($G$1="破竹",$AK65*1.5,0))*(1+$BG65)*(1+$BH65))*(1+$AL65)*$P65*(1+IF(VLOOKUP($Q65,武学奇术!$A:$ZZ,30,FALSE)="蓄力技",$B$21,0))*(1+$BQ65)</f>
        <v>30951.469730969</v>
      </c>
      <c r="O65" s="39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27303.3351963533</v>
      </c>
      <c r="P65" s="40">
        <v>1</v>
      </c>
      <c r="Q65" s="41" t="s">
        <v>111</v>
      </c>
      <c r="R65" s="41" t="s">
        <v>93</v>
      </c>
      <c r="S65" s="41" t="s">
        <v>118</v>
      </c>
      <c r="T65" s="41" t="s">
        <v>72</v>
      </c>
      <c r="U65" s="41" t="s">
        <v>72</v>
      </c>
      <c r="V65" s="41" t="s">
        <v>72</v>
      </c>
      <c r="W65" s="41" t="s">
        <v>72</v>
      </c>
      <c r="X65" s="41" t="s">
        <v>165</v>
      </c>
      <c r="Y65" s="41" t="s">
        <v>81</v>
      </c>
      <c r="Z65" s="41" t="s">
        <v>72</v>
      </c>
      <c r="AA65" s="41" t="s">
        <v>72</v>
      </c>
      <c r="AB65" s="41" t="s">
        <v>72</v>
      </c>
      <c r="AC65" s="41" t="s">
        <v>72</v>
      </c>
      <c r="AD65" s="41" t="s">
        <v>72</v>
      </c>
      <c r="AE65" s="41" t="s">
        <v>75</v>
      </c>
      <c r="AF65" s="41" t="s">
        <v>76</v>
      </c>
      <c r="AG65" t="str">
        <f>VLOOKUP($Q65,武学奇术!$A:$ZZ,25,FALSE)</f>
        <v>拳甲</v>
      </c>
      <c r="AH65" s="27">
        <f>VLOOKUP($Q65,武学奇术!$A:$ZZ,26,FALSE)</f>
        <v>2.4421</v>
      </c>
      <c r="AI65" s="28">
        <f>VLOOKUP($Q65,武学奇术!$A:$ZZ,27,FALSE)*(1+IF(OR($AG65=$F$4,$AG65=$F$5),$B$22,0))</f>
        <v>945</v>
      </c>
      <c r="AJ65" s="27">
        <f>VLOOKUP($Q65,武学奇术!$A:$ZZ,28,FALSE)</f>
        <v>3.6634</v>
      </c>
      <c r="AK65" s="28">
        <f>VLOOKUP($Q65,武学奇术!$A:$ZZ,29,FALSE)*(1+IF(OR($AG65=$F$4,$AG65=$F$5),$B$22,0))</f>
        <v>512.4</v>
      </c>
      <c r="AL65" s="27" cm="1">
        <f t="array" ref="AL65">$G$3+IFERROR(VLOOKUP($AG65,$F$4:$G$7,2,FALSE),0)+VLOOKUP($Q65,武学奇术!$A:$ZZ,2,FALSE)+SUM(_xlfn.XLOOKUP($R65:$AF65,增益!$A:$A,增益!$B:$B,0))</f>
        <v>0.3241</v>
      </c>
      <c r="AM65" s="27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3742.006</v>
      </c>
      <c r="AO65" cm="1">
        <f t="array" ref="AO65">$E$10*(1+$AM65)+VLOOKUP($Q65,武学奇术!$A:$ZZ,4,FALSE)+SUM(_xlfn.XLOOKUP($R65:$AF65,增益!$A:$A,增益!$D:$D,0))-$I$2</f>
        <v>3742.006</v>
      </c>
      <c r="AP65" s="33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0.342</v>
      </c>
      <c r="AQ65" s="33" cm="1">
        <f t="array" ref="AQ65">$G$10+VLOOKUP($Q65,武学奇术!$A:$ZZ,7,FALSE)+SUM(_xlfn.XLOOKUP(R65:AF65,增益!$A:$A,增益!$G:$G,0))</f>
        <v>0.09</v>
      </c>
      <c r="AR65" s="27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3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-0.14</v>
      </c>
      <c r="AV65" s="33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3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-0.14</v>
      </c>
      <c r="AZ65" s="33" cm="1">
        <f t="array" ref="AZ65">$G$12+VLOOKUP($Q65,武学奇术!$A:$ZZ,12,FALSE)+SUM(_xlfn.XLOOKUP(R65:AF65,增益!$A:$A,增益!$L:$L,0))</f>
        <v>0</v>
      </c>
      <c r="BA65">
        <f t="shared" si="5"/>
        <v>0</v>
      </c>
      <c r="BB65">
        <f t="shared" si="6"/>
        <v>0</v>
      </c>
      <c r="BC65" s="33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-0.14</v>
      </c>
      <c r="BD65" s="33" cm="1">
        <f t="array" ref="BD65">$G$13+VLOOKUP($Q65,武学奇术!$A:$ZZ,14,FALSE)+SUM(_xlfn.XLOOKUP(R65:AF65,增益!$A:$A,增益!$N:$N,0))</f>
        <v>0</v>
      </c>
      <c r="BE65">
        <f t="shared" si="7"/>
        <v>570.28</v>
      </c>
      <c r="BF65">
        <f t="shared" si="8"/>
        <v>1582.156</v>
      </c>
      <c r="BG65" s="33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0.08</v>
      </c>
      <c r="BH65" s="33" cm="1">
        <f t="array" ref="BH65">$G$14+VLOOKUP($Q65,武学奇术!$A:$ZZ,16,FALSE)+SUM(_xlfn.XLOOKUP(R65:AF65,增益!$A:$A,增益!$P:$P,0))</f>
        <v>0.24</v>
      </c>
      <c r="BI65" s="27">
        <f>MIN(IF(VLOOKUP($Q65,武学奇术!$A:$ZZ,23,FALSE)=1,100%,$B$8),100%)</f>
        <v>1</v>
      </c>
      <c r="BJ65" s="27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+MIN(IF(VLOOKUP($Q65,武学奇术!$A:$ZZ,32,FALSE)=1,IF(VLOOKUP($Q65,武学奇术!$A:$ZZ,24,FALSE)=1,100%,MIN(40%,$B$10+VLOOKUP($Q65,武学奇术!$A:$ZZ,19,FALSE)+SUM(_xlfn.XLOOKUP(R65:AF65,增益!$A:$A,增益!$S:$S,0)))+$B$12+SUM(_xlfn.XLOOKUP(R65:AF65,增益!$A:$A,增益!$V:$V,0))),0),12%)</f>
        <v>0.918</v>
      </c>
      <c r="BK65" s="27" cm="1">
        <f t="array" ref="BK65">1+$B$13+VLOOKUP($Q65,武学奇术!$A:$ZZ,18,FALSE)+SUM(_xlfn.XLOOKUP(R65:AF65,增益!$A:$A,增益!$R:$R,0))</f>
        <v>1.89</v>
      </c>
      <c r="BL65" s="27" cm="1">
        <f t="array" ref="BL65">MAX(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-IF(VLOOKUP($Q65,武学奇术!$A:$ZZ,32,FALSE)=1,12%,0),0)</f>
        <v>0.0895</v>
      </c>
      <c r="BM65" s="27" cm="1">
        <f t="array" ref="BM65">1+$B$14+VLOOKUP($Q65,武学奇术!$A:$ZZ,20,FALSE)+SUM(_xlfn.XLOOKUP(R65:AF65,增益!$A:$A,增益!$T:$T,0))</f>
        <v>1.35</v>
      </c>
      <c r="BN65" s="27">
        <f t="shared" si="9"/>
        <v>0.9105</v>
      </c>
      <c r="BO65" s="27">
        <f t="shared" si="10"/>
        <v>0</v>
      </c>
      <c r="BP65" s="27">
        <f>IF(VLOOKUP($Q65,武学奇术!$A:$ZZ,22,FALSE)=1,0,(1-$BI65))*(1-$BL65)</f>
        <v>0</v>
      </c>
      <c r="BQ65" s="27" cm="1">
        <f t="array" ref="BQ65">SUM(_xlfn.XLOOKUP(R65:AF65,增益!$A:$A,增益!$W:$W,0))+$I$5</f>
        <v>0.11</v>
      </c>
    </row>
    <row r="66" spans="1:69">
      <c r="F66" s="4"/>
      <c r="G66" s="4"/>
      <c r="K66" s="39">
        <f t="shared" ref="K66:K129" si="11">($L66*$BN66+$M66*$BL66+$N66*$BO66+$O66*$BP66)</f>
        <v>30313.1437014825</v>
      </c>
      <c r="L66" s="39">
        <f>((($AN66+($AO66-$AN66)*IF(VLOOKUP($Q66,武学奇术!$A:$ZZ,31,FALSE)=1,$F$18,0.5))*$AH66+$AI66)*(1+$AP66)*(1+$AQ66)+(($AS66+($AT66-$AS66)*IF(VLOOKUP($Q66,武学奇术!$A:$ZZ,31,FALSE)=1,$F$18,0.5))*IF($G$1="鸣金",$AJ66,$AH66)+IF($G$1="鸣金",$AK66*1.5,0))*(1+$AU66)*(1+$AV66)+(($AW66+($AX66-$AW66)*IF(VLOOKUP($Q66,武学奇术!$A:$ZZ,31,FALSE)=1,$F$18,0.5))*IF($G$1="裂石",$AJ66,$AH66)+IF($G$1="裂石",$AK66*1.5,0))*(1+$AY66)*(1+$AZ66)+(($BA66+($BB66-$BA66)*IF(VLOOKUP($Q66,武学奇术!$A:$ZZ,31,FALSE)=1,$F$18,0.5))*IF($G$1="牵丝",$AJ66,$AH66)+IF($G$1="牵丝",$AK66*1.5,0))*(1+$BC66)*(1+$BD66)+(($BE66+($BF66-$BE66)*IF(VLOOKUP($Q66,武学奇术!$A:$ZZ,31,FALSE)=1,$F$18,0.5))*IF($G$1="破竹",$AJ66,$AH66)+IF($G$1="破竹",$AK66*1.5,0))*(1+$BG66)*(1+$BH66))*(1+$AL66)*$BK66*$P66*(1+IF(VLOOKUP($Q66,武学奇术!$A:$ZZ,30,FALSE)="蓄力技",$B$21,0))*(1+$BQ66)</f>
        <v>30870.1608640755</v>
      </c>
      <c r="M66" s="39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24646.505416109</v>
      </c>
      <c r="N66" s="39">
        <f>((($AN66+($AO66-$AN66)*IF(VLOOKUP($Q66,武学奇术!$A:$ZZ,31,FALSE)=1,$F$18,0.5))*$AH66+$AI66)*(1+$AP66)*(1+$AQ66)+(($AS66+($AT66-$AS66)*IF(VLOOKUP($Q66,武学奇术!$A:$ZZ,31,FALSE)=1,$F$18,0.5))*IF($G$1="鸣金",$AJ66,$AH66)+IF($G$1="鸣金",$AK66*1.5,0))*(1+$AU66)*(1+$AV66)+(($AW66+($AX66-$AW66)*IF(VLOOKUP($Q66,武学奇术!$A:$ZZ,31,FALSE)=1,$F$18,0.5))*IF($G$1="裂石",$AJ66,$AH66)+IF($G$1="裂石",$AK66*1.5,0))*(1+$AY66)*(1+$AZ66)+(($BA66+($BB66-$BA66)*IF(VLOOKUP($Q66,武学奇术!$A:$ZZ,31,FALSE)=1,$F$18,0.5))*IF($G$1="牵丝",$AJ66,$AH66)+IF($G$1="牵丝",$AK66*1.5,0))*(1+$BC66)*(1+$BD66)+(($BE66+($BF66-$BE66)*IF(VLOOKUP($Q66,武学奇术!$A:$ZZ,31,FALSE)=1,$F$18,0.5))*IF($G$1="破竹",$AJ66,$AH66)+IF($G$1="破竹",$AK66*1.5,0))*(1+$BG66)*(1+$BH66))*(1+$AL66)*$P66*(1+IF(VLOOKUP($Q66,武学奇术!$A:$ZZ,30,FALSE)="蓄力技",$B$21,0))*(1+$BQ66)</f>
        <v>16333.4184466008</v>
      </c>
      <c r="O66" s="39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14410.1662146023</v>
      </c>
      <c r="P66" s="40">
        <v>1</v>
      </c>
      <c r="Q66" s="41" t="s">
        <v>106</v>
      </c>
      <c r="R66" s="41" t="s">
        <v>93</v>
      </c>
      <c r="S66" s="41" t="s">
        <v>118</v>
      </c>
      <c r="T66" s="41" t="s">
        <v>72</v>
      </c>
      <c r="U66" s="41" t="s">
        <v>72</v>
      </c>
      <c r="V66" s="41" t="s">
        <v>72</v>
      </c>
      <c r="W66" s="41" t="s">
        <v>72</v>
      </c>
      <c r="X66" s="41" t="s">
        <v>165</v>
      </c>
      <c r="Y66" s="41" t="s">
        <v>81</v>
      </c>
      <c r="Z66" s="41" t="s">
        <v>72</v>
      </c>
      <c r="AA66" s="41" t="s">
        <v>72</v>
      </c>
      <c r="AB66" s="41" t="s">
        <v>72</v>
      </c>
      <c r="AC66" s="41" t="s">
        <v>72</v>
      </c>
      <c r="AD66" s="41" t="s">
        <v>72</v>
      </c>
      <c r="AE66" s="41" t="s">
        <v>75</v>
      </c>
      <c r="AF66" s="41" t="s">
        <v>76</v>
      </c>
      <c r="AG66" t="str">
        <f>VLOOKUP($Q66,武学奇术!$A:$ZZ,25,FALSE)</f>
        <v>拳甲</v>
      </c>
      <c r="AH66" s="27">
        <f>VLOOKUP($Q66,武学奇术!$A:$ZZ,26,FALSE)</f>
        <v>1.2876</v>
      </c>
      <c r="AI66" s="28">
        <f>VLOOKUP($Q66,武学奇术!$A:$ZZ,27,FALSE)*(1+IF(OR($AG66=$F$4,$AG66=$F$5),$B$22,0))</f>
        <v>501.2</v>
      </c>
      <c r="AJ66" s="27">
        <f>VLOOKUP($Q66,武学奇术!$A:$ZZ,28,FALSE)</f>
        <v>1.9313</v>
      </c>
      <c r="AK66" s="28">
        <f>VLOOKUP($Q66,武学奇术!$A:$ZZ,29,FALSE)*(1+IF(OR($AG66=$F$4,$AG66=$F$5),$B$22,0))</f>
        <v>273</v>
      </c>
      <c r="AL66" s="27" cm="1">
        <f t="array" ref="AL66">$G$3+IFERROR(VLOOKUP($AG66,$F$4:$G$7,2,FALSE),0)+VLOOKUP($Q66,武学奇术!$A:$ZZ,2,FALSE)+SUM(_xlfn.XLOOKUP($R66:$AF66,增益!$A:$A,增益!$B:$B,0))</f>
        <v>0.3241</v>
      </c>
      <c r="AM66" s="27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3742.006</v>
      </c>
      <c r="AO66" cm="1">
        <f t="array" ref="AO66">$E$10*(1+$AM66)+VLOOKUP($Q66,武学奇术!$A:$ZZ,4,FALSE)+SUM(_xlfn.XLOOKUP($R66:$AF66,增益!$A:$A,增益!$D:$D,0))-$I$2</f>
        <v>3742.006</v>
      </c>
      <c r="AP66" s="33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0.342</v>
      </c>
      <c r="AQ66" s="33" cm="1">
        <f t="array" ref="AQ66">$G$10+VLOOKUP($Q66,武学奇术!$A:$ZZ,7,FALSE)+SUM(_xlfn.XLOOKUP(R66:AF66,增益!$A:$A,增益!$G:$G,0))</f>
        <v>0.09</v>
      </c>
      <c r="AR66" s="27" cm="1">
        <f t="array" ref="AR66">VLOOKUP($Q66,武学奇术!$A:$ZZ,8,FALSE)+SUM(_xlfn.XLOOKUP(R66:AF66,增益!$A:$A,增益!$H:$H,0))</f>
        <v>0</v>
      </c>
      <c r="AS66">
        <f t="shared" ref="AS66:AS129" si="12">$D$11*(1+$AR66)</f>
        <v>0</v>
      </c>
      <c r="AT66">
        <f t="shared" ref="AT66:AT129" si="13">$E$11*(1+$AR66)</f>
        <v>0</v>
      </c>
      <c r="AU66" s="33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-0.14</v>
      </c>
      <c r="AV66" s="33" cm="1">
        <f t="array" ref="AV66">$G$11+VLOOKUP($Q66,武学奇术!$A:$ZZ,10,FALSE)+SUM(_xlfn.XLOOKUP(R66:AF66,增益!$A:$A,增益!$J:$J,0))</f>
        <v>0</v>
      </c>
      <c r="AW66">
        <f t="shared" ref="AW66:AW129" si="14">$D$12*(1+$AR66)</f>
        <v>0</v>
      </c>
      <c r="AX66">
        <f t="shared" ref="AX66:AX129" si="15">$E$12*(1+$AR66)</f>
        <v>0</v>
      </c>
      <c r="AY66" s="33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-0.14</v>
      </c>
      <c r="AZ66" s="33" cm="1">
        <f t="array" ref="AZ66">$G$12+VLOOKUP($Q66,武学奇术!$A:$ZZ,12,FALSE)+SUM(_xlfn.XLOOKUP(R66:AF66,增益!$A:$A,增益!$L:$L,0))</f>
        <v>0</v>
      </c>
      <c r="BA66">
        <f t="shared" ref="BA66:BA129" si="16">$D$13*(1+$AR66)</f>
        <v>0</v>
      </c>
      <c r="BB66">
        <f t="shared" ref="BB66:BB129" si="17">$E$13*(1+$AR66)</f>
        <v>0</v>
      </c>
      <c r="BC66" s="33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-0.14</v>
      </c>
      <c r="BD66" s="33" cm="1">
        <f t="array" ref="BD66">$G$13+VLOOKUP($Q66,武学奇术!$A:$ZZ,14,FALSE)+SUM(_xlfn.XLOOKUP(R66:AF66,增益!$A:$A,增益!$N:$N,0))</f>
        <v>0</v>
      </c>
      <c r="BE66">
        <f t="shared" ref="BE66:BE129" si="18">$D$14*(1+$AR66)</f>
        <v>570.28</v>
      </c>
      <c r="BF66">
        <f t="shared" ref="BF66:BF129" si="19">$E$14*(1+$AR66)</f>
        <v>1582.156</v>
      </c>
      <c r="BG66" s="33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0.08</v>
      </c>
      <c r="BH66" s="33" cm="1">
        <f t="array" ref="BH66">$G$14+VLOOKUP($Q66,武学奇术!$A:$ZZ,16,FALSE)+SUM(_xlfn.XLOOKUP(R66:AF66,增益!$A:$A,增益!$P:$P,0))</f>
        <v>0.24</v>
      </c>
      <c r="BI66" s="27">
        <f>MIN(IF(VLOOKUP($Q66,武学奇术!$A:$ZZ,23,FALSE)=1,100%,$B$8),100%)</f>
        <v>1</v>
      </c>
      <c r="BJ66" s="27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+MIN(IF(VLOOKUP($Q66,武学奇术!$A:$ZZ,32,FALSE)=1,IF(VLOOKUP($Q66,武学奇术!$A:$ZZ,24,FALSE)=1,100%,MIN(40%,$B$10+VLOOKUP($Q66,武学奇术!$A:$ZZ,19,FALSE)+SUM(_xlfn.XLOOKUP(R66:AF66,增益!$A:$A,增益!$S:$S,0)))+$B$12+SUM(_xlfn.XLOOKUP(R66:AF66,增益!$A:$A,增益!$V:$V,0))),0),12%)</f>
        <v>0.918</v>
      </c>
      <c r="BK66" s="27" cm="1">
        <f t="array" ref="BK66">1+$B$13+VLOOKUP($Q66,武学奇术!$A:$ZZ,18,FALSE)+SUM(_xlfn.XLOOKUP(R66:AF66,增益!$A:$A,增益!$R:$R,0))</f>
        <v>1.89</v>
      </c>
      <c r="BL66" s="27" cm="1">
        <f t="array" ref="BL66">MAX(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-IF(VLOOKUP($Q66,武学奇术!$A:$ZZ,32,FALSE)=1,12%,0),0)</f>
        <v>0.0895</v>
      </c>
      <c r="BM66" s="27" cm="1">
        <f t="array" ref="BM66">1+$B$14+VLOOKUP($Q66,武学奇术!$A:$ZZ,20,FALSE)+SUM(_xlfn.XLOOKUP(R66:AF66,增益!$A:$A,增益!$T:$T,0))</f>
        <v>1.35</v>
      </c>
      <c r="BN66" s="27">
        <f t="shared" ref="BN66:BN129" si="20">MIN((1-BL66)*BI66,BI66*BJ66)</f>
        <v>0.9105</v>
      </c>
      <c r="BO66" s="27">
        <f t="shared" ref="BO66:BO129" si="21">1-BL66-BN66-BP66</f>
        <v>0</v>
      </c>
      <c r="BP66" s="27">
        <f>IF(VLOOKUP($Q66,武学奇术!$A:$ZZ,22,FALSE)=1,0,(1-$BI66))*(1-$BL66)</f>
        <v>0</v>
      </c>
      <c r="BQ66" s="27" cm="1">
        <f t="array" ref="BQ66">SUM(_xlfn.XLOOKUP(R66:AF66,增益!$A:$A,增益!$W:$W,0))+$I$5</f>
        <v>0.11</v>
      </c>
    </row>
    <row r="67" spans="1:69">
      <c r="A67" s="4"/>
      <c r="B67" s="91"/>
      <c r="K67" s="39">
        <f t="shared" si="11"/>
        <v>70091.7027987163</v>
      </c>
      <c r="L67" s="39">
        <f>((($AN67+($AO67-$AN67)*IF(VLOOKUP($Q67,武学奇术!$A:$ZZ,31,FALSE)=1,$F$18,0.5))*$AH67+$AI67)*(1+$AP67)*(1+$AQ67)+(($AS67+($AT67-$AS67)*IF(VLOOKUP($Q67,武学奇术!$A:$ZZ,31,FALSE)=1,$F$18,0.5))*IF($G$1="鸣金",$AJ67,$AH67)+IF($G$1="鸣金",$AK67*1.5,0))*(1+$AU67)*(1+$AV67)+(($AW67+($AX67-$AW67)*IF(VLOOKUP($Q67,武学奇术!$A:$ZZ,31,FALSE)=1,$F$18,0.5))*IF($G$1="裂石",$AJ67,$AH67)+IF($G$1="裂石",$AK67*1.5,0))*(1+$AY67)*(1+$AZ67)+(($BA67+($BB67-$BA67)*IF(VLOOKUP($Q67,武学奇术!$A:$ZZ,31,FALSE)=1,$F$18,0.5))*IF($G$1="牵丝",$AJ67,$AH67)+IF($G$1="牵丝",$AK67*1.5,0))*(1+$BC67)*(1+$BD67)+(($BE67+($BF67-$BE67)*IF(VLOOKUP($Q67,武学奇术!$A:$ZZ,31,FALSE)=1,$F$18,0.5))*IF($G$1="破竹",$AJ67,$AH67)+IF($G$1="破竹",$AK67*1.5,0))*(1+$BG67)*(1+$BH67))*(1+$AL67)*$BK67*$P67*(1+IF(VLOOKUP($Q67,武学奇术!$A:$ZZ,30,FALSE)="蓄力技",$B$21,0))*(1+$BQ67)</f>
        <v>72033.5407995165</v>
      </c>
      <c r="M67" s="39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50337.0268240947</v>
      </c>
      <c r="N67" s="39">
        <f>((($AN67+($AO67-$AN67)*IF(VLOOKUP($Q67,武学奇术!$A:$ZZ,31,FALSE)=1,$F$18,0.5))*$AH67+$AI67)*(1+$AP67)*(1+$AQ67)+(($AS67+($AT67-$AS67)*IF(VLOOKUP($Q67,武学奇术!$A:$ZZ,31,FALSE)=1,$F$18,0.5))*IF($G$1="鸣金",$AJ67,$AH67)+IF($G$1="鸣金",$AK67*1.5,0))*(1+$AU67)*(1+$AV67)+(($AW67+($AX67-$AW67)*IF(VLOOKUP($Q67,武学奇术!$A:$ZZ,31,FALSE)=1,$F$18,0.5))*IF($G$1="裂石",$AJ67,$AH67)+IF($G$1="裂石",$AK67*1.5,0))*(1+$AY67)*(1+$AZ67)+(($BA67+($BB67-$BA67)*IF(VLOOKUP($Q67,武学奇术!$A:$ZZ,31,FALSE)=1,$F$18,0.5))*IF($G$1="牵丝",$AJ67,$AH67)+IF($G$1="牵丝",$AK67*1.5,0))*(1+$BC67)*(1+$BD67)+(($BE67+($BF67-$BE67)*IF(VLOOKUP($Q67,武学奇术!$A:$ZZ,31,FALSE)=1,$F$18,0.5))*IF($G$1="破竹",$AJ67,$AH67)+IF($G$1="破竹",$AK67*1.5,0))*(1+$BG67)*(1+$BH67))*(1+$AL67)*$P67*(1+IF(VLOOKUP($Q67,武学奇术!$A:$ZZ,30,FALSE)="蓄力技",$B$21,0))*(1+$BQ67)</f>
        <v>32892.0277623363</v>
      </c>
      <c r="O67" s="39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28497.3689883062</v>
      </c>
      <c r="P67" s="40">
        <v>1</v>
      </c>
      <c r="Q67" s="41" t="s">
        <v>108</v>
      </c>
      <c r="R67" s="41" t="s">
        <v>93</v>
      </c>
      <c r="S67" s="41" t="s">
        <v>118</v>
      </c>
      <c r="T67" s="41" t="s">
        <v>72</v>
      </c>
      <c r="U67" s="41" t="s">
        <v>72</v>
      </c>
      <c r="V67" s="41" t="s">
        <v>72</v>
      </c>
      <c r="W67" s="41" t="s">
        <v>72</v>
      </c>
      <c r="X67" s="41" t="s">
        <v>165</v>
      </c>
      <c r="Y67" s="41" t="s">
        <v>81</v>
      </c>
      <c r="Z67" s="41" t="s">
        <v>101</v>
      </c>
      <c r="AA67" s="41" t="s">
        <v>72</v>
      </c>
      <c r="AB67" s="41" t="s">
        <v>72</v>
      </c>
      <c r="AC67" s="41" t="s">
        <v>72</v>
      </c>
      <c r="AD67" s="41" t="s">
        <v>72</v>
      </c>
      <c r="AE67" s="41" t="s">
        <v>75</v>
      </c>
      <c r="AF67" s="41" t="s">
        <v>76</v>
      </c>
      <c r="AG67" t="str">
        <f>VLOOKUP($Q67,武学奇术!$A:$ZZ,25,FALSE)</f>
        <v>拳甲</v>
      </c>
      <c r="AH67" s="27">
        <f>VLOOKUP($Q67,武学奇术!$A:$ZZ,26,FALSE)</f>
        <v>2.33376</v>
      </c>
      <c r="AI67" s="28">
        <f>VLOOKUP($Q67,武学奇术!$A:$ZZ,27,FALSE)*(1+IF(OR($AG67=$F$4,$AG67=$F$5),$B$22,0))</f>
        <v>0</v>
      </c>
      <c r="AJ67" s="27">
        <f>VLOOKUP($Q67,武学奇术!$A:$ZZ,28,FALSE)</f>
        <v>3.50064</v>
      </c>
      <c r="AK67" s="28">
        <f>VLOOKUP($Q67,武学奇术!$A:$ZZ,29,FALSE)*(1+IF(OR($AG67=$F$4,$AG67=$F$5),$B$22,0))</f>
        <v>0</v>
      </c>
      <c r="AL67" s="27" cm="1">
        <f t="array" ref="AL67">$G$3+IFERROR(VLOOKUP($AG67,$F$4:$G$7,2,FALSE),0)+VLOOKUP($Q67,武学奇术!$A:$ZZ,2,FALSE)+SUM(_xlfn.XLOOKUP($R67:$AF67,增益!$A:$A,增益!$B:$B,0))</f>
        <v>0.6241</v>
      </c>
      <c r="AM67" s="27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3742.006</v>
      </c>
      <c r="AO67" cm="1">
        <f t="array" ref="AO67">$E$10*(1+$AM67)+VLOOKUP($Q67,武学奇术!$A:$ZZ,4,FALSE)+SUM(_xlfn.XLOOKUP($R67:$AF67,增益!$A:$A,增益!$D:$D,0))-$I$2</f>
        <v>3742.006</v>
      </c>
      <c r="AP67" s="33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0.372</v>
      </c>
      <c r="AQ67" s="33" cm="1">
        <f t="array" ref="AQ67">$G$10+VLOOKUP($Q67,武学奇术!$A:$ZZ,7,FALSE)+SUM(_xlfn.XLOOKUP(R67:AF67,增益!$A:$A,增益!$G:$G,0))</f>
        <v>0.09</v>
      </c>
      <c r="AR67" s="27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3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-0.08</v>
      </c>
      <c r="AV67" s="33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3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-0.08</v>
      </c>
      <c r="AZ67" s="33" cm="1">
        <f t="array" ref="AZ67">$G$12+VLOOKUP($Q67,武学奇术!$A:$ZZ,12,FALSE)+SUM(_xlfn.XLOOKUP(R67:AF67,增益!$A:$A,增益!$L:$L,0))</f>
        <v>0</v>
      </c>
      <c r="BA67">
        <f t="shared" si="16"/>
        <v>0</v>
      </c>
      <c r="BB67">
        <f t="shared" si="17"/>
        <v>0</v>
      </c>
      <c r="BC67" s="33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-0.08</v>
      </c>
      <c r="BD67" s="33" cm="1">
        <f t="array" ref="BD67">$G$13+VLOOKUP($Q67,武学奇术!$A:$ZZ,14,FALSE)+SUM(_xlfn.XLOOKUP(R67:AF67,增益!$A:$A,增益!$N:$N,0))</f>
        <v>0</v>
      </c>
      <c r="BE67">
        <f t="shared" si="18"/>
        <v>570.28</v>
      </c>
      <c r="BF67">
        <f t="shared" si="19"/>
        <v>1582.156</v>
      </c>
      <c r="BG67" s="33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0.11</v>
      </c>
      <c r="BH67" s="33" cm="1">
        <f t="array" ref="BH67">$G$14+VLOOKUP($Q67,武学奇术!$A:$ZZ,16,FALSE)+SUM(_xlfn.XLOOKUP(R67:AF67,增益!$A:$A,增益!$P:$P,0))</f>
        <v>0.24</v>
      </c>
      <c r="BI67" s="27">
        <f>MIN(IF(VLOOKUP($Q67,武学奇术!$A:$ZZ,23,FALSE)=1,100%,$B$8),100%)</f>
        <v>1</v>
      </c>
      <c r="BJ67" s="27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+MIN(IF(VLOOKUP($Q67,武学奇术!$A:$ZZ,32,FALSE)=1,IF(VLOOKUP($Q67,武学奇术!$A:$ZZ,24,FALSE)=1,100%,MIN(40%,$B$10+VLOOKUP($Q67,武学奇术!$A:$ZZ,19,FALSE)+SUM(_xlfn.XLOOKUP(R67:AF67,增益!$A:$A,增益!$S:$S,0)))+$B$12+SUM(_xlfn.XLOOKUP(R67:AF67,增益!$A:$A,增益!$V:$V,0))),0),12%)</f>
        <v>0.918</v>
      </c>
      <c r="BK67" s="27" cm="1">
        <f t="array" ref="BK67">1+$B$13+VLOOKUP($Q67,武学奇术!$A:$ZZ,18,FALSE)+SUM(_xlfn.XLOOKUP(R67:AF67,增益!$A:$A,增益!$R:$R,0))</f>
        <v>2.19</v>
      </c>
      <c r="BL67" s="27" cm="1">
        <f t="array" ref="BL67">MAX(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-IF(VLOOKUP($Q67,武学奇术!$A:$ZZ,32,FALSE)=1,12%,0),0)</f>
        <v>0.0895</v>
      </c>
      <c r="BM67" s="27" cm="1">
        <f t="array" ref="BM67">1+$B$14+VLOOKUP($Q67,武学奇术!$A:$ZZ,20,FALSE)+SUM(_xlfn.XLOOKUP(R67:AF67,增益!$A:$A,增益!$T:$T,0))</f>
        <v>1.35</v>
      </c>
      <c r="BN67" s="27">
        <f t="shared" si="20"/>
        <v>0.9105</v>
      </c>
      <c r="BO67" s="27">
        <f t="shared" si="21"/>
        <v>0</v>
      </c>
      <c r="BP67" s="27">
        <f>IF(VLOOKUP($Q67,武学奇术!$A:$ZZ,22,FALSE)=1,0,(1-$BI67))*(1-$BL67)</f>
        <v>0</v>
      </c>
      <c r="BQ67" s="27" cm="1">
        <f t="array" ref="BQ67">SUM(_xlfn.XLOOKUP(R67:AF67,增益!$A:$A,增益!$W:$W,0))+$I$5</f>
        <v>0.11</v>
      </c>
    </row>
    <row r="68" spans="1:69">
      <c r="K68" s="39">
        <f t="shared" si="11"/>
        <v>93215.761372166</v>
      </c>
      <c r="L68" s="39">
        <f>((($AN68+($AO68-$AN68)*IF(VLOOKUP($Q68,武学奇术!$A:$ZZ,31,FALSE)=1,$F$18,0.5))*$AH68+$AI68)*(1+$AP68)*(1+$AQ68)+(($AS68+($AT68-$AS68)*IF(VLOOKUP($Q68,武学奇术!$A:$ZZ,31,FALSE)=1,$F$18,0.5))*IF($G$1="鸣金",$AJ68,$AH68)+IF($G$1="鸣金",$AK68*1.5,0))*(1+$AU68)*(1+$AV68)+(($AW68+($AX68-$AW68)*IF(VLOOKUP($Q68,武学奇术!$A:$ZZ,31,FALSE)=1,$F$18,0.5))*IF($G$1="裂石",$AJ68,$AH68)+IF($G$1="裂石",$AK68*1.5,0))*(1+$AY68)*(1+$AZ68)+(($BA68+($BB68-$BA68)*IF(VLOOKUP($Q68,武学奇术!$A:$ZZ,31,FALSE)=1,$F$18,0.5))*IF($G$1="牵丝",$AJ68,$AH68)+IF($G$1="牵丝",$AK68*1.5,0))*(1+$BC68)*(1+$BD68)+(($BE68+($BF68-$BE68)*IF(VLOOKUP($Q68,武学奇术!$A:$ZZ,31,FALSE)=1,$F$18,0.5))*IF($G$1="破竹",$AJ68,$AH68)+IF($G$1="破竹",$AK68*1.5,0))*(1+$BG68)*(1+$BH68))*(1+$AL68)*$BK68*$P68*(1+IF(VLOOKUP($Q68,武学奇术!$A:$ZZ,30,FALSE)="蓄力技",$B$21,0))*(1+$BQ68)</f>
        <v>95881.1349614697</v>
      </c>
      <c r="M68" s="39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66100.424466457</v>
      </c>
      <c r="N68" s="39">
        <f>((($AN68+($AO68-$AN68)*IF(VLOOKUP($Q68,武学奇术!$A:$ZZ,31,FALSE)=1,$F$18,0.5))*$AH68+$AI68)*(1+$AP68)*(1+$AQ68)+(($AS68+($AT68-$AS68)*IF(VLOOKUP($Q68,武学奇术!$A:$ZZ,31,FALSE)=1,$F$18,0.5))*IF($G$1="鸣金",$AJ68,$AH68)+IF($G$1="鸣金",$AK68*1.5,0))*(1+$AU68)*(1+$AV68)+(($AW68+($AX68-$AW68)*IF(VLOOKUP($Q68,武学奇术!$A:$ZZ,31,FALSE)=1,$F$18,0.5))*IF($G$1="裂石",$AJ68,$AH68)+IF($G$1="裂石",$AK68*1.5,0))*(1+$AY68)*(1+$AZ68)+(($BA68+($BB68-$BA68)*IF(VLOOKUP($Q68,武学奇术!$A:$ZZ,31,FALSE)=1,$F$18,0.5))*IF($G$1="牵丝",$AJ68,$AH68)+IF($G$1="牵丝",$AK68*1.5,0))*(1+$BC68)*(1+$BD68)+(($BE68+($BF68-$BE68)*IF(VLOOKUP($Q68,武学奇术!$A:$ZZ,31,FALSE)=1,$F$18,0.5))*IF($G$1="破竹",$AJ68,$AH68)+IF($G$1="破竹",$AK68*1.5,0))*(1+$BG68)*(1+$BH68))*(1+$AL68)*$P68*(1+IF(VLOOKUP($Q68,武学奇术!$A:$ZZ,30,FALSE)="蓄力技",$B$21,0))*(1+$BQ68)</f>
        <v>43781.3401650546</v>
      </c>
      <c r="O68" s="39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38599.4029475486</v>
      </c>
      <c r="P68" s="40">
        <v>1</v>
      </c>
      <c r="Q68" s="41" t="s">
        <v>103</v>
      </c>
      <c r="R68" s="41" t="s">
        <v>93</v>
      </c>
      <c r="S68" s="41" t="s">
        <v>118</v>
      </c>
      <c r="T68" s="41" t="s">
        <v>72</v>
      </c>
      <c r="U68" s="41" t="s">
        <v>72</v>
      </c>
      <c r="V68" s="41" t="s">
        <v>72</v>
      </c>
      <c r="W68" s="41" t="s">
        <v>72</v>
      </c>
      <c r="X68" s="41" t="s">
        <v>165</v>
      </c>
      <c r="Y68" s="41" t="s">
        <v>81</v>
      </c>
      <c r="Z68" s="41" t="s">
        <v>101</v>
      </c>
      <c r="AA68" s="41" t="s">
        <v>72</v>
      </c>
      <c r="AB68" s="41" t="s">
        <v>72</v>
      </c>
      <c r="AC68" s="41" t="s">
        <v>72</v>
      </c>
      <c r="AD68" s="41" t="s">
        <v>72</v>
      </c>
      <c r="AE68" s="41" t="s">
        <v>75</v>
      </c>
      <c r="AF68" s="41" t="s">
        <v>76</v>
      </c>
      <c r="AG68" t="str">
        <f>VLOOKUP($Q68,武学奇术!$A:$ZZ,25,FALSE)</f>
        <v>拳甲</v>
      </c>
      <c r="AH68" s="27">
        <f>VLOOKUP($Q68,武学奇术!$A:$ZZ,26,FALSE)</f>
        <v>2.75166</v>
      </c>
      <c r="AI68" s="28">
        <f>VLOOKUP($Q68,武学奇术!$A:$ZZ,27,FALSE)*(1+IF(OR($AG68=$F$4,$AG68=$F$5),$B$22,0))</f>
        <v>1060.92</v>
      </c>
      <c r="AJ68" s="27">
        <f>VLOOKUP($Q68,武学奇术!$A:$ZZ,28,FALSE)</f>
        <v>4.12776</v>
      </c>
      <c r="AK68" s="28">
        <f>VLOOKUP($Q68,武学奇术!$A:$ZZ,29,FALSE)*(1+IF(OR($AG68=$F$4,$AG68=$F$5),$B$22,0))</f>
        <v>574.56</v>
      </c>
      <c r="AL68" s="27" cm="1">
        <f t="array" ref="AL68">$G$3+IFERROR(VLOOKUP($AG68,$F$4:$G$7,2,FALSE),0)+VLOOKUP($Q68,武学奇术!$A:$ZZ,2,FALSE)+SUM(_xlfn.XLOOKUP($R68:$AF68,增益!$A:$A,增益!$B:$B,0))</f>
        <v>0.6241</v>
      </c>
      <c r="AM68" s="27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3742.006</v>
      </c>
      <c r="AO68" cm="1">
        <f t="array" ref="AO68">$E$10*(1+$AM68)+VLOOKUP($Q68,武学奇术!$A:$ZZ,4,FALSE)+SUM(_xlfn.XLOOKUP($R68:$AF68,增益!$A:$A,增益!$D:$D,0))-$I$2</f>
        <v>3742.006</v>
      </c>
      <c r="AP68" s="33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0.372</v>
      </c>
      <c r="AQ68" s="33" cm="1">
        <f t="array" ref="AQ68">$G$10+VLOOKUP($Q68,武学奇术!$A:$ZZ,7,FALSE)+SUM(_xlfn.XLOOKUP(R68:AF68,增益!$A:$A,增益!$G:$G,0))</f>
        <v>0.09</v>
      </c>
      <c r="AR68" s="27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3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-0.08</v>
      </c>
      <c r="AV68" s="33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3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-0.08</v>
      </c>
      <c r="AZ68" s="33" cm="1">
        <f t="array" ref="AZ68">$G$12+VLOOKUP($Q68,武学奇术!$A:$ZZ,12,FALSE)+SUM(_xlfn.XLOOKUP(R68:AF68,增益!$A:$A,增益!$L:$L,0))</f>
        <v>0</v>
      </c>
      <c r="BA68">
        <f t="shared" si="16"/>
        <v>0</v>
      </c>
      <c r="BB68">
        <f t="shared" si="17"/>
        <v>0</v>
      </c>
      <c r="BC68" s="33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-0.08</v>
      </c>
      <c r="BD68" s="33" cm="1">
        <f t="array" ref="BD68">$G$13+VLOOKUP($Q68,武学奇术!$A:$ZZ,14,FALSE)+SUM(_xlfn.XLOOKUP(R68:AF68,增益!$A:$A,增益!$N:$N,0))</f>
        <v>0</v>
      </c>
      <c r="BE68">
        <f t="shared" si="18"/>
        <v>570.28</v>
      </c>
      <c r="BF68">
        <f t="shared" si="19"/>
        <v>1582.156</v>
      </c>
      <c r="BG68" s="33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0.11</v>
      </c>
      <c r="BH68" s="33" cm="1">
        <f t="array" ref="BH68">$G$14+VLOOKUP($Q68,武学奇术!$A:$ZZ,16,FALSE)+SUM(_xlfn.XLOOKUP(R68:AF68,增益!$A:$A,增益!$P:$P,0))</f>
        <v>0.24</v>
      </c>
      <c r="BI68" s="27">
        <f>MIN(IF(VLOOKUP($Q68,武学奇术!$A:$ZZ,23,FALSE)=1,100%,$B$8),100%)</f>
        <v>1</v>
      </c>
      <c r="BJ68" s="27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+MIN(IF(VLOOKUP($Q68,武学奇术!$A:$ZZ,32,FALSE)=1,IF(VLOOKUP($Q68,武学奇术!$A:$ZZ,24,FALSE)=1,100%,MIN(40%,$B$10+VLOOKUP($Q68,武学奇术!$A:$ZZ,19,FALSE)+SUM(_xlfn.XLOOKUP(R68:AF68,增益!$A:$A,增益!$S:$S,0)))+$B$12+SUM(_xlfn.XLOOKUP(R68:AF68,增益!$A:$A,增益!$V:$V,0))),0),12%)</f>
        <v>0.918</v>
      </c>
      <c r="BK68" s="27" cm="1">
        <f t="array" ref="BK68">1+$B$13+VLOOKUP($Q68,武学奇术!$A:$ZZ,18,FALSE)+SUM(_xlfn.XLOOKUP(R68:AF68,增益!$A:$A,增益!$R:$R,0))</f>
        <v>2.19</v>
      </c>
      <c r="BL68" s="27" cm="1">
        <f t="array" ref="BL68">MAX(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-IF(VLOOKUP($Q68,武学奇术!$A:$ZZ,32,FALSE)=1,12%,0),0)</f>
        <v>0.0895</v>
      </c>
      <c r="BM68" s="27" cm="1">
        <f t="array" ref="BM68">1+$B$14+VLOOKUP($Q68,武学奇术!$A:$ZZ,20,FALSE)+SUM(_xlfn.XLOOKUP(R68:AF68,增益!$A:$A,增益!$T:$T,0))</f>
        <v>1.35</v>
      </c>
      <c r="BN68" s="27">
        <f t="shared" si="20"/>
        <v>0.9105</v>
      </c>
      <c r="BO68" s="27">
        <f t="shared" si="21"/>
        <v>0</v>
      </c>
      <c r="BP68" s="27">
        <f>IF(VLOOKUP($Q68,武学奇术!$A:$ZZ,22,FALSE)=1,0,(1-$BI68))*(1-$BL68)</f>
        <v>0</v>
      </c>
      <c r="BQ68" s="27" cm="1">
        <f t="array" ref="BQ68">SUM(_xlfn.XLOOKUP(R68:AF68,增益!$A:$A,增益!$W:$W,0))+$I$5</f>
        <v>0.11</v>
      </c>
    </row>
    <row r="69" spans="1:69">
      <c r="A69" s="4"/>
      <c r="B69" s="4"/>
      <c r="F69" s="4"/>
      <c r="G69" s="4"/>
      <c r="K69" s="39">
        <f t="shared" si="11"/>
        <v>30313.1437014825</v>
      </c>
      <c r="L69" s="39">
        <f>((($AN69+($AO69-$AN69)*IF(VLOOKUP($Q69,武学奇术!$A:$ZZ,31,FALSE)=1,$F$18,0.5))*$AH69+$AI69)*(1+$AP69)*(1+$AQ69)+(($AS69+($AT69-$AS69)*IF(VLOOKUP($Q69,武学奇术!$A:$ZZ,31,FALSE)=1,$F$18,0.5))*IF($G$1="鸣金",$AJ69,$AH69)+IF($G$1="鸣金",$AK69*1.5,0))*(1+$AU69)*(1+$AV69)+(($AW69+($AX69-$AW69)*IF(VLOOKUP($Q69,武学奇术!$A:$ZZ,31,FALSE)=1,$F$18,0.5))*IF($G$1="裂石",$AJ69,$AH69)+IF($G$1="裂石",$AK69*1.5,0))*(1+$AY69)*(1+$AZ69)+(($BA69+($BB69-$BA69)*IF(VLOOKUP($Q69,武学奇术!$A:$ZZ,31,FALSE)=1,$F$18,0.5))*IF($G$1="牵丝",$AJ69,$AH69)+IF($G$1="牵丝",$AK69*1.5,0))*(1+$BC69)*(1+$BD69)+(($BE69+($BF69-$BE69)*IF(VLOOKUP($Q69,武学奇术!$A:$ZZ,31,FALSE)=1,$F$18,0.5))*IF($G$1="破竹",$AJ69,$AH69)+IF($G$1="破竹",$AK69*1.5,0))*(1+$BG69)*(1+$BH69))*(1+$AL69)*$BK69*$P69*(1+IF(VLOOKUP($Q69,武学奇术!$A:$ZZ,30,FALSE)="蓄力技",$B$21,0))*(1+$BQ69)</f>
        <v>30870.1608640755</v>
      </c>
      <c r="M69" s="39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24646.505416109</v>
      </c>
      <c r="N69" s="39">
        <f>((($AN69+($AO69-$AN69)*IF(VLOOKUP($Q69,武学奇术!$A:$ZZ,31,FALSE)=1,$F$18,0.5))*$AH69+$AI69)*(1+$AP69)*(1+$AQ69)+(($AS69+($AT69-$AS69)*IF(VLOOKUP($Q69,武学奇术!$A:$ZZ,31,FALSE)=1,$F$18,0.5))*IF($G$1="鸣金",$AJ69,$AH69)+IF($G$1="鸣金",$AK69*1.5,0))*(1+$AU69)*(1+$AV69)+(($AW69+($AX69-$AW69)*IF(VLOOKUP($Q69,武学奇术!$A:$ZZ,31,FALSE)=1,$F$18,0.5))*IF($G$1="裂石",$AJ69,$AH69)+IF($G$1="裂石",$AK69*1.5,0))*(1+$AY69)*(1+$AZ69)+(($BA69+($BB69-$BA69)*IF(VLOOKUP($Q69,武学奇术!$A:$ZZ,31,FALSE)=1,$F$18,0.5))*IF($G$1="牵丝",$AJ69,$AH69)+IF($G$1="牵丝",$AK69*1.5,0))*(1+$BC69)*(1+$BD69)+(($BE69+($BF69-$BE69)*IF(VLOOKUP($Q69,武学奇术!$A:$ZZ,31,FALSE)=1,$F$18,0.5))*IF($G$1="破竹",$AJ69,$AH69)+IF($G$1="破竹",$AK69*1.5,0))*(1+$BG69)*(1+$BH69))*(1+$AL69)*$P69*(1+IF(VLOOKUP($Q69,武学奇术!$A:$ZZ,30,FALSE)="蓄力技",$B$21,0))*(1+$BQ69)</f>
        <v>16333.4184466008</v>
      </c>
      <c r="O69" s="39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14410.1662146023</v>
      </c>
      <c r="P69" s="40">
        <v>1</v>
      </c>
      <c r="Q69" s="41" t="s">
        <v>106</v>
      </c>
      <c r="R69" s="41" t="s">
        <v>93</v>
      </c>
      <c r="S69" s="41" t="s">
        <v>118</v>
      </c>
      <c r="T69" s="41" t="s">
        <v>72</v>
      </c>
      <c r="U69" s="41" t="s">
        <v>72</v>
      </c>
      <c r="V69" s="41" t="s">
        <v>72</v>
      </c>
      <c r="W69" s="41" t="s">
        <v>72</v>
      </c>
      <c r="X69" s="41" t="s">
        <v>165</v>
      </c>
      <c r="Y69" s="41" t="s">
        <v>81</v>
      </c>
      <c r="Z69" s="41" t="s">
        <v>72</v>
      </c>
      <c r="AA69" s="41" t="s">
        <v>72</v>
      </c>
      <c r="AB69" s="41" t="s">
        <v>72</v>
      </c>
      <c r="AC69" s="41" t="s">
        <v>72</v>
      </c>
      <c r="AD69" s="41" t="s">
        <v>72</v>
      </c>
      <c r="AE69" s="41" t="s">
        <v>75</v>
      </c>
      <c r="AF69" s="41" t="s">
        <v>76</v>
      </c>
      <c r="AG69" t="str">
        <f>VLOOKUP($Q69,武学奇术!$A:$ZZ,25,FALSE)</f>
        <v>拳甲</v>
      </c>
      <c r="AH69" s="27">
        <f>VLOOKUP($Q69,武学奇术!$A:$ZZ,26,FALSE)</f>
        <v>1.2876</v>
      </c>
      <c r="AI69" s="28">
        <f>VLOOKUP($Q69,武学奇术!$A:$ZZ,27,FALSE)*(1+IF(OR($AG69=$F$4,$AG69=$F$5),$B$22,0))</f>
        <v>501.2</v>
      </c>
      <c r="AJ69" s="27">
        <f>VLOOKUP($Q69,武学奇术!$A:$ZZ,28,FALSE)</f>
        <v>1.9313</v>
      </c>
      <c r="AK69" s="28">
        <f>VLOOKUP($Q69,武学奇术!$A:$ZZ,29,FALSE)*(1+IF(OR($AG69=$F$4,$AG69=$F$5),$B$22,0))</f>
        <v>273</v>
      </c>
      <c r="AL69" s="27" cm="1">
        <f t="array" ref="AL69">$G$3+IFERROR(VLOOKUP($AG69,$F$4:$G$7,2,FALSE),0)+VLOOKUP($Q69,武学奇术!$A:$ZZ,2,FALSE)+SUM(_xlfn.XLOOKUP($R69:$AF69,增益!$A:$A,增益!$B:$B,0))</f>
        <v>0.3241</v>
      </c>
      <c r="AM69" s="27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3742.006</v>
      </c>
      <c r="AO69" cm="1">
        <f t="array" ref="AO69">$E$10*(1+$AM69)+VLOOKUP($Q69,武学奇术!$A:$ZZ,4,FALSE)+SUM(_xlfn.XLOOKUP($R69:$AF69,增益!$A:$A,增益!$D:$D,0))-$I$2</f>
        <v>3742.006</v>
      </c>
      <c r="AP69" s="33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0.342</v>
      </c>
      <c r="AQ69" s="33" cm="1">
        <f t="array" ref="AQ69">$G$10+VLOOKUP($Q69,武学奇术!$A:$ZZ,7,FALSE)+SUM(_xlfn.XLOOKUP(R69:AF69,增益!$A:$A,增益!$G:$G,0))</f>
        <v>0.09</v>
      </c>
      <c r="AR69" s="27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3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-0.14</v>
      </c>
      <c r="AV69" s="33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33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-0.14</v>
      </c>
      <c r="AZ69" s="33" cm="1">
        <f t="array" ref="AZ69">$G$12+VLOOKUP($Q69,武学奇术!$A:$ZZ,12,FALSE)+SUM(_xlfn.XLOOKUP(R69:AF69,增益!$A:$A,增益!$L:$L,0))</f>
        <v>0</v>
      </c>
      <c r="BA69">
        <f t="shared" si="16"/>
        <v>0</v>
      </c>
      <c r="BB69">
        <f t="shared" si="17"/>
        <v>0</v>
      </c>
      <c r="BC69" s="33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-0.14</v>
      </c>
      <c r="BD69" s="33" cm="1">
        <f t="array" ref="BD69">$G$13+VLOOKUP($Q69,武学奇术!$A:$ZZ,14,FALSE)+SUM(_xlfn.XLOOKUP(R69:AF69,增益!$A:$A,增益!$N:$N,0))</f>
        <v>0</v>
      </c>
      <c r="BE69">
        <f t="shared" si="18"/>
        <v>570.28</v>
      </c>
      <c r="BF69">
        <f t="shared" si="19"/>
        <v>1582.156</v>
      </c>
      <c r="BG69" s="33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0.08</v>
      </c>
      <c r="BH69" s="33" cm="1">
        <f t="array" ref="BH69">$G$14+VLOOKUP($Q69,武学奇术!$A:$ZZ,16,FALSE)+SUM(_xlfn.XLOOKUP(R69:AF69,增益!$A:$A,增益!$P:$P,0))</f>
        <v>0.24</v>
      </c>
      <c r="BI69" s="27">
        <f>MIN(IF(VLOOKUP($Q69,武学奇术!$A:$ZZ,23,FALSE)=1,100%,$B$8),100%)</f>
        <v>1</v>
      </c>
      <c r="BJ69" s="27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+MIN(IF(VLOOKUP($Q69,武学奇术!$A:$ZZ,32,FALSE)=1,IF(VLOOKUP($Q69,武学奇术!$A:$ZZ,24,FALSE)=1,100%,MIN(40%,$B$10+VLOOKUP($Q69,武学奇术!$A:$ZZ,19,FALSE)+SUM(_xlfn.XLOOKUP(R69:AF69,增益!$A:$A,增益!$S:$S,0)))+$B$12+SUM(_xlfn.XLOOKUP(R69:AF69,增益!$A:$A,增益!$V:$V,0))),0),12%)</f>
        <v>0.918</v>
      </c>
      <c r="BK69" s="27" cm="1">
        <f t="array" ref="BK69">1+$B$13+VLOOKUP($Q69,武学奇术!$A:$ZZ,18,FALSE)+SUM(_xlfn.XLOOKUP(R69:AF69,增益!$A:$A,增益!$R:$R,0))</f>
        <v>1.89</v>
      </c>
      <c r="BL69" s="27" cm="1">
        <f t="array" ref="BL69">MAX(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-IF(VLOOKUP($Q69,武学奇术!$A:$ZZ,32,FALSE)=1,12%,0),0)</f>
        <v>0.0895</v>
      </c>
      <c r="BM69" s="27" cm="1">
        <f t="array" ref="BM69">1+$B$14+VLOOKUP($Q69,武学奇术!$A:$ZZ,20,FALSE)+SUM(_xlfn.XLOOKUP(R69:AF69,增益!$A:$A,增益!$T:$T,0))</f>
        <v>1.35</v>
      </c>
      <c r="BN69" s="27">
        <f t="shared" si="20"/>
        <v>0.9105</v>
      </c>
      <c r="BO69" s="27">
        <f t="shared" si="21"/>
        <v>0</v>
      </c>
      <c r="BP69" s="27">
        <f>IF(VLOOKUP($Q69,武学奇术!$A:$ZZ,22,FALSE)=1,0,(1-$BI69))*(1-$BL69)</f>
        <v>0</v>
      </c>
      <c r="BQ69" s="27" cm="1">
        <f t="array" ref="BQ69">SUM(_xlfn.XLOOKUP(R69:AF69,增益!$A:$A,增益!$W:$W,0))+$I$5</f>
        <v>0.11</v>
      </c>
    </row>
    <row r="70" spans="1:69">
      <c r="F70" s="4"/>
      <c r="G70" s="91"/>
      <c r="K70" s="39">
        <f t="shared" si="11"/>
        <v>70091.7027987163</v>
      </c>
      <c r="L70" s="39">
        <f>((($AN70+($AO70-$AN70)*IF(VLOOKUP($Q70,武学奇术!$A:$ZZ,31,FALSE)=1,$F$18,0.5))*$AH70+$AI70)*(1+$AP70)*(1+$AQ70)+(($AS70+($AT70-$AS70)*IF(VLOOKUP($Q70,武学奇术!$A:$ZZ,31,FALSE)=1,$F$18,0.5))*IF($G$1="鸣金",$AJ70,$AH70)+IF($G$1="鸣金",$AK70*1.5,0))*(1+$AU70)*(1+$AV70)+(($AW70+($AX70-$AW70)*IF(VLOOKUP($Q70,武学奇术!$A:$ZZ,31,FALSE)=1,$F$18,0.5))*IF($G$1="裂石",$AJ70,$AH70)+IF($G$1="裂石",$AK70*1.5,0))*(1+$AY70)*(1+$AZ70)+(($BA70+($BB70-$BA70)*IF(VLOOKUP($Q70,武学奇术!$A:$ZZ,31,FALSE)=1,$F$18,0.5))*IF($G$1="牵丝",$AJ70,$AH70)+IF($G$1="牵丝",$AK70*1.5,0))*(1+$BC70)*(1+$BD70)+(($BE70+($BF70-$BE70)*IF(VLOOKUP($Q70,武学奇术!$A:$ZZ,31,FALSE)=1,$F$18,0.5))*IF($G$1="破竹",$AJ70,$AH70)+IF($G$1="破竹",$AK70*1.5,0))*(1+$BG70)*(1+$BH70))*(1+$AL70)*$BK70*$P70*(1+IF(VLOOKUP($Q70,武学奇术!$A:$ZZ,30,FALSE)="蓄力技",$B$21,0))*(1+$BQ70)</f>
        <v>72033.5407995165</v>
      </c>
      <c r="M70" s="39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50337.0268240947</v>
      </c>
      <c r="N70" s="39">
        <f>((($AN70+($AO70-$AN70)*IF(VLOOKUP($Q70,武学奇术!$A:$ZZ,31,FALSE)=1,$F$18,0.5))*$AH70+$AI70)*(1+$AP70)*(1+$AQ70)+(($AS70+($AT70-$AS70)*IF(VLOOKUP($Q70,武学奇术!$A:$ZZ,31,FALSE)=1,$F$18,0.5))*IF($G$1="鸣金",$AJ70,$AH70)+IF($G$1="鸣金",$AK70*1.5,0))*(1+$AU70)*(1+$AV70)+(($AW70+($AX70-$AW70)*IF(VLOOKUP($Q70,武学奇术!$A:$ZZ,31,FALSE)=1,$F$18,0.5))*IF($G$1="裂石",$AJ70,$AH70)+IF($G$1="裂石",$AK70*1.5,0))*(1+$AY70)*(1+$AZ70)+(($BA70+($BB70-$BA70)*IF(VLOOKUP($Q70,武学奇术!$A:$ZZ,31,FALSE)=1,$F$18,0.5))*IF($G$1="牵丝",$AJ70,$AH70)+IF($G$1="牵丝",$AK70*1.5,0))*(1+$BC70)*(1+$BD70)+(($BE70+($BF70-$BE70)*IF(VLOOKUP($Q70,武学奇术!$A:$ZZ,31,FALSE)=1,$F$18,0.5))*IF($G$1="破竹",$AJ70,$AH70)+IF($G$1="破竹",$AK70*1.5,0))*(1+$BG70)*(1+$BH70))*(1+$AL70)*$P70*(1+IF(VLOOKUP($Q70,武学奇术!$A:$ZZ,30,FALSE)="蓄力技",$B$21,0))*(1+$BQ70)</f>
        <v>32892.0277623363</v>
      </c>
      <c r="O70" s="39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28497.3689883062</v>
      </c>
      <c r="P70" s="40">
        <v>1</v>
      </c>
      <c r="Q70" s="41" t="s">
        <v>108</v>
      </c>
      <c r="R70" s="41" t="s">
        <v>93</v>
      </c>
      <c r="S70" s="41" t="s">
        <v>118</v>
      </c>
      <c r="T70" s="41" t="s">
        <v>72</v>
      </c>
      <c r="U70" s="41" t="s">
        <v>72</v>
      </c>
      <c r="V70" s="41" t="s">
        <v>72</v>
      </c>
      <c r="W70" s="41" t="s">
        <v>72</v>
      </c>
      <c r="X70" s="41" t="s">
        <v>165</v>
      </c>
      <c r="Y70" s="41" t="s">
        <v>81</v>
      </c>
      <c r="Z70" s="41" t="s">
        <v>101</v>
      </c>
      <c r="AA70" s="41" t="s">
        <v>72</v>
      </c>
      <c r="AB70" s="41" t="s">
        <v>72</v>
      </c>
      <c r="AC70" s="41" t="s">
        <v>72</v>
      </c>
      <c r="AD70" s="41" t="s">
        <v>72</v>
      </c>
      <c r="AE70" s="41" t="s">
        <v>75</v>
      </c>
      <c r="AF70" s="41" t="s">
        <v>76</v>
      </c>
      <c r="AG70" t="str">
        <f>VLOOKUP($Q70,武学奇术!$A:$ZZ,25,FALSE)</f>
        <v>拳甲</v>
      </c>
      <c r="AH70" s="27">
        <f>VLOOKUP($Q70,武学奇术!$A:$ZZ,26,FALSE)</f>
        <v>2.33376</v>
      </c>
      <c r="AI70" s="28">
        <f>VLOOKUP($Q70,武学奇术!$A:$ZZ,27,FALSE)*(1+IF(OR($AG70=$F$4,$AG70=$F$5),$B$22,0))</f>
        <v>0</v>
      </c>
      <c r="AJ70" s="27">
        <f>VLOOKUP($Q70,武学奇术!$A:$ZZ,28,FALSE)</f>
        <v>3.50064</v>
      </c>
      <c r="AK70" s="28">
        <f>VLOOKUP($Q70,武学奇术!$A:$ZZ,29,FALSE)*(1+IF(OR($AG70=$F$4,$AG70=$F$5),$B$22,0))</f>
        <v>0</v>
      </c>
      <c r="AL70" s="27" cm="1">
        <f t="array" ref="AL70">$G$3+IFERROR(VLOOKUP($AG70,$F$4:$G$7,2,FALSE),0)+VLOOKUP($Q70,武学奇术!$A:$ZZ,2,FALSE)+SUM(_xlfn.XLOOKUP($R70:$AF70,增益!$A:$A,增益!$B:$B,0))</f>
        <v>0.6241</v>
      </c>
      <c r="AM70" s="27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3742.006</v>
      </c>
      <c r="AO70" cm="1">
        <f t="array" ref="AO70">$E$10*(1+$AM70)+VLOOKUP($Q70,武学奇术!$A:$ZZ,4,FALSE)+SUM(_xlfn.XLOOKUP($R70:$AF70,增益!$A:$A,增益!$D:$D,0))-$I$2</f>
        <v>3742.006</v>
      </c>
      <c r="AP70" s="33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0.372</v>
      </c>
      <c r="AQ70" s="33" cm="1">
        <f t="array" ref="AQ70">$G$10+VLOOKUP($Q70,武学奇术!$A:$ZZ,7,FALSE)+SUM(_xlfn.XLOOKUP(R70:AF70,增益!$A:$A,增益!$G:$G,0))</f>
        <v>0.09</v>
      </c>
      <c r="AR70" s="27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3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-0.08</v>
      </c>
      <c r="AV70" s="33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33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-0.08</v>
      </c>
      <c r="AZ70" s="33" cm="1">
        <f t="array" ref="AZ70">$G$12+VLOOKUP($Q70,武学奇术!$A:$ZZ,12,FALSE)+SUM(_xlfn.XLOOKUP(R70:AF70,增益!$A:$A,增益!$L:$L,0))</f>
        <v>0</v>
      </c>
      <c r="BA70">
        <f t="shared" si="16"/>
        <v>0</v>
      </c>
      <c r="BB70">
        <f t="shared" si="17"/>
        <v>0</v>
      </c>
      <c r="BC70" s="33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-0.08</v>
      </c>
      <c r="BD70" s="33" cm="1">
        <f t="array" ref="BD70">$G$13+VLOOKUP($Q70,武学奇术!$A:$ZZ,14,FALSE)+SUM(_xlfn.XLOOKUP(R70:AF70,增益!$A:$A,增益!$N:$N,0))</f>
        <v>0</v>
      </c>
      <c r="BE70">
        <f t="shared" si="18"/>
        <v>570.28</v>
      </c>
      <c r="BF70">
        <f t="shared" si="19"/>
        <v>1582.156</v>
      </c>
      <c r="BG70" s="33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0.11</v>
      </c>
      <c r="BH70" s="33" cm="1">
        <f t="array" ref="BH70">$G$14+VLOOKUP($Q70,武学奇术!$A:$ZZ,16,FALSE)+SUM(_xlfn.XLOOKUP(R70:AF70,增益!$A:$A,增益!$P:$P,0))</f>
        <v>0.24</v>
      </c>
      <c r="BI70" s="27">
        <f>MIN(IF(VLOOKUP($Q70,武学奇术!$A:$ZZ,23,FALSE)=1,100%,$B$8),100%)</f>
        <v>1</v>
      </c>
      <c r="BJ70" s="27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+MIN(IF(VLOOKUP($Q70,武学奇术!$A:$ZZ,32,FALSE)=1,IF(VLOOKUP($Q70,武学奇术!$A:$ZZ,24,FALSE)=1,100%,MIN(40%,$B$10+VLOOKUP($Q70,武学奇术!$A:$ZZ,19,FALSE)+SUM(_xlfn.XLOOKUP(R70:AF70,增益!$A:$A,增益!$S:$S,0)))+$B$12+SUM(_xlfn.XLOOKUP(R70:AF70,增益!$A:$A,增益!$V:$V,0))),0),12%)</f>
        <v>0.918</v>
      </c>
      <c r="BK70" s="27" cm="1">
        <f t="array" ref="BK70">1+$B$13+VLOOKUP($Q70,武学奇术!$A:$ZZ,18,FALSE)+SUM(_xlfn.XLOOKUP(R70:AF70,增益!$A:$A,增益!$R:$R,0))</f>
        <v>2.19</v>
      </c>
      <c r="BL70" s="27" cm="1">
        <f t="array" ref="BL70">MAX(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-IF(VLOOKUP($Q70,武学奇术!$A:$ZZ,32,FALSE)=1,12%,0),0)</f>
        <v>0.0895</v>
      </c>
      <c r="BM70" s="27" cm="1">
        <f t="array" ref="BM70">1+$B$14+VLOOKUP($Q70,武学奇术!$A:$ZZ,20,FALSE)+SUM(_xlfn.XLOOKUP(R70:AF70,增益!$A:$A,增益!$T:$T,0))</f>
        <v>1.35</v>
      </c>
      <c r="BN70" s="27">
        <f t="shared" si="20"/>
        <v>0.9105</v>
      </c>
      <c r="BO70" s="27">
        <f t="shared" si="21"/>
        <v>0</v>
      </c>
      <c r="BP70" s="27">
        <f>IF(VLOOKUP($Q70,武学奇术!$A:$ZZ,22,FALSE)=1,0,(1-$BI70))*(1-$BL70)</f>
        <v>0</v>
      </c>
      <c r="BQ70" s="27" cm="1">
        <f t="array" ref="BQ70">SUM(_xlfn.XLOOKUP(R70:AF70,增益!$A:$A,增益!$W:$W,0))+$I$5</f>
        <v>0.11</v>
      </c>
    </row>
    <row r="71" spans="1:69">
      <c r="K71" s="39">
        <f t="shared" si="11"/>
        <v>29958.4701143027</v>
      </c>
      <c r="L71" s="39">
        <f>((($AN71+($AO71-$AN71)*IF(VLOOKUP($Q71,武学奇术!$A:$ZZ,31,FALSE)=1,$F$18,0.5))*$AH71+$AI71)*(1+$AP71)*(1+$AQ71)+(($AS71+($AT71-$AS71)*IF(VLOOKUP($Q71,武学奇术!$A:$ZZ,31,FALSE)=1,$F$18,0.5))*IF($G$1="鸣金",$AJ71,$AH71)+IF($G$1="鸣金",$AK71*1.5,0))*(1+$AU71)*(1+$AV71)+(($AW71+($AX71-$AW71)*IF(VLOOKUP($Q71,武学奇术!$A:$ZZ,31,FALSE)=1,$F$18,0.5))*IF($G$1="裂石",$AJ71,$AH71)+IF($G$1="裂石",$AK71*1.5,0))*(1+$AY71)*(1+$AZ71)+(($BA71+($BB71-$BA71)*IF(VLOOKUP($Q71,武学奇术!$A:$ZZ,31,FALSE)=1,$F$18,0.5))*IF($G$1="牵丝",$AJ71,$AH71)+IF($G$1="牵丝",$AK71*1.5,0))*(1+$BC71)*(1+$BD71)+(($BE71+($BF71-$BE71)*IF(VLOOKUP($Q71,武学奇术!$A:$ZZ,31,FALSE)=1,$F$18,0.5))*IF($G$1="破竹",$AJ71,$AH71)+IF($G$1="破竹",$AK71*1.5,0))*(1+$BG71)*(1+$BH71))*(1+$AL71)*$BK71*$P71*(1+IF(VLOOKUP($Q71,武学奇术!$A:$ZZ,30,FALSE)="蓄力技",$B$21,0))*(1+$BQ71)</f>
        <v>30155.6679181157</v>
      </c>
      <c r="M71" s="39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27952.3405012109</v>
      </c>
      <c r="N71" s="39">
        <f>((($AN71+($AO71-$AN71)*IF(VLOOKUP($Q71,武学奇术!$A:$ZZ,31,FALSE)=1,$F$18,0.5))*$AH71+$AI71)*(1+$AP71)*(1+$AQ71)+(($AS71+($AT71-$AS71)*IF(VLOOKUP($Q71,武学奇术!$A:$ZZ,31,FALSE)=1,$F$18,0.5))*IF($G$1="鸣金",$AJ71,$AH71)+IF($G$1="鸣金",$AK71*1.5,0))*(1+$AU71)*(1+$AV71)+(($AW71+($AX71-$AW71)*IF(VLOOKUP($Q71,武学奇术!$A:$ZZ,31,FALSE)=1,$F$18,0.5))*IF($G$1="裂石",$AJ71,$AH71)+IF($G$1="裂石",$AK71*1.5,0))*(1+$AY71)*(1+$AZ71)+(($BA71+($BB71-$BA71)*IF(VLOOKUP($Q71,武学奇术!$A:$ZZ,31,FALSE)=1,$F$18,0.5))*IF($G$1="牵丝",$AJ71,$AH71)+IF($G$1="牵丝",$AK71*1.5,0))*(1+$BC71)*(1+$BD71)+(($BE71+($BF71-$BE71)*IF(VLOOKUP($Q71,武学奇术!$A:$ZZ,31,FALSE)=1,$F$18,0.5))*IF($G$1="破竹",$AJ71,$AH71)+IF($G$1="破竹",$AK71*1.5,0))*(1+$BG71)*(1+$BH71))*(1+$AL71)*$P71*(1+IF(VLOOKUP($Q71,武学奇术!$A:$ZZ,30,FALSE)="蓄力技",$B$21,0))*(1+$BQ71)</f>
        <v>18387.6023890949</v>
      </c>
      <c r="O71" s="39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16069.7673698855</v>
      </c>
      <c r="P71" s="40">
        <v>1</v>
      </c>
      <c r="Q71" s="41" t="s">
        <v>151</v>
      </c>
      <c r="R71" s="41" t="s">
        <v>93</v>
      </c>
      <c r="S71" s="41" t="s">
        <v>72</v>
      </c>
      <c r="T71" s="41" t="s">
        <v>72</v>
      </c>
      <c r="U71" s="41" t="s">
        <v>72</v>
      </c>
      <c r="V71" s="41" t="s">
        <v>72</v>
      </c>
      <c r="W71" s="41" t="s">
        <v>72</v>
      </c>
      <c r="X71" s="41" t="s">
        <v>165</v>
      </c>
      <c r="Y71" s="41" t="s">
        <v>81</v>
      </c>
      <c r="Z71" s="41" t="s">
        <v>72</v>
      </c>
      <c r="AA71" s="41" t="s">
        <v>72</v>
      </c>
      <c r="AB71" s="41" t="s">
        <v>72</v>
      </c>
      <c r="AC71" s="41" t="s">
        <v>72</v>
      </c>
      <c r="AD71" s="41" t="s">
        <v>72</v>
      </c>
      <c r="AE71" s="41" t="s">
        <v>75</v>
      </c>
      <c r="AF71" s="41" t="s">
        <v>76</v>
      </c>
      <c r="AG71" t="str">
        <f>VLOOKUP($Q71,武学奇术!$A:$ZZ,25,FALSE)</f>
        <v>绳镖</v>
      </c>
      <c r="AH71" s="27">
        <f>VLOOKUP($Q71,武学奇术!$A:$ZZ,26,FALSE)</f>
        <v>1.6584</v>
      </c>
      <c r="AI71" s="28">
        <f>VLOOKUP($Q71,武学奇术!$A:$ZZ,27,FALSE)*(1+IF(OR($AG71=$F$4,$AG71=$F$5),$B$22,0))</f>
        <v>641.2</v>
      </c>
      <c r="AJ71" s="27">
        <f>VLOOKUP($Q71,武学奇术!$A:$ZZ,28,FALSE)</f>
        <v>2.4876</v>
      </c>
      <c r="AK71" s="28">
        <f>VLOOKUP($Q71,武学奇术!$A:$ZZ,29,FALSE)*(1+IF(OR($AG71=$F$4,$AG71=$F$5),$B$22,0))</f>
        <v>350</v>
      </c>
      <c r="AL71" s="27" cm="1">
        <f t="array" ref="AL71">$G$3+IFERROR(VLOOKUP($AG71,$F$4:$G$7,2,FALSE),0)+VLOOKUP($Q71,武学奇术!$A:$ZZ,2,FALSE)+SUM(_xlfn.XLOOKUP($R71:$AF71,增益!$A:$A,增益!$B:$B,0))</f>
        <v>0.2389</v>
      </c>
      <c r="AM71" s="27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3742.006</v>
      </c>
      <c r="AO71" cm="1">
        <f t="array" ref="AO71">$E$10*(1+$AM71)+VLOOKUP($Q71,武学奇术!$A:$ZZ,4,FALSE)+SUM(_xlfn.XLOOKUP($R71:$AF71,增益!$A:$A,增益!$D:$D,0))-$I$2</f>
        <v>3742.006</v>
      </c>
      <c r="AP71" s="33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0.217</v>
      </c>
      <c r="AQ71" s="33" cm="1">
        <f t="array" ref="AQ71">$G$10+VLOOKUP($Q71,武学奇术!$A:$ZZ,7,FALSE)+SUM(_xlfn.XLOOKUP(R71:AF71,增益!$A:$A,增益!$G:$G,0))</f>
        <v>0.09</v>
      </c>
      <c r="AR71" s="27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3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-0.14</v>
      </c>
      <c r="AV71" s="33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33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-0.14</v>
      </c>
      <c r="AZ71" s="33" cm="1">
        <f t="array" ref="AZ71">$G$12+VLOOKUP($Q71,武学奇术!$A:$ZZ,12,FALSE)+SUM(_xlfn.XLOOKUP(R71:AF71,增益!$A:$A,增益!$L:$L,0))</f>
        <v>0</v>
      </c>
      <c r="BA71">
        <f t="shared" si="16"/>
        <v>0</v>
      </c>
      <c r="BB71">
        <f t="shared" si="17"/>
        <v>0</v>
      </c>
      <c r="BC71" s="33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-0.14</v>
      </c>
      <c r="BD71" s="33" cm="1">
        <f t="array" ref="BD71">$G$13+VLOOKUP($Q71,武学奇术!$A:$ZZ,14,FALSE)+SUM(_xlfn.XLOOKUP(R71:AF71,增益!$A:$A,增益!$N:$N,0))</f>
        <v>0</v>
      </c>
      <c r="BE71">
        <f t="shared" si="18"/>
        <v>570.28</v>
      </c>
      <c r="BF71">
        <f t="shared" si="19"/>
        <v>1582.156</v>
      </c>
      <c r="BG71" s="33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0.08</v>
      </c>
      <c r="BH71" s="33" cm="1">
        <f t="array" ref="BH71">$G$14+VLOOKUP($Q71,武学奇术!$A:$ZZ,16,FALSE)+SUM(_xlfn.XLOOKUP(R71:AF71,增益!$A:$A,增益!$P:$P,0))</f>
        <v>0.24</v>
      </c>
      <c r="BI71" s="27">
        <f>MIN(IF(VLOOKUP($Q71,武学奇术!$A:$ZZ,23,FALSE)=1,100%,$B$8),100%)</f>
        <v>1</v>
      </c>
      <c r="BJ71" s="27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+MIN(IF(VLOOKUP($Q71,武学奇术!$A:$ZZ,32,FALSE)=1,IF(VLOOKUP($Q71,武学奇术!$A:$ZZ,24,FALSE)=1,100%,MIN(40%,$B$10+VLOOKUP($Q71,武学奇术!$A:$ZZ,19,FALSE)+SUM(_xlfn.XLOOKUP(R71:AF71,增益!$A:$A,增益!$S:$S,0)))+$B$12+SUM(_xlfn.XLOOKUP(R71:AF71,增益!$A:$A,增益!$V:$V,0))),0),12%)</f>
        <v>0.918</v>
      </c>
      <c r="BK71" s="27" cm="1">
        <f t="array" ref="BK71">1+$B$13+VLOOKUP($Q71,武学奇术!$A:$ZZ,18,FALSE)+SUM(_xlfn.XLOOKUP(R71:AF71,增益!$A:$A,增益!$R:$R,0))</f>
        <v>1.64</v>
      </c>
      <c r="BL71" s="27" cm="1">
        <f t="array" ref="BL71">MAX(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-IF(VLOOKUP($Q71,武学奇术!$A:$ZZ,32,FALSE)=1,12%,0),0)</f>
        <v>0.0895</v>
      </c>
      <c r="BM71" s="27" cm="1">
        <f t="array" ref="BM71">1+$B$14+VLOOKUP($Q71,武学奇术!$A:$ZZ,20,FALSE)+SUM(_xlfn.XLOOKUP(R71:AF71,增益!$A:$A,增益!$T:$T,0))</f>
        <v>1.35</v>
      </c>
      <c r="BN71" s="27">
        <f t="shared" si="20"/>
        <v>0.9105</v>
      </c>
      <c r="BO71" s="27">
        <f t="shared" si="21"/>
        <v>0</v>
      </c>
      <c r="BP71" s="27">
        <f>IF(VLOOKUP($Q71,武学奇术!$A:$ZZ,22,FALSE)=1,0,(1-$BI71))*(1-$BL71)</f>
        <v>0</v>
      </c>
      <c r="BQ71" s="27" cm="1">
        <f t="array" ref="BQ71">SUM(_xlfn.XLOOKUP(R71:AF71,增益!$A:$A,增益!$W:$W,0))+$I$5</f>
        <v>0.11</v>
      </c>
    </row>
    <row r="72" spans="1:69">
      <c r="A72" s="4"/>
      <c r="B72" s="4"/>
      <c r="F72" s="4"/>
      <c r="G72" s="91"/>
      <c r="K72" s="39">
        <f t="shared" si="11"/>
        <v>55484.7019085188</v>
      </c>
      <c r="L72" s="39">
        <f>((($AN72+($AO72-$AN72)*IF(VLOOKUP($Q72,武学奇术!$A:$ZZ,31,FALSE)=1,$F$18,0.5))*$AH72+$AI72)*(1+$AP72)*(1+$AQ72)+(($AS72+($AT72-$AS72)*IF(VLOOKUP($Q72,武学奇术!$A:$ZZ,31,FALSE)=1,$F$18,0.5))*IF($G$1="鸣金",$AJ72,$AH72)+IF($G$1="鸣金",$AK72*1.5,0))*(1+$AU72)*(1+$AV72)+(($AW72+($AX72-$AW72)*IF(VLOOKUP($Q72,武学奇术!$A:$ZZ,31,FALSE)=1,$F$18,0.5))*IF($G$1="裂石",$AJ72,$AH72)+IF($G$1="裂石",$AK72*1.5,0))*(1+$AY72)*(1+$AZ72)+(($BA72+($BB72-$BA72)*IF(VLOOKUP($Q72,武学奇术!$A:$ZZ,31,FALSE)=1,$F$18,0.5))*IF($G$1="牵丝",$AJ72,$AH72)+IF($G$1="牵丝",$AK72*1.5,0))*(1+$BC72)*(1+$BD72)+(($BE72+($BF72-$BE72)*IF(VLOOKUP($Q72,武学奇术!$A:$ZZ,31,FALSE)=1,$F$18,0.5))*IF($G$1="破竹",$AJ72,$AH72)+IF($G$1="破竹",$AK72*1.5,0))*(1+$BG72)*(1+$BH72))*(1+$AL72)*$BK72*$P72*(1+IF(VLOOKUP($Q72,武学奇术!$A:$ZZ,30,FALSE)="蓄力技",$B$21,0))*(1+$BQ72)</f>
        <v>56519.9944303525</v>
      </c>
      <c r="M72" s="39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44952.4802199205</v>
      </c>
      <c r="N72" s="39">
        <f>((($AN72+($AO72-$AN72)*IF(VLOOKUP($Q72,武学奇术!$A:$ZZ,31,FALSE)=1,$F$18,0.5))*$AH72+$AI72)*(1+$AP72)*(1+$AQ72)+(($AS72+($AT72-$AS72)*IF(VLOOKUP($Q72,武学奇术!$A:$ZZ,31,FALSE)=1,$F$18,0.5))*IF($G$1="鸣金",$AJ72,$AH72)+IF($G$1="鸣金",$AK72*1.5,0))*(1+$AU72)*(1+$AV72)+(($AW72+($AX72-$AW72)*IF(VLOOKUP($Q72,武学奇术!$A:$ZZ,31,FALSE)=1,$F$18,0.5))*IF($G$1="裂石",$AJ72,$AH72)+IF($G$1="裂石",$AK72*1.5,0))*(1+$AY72)*(1+$AZ72)+(($BA72+($BB72-$BA72)*IF(VLOOKUP($Q72,武学奇术!$A:$ZZ,31,FALSE)=1,$F$18,0.5))*IF($G$1="牵丝",$AJ72,$AH72)+IF($G$1="牵丝",$AK72*1.5,0))*(1+$BC72)*(1+$BD72)+(($BE72+($BF72-$BE72)*IF(VLOOKUP($Q72,武学奇术!$A:$ZZ,31,FALSE)=1,$F$18,0.5))*IF($G$1="破竹",$AJ72,$AH72)+IF($G$1="破竹",$AK72*1.5,0))*(1+$BG72)*(1+$BH72))*(1+$AL72)*$P72*(1+IF(VLOOKUP($Q72,武学奇术!$A:$ZZ,30,FALSE)="蓄力技",$B$21,0))*(1+$BQ72)</f>
        <v>29134.0177476044</v>
      </c>
      <c r="O72" s="39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24969.9019989713</v>
      </c>
      <c r="P72" s="40">
        <v>1</v>
      </c>
      <c r="Q72" s="41" t="s">
        <v>100</v>
      </c>
      <c r="R72" s="41" t="s">
        <v>93</v>
      </c>
      <c r="S72" s="41" t="s">
        <v>72</v>
      </c>
      <c r="T72" s="41" t="s">
        <v>72</v>
      </c>
      <c r="U72" s="41" t="s">
        <v>72</v>
      </c>
      <c r="V72" s="41" t="s">
        <v>72</v>
      </c>
      <c r="W72" s="41" t="s">
        <v>72</v>
      </c>
      <c r="X72" s="41" t="s">
        <v>165</v>
      </c>
      <c r="Y72" s="41" t="s">
        <v>81</v>
      </c>
      <c r="Z72" s="41" t="s">
        <v>101</v>
      </c>
      <c r="AA72" s="41" t="s">
        <v>72</v>
      </c>
      <c r="AB72" s="41" t="s">
        <v>72</v>
      </c>
      <c r="AC72" s="41" t="s">
        <v>72</v>
      </c>
      <c r="AD72" s="41" t="s">
        <v>72</v>
      </c>
      <c r="AE72" s="41" t="s">
        <v>75</v>
      </c>
      <c r="AF72" s="41" t="s">
        <v>76</v>
      </c>
      <c r="AG72" t="str">
        <f>VLOOKUP($Q72,武学奇术!$A:$ZZ,25,FALSE)</f>
        <v>绳镖</v>
      </c>
      <c r="AH72" s="27">
        <f>VLOOKUP($Q72,武学奇术!$A:$ZZ,26,FALSE)</f>
        <v>2.33376</v>
      </c>
      <c r="AI72" s="28">
        <f>VLOOKUP($Q72,武学奇术!$A:$ZZ,27,FALSE)*(1+IF(OR($AG72=$F$4,$AG72=$F$5),$B$22,0))</f>
        <v>0</v>
      </c>
      <c r="AJ72" s="27">
        <f>VLOOKUP($Q72,武学奇术!$A:$ZZ,28,FALSE)</f>
        <v>3.50064</v>
      </c>
      <c r="AK72" s="28">
        <f>VLOOKUP($Q72,武学奇术!$A:$ZZ,29,FALSE)*(1+IF(OR($AG72=$F$4,$AG72=$F$5),$B$22,0))</f>
        <v>0</v>
      </c>
      <c r="AL72" s="27" cm="1">
        <f t="array" ref="AL72">$G$3+IFERROR(VLOOKUP($AG72,$F$4:$G$7,2,FALSE),0)+VLOOKUP($Q72,武学奇术!$A:$ZZ,2,FALSE)+SUM(_xlfn.XLOOKUP($R72:$AF72,增益!$A:$A,增益!$B:$B,0))</f>
        <v>0.5389</v>
      </c>
      <c r="AM72" s="27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3742.006</v>
      </c>
      <c r="AO72" cm="1">
        <f t="array" ref="AO72">$E$10*(1+$AM72)+VLOOKUP($Q72,武学奇术!$A:$ZZ,4,FALSE)+SUM(_xlfn.XLOOKUP($R72:$AF72,增益!$A:$A,增益!$D:$D,0))-$I$2</f>
        <v>3742.006</v>
      </c>
      <c r="AP72" s="33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0.247</v>
      </c>
      <c r="AQ72" s="33" cm="1">
        <f t="array" ref="AQ72">$G$10+VLOOKUP($Q72,武学奇术!$A:$ZZ,7,FALSE)+SUM(_xlfn.XLOOKUP(R72:AF72,增益!$A:$A,增益!$G:$G,0))</f>
        <v>0.09</v>
      </c>
      <c r="AR72" s="27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3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-0.08</v>
      </c>
      <c r="AV72" s="33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33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-0.08</v>
      </c>
      <c r="AZ72" s="33" cm="1">
        <f t="array" ref="AZ72">$G$12+VLOOKUP($Q72,武学奇术!$A:$ZZ,12,FALSE)+SUM(_xlfn.XLOOKUP(R72:AF72,增益!$A:$A,增益!$L:$L,0))</f>
        <v>0</v>
      </c>
      <c r="BA72">
        <f t="shared" si="16"/>
        <v>0</v>
      </c>
      <c r="BB72">
        <f t="shared" si="17"/>
        <v>0</v>
      </c>
      <c r="BC72" s="33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-0.08</v>
      </c>
      <c r="BD72" s="33" cm="1">
        <f t="array" ref="BD72">$G$13+VLOOKUP($Q72,武学奇术!$A:$ZZ,14,FALSE)+SUM(_xlfn.XLOOKUP(R72:AF72,增益!$A:$A,增益!$N:$N,0))</f>
        <v>0</v>
      </c>
      <c r="BE72">
        <f t="shared" si="18"/>
        <v>570.28</v>
      </c>
      <c r="BF72">
        <f t="shared" si="19"/>
        <v>1582.156</v>
      </c>
      <c r="BG72" s="33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0.11</v>
      </c>
      <c r="BH72" s="33" cm="1">
        <f t="array" ref="BH72">$G$14+VLOOKUP($Q72,武学奇术!$A:$ZZ,16,FALSE)+SUM(_xlfn.XLOOKUP(R72:AF72,增益!$A:$A,增益!$P:$P,0))</f>
        <v>0.24</v>
      </c>
      <c r="BI72" s="27">
        <f>MIN(IF(VLOOKUP($Q72,武学奇术!$A:$ZZ,23,FALSE)=1,100%,$B$8),100%)</f>
        <v>1</v>
      </c>
      <c r="BJ72" s="27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+MIN(IF(VLOOKUP($Q72,武学奇术!$A:$ZZ,32,FALSE)=1,IF(VLOOKUP($Q72,武学奇术!$A:$ZZ,24,FALSE)=1,100%,MIN(40%,$B$10+VLOOKUP($Q72,武学奇术!$A:$ZZ,19,FALSE)+SUM(_xlfn.XLOOKUP(R72:AF72,增益!$A:$A,增益!$S:$S,0)))+$B$12+SUM(_xlfn.XLOOKUP(R72:AF72,增益!$A:$A,增益!$V:$V,0))),0),12%)</f>
        <v>0.918</v>
      </c>
      <c r="BK72" s="27" cm="1">
        <f t="array" ref="BK72">1+$B$13+VLOOKUP($Q72,武学奇术!$A:$ZZ,18,FALSE)+SUM(_xlfn.XLOOKUP(R72:AF72,增益!$A:$A,增益!$R:$R,0))</f>
        <v>1.94</v>
      </c>
      <c r="BL72" s="27" cm="1">
        <f t="array" ref="BL72">MAX(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-IF(VLOOKUP($Q72,武学奇术!$A:$ZZ,32,FALSE)=1,12%,0),0)</f>
        <v>0.0895</v>
      </c>
      <c r="BM72" s="27" cm="1">
        <f t="array" ref="BM72">1+$B$14+VLOOKUP($Q72,武学奇术!$A:$ZZ,20,FALSE)+SUM(_xlfn.XLOOKUP(R72:AF72,增益!$A:$A,增益!$T:$T,0))</f>
        <v>1.35</v>
      </c>
      <c r="BN72" s="27">
        <f t="shared" si="20"/>
        <v>0.9105</v>
      </c>
      <c r="BO72" s="27">
        <f t="shared" si="21"/>
        <v>0</v>
      </c>
      <c r="BP72" s="27">
        <f>IF(VLOOKUP($Q72,武学奇术!$A:$ZZ,22,FALSE)=1,0,(1-$BI72))*(1-$BL72)</f>
        <v>0</v>
      </c>
      <c r="BQ72" s="27" cm="1">
        <f t="array" ref="BQ72">SUM(_xlfn.XLOOKUP(R72:AF72,增益!$A:$A,增益!$W:$W,0))+$I$5</f>
        <v>0.11</v>
      </c>
    </row>
    <row r="73" spans="1:69">
      <c r="A73" s="4"/>
      <c r="B73" s="91"/>
      <c r="K73" s="39">
        <f t="shared" si="11"/>
        <v>22596.7132140839</v>
      </c>
      <c r="L73" s="39">
        <f>((($AN73+($AO73-$AN73)*IF(VLOOKUP($Q73,武学奇术!$A:$ZZ,31,FALSE)=1,$F$18,0.5))*$AH73+$AI73)*(1+$AP73)*(1+$AQ73)+(($AS73+($AT73-$AS73)*IF(VLOOKUP($Q73,武学奇术!$A:$ZZ,31,FALSE)=1,$F$18,0.5))*IF($G$1="鸣金",$AJ73,$AH73)+IF($G$1="鸣金",$AK73*1.5,0))*(1+$AU73)*(1+$AV73)+(($AW73+($AX73-$AW73)*IF(VLOOKUP($Q73,武学奇术!$A:$ZZ,31,FALSE)=1,$F$18,0.5))*IF($G$1="裂石",$AJ73,$AH73)+IF($G$1="裂石",$AK73*1.5,0))*(1+$AY73)*(1+$AZ73)+(($BA73+($BB73-$BA73)*IF(VLOOKUP($Q73,武学奇术!$A:$ZZ,31,FALSE)=1,$F$18,0.5))*IF($G$1="牵丝",$AJ73,$AH73)+IF($G$1="牵丝",$AK73*1.5,0))*(1+$BC73)*(1+$BD73)+(($BE73+($BF73-$BE73)*IF(VLOOKUP($Q73,武学奇术!$A:$ZZ,31,FALSE)=1,$F$18,0.5))*IF($G$1="破竹",$AJ73,$AH73)+IF($G$1="破竹",$AK73*1.5,0))*(1+$BG73)*(1+$BH73))*(1+$AL73)*$BK73*$P73*(1+IF(VLOOKUP($Q73,武学奇术!$A:$ZZ,30,FALSE)="蓄力技",$B$21,0))*(1+$BQ73)</f>
        <v>22745.5466382294</v>
      </c>
      <c r="M73" s="39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21082.6033516877</v>
      </c>
      <c r="N73" s="39">
        <f>((($AN73+($AO73-$AN73)*IF(VLOOKUP($Q73,武学奇术!$A:$ZZ,31,FALSE)=1,$F$18,0.5))*$AH73+$AI73)*(1+$AP73)*(1+$AQ73)+(($AS73+($AT73-$AS73)*IF(VLOOKUP($Q73,武学奇术!$A:$ZZ,31,FALSE)=1,$F$18,0.5))*IF($G$1="鸣金",$AJ73,$AH73)+IF($G$1="鸣金",$AK73*1.5,0))*(1+$AU73)*(1+$AV73)+(($AW73+($AX73-$AW73)*IF(VLOOKUP($Q73,武学奇术!$A:$ZZ,31,FALSE)=1,$F$18,0.5))*IF($G$1="裂石",$AJ73,$AH73)+IF($G$1="裂石",$AK73*1.5,0))*(1+$AY73)*(1+$AZ73)+(($BA73+($BB73-$BA73)*IF(VLOOKUP($Q73,武学奇术!$A:$ZZ,31,FALSE)=1,$F$18,0.5))*IF($G$1="牵丝",$AJ73,$AH73)+IF($G$1="牵丝",$AK73*1.5,0))*(1+$BC73)*(1+$BD73)+(($BE73+($BF73-$BE73)*IF(VLOOKUP($Q73,武学奇术!$A:$ZZ,31,FALSE)=1,$F$18,0.5))*IF($G$1="破竹",$AJ73,$AH73)+IF($G$1="破竹",$AK73*1.5,0))*(1+$BG73)*(1+$BH73))*(1+$AL73)*$P73*(1+IF(VLOOKUP($Q73,武学奇术!$A:$ZZ,30,FALSE)="蓄力技",$B$21,0))*(1+$BQ73)</f>
        <v>13869.2357550179</v>
      </c>
      <c r="O73" s="39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12121.7282865635</v>
      </c>
      <c r="P73" s="40">
        <v>1</v>
      </c>
      <c r="Q73" s="41" t="s">
        <v>148</v>
      </c>
      <c r="R73" s="41" t="s">
        <v>93</v>
      </c>
      <c r="S73" s="41" t="s">
        <v>72</v>
      </c>
      <c r="T73" s="41" t="s">
        <v>72</v>
      </c>
      <c r="U73" s="41" t="s">
        <v>72</v>
      </c>
      <c r="V73" s="41" t="s">
        <v>72</v>
      </c>
      <c r="W73" s="41" t="s">
        <v>72</v>
      </c>
      <c r="X73" s="41" t="s">
        <v>165</v>
      </c>
      <c r="Y73" s="41" t="s">
        <v>81</v>
      </c>
      <c r="Z73" s="41" t="s">
        <v>72</v>
      </c>
      <c r="AA73" s="41" t="s">
        <v>72</v>
      </c>
      <c r="AB73" s="41" t="s">
        <v>72</v>
      </c>
      <c r="AC73" s="41" t="s">
        <v>72</v>
      </c>
      <c r="AD73" s="41" t="s">
        <v>72</v>
      </c>
      <c r="AE73" s="41" t="s">
        <v>75</v>
      </c>
      <c r="AF73" s="41" t="s">
        <v>76</v>
      </c>
      <c r="AG73" t="str">
        <f>VLOOKUP($Q73,武学奇术!$A:$ZZ,25,FALSE)</f>
        <v>绳镖</v>
      </c>
      <c r="AH73" s="27">
        <f>VLOOKUP($Q73,武学奇术!$A:$ZZ,26,FALSE)</f>
        <v>1.2503</v>
      </c>
      <c r="AI73" s="28">
        <f>VLOOKUP($Q73,武学奇术!$A:$ZZ,27,FALSE)*(1+IF(OR($AG73=$F$4,$AG73=$F$5),$B$22,0))</f>
        <v>485.8</v>
      </c>
      <c r="AJ73" s="27">
        <f>VLOOKUP($Q73,武学奇术!$A:$ZZ,28,FALSE)</f>
        <v>1.8755</v>
      </c>
      <c r="AK73" s="28">
        <f>VLOOKUP($Q73,武学奇术!$A:$ZZ,29,FALSE)*(1+IF(OR($AG73=$F$4,$AG73=$F$5),$B$22,0))</f>
        <v>264.6</v>
      </c>
      <c r="AL73" s="27" cm="1">
        <f t="array" ref="AL73">$G$3+IFERROR(VLOOKUP($AG73,$F$4:$G$7,2,FALSE),0)+VLOOKUP($Q73,武学奇术!$A:$ZZ,2,FALSE)+SUM(_xlfn.XLOOKUP($R73:$AF73,增益!$A:$A,增益!$B:$B,0))</f>
        <v>0.2389</v>
      </c>
      <c r="AM73" s="27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3742.006</v>
      </c>
      <c r="AO73" cm="1">
        <f t="array" ref="AO73">$E$10*(1+$AM73)+VLOOKUP($Q73,武学奇术!$A:$ZZ,4,FALSE)+SUM(_xlfn.XLOOKUP($R73:$AF73,增益!$A:$A,增益!$D:$D,0))-$I$2</f>
        <v>3742.006</v>
      </c>
      <c r="AP73" s="33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0.217</v>
      </c>
      <c r="AQ73" s="33" cm="1">
        <f t="array" ref="AQ73">$G$10+VLOOKUP($Q73,武学奇术!$A:$ZZ,7,FALSE)+SUM(_xlfn.XLOOKUP(R73:AF73,增益!$A:$A,增益!$G:$G,0))</f>
        <v>0.09</v>
      </c>
      <c r="AR73" s="27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3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-0.14</v>
      </c>
      <c r="AV73" s="33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33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-0.14</v>
      </c>
      <c r="AZ73" s="33" cm="1">
        <f t="array" ref="AZ73">$G$12+VLOOKUP($Q73,武学奇术!$A:$ZZ,12,FALSE)+SUM(_xlfn.XLOOKUP(R73:AF73,增益!$A:$A,增益!$L:$L,0))</f>
        <v>0</v>
      </c>
      <c r="BA73">
        <f t="shared" si="16"/>
        <v>0</v>
      </c>
      <c r="BB73">
        <f t="shared" si="17"/>
        <v>0</v>
      </c>
      <c r="BC73" s="33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-0.14</v>
      </c>
      <c r="BD73" s="33" cm="1">
        <f t="array" ref="BD73">$G$13+VLOOKUP($Q73,武学奇术!$A:$ZZ,14,FALSE)+SUM(_xlfn.XLOOKUP(R73:AF73,增益!$A:$A,增益!$N:$N,0))</f>
        <v>0</v>
      </c>
      <c r="BE73">
        <f t="shared" si="18"/>
        <v>570.28</v>
      </c>
      <c r="BF73">
        <f t="shared" si="19"/>
        <v>1582.156</v>
      </c>
      <c r="BG73" s="33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0.08</v>
      </c>
      <c r="BH73" s="33" cm="1">
        <f t="array" ref="BH73">$G$14+VLOOKUP($Q73,武学奇术!$A:$ZZ,16,FALSE)+SUM(_xlfn.XLOOKUP(R73:AF73,增益!$A:$A,增益!$P:$P,0))</f>
        <v>0.24</v>
      </c>
      <c r="BI73" s="27">
        <f>MIN(IF(VLOOKUP($Q73,武学奇术!$A:$ZZ,23,FALSE)=1,100%,$B$8),100%)</f>
        <v>1</v>
      </c>
      <c r="BJ73" s="27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+MIN(IF(VLOOKUP($Q73,武学奇术!$A:$ZZ,32,FALSE)=1,IF(VLOOKUP($Q73,武学奇术!$A:$ZZ,24,FALSE)=1,100%,MIN(40%,$B$10+VLOOKUP($Q73,武学奇术!$A:$ZZ,19,FALSE)+SUM(_xlfn.XLOOKUP(R73:AF73,增益!$A:$A,增益!$S:$S,0)))+$B$12+SUM(_xlfn.XLOOKUP(R73:AF73,增益!$A:$A,增益!$V:$V,0))),0),12%)</f>
        <v>0.918</v>
      </c>
      <c r="BK73" s="27" cm="1">
        <f t="array" ref="BK73">1+$B$13+VLOOKUP($Q73,武学奇术!$A:$ZZ,18,FALSE)+SUM(_xlfn.XLOOKUP(R73:AF73,增益!$A:$A,增益!$R:$R,0))</f>
        <v>1.64</v>
      </c>
      <c r="BL73" s="27" cm="1">
        <f t="array" ref="BL73">MAX(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-IF(VLOOKUP($Q73,武学奇术!$A:$ZZ,32,FALSE)=1,12%,0),0)</f>
        <v>0.0895</v>
      </c>
      <c r="BM73" s="27" cm="1">
        <f t="array" ref="BM73">1+$B$14+VLOOKUP($Q73,武学奇术!$A:$ZZ,20,FALSE)+SUM(_xlfn.XLOOKUP(R73:AF73,增益!$A:$A,增益!$T:$T,0))</f>
        <v>1.35</v>
      </c>
      <c r="BN73" s="27">
        <f t="shared" si="20"/>
        <v>0.9105</v>
      </c>
      <c r="BO73" s="27">
        <f t="shared" si="21"/>
        <v>0</v>
      </c>
      <c r="BP73" s="27">
        <f>IF(VLOOKUP($Q73,武学奇术!$A:$ZZ,22,FALSE)=1,0,(1-$BI73))*(1-$BL73)</f>
        <v>0</v>
      </c>
      <c r="BQ73" s="27" cm="1">
        <f t="array" ref="BQ73">SUM(_xlfn.XLOOKUP(R73:AF73,增益!$A:$A,增益!$W:$W,0))+$I$5</f>
        <v>0.11</v>
      </c>
    </row>
    <row r="74" spans="1:69">
      <c r="F74" s="4"/>
      <c r="G74" s="91"/>
      <c r="K74" s="39">
        <f t="shared" si="11"/>
        <v>46237.2515904324</v>
      </c>
      <c r="L74" s="39">
        <f>((($AN74+($AO74-$AN74)*IF(VLOOKUP($Q74,武学奇术!$A:$ZZ,31,FALSE)=1,$F$18,0.5))*$AH74+$AI74)*(1+$AP74)*(1+$AQ74)+(($AS74+($AT74-$AS74)*IF(VLOOKUP($Q74,武学奇术!$A:$ZZ,31,FALSE)=1,$F$18,0.5))*IF($G$1="鸣金",$AJ74,$AH74)+IF($G$1="鸣金",$AK74*1.5,0))*(1+$AU74)*(1+$AV74)+(($AW74+($AX74-$AW74)*IF(VLOOKUP($Q74,武学奇术!$A:$ZZ,31,FALSE)=1,$F$18,0.5))*IF($G$1="裂石",$AJ74,$AH74)+IF($G$1="裂石",$AK74*1.5,0))*(1+$AY74)*(1+$AZ74)+(($BA74+($BB74-$BA74)*IF(VLOOKUP($Q74,武学奇术!$A:$ZZ,31,FALSE)=1,$F$18,0.5))*IF($G$1="牵丝",$AJ74,$AH74)+IF($G$1="牵丝",$AK74*1.5,0))*(1+$BC74)*(1+$BD74)+(($BE74+($BF74-$BE74)*IF(VLOOKUP($Q74,武学奇术!$A:$ZZ,31,FALSE)=1,$F$18,0.5))*IF($G$1="破竹",$AJ74,$AH74)+IF($G$1="破竹",$AK74*1.5,0))*(1+$BG74)*(1+$BH74))*(1+$AL74)*$BK74*$P74*(1+IF(VLOOKUP($Q74,武学奇术!$A:$ZZ,30,FALSE)="蓄力技",$B$21,0))*(1+$BQ74)</f>
        <v>47099.9953586271</v>
      </c>
      <c r="M74" s="39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37460.4001832671</v>
      </c>
      <c r="N74" s="39">
        <f>((($AN74+($AO74-$AN74)*IF(VLOOKUP($Q74,武学奇术!$A:$ZZ,31,FALSE)=1,$F$18,0.5))*$AH74+$AI74)*(1+$AP74)*(1+$AQ74)+(($AS74+($AT74-$AS74)*IF(VLOOKUP($Q74,武学奇术!$A:$ZZ,31,FALSE)=1,$F$18,0.5))*IF($G$1="鸣金",$AJ74,$AH74)+IF($G$1="鸣金",$AK74*1.5,0))*(1+$AU74)*(1+$AV74)+(($AW74+($AX74-$AW74)*IF(VLOOKUP($Q74,武学奇术!$A:$ZZ,31,FALSE)=1,$F$18,0.5))*IF($G$1="裂石",$AJ74,$AH74)+IF($G$1="裂石",$AK74*1.5,0))*(1+$AY74)*(1+$AZ74)+(($BA74+($BB74-$BA74)*IF(VLOOKUP($Q74,武学奇术!$A:$ZZ,31,FALSE)=1,$F$18,0.5))*IF($G$1="牵丝",$AJ74,$AH74)+IF($G$1="牵丝",$AK74*1.5,0))*(1+$BC74)*(1+$BD74)+(($BE74+($BF74-$BE74)*IF(VLOOKUP($Q74,武学奇术!$A:$ZZ,31,FALSE)=1,$F$18,0.5))*IF($G$1="破竹",$AJ74,$AH74)+IF($G$1="破竹",$AK74*1.5,0))*(1+$BG74)*(1+$BH74))*(1+$AL74)*$P74*(1+IF(VLOOKUP($Q74,武学奇术!$A:$ZZ,30,FALSE)="蓄力技",$B$21,0))*(1+$BQ74)</f>
        <v>24278.3481230037</v>
      </c>
      <c r="O74" s="39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20808.2516658095</v>
      </c>
      <c r="P74" s="40">
        <v>1</v>
      </c>
      <c r="Q74" s="41" t="s">
        <v>149</v>
      </c>
      <c r="R74" s="41" t="s">
        <v>93</v>
      </c>
      <c r="S74" s="41" t="s">
        <v>72</v>
      </c>
      <c r="T74" s="41" t="s">
        <v>72</v>
      </c>
      <c r="U74" s="41" t="s">
        <v>72</v>
      </c>
      <c r="V74" s="41" t="s">
        <v>72</v>
      </c>
      <c r="W74" s="41" t="s">
        <v>72</v>
      </c>
      <c r="X74" s="41" t="s">
        <v>165</v>
      </c>
      <c r="Y74" s="41" t="s">
        <v>81</v>
      </c>
      <c r="Z74" s="41" t="s">
        <v>101</v>
      </c>
      <c r="AA74" s="41" t="s">
        <v>72</v>
      </c>
      <c r="AB74" s="41" t="s">
        <v>72</v>
      </c>
      <c r="AC74" s="41" t="s">
        <v>72</v>
      </c>
      <c r="AD74" s="41" t="s">
        <v>72</v>
      </c>
      <c r="AE74" s="41" t="s">
        <v>75</v>
      </c>
      <c r="AF74" s="41" t="s">
        <v>76</v>
      </c>
      <c r="AG74" t="str">
        <f>VLOOKUP($Q74,武学奇术!$A:$ZZ,25,FALSE)</f>
        <v>绳镖</v>
      </c>
      <c r="AH74" s="27">
        <f>VLOOKUP($Q74,武学奇术!$A:$ZZ,26,FALSE)</f>
        <v>1.9448</v>
      </c>
      <c r="AI74" s="28">
        <f>VLOOKUP($Q74,武学奇术!$A:$ZZ,27,FALSE)*(1+IF(OR($AG74=$F$4,$AG74=$F$5),$B$22,0))</f>
        <v>0</v>
      </c>
      <c r="AJ74" s="27">
        <f>VLOOKUP($Q74,武学奇术!$A:$ZZ,28,FALSE)</f>
        <v>2.9172</v>
      </c>
      <c r="AK74" s="28">
        <f>VLOOKUP($Q74,武学奇术!$A:$ZZ,29,FALSE)*(1+IF(OR($AG74=$F$4,$AG74=$F$5),$B$22,0))</f>
        <v>0</v>
      </c>
      <c r="AL74" s="27" cm="1">
        <f t="array" ref="AL74">$G$3+IFERROR(VLOOKUP($AG74,$F$4:$G$7,2,FALSE),0)+VLOOKUP($Q74,武学奇术!$A:$ZZ,2,FALSE)+SUM(_xlfn.XLOOKUP($R74:$AF74,增益!$A:$A,增益!$B:$B,0))</f>
        <v>0.5389</v>
      </c>
      <c r="AM74" s="27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3742.006</v>
      </c>
      <c r="AO74" cm="1">
        <f t="array" ref="AO74">$E$10*(1+$AM74)+VLOOKUP($Q74,武学奇术!$A:$ZZ,4,FALSE)+SUM(_xlfn.XLOOKUP($R74:$AF74,增益!$A:$A,增益!$D:$D,0))-$I$2</f>
        <v>3742.006</v>
      </c>
      <c r="AP74" s="33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0.247</v>
      </c>
      <c r="AQ74" s="33" cm="1">
        <f t="array" ref="AQ74">$G$10+VLOOKUP($Q74,武学奇术!$A:$ZZ,7,FALSE)+SUM(_xlfn.XLOOKUP(R74:AF74,增益!$A:$A,增益!$G:$G,0))</f>
        <v>0.09</v>
      </c>
      <c r="AR74" s="27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3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-0.08</v>
      </c>
      <c r="AV74" s="33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33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-0.08</v>
      </c>
      <c r="AZ74" s="33" cm="1">
        <f t="array" ref="AZ74">$G$12+VLOOKUP($Q74,武学奇术!$A:$ZZ,12,FALSE)+SUM(_xlfn.XLOOKUP(R74:AF74,增益!$A:$A,增益!$L:$L,0))</f>
        <v>0</v>
      </c>
      <c r="BA74">
        <f t="shared" si="16"/>
        <v>0</v>
      </c>
      <c r="BB74">
        <f t="shared" si="17"/>
        <v>0</v>
      </c>
      <c r="BC74" s="33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-0.08</v>
      </c>
      <c r="BD74" s="33" cm="1">
        <f t="array" ref="BD74">$G$13+VLOOKUP($Q74,武学奇术!$A:$ZZ,14,FALSE)+SUM(_xlfn.XLOOKUP(R74:AF74,增益!$A:$A,增益!$N:$N,0))</f>
        <v>0</v>
      </c>
      <c r="BE74">
        <f t="shared" si="18"/>
        <v>570.28</v>
      </c>
      <c r="BF74">
        <f t="shared" si="19"/>
        <v>1582.156</v>
      </c>
      <c r="BG74" s="33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0.11</v>
      </c>
      <c r="BH74" s="33" cm="1">
        <f t="array" ref="BH74">$G$14+VLOOKUP($Q74,武学奇术!$A:$ZZ,16,FALSE)+SUM(_xlfn.XLOOKUP(R74:AF74,增益!$A:$A,增益!$P:$P,0))</f>
        <v>0.24</v>
      </c>
      <c r="BI74" s="27">
        <f>MIN(IF(VLOOKUP($Q74,武学奇术!$A:$ZZ,23,FALSE)=1,100%,$B$8),100%)</f>
        <v>1</v>
      </c>
      <c r="BJ74" s="27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+MIN(IF(VLOOKUP($Q74,武学奇术!$A:$ZZ,32,FALSE)=1,IF(VLOOKUP($Q74,武学奇术!$A:$ZZ,24,FALSE)=1,100%,MIN(40%,$B$10+VLOOKUP($Q74,武学奇术!$A:$ZZ,19,FALSE)+SUM(_xlfn.XLOOKUP(R74:AF74,增益!$A:$A,增益!$S:$S,0)))+$B$12+SUM(_xlfn.XLOOKUP(R74:AF74,增益!$A:$A,增益!$V:$V,0))),0),12%)</f>
        <v>0.918</v>
      </c>
      <c r="BK74" s="27" cm="1">
        <f t="array" ref="BK74">1+$B$13+VLOOKUP($Q74,武学奇术!$A:$ZZ,18,FALSE)+SUM(_xlfn.XLOOKUP(R74:AF74,增益!$A:$A,增益!$R:$R,0))</f>
        <v>1.94</v>
      </c>
      <c r="BL74" s="27" cm="1">
        <f t="array" ref="BL74">MAX(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-IF(VLOOKUP($Q74,武学奇术!$A:$ZZ,32,FALSE)=1,12%,0),0)</f>
        <v>0.0895</v>
      </c>
      <c r="BM74" s="27" cm="1">
        <f t="array" ref="BM74">1+$B$14+VLOOKUP($Q74,武学奇术!$A:$ZZ,20,FALSE)+SUM(_xlfn.XLOOKUP(R74:AF74,增益!$A:$A,增益!$T:$T,0))</f>
        <v>1.35</v>
      </c>
      <c r="BN74" s="27">
        <f t="shared" si="20"/>
        <v>0.9105</v>
      </c>
      <c r="BO74" s="27">
        <f t="shared" si="21"/>
        <v>0</v>
      </c>
      <c r="BP74" s="27">
        <f>IF(VLOOKUP($Q74,武学奇术!$A:$ZZ,22,FALSE)=1,0,(1-$BI74))*(1-$BL74)</f>
        <v>0</v>
      </c>
      <c r="BQ74" s="27" cm="1">
        <f t="array" ref="BQ74">SUM(_xlfn.XLOOKUP(R74:AF74,增益!$A:$A,增益!$W:$W,0))+$I$5</f>
        <v>0.11</v>
      </c>
    </row>
    <row r="75" spans="1:69">
      <c r="A75" s="4"/>
      <c r="B75" s="91"/>
      <c r="F75" s="4"/>
      <c r="G75" s="4"/>
      <c r="K75" s="39">
        <f t="shared" si="11"/>
        <v>47138.7268570295</v>
      </c>
      <c r="L75" s="39">
        <f>((($AN75+($AO75-$AN75)*IF(VLOOKUP($Q75,武学奇术!$A:$ZZ,31,FALSE)=1,$F$18,0.5))*$AH75+$AI75)*(1+$AP75)*(1+$AQ75)+(($AS75+($AT75-$AS75)*IF(VLOOKUP($Q75,武学奇术!$A:$ZZ,31,FALSE)=1,$F$18,0.5))*IF($G$1="鸣金",$AJ75,$AH75)+IF($G$1="鸣金",$AK75*1.5,0))*(1+$AU75)*(1+$AV75)+(($AW75+($AX75-$AW75)*IF(VLOOKUP($Q75,武学奇术!$A:$ZZ,31,FALSE)=1,$F$18,0.5))*IF($G$1="裂石",$AJ75,$AH75)+IF($G$1="裂石",$AK75*1.5,0))*(1+$AY75)*(1+$AZ75)+(($BA75+($BB75-$BA75)*IF(VLOOKUP($Q75,武学奇术!$A:$ZZ,31,FALSE)=1,$F$18,0.5))*IF($G$1="牵丝",$AJ75,$AH75)+IF($G$1="牵丝",$AK75*1.5,0))*(1+$BC75)*(1+$BD75)+(($BE75+($BF75-$BE75)*IF(VLOOKUP($Q75,武学奇术!$A:$ZZ,31,FALSE)=1,$F$18,0.5))*IF($G$1="破竹",$AJ75,$AH75)+IF($G$1="破竹",$AK75*1.5,0))*(1+$BG75)*(1+$BH75))*(1+$AL75)*$BK75*$P75*(1+IF(VLOOKUP($Q75,武学奇术!$A:$ZZ,30,FALSE)="蓄力技",$B$21,0))*(1+$BQ75)</f>
        <v>47448.8773504399</v>
      </c>
      <c r="M75" s="39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43983.5087089835</v>
      </c>
      <c r="N75" s="39">
        <f>((($AN75+($AO75-$AN75)*IF(VLOOKUP($Q75,武学奇术!$A:$ZZ,31,FALSE)=1,$F$18,0.5))*$AH75+$AI75)*(1+$AP75)*(1+$AQ75)+(($AS75+($AT75-$AS75)*IF(VLOOKUP($Q75,武学奇术!$A:$ZZ,31,FALSE)=1,$F$18,0.5))*IF($G$1="鸣金",$AJ75,$AH75)+IF($G$1="鸣金",$AK75*1.5,0))*(1+$AU75)*(1+$AV75)+(($AW75+($AX75-$AW75)*IF(VLOOKUP($Q75,武学奇术!$A:$ZZ,31,FALSE)=1,$F$18,0.5))*IF($G$1="裂石",$AJ75,$AH75)+IF($G$1="裂石",$AK75*1.5,0))*(1+$AY75)*(1+$AZ75)+(($BA75+($BB75-$BA75)*IF(VLOOKUP($Q75,武学奇术!$A:$ZZ,31,FALSE)=1,$F$18,0.5))*IF($G$1="牵丝",$AJ75,$AH75)+IF($G$1="牵丝",$AK75*1.5,0))*(1+$BC75)*(1+$BD75)+(($BE75+($BF75-$BE75)*IF(VLOOKUP($Q75,武学奇术!$A:$ZZ,31,FALSE)=1,$F$18,0.5))*IF($G$1="破竹",$AJ75,$AH75)+IF($G$1="破竹",$AK75*1.5,0))*(1+$BG75)*(1+$BH75))*(1+$AL75)*$P75*(1+IF(VLOOKUP($Q75,武学奇术!$A:$ZZ,30,FALSE)="蓄力技",$B$21,0))*(1+$BQ75)</f>
        <v>28932.2422868536</v>
      </c>
      <c r="O75" s="39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25284.1077522379</v>
      </c>
      <c r="P75" s="40">
        <v>1</v>
      </c>
      <c r="Q75" s="41" t="s">
        <v>111</v>
      </c>
      <c r="R75" s="41" t="s">
        <v>93</v>
      </c>
      <c r="S75" s="41" t="s">
        <v>72</v>
      </c>
      <c r="T75" s="41" t="s">
        <v>72</v>
      </c>
      <c r="U75" s="41" t="s">
        <v>72</v>
      </c>
      <c r="V75" s="41" t="s">
        <v>72</v>
      </c>
      <c r="W75" s="41" t="s">
        <v>72</v>
      </c>
      <c r="X75" s="41" t="s">
        <v>165</v>
      </c>
      <c r="Y75" s="41" t="s">
        <v>81</v>
      </c>
      <c r="Z75" s="41" t="s">
        <v>72</v>
      </c>
      <c r="AA75" s="41" t="s">
        <v>72</v>
      </c>
      <c r="AB75" s="41" t="s">
        <v>72</v>
      </c>
      <c r="AC75" s="41" t="s">
        <v>72</v>
      </c>
      <c r="AD75" s="41" t="s">
        <v>72</v>
      </c>
      <c r="AE75" s="41" t="s">
        <v>75</v>
      </c>
      <c r="AF75" s="41" t="s">
        <v>76</v>
      </c>
      <c r="AG75" t="str">
        <f>VLOOKUP($Q75,武学奇术!$A:$ZZ,25,FALSE)</f>
        <v>拳甲</v>
      </c>
      <c r="AH75" s="27">
        <f>VLOOKUP($Q75,武学奇术!$A:$ZZ,26,FALSE)</f>
        <v>2.4421</v>
      </c>
      <c r="AI75" s="28">
        <f>VLOOKUP($Q75,武学奇术!$A:$ZZ,27,FALSE)*(1+IF(OR($AG75=$F$4,$AG75=$F$5),$B$22,0))</f>
        <v>945</v>
      </c>
      <c r="AJ75" s="27">
        <f>VLOOKUP($Q75,武学奇术!$A:$ZZ,28,FALSE)</f>
        <v>3.6634</v>
      </c>
      <c r="AK75" s="28">
        <f>VLOOKUP($Q75,武学奇术!$A:$ZZ,29,FALSE)*(1+IF(OR($AG75=$F$4,$AG75=$F$5),$B$22,0))</f>
        <v>512.4</v>
      </c>
      <c r="AL75" s="27" cm="1">
        <f t="array" ref="AL75">$G$3+IFERROR(VLOOKUP($AG75,$F$4:$G$7,2,FALSE),0)+VLOOKUP($Q75,武学奇术!$A:$ZZ,2,FALSE)+SUM(_xlfn.XLOOKUP($R75:$AF75,增益!$A:$A,增益!$B:$B,0))</f>
        <v>0.3241</v>
      </c>
      <c r="AM75" s="27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3742.006</v>
      </c>
      <c r="AO75" cm="1">
        <f t="array" ref="AO75">$E$10*(1+$AM75)+VLOOKUP($Q75,武学奇术!$A:$ZZ,4,FALSE)+SUM(_xlfn.XLOOKUP($R75:$AF75,增益!$A:$A,增益!$D:$D,0))-$I$2</f>
        <v>3742.006</v>
      </c>
      <c r="AP75" s="33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0.217</v>
      </c>
      <c r="AQ75" s="33" cm="1">
        <f t="array" ref="AQ75">$G$10+VLOOKUP($Q75,武学奇术!$A:$ZZ,7,FALSE)+SUM(_xlfn.XLOOKUP(R75:AF75,增益!$A:$A,增益!$G:$G,0))</f>
        <v>0.09</v>
      </c>
      <c r="AR75" s="27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3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-0.14</v>
      </c>
      <c r="AV75" s="33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33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-0.14</v>
      </c>
      <c r="AZ75" s="33" cm="1">
        <f t="array" ref="AZ75">$G$12+VLOOKUP($Q75,武学奇术!$A:$ZZ,12,FALSE)+SUM(_xlfn.XLOOKUP(R75:AF75,增益!$A:$A,增益!$L:$L,0))</f>
        <v>0</v>
      </c>
      <c r="BA75">
        <f t="shared" si="16"/>
        <v>0</v>
      </c>
      <c r="BB75">
        <f t="shared" si="17"/>
        <v>0</v>
      </c>
      <c r="BC75" s="33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-0.14</v>
      </c>
      <c r="BD75" s="33" cm="1">
        <f t="array" ref="BD75">$G$13+VLOOKUP($Q75,武学奇术!$A:$ZZ,14,FALSE)+SUM(_xlfn.XLOOKUP(R75:AF75,增益!$A:$A,增益!$N:$N,0))</f>
        <v>0</v>
      </c>
      <c r="BE75">
        <f t="shared" si="18"/>
        <v>570.28</v>
      </c>
      <c r="BF75">
        <f t="shared" si="19"/>
        <v>1582.156</v>
      </c>
      <c r="BG75" s="33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0.08</v>
      </c>
      <c r="BH75" s="33" cm="1">
        <f t="array" ref="BH75">$G$14+VLOOKUP($Q75,武学奇术!$A:$ZZ,16,FALSE)+SUM(_xlfn.XLOOKUP(R75:AF75,增益!$A:$A,增益!$P:$P,0))</f>
        <v>0.24</v>
      </c>
      <c r="BI75" s="27">
        <f>MIN(IF(VLOOKUP($Q75,武学奇术!$A:$ZZ,23,FALSE)=1,100%,$B$8),100%)</f>
        <v>1</v>
      </c>
      <c r="BJ75" s="27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+MIN(IF(VLOOKUP($Q75,武学奇术!$A:$ZZ,32,FALSE)=1,IF(VLOOKUP($Q75,武学奇术!$A:$ZZ,24,FALSE)=1,100%,MIN(40%,$B$10+VLOOKUP($Q75,武学奇术!$A:$ZZ,19,FALSE)+SUM(_xlfn.XLOOKUP(R75:AF75,增益!$A:$A,增益!$S:$S,0)))+$B$12+SUM(_xlfn.XLOOKUP(R75:AF75,增益!$A:$A,增益!$V:$V,0))),0),12%)</f>
        <v>0.918</v>
      </c>
      <c r="BK75" s="27" cm="1">
        <f t="array" ref="BK75">1+$B$13+VLOOKUP($Q75,武学奇术!$A:$ZZ,18,FALSE)+SUM(_xlfn.XLOOKUP(R75:AF75,增益!$A:$A,增益!$R:$R,0))</f>
        <v>1.64</v>
      </c>
      <c r="BL75" s="27" cm="1">
        <f t="array" ref="BL75">MAX(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-IF(VLOOKUP($Q75,武学奇术!$A:$ZZ,32,FALSE)=1,12%,0),0)</f>
        <v>0.0895</v>
      </c>
      <c r="BM75" s="27" cm="1">
        <f t="array" ref="BM75">1+$B$14+VLOOKUP($Q75,武学奇术!$A:$ZZ,20,FALSE)+SUM(_xlfn.XLOOKUP(R75:AF75,增益!$A:$A,增益!$T:$T,0))</f>
        <v>1.35</v>
      </c>
      <c r="BN75" s="27">
        <f t="shared" si="20"/>
        <v>0.9105</v>
      </c>
      <c r="BO75" s="27">
        <f t="shared" si="21"/>
        <v>0</v>
      </c>
      <c r="BP75" s="27">
        <f>IF(VLOOKUP($Q75,武学奇术!$A:$ZZ,22,FALSE)=1,0,(1-$BI75))*(1-$BL75)</f>
        <v>0</v>
      </c>
      <c r="BQ75" s="27" cm="1">
        <f t="array" ref="BQ75">SUM(_xlfn.XLOOKUP(R75:AF75,增益!$A:$A,增益!$W:$W,0))+$I$5</f>
        <v>0.11</v>
      </c>
    </row>
    <row r="76" spans="1:69">
      <c r="F76" s="4"/>
      <c r="G76" s="4"/>
      <c r="K76" s="39">
        <f t="shared" si="11"/>
        <v>24875.9197734237</v>
      </c>
      <c r="L76" s="39">
        <f>((($AN76+($AO76-$AN76)*IF(VLOOKUP($Q76,武学奇术!$A:$ZZ,31,FALSE)=1,$F$18,0.5))*$AH76+$AI76)*(1+$AP76)*(1+$AQ76)+(($AS76+($AT76-$AS76)*IF(VLOOKUP($Q76,武学奇术!$A:$ZZ,31,FALSE)=1,$F$18,0.5))*IF($G$1="鸣金",$AJ76,$AH76)+IF($G$1="鸣金",$AK76*1.5,0))*(1+$AU76)*(1+$AV76)+(($AW76+($AX76-$AW76)*IF(VLOOKUP($Q76,武学奇术!$A:$ZZ,31,FALSE)=1,$F$18,0.5))*IF($G$1="裂石",$AJ76,$AH76)+IF($G$1="裂石",$AK76*1.5,0))*(1+$AY76)*(1+$AZ76)+(($BA76+($BB76-$BA76)*IF(VLOOKUP($Q76,武学奇术!$A:$ZZ,31,FALSE)=1,$F$18,0.5))*IF($G$1="牵丝",$AJ76,$AH76)+IF($G$1="牵丝",$AK76*1.5,0))*(1+$BC76)*(1+$BD76)+(($BE76+($BF76-$BE76)*IF(VLOOKUP($Q76,武学奇术!$A:$ZZ,31,FALSE)=1,$F$18,0.5))*IF($G$1="破竹",$AJ76,$AH76)+IF($G$1="破竹",$AK76*1.5,0))*(1+$BG76)*(1+$BH76))*(1+$AL76)*$BK76*$P76*(1+IF(VLOOKUP($Q76,武学奇术!$A:$ZZ,30,FALSE)="蓄力技",$B$21,0))*(1+$BQ76)</f>
        <v>25039.828647211</v>
      </c>
      <c r="M76" s="39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23208.4445825484</v>
      </c>
      <c r="N76" s="39">
        <f>((($AN76+($AO76-$AN76)*IF(VLOOKUP($Q76,武学奇术!$A:$ZZ,31,FALSE)=1,$F$18,0.5))*$AH76+$AI76)*(1+$AP76)*(1+$AQ76)+(($AS76+($AT76-$AS76)*IF(VLOOKUP($Q76,武学奇术!$A:$ZZ,31,FALSE)=1,$F$18,0.5))*IF($G$1="鸣金",$AJ76,$AH76)+IF($G$1="鸣金",$AK76*1.5,0))*(1+$AU76)*(1+$AV76)+(($AW76+($AX76-$AW76)*IF(VLOOKUP($Q76,武学奇术!$A:$ZZ,31,FALSE)=1,$F$18,0.5))*IF($G$1="裂石",$AJ76,$AH76)+IF($G$1="裂石",$AK76*1.5,0))*(1+$AY76)*(1+$AZ76)+(($BA76+($BB76-$BA76)*IF(VLOOKUP($Q76,武学奇术!$A:$ZZ,31,FALSE)=1,$F$18,0.5))*IF($G$1="牵丝",$AJ76,$AH76)+IF($G$1="牵丝",$AK76*1.5,0))*(1+$BC76)*(1+$BD76)+(($BE76+($BF76-$BE76)*IF(VLOOKUP($Q76,武学奇术!$A:$ZZ,31,FALSE)=1,$F$18,0.5))*IF($G$1="破竹",$AJ76,$AH76)+IF($G$1="破竹",$AK76*1.5,0))*(1+$BG76)*(1+$BH76))*(1+$AL76)*$P76*(1+IF(VLOOKUP($Q76,武学奇术!$A:$ZZ,30,FALSE)="蓄力技",$B$21,0))*(1+$BQ76)</f>
        <v>15268.1881995189</v>
      </c>
      <c r="O76" s="39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13344.9359675204</v>
      </c>
      <c r="P76" s="40">
        <v>1</v>
      </c>
      <c r="Q76" s="41" t="s">
        <v>106</v>
      </c>
      <c r="R76" s="41" t="s">
        <v>93</v>
      </c>
      <c r="S76" s="41" t="s">
        <v>72</v>
      </c>
      <c r="T76" s="41" t="s">
        <v>72</v>
      </c>
      <c r="U76" s="41" t="s">
        <v>72</v>
      </c>
      <c r="V76" s="41" t="s">
        <v>72</v>
      </c>
      <c r="W76" s="41" t="s">
        <v>72</v>
      </c>
      <c r="X76" s="41" t="s">
        <v>165</v>
      </c>
      <c r="Y76" s="41" t="s">
        <v>81</v>
      </c>
      <c r="Z76" s="41" t="s">
        <v>72</v>
      </c>
      <c r="AA76" s="41" t="s">
        <v>72</v>
      </c>
      <c r="AB76" s="41" t="s">
        <v>72</v>
      </c>
      <c r="AC76" s="41" t="s">
        <v>72</v>
      </c>
      <c r="AD76" s="41" t="s">
        <v>72</v>
      </c>
      <c r="AE76" s="41" t="s">
        <v>75</v>
      </c>
      <c r="AF76" s="41" t="s">
        <v>76</v>
      </c>
      <c r="AG76" t="str">
        <f>VLOOKUP($Q76,武学奇术!$A:$ZZ,25,FALSE)</f>
        <v>拳甲</v>
      </c>
      <c r="AH76" s="27">
        <f>VLOOKUP($Q76,武学奇术!$A:$ZZ,26,FALSE)</f>
        <v>1.2876</v>
      </c>
      <c r="AI76" s="28">
        <f>VLOOKUP($Q76,武学奇术!$A:$ZZ,27,FALSE)*(1+IF(OR($AG76=$F$4,$AG76=$F$5),$B$22,0))</f>
        <v>501.2</v>
      </c>
      <c r="AJ76" s="27">
        <f>VLOOKUP($Q76,武学奇术!$A:$ZZ,28,FALSE)</f>
        <v>1.9313</v>
      </c>
      <c r="AK76" s="28">
        <f>VLOOKUP($Q76,武学奇术!$A:$ZZ,29,FALSE)*(1+IF(OR($AG76=$F$4,$AG76=$F$5),$B$22,0))</f>
        <v>273</v>
      </c>
      <c r="AL76" s="27" cm="1">
        <f t="array" ref="AL76">$G$3+IFERROR(VLOOKUP($AG76,$F$4:$G$7,2,FALSE),0)+VLOOKUP($Q76,武学奇术!$A:$ZZ,2,FALSE)+SUM(_xlfn.XLOOKUP($R76:$AF76,增益!$A:$A,增益!$B:$B,0))</f>
        <v>0.3241</v>
      </c>
      <c r="AM76" s="27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3742.006</v>
      </c>
      <c r="AO76" cm="1">
        <f t="array" ref="AO76">$E$10*(1+$AM76)+VLOOKUP($Q76,武学奇术!$A:$ZZ,4,FALSE)+SUM(_xlfn.XLOOKUP($R76:$AF76,增益!$A:$A,增益!$D:$D,0))-$I$2</f>
        <v>3742.006</v>
      </c>
      <c r="AP76" s="33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0.217</v>
      </c>
      <c r="AQ76" s="33" cm="1">
        <f t="array" ref="AQ76">$G$10+VLOOKUP($Q76,武学奇术!$A:$ZZ,7,FALSE)+SUM(_xlfn.XLOOKUP(R76:AF76,增益!$A:$A,增益!$G:$G,0))</f>
        <v>0.09</v>
      </c>
      <c r="AR76" s="27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3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-0.14</v>
      </c>
      <c r="AV76" s="33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33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-0.14</v>
      </c>
      <c r="AZ76" s="33" cm="1">
        <f t="array" ref="AZ76">$G$12+VLOOKUP($Q76,武学奇术!$A:$ZZ,12,FALSE)+SUM(_xlfn.XLOOKUP(R76:AF76,增益!$A:$A,增益!$L:$L,0))</f>
        <v>0</v>
      </c>
      <c r="BA76">
        <f t="shared" si="16"/>
        <v>0</v>
      </c>
      <c r="BB76">
        <f t="shared" si="17"/>
        <v>0</v>
      </c>
      <c r="BC76" s="33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-0.14</v>
      </c>
      <c r="BD76" s="33" cm="1">
        <f t="array" ref="BD76">$G$13+VLOOKUP($Q76,武学奇术!$A:$ZZ,14,FALSE)+SUM(_xlfn.XLOOKUP(R76:AF76,增益!$A:$A,增益!$N:$N,0))</f>
        <v>0</v>
      </c>
      <c r="BE76">
        <f t="shared" si="18"/>
        <v>570.28</v>
      </c>
      <c r="BF76">
        <f t="shared" si="19"/>
        <v>1582.156</v>
      </c>
      <c r="BG76" s="33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0.08</v>
      </c>
      <c r="BH76" s="33" cm="1">
        <f t="array" ref="BH76">$G$14+VLOOKUP($Q76,武学奇术!$A:$ZZ,16,FALSE)+SUM(_xlfn.XLOOKUP(R76:AF76,增益!$A:$A,增益!$P:$P,0))</f>
        <v>0.24</v>
      </c>
      <c r="BI76" s="27">
        <f>MIN(IF(VLOOKUP($Q76,武学奇术!$A:$ZZ,23,FALSE)=1,100%,$B$8),100%)</f>
        <v>1</v>
      </c>
      <c r="BJ76" s="27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+MIN(IF(VLOOKUP($Q76,武学奇术!$A:$ZZ,32,FALSE)=1,IF(VLOOKUP($Q76,武学奇术!$A:$ZZ,24,FALSE)=1,100%,MIN(40%,$B$10+VLOOKUP($Q76,武学奇术!$A:$ZZ,19,FALSE)+SUM(_xlfn.XLOOKUP(R76:AF76,增益!$A:$A,增益!$S:$S,0)))+$B$12+SUM(_xlfn.XLOOKUP(R76:AF76,增益!$A:$A,增益!$V:$V,0))),0),12%)</f>
        <v>0.918</v>
      </c>
      <c r="BK76" s="27" cm="1">
        <f t="array" ref="BK76">1+$B$13+VLOOKUP($Q76,武学奇术!$A:$ZZ,18,FALSE)+SUM(_xlfn.XLOOKUP(R76:AF76,增益!$A:$A,增益!$R:$R,0))</f>
        <v>1.64</v>
      </c>
      <c r="BL76" s="27" cm="1">
        <f t="array" ref="BL76">MAX(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-IF(VLOOKUP($Q76,武学奇术!$A:$ZZ,32,FALSE)=1,12%,0),0)</f>
        <v>0.0895</v>
      </c>
      <c r="BM76" s="27" cm="1">
        <f t="array" ref="BM76">1+$B$14+VLOOKUP($Q76,武学奇术!$A:$ZZ,20,FALSE)+SUM(_xlfn.XLOOKUP(R76:AF76,增益!$A:$A,增益!$T:$T,0))</f>
        <v>1.35</v>
      </c>
      <c r="BN76" s="27">
        <f t="shared" si="20"/>
        <v>0.9105</v>
      </c>
      <c r="BO76" s="27">
        <f t="shared" si="21"/>
        <v>0</v>
      </c>
      <c r="BP76" s="27">
        <f>IF(VLOOKUP($Q76,武学奇术!$A:$ZZ,22,FALSE)=1,0,(1-$BI76))*(1-$BL76)</f>
        <v>0</v>
      </c>
      <c r="BQ76" s="27" cm="1">
        <f t="array" ref="BQ76">SUM(_xlfn.XLOOKUP(R76:AF76,增益!$A:$A,增益!$W:$W,0))+$I$5</f>
        <v>0.11</v>
      </c>
    </row>
    <row r="77" spans="1:69">
      <c r="A77" s="4"/>
      <c r="B77" s="91"/>
      <c r="K77" s="39">
        <f t="shared" si="11"/>
        <v>58556.5692180294</v>
      </c>
      <c r="L77" s="39">
        <f>((($AN77+($AO77-$AN77)*IF(VLOOKUP($Q77,武学奇术!$A:$ZZ,31,FALSE)=1,$F$18,0.5))*$AH77+$AI77)*(1+$AP77)*(1+$AQ77)+(($AS77+($AT77-$AS77)*IF(VLOOKUP($Q77,武学奇术!$A:$ZZ,31,FALSE)=1,$F$18,0.5))*IF($G$1="鸣金",$AJ77,$AH77)+IF($G$1="鸣金",$AK77*1.5,0))*(1+$AU77)*(1+$AV77)+(($AW77+($AX77-$AW77)*IF(VLOOKUP($Q77,武学奇术!$A:$ZZ,31,FALSE)=1,$F$18,0.5))*IF($G$1="裂石",$AJ77,$AH77)+IF($G$1="裂石",$AK77*1.5,0))*(1+$AY77)*(1+$AZ77)+(($BA77+($BB77-$BA77)*IF(VLOOKUP($Q77,武学奇术!$A:$ZZ,31,FALSE)=1,$F$18,0.5))*IF($G$1="牵丝",$AJ77,$AH77)+IF($G$1="牵丝",$AK77*1.5,0))*(1+$BC77)*(1+$BD77)+(($BE77+($BF77-$BE77)*IF(VLOOKUP($Q77,武学奇术!$A:$ZZ,31,FALSE)=1,$F$18,0.5))*IF($G$1="破竹",$AJ77,$AH77)+IF($G$1="破竹",$AK77*1.5,0))*(1+$BG77)*(1+$BH77))*(1+$AL77)*$BK77*$P77*(1+IF(VLOOKUP($Q77,武学奇术!$A:$ZZ,30,FALSE)="蓄力技",$B$21,0))*(1+$BQ77)</f>
        <v>59649.1799040454</v>
      </c>
      <c r="M77" s="39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47441.2392781681</v>
      </c>
      <c r="N77" s="39">
        <f>((($AN77+($AO77-$AN77)*IF(VLOOKUP($Q77,武学奇术!$A:$ZZ,31,FALSE)=1,$F$18,0.5))*$AH77+$AI77)*(1+$AP77)*(1+$AQ77)+(($AS77+($AT77-$AS77)*IF(VLOOKUP($Q77,武学奇术!$A:$ZZ,31,FALSE)=1,$F$18,0.5))*IF($G$1="鸣金",$AJ77,$AH77)+IF($G$1="鸣金",$AK77*1.5,0))*(1+$AU77)*(1+$AV77)+(($AW77+($AX77-$AW77)*IF(VLOOKUP($Q77,武学奇术!$A:$ZZ,31,FALSE)=1,$F$18,0.5))*IF($G$1="裂石",$AJ77,$AH77)+IF($G$1="裂石",$AK77*1.5,0))*(1+$AY77)*(1+$AZ77)+(($BA77+($BB77-$BA77)*IF(VLOOKUP($Q77,武学奇术!$A:$ZZ,31,FALSE)=1,$F$18,0.5))*IF($G$1="牵丝",$AJ77,$AH77)+IF($G$1="牵丝",$AK77*1.5,0))*(1+$BC77)*(1+$BD77)+(($BE77+($BF77-$BE77)*IF(VLOOKUP($Q77,武学奇术!$A:$ZZ,31,FALSE)=1,$F$18,0.5))*IF($G$1="破竹",$AJ77,$AH77)+IF($G$1="破竹",$AK77*1.5,0))*(1+$BG77)*(1+$BH77))*(1+$AL77)*$P77*(1+IF(VLOOKUP($Q77,武学奇术!$A:$ZZ,30,FALSE)="蓄力技",$B$21,0))*(1+$BQ77)</f>
        <v>30746.9999505389</v>
      </c>
      <c r="O77" s="39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26352.3411765088</v>
      </c>
      <c r="P77" s="40">
        <v>1</v>
      </c>
      <c r="Q77" s="41" t="s">
        <v>108</v>
      </c>
      <c r="R77" s="41" t="s">
        <v>93</v>
      </c>
      <c r="S77" s="41" t="s">
        <v>72</v>
      </c>
      <c r="T77" s="41" t="s">
        <v>72</v>
      </c>
      <c r="U77" s="41" t="s">
        <v>72</v>
      </c>
      <c r="V77" s="41" t="s">
        <v>72</v>
      </c>
      <c r="W77" s="41" t="s">
        <v>72</v>
      </c>
      <c r="X77" s="41" t="s">
        <v>165</v>
      </c>
      <c r="Y77" s="41" t="s">
        <v>81</v>
      </c>
      <c r="Z77" s="41" t="s">
        <v>101</v>
      </c>
      <c r="AA77" s="41" t="s">
        <v>72</v>
      </c>
      <c r="AB77" s="41" t="s">
        <v>72</v>
      </c>
      <c r="AC77" s="41" t="s">
        <v>72</v>
      </c>
      <c r="AD77" s="41" t="s">
        <v>72</v>
      </c>
      <c r="AE77" s="41" t="s">
        <v>75</v>
      </c>
      <c r="AF77" s="41" t="s">
        <v>76</v>
      </c>
      <c r="AG77" t="str">
        <f>VLOOKUP($Q77,武学奇术!$A:$ZZ,25,FALSE)</f>
        <v>拳甲</v>
      </c>
      <c r="AH77" s="27">
        <f>VLOOKUP($Q77,武学奇术!$A:$ZZ,26,FALSE)</f>
        <v>2.33376</v>
      </c>
      <c r="AI77" s="28">
        <f>VLOOKUP($Q77,武学奇术!$A:$ZZ,27,FALSE)*(1+IF(OR($AG77=$F$4,$AG77=$F$5),$B$22,0))</f>
        <v>0</v>
      </c>
      <c r="AJ77" s="27">
        <f>VLOOKUP($Q77,武学奇术!$A:$ZZ,28,FALSE)</f>
        <v>3.50064</v>
      </c>
      <c r="AK77" s="28">
        <f>VLOOKUP($Q77,武学奇术!$A:$ZZ,29,FALSE)*(1+IF(OR($AG77=$F$4,$AG77=$F$5),$B$22,0))</f>
        <v>0</v>
      </c>
      <c r="AL77" s="27" cm="1">
        <f t="array" ref="AL77">$G$3+IFERROR(VLOOKUP($AG77,$F$4:$G$7,2,FALSE),0)+VLOOKUP($Q77,武学奇术!$A:$ZZ,2,FALSE)+SUM(_xlfn.XLOOKUP($R77:$AF77,增益!$A:$A,增益!$B:$B,0))</f>
        <v>0.6241</v>
      </c>
      <c r="AM77" s="27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3742.006</v>
      </c>
      <c r="AO77" cm="1">
        <f t="array" ref="AO77">$E$10*(1+$AM77)+VLOOKUP($Q77,武学奇术!$A:$ZZ,4,FALSE)+SUM(_xlfn.XLOOKUP($R77:$AF77,增益!$A:$A,增益!$D:$D,0))-$I$2</f>
        <v>3742.006</v>
      </c>
      <c r="AP77" s="33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0.247</v>
      </c>
      <c r="AQ77" s="33" cm="1">
        <f t="array" ref="AQ77">$G$10+VLOOKUP($Q77,武学奇术!$A:$ZZ,7,FALSE)+SUM(_xlfn.XLOOKUP(R77:AF77,增益!$A:$A,增益!$G:$G,0))</f>
        <v>0.09</v>
      </c>
      <c r="AR77" s="27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3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-0.08</v>
      </c>
      <c r="AV77" s="33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33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-0.08</v>
      </c>
      <c r="AZ77" s="33" cm="1">
        <f t="array" ref="AZ77">$G$12+VLOOKUP($Q77,武学奇术!$A:$ZZ,12,FALSE)+SUM(_xlfn.XLOOKUP(R77:AF77,增益!$A:$A,增益!$L:$L,0))</f>
        <v>0</v>
      </c>
      <c r="BA77">
        <f t="shared" si="16"/>
        <v>0</v>
      </c>
      <c r="BB77">
        <f t="shared" si="17"/>
        <v>0</v>
      </c>
      <c r="BC77" s="33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-0.08</v>
      </c>
      <c r="BD77" s="33" cm="1">
        <f t="array" ref="BD77">$G$13+VLOOKUP($Q77,武学奇术!$A:$ZZ,14,FALSE)+SUM(_xlfn.XLOOKUP(R77:AF77,增益!$A:$A,增益!$N:$N,0))</f>
        <v>0</v>
      </c>
      <c r="BE77">
        <f t="shared" si="18"/>
        <v>570.28</v>
      </c>
      <c r="BF77">
        <f t="shared" si="19"/>
        <v>1582.156</v>
      </c>
      <c r="BG77" s="33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0.11</v>
      </c>
      <c r="BH77" s="33" cm="1">
        <f t="array" ref="BH77">$G$14+VLOOKUP($Q77,武学奇术!$A:$ZZ,16,FALSE)+SUM(_xlfn.XLOOKUP(R77:AF77,增益!$A:$A,增益!$P:$P,0))</f>
        <v>0.24</v>
      </c>
      <c r="BI77" s="27">
        <f>MIN(IF(VLOOKUP($Q77,武学奇术!$A:$ZZ,23,FALSE)=1,100%,$B$8),100%)</f>
        <v>1</v>
      </c>
      <c r="BJ77" s="27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+MIN(IF(VLOOKUP($Q77,武学奇术!$A:$ZZ,32,FALSE)=1,IF(VLOOKUP($Q77,武学奇术!$A:$ZZ,24,FALSE)=1,100%,MIN(40%,$B$10+VLOOKUP($Q77,武学奇术!$A:$ZZ,19,FALSE)+SUM(_xlfn.XLOOKUP(R77:AF77,增益!$A:$A,增益!$S:$S,0)))+$B$12+SUM(_xlfn.XLOOKUP(R77:AF77,增益!$A:$A,增益!$V:$V,0))),0),12%)</f>
        <v>0.918</v>
      </c>
      <c r="BK77" s="27" cm="1">
        <f t="array" ref="BK77">1+$B$13+VLOOKUP($Q77,武学奇术!$A:$ZZ,18,FALSE)+SUM(_xlfn.XLOOKUP(R77:AF77,增益!$A:$A,增益!$R:$R,0))</f>
        <v>1.94</v>
      </c>
      <c r="BL77" s="27" cm="1">
        <f t="array" ref="BL77">MAX(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-IF(VLOOKUP($Q77,武学奇术!$A:$ZZ,32,FALSE)=1,12%,0),0)</f>
        <v>0.0895</v>
      </c>
      <c r="BM77" s="27" cm="1">
        <f t="array" ref="BM77">1+$B$14+VLOOKUP($Q77,武学奇术!$A:$ZZ,20,FALSE)+SUM(_xlfn.XLOOKUP(R77:AF77,增益!$A:$A,增益!$T:$T,0))</f>
        <v>1.35</v>
      </c>
      <c r="BN77" s="27">
        <f t="shared" si="20"/>
        <v>0.9105</v>
      </c>
      <c r="BO77" s="27">
        <f t="shared" si="21"/>
        <v>0</v>
      </c>
      <c r="BP77" s="27">
        <f>IF(VLOOKUP($Q77,武学奇术!$A:$ZZ,22,FALSE)=1,0,(1-$BI77))*(1-$BL77)</f>
        <v>0</v>
      </c>
      <c r="BQ77" s="27" cm="1">
        <f t="array" ref="BQ77">SUM(_xlfn.XLOOKUP(R77:AF77,增益!$A:$A,增益!$W:$W,0))+$I$5</f>
        <v>0.11</v>
      </c>
    </row>
    <row r="78" spans="1:69">
      <c r="A78" s="4"/>
      <c r="B78" s="4"/>
      <c r="K78" s="39">
        <f t="shared" si="11"/>
        <v>8403.31063576155</v>
      </c>
      <c r="L78" s="39">
        <f>((($AN78+($AO78-$AN78)*IF(VLOOKUP($Q78,武学奇术!$A:$ZZ,31,FALSE)=1,$F$18,0.5))*$AH78+$AI78)*(1+$AP78)*(1+$AQ78)+(($AS78+($AT78-$AS78)*IF(VLOOKUP($Q78,武学奇术!$A:$ZZ,31,FALSE)=1,$F$18,0.5))*IF($G$1="鸣金",$AJ78,$AH78)+IF($G$1="鸣金",$AK78*1.5,0))*(1+$AU78)*(1+$AV78)+(($AW78+($AX78-$AW78)*IF(VLOOKUP($Q78,武学奇术!$A:$ZZ,31,FALSE)=1,$F$18,0.5))*IF($G$1="裂石",$AJ78,$AH78)+IF($G$1="裂石",$AK78*1.5,0))*(1+$AY78)*(1+$AZ78)+(($BA78+($BB78-$BA78)*IF(VLOOKUP($Q78,武学奇术!$A:$ZZ,31,FALSE)=1,$F$18,0.5))*IF($G$1="牵丝",$AJ78,$AH78)+IF($G$1="牵丝",$AK78*1.5,0))*(1+$BC78)*(1+$BD78)+(($BE78+($BF78-$BE78)*IF(VLOOKUP($Q78,武学奇术!$A:$ZZ,31,FALSE)=1,$F$18,0.5))*IF($G$1="破竹",$AJ78,$AH78)+IF($G$1="破竹",$AK78*1.5,0))*(1+$BG78)*(1+$BH78))*(1+$AL78)*$BK78*$P78*(1+IF(VLOOKUP($Q78,武学奇术!$A:$ZZ,30,FALSE)="蓄力技",$B$21,0))*(1+$BQ78)</f>
        <v>8458.69405742259</v>
      </c>
      <c r="M78" s="39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7839.88487685224</v>
      </c>
      <c r="N78" s="39">
        <f>((($AN78+($AO78-$AN78)*IF(VLOOKUP($Q78,武学奇术!$A:$ZZ,31,FALSE)=1,$F$18,0.5))*$AH78+$AI78)*(1+$AP78)*(1+$AQ78)+(($AS78+($AT78-$AS78)*IF(VLOOKUP($Q78,武学奇术!$A:$ZZ,31,FALSE)=1,$F$18,0.5))*IF($G$1="鸣金",$AJ78,$AH78)+IF($G$1="鸣金",$AK78*1.5,0))*(1+$AU78)*(1+$AV78)+(($AW78+($AX78-$AW78)*IF(VLOOKUP($Q78,武学奇术!$A:$ZZ,31,FALSE)=1,$F$18,0.5))*IF($G$1="裂石",$AJ78,$AH78)+IF($G$1="裂石",$AK78*1.5,0))*(1+$AY78)*(1+$AZ78)+(($BA78+($BB78-$BA78)*IF(VLOOKUP($Q78,武学奇术!$A:$ZZ,31,FALSE)=1,$F$18,0.5))*IF($G$1="牵丝",$AJ78,$AH78)+IF($G$1="牵丝",$AK78*1.5,0))*(1+$BC78)*(1+$BD78)+(($BE78+($BF78-$BE78)*IF(VLOOKUP($Q78,武学奇术!$A:$ZZ,31,FALSE)=1,$F$18,0.5))*IF($G$1="破竹",$AJ78,$AH78)+IF($G$1="破竹",$AK78*1.5,0))*(1+$BG78)*(1+$BH78))*(1+$AL78)*$P78*(1+IF(VLOOKUP($Q78,武学奇术!$A:$ZZ,30,FALSE)="蓄力技",$B$21,0))*(1+$BQ78)</f>
        <v>5157.74027891622</v>
      </c>
      <c r="O78" s="39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4508.15842683078</v>
      </c>
      <c r="P78" s="40">
        <v>1</v>
      </c>
      <c r="Q78" s="41" t="s">
        <v>182</v>
      </c>
      <c r="R78" s="41" t="s">
        <v>93</v>
      </c>
      <c r="S78" s="41" t="s">
        <v>72</v>
      </c>
      <c r="T78" s="41" t="s">
        <v>72</v>
      </c>
      <c r="U78" s="41" t="s">
        <v>72</v>
      </c>
      <c r="V78" s="41" t="s">
        <v>72</v>
      </c>
      <c r="W78" s="41" t="s">
        <v>72</v>
      </c>
      <c r="X78" s="41" t="s">
        <v>165</v>
      </c>
      <c r="Y78" s="41" t="s">
        <v>81</v>
      </c>
      <c r="Z78" s="41" t="s">
        <v>72</v>
      </c>
      <c r="AA78" s="41" t="s">
        <v>72</v>
      </c>
      <c r="AB78" s="41" t="s">
        <v>72</v>
      </c>
      <c r="AC78" s="41" t="s">
        <v>72</v>
      </c>
      <c r="AD78" s="41" t="s">
        <v>72</v>
      </c>
      <c r="AE78" s="41" t="s">
        <v>75</v>
      </c>
      <c r="AF78" s="41" t="s">
        <v>76</v>
      </c>
      <c r="AG78" t="str">
        <f>VLOOKUP($Q78,武学奇术!$A:$ZZ,25,FALSE)</f>
        <v>拳甲</v>
      </c>
      <c r="AH78" s="27">
        <f>VLOOKUP($Q78,武学奇术!$A:$ZZ,26,FALSE)</f>
        <v>0.4349</v>
      </c>
      <c r="AI78" s="28">
        <f>VLOOKUP($Q78,武学奇术!$A:$ZZ,27,FALSE)*(1+IF(OR($AG78=$F$4,$AG78=$F$5),$B$22,0))</f>
        <v>169.4</v>
      </c>
      <c r="AJ78" s="27">
        <f>VLOOKUP($Q78,武学奇术!$A:$ZZ,28,FALSE)</f>
        <v>0.6523</v>
      </c>
      <c r="AK78" s="28">
        <f>VLOOKUP($Q78,武学奇术!$A:$ZZ,29,FALSE)*(1+IF(OR($AG78=$F$4,$AG78=$F$5),$B$22,0))</f>
        <v>92.4</v>
      </c>
      <c r="AL78" s="27" cm="1">
        <f t="array" ref="AL78">$G$3+IFERROR(VLOOKUP($AG78,$F$4:$G$7,2,FALSE),0)+VLOOKUP($Q78,武学奇术!$A:$ZZ,2,FALSE)+SUM(_xlfn.XLOOKUP($R78:$AF78,增益!$A:$A,增益!$B:$B,0))</f>
        <v>0.3241</v>
      </c>
      <c r="AM78" s="27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3742.006</v>
      </c>
      <c r="AO78" cm="1">
        <f t="array" ref="AO78">$E$10*(1+$AM78)+VLOOKUP($Q78,武学奇术!$A:$ZZ,4,FALSE)+SUM(_xlfn.XLOOKUP($R78:$AF78,增益!$A:$A,增益!$D:$D,0))-$I$2</f>
        <v>3742.006</v>
      </c>
      <c r="AP78" s="33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0.217</v>
      </c>
      <c r="AQ78" s="33" cm="1">
        <f t="array" ref="AQ78">$G$10+VLOOKUP($Q78,武学奇术!$A:$ZZ,7,FALSE)+SUM(_xlfn.XLOOKUP(R78:AF78,增益!$A:$A,增益!$G:$G,0))</f>
        <v>0.09</v>
      </c>
      <c r="AR78" s="27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3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-0.14</v>
      </c>
      <c r="AV78" s="33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33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-0.14</v>
      </c>
      <c r="AZ78" s="33" cm="1">
        <f t="array" ref="AZ78">$G$12+VLOOKUP($Q78,武学奇术!$A:$ZZ,12,FALSE)+SUM(_xlfn.XLOOKUP(R78:AF78,增益!$A:$A,增益!$L:$L,0))</f>
        <v>0</v>
      </c>
      <c r="BA78">
        <f t="shared" si="16"/>
        <v>0</v>
      </c>
      <c r="BB78">
        <f t="shared" si="17"/>
        <v>0</v>
      </c>
      <c r="BC78" s="33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-0.14</v>
      </c>
      <c r="BD78" s="33" cm="1">
        <f t="array" ref="BD78">$G$13+VLOOKUP($Q78,武学奇术!$A:$ZZ,14,FALSE)+SUM(_xlfn.XLOOKUP(R78:AF78,增益!$A:$A,增益!$N:$N,0))</f>
        <v>0</v>
      </c>
      <c r="BE78">
        <f t="shared" si="18"/>
        <v>570.28</v>
      </c>
      <c r="BF78">
        <f t="shared" si="19"/>
        <v>1582.156</v>
      </c>
      <c r="BG78" s="33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0.08</v>
      </c>
      <c r="BH78" s="33" cm="1">
        <f t="array" ref="BH78">$G$14+VLOOKUP($Q78,武学奇术!$A:$ZZ,16,FALSE)+SUM(_xlfn.XLOOKUP(R78:AF78,增益!$A:$A,增益!$P:$P,0))</f>
        <v>0.24</v>
      </c>
      <c r="BI78" s="27">
        <f>MIN(IF(VLOOKUP($Q78,武学奇术!$A:$ZZ,23,FALSE)=1,100%,$B$8),100%)</f>
        <v>1</v>
      </c>
      <c r="BJ78" s="27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+MIN(IF(VLOOKUP($Q78,武学奇术!$A:$ZZ,32,FALSE)=1,IF(VLOOKUP($Q78,武学奇术!$A:$ZZ,24,FALSE)=1,100%,MIN(40%,$B$10+VLOOKUP($Q78,武学奇术!$A:$ZZ,19,FALSE)+SUM(_xlfn.XLOOKUP(R78:AF78,增益!$A:$A,增益!$S:$S,0)))+$B$12+SUM(_xlfn.XLOOKUP(R78:AF78,增益!$A:$A,增益!$V:$V,0))),0),12%)</f>
        <v>0.918</v>
      </c>
      <c r="BK78" s="27" cm="1">
        <f t="array" ref="BK78">1+$B$13+VLOOKUP($Q78,武学奇术!$A:$ZZ,18,FALSE)+SUM(_xlfn.XLOOKUP(R78:AF78,增益!$A:$A,增益!$R:$R,0))</f>
        <v>1.64</v>
      </c>
      <c r="BL78" s="27" cm="1">
        <f t="array" ref="BL78">MAX(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-IF(VLOOKUP($Q78,武学奇术!$A:$ZZ,32,FALSE)=1,12%,0),0)</f>
        <v>0.0895</v>
      </c>
      <c r="BM78" s="27" cm="1">
        <f t="array" ref="BM78">1+$B$14+VLOOKUP($Q78,武学奇术!$A:$ZZ,20,FALSE)+SUM(_xlfn.XLOOKUP(R78:AF78,增益!$A:$A,增益!$T:$T,0))</f>
        <v>1.35</v>
      </c>
      <c r="BN78" s="27">
        <f t="shared" si="20"/>
        <v>0.9105</v>
      </c>
      <c r="BO78" s="27">
        <f t="shared" si="21"/>
        <v>0</v>
      </c>
      <c r="BP78" s="27">
        <f>IF(VLOOKUP($Q78,武学奇术!$A:$ZZ,22,FALSE)=1,0,(1-$BI78))*(1-$BL78)</f>
        <v>0</v>
      </c>
      <c r="BQ78" s="27" cm="1">
        <f t="array" ref="BQ78">SUM(_xlfn.XLOOKUP(R78:AF78,增益!$A:$A,增益!$W:$W,0))+$I$5</f>
        <v>0.11</v>
      </c>
    </row>
    <row r="79" spans="1:69">
      <c r="A79" s="4"/>
      <c r="B79" s="4"/>
      <c r="K79" s="39">
        <f t="shared" si="11"/>
        <v>11044.0380000096</v>
      </c>
      <c r="L79" s="39">
        <f>((($AN79+($AO79-$AN79)*IF(VLOOKUP($Q79,武学奇术!$A:$ZZ,31,FALSE)=1,$F$18,0.5))*$AH79+$AI79)*(1+$AP79)*(1+$AQ79)+(($AS79+($AT79-$AS79)*IF(VLOOKUP($Q79,武学奇术!$A:$ZZ,31,FALSE)=1,$F$18,0.5))*IF($G$1="鸣金",$AJ79,$AH79)+IF($G$1="鸣金",$AK79*1.5,0))*(1+$AU79)*(1+$AV79)+(($AW79+($AX79-$AW79)*IF(VLOOKUP($Q79,武学奇术!$A:$ZZ,31,FALSE)=1,$F$18,0.5))*IF($G$1="裂石",$AJ79,$AH79)+IF($G$1="裂石",$AK79*1.5,0))*(1+$AY79)*(1+$AZ79)+(($BA79+($BB79-$BA79)*IF(VLOOKUP($Q79,武学奇术!$A:$ZZ,31,FALSE)=1,$F$18,0.5))*IF($G$1="牵丝",$AJ79,$AH79)+IF($G$1="牵丝",$AK79*1.5,0))*(1+$BC79)*(1+$BD79)+(($BE79+($BF79-$BE79)*IF(VLOOKUP($Q79,武学奇术!$A:$ZZ,31,FALSE)=1,$F$18,0.5))*IF($G$1="破竹",$AJ79,$AH79)+IF($G$1="破竹",$AK79*1.5,0))*(1+$BG79)*(1+$BH79))*(1+$AL79)*$BK79*$P79*(1+IF(VLOOKUP($Q79,武学奇术!$A:$ZZ,30,FALSE)="蓄力技",$B$21,0))*(1+$BQ79)</f>
        <v>11116.8847807922</v>
      </c>
      <c r="M79" s="39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10302.9542692542</v>
      </c>
      <c r="N79" s="39">
        <f>((($AN79+($AO79-$AN79)*IF(VLOOKUP($Q79,武学奇术!$A:$ZZ,31,FALSE)=1,$F$18,0.5))*$AH79+$AI79)*(1+$AP79)*(1+$AQ79)+(($AS79+($AT79-$AS79)*IF(VLOOKUP($Q79,武学奇术!$A:$ZZ,31,FALSE)=1,$F$18,0.5))*IF($G$1="鸣金",$AJ79,$AH79)+IF($G$1="鸣金",$AK79*1.5,0))*(1+$AU79)*(1+$AV79)+(($AW79+($AX79-$AW79)*IF(VLOOKUP($Q79,武学奇术!$A:$ZZ,31,FALSE)=1,$F$18,0.5))*IF($G$1="裂石",$AJ79,$AH79)+IF($G$1="裂石",$AK79*1.5,0))*(1+$AY79)*(1+$AZ79)+(($BA79+($BB79-$BA79)*IF(VLOOKUP($Q79,武学奇术!$A:$ZZ,31,FALSE)=1,$F$18,0.5))*IF($G$1="牵丝",$AJ79,$AH79)+IF($G$1="牵丝",$AK79*1.5,0))*(1+$BC79)*(1+$BD79)+(($BE79+($BF79-$BE79)*IF(VLOOKUP($Q79,武学奇术!$A:$ZZ,31,FALSE)=1,$F$18,0.5))*IF($G$1="破竹",$AJ79,$AH79)+IF($G$1="破竹",$AK79*1.5,0))*(1+$BG79)*(1+$BH79))*(1+$AL79)*$P79*(1+IF(VLOOKUP($Q79,武学奇术!$A:$ZZ,30,FALSE)="蓄力技",$B$21,0))*(1+$BQ79)</f>
        <v>6778.58828097086</v>
      </c>
      <c r="O79" s="39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5925.35858471637</v>
      </c>
      <c r="P79" s="40">
        <v>1</v>
      </c>
      <c r="Q79" s="41" t="s">
        <v>117</v>
      </c>
      <c r="R79" s="41" t="s">
        <v>93</v>
      </c>
      <c r="S79" s="41" t="s">
        <v>72</v>
      </c>
      <c r="T79" s="41" t="s">
        <v>72</v>
      </c>
      <c r="U79" s="41" t="s">
        <v>72</v>
      </c>
      <c r="V79" s="41" t="s">
        <v>72</v>
      </c>
      <c r="W79" s="41" t="s">
        <v>72</v>
      </c>
      <c r="X79" s="41" t="s">
        <v>165</v>
      </c>
      <c r="Y79" s="41" t="s">
        <v>81</v>
      </c>
      <c r="Z79" s="41" t="s">
        <v>72</v>
      </c>
      <c r="AA79" s="41" t="s">
        <v>72</v>
      </c>
      <c r="AB79" s="41" t="s">
        <v>72</v>
      </c>
      <c r="AC79" s="41" t="s">
        <v>72</v>
      </c>
      <c r="AD79" s="41" t="s">
        <v>72</v>
      </c>
      <c r="AE79" s="41" t="s">
        <v>75</v>
      </c>
      <c r="AF79" s="41" t="s">
        <v>76</v>
      </c>
      <c r="AG79" t="str">
        <f>VLOOKUP($Q79,武学奇术!$A:$ZZ,25,FALSE)</f>
        <v>拳甲</v>
      </c>
      <c r="AH79" s="27">
        <f>VLOOKUP($Q79,武学奇术!$A:$ZZ,26,FALSE)</f>
        <v>0.5712</v>
      </c>
      <c r="AI79" s="28">
        <f>VLOOKUP($Q79,武学奇术!$A:$ZZ,27,FALSE)*(1+IF(OR($AG79=$F$4,$AG79=$F$5),$B$22,0))</f>
        <v>224</v>
      </c>
      <c r="AJ79" s="27">
        <f>VLOOKUP($Q79,武学奇术!$A:$ZZ,28,FALSE)</f>
        <v>0.8568</v>
      </c>
      <c r="AK79" s="28">
        <f>VLOOKUP($Q79,武学奇术!$A:$ZZ,29,FALSE)*(1+IF(OR($AG79=$F$4,$AG79=$F$5),$B$22,0))</f>
        <v>121.8</v>
      </c>
      <c r="AL79" s="27" cm="1">
        <f t="array" ref="AL79">$G$3+IFERROR(VLOOKUP($AG79,$F$4:$G$7,2,FALSE),0)+VLOOKUP($Q79,武学奇术!$A:$ZZ,2,FALSE)+SUM(_xlfn.XLOOKUP($R79:$AF79,增益!$A:$A,增益!$B:$B,0))</f>
        <v>0.3241</v>
      </c>
      <c r="AM79" s="27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3742.006</v>
      </c>
      <c r="AO79" cm="1">
        <f t="array" ref="AO79">$E$10*(1+$AM79)+VLOOKUP($Q79,武学奇术!$A:$ZZ,4,FALSE)+SUM(_xlfn.XLOOKUP($R79:$AF79,增益!$A:$A,增益!$D:$D,0))-$I$2</f>
        <v>3742.006</v>
      </c>
      <c r="AP79" s="33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0.217</v>
      </c>
      <c r="AQ79" s="33" cm="1">
        <f t="array" ref="AQ79">$G$10+VLOOKUP($Q79,武学奇术!$A:$ZZ,7,FALSE)+SUM(_xlfn.XLOOKUP(R79:AF79,增益!$A:$A,增益!$G:$G,0))</f>
        <v>0.09</v>
      </c>
      <c r="AR79" s="27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3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-0.14</v>
      </c>
      <c r="AV79" s="33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33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-0.14</v>
      </c>
      <c r="AZ79" s="33" cm="1">
        <f t="array" ref="AZ79">$G$12+VLOOKUP($Q79,武学奇术!$A:$ZZ,12,FALSE)+SUM(_xlfn.XLOOKUP(R79:AF79,增益!$A:$A,增益!$L:$L,0))</f>
        <v>0</v>
      </c>
      <c r="BA79">
        <f t="shared" si="16"/>
        <v>0</v>
      </c>
      <c r="BB79">
        <f t="shared" si="17"/>
        <v>0</v>
      </c>
      <c r="BC79" s="33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-0.14</v>
      </c>
      <c r="BD79" s="33" cm="1">
        <f t="array" ref="BD79">$G$13+VLOOKUP($Q79,武学奇术!$A:$ZZ,14,FALSE)+SUM(_xlfn.XLOOKUP(R79:AF79,增益!$A:$A,增益!$N:$N,0))</f>
        <v>0</v>
      </c>
      <c r="BE79">
        <f t="shared" si="18"/>
        <v>570.28</v>
      </c>
      <c r="BF79">
        <f t="shared" si="19"/>
        <v>1582.156</v>
      </c>
      <c r="BG79" s="33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0.08</v>
      </c>
      <c r="BH79" s="33" cm="1">
        <f t="array" ref="BH79">$G$14+VLOOKUP($Q79,武学奇术!$A:$ZZ,16,FALSE)+SUM(_xlfn.XLOOKUP(R79:AF79,增益!$A:$A,增益!$P:$P,0))</f>
        <v>0.24</v>
      </c>
      <c r="BI79" s="27">
        <f>MIN(IF(VLOOKUP($Q79,武学奇术!$A:$ZZ,23,FALSE)=1,100%,$B$8),100%)</f>
        <v>1</v>
      </c>
      <c r="BJ79" s="27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+MIN(IF(VLOOKUP($Q79,武学奇术!$A:$ZZ,32,FALSE)=1,IF(VLOOKUP($Q79,武学奇术!$A:$ZZ,24,FALSE)=1,100%,MIN(40%,$B$10+VLOOKUP($Q79,武学奇术!$A:$ZZ,19,FALSE)+SUM(_xlfn.XLOOKUP(R79:AF79,增益!$A:$A,增益!$S:$S,0)))+$B$12+SUM(_xlfn.XLOOKUP(R79:AF79,增益!$A:$A,增益!$V:$V,0))),0),12%)</f>
        <v>0.918</v>
      </c>
      <c r="BK79" s="27" cm="1">
        <f t="array" ref="BK79">1+$B$13+VLOOKUP($Q79,武学奇术!$A:$ZZ,18,FALSE)+SUM(_xlfn.XLOOKUP(R79:AF79,增益!$A:$A,增益!$R:$R,0))</f>
        <v>1.64</v>
      </c>
      <c r="BL79" s="27" cm="1">
        <f t="array" ref="BL79">MAX(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-IF(VLOOKUP($Q79,武学奇术!$A:$ZZ,32,FALSE)=1,12%,0),0)</f>
        <v>0.0895</v>
      </c>
      <c r="BM79" s="27" cm="1">
        <f t="array" ref="BM79">1+$B$14+VLOOKUP($Q79,武学奇术!$A:$ZZ,20,FALSE)+SUM(_xlfn.XLOOKUP(R79:AF79,增益!$A:$A,增益!$T:$T,0))</f>
        <v>1.35</v>
      </c>
      <c r="BN79" s="27">
        <f t="shared" si="20"/>
        <v>0.9105</v>
      </c>
      <c r="BO79" s="27">
        <f t="shared" si="21"/>
        <v>0</v>
      </c>
      <c r="BP79" s="27">
        <f>IF(VLOOKUP($Q79,武学奇术!$A:$ZZ,22,FALSE)=1,0,(1-$BI79))*(1-$BL79)</f>
        <v>0</v>
      </c>
      <c r="BQ79" s="27" cm="1">
        <f t="array" ref="BQ79">SUM(_xlfn.XLOOKUP(R79:AF79,增益!$A:$A,增益!$W:$W,0))+$I$5</f>
        <v>0.11</v>
      </c>
    </row>
    <row r="80" spans="1:69">
      <c r="A80" s="4"/>
      <c r="B80" s="91"/>
      <c r="K80" s="39">
        <f t="shared" si="11"/>
        <v>24273.2140523713</v>
      </c>
      <c r="L80" s="39">
        <f>((($AN80+($AO80-$AN80)*IF(VLOOKUP($Q80,武学奇术!$A:$ZZ,31,FALSE)=1,$F$18,0.5))*$AH80+$AI80)*(1+$AP80)*(1+$AQ80)+(($AS80+($AT80-$AS80)*IF(VLOOKUP($Q80,武学奇术!$A:$ZZ,31,FALSE)=1,$F$18,0.5))*IF($G$1="鸣金",$AJ80,$AH80)+IF($G$1="鸣金",$AK80*1.5,0))*(1+$AU80)*(1+$AV80)+(($AW80+($AX80-$AW80)*IF(VLOOKUP($Q80,武学奇术!$A:$ZZ,31,FALSE)=1,$F$18,0.5))*IF($G$1="裂石",$AJ80,$AH80)+IF($G$1="裂石",$AK80*1.5,0))*(1+$AY80)*(1+$AZ80)+(($BA80+($BB80-$BA80)*IF(VLOOKUP($Q80,武学奇术!$A:$ZZ,31,FALSE)=1,$F$18,0.5))*IF($G$1="牵丝",$AJ80,$AH80)+IF($G$1="牵丝",$AK80*1.5,0))*(1+$BC80)*(1+$BD80)+(($BE80+($BF80-$BE80)*IF(VLOOKUP($Q80,武学奇术!$A:$ZZ,31,FALSE)=1,$F$18,0.5))*IF($G$1="破竹",$AJ80,$AH80)+IF($G$1="破竹",$AK80*1.5,0))*(1+$BG80)*(1+$BH80))*(1+$AL80)*$BK80*$P80*(1+IF(VLOOKUP($Q80,武学奇术!$A:$ZZ,30,FALSE)="蓄力技",$B$21,0))*(1+$BQ80)</f>
        <v>24444.9208929262</v>
      </c>
      <c r="M80" s="39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22526.4087079556</v>
      </c>
      <c r="N80" s="39">
        <f>((($AN80+($AO80-$AN80)*IF(VLOOKUP($Q80,武学奇术!$A:$ZZ,31,FALSE)=1,$F$18,0.5))*$AH80+$AI80)*(1+$AP80)*(1+$AQ80)+(($AS80+($AT80-$AS80)*IF(VLOOKUP($Q80,武学奇术!$A:$ZZ,31,FALSE)=1,$F$18,0.5))*IF($G$1="鸣金",$AJ80,$AH80)+IF($G$1="鸣金",$AK80*1.5,0))*(1+$AU80)*(1+$AV80)+(($AW80+($AX80-$AW80)*IF(VLOOKUP($Q80,武学奇术!$A:$ZZ,31,FALSE)=1,$F$18,0.5))*IF($G$1="裂石",$AJ80,$AH80)+IF($G$1="裂石",$AK80*1.5,0))*(1+$AY80)*(1+$AZ80)+(($BA80+($BB80-$BA80)*IF(VLOOKUP($Q80,武学奇术!$A:$ZZ,31,FALSE)=1,$F$18,0.5))*IF($G$1="牵丝",$AJ80,$AH80)+IF($G$1="牵丝",$AK80*1.5,0))*(1+$BC80)*(1+$BD80)+(($BE80+($BF80-$BE80)*IF(VLOOKUP($Q80,武学奇术!$A:$ZZ,31,FALSE)=1,$F$18,0.5))*IF($G$1="破竹",$AJ80,$AH80)+IF($G$1="破竹",$AK80*1.5,0))*(1+$BG80)*(1+$BH80))*(1+$AL80)*$P80*(1+IF(VLOOKUP($Q80,武学奇术!$A:$ZZ,30,FALSE)="蓄力技",$B$21,0))*(1+$BQ80)</f>
        <v>14905.4395688574</v>
      </c>
      <c r="O80" s="39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13124.6504651551</v>
      </c>
      <c r="P80" s="40">
        <v>1</v>
      </c>
      <c r="Q80" s="41" t="s">
        <v>106</v>
      </c>
      <c r="R80" s="41" t="s">
        <v>93</v>
      </c>
      <c r="S80" s="41" t="s">
        <v>72</v>
      </c>
      <c r="T80" s="41" t="s">
        <v>72</v>
      </c>
      <c r="U80" s="41" t="s">
        <v>72</v>
      </c>
      <c r="V80" s="41" t="s">
        <v>72</v>
      </c>
      <c r="W80" s="41" t="s">
        <v>72</v>
      </c>
      <c r="X80" s="41" t="s">
        <v>165</v>
      </c>
      <c r="Y80" s="41" t="s">
        <v>72</v>
      </c>
      <c r="Z80" s="41" t="s">
        <v>72</v>
      </c>
      <c r="AA80" s="41" t="s">
        <v>72</v>
      </c>
      <c r="AB80" s="41" t="s">
        <v>72</v>
      </c>
      <c r="AC80" s="41" t="s">
        <v>72</v>
      </c>
      <c r="AD80" s="41" t="s">
        <v>72</v>
      </c>
      <c r="AE80" s="41" t="s">
        <v>75</v>
      </c>
      <c r="AF80" s="41" t="s">
        <v>76</v>
      </c>
      <c r="AG80" t="str">
        <f>VLOOKUP($Q80,武学奇术!$A:$ZZ,25,FALSE)</f>
        <v>拳甲</v>
      </c>
      <c r="AH80" s="27">
        <f>VLOOKUP($Q80,武学奇术!$A:$ZZ,26,FALSE)</f>
        <v>1.2876</v>
      </c>
      <c r="AI80" s="28">
        <f>VLOOKUP($Q80,武学奇术!$A:$ZZ,27,FALSE)*(1+IF(OR($AG80=$F$4,$AG80=$F$5),$B$22,0))</f>
        <v>501.2</v>
      </c>
      <c r="AJ80" s="27">
        <f>VLOOKUP($Q80,武学奇术!$A:$ZZ,28,FALSE)</f>
        <v>1.9313</v>
      </c>
      <c r="AK80" s="28">
        <f>VLOOKUP($Q80,武学奇术!$A:$ZZ,29,FALSE)*(1+IF(OR($AG80=$F$4,$AG80=$F$5),$B$22,0))</f>
        <v>273</v>
      </c>
      <c r="AL80" s="27" cm="1">
        <f t="array" ref="AL80">$G$3+IFERROR(VLOOKUP($AG80,$F$4:$G$7,2,FALSE),0)+VLOOKUP($Q80,武学奇术!$A:$ZZ,2,FALSE)+SUM(_xlfn.XLOOKUP($R80:$AF80,增益!$A:$A,增益!$B:$B,0))</f>
        <v>0.3241</v>
      </c>
      <c r="AM80" s="27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3742.006</v>
      </c>
      <c r="AO80" cm="1">
        <f t="array" ref="AO80">$E$10*(1+$AM80)+VLOOKUP($Q80,武学奇术!$A:$ZZ,4,FALSE)+SUM(_xlfn.XLOOKUP($R80:$AF80,增益!$A:$A,增益!$D:$D,0))-$I$2</f>
        <v>3742.006</v>
      </c>
      <c r="AP80" s="33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0.217</v>
      </c>
      <c r="AQ80" s="33" cm="1">
        <f t="array" ref="AQ80">$G$10+VLOOKUP($Q80,武学奇术!$A:$ZZ,7,FALSE)+SUM(_xlfn.XLOOKUP(R80:AF80,增益!$A:$A,增益!$G:$G,0))</f>
        <v>0.09</v>
      </c>
      <c r="AR80" s="27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3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3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33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3" cm="1">
        <f t="array" ref="AZ80">$G$12+VLOOKUP($Q80,武学奇术!$A:$ZZ,12,FALSE)+SUM(_xlfn.XLOOKUP(R80:AF80,增益!$A:$A,增益!$L:$L,0))</f>
        <v>0</v>
      </c>
      <c r="BA80">
        <f t="shared" si="16"/>
        <v>0</v>
      </c>
      <c r="BB80">
        <f t="shared" si="17"/>
        <v>0</v>
      </c>
      <c r="BC80" s="33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3" cm="1">
        <f t="array" ref="BD80">$G$13+VLOOKUP($Q80,武学奇术!$A:$ZZ,14,FALSE)+SUM(_xlfn.XLOOKUP(R80:AF80,增益!$A:$A,增益!$N:$N,0))</f>
        <v>0</v>
      </c>
      <c r="BE80">
        <f t="shared" si="18"/>
        <v>570.28</v>
      </c>
      <c r="BF80">
        <f t="shared" si="19"/>
        <v>1582.156</v>
      </c>
      <c r="BG80" s="33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0</v>
      </c>
      <c r="BH80" s="33" cm="1">
        <f t="array" ref="BH80">$G$14+VLOOKUP($Q80,武学奇术!$A:$ZZ,16,FALSE)+SUM(_xlfn.XLOOKUP(R80:AF80,增益!$A:$A,增益!$P:$P,0))</f>
        <v>0.24</v>
      </c>
      <c r="BI80" s="27">
        <f>MIN(IF(VLOOKUP($Q80,武学奇术!$A:$ZZ,23,FALSE)=1,100%,$B$8),100%)</f>
        <v>1</v>
      </c>
      <c r="BJ80" s="27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+MIN(IF(VLOOKUP($Q80,武学奇术!$A:$ZZ,32,FALSE)=1,IF(VLOOKUP($Q80,武学奇术!$A:$ZZ,24,FALSE)=1,100%,MIN(40%,$B$10+VLOOKUP($Q80,武学奇术!$A:$ZZ,19,FALSE)+SUM(_xlfn.XLOOKUP(R80:AF80,增益!$A:$A,增益!$S:$S,0)))+$B$12+SUM(_xlfn.XLOOKUP(R80:AF80,增益!$A:$A,增益!$V:$V,0))),0),12%)</f>
        <v>0.918</v>
      </c>
      <c r="BK80" s="27" cm="1">
        <f t="array" ref="BK80">1+$B$13+VLOOKUP($Q80,武学奇术!$A:$ZZ,18,FALSE)+SUM(_xlfn.XLOOKUP(R80:AF80,增益!$A:$A,增益!$R:$R,0))</f>
        <v>1.64</v>
      </c>
      <c r="BL80" s="27" cm="1">
        <f t="array" ref="BL80">MAX(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-IF(VLOOKUP($Q80,武学奇术!$A:$ZZ,32,FALSE)=1,12%,0),0)</f>
        <v>0.0895</v>
      </c>
      <c r="BM80" s="27" cm="1">
        <f t="array" ref="BM80">1+$B$14+VLOOKUP($Q80,武学奇术!$A:$ZZ,20,FALSE)+SUM(_xlfn.XLOOKUP(R80:AF80,增益!$A:$A,增益!$T:$T,0))</f>
        <v>1.35</v>
      </c>
      <c r="BN80" s="27">
        <f t="shared" si="20"/>
        <v>0.9105</v>
      </c>
      <c r="BO80" s="27">
        <f t="shared" si="21"/>
        <v>0</v>
      </c>
      <c r="BP80" s="27">
        <f>IF(VLOOKUP($Q80,武学奇术!$A:$ZZ,22,FALSE)=1,0,(1-$BI80))*(1-$BL80)</f>
        <v>0</v>
      </c>
      <c r="BQ80" s="27" cm="1">
        <f t="array" ref="BQ80">SUM(_xlfn.XLOOKUP(R80:AF80,增益!$A:$A,增益!$W:$W,0))+$I$5</f>
        <v>0.11</v>
      </c>
    </row>
    <row r="81" spans="1:69">
      <c r="K81" s="39">
        <f t="shared" si="11"/>
        <v>57246.8131341772</v>
      </c>
      <c r="L81" s="39">
        <f>((($AN81+($AO81-$AN81)*IF(VLOOKUP($Q81,武学奇术!$A:$ZZ,31,FALSE)=1,$F$18,0.5))*$AH81+$AI81)*(1+$AP81)*(1+$AQ81)+(($AS81+($AT81-$AS81)*IF(VLOOKUP($Q81,武学奇术!$A:$ZZ,31,FALSE)=1,$F$18,0.5))*IF($G$1="鸣金",$AJ81,$AH81)+IF($G$1="鸣金",$AK81*1.5,0))*(1+$AU81)*(1+$AV81)+(($AW81+($AX81-$AW81)*IF(VLOOKUP($Q81,武学奇术!$A:$ZZ,31,FALSE)=1,$F$18,0.5))*IF($G$1="裂石",$AJ81,$AH81)+IF($G$1="裂石",$AK81*1.5,0))*(1+$AY81)*(1+$AZ81)+(($BA81+($BB81-$BA81)*IF(VLOOKUP($Q81,武学奇术!$A:$ZZ,31,FALSE)=1,$F$18,0.5))*IF($G$1="牵丝",$AJ81,$AH81)+IF($G$1="牵丝",$AK81*1.5,0))*(1+$BC81)*(1+$BD81)+(($BE81+($BF81-$BE81)*IF(VLOOKUP($Q81,武学奇术!$A:$ZZ,31,FALSE)=1,$F$18,0.5))*IF($G$1="破竹",$AJ81,$AH81)+IF($G$1="破竹",$AK81*1.5,0))*(1+$BG81)*(1+$BH81))*(1+$AL81)*$BK81*$P81*(1+IF(VLOOKUP($Q81,武学奇术!$A:$ZZ,30,FALSE)="蓄力技",$B$21,0))*(1+$BQ81)</f>
        <v>58342.1159148496</v>
      </c>
      <c r="M81" s="39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46104.0960190687</v>
      </c>
      <c r="N81" s="39">
        <f>((($AN81+($AO81-$AN81)*IF(VLOOKUP($Q81,武学奇术!$A:$ZZ,31,FALSE)=1,$F$18,0.5))*$AH81+$AI81)*(1+$AP81)*(1+$AQ81)+(($AS81+($AT81-$AS81)*IF(VLOOKUP($Q81,武学奇术!$A:$ZZ,31,FALSE)=1,$F$18,0.5))*IF($G$1="鸣金",$AJ81,$AH81)+IF($G$1="鸣金",$AK81*1.5,0))*(1+$AU81)*(1+$AV81)+(($AW81+($AX81-$AW81)*IF(VLOOKUP($Q81,武学奇术!$A:$ZZ,31,FALSE)=1,$F$18,0.5))*IF($G$1="裂石",$AJ81,$AH81)+IF($G$1="裂石",$AK81*1.5,0))*(1+$AY81)*(1+$AZ81)+(($BA81+($BB81-$BA81)*IF(VLOOKUP($Q81,武学奇术!$A:$ZZ,31,FALSE)=1,$F$18,0.5))*IF($G$1="牵丝",$AJ81,$AH81)+IF($G$1="牵丝",$AK81*1.5,0))*(1+$BC81)*(1+$BD81)+(($BE81+($BF81-$BE81)*IF(VLOOKUP($Q81,武学奇术!$A:$ZZ,31,FALSE)=1,$F$18,0.5))*IF($G$1="破竹",$AJ81,$AH81)+IF($G$1="破竹",$AK81*1.5,0))*(1+$BG81)*(1+$BH81))*(1+$AL81)*$P81*(1+IF(VLOOKUP($Q81,武学奇术!$A:$ZZ,30,FALSE)="蓄力技",$B$21,0))*(1+$BQ81)</f>
        <v>30073.2556262111</v>
      </c>
      <c r="O81" s="39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25995.3290160751</v>
      </c>
      <c r="P81" s="40">
        <v>1</v>
      </c>
      <c r="Q81" s="41" t="s">
        <v>108</v>
      </c>
      <c r="R81" s="41" t="s">
        <v>93</v>
      </c>
      <c r="S81" s="41" t="s">
        <v>72</v>
      </c>
      <c r="T81" s="41" t="s">
        <v>72</v>
      </c>
      <c r="U81" s="41" t="s">
        <v>72</v>
      </c>
      <c r="V81" s="41" t="s">
        <v>72</v>
      </c>
      <c r="W81" s="41" t="s">
        <v>72</v>
      </c>
      <c r="X81" s="41" t="s">
        <v>165</v>
      </c>
      <c r="Y81" s="41" t="s">
        <v>72</v>
      </c>
      <c r="Z81" s="41" t="s">
        <v>101</v>
      </c>
      <c r="AA81" s="41" t="s">
        <v>72</v>
      </c>
      <c r="AB81" s="41" t="s">
        <v>72</v>
      </c>
      <c r="AC81" s="41" t="s">
        <v>72</v>
      </c>
      <c r="AD81" s="41" t="s">
        <v>72</v>
      </c>
      <c r="AE81" s="41" t="s">
        <v>75</v>
      </c>
      <c r="AF81" s="41" t="s">
        <v>76</v>
      </c>
      <c r="AG81" t="str">
        <f>VLOOKUP($Q81,武学奇术!$A:$ZZ,25,FALSE)</f>
        <v>拳甲</v>
      </c>
      <c r="AH81" s="27">
        <f>VLOOKUP($Q81,武学奇术!$A:$ZZ,26,FALSE)</f>
        <v>2.33376</v>
      </c>
      <c r="AI81" s="28">
        <f>VLOOKUP($Q81,武学奇术!$A:$ZZ,27,FALSE)*(1+IF(OR($AG81=$F$4,$AG81=$F$5),$B$22,0))</f>
        <v>0</v>
      </c>
      <c r="AJ81" s="27">
        <f>VLOOKUP($Q81,武学奇术!$A:$ZZ,28,FALSE)</f>
        <v>3.50064</v>
      </c>
      <c r="AK81" s="28">
        <f>VLOOKUP($Q81,武学奇术!$A:$ZZ,29,FALSE)*(1+IF(OR($AG81=$F$4,$AG81=$F$5),$B$22,0))</f>
        <v>0</v>
      </c>
      <c r="AL81" s="27" cm="1">
        <f t="array" ref="AL81">$G$3+IFERROR(VLOOKUP($AG81,$F$4:$G$7,2,FALSE),0)+VLOOKUP($Q81,武学奇术!$A:$ZZ,2,FALSE)+SUM(_xlfn.XLOOKUP($R81:$AF81,增益!$A:$A,增益!$B:$B,0))</f>
        <v>0.6241</v>
      </c>
      <c r="AM81" s="27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3742.006</v>
      </c>
      <c r="AO81" cm="1">
        <f t="array" ref="AO81">$E$10*(1+$AM81)+VLOOKUP($Q81,武学奇术!$A:$ZZ,4,FALSE)+SUM(_xlfn.XLOOKUP($R81:$AF81,增益!$A:$A,增益!$D:$D,0))-$I$2</f>
        <v>3742.006</v>
      </c>
      <c r="AP81" s="33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0.247</v>
      </c>
      <c r="AQ81" s="33" cm="1">
        <f t="array" ref="AQ81">$G$10+VLOOKUP($Q81,武学奇术!$A:$ZZ,7,FALSE)+SUM(_xlfn.XLOOKUP(R81:AF81,增益!$A:$A,增益!$G:$G,0))</f>
        <v>0.09</v>
      </c>
      <c r="AR81" s="27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3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-0.24</v>
      </c>
      <c r="AV81" s="33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33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-0.24</v>
      </c>
      <c r="AZ81" s="33" cm="1">
        <f t="array" ref="AZ81">$G$12+VLOOKUP($Q81,武学奇术!$A:$ZZ,12,FALSE)+SUM(_xlfn.XLOOKUP(R81:AF81,增益!$A:$A,增益!$L:$L,0))</f>
        <v>0</v>
      </c>
      <c r="BA81">
        <f t="shared" si="16"/>
        <v>0</v>
      </c>
      <c r="BB81">
        <f t="shared" si="17"/>
        <v>0</v>
      </c>
      <c r="BC81" s="33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-0.24</v>
      </c>
      <c r="BD81" s="33" cm="1">
        <f t="array" ref="BD81">$G$13+VLOOKUP($Q81,武学奇术!$A:$ZZ,14,FALSE)+SUM(_xlfn.XLOOKUP(R81:AF81,增益!$A:$A,增益!$N:$N,0))</f>
        <v>0</v>
      </c>
      <c r="BE81">
        <f t="shared" si="18"/>
        <v>570.28</v>
      </c>
      <c r="BF81">
        <f t="shared" si="19"/>
        <v>1582.156</v>
      </c>
      <c r="BG81" s="33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0.03</v>
      </c>
      <c r="BH81" s="33" cm="1">
        <f t="array" ref="BH81">$G$14+VLOOKUP($Q81,武学奇术!$A:$ZZ,16,FALSE)+SUM(_xlfn.XLOOKUP(R81:AF81,增益!$A:$A,增益!$P:$P,0))</f>
        <v>0.24</v>
      </c>
      <c r="BI81" s="27">
        <f>MIN(IF(VLOOKUP($Q81,武学奇术!$A:$ZZ,23,FALSE)=1,100%,$B$8),100%)</f>
        <v>1</v>
      </c>
      <c r="BJ81" s="27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+MIN(IF(VLOOKUP($Q81,武学奇术!$A:$ZZ,32,FALSE)=1,IF(VLOOKUP($Q81,武学奇术!$A:$ZZ,24,FALSE)=1,100%,MIN(40%,$B$10+VLOOKUP($Q81,武学奇术!$A:$ZZ,19,FALSE)+SUM(_xlfn.XLOOKUP(R81:AF81,增益!$A:$A,增益!$S:$S,0)))+$B$12+SUM(_xlfn.XLOOKUP(R81:AF81,增益!$A:$A,增益!$V:$V,0))),0),12%)</f>
        <v>0.918</v>
      </c>
      <c r="BK81" s="27" cm="1">
        <f t="array" ref="BK81">1+$B$13+VLOOKUP($Q81,武学奇术!$A:$ZZ,18,FALSE)+SUM(_xlfn.XLOOKUP(R81:AF81,增益!$A:$A,增益!$R:$R,0))</f>
        <v>1.94</v>
      </c>
      <c r="BL81" s="27" cm="1">
        <f t="array" ref="BL81">MAX(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-IF(VLOOKUP($Q81,武学奇术!$A:$ZZ,32,FALSE)=1,12%,0),0)</f>
        <v>0.0895</v>
      </c>
      <c r="BM81" s="27" cm="1">
        <f t="array" ref="BM81">1+$B$14+VLOOKUP($Q81,武学奇术!$A:$ZZ,20,FALSE)+SUM(_xlfn.XLOOKUP(R81:AF81,增益!$A:$A,增益!$T:$T,0))</f>
        <v>1.35</v>
      </c>
      <c r="BN81" s="27">
        <f t="shared" si="20"/>
        <v>0.9105</v>
      </c>
      <c r="BO81" s="27">
        <f t="shared" si="21"/>
        <v>0</v>
      </c>
      <c r="BP81" s="27">
        <f>IF(VLOOKUP($Q81,武学奇术!$A:$ZZ,22,FALSE)=1,0,(1-$BI81))*(1-$BL81)</f>
        <v>0</v>
      </c>
      <c r="BQ81" s="27" cm="1">
        <f t="array" ref="BQ81">SUM(_xlfn.XLOOKUP(R81:AF81,增益!$A:$A,增益!$W:$W,0))+$I$5</f>
        <v>0.11</v>
      </c>
    </row>
    <row r="82" spans="1:69">
      <c r="A82" s="4"/>
      <c r="B82" s="4"/>
      <c r="K82" s="39">
        <f t="shared" si="11"/>
        <v>60016.0141694346</v>
      </c>
      <c r="L82" s="39">
        <f>((($AN82+($AO82-$AN82)*IF(VLOOKUP($Q82,武学奇术!$A:$ZZ,31,FALSE)=1,$F$18,0.5))*$AH82+$AI82)*(1+$AP82)*(1+$AQ82)+(($AS82+($AT82-$AS82)*IF(VLOOKUP($Q82,武学奇术!$A:$ZZ,31,FALSE)=1,$F$18,0.5))*IF($G$1="鸣金",$AJ82,$AH82)+IF($G$1="鸣金",$AK82*1.5,0))*(1+$AU82)*(1+$AV82)+(($AW82+($AX82-$AW82)*IF(VLOOKUP($Q82,武学奇术!$A:$ZZ,31,FALSE)=1,$F$18,0.5))*IF($G$1="裂石",$AJ82,$AH82)+IF($G$1="裂石",$AK82*1.5,0))*(1+$AY82)*(1+$AZ82)+(($BA82+($BB82-$BA82)*IF(VLOOKUP($Q82,武学奇术!$A:$ZZ,31,FALSE)=1,$F$18,0.5))*IF($G$1="牵丝",$AJ82,$AH82)+IF($G$1="牵丝",$AK82*1.5,0))*(1+$BC82)*(1+$BD82)+(($BE82+($BF82-$BE82)*IF(VLOOKUP($Q82,武学奇术!$A:$ZZ,31,FALSE)=1,$F$18,0.5))*IF($G$1="破竹",$AJ82,$AH82)+IF($G$1="破竹",$AK82*1.5,0))*(1+$BG82)*(1+$BH82))*(1+$AL82)*$BK82*$P82*(1+IF(VLOOKUP($Q82,武学奇术!$A:$ZZ,30,FALSE)="蓄力技",$B$21,0))*(1+$BQ82)</f>
        <v>60391.4651666534</v>
      </c>
      <c r="M82" s="39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56196.4819575047</v>
      </c>
      <c r="N82" s="39">
        <f>((($AN82+($AO82-$AN82)*IF(VLOOKUP($Q82,武学奇术!$A:$ZZ,31,FALSE)=1,$F$18,0.5))*$AH82+$AI82)*(1+$AP82)*(1+$AQ82)+(($AS82+($AT82-$AS82)*IF(VLOOKUP($Q82,武学奇术!$A:$ZZ,31,FALSE)=1,$F$18,0.5))*IF($G$1="鸣金",$AJ82,$AH82)+IF($G$1="鸣金",$AK82*1.5,0))*(1+$AU82)*(1+$AV82)+(($AW82+($AX82-$AW82)*IF(VLOOKUP($Q82,武学奇术!$A:$ZZ,31,FALSE)=1,$F$18,0.5))*IF($G$1="裂石",$AJ82,$AH82)+IF($G$1="裂石",$AK82*1.5,0))*(1+$AY82)*(1+$AZ82)+(($BA82+($BB82-$BA82)*IF(VLOOKUP($Q82,武学奇术!$A:$ZZ,31,FALSE)=1,$F$18,0.5))*IF($G$1="牵丝",$AJ82,$AH82)+IF($G$1="牵丝",$AK82*1.5,0))*(1+$BC82)*(1+$BD82)+(($BE82+($BF82-$BE82)*IF(VLOOKUP($Q82,武学奇术!$A:$ZZ,31,FALSE)=1,$F$18,0.5))*IF($G$1="破竹",$AJ82,$AH82)+IF($G$1="破竹",$AK82*1.5,0))*(1+$BG82)*(1+$BH82))*(1+$AL82)*$P82*(1+IF(VLOOKUP($Q82,武学奇术!$A:$ZZ,30,FALSE)="蓄力技",$B$21,0))*(1+$BQ82)</f>
        <v>36824.0641260082</v>
      </c>
      <c r="O82" s="39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32021.1045797907</v>
      </c>
      <c r="P82" s="40">
        <v>1</v>
      </c>
      <c r="Q82" s="41" t="s">
        <v>157</v>
      </c>
      <c r="R82" s="41" t="s">
        <v>93</v>
      </c>
      <c r="S82" s="41" t="s">
        <v>72</v>
      </c>
      <c r="T82" s="41" t="s">
        <v>72</v>
      </c>
      <c r="U82" s="41" t="s">
        <v>72</v>
      </c>
      <c r="V82" s="41" t="s">
        <v>72</v>
      </c>
      <c r="W82" s="41" t="s">
        <v>72</v>
      </c>
      <c r="X82" s="41" t="s">
        <v>165</v>
      </c>
      <c r="Y82" s="41" t="s">
        <v>72</v>
      </c>
      <c r="Z82" s="41" t="s">
        <v>72</v>
      </c>
      <c r="AA82" s="41" t="s">
        <v>72</v>
      </c>
      <c r="AB82" s="41" t="s">
        <v>72</v>
      </c>
      <c r="AC82" s="41" t="s">
        <v>72</v>
      </c>
      <c r="AD82" s="41" t="s">
        <v>72</v>
      </c>
      <c r="AE82" s="41" t="s">
        <v>75</v>
      </c>
      <c r="AF82" s="41" t="s">
        <v>76</v>
      </c>
      <c r="AG82" t="str">
        <f>VLOOKUP($Q82,武学奇术!$A:$ZZ,25,FALSE)</f>
        <v>单体奇术</v>
      </c>
      <c r="AH82" s="27">
        <f>VLOOKUP($Q82,武学奇术!$A:$ZZ,26,FALSE)</f>
        <v>3.9855</v>
      </c>
      <c r="AI82" s="28">
        <f>VLOOKUP($Q82,武学奇术!$A:$ZZ,27,FALSE)*(1+IF(OR($AG82=$F$4,$AG82=$F$5),$B$22,0))</f>
        <v>749</v>
      </c>
      <c r="AJ82" s="27">
        <f>VLOOKUP($Q82,武学奇术!$A:$ZZ,28,FALSE)</f>
        <v>5.97825</v>
      </c>
      <c r="AK82" s="28">
        <f>VLOOKUP($Q82,武学奇术!$A:$ZZ,29,FALSE)*(1+IF(OR($AG82=$F$4,$AG82=$F$5),$B$22,0))</f>
        <v>0</v>
      </c>
      <c r="AL82" s="27" cm="1">
        <f t="array" ref="AL82">$G$3+IFERROR(VLOOKUP($AG82,$F$4:$G$7,2,FALSE),0)+VLOOKUP($Q82,武学奇术!$A:$ZZ,2,FALSE)+SUM(_xlfn.XLOOKUP($R82:$AF82,增益!$A:$A,增益!$B:$B,0))</f>
        <v>0.1537</v>
      </c>
      <c r="AM82" s="27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3742.006</v>
      </c>
      <c r="AO82" cm="1">
        <f t="array" ref="AO82">$E$10*(1+$AM82)+VLOOKUP($Q82,武学奇术!$A:$ZZ,4,FALSE)+SUM(_xlfn.XLOOKUP($R82:$AF82,增益!$A:$A,增益!$D:$D,0))-$I$2</f>
        <v>3742.006</v>
      </c>
      <c r="AP82" s="33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0.217</v>
      </c>
      <c r="AQ82" s="33" cm="1">
        <f t="array" ref="AQ82">$G$10+VLOOKUP($Q82,武学奇术!$A:$ZZ,7,FALSE)+SUM(_xlfn.XLOOKUP(R82:AF82,增益!$A:$A,增益!$G:$G,0))</f>
        <v>0.09</v>
      </c>
      <c r="AR82" s="27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3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3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33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3" cm="1">
        <f t="array" ref="AZ82">$G$12+VLOOKUP($Q82,武学奇术!$A:$ZZ,12,FALSE)+SUM(_xlfn.XLOOKUP(R82:AF82,增益!$A:$A,增益!$L:$L,0))</f>
        <v>0</v>
      </c>
      <c r="BA82">
        <f t="shared" si="16"/>
        <v>0</v>
      </c>
      <c r="BB82">
        <f t="shared" si="17"/>
        <v>0</v>
      </c>
      <c r="BC82" s="33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-0.3</v>
      </c>
      <c r="BD82" s="33" cm="1">
        <f t="array" ref="BD82">$G$13+VLOOKUP($Q82,武学奇术!$A:$ZZ,14,FALSE)+SUM(_xlfn.XLOOKUP(R82:AF82,增益!$A:$A,增益!$N:$N,0))</f>
        <v>0</v>
      </c>
      <c r="BE82">
        <f t="shared" si="18"/>
        <v>570.28</v>
      </c>
      <c r="BF82">
        <f t="shared" si="19"/>
        <v>1582.156</v>
      </c>
      <c r="BG82" s="33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</v>
      </c>
      <c r="BH82" s="33" cm="1">
        <f t="array" ref="BH82">$G$14+VLOOKUP($Q82,武学奇术!$A:$ZZ,16,FALSE)+SUM(_xlfn.XLOOKUP(R82:AF82,增益!$A:$A,增益!$P:$P,0))</f>
        <v>0.24</v>
      </c>
      <c r="BI82" s="27">
        <f>MIN(IF(VLOOKUP($Q82,武学奇术!$A:$ZZ,23,FALSE)=1,100%,$B$8),100%)</f>
        <v>1</v>
      </c>
      <c r="BJ82" s="27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+MIN(IF(VLOOKUP($Q82,武学奇术!$A:$ZZ,32,FALSE)=1,IF(VLOOKUP($Q82,武学奇术!$A:$ZZ,24,FALSE)=1,100%,MIN(40%,$B$10+VLOOKUP($Q82,武学奇术!$A:$ZZ,19,FALSE)+SUM(_xlfn.XLOOKUP(R82:AF82,增益!$A:$A,增益!$S:$S,0)))+$B$12+SUM(_xlfn.XLOOKUP(R82:AF82,增益!$A:$A,增益!$V:$V,0))),0),12%)</f>
        <v>0.918</v>
      </c>
      <c r="BK82" s="27" cm="1">
        <f t="array" ref="BK82">1+$B$13+VLOOKUP($Q82,武学奇术!$A:$ZZ,18,FALSE)+SUM(_xlfn.XLOOKUP(R82:AF82,增益!$A:$A,增益!$R:$R,0))</f>
        <v>1.64</v>
      </c>
      <c r="BL82" s="27" cm="1">
        <f t="array" ref="BL82">MAX(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-IF(VLOOKUP($Q82,武学奇术!$A:$ZZ,32,FALSE)=1,12%,0),0)</f>
        <v>0.0895</v>
      </c>
      <c r="BM82" s="27" cm="1">
        <f t="array" ref="BM82">1+$B$14+VLOOKUP($Q82,武学奇术!$A:$ZZ,20,FALSE)+SUM(_xlfn.XLOOKUP(R82:AF82,增益!$A:$A,增益!$T:$T,0))</f>
        <v>1.35</v>
      </c>
      <c r="BN82" s="27">
        <f t="shared" si="20"/>
        <v>0.9105</v>
      </c>
      <c r="BO82" s="27">
        <f t="shared" si="21"/>
        <v>0</v>
      </c>
      <c r="BP82" s="27">
        <f>IF(VLOOKUP($Q82,武学奇术!$A:$ZZ,22,FALSE)=1,0,(1-$BI82))*(1-$BL82)</f>
        <v>0</v>
      </c>
      <c r="BQ82" s="27" cm="1">
        <f t="array" ref="BQ82">SUM(_xlfn.XLOOKUP(R82:AF82,增益!$A:$A,增益!$W:$W,0))+$I$5</f>
        <v>0.11</v>
      </c>
    </row>
    <row r="83" spans="1:69">
      <c r="A83" s="4"/>
      <c r="B83" s="91"/>
      <c r="K83" s="39">
        <f t="shared" si="11"/>
        <v>81715.847502237</v>
      </c>
      <c r="L83" s="39">
        <f>((($AN83+($AO83-$AN83)*IF(VLOOKUP($Q83,武学奇术!$A:$ZZ,31,FALSE)=1,$F$18,0.5))*$AH83+$AI83)*(1+$AP83)*(1+$AQ83)+(($AS83+($AT83-$AS83)*IF(VLOOKUP($Q83,武学奇术!$A:$ZZ,31,FALSE)=1,$F$18,0.5))*IF($G$1="鸣金",$AJ83,$AH83)+IF($G$1="鸣金",$AK83*1.5,0))*(1+$AU83)*(1+$AV83)+(($AW83+($AX83-$AW83)*IF(VLOOKUP($Q83,武学奇术!$A:$ZZ,31,FALSE)=1,$F$18,0.5))*IF($G$1="裂石",$AJ83,$AH83)+IF($G$1="裂石",$AK83*1.5,0))*(1+$AY83)*(1+$AZ83)+(($BA83+($BB83-$BA83)*IF(VLOOKUP($Q83,武学奇术!$A:$ZZ,31,FALSE)=1,$F$18,0.5))*IF($G$1="牵丝",$AJ83,$AH83)+IF($G$1="牵丝",$AK83*1.5,0))*(1+$BC83)*(1+$BD83)+(($BE83+($BF83-$BE83)*IF(VLOOKUP($Q83,武学奇术!$A:$ZZ,31,FALSE)=1,$F$18,0.5))*IF($G$1="破竹",$AJ83,$AH83)+IF($G$1="破竹",$AK83*1.5,0))*(1+$BG83)*(1+$BH83))*(1+$AL83)*$BK83*$P83*(1+IF(VLOOKUP($Q83,武学奇术!$A:$ZZ,30,FALSE)="蓄力技",$B$21,0))*(1+$BQ83)</f>
        <v>82226.8313791203</v>
      </c>
      <c r="M83" s="39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76517.5143189719</v>
      </c>
      <c r="N83" s="39">
        <f>((($AN83+($AO83-$AN83)*IF(VLOOKUP($Q83,武学奇术!$A:$ZZ,31,FALSE)=1,$F$18,0.5))*$AH83+$AI83)*(1+$AP83)*(1+$AQ83)+(($AS83+($AT83-$AS83)*IF(VLOOKUP($Q83,武学奇术!$A:$ZZ,31,FALSE)=1,$F$18,0.5))*IF($G$1="鸣金",$AJ83,$AH83)+IF($G$1="鸣金",$AK83*1.5,0))*(1+$AU83)*(1+$AV83)+(($AW83+($AX83-$AW83)*IF(VLOOKUP($Q83,武学奇术!$A:$ZZ,31,FALSE)=1,$F$18,0.5))*IF($G$1="裂石",$AJ83,$AH83)+IF($G$1="裂石",$AK83*1.5,0))*(1+$AY83)*(1+$AZ83)+(($BA83+($BB83-$BA83)*IF(VLOOKUP($Q83,武学奇术!$A:$ZZ,31,FALSE)=1,$F$18,0.5))*IF($G$1="牵丝",$AJ83,$AH83)+IF($G$1="牵丝",$AK83*1.5,0))*(1+$BC83)*(1+$BD83)+(($BE83+($BF83-$BE83)*IF(VLOOKUP($Q83,武学奇术!$A:$ZZ,31,FALSE)=1,$F$18,0.5))*IF($G$1="破竹",$AJ83,$AH83)+IF($G$1="破竹",$AK83*1.5,0))*(1+$BG83)*(1+$BH83))*(1+$AL83)*$P83*(1+IF(VLOOKUP($Q83,武学奇术!$A:$ZZ,30,FALSE)="蓄力技",$B$21,0))*(1+$BQ83)</f>
        <v>50138.3118165368</v>
      </c>
      <c r="O83" s="39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43596.9833967981</v>
      </c>
      <c r="P83" s="40">
        <v>23</v>
      </c>
      <c r="Q83" s="41" t="s">
        <v>160</v>
      </c>
      <c r="R83" s="41" t="s">
        <v>93</v>
      </c>
      <c r="S83" s="41" t="s">
        <v>72</v>
      </c>
      <c r="T83" s="41" t="s">
        <v>72</v>
      </c>
      <c r="U83" s="41" t="s">
        <v>72</v>
      </c>
      <c r="V83" s="41" t="s">
        <v>72</v>
      </c>
      <c r="W83" s="41" t="s">
        <v>72</v>
      </c>
      <c r="X83" s="41" t="s">
        <v>165</v>
      </c>
      <c r="Y83" s="41" t="s">
        <v>72</v>
      </c>
      <c r="Z83" s="41" t="s">
        <v>72</v>
      </c>
      <c r="AA83" s="41" t="s">
        <v>72</v>
      </c>
      <c r="AB83" s="41" t="s">
        <v>72</v>
      </c>
      <c r="AC83" s="41" t="s">
        <v>72</v>
      </c>
      <c r="AD83" s="41" t="s">
        <v>72</v>
      </c>
      <c r="AE83" s="41" t="s">
        <v>75</v>
      </c>
      <c r="AF83" s="41" t="s">
        <v>76</v>
      </c>
      <c r="AG83" t="str">
        <f>VLOOKUP($Q83,武学奇术!$A:$ZZ,25,FALSE)</f>
        <v>单体奇术</v>
      </c>
      <c r="AH83" s="27">
        <f>VLOOKUP($Q83,武学奇术!$A:$ZZ,26,FALSE)</f>
        <v>0.236</v>
      </c>
      <c r="AI83" s="28">
        <f>VLOOKUP($Q83,武学奇术!$A:$ZZ,27,FALSE)*(1+IF(OR($AG83=$F$4,$AG83=$F$5),$B$22,0))</f>
        <v>44</v>
      </c>
      <c r="AJ83" s="27">
        <f>VLOOKUP($Q83,武学奇术!$A:$ZZ,28,FALSE)</f>
        <v>0.354</v>
      </c>
      <c r="AK83" s="28">
        <f>VLOOKUP($Q83,武学奇术!$A:$ZZ,29,FALSE)*(1+IF(OR($AG83=$F$4,$AG83=$F$5),$B$22,0))</f>
        <v>0</v>
      </c>
      <c r="AL83" s="27" cm="1">
        <f t="array" ref="AL83">$G$3+IFERROR(VLOOKUP($AG83,$F$4:$G$7,2,FALSE),0)+VLOOKUP($Q83,武学奇术!$A:$ZZ,2,FALSE)+SUM(_xlfn.XLOOKUP($R83:$AF83,增益!$A:$A,增益!$B:$B,0))</f>
        <v>0.1537</v>
      </c>
      <c r="AM83" s="27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3742.006</v>
      </c>
      <c r="AO83" cm="1">
        <f t="array" ref="AO83">$E$10*(1+$AM83)+VLOOKUP($Q83,武学奇术!$A:$ZZ,4,FALSE)+SUM(_xlfn.XLOOKUP($R83:$AF83,增益!$A:$A,增益!$D:$D,0))-$I$2</f>
        <v>3742.006</v>
      </c>
      <c r="AP83" s="33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0.217</v>
      </c>
      <c r="AQ83" s="33" cm="1">
        <f t="array" ref="AQ83">$G$10+VLOOKUP($Q83,武学奇术!$A:$ZZ,7,FALSE)+SUM(_xlfn.XLOOKUP(R83:AF83,增益!$A:$A,增益!$G:$G,0))</f>
        <v>0.09</v>
      </c>
      <c r="AR83" s="27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3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3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33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3" cm="1">
        <f t="array" ref="AZ83">$G$12+VLOOKUP($Q83,武学奇术!$A:$ZZ,12,FALSE)+SUM(_xlfn.XLOOKUP(R83:AF83,增益!$A:$A,增益!$L:$L,0))</f>
        <v>0</v>
      </c>
      <c r="BA83">
        <f t="shared" si="16"/>
        <v>0</v>
      </c>
      <c r="BB83">
        <f t="shared" si="17"/>
        <v>0</v>
      </c>
      <c r="BC83" s="33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-0.3</v>
      </c>
      <c r="BD83" s="33" cm="1">
        <f t="array" ref="BD83">$G$13+VLOOKUP($Q83,武学奇术!$A:$ZZ,14,FALSE)+SUM(_xlfn.XLOOKUP(R83:AF83,增益!$A:$A,增益!$N:$N,0))</f>
        <v>0</v>
      </c>
      <c r="BE83">
        <f t="shared" si="18"/>
        <v>570.28</v>
      </c>
      <c r="BF83">
        <f t="shared" si="19"/>
        <v>1582.156</v>
      </c>
      <c r="BG83" s="33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</v>
      </c>
      <c r="BH83" s="33" cm="1">
        <f t="array" ref="BH83">$G$14+VLOOKUP($Q83,武学奇术!$A:$ZZ,16,FALSE)+SUM(_xlfn.XLOOKUP(R83:AF83,增益!$A:$A,增益!$P:$P,0))</f>
        <v>0.24</v>
      </c>
      <c r="BI83" s="27">
        <f>MIN(IF(VLOOKUP($Q83,武学奇术!$A:$ZZ,23,FALSE)=1,100%,$B$8),100%)</f>
        <v>1</v>
      </c>
      <c r="BJ83" s="27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+MIN(IF(VLOOKUP($Q83,武学奇术!$A:$ZZ,32,FALSE)=1,IF(VLOOKUP($Q83,武学奇术!$A:$ZZ,24,FALSE)=1,100%,MIN(40%,$B$10+VLOOKUP($Q83,武学奇术!$A:$ZZ,19,FALSE)+SUM(_xlfn.XLOOKUP(R83:AF83,增益!$A:$A,增益!$S:$S,0)))+$B$12+SUM(_xlfn.XLOOKUP(R83:AF83,增益!$A:$A,增益!$V:$V,0))),0),12%)</f>
        <v>0.918</v>
      </c>
      <c r="BK83" s="27" cm="1">
        <f t="array" ref="BK83">1+$B$13+VLOOKUP($Q83,武学奇术!$A:$ZZ,18,FALSE)+SUM(_xlfn.XLOOKUP(R83:AF83,增益!$A:$A,增益!$R:$R,0))</f>
        <v>1.64</v>
      </c>
      <c r="BL83" s="27" cm="1">
        <f t="array" ref="BL83">MAX(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-IF(VLOOKUP($Q83,武学奇术!$A:$ZZ,32,FALSE)=1,12%,0),0)</f>
        <v>0.0895</v>
      </c>
      <c r="BM83" s="27" cm="1">
        <f t="array" ref="BM83">1+$B$14+VLOOKUP($Q83,武学奇术!$A:$ZZ,20,FALSE)+SUM(_xlfn.XLOOKUP(R83:AF83,增益!$A:$A,增益!$T:$T,0))</f>
        <v>1.35</v>
      </c>
      <c r="BN83" s="27">
        <f t="shared" si="20"/>
        <v>0.9105</v>
      </c>
      <c r="BO83" s="27">
        <f t="shared" si="21"/>
        <v>0</v>
      </c>
      <c r="BP83" s="27">
        <f>IF(VLOOKUP($Q83,武学奇术!$A:$ZZ,22,FALSE)=1,0,(1-$BI83))*(1-$BL83)</f>
        <v>0</v>
      </c>
      <c r="BQ83" s="27" cm="1">
        <f t="array" ref="BQ83">SUM(_xlfn.XLOOKUP(R83:AF83,增益!$A:$A,增益!$W:$W,0))+$I$5</f>
        <v>0.11</v>
      </c>
    </row>
    <row r="84" spans="1:69">
      <c r="K84" s="39">
        <f t="shared" si="11"/>
        <v>902429.216230952</v>
      </c>
      <c r="L84" s="39">
        <f>((($AN84+($AO84-$AN84)*IF(VLOOKUP($Q84,武学奇术!$A:$ZZ,31,FALSE)=1,$F$18,0.5))*$AH84+$AI84)*(1+$AP84)*(1+$AQ84)+(($AS84+($AT84-$AS84)*IF(VLOOKUP($Q84,武学奇术!$A:$ZZ,31,FALSE)=1,$F$18,0.5))*IF($G$1="鸣金",$AJ84,$AH84)+IF($G$1="鸣金",$AK84*1.5,0))*(1+$AU84)*(1+$AV84)+(($AW84+($AX84-$AW84)*IF(VLOOKUP($Q84,武学奇术!$A:$ZZ,31,FALSE)=1,$F$18,0.5))*IF($G$1="裂石",$AJ84,$AH84)+IF($G$1="裂石",$AK84*1.5,0))*(1+$AY84)*(1+$AZ84)+(($BA84+($BB84-$BA84)*IF(VLOOKUP($Q84,武学奇术!$A:$ZZ,31,FALSE)=1,$F$18,0.5))*IF($G$1="牵丝",$AJ84,$AH84)+IF($G$1="牵丝",$AK84*1.5,0))*(1+$BC84)*(1+$BD84)+(($BE84+($BF84-$BE84)*IF(VLOOKUP($Q84,武学奇术!$A:$ZZ,31,FALSE)=1,$F$18,0.5))*IF($G$1="破竹",$AJ84,$AH84)+IF($G$1="破竹",$AK84*1.5,0))*(1+$BG84)*(1+$BH84))*(1+$AL84)*$BK84*$P84*(1+IF(VLOOKUP($Q84,武学奇术!$A:$ZZ,30,FALSE)="蓄力技",$B$21,0))*(1+$BQ84)</f>
        <v>902429.216230952</v>
      </c>
      <c r="M84" s="39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566920.1878137</v>
      </c>
      <c r="N84" s="39">
        <f>((($AN84+($AO84-$AN84)*IF(VLOOKUP($Q84,武学奇术!$A:$ZZ,31,FALSE)=1,$F$18,0.5))*$AH84+$AI84)*(1+$AP84)*(1+$AQ84)+(($AS84+($AT84-$AS84)*IF(VLOOKUP($Q84,武学奇术!$A:$ZZ,31,FALSE)=1,$F$18,0.5))*IF($G$1="鸣金",$AJ84,$AH84)+IF($G$1="鸣金",$AK84*1.5,0))*(1+$AU84)*(1+$AV84)+(($AW84+($AX84-$AW84)*IF(VLOOKUP($Q84,武学奇术!$A:$ZZ,31,FALSE)=1,$F$18,0.5))*IF($G$1="裂石",$AJ84,$AH84)+IF($G$1="裂石",$AK84*1.5,0))*(1+$AY84)*(1+$AZ84)+(($BA84+($BB84-$BA84)*IF(VLOOKUP($Q84,武学奇术!$A:$ZZ,31,FALSE)=1,$F$18,0.5))*IF($G$1="牵丝",$AJ84,$AH84)+IF($G$1="牵丝",$AK84*1.5,0))*(1+$BC84)*(1+$BD84)+(($BE84+($BF84-$BE84)*IF(VLOOKUP($Q84,武学奇术!$A:$ZZ,31,FALSE)=1,$F$18,0.5))*IF($G$1="破竹",$AJ84,$AH84)+IF($G$1="破竹",$AK84*1.5,0))*(1+$BG84)*(1+$BH84))*(1+$AL84)*$P84*(1+IF(VLOOKUP($Q84,武学奇术!$A:$ZZ,30,FALSE)="蓄力技",$B$21,0))*(1+$BQ84)</f>
        <v>377585.446121737</v>
      </c>
      <c r="O84" s="39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335230.012381474</v>
      </c>
      <c r="P84" s="40">
        <v>1</v>
      </c>
      <c r="Q84" s="41" t="s">
        <v>125</v>
      </c>
      <c r="R84" s="41" t="s">
        <v>93</v>
      </c>
      <c r="S84" s="41" t="s">
        <v>118</v>
      </c>
      <c r="T84" s="41" t="s">
        <v>119</v>
      </c>
      <c r="U84" s="41" t="s">
        <v>72</v>
      </c>
      <c r="V84" s="41" t="s">
        <v>72</v>
      </c>
      <c r="W84" s="41" t="s">
        <v>72</v>
      </c>
      <c r="X84" s="41" t="s">
        <v>165</v>
      </c>
      <c r="Y84" s="41" t="s">
        <v>72</v>
      </c>
      <c r="Z84" s="41" t="s">
        <v>101</v>
      </c>
      <c r="AA84" s="41" t="s">
        <v>72</v>
      </c>
      <c r="AB84" s="41" t="s">
        <v>72</v>
      </c>
      <c r="AC84" s="41" t="s">
        <v>72</v>
      </c>
      <c r="AD84" s="41" t="s">
        <v>72</v>
      </c>
      <c r="AE84" s="41" t="s">
        <v>75</v>
      </c>
      <c r="AF84" s="41" t="s">
        <v>76</v>
      </c>
      <c r="AG84" t="str">
        <f>VLOOKUP($Q84,武学奇术!$A:$ZZ,25,FALSE)</f>
        <v>拳甲</v>
      </c>
      <c r="AH84" s="27">
        <f>VLOOKUP($Q84,武学奇术!$A:$ZZ,26,FALSE)</f>
        <v>16.8107</v>
      </c>
      <c r="AI84" s="28">
        <f>VLOOKUP($Q84,武学奇术!$A:$ZZ,27,FALSE)*(1+IF(OR($AG84=$F$4,$AG84=$F$5),$B$22,0))</f>
        <v>6505.8</v>
      </c>
      <c r="AJ84" s="27">
        <f>VLOOKUP($Q84,武学奇术!$A:$ZZ,28,FALSE)</f>
        <v>25.2161</v>
      </c>
      <c r="AK84" s="28">
        <f>VLOOKUP($Q84,武学奇术!$A:$ZZ,29,FALSE)*(1+IF(OR($AG84=$F$4,$AG84=$F$5),$B$22,0))</f>
        <v>3546.2</v>
      </c>
      <c r="AL84" s="27" cm="1">
        <f t="array" ref="AL84">$G$3+IFERROR(VLOOKUP($AG84,$F$4:$G$7,2,FALSE),0)+VLOOKUP($Q84,武学奇术!$A:$ZZ,2,FALSE)+SUM(_xlfn.XLOOKUP($R84:$AF84,增益!$A:$A,增益!$B:$B,0))</f>
        <v>0.7741</v>
      </c>
      <c r="AM84" s="27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3742.006</v>
      </c>
      <c r="AO84" cm="1">
        <f t="array" ref="AO84">$E$10*(1+$AM84)+VLOOKUP($Q84,武学奇术!$A:$ZZ,4,FALSE)+SUM(_xlfn.XLOOKUP($R84:$AF84,增益!$A:$A,增益!$D:$D,0))-$I$2</f>
        <v>3742.006</v>
      </c>
      <c r="AP84" s="33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0.372</v>
      </c>
      <c r="AQ84" s="33" cm="1">
        <f t="array" ref="AQ84">$G$10+VLOOKUP($Q84,武学奇术!$A:$ZZ,7,FALSE)+SUM(_xlfn.XLOOKUP(R84:AF84,增益!$A:$A,增益!$G:$G,0))</f>
        <v>0.09</v>
      </c>
      <c r="AR84" s="27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3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-0.24</v>
      </c>
      <c r="AV84" s="33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33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-0.24</v>
      </c>
      <c r="AZ84" s="33" cm="1">
        <f t="array" ref="AZ84">$G$12+VLOOKUP($Q84,武学奇术!$A:$ZZ,12,FALSE)+SUM(_xlfn.XLOOKUP(R84:AF84,增益!$A:$A,增益!$L:$L,0))</f>
        <v>0</v>
      </c>
      <c r="BA84">
        <f t="shared" si="16"/>
        <v>0</v>
      </c>
      <c r="BB84">
        <f t="shared" si="17"/>
        <v>0</v>
      </c>
      <c r="BC84" s="33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-0.24</v>
      </c>
      <c r="BD84" s="33" cm="1">
        <f t="array" ref="BD84">$G$13+VLOOKUP($Q84,武学奇术!$A:$ZZ,14,FALSE)+SUM(_xlfn.XLOOKUP(R84:AF84,增益!$A:$A,增益!$N:$N,0))</f>
        <v>0</v>
      </c>
      <c r="BE84">
        <f t="shared" si="18"/>
        <v>570.28</v>
      </c>
      <c r="BF84">
        <f t="shared" si="19"/>
        <v>1582.156</v>
      </c>
      <c r="BG84" s="33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0.03</v>
      </c>
      <c r="BH84" s="33" cm="1">
        <f t="array" ref="BH84">$G$14+VLOOKUP($Q84,武学奇术!$A:$ZZ,16,FALSE)+SUM(_xlfn.XLOOKUP(R84:AF84,增益!$A:$A,增益!$P:$P,0))</f>
        <v>0.24</v>
      </c>
      <c r="BI84" s="27">
        <f>MIN(IF(VLOOKUP($Q84,武学奇术!$A:$ZZ,23,FALSE)=1,100%,$B$8),100%)</f>
        <v>1</v>
      </c>
      <c r="BJ84" s="27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+MIN(IF(VLOOKUP($Q84,武学奇术!$A:$ZZ,32,FALSE)=1,IF(VLOOKUP($Q84,武学奇术!$A:$ZZ,24,FALSE)=1,100%,MIN(40%,$B$10+VLOOKUP($Q84,武学奇术!$A:$ZZ,19,FALSE)+SUM(_xlfn.XLOOKUP(R84:AF84,增益!$A:$A,增益!$S:$S,0)))+$B$12+SUM(_xlfn.XLOOKUP(R84:AF84,增益!$A:$A,增益!$V:$V,0))),0),12%)</f>
        <v>1.0075</v>
      </c>
      <c r="BK84" s="27" cm="1">
        <f t="array" ref="BK84">1+$B$13+VLOOKUP($Q84,武学奇术!$A:$ZZ,18,FALSE)+SUM(_xlfn.XLOOKUP(R84:AF84,增益!$A:$A,增益!$R:$R,0))</f>
        <v>2.39</v>
      </c>
      <c r="BL84" s="27" cm="1">
        <f t="array" ref="BL84">MAX(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-IF(VLOOKUP($Q84,武学奇术!$A:$ZZ,32,FALSE)=1,12%,0),0)</f>
        <v>0</v>
      </c>
      <c r="BM84" s="27" cm="1">
        <f t="array" ref="BM84">1+$B$14+VLOOKUP($Q84,武学奇术!$A:$ZZ,20,FALSE)+SUM(_xlfn.XLOOKUP(R84:AF84,增益!$A:$A,增益!$T:$T,0))</f>
        <v>1.35</v>
      </c>
      <c r="BN84" s="27">
        <f t="shared" si="20"/>
        <v>1</v>
      </c>
      <c r="BO84" s="27">
        <f t="shared" si="21"/>
        <v>0</v>
      </c>
      <c r="BP84" s="27">
        <f>IF(VLOOKUP($Q84,武学奇术!$A:$ZZ,22,FALSE)=1,0,(1-$BI84))*(1-$BL84)</f>
        <v>0</v>
      </c>
      <c r="BQ84" s="27" cm="1">
        <f t="array" ref="BQ84">SUM(_xlfn.XLOOKUP(R84:AF84,增益!$A:$A,增益!$W:$W,0))+$I$5</f>
        <v>0.11</v>
      </c>
    </row>
    <row r="85" spans="1:69">
      <c r="A85" s="4"/>
      <c r="B85" s="4"/>
      <c r="K85" s="39">
        <f t="shared" si="11"/>
        <v>347446.690503944</v>
      </c>
      <c r="L85" s="39">
        <f>((($AN85+($AO85-$AN85)*IF(VLOOKUP($Q85,武学奇术!$A:$ZZ,31,FALSE)=1,$F$18,0.5))*$AH85+$AI85)*(1+$AP85)*(1+$AQ85)+(($AS85+($AT85-$AS85)*IF(VLOOKUP($Q85,武学奇术!$A:$ZZ,31,FALSE)=1,$F$18,0.5))*IF($G$1="鸣金",$AJ85,$AH85)+IF($G$1="鸣金",$AK85*1.5,0))*(1+$AU85)*(1+$AV85)+(($AW85+($AX85-$AW85)*IF(VLOOKUP($Q85,武学奇术!$A:$ZZ,31,FALSE)=1,$F$18,0.5))*IF($G$1="裂石",$AJ85,$AH85)+IF($G$1="裂石",$AK85*1.5,0))*(1+$AY85)*(1+$AZ85)+(($BA85+($BB85-$BA85)*IF(VLOOKUP($Q85,武学奇术!$A:$ZZ,31,FALSE)=1,$F$18,0.5))*IF($G$1="牵丝",$AJ85,$AH85)+IF($G$1="牵丝",$AK85*1.5,0))*(1+$BC85)*(1+$BD85)+(($BE85+($BF85-$BE85)*IF(VLOOKUP($Q85,武学奇术!$A:$ZZ,31,FALSE)=1,$F$18,0.5))*IF($G$1="破竹",$AJ85,$AH85)+IF($G$1="破竹",$AK85*1.5,0))*(1+$BG85)*(1+$BH85))*(1+$AL85)*$BK85*$P85*(1+IF(VLOOKUP($Q85,武学奇术!$A:$ZZ,30,FALSE)="蓄力技",$B$21,0))*(1+$BQ85)</f>
        <v>347446.690503944</v>
      </c>
      <c r="M85" s="39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218270.920315498</v>
      </c>
      <c r="N85" s="39">
        <f>((($AN85+($AO85-$AN85)*IF(VLOOKUP($Q85,武学奇术!$A:$ZZ,31,FALSE)=1,$F$18,0.5))*$AH85+$AI85)*(1+$AP85)*(1+$AQ85)+(($AS85+($AT85-$AS85)*IF(VLOOKUP($Q85,武学奇术!$A:$ZZ,31,FALSE)=1,$F$18,0.5))*IF($G$1="鸣金",$AJ85,$AH85)+IF($G$1="鸣金",$AK85*1.5,0))*(1+$AU85)*(1+$AV85)+(($AW85+($AX85-$AW85)*IF(VLOOKUP($Q85,武学奇术!$A:$ZZ,31,FALSE)=1,$F$18,0.5))*IF($G$1="裂石",$AJ85,$AH85)+IF($G$1="裂石",$AK85*1.5,0))*(1+$AY85)*(1+$AZ85)+(($BA85+($BB85-$BA85)*IF(VLOOKUP($Q85,武学奇术!$A:$ZZ,31,FALSE)=1,$F$18,0.5))*IF($G$1="牵丝",$AJ85,$AH85)+IF($G$1="牵丝",$AK85*1.5,0))*(1+$BC85)*(1+$BD85)+(($BE85+($BF85-$BE85)*IF(VLOOKUP($Q85,武学奇术!$A:$ZZ,31,FALSE)=1,$F$18,0.5))*IF($G$1="破竹",$AJ85,$AH85)+IF($G$1="破竹",$AK85*1.5,0))*(1+$BG85)*(1+$BH85))*(1+$AL85)*$P85*(1+IF(VLOOKUP($Q85,武学奇术!$A:$ZZ,30,FALSE)="蓄力技",$B$21,0))*(1+$BQ85)</f>
        <v>145375.184311274</v>
      </c>
      <c r="O85" s="39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129068.205425882</v>
      </c>
      <c r="P85" s="40">
        <v>1</v>
      </c>
      <c r="Q85" s="41" t="s">
        <v>129</v>
      </c>
      <c r="R85" s="41" t="s">
        <v>93</v>
      </c>
      <c r="S85" s="41" t="s">
        <v>118</v>
      </c>
      <c r="T85" s="41" t="s">
        <v>119</v>
      </c>
      <c r="U85" s="41" t="s">
        <v>72</v>
      </c>
      <c r="V85" s="41" t="s">
        <v>72</v>
      </c>
      <c r="W85" s="41" t="s">
        <v>72</v>
      </c>
      <c r="X85" s="41" t="s">
        <v>165</v>
      </c>
      <c r="Y85" s="41" t="s">
        <v>72</v>
      </c>
      <c r="Z85" s="41" t="s">
        <v>101</v>
      </c>
      <c r="AA85" s="41" t="s">
        <v>72</v>
      </c>
      <c r="AB85" s="41" t="s">
        <v>72</v>
      </c>
      <c r="AC85" s="41" t="s">
        <v>72</v>
      </c>
      <c r="AD85" s="41" t="s">
        <v>72</v>
      </c>
      <c r="AE85" s="41" t="s">
        <v>75</v>
      </c>
      <c r="AF85" s="41" t="s">
        <v>76</v>
      </c>
      <c r="AG85" t="str">
        <f>VLOOKUP($Q85,武学奇术!$A:$ZZ,25,FALSE)</f>
        <v>拳甲</v>
      </c>
      <c r="AH85" s="27">
        <f>VLOOKUP($Q85,武学奇术!$A:$ZZ,26,FALSE)</f>
        <v>6.4722</v>
      </c>
      <c r="AI85" s="28">
        <f>VLOOKUP($Q85,武学奇术!$A:$ZZ,27,FALSE)*(1+IF(OR($AG85=$F$4,$AG85=$F$5),$B$22,0))</f>
        <v>2504.88</v>
      </c>
      <c r="AJ85" s="27">
        <f>VLOOKUP($Q85,武学奇术!$A:$ZZ,28,FALSE)</f>
        <v>9.70828</v>
      </c>
      <c r="AK85" s="28">
        <f>VLOOKUP($Q85,武学奇术!$A:$ZZ,29,FALSE)*(1+IF(OR($AG85=$F$4,$AG85=$F$5),$B$22,0))</f>
        <v>1365.84</v>
      </c>
      <c r="AL85" s="27" cm="1">
        <f t="array" ref="AL85">$G$3+IFERROR(VLOOKUP($AG85,$F$4:$G$7,2,FALSE),0)+VLOOKUP($Q85,武学奇术!$A:$ZZ,2,FALSE)+SUM(_xlfn.XLOOKUP($R85:$AF85,增益!$A:$A,增益!$B:$B,0))</f>
        <v>0.7741</v>
      </c>
      <c r="AM85" s="27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3742.006</v>
      </c>
      <c r="AO85" cm="1">
        <f t="array" ref="AO85">$E$10*(1+$AM85)+VLOOKUP($Q85,武学奇术!$A:$ZZ,4,FALSE)+SUM(_xlfn.XLOOKUP($R85:$AF85,增益!$A:$A,增益!$D:$D,0))-$I$2</f>
        <v>3742.006</v>
      </c>
      <c r="AP85" s="33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0.372</v>
      </c>
      <c r="AQ85" s="33" cm="1">
        <f t="array" ref="AQ85">$G$10+VLOOKUP($Q85,武学奇术!$A:$ZZ,7,FALSE)+SUM(_xlfn.XLOOKUP(R85:AF85,增益!$A:$A,增益!$G:$G,0))</f>
        <v>0.09</v>
      </c>
      <c r="AR85" s="27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3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-0.24</v>
      </c>
      <c r="AV85" s="33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33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-0.24</v>
      </c>
      <c r="AZ85" s="33" cm="1">
        <f t="array" ref="AZ85">$G$12+VLOOKUP($Q85,武学奇术!$A:$ZZ,12,FALSE)+SUM(_xlfn.XLOOKUP(R85:AF85,增益!$A:$A,增益!$L:$L,0))</f>
        <v>0</v>
      </c>
      <c r="BA85">
        <f t="shared" si="16"/>
        <v>0</v>
      </c>
      <c r="BB85">
        <f t="shared" si="17"/>
        <v>0</v>
      </c>
      <c r="BC85" s="33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-0.24</v>
      </c>
      <c r="BD85" s="33" cm="1">
        <f t="array" ref="BD85">$G$13+VLOOKUP($Q85,武学奇术!$A:$ZZ,14,FALSE)+SUM(_xlfn.XLOOKUP(R85:AF85,增益!$A:$A,增益!$N:$N,0))</f>
        <v>0</v>
      </c>
      <c r="BE85">
        <f t="shared" si="18"/>
        <v>570.28</v>
      </c>
      <c r="BF85">
        <f t="shared" si="19"/>
        <v>1582.156</v>
      </c>
      <c r="BG85" s="33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0.03</v>
      </c>
      <c r="BH85" s="33" cm="1">
        <f t="array" ref="BH85">$G$14+VLOOKUP($Q85,武学奇术!$A:$ZZ,16,FALSE)+SUM(_xlfn.XLOOKUP(R85:AF85,增益!$A:$A,增益!$P:$P,0))</f>
        <v>0.24</v>
      </c>
      <c r="BI85" s="27">
        <f>MIN(IF(VLOOKUP($Q85,武学奇术!$A:$ZZ,23,FALSE)=1,100%,$B$8),100%)</f>
        <v>1</v>
      </c>
      <c r="BJ85" s="27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+MIN(IF(VLOOKUP($Q85,武学奇术!$A:$ZZ,32,FALSE)=1,IF(VLOOKUP($Q85,武学奇术!$A:$ZZ,24,FALSE)=1,100%,MIN(40%,$B$10+VLOOKUP($Q85,武学奇术!$A:$ZZ,19,FALSE)+SUM(_xlfn.XLOOKUP(R85:AF85,增益!$A:$A,增益!$S:$S,0)))+$B$12+SUM(_xlfn.XLOOKUP(R85:AF85,增益!$A:$A,增益!$V:$V,0))),0),12%)</f>
        <v>1.0075</v>
      </c>
      <c r="BK85" s="27" cm="1">
        <f t="array" ref="BK85">1+$B$13+VLOOKUP($Q85,武学奇术!$A:$ZZ,18,FALSE)+SUM(_xlfn.XLOOKUP(R85:AF85,增益!$A:$A,增益!$R:$R,0))</f>
        <v>2.39</v>
      </c>
      <c r="BL85" s="27" cm="1">
        <f t="array" ref="BL85">MAX(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-IF(VLOOKUP($Q85,武学奇术!$A:$ZZ,32,FALSE)=1,12%,0),0)</f>
        <v>0</v>
      </c>
      <c r="BM85" s="27" cm="1">
        <f t="array" ref="BM85">1+$B$14+VLOOKUP($Q85,武学奇术!$A:$ZZ,20,FALSE)+SUM(_xlfn.XLOOKUP(R85:AF85,增益!$A:$A,增益!$T:$T,0))</f>
        <v>1.35</v>
      </c>
      <c r="BN85" s="27">
        <f t="shared" si="20"/>
        <v>1</v>
      </c>
      <c r="BO85" s="27">
        <f t="shared" si="21"/>
        <v>0</v>
      </c>
      <c r="BP85" s="27">
        <f>IF(VLOOKUP($Q85,武学奇术!$A:$ZZ,22,FALSE)=1,0,(1-$BI85))*(1-$BL85)</f>
        <v>0</v>
      </c>
      <c r="BQ85" s="27" cm="1">
        <f t="array" ref="BQ85">SUM(_xlfn.XLOOKUP(R85:AF85,增益!$A:$A,增益!$W:$W,0))+$I$5</f>
        <v>0.11</v>
      </c>
    </row>
    <row r="86" spans="1:69">
      <c r="K86" s="39">
        <f t="shared" si="11"/>
        <v>25332.6135951579</v>
      </c>
      <c r="L86" s="39">
        <f>((($AN86+($AO86-$AN86)*IF(VLOOKUP($Q86,武学奇术!$A:$ZZ,31,FALSE)=1,$F$18,0.5))*$AH86+$AI86)*(1+$AP86)*(1+$AQ86)+(($AS86+($AT86-$AS86)*IF(VLOOKUP($Q86,武学奇术!$A:$ZZ,31,FALSE)=1,$F$18,0.5))*IF($G$1="鸣金",$AJ86,$AH86)+IF($G$1="鸣金",$AK86*1.5,0))*(1+$AU86)*(1+$AV86)+(($AW86+($AX86-$AW86)*IF(VLOOKUP($Q86,武学奇术!$A:$ZZ,31,FALSE)=1,$F$18,0.5))*IF($G$1="裂石",$AJ86,$AH86)+IF($G$1="裂石",$AK86*1.5,0))*(1+$AY86)*(1+$AZ86)+(($BA86+($BB86-$BA86)*IF(VLOOKUP($Q86,武学奇术!$A:$ZZ,31,FALSE)=1,$F$18,0.5))*IF($G$1="牵丝",$AJ86,$AH86)+IF($G$1="牵丝",$AK86*1.5,0))*(1+$BC86)*(1+$BD86)+(($BE86+($BF86-$BE86)*IF(VLOOKUP($Q86,武学奇术!$A:$ZZ,31,FALSE)=1,$F$18,0.5))*IF($G$1="破竹",$AJ86,$AH86)+IF($G$1="破竹",$AK86*1.5,0))*(1+$BG86)*(1+$BH86))*(1+$AL86)*$BK86*$P86*(1+IF(VLOOKUP($Q86,武学奇术!$A:$ZZ,30,FALSE)="蓄力技",$B$21,0))*(1+$BQ86)</f>
        <v>25499.4670480562</v>
      </c>
      <c r="M86" s="39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23635.1826581315</v>
      </c>
      <c r="N86" s="39">
        <f>((($AN86+($AO86-$AN86)*IF(VLOOKUP($Q86,武学奇术!$A:$ZZ,31,FALSE)=1,$F$18,0.5))*$AH86+$AI86)*(1+$AP86)*(1+$AQ86)+(($AS86+($AT86-$AS86)*IF(VLOOKUP($Q86,武学奇术!$A:$ZZ,31,FALSE)=1,$F$18,0.5))*IF($G$1="鸣金",$AJ86,$AH86)+IF($G$1="鸣金",$AK86*1.5,0))*(1+$AU86)*(1+$AV86)+(($AW86+($AX86-$AW86)*IF(VLOOKUP($Q86,武学奇术!$A:$ZZ,31,FALSE)=1,$F$18,0.5))*IF($G$1="裂石",$AJ86,$AH86)+IF($G$1="裂石",$AK86*1.5,0))*(1+$AY86)*(1+$AZ86)+(($BA86+($BB86-$BA86)*IF(VLOOKUP($Q86,武学奇术!$A:$ZZ,31,FALSE)=1,$F$18,0.5))*IF($G$1="牵丝",$AJ86,$AH86)+IF($G$1="牵丝",$AK86*1.5,0))*(1+$BC86)*(1+$BD86)+(($BE86+($BF86-$BE86)*IF(VLOOKUP($Q86,武学奇术!$A:$ZZ,31,FALSE)=1,$F$18,0.5))*IF($G$1="破竹",$AJ86,$AH86)+IF($G$1="破竹",$AK86*1.5,0))*(1+$BG86)*(1+$BH86))*(1+$AL86)*$P86*(1+IF(VLOOKUP($Q86,武学奇术!$A:$ZZ,30,FALSE)="蓄力技",$B$21,0))*(1+$BQ86)</f>
        <v>15548.4555171074</v>
      </c>
      <c r="O86" s="39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13589.3683244879</v>
      </c>
      <c r="P86" s="40">
        <v>1</v>
      </c>
      <c r="Q86" s="41" t="s">
        <v>148</v>
      </c>
      <c r="R86" s="41" t="s">
        <v>93</v>
      </c>
      <c r="S86" s="41" t="s">
        <v>72</v>
      </c>
      <c r="T86" s="41" t="s">
        <v>119</v>
      </c>
      <c r="U86" s="41" t="s">
        <v>72</v>
      </c>
      <c r="V86" s="41" t="s">
        <v>72</v>
      </c>
      <c r="W86" s="41" t="s">
        <v>72</v>
      </c>
      <c r="X86" s="41" t="s">
        <v>165</v>
      </c>
      <c r="Y86" s="41" t="s">
        <v>81</v>
      </c>
      <c r="Z86" s="41" t="s">
        <v>72</v>
      </c>
      <c r="AA86" s="41" t="s">
        <v>72</v>
      </c>
      <c r="AB86" s="41" t="s">
        <v>72</v>
      </c>
      <c r="AC86" s="41" t="s">
        <v>72</v>
      </c>
      <c r="AD86" s="41" t="s">
        <v>72</v>
      </c>
      <c r="AE86" s="41" t="s">
        <v>75</v>
      </c>
      <c r="AF86" s="41" t="s">
        <v>76</v>
      </c>
      <c r="AG86" t="str">
        <f>VLOOKUP($Q86,武学奇术!$A:$ZZ,25,FALSE)</f>
        <v>绳镖</v>
      </c>
      <c r="AH86" s="27">
        <f>VLOOKUP($Q86,武学奇术!$A:$ZZ,26,FALSE)</f>
        <v>1.2503</v>
      </c>
      <c r="AI86" s="28">
        <f>VLOOKUP($Q86,武学奇术!$A:$ZZ,27,FALSE)*(1+IF(OR($AG86=$F$4,$AG86=$F$5),$B$22,0))</f>
        <v>485.8</v>
      </c>
      <c r="AJ86" s="27">
        <f>VLOOKUP($Q86,武学奇术!$A:$ZZ,28,FALSE)</f>
        <v>1.8755</v>
      </c>
      <c r="AK86" s="28">
        <f>VLOOKUP($Q86,武学奇术!$A:$ZZ,29,FALSE)*(1+IF(OR($AG86=$F$4,$AG86=$F$5),$B$22,0))</f>
        <v>264.6</v>
      </c>
      <c r="AL86" s="27" cm="1">
        <f t="array" ref="AL86">$G$3+IFERROR(VLOOKUP($AG86,$F$4:$G$7,2,FALSE),0)+VLOOKUP($Q86,武学奇术!$A:$ZZ,2,FALSE)+SUM(_xlfn.XLOOKUP($R86:$AF86,增益!$A:$A,增益!$B:$B,0))</f>
        <v>0.3889</v>
      </c>
      <c r="AM86" s="27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3742.006</v>
      </c>
      <c r="AO86" cm="1">
        <f t="array" ref="AO86">$E$10*(1+$AM86)+VLOOKUP($Q86,武学奇术!$A:$ZZ,4,FALSE)+SUM(_xlfn.XLOOKUP($R86:$AF86,增益!$A:$A,增益!$D:$D,0))-$I$2</f>
        <v>3742.006</v>
      </c>
      <c r="AP86" s="33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0.217</v>
      </c>
      <c r="AQ86" s="33" cm="1">
        <f t="array" ref="AQ86">$G$10+VLOOKUP($Q86,武学奇术!$A:$ZZ,7,FALSE)+SUM(_xlfn.XLOOKUP(R86:AF86,增益!$A:$A,增益!$G:$G,0))</f>
        <v>0.09</v>
      </c>
      <c r="AR86" s="27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3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-0.14</v>
      </c>
      <c r="AV86" s="33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33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-0.14</v>
      </c>
      <c r="AZ86" s="33" cm="1">
        <f t="array" ref="AZ86">$G$12+VLOOKUP($Q86,武学奇术!$A:$ZZ,12,FALSE)+SUM(_xlfn.XLOOKUP(R86:AF86,增益!$A:$A,增益!$L:$L,0))</f>
        <v>0</v>
      </c>
      <c r="BA86">
        <f t="shared" si="16"/>
        <v>0</v>
      </c>
      <c r="BB86">
        <f t="shared" si="17"/>
        <v>0</v>
      </c>
      <c r="BC86" s="33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-0.14</v>
      </c>
      <c r="BD86" s="33" cm="1">
        <f t="array" ref="BD86">$G$13+VLOOKUP($Q86,武学奇术!$A:$ZZ,14,FALSE)+SUM(_xlfn.XLOOKUP(R86:AF86,增益!$A:$A,增益!$N:$N,0))</f>
        <v>0</v>
      </c>
      <c r="BE86">
        <f t="shared" si="18"/>
        <v>570.28</v>
      </c>
      <c r="BF86">
        <f t="shared" si="19"/>
        <v>1582.156</v>
      </c>
      <c r="BG86" s="33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0.08</v>
      </c>
      <c r="BH86" s="33" cm="1">
        <f t="array" ref="BH86">$G$14+VLOOKUP($Q86,武学奇术!$A:$ZZ,16,FALSE)+SUM(_xlfn.XLOOKUP(R86:AF86,增益!$A:$A,增益!$P:$P,0))</f>
        <v>0.24</v>
      </c>
      <c r="BI86" s="27">
        <f>MIN(IF(VLOOKUP($Q86,武学奇术!$A:$ZZ,23,FALSE)=1,100%,$B$8),100%)</f>
        <v>1</v>
      </c>
      <c r="BJ86" s="27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+MIN(IF(VLOOKUP($Q86,武学奇术!$A:$ZZ,32,FALSE)=1,IF(VLOOKUP($Q86,武学奇术!$A:$ZZ,24,FALSE)=1,100%,MIN(40%,$B$10+VLOOKUP($Q86,武学奇术!$A:$ZZ,19,FALSE)+SUM(_xlfn.XLOOKUP(R86:AF86,增益!$A:$A,增益!$S:$S,0)))+$B$12+SUM(_xlfn.XLOOKUP(R86:AF86,增益!$A:$A,增益!$V:$V,0))),0),12%)</f>
        <v>0.918</v>
      </c>
      <c r="BK86" s="27" cm="1">
        <f t="array" ref="BK86">1+$B$13+VLOOKUP($Q86,武学奇术!$A:$ZZ,18,FALSE)+SUM(_xlfn.XLOOKUP(R86:AF86,增益!$A:$A,增益!$R:$R,0))</f>
        <v>1.64</v>
      </c>
      <c r="BL86" s="27" cm="1">
        <f t="array" ref="BL86">MAX(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-IF(VLOOKUP($Q86,武学奇术!$A:$ZZ,32,FALSE)=1,12%,0),0)</f>
        <v>0.0895</v>
      </c>
      <c r="BM86" s="27" cm="1">
        <f t="array" ref="BM86">1+$B$14+VLOOKUP($Q86,武学奇术!$A:$ZZ,20,FALSE)+SUM(_xlfn.XLOOKUP(R86:AF86,增益!$A:$A,增益!$T:$T,0))</f>
        <v>1.35</v>
      </c>
      <c r="BN86" s="27">
        <f t="shared" si="20"/>
        <v>0.9105</v>
      </c>
      <c r="BO86" s="27">
        <f t="shared" si="21"/>
        <v>0</v>
      </c>
      <c r="BP86" s="27">
        <f>IF(VLOOKUP($Q86,武学奇术!$A:$ZZ,22,FALSE)=1,0,(1-$BI86))*(1-$BL86)</f>
        <v>0</v>
      </c>
      <c r="BQ86" s="27" cm="1">
        <f t="array" ref="BQ86">SUM(_xlfn.XLOOKUP(R86:AF86,增益!$A:$A,增益!$W:$W,0))+$I$5</f>
        <v>0.11</v>
      </c>
    </row>
    <row r="87" spans="1:69">
      <c r="K87" s="39">
        <f t="shared" si="11"/>
        <v>50744.0991689397</v>
      </c>
      <c r="L87" s="39">
        <f>((($AN87+($AO87-$AN87)*IF(VLOOKUP($Q87,武学奇术!$A:$ZZ,31,FALSE)=1,$F$18,0.5))*$AH87+$AI87)*(1+$AP87)*(1+$AQ87)+(($AS87+($AT87-$AS87)*IF(VLOOKUP($Q87,武学奇术!$A:$ZZ,31,FALSE)=1,$F$18,0.5))*IF($G$1="鸣金",$AJ87,$AH87)+IF($G$1="鸣金",$AK87*1.5,0))*(1+$AU87)*(1+$AV87)+(($AW87+($AX87-$AW87)*IF(VLOOKUP($Q87,武学奇术!$A:$ZZ,31,FALSE)=1,$F$18,0.5))*IF($G$1="裂石",$AJ87,$AH87)+IF($G$1="裂石",$AK87*1.5,0))*(1+$AY87)*(1+$AZ87)+(($BA87+($BB87-$BA87)*IF(VLOOKUP($Q87,武学奇术!$A:$ZZ,31,FALSE)=1,$F$18,0.5))*IF($G$1="牵丝",$AJ87,$AH87)+IF($G$1="牵丝",$AK87*1.5,0))*(1+$BC87)*(1+$BD87)+(($BE87+($BF87-$BE87)*IF(VLOOKUP($Q87,武学奇术!$A:$ZZ,31,FALSE)=1,$F$18,0.5))*IF($G$1="破竹",$AJ87,$AH87)+IF($G$1="破竹",$AK87*1.5,0))*(1+$BG87)*(1+$BH87))*(1+$AL87)*$BK87*$P87*(1+IF(VLOOKUP($Q87,武学奇术!$A:$ZZ,30,FALSE)="蓄力技",$B$21,0))*(1+$BQ87)</f>
        <v>51690.9364878714</v>
      </c>
      <c r="M87" s="39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41111.7485668463</v>
      </c>
      <c r="N87" s="39">
        <f>((($AN87+($AO87-$AN87)*IF(VLOOKUP($Q87,武学奇术!$A:$ZZ,31,FALSE)=1,$F$18,0.5))*$AH87+$AI87)*(1+$AP87)*(1+$AQ87)+(($AS87+($AT87-$AS87)*IF(VLOOKUP($Q87,武学奇术!$A:$ZZ,31,FALSE)=1,$F$18,0.5))*IF($G$1="鸣金",$AJ87,$AH87)+IF($G$1="鸣金",$AK87*1.5,0))*(1+$AU87)*(1+$AV87)+(($AW87+($AX87-$AW87)*IF(VLOOKUP($Q87,武学奇术!$A:$ZZ,31,FALSE)=1,$F$18,0.5))*IF($G$1="裂石",$AJ87,$AH87)+IF($G$1="裂石",$AK87*1.5,0))*(1+$AY87)*(1+$AZ87)+(($BA87+($BB87-$BA87)*IF(VLOOKUP($Q87,武学奇术!$A:$ZZ,31,FALSE)=1,$F$18,0.5))*IF($G$1="牵丝",$AJ87,$AH87)+IF($G$1="牵丝",$AK87*1.5,0))*(1+$BC87)*(1+$BD87)+(($BE87+($BF87-$BE87)*IF(VLOOKUP($Q87,武学奇术!$A:$ZZ,31,FALSE)=1,$F$18,0.5))*IF($G$1="破竹",$AJ87,$AH87)+IF($G$1="破竹",$AK87*1.5,0))*(1+$BG87)*(1+$BH87))*(1+$AL87)*$P87*(1+IF(VLOOKUP($Q87,武学奇术!$A:$ZZ,30,FALSE)="蓄力技",$B$21,0))*(1+$BQ87)</f>
        <v>26644.8126226141</v>
      </c>
      <c r="O87" s="39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22836.4781586754</v>
      </c>
      <c r="P87" s="40">
        <v>1</v>
      </c>
      <c r="Q87" s="41" t="s">
        <v>149</v>
      </c>
      <c r="R87" s="41" t="s">
        <v>93</v>
      </c>
      <c r="S87" s="41" t="s">
        <v>72</v>
      </c>
      <c r="T87" s="41" t="s">
        <v>119</v>
      </c>
      <c r="U87" s="41" t="s">
        <v>72</v>
      </c>
      <c r="V87" s="41" t="s">
        <v>72</v>
      </c>
      <c r="W87" s="41" t="s">
        <v>72</v>
      </c>
      <c r="X87" s="41" t="s">
        <v>165</v>
      </c>
      <c r="Y87" s="41" t="s">
        <v>81</v>
      </c>
      <c r="Z87" s="41" t="s">
        <v>101</v>
      </c>
      <c r="AA87" s="41" t="s">
        <v>72</v>
      </c>
      <c r="AB87" s="41" t="s">
        <v>72</v>
      </c>
      <c r="AC87" s="41" t="s">
        <v>72</v>
      </c>
      <c r="AD87" s="41" t="s">
        <v>72</v>
      </c>
      <c r="AE87" s="41" t="s">
        <v>75</v>
      </c>
      <c r="AF87" s="41" t="s">
        <v>76</v>
      </c>
      <c r="AG87" t="str">
        <f>VLOOKUP($Q87,武学奇术!$A:$ZZ,25,FALSE)</f>
        <v>绳镖</v>
      </c>
      <c r="AH87" s="27">
        <f>VLOOKUP($Q87,武学奇术!$A:$ZZ,26,FALSE)</f>
        <v>1.9448</v>
      </c>
      <c r="AI87" s="28">
        <f>VLOOKUP($Q87,武学奇术!$A:$ZZ,27,FALSE)*(1+IF(OR($AG87=$F$4,$AG87=$F$5),$B$22,0))</f>
        <v>0</v>
      </c>
      <c r="AJ87" s="27">
        <f>VLOOKUP($Q87,武学奇术!$A:$ZZ,28,FALSE)</f>
        <v>2.9172</v>
      </c>
      <c r="AK87" s="28">
        <f>VLOOKUP($Q87,武学奇术!$A:$ZZ,29,FALSE)*(1+IF(OR($AG87=$F$4,$AG87=$F$5),$B$22,0))</f>
        <v>0</v>
      </c>
      <c r="AL87" s="27" cm="1">
        <f t="array" ref="AL87">$G$3+IFERROR(VLOOKUP($AG87,$F$4:$G$7,2,FALSE),0)+VLOOKUP($Q87,武学奇术!$A:$ZZ,2,FALSE)+SUM(_xlfn.XLOOKUP($R87:$AF87,增益!$A:$A,增益!$B:$B,0))</f>
        <v>0.6889</v>
      </c>
      <c r="AM87" s="27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3742.006</v>
      </c>
      <c r="AO87" cm="1">
        <f t="array" ref="AO87">$E$10*(1+$AM87)+VLOOKUP($Q87,武学奇术!$A:$ZZ,4,FALSE)+SUM(_xlfn.XLOOKUP($R87:$AF87,增益!$A:$A,增益!$D:$D,0))-$I$2</f>
        <v>3742.006</v>
      </c>
      <c r="AP87" s="33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0.247</v>
      </c>
      <c r="AQ87" s="33" cm="1">
        <f t="array" ref="AQ87">$G$10+VLOOKUP($Q87,武学奇术!$A:$ZZ,7,FALSE)+SUM(_xlfn.XLOOKUP(R87:AF87,增益!$A:$A,增益!$G:$G,0))</f>
        <v>0.09</v>
      </c>
      <c r="AR87" s="27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3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-0.08</v>
      </c>
      <c r="AV87" s="33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33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-0.08</v>
      </c>
      <c r="AZ87" s="33" cm="1">
        <f t="array" ref="AZ87">$G$12+VLOOKUP($Q87,武学奇术!$A:$ZZ,12,FALSE)+SUM(_xlfn.XLOOKUP(R87:AF87,增益!$A:$A,增益!$L:$L,0))</f>
        <v>0</v>
      </c>
      <c r="BA87">
        <f t="shared" si="16"/>
        <v>0</v>
      </c>
      <c r="BB87">
        <f t="shared" si="17"/>
        <v>0</v>
      </c>
      <c r="BC87" s="33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-0.08</v>
      </c>
      <c r="BD87" s="33" cm="1">
        <f t="array" ref="BD87">$G$13+VLOOKUP($Q87,武学奇术!$A:$ZZ,14,FALSE)+SUM(_xlfn.XLOOKUP(R87:AF87,增益!$A:$A,增益!$N:$N,0))</f>
        <v>0</v>
      </c>
      <c r="BE87">
        <f t="shared" si="18"/>
        <v>570.28</v>
      </c>
      <c r="BF87">
        <f t="shared" si="19"/>
        <v>1582.156</v>
      </c>
      <c r="BG87" s="33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0.11</v>
      </c>
      <c r="BH87" s="33" cm="1">
        <f t="array" ref="BH87">$G$14+VLOOKUP($Q87,武学奇术!$A:$ZZ,16,FALSE)+SUM(_xlfn.XLOOKUP(R87:AF87,增益!$A:$A,增益!$P:$P,0))</f>
        <v>0.24</v>
      </c>
      <c r="BI87" s="27">
        <f>MIN(IF(VLOOKUP($Q87,武学奇术!$A:$ZZ,23,FALSE)=1,100%,$B$8),100%)</f>
        <v>1</v>
      </c>
      <c r="BJ87" s="27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+MIN(IF(VLOOKUP($Q87,武学奇术!$A:$ZZ,32,FALSE)=1,IF(VLOOKUP($Q87,武学奇术!$A:$ZZ,24,FALSE)=1,100%,MIN(40%,$B$10+VLOOKUP($Q87,武学奇术!$A:$ZZ,19,FALSE)+SUM(_xlfn.XLOOKUP(R87:AF87,增益!$A:$A,增益!$S:$S,0)))+$B$12+SUM(_xlfn.XLOOKUP(R87:AF87,增益!$A:$A,增益!$V:$V,0))),0),12%)</f>
        <v>0.918</v>
      </c>
      <c r="BK87" s="27" cm="1">
        <f t="array" ref="BK87">1+$B$13+VLOOKUP($Q87,武学奇术!$A:$ZZ,18,FALSE)+SUM(_xlfn.XLOOKUP(R87:AF87,增益!$A:$A,增益!$R:$R,0))</f>
        <v>1.94</v>
      </c>
      <c r="BL87" s="27" cm="1">
        <f t="array" ref="BL87">MAX(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-IF(VLOOKUP($Q87,武学奇术!$A:$ZZ,32,FALSE)=1,12%,0),0)</f>
        <v>0.0895</v>
      </c>
      <c r="BM87" s="27" cm="1">
        <f t="array" ref="BM87">1+$B$14+VLOOKUP($Q87,武学奇术!$A:$ZZ,20,FALSE)+SUM(_xlfn.XLOOKUP(R87:AF87,增益!$A:$A,增益!$T:$T,0))</f>
        <v>1.35</v>
      </c>
      <c r="BN87" s="27">
        <f t="shared" si="20"/>
        <v>0.9105</v>
      </c>
      <c r="BO87" s="27">
        <f t="shared" si="21"/>
        <v>0</v>
      </c>
      <c r="BP87" s="27">
        <f>IF(VLOOKUP($Q87,武学奇术!$A:$ZZ,22,FALSE)=1,0,(1-$BI87))*(1-$BL87)</f>
        <v>0</v>
      </c>
      <c r="BQ87" s="27" cm="1">
        <f t="array" ref="BQ87">SUM(_xlfn.XLOOKUP(R87:AF87,增益!$A:$A,增益!$W:$W,0))+$I$5</f>
        <v>0.11</v>
      </c>
    </row>
    <row r="88" spans="1:69">
      <c r="A88" s="4"/>
      <c r="B88" s="91"/>
      <c r="K88" s="39">
        <f t="shared" si="11"/>
        <v>10073.6876243176</v>
      </c>
      <c r="L88" s="39">
        <f>((($AN88+($AO88-$AN88)*IF(VLOOKUP($Q88,武学奇术!$A:$ZZ,31,FALSE)=1,$F$18,0.5))*$AH88+$AI88)*(1+$AP88)*(1+$AQ88)+(($AS88+($AT88-$AS88)*IF(VLOOKUP($Q88,武学奇术!$A:$ZZ,31,FALSE)=1,$F$18,0.5))*IF($G$1="鸣金",$AJ88,$AH88)+IF($G$1="鸣金",$AK88*1.5,0))*(1+$AU88)*(1+$AV88)+(($AW88+($AX88-$AW88)*IF(VLOOKUP($Q88,武学奇术!$A:$ZZ,31,FALSE)=1,$F$18,0.5))*IF($G$1="裂石",$AJ88,$AH88)+IF($G$1="裂石",$AK88*1.5,0))*(1+$AY88)*(1+$AZ88)+(($BA88+($BB88-$BA88)*IF(VLOOKUP($Q88,武学奇术!$A:$ZZ,31,FALSE)=1,$F$18,0.5))*IF($G$1="牵丝",$AJ88,$AH88)+IF($G$1="牵丝",$AK88*1.5,0))*(1+$BC88)*(1+$BD88)+(($BE88+($BF88-$BE88)*IF(VLOOKUP($Q88,武学奇术!$A:$ZZ,31,FALSE)=1,$F$18,0.5))*IF($G$1="破竹",$AJ88,$AH88)+IF($G$1="破竹",$AK88*1.5,0))*(1+$BG88)*(1+$BH88))*(1+$AL88)*$BK88*$P88*(1+IF(VLOOKUP($Q88,武学奇术!$A:$ZZ,30,FALSE)="蓄力技",$B$21,0))*(1+$BQ88)</f>
        <v>10139.9746232323</v>
      </c>
      <c r="M88" s="39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9399.33776385084</v>
      </c>
      <c r="N88" s="39">
        <f>((($AN88+($AO88-$AN88)*IF(VLOOKUP($Q88,武学奇术!$A:$ZZ,31,FALSE)=1,$F$18,0.5))*$AH88+$AI88)*(1+$AP88)*(1+$AQ88)+(($AS88+($AT88-$AS88)*IF(VLOOKUP($Q88,武学奇术!$A:$ZZ,31,FALSE)=1,$F$18,0.5))*IF($G$1="鸣金",$AJ88,$AH88)+IF($G$1="鸣金",$AK88*1.5,0))*(1+$AU88)*(1+$AV88)+(($AW88+($AX88-$AW88)*IF(VLOOKUP($Q88,武学奇术!$A:$ZZ,31,FALSE)=1,$F$18,0.5))*IF($G$1="裂石",$AJ88,$AH88)+IF($G$1="裂石",$AK88*1.5,0))*(1+$AY88)*(1+$AZ88)+(($BA88+($BB88-$BA88)*IF(VLOOKUP($Q88,武学奇术!$A:$ZZ,31,FALSE)=1,$F$18,0.5))*IF($G$1="牵丝",$AJ88,$AH88)+IF($G$1="牵丝",$AK88*1.5,0))*(1+$BC88)*(1+$BD88)+(($BE88+($BF88-$BE88)*IF(VLOOKUP($Q88,武学奇术!$A:$ZZ,31,FALSE)=1,$F$18,0.5))*IF($G$1="破竹",$AJ88,$AH88)+IF($G$1="破竹",$AK88*1.5,0))*(1+$BG88)*(1+$BH88))*(1+$AL88)*$P88*(1+IF(VLOOKUP($Q88,武学奇术!$A:$ZZ,30,FALSE)="蓄力技",$B$21,0))*(1+$BQ88)</f>
        <v>6182.91135562944</v>
      </c>
      <c r="O88" s="39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5403.3502935916</v>
      </c>
      <c r="P88" s="40">
        <v>1</v>
      </c>
      <c r="Q88" s="41" t="s">
        <v>96</v>
      </c>
      <c r="R88" s="41" t="s">
        <v>93</v>
      </c>
      <c r="S88" s="41" t="s">
        <v>72</v>
      </c>
      <c r="T88" s="41" t="s">
        <v>119</v>
      </c>
      <c r="U88" s="41" t="s">
        <v>72</v>
      </c>
      <c r="V88" s="41" t="s">
        <v>72</v>
      </c>
      <c r="W88" s="41" t="s">
        <v>72</v>
      </c>
      <c r="X88" s="41" t="s">
        <v>165</v>
      </c>
      <c r="Y88" s="41" t="s">
        <v>81</v>
      </c>
      <c r="Z88" s="41" t="s">
        <v>72</v>
      </c>
      <c r="AA88" s="41" t="s">
        <v>72</v>
      </c>
      <c r="AB88" s="41" t="s">
        <v>72</v>
      </c>
      <c r="AC88" s="41" t="s">
        <v>72</v>
      </c>
      <c r="AD88" s="41" t="s">
        <v>72</v>
      </c>
      <c r="AE88" s="41" t="s">
        <v>75</v>
      </c>
      <c r="AF88" s="41" t="s">
        <v>76</v>
      </c>
      <c r="AG88" t="str">
        <f>VLOOKUP($Q88,武学奇术!$A:$ZZ,25,FALSE)</f>
        <v>绳镖</v>
      </c>
      <c r="AH88" s="27">
        <f>VLOOKUP($Q88,武学奇术!$A:$ZZ,26,FALSE)</f>
        <v>0.4975</v>
      </c>
      <c r="AI88" s="28">
        <f>VLOOKUP($Q88,武学奇术!$A:$ZZ,27,FALSE)*(1+IF(OR($AG88=$F$4,$AG88=$F$5),$B$22,0))</f>
        <v>191.8</v>
      </c>
      <c r="AJ88" s="27">
        <f>VLOOKUP($Q88,武学奇术!$A:$ZZ,28,FALSE)</f>
        <v>0.7463</v>
      </c>
      <c r="AK88" s="28">
        <f>VLOOKUP($Q88,武学奇术!$A:$ZZ,29,FALSE)*(1+IF(OR($AG88=$F$4,$AG88=$F$5),$B$22,0))</f>
        <v>105</v>
      </c>
      <c r="AL88" s="27" cm="1">
        <f t="array" ref="AL88">$G$3+IFERROR(VLOOKUP($AG88,$F$4:$G$7,2,FALSE),0)+VLOOKUP($Q88,武学奇术!$A:$ZZ,2,FALSE)+SUM(_xlfn.XLOOKUP($R88:$AF88,增益!$A:$A,增益!$B:$B,0))</f>
        <v>0.3889</v>
      </c>
      <c r="AM88" s="27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3742.006</v>
      </c>
      <c r="AO88" cm="1">
        <f t="array" ref="AO88">$E$10*(1+$AM88)+VLOOKUP($Q88,武学奇术!$A:$ZZ,4,FALSE)+SUM(_xlfn.XLOOKUP($R88:$AF88,增益!$A:$A,增益!$D:$D,0))-$I$2</f>
        <v>3742.006</v>
      </c>
      <c r="AP88" s="33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0.217</v>
      </c>
      <c r="AQ88" s="33" cm="1">
        <f t="array" ref="AQ88">$G$10+VLOOKUP($Q88,武学奇术!$A:$ZZ,7,FALSE)+SUM(_xlfn.XLOOKUP(R88:AF88,增益!$A:$A,增益!$G:$G,0))</f>
        <v>0.09</v>
      </c>
      <c r="AR88" s="27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3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-0.14</v>
      </c>
      <c r="AV88" s="33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3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-0.14</v>
      </c>
      <c r="AZ88" s="33" cm="1">
        <f t="array" ref="AZ88">$G$12+VLOOKUP($Q88,武学奇术!$A:$ZZ,12,FALSE)+SUM(_xlfn.XLOOKUP(R88:AF88,增益!$A:$A,增益!$L:$L,0))</f>
        <v>0</v>
      </c>
      <c r="BA88">
        <f t="shared" si="16"/>
        <v>0</v>
      </c>
      <c r="BB88">
        <f t="shared" si="17"/>
        <v>0</v>
      </c>
      <c r="BC88" s="33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-0.14</v>
      </c>
      <c r="BD88" s="33" cm="1">
        <f t="array" ref="BD88">$G$13+VLOOKUP($Q88,武学奇术!$A:$ZZ,14,FALSE)+SUM(_xlfn.XLOOKUP(R88:AF88,增益!$A:$A,增益!$N:$N,0))</f>
        <v>0</v>
      </c>
      <c r="BE88">
        <f t="shared" si="18"/>
        <v>570.28</v>
      </c>
      <c r="BF88">
        <f t="shared" si="19"/>
        <v>1582.156</v>
      </c>
      <c r="BG88" s="33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0.08</v>
      </c>
      <c r="BH88" s="33" cm="1">
        <f t="array" ref="BH88">$G$14+VLOOKUP($Q88,武学奇术!$A:$ZZ,16,FALSE)+SUM(_xlfn.XLOOKUP(R88:AF88,增益!$A:$A,增益!$P:$P,0))</f>
        <v>0.24</v>
      </c>
      <c r="BI88" s="27">
        <f>MIN(IF(VLOOKUP($Q88,武学奇术!$A:$ZZ,23,FALSE)=1,100%,$B$8),100%)</f>
        <v>1</v>
      </c>
      <c r="BJ88" s="27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+MIN(IF(VLOOKUP($Q88,武学奇术!$A:$ZZ,32,FALSE)=1,IF(VLOOKUP($Q88,武学奇术!$A:$ZZ,24,FALSE)=1,100%,MIN(40%,$B$10+VLOOKUP($Q88,武学奇术!$A:$ZZ,19,FALSE)+SUM(_xlfn.XLOOKUP(R88:AF88,增益!$A:$A,增益!$S:$S,0)))+$B$12+SUM(_xlfn.XLOOKUP(R88:AF88,增益!$A:$A,增益!$V:$V,0))),0),12%)</f>
        <v>0.918</v>
      </c>
      <c r="BK88" s="27" cm="1">
        <f t="array" ref="BK88">1+$B$13+VLOOKUP($Q88,武学奇术!$A:$ZZ,18,FALSE)+SUM(_xlfn.XLOOKUP(R88:AF88,增益!$A:$A,增益!$R:$R,0))</f>
        <v>1.64</v>
      </c>
      <c r="BL88" s="27" cm="1">
        <f t="array" ref="BL88">MAX(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-IF(VLOOKUP($Q88,武学奇术!$A:$ZZ,32,FALSE)=1,12%,0),0)</f>
        <v>0.0895</v>
      </c>
      <c r="BM88" s="27" cm="1">
        <f t="array" ref="BM88">1+$B$14+VLOOKUP($Q88,武学奇术!$A:$ZZ,20,FALSE)+SUM(_xlfn.XLOOKUP(R88:AF88,增益!$A:$A,增益!$T:$T,0))</f>
        <v>1.35</v>
      </c>
      <c r="BN88" s="27">
        <f t="shared" si="20"/>
        <v>0.9105</v>
      </c>
      <c r="BO88" s="27">
        <f t="shared" si="21"/>
        <v>0</v>
      </c>
      <c r="BP88" s="27">
        <f>IF(VLOOKUP($Q88,武学奇术!$A:$ZZ,22,FALSE)=1,0,(1-$BI88))*(1-$BL88)</f>
        <v>0</v>
      </c>
      <c r="BQ88" s="27" cm="1">
        <f t="array" ref="BQ88">SUM(_xlfn.XLOOKUP(R88:AF88,增益!$A:$A,增益!$W:$W,0))+$I$5</f>
        <v>0.11</v>
      </c>
    </row>
    <row r="89" spans="1:69">
      <c r="A89" s="4"/>
      <c r="B89" s="4"/>
      <c r="K89" s="39">
        <f t="shared" si="11"/>
        <v>60892.9190027276</v>
      </c>
      <c r="L89" s="39">
        <f>((($AN89+($AO89-$AN89)*IF(VLOOKUP($Q89,武学奇术!$A:$ZZ,31,FALSE)=1,$F$18,0.5))*$AH89+$AI89)*(1+$AP89)*(1+$AQ89)+(($AS89+($AT89-$AS89)*IF(VLOOKUP($Q89,武学奇术!$A:$ZZ,31,FALSE)=1,$F$18,0.5))*IF($G$1="鸣金",$AJ89,$AH89)+IF($G$1="鸣金",$AK89*1.5,0))*(1+$AU89)*(1+$AV89)+(($AW89+($AX89-$AW89)*IF(VLOOKUP($Q89,武学奇术!$A:$ZZ,31,FALSE)=1,$F$18,0.5))*IF($G$1="裂石",$AJ89,$AH89)+IF($G$1="裂石",$AK89*1.5,0))*(1+$AY89)*(1+$AZ89)+(($BA89+($BB89-$BA89)*IF(VLOOKUP($Q89,武学奇术!$A:$ZZ,31,FALSE)=1,$F$18,0.5))*IF($G$1="牵丝",$AJ89,$AH89)+IF($G$1="牵丝",$AK89*1.5,0))*(1+$BC89)*(1+$BD89)+(($BE89+($BF89-$BE89)*IF(VLOOKUP($Q89,武学奇术!$A:$ZZ,31,FALSE)=1,$F$18,0.5))*IF($G$1="破竹",$AJ89,$AH89)+IF($G$1="破竹",$AK89*1.5,0))*(1+$BG89)*(1+$BH89))*(1+$AL89)*$BK89*$P89*(1+IF(VLOOKUP($Q89,武学奇术!$A:$ZZ,30,FALSE)="蓄力技",$B$21,0))*(1+$BQ89)</f>
        <v>62029.1237854457</v>
      </c>
      <c r="M89" s="39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49334.0982802156</v>
      </c>
      <c r="N89" s="39">
        <f>((($AN89+($AO89-$AN89)*IF(VLOOKUP($Q89,武学奇术!$A:$ZZ,31,FALSE)=1,$F$18,0.5))*$AH89+$AI89)*(1+$AP89)*(1+$AQ89)+(($AS89+($AT89-$AS89)*IF(VLOOKUP($Q89,武学奇术!$A:$ZZ,31,FALSE)=1,$F$18,0.5))*IF($G$1="鸣金",$AJ89,$AH89)+IF($G$1="鸣金",$AK89*1.5,0))*(1+$AU89)*(1+$AV89)+(($AW89+($AX89-$AW89)*IF(VLOOKUP($Q89,武学奇术!$A:$ZZ,31,FALSE)=1,$F$18,0.5))*IF($G$1="裂石",$AJ89,$AH89)+IF($G$1="裂石",$AK89*1.5,0))*(1+$AY89)*(1+$AZ89)+(($BA89+($BB89-$BA89)*IF(VLOOKUP($Q89,武学奇术!$A:$ZZ,31,FALSE)=1,$F$18,0.5))*IF($G$1="牵丝",$AJ89,$AH89)+IF($G$1="牵丝",$AK89*1.5,0))*(1+$BC89)*(1+$BD89)+(($BE89+($BF89-$BE89)*IF(VLOOKUP($Q89,武学奇术!$A:$ZZ,31,FALSE)=1,$F$18,0.5))*IF($G$1="破竹",$AJ89,$AH89)+IF($G$1="破竹",$AK89*1.5,0))*(1+$BG89)*(1+$BH89))*(1+$AL89)*$P89*(1+IF(VLOOKUP($Q89,武学奇术!$A:$ZZ,30,FALSE)="蓄力技",$B$21,0))*(1+$BQ89)</f>
        <v>31973.7751471369</v>
      </c>
      <c r="O89" s="39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27403.7737904105</v>
      </c>
      <c r="P89" s="40">
        <v>1</v>
      </c>
      <c r="Q89" s="41" t="s">
        <v>100</v>
      </c>
      <c r="R89" s="41" t="s">
        <v>93</v>
      </c>
      <c r="S89" s="41" t="s">
        <v>72</v>
      </c>
      <c r="T89" s="41" t="s">
        <v>119</v>
      </c>
      <c r="U89" s="41" t="s">
        <v>72</v>
      </c>
      <c r="V89" s="41" t="s">
        <v>72</v>
      </c>
      <c r="W89" s="41" t="s">
        <v>72</v>
      </c>
      <c r="X89" s="41" t="s">
        <v>165</v>
      </c>
      <c r="Y89" s="41" t="s">
        <v>81</v>
      </c>
      <c r="Z89" s="41" t="s">
        <v>101</v>
      </c>
      <c r="AA89" s="41" t="s">
        <v>72</v>
      </c>
      <c r="AB89" s="41" t="s">
        <v>72</v>
      </c>
      <c r="AC89" s="41" t="s">
        <v>72</v>
      </c>
      <c r="AD89" s="41" t="s">
        <v>72</v>
      </c>
      <c r="AE89" s="41" t="s">
        <v>75</v>
      </c>
      <c r="AF89" s="41" t="s">
        <v>76</v>
      </c>
      <c r="AG89" t="str">
        <f>VLOOKUP($Q89,武学奇术!$A:$ZZ,25,FALSE)</f>
        <v>绳镖</v>
      </c>
      <c r="AH89" s="27">
        <f>VLOOKUP($Q89,武学奇术!$A:$ZZ,26,FALSE)</f>
        <v>2.33376</v>
      </c>
      <c r="AI89" s="28">
        <f>VLOOKUP($Q89,武学奇术!$A:$ZZ,27,FALSE)*(1+IF(OR($AG89=$F$4,$AG89=$F$5),$B$22,0))</f>
        <v>0</v>
      </c>
      <c r="AJ89" s="27">
        <f>VLOOKUP($Q89,武学奇术!$A:$ZZ,28,FALSE)</f>
        <v>3.50064</v>
      </c>
      <c r="AK89" s="28">
        <f>VLOOKUP($Q89,武学奇术!$A:$ZZ,29,FALSE)*(1+IF(OR($AG89=$F$4,$AG89=$F$5),$B$22,0))</f>
        <v>0</v>
      </c>
      <c r="AL89" s="27" cm="1">
        <f t="array" ref="AL89">$G$3+IFERROR(VLOOKUP($AG89,$F$4:$G$7,2,FALSE),0)+VLOOKUP($Q89,武学奇术!$A:$ZZ,2,FALSE)+SUM(_xlfn.XLOOKUP($R89:$AF89,增益!$A:$A,增益!$B:$B,0))</f>
        <v>0.6889</v>
      </c>
      <c r="AM89" s="27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3742.006</v>
      </c>
      <c r="AO89" cm="1">
        <f t="array" ref="AO89">$E$10*(1+$AM89)+VLOOKUP($Q89,武学奇术!$A:$ZZ,4,FALSE)+SUM(_xlfn.XLOOKUP($R89:$AF89,增益!$A:$A,增益!$D:$D,0))-$I$2</f>
        <v>3742.006</v>
      </c>
      <c r="AP89" s="33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0.247</v>
      </c>
      <c r="AQ89" s="33" cm="1">
        <f t="array" ref="AQ89">$G$10+VLOOKUP($Q89,武学奇术!$A:$ZZ,7,FALSE)+SUM(_xlfn.XLOOKUP(R89:AF89,增益!$A:$A,增益!$G:$G,0))</f>
        <v>0.09</v>
      </c>
      <c r="AR89" s="27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3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-0.08</v>
      </c>
      <c r="AV89" s="33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3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-0.08</v>
      </c>
      <c r="AZ89" s="33" cm="1">
        <f t="array" ref="AZ89">$G$12+VLOOKUP($Q89,武学奇术!$A:$ZZ,12,FALSE)+SUM(_xlfn.XLOOKUP(R89:AF89,增益!$A:$A,增益!$L:$L,0))</f>
        <v>0</v>
      </c>
      <c r="BA89">
        <f t="shared" si="16"/>
        <v>0</v>
      </c>
      <c r="BB89">
        <f t="shared" si="17"/>
        <v>0</v>
      </c>
      <c r="BC89" s="33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-0.08</v>
      </c>
      <c r="BD89" s="33" cm="1">
        <f t="array" ref="BD89">$G$13+VLOOKUP($Q89,武学奇术!$A:$ZZ,14,FALSE)+SUM(_xlfn.XLOOKUP(R89:AF89,增益!$A:$A,增益!$N:$N,0))</f>
        <v>0</v>
      </c>
      <c r="BE89">
        <f t="shared" si="18"/>
        <v>570.28</v>
      </c>
      <c r="BF89">
        <f t="shared" si="19"/>
        <v>1582.156</v>
      </c>
      <c r="BG89" s="33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0.11</v>
      </c>
      <c r="BH89" s="33" cm="1">
        <f t="array" ref="BH89">$G$14+VLOOKUP($Q89,武学奇术!$A:$ZZ,16,FALSE)+SUM(_xlfn.XLOOKUP(R89:AF89,增益!$A:$A,增益!$P:$P,0))</f>
        <v>0.24</v>
      </c>
      <c r="BI89" s="27">
        <f>MIN(IF(VLOOKUP($Q89,武学奇术!$A:$ZZ,23,FALSE)=1,100%,$B$8),100%)</f>
        <v>1</v>
      </c>
      <c r="BJ89" s="27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+MIN(IF(VLOOKUP($Q89,武学奇术!$A:$ZZ,32,FALSE)=1,IF(VLOOKUP($Q89,武学奇术!$A:$ZZ,24,FALSE)=1,100%,MIN(40%,$B$10+VLOOKUP($Q89,武学奇术!$A:$ZZ,19,FALSE)+SUM(_xlfn.XLOOKUP(R89:AF89,增益!$A:$A,增益!$S:$S,0)))+$B$12+SUM(_xlfn.XLOOKUP(R89:AF89,增益!$A:$A,增益!$V:$V,0))),0),12%)</f>
        <v>0.918</v>
      </c>
      <c r="BK89" s="27" cm="1">
        <f t="array" ref="BK89">1+$B$13+VLOOKUP($Q89,武学奇术!$A:$ZZ,18,FALSE)+SUM(_xlfn.XLOOKUP(R89:AF89,增益!$A:$A,增益!$R:$R,0))</f>
        <v>1.94</v>
      </c>
      <c r="BL89" s="27" cm="1">
        <f t="array" ref="BL89">MAX(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-IF(VLOOKUP($Q89,武学奇术!$A:$ZZ,32,FALSE)=1,12%,0),0)</f>
        <v>0.0895</v>
      </c>
      <c r="BM89" s="27" cm="1">
        <f t="array" ref="BM89">1+$B$14+VLOOKUP($Q89,武学奇术!$A:$ZZ,20,FALSE)+SUM(_xlfn.XLOOKUP(R89:AF89,增益!$A:$A,增益!$T:$T,0))</f>
        <v>1.35</v>
      </c>
      <c r="BN89" s="27">
        <f t="shared" si="20"/>
        <v>0.9105</v>
      </c>
      <c r="BO89" s="27">
        <f t="shared" si="21"/>
        <v>0</v>
      </c>
      <c r="BP89" s="27">
        <f>IF(VLOOKUP($Q89,武学奇术!$A:$ZZ,22,FALSE)=1,0,(1-$BI89))*(1-$BL89)</f>
        <v>0</v>
      </c>
      <c r="BQ89" s="27" cm="1">
        <f t="array" ref="BQ89">SUM(_xlfn.XLOOKUP(R89:AF89,增益!$A:$A,增益!$W:$W,0))+$I$5</f>
        <v>0.11</v>
      </c>
    </row>
    <row r="90" spans="1:69">
      <c r="A90" s="4"/>
      <c r="B90" s="4"/>
      <c r="K90" s="39">
        <f t="shared" si="11"/>
        <v>52478.8137300409</v>
      </c>
      <c r="L90" s="39">
        <f>((($AN90+($AO90-$AN90)*IF(VLOOKUP($Q90,武学奇术!$A:$ZZ,31,FALSE)=1,$F$18,0.5))*$AH90+$AI90)*(1+$AP90)*(1+$AQ90)+(($AS90+($AT90-$AS90)*IF(VLOOKUP($Q90,武学奇术!$A:$ZZ,31,FALSE)=1,$F$18,0.5))*IF($G$1="鸣金",$AJ90,$AH90)+IF($G$1="鸣金",$AK90*1.5,0))*(1+$AU90)*(1+$AV90)+(($AW90+($AX90-$AW90)*IF(VLOOKUP($Q90,武学奇术!$A:$ZZ,31,FALSE)=1,$F$18,0.5))*IF($G$1="裂石",$AJ90,$AH90)+IF($G$1="裂石",$AK90*1.5,0))*(1+$AY90)*(1+$AZ90)+(($BA90+($BB90-$BA90)*IF(VLOOKUP($Q90,武学奇术!$A:$ZZ,31,FALSE)=1,$F$18,0.5))*IF($G$1="牵丝",$AJ90,$AH90)+IF($G$1="牵丝",$AK90*1.5,0))*(1+$BC90)*(1+$BD90)+(($BE90+($BF90-$BE90)*IF(VLOOKUP($Q90,武学奇术!$A:$ZZ,31,FALSE)=1,$F$18,0.5))*IF($G$1="破竹",$AJ90,$AH90)+IF($G$1="破竹",$AK90*1.5,0))*(1+$BG90)*(1+$BH90))*(1+$AL90)*$BK90*$P90*(1+IF(VLOOKUP($Q90,武学奇术!$A:$ZZ,30,FALSE)="蓄力技",$B$21,0))*(1+$BQ90)</f>
        <v>52824.0994655112</v>
      </c>
      <c r="M90" s="39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48966.1582870724</v>
      </c>
      <c r="N90" s="39">
        <f>((($AN90+($AO90-$AN90)*IF(VLOOKUP($Q90,武学奇术!$A:$ZZ,31,FALSE)=1,$F$18,0.5))*$AH90+$AI90)*(1+$AP90)*(1+$AQ90)+(($AS90+($AT90-$AS90)*IF(VLOOKUP($Q90,武学奇术!$A:$ZZ,31,FALSE)=1,$F$18,0.5))*IF($G$1="鸣金",$AJ90,$AH90)+IF($G$1="鸣金",$AK90*1.5,0))*(1+$AU90)*(1+$AV90)+(($AW90+($AX90-$AW90)*IF(VLOOKUP($Q90,武学奇术!$A:$ZZ,31,FALSE)=1,$F$18,0.5))*IF($G$1="裂石",$AJ90,$AH90)+IF($G$1="裂石",$AK90*1.5,0))*(1+$AY90)*(1+$AZ90)+(($BA90+($BB90-$BA90)*IF(VLOOKUP($Q90,武学奇术!$A:$ZZ,31,FALSE)=1,$F$18,0.5))*IF($G$1="牵丝",$AJ90,$AH90)+IF($G$1="牵丝",$AK90*1.5,0))*(1+$BC90)*(1+$BD90)+(($BE90+($BF90-$BE90)*IF(VLOOKUP($Q90,武学奇术!$A:$ZZ,31,FALSE)=1,$F$18,0.5))*IF($G$1="破竹",$AJ90,$AH90)+IF($G$1="破竹",$AK90*1.5,0))*(1+$BG90)*(1+$BH90))*(1+$AL90)*$P90*(1+IF(VLOOKUP($Q90,武学奇术!$A:$ZZ,30,FALSE)="蓄力技",$B$21,0))*(1+$BQ90)</f>
        <v>32209.8167472629</v>
      </c>
      <c r="O90" s="39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28148.4051337315</v>
      </c>
      <c r="P90" s="40">
        <v>1</v>
      </c>
      <c r="Q90" s="41" t="s">
        <v>111</v>
      </c>
      <c r="R90" s="41" t="s">
        <v>93</v>
      </c>
      <c r="S90" s="41" t="s">
        <v>72</v>
      </c>
      <c r="T90" s="41" t="s">
        <v>119</v>
      </c>
      <c r="U90" s="41" t="s">
        <v>72</v>
      </c>
      <c r="V90" s="41" t="s">
        <v>72</v>
      </c>
      <c r="W90" s="41" t="s">
        <v>72</v>
      </c>
      <c r="X90" s="41" t="s">
        <v>165</v>
      </c>
      <c r="Y90" s="41" t="s">
        <v>81</v>
      </c>
      <c r="Z90" s="41" t="s">
        <v>72</v>
      </c>
      <c r="AA90" s="41" t="s">
        <v>72</v>
      </c>
      <c r="AB90" s="41" t="s">
        <v>72</v>
      </c>
      <c r="AC90" s="41" t="s">
        <v>72</v>
      </c>
      <c r="AD90" s="41" t="s">
        <v>72</v>
      </c>
      <c r="AE90" s="41" t="s">
        <v>75</v>
      </c>
      <c r="AF90" s="41" t="s">
        <v>76</v>
      </c>
      <c r="AG90" t="str">
        <f>VLOOKUP($Q90,武学奇术!$A:$ZZ,25,FALSE)</f>
        <v>拳甲</v>
      </c>
      <c r="AH90" s="27">
        <f>VLOOKUP($Q90,武学奇术!$A:$ZZ,26,FALSE)</f>
        <v>2.4421</v>
      </c>
      <c r="AI90" s="28">
        <f>VLOOKUP($Q90,武学奇术!$A:$ZZ,27,FALSE)*(1+IF(OR($AG90=$F$4,$AG90=$F$5),$B$22,0))</f>
        <v>945</v>
      </c>
      <c r="AJ90" s="27">
        <f>VLOOKUP($Q90,武学奇术!$A:$ZZ,28,FALSE)</f>
        <v>3.6634</v>
      </c>
      <c r="AK90" s="28">
        <f>VLOOKUP($Q90,武学奇术!$A:$ZZ,29,FALSE)*(1+IF(OR($AG90=$F$4,$AG90=$F$5),$B$22,0))</f>
        <v>512.4</v>
      </c>
      <c r="AL90" s="27" cm="1">
        <f t="array" ref="AL90">$G$3+IFERROR(VLOOKUP($AG90,$F$4:$G$7,2,FALSE),0)+VLOOKUP($Q90,武学奇术!$A:$ZZ,2,FALSE)+SUM(_xlfn.XLOOKUP($R90:$AF90,增益!$A:$A,增益!$B:$B,0))</f>
        <v>0.4741</v>
      </c>
      <c r="AM90" s="27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3742.006</v>
      </c>
      <c r="AO90" cm="1">
        <f t="array" ref="AO90">$E$10*(1+$AM90)+VLOOKUP($Q90,武学奇术!$A:$ZZ,4,FALSE)+SUM(_xlfn.XLOOKUP($R90:$AF90,增益!$A:$A,增益!$D:$D,0))-$I$2</f>
        <v>3742.006</v>
      </c>
      <c r="AP90" s="33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0.217</v>
      </c>
      <c r="AQ90" s="33" cm="1">
        <f t="array" ref="AQ90">$G$10+VLOOKUP($Q90,武学奇术!$A:$ZZ,7,FALSE)+SUM(_xlfn.XLOOKUP(R90:AF90,增益!$A:$A,增益!$G:$G,0))</f>
        <v>0.09</v>
      </c>
      <c r="AR90" s="27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3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-0.14</v>
      </c>
      <c r="AV90" s="33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3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-0.14</v>
      </c>
      <c r="AZ90" s="33" cm="1">
        <f t="array" ref="AZ90">$G$12+VLOOKUP($Q90,武学奇术!$A:$ZZ,12,FALSE)+SUM(_xlfn.XLOOKUP(R90:AF90,增益!$A:$A,增益!$L:$L,0))</f>
        <v>0</v>
      </c>
      <c r="BA90">
        <f t="shared" si="16"/>
        <v>0</v>
      </c>
      <c r="BB90">
        <f t="shared" si="17"/>
        <v>0</v>
      </c>
      <c r="BC90" s="33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-0.14</v>
      </c>
      <c r="BD90" s="33" cm="1">
        <f t="array" ref="BD90">$G$13+VLOOKUP($Q90,武学奇术!$A:$ZZ,14,FALSE)+SUM(_xlfn.XLOOKUP(R90:AF90,增益!$A:$A,增益!$N:$N,0))</f>
        <v>0</v>
      </c>
      <c r="BE90">
        <f t="shared" si="18"/>
        <v>570.28</v>
      </c>
      <c r="BF90">
        <f t="shared" si="19"/>
        <v>1582.156</v>
      </c>
      <c r="BG90" s="33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0.08</v>
      </c>
      <c r="BH90" s="33" cm="1">
        <f t="array" ref="BH90">$G$14+VLOOKUP($Q90,武学奇术!$A:$ZZ,16,FALSE)+SUM(_xlfn.XLOOKUP(R90:AF90,增益!$A:$A,增益!$P:$P,0))</f>
        <v>0.24</v>
      </c>
      <c r="BI90" s="27">
        <f>MIN(IF(VLOOKUP($Q90,武学奇术!$A:$ZZ,23,FALSE)=1,100%,$B$8),100%)</f>
        <v>1</v>
      </c>
      <c r="BJ90" s="27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+MIN(IF(VLOOKUP($Q90,武学奇术!$A:$ZZ,32,FALSE)=1,IF(VLOOKUP($Q90,武学奇术!$A:$ZZ,24,FALSE)=1,100%,MIN(40%,$B$10+VLOOKUP($Q90,武学奇术!$A:$ZZ,19,FALSE)+SUM(_xlfn.XLOOKUP(R90:AF90,增益!$A:$A,增益!$S:$S,0)))+$B$12+SUM(_xlfn.XLOOKUP(R90:AF90,增益!$A:$A,增益!$V:$V,0))),0),12%)</f>
        <v>0.918</v>
      </c>
      <c r="BK90" s="27" cm="1">
        <f t="array" ref="BK90">1+$B$13+VLOOKUP($Q90,武学奇术!$A:$ZZ,18,FALSE)+SUM(_xlfn.XLOOKUP(R90:AF90,增益!$A:$A,增益!$R:$R,0))</f>
        <v>1.64</v>
      </c>
      <c r="BL90" s="27" cm="1">
        <f t="array" ref="BL90">MAX(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-IF(VLOOKUP($Q90,武学奇术!$A:$ZZ,32,FALSE)=1,12%,0),0)</f>
        <v>0.0895</v>
      </c>
      <c r="BM90" s="27" cm="1">
        <f t="array" ref="BM90">1+$B$14+VLOOKUP($Q90,武学奇术!$A:$ZZ,20,FALSE)+SUM(_xlfn.XLOOKUP(R90:AF90,增益!$A:$A,增益!$T:$T,0))</f>
        <v>1.35</v>
      </c>
      <c r="BN90" s="27">
        <f t="shared" si="20"/>
        <v>0.9105</v>
      </c>
      <c r="BO90" s="27">
        <f t="shared" si="21"/>
        <v>0</v>
      </c>
      <c r="BP90" s="27">
        <f>IF(VLOOKUP($Q90,武学奇术!$A:$ZZ,22,FALSE)=1,0,(1-$BI90))*(1-$BL90)</f>
        <v>0</v>
      </c>
      <c r="BQ90" s="27" cm="1">
        <f t="array" ref="BQ90">SUM(_xlfn.XLOOKUP(R90:AF90,增益!$A:$A,增益!$W:$W,0))+$I$5</f>
        <v>0.11</v>
      </c>
    </row>
    <row r="91" spans="1:69">
      <c r="K91" s="39">
        <f t="shared" si="11"/>
        <v>24875.9197734237</v>
      </c>
      <c r="L91" s="39">
        <f>((($AN91+($AO91-$AN91)*IF(VLOOKUP($Q91,武学奇术!$A:$ZZ,31,FALSE)=1,$F$18,0.5))*$AH91+$AI91)*(1+$AP91)*(1+$AQ91)+(($AS91+($AT91-$AS91)*IF(VLOOKUP($Q91,武学奇术!$A:$ZZ,31,FALSE)=1,$F$18,0.5))*IF($G$1="鸣金",$AJ91,$AH91)+IF($G$1="鸣金",$AK91*1.5,0))*(1+$AU91)*(1+$AV91)+(($AW91+($AX91-$AW91)*IF(VLOOKUP($Q91,武学奇术!$A:$ZZ,31,FALSE)=1,$F$18,0.5))*IF($G$1="裂石",$AJ91,$AH91)+IF($G$1="裂石",$AK91*1.5,0))*(1+$AY91)*(1+$AZ91)+(($BA91+($BB91-$BA91)*IF(VLOOKUP($Q91,武学奇术!$A:$ZZ,31,FALSE)=1,$F$18,0.5))*IF($G$1="牵丝",$AJ91,$AH91)+IF($G$1="牵丝",$AK91*1.5,0))*(1+$BC91)*(1+$BD91)+(($BE91+($BF91-$BE91)*IF(VLOOKUP($Q91,武学奇术!$A:$ZZ,31,FALSE)=1,$F$18,0.5))*IF($G$1="破竹",$AJ91,$AH91)+IF($G$1="破竹",$AK91*1.5,0))*(1+$BG91)*(1+$BH91))*(1+$AL91)*$BK91*$P91*(1+IF(VLOOKUP($Q91,武学奇术!$A:$ZZ,30,FALSE)="蓄力技",$B$21,0))*(1+$BQ91)</f>
        <v>25039.828647211</v>
      </c>
      <c r="M91" s="39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23208.4445825484</v>
      </c>
      <c r="N91" s="39">
        <f>((($AN91+($AO91-$AN91)*IF(VLOOKUP($Q91,武学奇术!$A:$ZZ,31,FALSE)=1,$F$18,0.5))*$AH91+$AI91)*(1+$AP91)*(1+$AQ91)+(($AS91+($AT91-$AS91)*IF(VLOOKUP($Q91,武学奇术!$A:$ZZ,31,FALSE)=1,$F$18,0.5))*IF($G$1="鸣金",$AJ91,$AH91)+IF($G$1="鸣金",$AK91*1.5,0))*(1+$AU91)*(1+$AV91)+(($AW91+($AX91-$AW91)*IF(VLOOKUP($Q91,武学奇术!$A:$ZZ,31,FALSE)=1,$F$18,0.5))*IF($G$1="裂石",$AJ91,$AH91)+IF($G$1="裂石",$AK91*1.5,0))*(1+$AY91)*(1+$AZ91)+(($BA91+($BB91-$BA91)*IF(VLOOKUP($Q91,武学奇术!$A:$ZZ,31,FALSE)=1,$F$18,0.5))*IF($G$1="牵丝",$AJ91,$AH91)+IF($G$1="牵丝",$AK91*1.5,0))*(1+$BC91)*(1+$BD91)+(($BE91+($BF91-$BE91)*IF(VLOOKUP($Q91,武学奇术!$A:$ZZ,31,FALSE)=1,$F$18,0.5))*IF($G$1="破竹",$AJ91,$AH91)+IF($G$1="破竹",$AK91*1.5,0))*(1+$BG91)*(1+$BH91))*(1+$AL91)*$P91*(1+IF(VLOOKUP($Q91,武学奇术!$A:$ZZ,30,FALSE)="蓄力技",$B$21,0))*(1+$BQ91)</f>
        <v>15268.1881995189</v>
      </c>
      <c r="O91" s="39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13344.9359675204</v>
      </c>
      <c r="P91" s="40">
        <v>1</v>
      </c>
      <c r="Q91" s="41" t="s">
        <v>106</v>
      </c>
      <c r="R91" s="41" t="s">
        <v>93</v>
      </c>
      <c r="S91" s="41" t="s">
        <v>72</v>
      </c>
      <c r="T91" s="41" t="s">
        <v>72</v>
      </c>
      <c r="U91" s="41" t="s">
        <v>72</v>
      </c>
      <c r="V91" s="41" t="s">
        <v>72</v>
      </c>
      <c r="W91" s="41" t="s">
        <v>72</v>
      </c>
      <c r="X91" s="41" t="s">
        <v>165</v>
      </c>
      <c r="Y91" s="41" t="s">
        <v>81</v>
      </c>
      <c r="Z91" s="41" t="s">
        <v>72</v>
      </c>
      <c r="AA91" s="41" t="s">
        <v>72</v>
      </c>
      <c r="AB91" s="41" t="s">
        <v>72</v>
      </c>
      <c r="AC91" s="41" t="s">
        <v>72</v>
      </c>
      <c r="AD91" s="41" t="s">
        <v>72</v>
      </c>
      <c r="AE91" s="41" t="s">
        <v>75</v>
      </c>
      <c r="AF91" s="41" t="s">
        <v>76</v>
      </c>
      <c r="AG91" t="str">
        <f>VLOOKUP($Q91,武学奇术!$A:$ZZ,25,FALSE)</f>
        <v>拳甲</v>
      </c>
      <c r="AH91" s="27">
        <f>VLOOKUP($Q91,武学奇术!$A:$ZZ,26,FALSE)</f>
        <v>1.2876</v>
      </c>
      <c r="AI91" s="28">
        <f>VLOOKUP($Q91,武学奇术!$A:$ZZ,27,FALSE)*(1+IF(OR($AG91=$F$4,$AG91=$F$5),$B$22,0))</f>
        <v>501.2</v>
      </c>
      <c r="AJ91" s="27">
        <f>VLOOKUP($Q91,武学奇术!$A:$ZZ,28,FALSE)</f>
        <v>1.9313</v>
      </c>
      <c r="AK91" s="28">
        <f>VLOOKUP($Q91,武学奇术!$A:$ZZ,29,FALSE)*(1+IF(OR($AG91=$F$4,$AG91=$F$5),$B$22,0))</f>
        <v>273</v>
      </c>
      <c r="AL91" s="27" cm="1">
        <f t="array" ref="AL91">$G$3+IFERROR(VLOOKUP($AG91,$F$4:$G$7,2,FALSE),0)+VLOOKUP($Q91,武学奇术!$A:$ZZ,2,FALSE)+SUM(_xlfn.XLOOKUP($R91:$AF91,增益!$A:$A,增益!$B:$B,0))</f>
        <v>0.3241</v>
      </c>
      <c r="AM91" s="27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3742.006</v>
      </c>
      <c r="AO91" cm="1">
        <f t="array" ref="AO91">$E$10*(1+$AM91)+VLOOKUP($Q91,武学奇术!$A:$ZZ,4,FALSE)+SUM(_xlfn.XLOOKUP($R91:$AF91,增益!$A:$A,增益!$D:$D,0))-$I$2</f>
        <v>3742.006</v>
      </c>
      <c r="AP91" s="33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0.217</v>
      </c>
      <c r="AQ91" s="33" cm="1">
        <f t="array" ref="AQ91">$G$10+VLOOKUP($Q91,武学奇术!$A:$ZZ,7,FALSE)+SUM(_xlfn.XLOOKUP(R91:AF91,增益!$A:$A,增益!$G:$G,0))</f>
        <v>0.09</v>
      </c>
      <c r="AR91" s="27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3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-0.14</v>
      </c>
      <c r="AV91" s="33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3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-0.14</v>
      </c>
      <c r="AZ91" s="33" cm="1">
        <f t="array" ref="AZ91">$G$12+VLOOKUP($Q91,武学奇术!$A:$ZZ,12,FALSE)+SUM(_xlfn.XLOOKUP(R91:AF91,增益!$A:$A,增益!$L:$L,0))</f>
        <v>0</v>
      </c>
      <c r="BA91">
        <f t="shared" si="16"/>
        <v>0</v>
      </c>
      <c r="BB91">
        <f t="shared" si="17"/>
        <v>0</v>
      </c>
      <c r="BC91" s="33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-0.14</v>
      </c>
      <c r="BD91" s="33" cm="1">
        <f t="array" ref="BD91">$G$13+VLOOKUP($Q91,武学奇术!$A:$ZZ,14,FALSE)+SUM(_xlfn.XLOOKUP(R91:AF91,增益!$A:$A,增益!$N:$N,0))</f>
        <v>0</v>
      </c>
      <c r="BE91">
        <f t="shared" si="18"/>
        <v>570.28</v>
      </c>
      <c r="BF91">
        <f t="shared" si="19"/>
        <v>1582.156</v>
      </c>
      <c r="BG91" s="33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0.08</v>
      </c>
      <c r="BH91" s="33" cm="1">
        <f t="array" ref="BH91">$G$14+VLOOKUP($Q91,武学奇术!$A:$ZZ,16,FALSE)+SUM(_xlfn.XLOOKUP(R91:AF91,增益!$A:$A,增益!$P:$P,0))</f>
        <v>0.24</v>
      </c>
      <c r="BI91" s="27">
        <f>MIN(IF(VLOOKUP($Q91,武学奇术!$A:$ZZ,23,FALSE)=1,100%,$B$8),100%)</f>
        <v>1</v>
      </c>
      <c r="BJ91" s="27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+MIN(IF(VLOOKUP($Q91,武学奇术!$A:$ZZ,32,FALSE)=1,IF(VLOOKUP($Q91,武学奇术!$A:$ZZ,24,FALSE)=1,100%,MIN(40%,$B$10+VLOOKUP($Q91,武学奇术!$A:$ZZ,19,FALSE)+SUM(_xlfn.XLOOKUP(R91:AF91,增益!$A:$A,增益!$S:$S,0)))+$B$12+SUM(_xlfn.XLOOKUP(R91:AF91,增益!$A:$A,增益!$V:$V,0))),0),12%)</f>
        <v>0.918</v>
      </c>
      <c r="BK91" s="27" cm="1">
        <f t="array" ref="BK91">1+$B$13+VLOOKUP($Q91,武学奇术!$A:$ZZ,18,FALSE)+SUM(_xlfn.XLOOKUP(R91:AF91,增益!$A:$A,增益!$R:$R,0))</f>
        <v>1.64</v>
      </c>
      <c r="BL91" s="27" cm="1">
        <f t="array" ref="BL91">MAX(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-IF(VLOOKUP($Q91,武学奇术!$A:$ZZ,32,FALSE)=1,12%,0),0)</f>
        <v>0.0895</v>
      </c>
      <c r="BM91" s="27" cm="1">
        <f t="array" ref="BM91">1+$B$14+VLOOKUP($Q91,武学奇术!$A:$ZZ,20,FALSE)+SUM(_xlfn.XLOOKUP(R91:AF91,增益!$A:$A,增益!$T:$T,0))</f>
        <v>1.35</v>
      </c>
      <c r="BN91" s="27">
        <f t="shared" si="20"/>
        <v>0.9105</v>
      </c>
      <c r="BO91" s="27">
        <f t="shared" si="21"/>
        <v>0</v>
      </c>
      <c r="BP91" s="27">
        <f>IF(VLOOKUP($Q91,武学奇术!$A:$ZZ,22,FALSE)=1,0,(1-$BI91))*(1-$BL91)</f>
        <v>0</v>
      </c>
      <c r="BQ91" s="27" cm="1">
        <f t="array" ref="BQ91">SUM(_xlfn.XLOOKUP(R91:AF91,增益!$A:$A,增益!$W:$W,0))+$I$5</f>
        <v>0.11</v>
      </c>
    </row>
    <row r="92" spans="1:69">
      <c r="K92" s="39">
        <f t="shared" si="11"/>
        <v>58556.5692180294</v>
      </c>
      <c r="L92" s="39">
        <f>((($AN92+($AO92-$AN92)*IF(VLOOKUP($Q92,武学奇术!$A:$ZZ,31,FALSE)=1,$F$18,0.5))*$AH92+$AI92)*(1+$AP92)*(1+$AQ92)+(($AS92+($AT92-$AS92)*IF(VLOOKUP($Q92,武学奇术!$A:$ZZ,31,FALSE)=1,$F$18,0.5))*IF($G$1="鸣金",$AJ92,$AH92)+IF($G$1="鸣金",$AK92*1.5,0))*(1+$AU92)*(1+$AV92)+(($AW92+($AX92-$AW92)*IF(VLOOKUP($Q92,武学奇术!$A:$ZZ,31,FALSE)=1,$F$18,0.5))*IF($G$1="裂石",$AJ92,$AH92)+IF($G$1="裂石",$AK92*1.5,0))*(1+$AY92)*(1+$AZ92)+(($BA92+($BB92-$BA92)*IF(VLOOKUP($Q92,武学奇术!$A:$ZZ,31,FALSE)=1,$F$18,0.5))*IF($G$1="牵丝",$AJ92,$AH92)+IF($G$1="牵丝",$AK92*1.5,0))*(1+$BC92)*(1+$BD92)+(($BE92+($BF92-$BE92)*IF(VLOOKUP($Q92,武学奇术!$A:$ZZ,31,FALSE)=1,$F$18,0.5))*IF($G$1="破竹",$AJ92,$AH92)+IF($G$1="破竹",$AK92*1.5,0))*(1+$BG92)*(1+$BH92))*(1+$AL92)*$BK92*$P92*(1+IF(VLOOKUP($Q92,武学奇术!$A:$ZZ,30,FALSE)="蓄力技",$B$21,0))*(1+$BQ92)</f>
        <v>59649.1799040454</v>
      </c>
      <c r="M92" s="39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47441.2392781681</v>
      </c>
      <c r="N92" s="39">
        <f>((($AN92+($AO92-$AN92)*IF(VLOOKUP($Q92,武学奇术!$A:$ZZ,31,FALSE)=1,$F$18,0.5))*$AH92+$AI92)*(1+$AP92)*(1+$AQ92)+(($AS92+($AT92-$AS92)*IF(VLOOKUP($Q92,武学奇术!$A:$ZZ,31,FALSE)=1,$F$18,0.5))*IF($G$1="鸣金",$AJ92,$AH92)+IF($G$1="鸣金",$AK92*1.5,0))*(1+$AU92)*(1+$AV92)+(($AW92+($AX92-$AW92)*IF(VLOOKUP($Q92,武学奇术!$A:$ZZ,31,FALSE)=1,$F$18,0.5))*IF($G$1="裂石",$AJ92,$AH92)+IF($G$1="裂石",$AK92*1.5,0))*(1+$AY92)*(1+$AZ92)+(($BA92+($BB92-$BA92)*IF(VLOOKUP($Q92,武学奇术!$A:$ZZ,31,FALSE)=1,$F$18,0.5))*IF($G$1="牵丝",$AJ92,$AH92)+IF($G$1="牵丝",$AK92*1.5,0))*(1+$BC92)*(1+$BD92)+(($BE92+($BF92-$BE92)*IF(VLOOKUP($Q92,武学奇术!$A:$ZZ,31,FALSE)=1,$F$18,0.5))*IF($G$1="破竹",$AJ92,$AH92)+IF($G$1="破竹",$AK92*1.5,0))*(1+$BG92)*(1+$BH92))*(1+$AL92)*$P92*(1+IF(VLOOKUP($Q92,武学奇术!$A:$ZZ,30,FALSE)="蓄力技",$B$21,0))*(1+$BQ92)</f>
        <v>30746.9999505389</v>
      </c>
      <c r="O92" s="39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26352.3411765088</v>
      </c>
      <c r="P92" s="40">
        <v>1</v>
      </c>
      <c r="Q92" s="41" t="s">
        <v>108</v>
      </c>
      <c r="R92" s="41" t="s">
        <v>93</v>
      </c>
      <c r="S92" s="41" t="s">
        <v>72</v>
      </c>
      <c r="T92" s="41" t="s">
        <v>72</v>
      </c>
      <c r="U92" s="41" t="s">
        <v>72</v>
      </c>
      <c r="V92" s="41" t="s">
        <v>72</v>
      </c>
      <c r="W92" s="41" t="s">
        <v>72</v>
      </c>
      <c r="X92" s="41" t="s">
        <v>165</v>
      </c>
      <c r="Y92" s="41" t="s">
        <v>81</v>
      </c>
      <c r="Z92" s="41" t="s">
        <v>101</v>
      </c>
      <c r="AA92" s="41" t="s">
        <v>72</v>
      </c>
      <c r="AB92" s="41" t="s">
        <v>72</v>
      </c>
      <c r="AC92" s="41" t="s">
        <v>72</v>
      </c>
      <c r="AD92" s="41" t="s">
        <v>72</v>
      </c>
      <c r="AE92" s="41" t="s">
        <v>75</v>
      </c>
      <c r="AF92" s="41" t="s">
        <v>76</v>
      </c>
      <c r="AG92" t="str">
        <f>VLOOKUP($Q92,武学奇术!$A:$ZZ,25,FALSE)</f>
        <v>拳甲</v>
      </c>
      <c r="AH92" s="27">
        <f>VLOOKUP($Q92,武学奇术!$A:$ZZ,26,FALSE)</f>
        <v>2.33376</v>
      </c>
      <c r="AI92" s="28">
        <f>VLOOKUP($Q92,武学奇术!$A:$ZZ,27,FALSE)*(1+IF(OR($AG92=$F$4,$AG92=$F$5),$B$22,0))</f>
        <v>0</v>
      </c>
      <c r="AJ92" s="27">
        <f>VLOOKUP($Q92,武学奇术!$A:$ZZ,28,FALSE)</f>
        <v>3.50064</v>
      </c>
      <c r="AK92" s="28">
        <f>VLOOKUP($Q92,武学奇术!$A:$ZZ,29,FALSE)*(1+IF(OR($AG92=$F$4,$AG92=$F$5),$B$22,0))</f>
        <v>0</v>
      </c>
      <c r="AL92" s="27" cm="1">
        <f t="array" ref="AL92">$G$3+IFERROR(VLOOKUP($AG92,$F$4:$G$7,2,FALSE),0)+VLOOKUP($Q92,武学奇术!$A:$ZZ,2,FALSE)+SUM(_xlfn.XLOOKUP($R92:$AF92,增益!$A:$A,增益!$B:$B,0))</f>
        <v>0.6241</v>
      </c>
      <c r="AM92" s="27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3742.006</v>
      </c>
      <c r="AO92" cm="1">
        <f t="array" ref="AO92">$E$10*(1+$AM92)+VLOOKUP($Q92,武学奇术!$A:$ZZ,4,FALSE)+SUM(_xlfn.XLOOKUP($R92:$AF92,增益!$A:$A,增益!$D:$D,0))-$I$2</f>
        <v>3742.006</v>
      </c>
      <c r="AP92" s="33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0.247</v>
      </c>
      <c r="AQ92" s="33" cm="1">
        <f t="array" ref="AQ92">$G$10+VLOOKUP($Q92,武学奇术!$A:$ZZ,7,FALSE)+SUM(_xlfn.XLOOKUP(R92:AF92,增益!$A:$A,增益!$G:$G,0))</f>
        <v>0.09</v>
      </c>
      <c r="AR92" s="27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3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-0.08</v>
      </c>
      <c r="AV92" s="33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3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-0.08</v>
      </c>
      <c r="AZ92" s="33" cm="1">
        <f t="array" ref="AZ92">$G$12+VLOOKUP($Q92,武学奇术!$A:$ZZ,12,FALSE)+SUM(_xlfn.XLOOKUP(R92:AF92,增益!$A:$A,增益!$L:$L,0))</f>
        <v>0</v>
      </c>
      <c r="BA92">
        <f t="shared" si="16"/>
        <v>0</v>
      </c>
      <c r="BB92">
        <f t="shared" si="17"/>
        <v>0</v>
      </c>
      <c r="BC92" s="33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-0.08</v>
      </c>
      <c r="BD92" s="33" cm="1">
        <f t="array" ref="BD92">$G$13+VLOOKUP($Q92,武学奇术!$A:$ZZ,14,FALSE)+SUM(_xlfn.XLOOKUP(R92:AF92,增益!$A:$A,增益!$N:$N,0))</f>
        <v>0</v>
      </c>
      <c r="BE92">
        <f t="shared" si="18"/>
        <v>570.28</v>
      </c>
      <c r="BF92">
        <f t="shared" si="19"/>
        <v>1582.156</v>
      </c>
      <c r="BG92" s="33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0.11</v>
      </c>
      <c r="BH92" s="33" cm="1">
        <f t="array" ref="BH92">$G$14+VLOOKUP($Q92,武学奇术!$A:$ZZ,16,FALSE)+SUM(_xlfn.XLOOKUP(R92:AF92,增益!$A:$A,增益!$P:$P,0))</f>
        <v>0.24</v>
      </c>
      <c r="BI92" s="27">
        <f>MIN(IF(VLOOKUP($Q92,武学奇术!$A:$ZZ,23,FALSE)=1,100%,$B$8),100%)</f>
        <v>1</v>
      </c>
      <c r="BJ92" s="27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+MIN(IF(VLOOKUP($Q92,武学奇术!$A:$ZZ,32,FALSE)=1,IF(VLOOKUP($Q92,武学奇术!$A:$ZZ,24,FALSE)=1,100%,MIN(40%,$B$10+VLOOKUP($Q92,武学奇术!$A:$ZZ,19,FALSE)+SUM(_xlfn.XLOOKUP(R92:AF92,增益!$A:$A,增益!$S:$S,0)))+$B$12+SUM(_xlfn.XLOOKUP(R92:AF92,增益!$A:$A,增益!$V:$V,0))),0),12%)</f>
        <v>0.918</v>
      </c>
      <c r="BK92" s="27" cm="1">
        <f t="array" ref="BK92">1+$B$13+VLOOKUP($Q92,武学奇术!$A:$ZZ,18,FALSE)+SUM(_xlfn.XLOOKUP(R92:AF92,增益!$A:$A,增益!$R:$R,0))</f>
        <v>1.94</v>
      </c>
      <c r="BL92" s="27" cm="1">
        <f t="array" ref="BL92">MAX(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-IF(VLOOKUP($Q92,武学奇术!$A:$ZZ,32,FALSE)=1,12%,0),0)</f>
        <v>0.0895</v>
      </c>
      <c r="BM92" s="27" cm="1">
        <f t="array" ref="BM92">1+$B$14+VLOOKUP($Q92,武学奇术!$A:$ZZ,20,FALSE)+SUM(_xlfn.XLOOKUP(R92:AF92,增益!$A:$A,增益!$T:$T,0))</f>
        <v>1.35</v>
      </c>
      <c r="BN92" s="27">
        <f t="shared" si="20"/>
        <v>0.9105</v>
      </c>
      <c r="BO92" s="27">
        <f t="shared" si="21"/>
        <v>0</v>
      </c>
      <c r="BP92" s="27">
        <f>IF(VLOOKUP($Q92,武学奇术!$A:$ZZ,22,FALSE)=1,0,(1-$BI92))*(1-$BL92)</f>
        <v>0</v>
      </c>
      <c r="BQ92" s="27" cm="1">
        <f t="array" ref="BQ92">SUM(_xlfn.XLOOKUP(R92:AF92,增益!$A:$A,增益!$W:$W,0))+$I$5</f>
        <v>0.11</v>
      </c>
    </row>
    <row r="93" spans="1:69">
      <c r="A93" s="4"/>
      <c r="B93" s="91"/>
      <c r="K93" s="39">
        <f t="shared" si="11"/>
        <v>21245.926931846</v>
      </c>
      <c r="L93" s="39">
        <f>((($AN93+($AO93-$AN93)*IF(VLOOKUP($Q93,武学奇术!$A:$ZZ,31,FALSE)=1,$F$18,0.5))*$AH93+$AI93)*(1+$AP93)*(1+$AQ93)+(($AS93+($AT93-$AS93)*IF(VLOOKUP($Q93,武学奇术!$A:$ZZ,31,FALSE)=1,$F$18,0.5))*IF($G$1="鸣金",$AJ93,$AH93)+IF($G$1="鸣金",$AK93*1.5,0))*(1+$AU93)*(1+$AV93)+(($AW93+($AX93-$AW93)*IF(VLOOKUP($Q93,武学奇术!$A:$ZZ,31,FALSE)=1,$F$18,0.5))*IF($G$1="裂石",$AJ93,$AH93)+IF($G$1="裂石",$AK93*1.5,0))*(1+$AY93)*(1+$AZ93)+(($BA93+($BB93-$BA93)*IF(VLOOKUP($Q93,武学奇术!$A:$ZZ,31,FALSE)=1,$F$18,0.5))*IF($G$1="牵丝",$AJ93,$AH93)+IF($G$1="牵丝",$AK93*1.5,0))*(1+$BC93)*(1+$BD93)+(($BE93+($BF93-$BE93)*IF(VLOOKUP($Q93,武学奇术!$A:$ZZ,31,FALSE)=1,$F$18,0.5))*IF($G$1="破竹",$AJ93,$AH93)+IF($G$1="破竹",$AK93*1.5,0))*(1+$BG93)*(1+$BH93))*(1+$AL93)*$BK93*$P93*(1+IF(VLOOKUP($Q93,武学奇术!$A:$ZZ,30,FALSE)="蓄力技",$B$21,0))*(1+$BQ93)</f>
        <v>21385.7680590729</v>
      </c>
      <c r="M93" s="39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19823.2973638005</v>
      </c>
      <c r="N93" s="39">
        <f>((($AN93+($AO93-$AN93)*IF(VLOOKUP($Q93,武学奇术!$A:$ZZ,31,FALSE)=1,$F$18,0.5))*$AH93+$AI93)*(1+$AP93)*(1+$AQ93)+(($AS93+($AT93-$AS93)*IF(VLOOKUP($Q93,武学奇术!$A:$ZZ,31,FALSE)=1,$F$18,0.5))*IF($G$1="鸣金",$AJ93,$AH93)+IF($G$1="鸣金",$AK93*1.5,0))*(1+$AU93)*(1+$AV93)+(($AW93+($AX93-$AW93)*IF(VLOOKUP($Q93,武学奇术!$A:$ZZ,31,FALSE)=1,$F$18,0.5))*IF($G$1="裂石",$AJ93,$AH93)+IF($G$1="裂石",$AK93*1.5,0))*(1+$AY93)*(1+$AZ93)+(($BA93+($BB93-$BA93)*IF(VLOOKUP($Q93,武学奇术!$A:$ZZ,31,FALSE)=1,$F$18,0.5))*IF($G$1="牵丝",$AJ93,$AH93)+IF($G$1="牵丝",$AK93*1.5,0))*(1+$BC93)*(1+$BD93)+(($BE93+($BF93-$BE93)*IF(VLOOKUP($Q93,武学奇术!$A:$ZZ,31,FALSE)=1,$F$18,0.5))*IF($G$1="破竹",$AJ93,$AH93)+IF($G$1="破竹",$AK93*1.5,0))*(1+$BG93)*(1+$BH93))*(1+$AL93)*$P93*(1+IF(VLOOKUP($Q93,武学奇术!$A:$ZZ,30,FALSE)="蓄力技",$B$21,0))*(1+$BQ93)</f>
        <v>13040.1024750445</v>
      </c>
      <c r="O93" s="39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11396.2809769034</v>
      </c>
      <c r="P93" s="40">
        <v>1</v>
      </c>
      <c r="Q93" s="41" t="s">
        <v>140</v>
      </c>
      <c r="R93" s="41" t="s">
        <v>93</v>
      </c>
      <c r="S93" s="41" t="s">
        <v>72</v>
      </c>
      <c r="T93" s="41" t="s">
        <v>72</v>
      </c>
      <c r="U93" s="41" t="s">
        <v>72</v>
      </c>
      <c r="V93" s="41" t="s">
        <v>72</v>
      </c>
      <c r="W93" s="41" t="s">
        <v>72</v>
      </c>
      <c r="X93" s="41" t="s">
        <v>165</v>
      </c>
      <c r="Y93" s="41" t="s">
        <v>81</v>
      </c>
      <c r="Z93" s="41" t="s">
        <v>72</v>
      </c>
      <c r="AA93" s="41" t="s">
        <v>72</v>
      </c>
      <c r="AB93" s="41" t="s">
        <v>72</v>
      </c>
      <c r="AC93" s="41" t="s">
        <v>72</v>
      </c>
      <c r="AD93" s="41" t="s">
        <v>72</v>
      </c>
      <c r="AE93" s="41" t="s">
        <v>75</v>
      </c>
      <c r="AF93" s="41" t="s">
        <v>76</v>
      </c>
      <c r="AG93" t="str">
        <f>VLOOKUP($Q93,武学奇术!$A:$ZZ,25,FALSE)</f>
        <v>拳甲</v>
      </c>
      <c r="AH93" s="27">
        <f>VLOOKUP($Q93,武学奇术!$A:$ZZ,26,FALSE)</f>
        <v>1.1005</v>
      </c>
      <c r="AI93" s="28">
        <f>VLOOKUP($Q93,武学奇术!$A:$ZZ,27,FALSE)*(1+IF(OR($AG93=$F$4,$AG93=$F$5),$B$22,0))</f>
        <v>427</v>
      </c>
      <c r="AJ93" s="27">
        <f>VLOOKUP($Q93,武学奇术!$A:$ZZ,28,FALSE)</f>
        <v>1.6507</v>
      </c>
      <c r="AK93" s="28">
        <f>VLOOKUP($Q93,武学奇术!$A:$ZZ,29,FALSE)*(1+IF(OR($AG93=$F$4,$AG93=$F$5),$B$22,0))</f>
        <v>231</v>
      </c>
      <c r="AL93" s="27" cm="1">
        <f t="array" ref="AL93">$G$3+IFERROR(VLOOKUP($AG93,$F$4:$G$7,2,FALSE),0)+VLOOKUP($Q93,武学奇术!$A:$ZZ,2,FALSE)+SUM(_xlfn.XLOOKUP($R93:$AF93,增益!$A:$A,增益!$B:$B,0))</f>
        <v>0.3241</v>
      </c>
      <c r="AM93" s="27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3742.006</v>
      </c>
      <c r="AO93" cm="1">
        <f t="array" ref="AO93">$E$10*(1+$AM93)+VLOOKUP($Q93,武学奇术!$A:$ZZ,4,FALSE)+SUM(_xlfn.XLOOKUP($R93:$AF93,增益!$A:$A,增益!$D:$D,0))-$I$2</f>
        <v>3742.006</v>
      </c>
      <c r="AP93" s="33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0.217</v>
      </c>
      <c r="AQ93" s="33" cm="1">
        <f t="array" ref="AQ93">$G$10+VLOOKUP($Q93,武学奇术!$A:$ZZ,7,FALSE)+SUM(_xlfn.XLOOKUP(R93:AF93,增益!$A:$A,增益!$G:$G,0))</f>
        <v>0.09</v>
      </c>
      <c r="AR93" s="27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3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-0.14</v>
      </c>
      <c r="AV93" s="33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3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-0.14</v>
      </c>
      <c r="AZ93" s="33" cm="1">
        <f t="array" ref="AZ93">$G$12+VLOOKUP($Q93,武学奇术!$A:$ZZ,12,FALSE)+SUM(_xlfn.XLOOKUP(R93:AF93,增益!$A:$A,增益!$L:$L,0))</f>
        <v>0</v>
      </c>
      <c r="BA93">
        <f t="shared" si="16"/>
        <v>0</v>
      </c>
      <c r="BB93">
        <f t="shared" si="17"/>
        <v>0</v>
      </c>
      <c r="BC93" s="33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-0.14</v>
      </c>
      <c r="BD93" s="33" cm="1">
        <f t="array" ref="BD93">$G$13+VLOOKUP($Q93,武学奇术!$A:$ZZ,14,FALSE)+SUM(_xlfn.XLOOKUP(R93:AF93,增益!$A:$A,增益!$N:$N,0))</f>
        <v>0</v>
      </c>
      <c r="BE93">
        <f t="shared" si="18"/>
        <v>570.28</v>
      </c>
      <c r="BF93">
        <f t="shared" si="19"/>
        <v>1582.156</v>
      </c>
      <c r="BG93" s="33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0.08</v>
      </c>
      <c r="BH93" s="33" cm="1">
        <f t="array" ref="BH93">$G$14+VLOOKUP($Q93,武学奇术!$A:$ZZ,16,FALSE)+SUM(_xlfn.XLOOKUP(R93:AF93,增益!$A:$A,增益!$P:$P,0))</f>
        <v>0.24</v>
      </c>
      <c r="BI93" s="27">
        <f>MIN(IF(VLOOKUP($Q93,武学奇术!$A:$ZZ,23,FALSE)=1,100%,$B$8),100%)</f>
        <v>1</v>
      </c>
      <c r="BJ93" s="27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+MIN(IF(VLOOKUP($Q93,武学奇术!$A:$ZZ,32,FALSE)=1,IF(VLOOKUP($Q93,武学奇术!$A:$ZZ,24,FALSE)=1,100%,MIN(40%,$B$10+VLOOKUP($Q93,武学奇术!$A:$ZZ,19,FALSE)+SUM(_xlfn.XLOOKUP(R93:AF93,增益!$A:$A,增益!$S:$S,0)))+$B$12+SUM(_xlfn.XLOOKUP(R93:AF93,增益!$A:$A,增益!$V:$V,0))),0),12%)</f>
        <v>0.918</v>
      </c>
      <c r="BK93" s="27" cm="1">
        <f t="array" ref="BK93">1+$B$13+VLOOKUP($Q93,武学奇术!$A:$ZZ,18,FALSE)+SUM(_xlfn.XLOOKUP(R93:AF93,增益!$A:$A,增益!$R:$R,0))</f>
        <v>1.64</v>
      </c>
      <c r="BL93" s="27" cm="1">
        <f t="array" ref="BL93">MAX(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-IF(VLOOKUP($Q93,武学奇术!$A:$ZZ,32,FALSE)=1,12%,0),0)</f>
        <v>0.0895</v>
      </c>
      <c r="BM93" s="27" cm="1">
        <f t="array" ref="BM93">1+$B$14+VLOOKUP($Q93,武学奇术!$A:$ZZ,20,FALSE)+SUM(_xlfn.XLOOKUP(R93:AF93,增益!$A:$A,增益!$T:$T,0))</f>
        <v>1.35</v>
      </c>
      <c r="BN93" s="27">
        <f t="shared" si="20"/>
        <v>0.9105</v>
      </c>
      <c r="BO93" s="27">
        <f t="shared" si="21"/>
        <v>0</v>
      </c>
      <c r="BP93" s="27">
        <f>IF(VLOOKUP($Q93,武学奇术!$A:$ZZ,22,FALSE)=1,0,(1-$BI93))*(1-$BL93)</f>
        <v>0</v>
      </c>
      <c r="BQ93" s="27" cm="1">
        <f t="array" ref="BQ93">SUM(_xlfn.XLOOKUP(R93:AF93,增益!$A:$A,增益!$W:$W,0))+$I$5</f>
        <v>0.11</v>
      </c>
    </row>
    <row r="94" spans="1:69">
      <c r="A94" s="4"/>
      <c r="B94" s="91"/>
      <c r="K94" s="39">
        <f t="shared" si="11"/>
        <v>77985.2875311823</v>
      </c>
      <c r="L94" s="39">
        <f>((($AN94+($AO94-$AN94)*IF(VLOOKUP($Q94,武学奇术!$A:$ZZ,31,FALSE)=1,$F$18,0.5))*$AH94+$AI94)*(1+$AP94)*(1+$AQ94)+(($AS94+($AT94-$AS94)*IF(VLOOKUP($Q94,武学奇术!$A:$ZZ,31,FALSE)=1,$F$18,0.5))*IF($G$1="鸣金",$AJ94,$AH94)+IF($G$1="鸣金",$AK94*1.5,0))*(1+$AU94)*(1+$AV94)+(($AW94+($AX94-$AW94)*IF(VLOOKUP($Q94,武学奇术!$A:$ZZ,31,FALSE)=1,$F$18,0.5))*IF($G$1="裂石",$AJ94,$AH94)+IF($G$1="裂石",$AK94*1.5,0))*(1+$AY94)*(1+$AZ94)+(($BA94+($BB94-$BA94)*IF(VLOOKUP($Q94,武学奇术!$A:$ZZ,31,FALSE)=1,$F$18,0.5))*IF($G$1="牵丝",$AJ94,$AH94)+IF($G$1="牵丝",$AK94*1.5,0))*(1+$BC94)*(1+$BD94)+(($BE94+($BF94-$BE94)*IF(VLOOKUP($Q94,武学奇术!$A:$ZZ,31,FALSE)=1,$F$18,0.5))*IF($G$1="破竹",$AJ94,$AH94)+IF($G$1="破竹",$AK94*1.5,0))*(1+$BG94)*(1+$BH94))*(1+$AL94)*$BK94*$P94*(1+IF(VLOOKUP($Q94,武学奇术!$A:$ZZ,30,FALSE)="蓄力技",$B$21,0))*(1+$BQ94)</f>
        <v>79523.742451491</v>
      </c>
      <c r="M94" s="39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62334.3020011141</v>
      </c>
      <c r="N94" s="39">
        <f>((($AN94+($AO94-$AN94)*IF(VLOOKUP($Q94,武学奇术!$A:$ZZ,31,FALSE)=1,$F$18,0.5))*$AH94+$AI94)*(1+$AP94)*(1+$AQ94)+(($AS94+($AT94-$AS94)*IF(VLOOKUP($Q94,武学奇术!$A:$ZZ,31,FALSE)=1,$F$18,0.5))*IF($G$1="鸣金",$AJ94,$AH94)+IF($G$1="鸣金",$AK94*1.5,0))*(1+$AU94)*(1+$AV94)+(($AW94+($AX94-$AW94)*IF(VLOOKUP($Q94,武学奇术!$A:$ZZ,31,FALSE)=1,$F$18,0.5))*IF($G$1="裂石",$AJ94,$AH94)+IF($G$1="裂石",$AK94*1.5,0))*(1+$AY94)*(1+$AZ94)+(($BA94+($BB94-$BA94)*IF(VLOOKUP($Q94,武学奇术!$A:$ZZ,31,FALSE)=1,$F$18,0.5))*IF($G$1="牵丝",$AJ94,$AH94)+IF($G$1="牵丝",$AK94*1.5,0))*(1+$BC94)*(1+$BD94)+(($BE94+($BF94-$BE94)*IF(VLOOKUP($Q94,武学奇术!$A:$ZZ,31,FALSE)=1,$F$18,0.5))*IF($G$1="破竹",$AJ94,$AH94)+IF($G$1="破竹",$AK94*1.5,0))*(1+$BG94)*(1+$BH94))*(1+$AL94)*$P94*(1+IF(VLOOKUP($Q94,武学奇术!$A:$ZZ,30,FALSE)="蓄力技",$B$21,0))*(1+$BQ94)</f>
        <v>40991.6198203562</v>
      </c>
      <c r="O94" s="39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35809.6826028501</v>
      </c>
      <c r="P94" s="40">
        <v>1</v>
      </c>
      <c r="Q94" s="41" t="s">
        <v>103</v>
      </c>
      <c r="R94" s="41" t="s">
        <v>93</v>
      </c>
      <c r="S94" s="41" t="s">
        <v>72</v>
      </c>
      <c r="T94" s="41" t="s">
        <v>72</v>
      </c>
      <c r="U94" s="41" t="s">
        <v>72</v>
      </c>
      <c r="V94" s="41" t="s">
        <v>72</v>
      </c>
      <c r="W94" s="41" t="s">
        <v>72</v>
      </c>
      <c r="X94" s="41" t="s">
        <v>165</v>
      </c>
      <c r="Y94" s="41" t="s">
        <v>81</v>
      </c>
      <c r="Z94" s="41" t="s">
        <v>72</v>
      </c>
      <c r="AA94" s="41" t="s">
        <v>72</v>
      </c>
      <c r="AB94" s="41" t="s">
        <v>72</v>
      </c>
      <c r="AC94" s="41" t="s">
        <v>72</v>
      </c>
      <c r="AD94" s="41" t="s">
        <v>72</v>
      </c>
      <c r="AE94" s="41" t="s">
        <v>75</v>
      </c>
      <c r="AF94" s="41" t="s">
        <v>76</v>
      </c>
      <c r="AG94" t="str">
        <f>VLOOKUP($Q94,武学奇术!$A:$ZZ,25,FALSE)</f>
        <v>拳甲</v>
      </c>
      <c r="AH94" s="27">
        <f>VLOOKUP($Q94,武学奇术!$A:$ZZ,26,FALSE)</f>
        <v>2.75166</v>
      </c>
      <c r="AI94" s="28">
        <f>VLOOKUP($Q94,武学奇术!$A:$ZZ,27,FALSE)*(1+IF(OR($AG94=$F$4,$AG94=$F$5),$B$22,0))</f>
        <v>1060.92</v>
      </c>
      <c r="AJ94" s="27">
        <f>VLOOKUP($Q94,武学奇术!$A:$ZZ,28,FALSE)</f>
        <v>4.12776</v>
      </c>
      <c r="AK94" s="28">
        <f>VLOOKUP($Q94,武学奇术!$A:$ZZ,29,FALSE)*(1+IF(OR($AG94=$F$4,$AG94=$F$5),$B$22,0))</f>
        <v>574.56</v>
      </c>
      <c r="AL94" s="27" cm="1">
        <f t="array" ref="AL94">$G$3+IFERROR(VLOOKUP($AG94,$F$4:$G$7,2,FALSE),0)+VLOOKUP($Q94,武学奇术!$A:$ZZ,2,FALSE)+SUM(_xlfn.XLOOKUP($R94:$AF94,增益!$A:$A,增益!$B:$B,0))</f>
        <v>0.6241</v>
      </c>
      <c r="AM94" s="27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3742.006</v>
      </c>
      <c r="AO94" cm="1">
        <f t="array" ref="AO94">$E$10*(1+$AM94)+VLOOKUP($Q94,武学奇术!$A:$ZZ,4,FALSE)+SUM(_xlfn.XLOOKUP($R94:$AF94,增益!$A:$A,增益!$D:$D,0))-$I$2</f>
        <v>3742.006</v>
      </c>
      <c r="AP94" s="33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0.247</v>
      </c>
      <c r="AQ94" s="33" cm="1">
        <f t="array" ref="AQ94">$G$10+VLOOKUP($Q94,武学奇术!$A:$ZZ,7,FALSE)+SUM(_xlfn.XLOOKUP(R94:AF94,增益!$A:$A,增益!$G:$G,0))</f>
        <v>0.09</v>
      </c>
      <c r="AR94" s="27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3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-0.08</v>
      </c>
      <c r="AV94" s="33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3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-0.08</v>
      </c>
      <c r="AZ94" s="33" cm="1">
        <f t="array" ref="AZ94">$G$12+VLOOKUP($Q94,武学奇术!$A:$ZZ,12,FALSE)+SUM(_xlfn.XLOOKUP(R94:AF94,增益!$A:$A,增益!$L:$L,0))</f>
        <v>0</v>
      </c>
      <c r="BA94">
        <f t="shared" si="16"/>
        <v>0</v>
      </c>
      <c r="BB94">
        <f t="shared" si="17"/>
        <v>0</v>
      </c>
      <c r="BC94" s="33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-0.08</v>
      </c>
      <c r="BD94" s="33" cm="1">
        <f t="array" ref="BD94">$G$13+VLOOKUP($Q94,武学奇术!$A:$ZZ,14,FALSE)+SUM(_xlfn.XLOOKUP(R94:AF94,增益!$A:$A,增益!$N:$N,0))</f>
        <v>0</v>
      </c>
      <c r="BE94">
        <f t="shared" si="18"/>
        <v>570.28</v>
      </c>
      <c r="BF94">
        <f t="shared" si="19"/>
        <v>1582.156</v>
      </c>
      <c r="BG94" s="33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0.11</v>
      </c>
      <c r="BH94" s="33" cm="1">
        <f t="array" ref="BH94">$G$14+VLOOKUP($Q94,武学奇术!$A:$ZZ,16,FALSE)+SUM(_xlfn.XLOOKUP(R94:AF94,增益!$A:$A,增益!$P:$P,0))</f>
        <v>0.24</v>
      </c>
      <c r="BI94" s="27">
        <f>MIN(IF(VLOOKUP($Q94,武学奇术!$A:$ZZ,23,FALSE)=1,100%,$B$8),100%)</f>
        <v>1</v>
      </c>
      <c r="BJ94" s="27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+MIN(IF(VLOOKUP($Q94,武学奇术!$A:$ZZ,32,FALSE)=1,IF(VLOOKUP($Q94,武学奇术!$A:$ZZ,24,FALSE)=1,100%,MIN(40%,$B$10+VLOOKUP($Q94,武学奇术!$A:$ZZ,19,FALSE)+SUM(_xlfn.XLOOKUP(R94:AF94,增益!$A:$A,增益!$S:$S,0)))+$B$12+SUM(_xlfn.XLOOKUP(R94:AF94,增益!$A:$A,增益!$V:$V,0))),0),12%)</f>
        <v>0.918</v>
      </c>
      <c r="BK94" s="27" cm="1">
        <f t="array" ref="BK94">1+$B$13+VLOOKUP($Q94,武学奇术!$A:$ZZ,18,FALSE)+SUM(_xlfn.XLOOKUP(R94:AF94,增益!$A:$A,增益!$R:$R,0))</f>
        <v>1.94</v>
      </c>
      <c r="BL94" s="27" cm="1">
        <f t="array" ref="BL94">MAX(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-IF(VLOOKUP($Q94,武学奇术!$A:$ZZ,32,FALSE)=1,12%,0),0)</f>
        <v>0.0895</v>
      </c>
      <c r="BM94" s="27" cm="1">
        <f t="array" ref="BM94">1+$B$14+VLOOKUP($Q94,武学奇术!$A:$ZZ,20,FALSE)+SUM(_xlfn.XLOOKUP(R94:AF94,增益!$A:$A,增益!$T:$T,0))</f>
        <v>1.35</v>
      </c>
      <c r="BN94" s="27">
        <f t="shared" si="20"/>
        <v>0.9105</v>
      </c>
      <c r="BO94" s="27">
        <f t="shared" si="21"/>
        <v>0</v>
      </c>
      <c r="BP94" s="27">
        <f>IF(VLOOKUP($Q94,武学奇术!$A:$ZZ,22,FALSE)=1,0,(1-$BI94))*(1-$BL94)</f>
        <v>0</v>
      </c>
      <c r="BQ94" s="27" cm="1">
        <f t="array" ref="BQ94">SUM(_xlfn.XLOOKUP(R94:AF94,增益!$A:$A,增益!$W:$W,0))+$I$5</f>
        <v>0.11</v>
      </c>
    </row>
    <row r="95" spans="1:69">
      <c r="A95" s="4"/>
      <c r="B95" s="4"/>
      <c r="K95" s="39">
        <f t="shared" si="11"/>
        <v>24875.9197734237</v>
      </c>
      <c r="L95" s="39">
        <f>((($AN95+($AO95-$AN95)*IF(VLOOKUP($Q95,武学奇术!$A:$ZZ,31,FALSE)=1,$F$18,0.5))*$AH95+$AI95)*(1+$AP95)*(1+$AQ95)+(($AS95+($AT95-$AS95)*IF(VLOOKUP($Q95,武学奇术!$A:$ZZ,31,FALSE)=1,$F$18,0.5))*IF($G$1="鸣金",$AJ95,$AH95)+IF($G$1="鸣金",$AK95*1.5,0))*(1+$AU95)*(1+$AV95)+(($AW95+($AX95-$AW95)*IF(VLOOKUP($Q95,武学奇术!$A:$ZZ,31,FALSE)=1,$F$18,0.5))*IF($G$1="裂石",$AJ95,$AH95)+IF($G$1="裂石",$AK95*1.5,0))*(1+$AY95)*(1+$AZ95)+(($BA95+($BB95-$BA95)*IF(VLOOKUP($Q95,武学奇术!$A:$ZZ,31,FALSE)=1,$F$18,0.5))*IF($G$1="牵丝",$AJ95,$AH95)+IF($G$1="牵丝",$AK95*1.5,0))*(1+$BC95)*(1+$BD95)+(($BE95+($BF95-$BE95)*IF(VLOOKUP($Q95,武学奇术!$A:$ZZ,31,FALSE)=1,$F$18,0.5))*IF($G$1="破竹",$AJ95,$AH95)+IF($G$1="破竹",$AK95*1.5,0))*(1+$BG95)*(1+$BH95))*(1+$AL95)*$BK95*$P95*(1+IF(VLOOKUP($Q95,武学奇术!$A:$ZZ,30,FALSE)="蓄力技",$B$21,0))*(1+$BQ95)</f>
        <v>25039.828647211</v>
      </c>
      <c r="M95" s="39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23208.4445825484</v>
      </c>
      <c r="N95" s="39">
        <f>((($AN95+($AO95-$AN95)*IF(VLOOKUP($Q95,武学奇术!$A:$ZZ,31,FALSE)=1,$F$18,0.5))*$AH95+$AI95)*(1+$AP95)*(1+$AQ95)+(($AS95+($AT95-$AS95)*IF(VLOOKUP($Q95,武学奇术!$A:$ZZ,31,FALSE)=1,$F$18,0.5))*IF($G$1="鸣金",$AJ95,$AH95)+IF($G$1="鸣金",$AK95*1.5,0))*(1+$AU95)*(1+$AV95)+(($AW95+($AX95-$AW95)*IF(VLOOKUP($Q95,武学奇术!$A:$ZZ,31,FALSE)=1,$F$18,0.5))*IF($G$1="裂石",$AJ95,$AH95)+IF($G$1="裂石",$AK95*1.5,0))*(1+$AY95)*(1+$AZ95)+(($BA95+($BB95-$BA95)*IF(VLOOKUP($Q95,武学奇术!$A:$ZZ,31,FALSE)=1,$F$18,0.5))*IF($G$1="牵丝",$AJ95,$AH95)+IF($G$1="牵丝",$AK95*1.5,0))*(1+$BC95)*(1+$BD95)+(($BE95+($BF95-$BE95)*IF(VLOOKUP($Q95,武学奇术!$A:$ZZ,31,FALSE)=1,$F$18,0.5))*IF($G$1="破竹",$AJ95,$AH95)+IF($G$1="破竹",$AK95*1.5,0))*(1+$BG95)*(1+$BH95))*(1+$AL95)*$P95*(1+IF(VLOOKUP($Q95,武学奇术!$A:$ZZ,30,FALSE)="蓄力技",$B$21,0))*(1+$BQ95)</f>
        <v>15268.1881995189</v>
      </c>
      <c r="O95" s="39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13344.9359675204</v>
      </c>
      <c r="P95" s="40">
        <v>1</v>
      </c>
      <c r="Q95" s="41" t="s">
        <v>106</v>
      </c>
      <c r="R95" s="41" t="s">
        <v>93</v>
      </c>
      <c r="S95" s="41" t="s">
        <v>72</v>
      </c>
      <c r="T95" s="41" t="s">
        <v>72</v>
      </c>
      <c r="U95" s="41" t="s">
        <v>72</v>
      </c>
      <c r="V95" s="41" t="s">
        <v>72</v>
      </c>
      <c r="W95" s="41" t="s">
        <v>72</v>
      </c>
      <c r="X95" s="41" t="s">
        <v>165</v>
      </c>
      <c r="Y95" s="41" t="s">
        <v>81</v>
      </c>
      <c r="Z95" s="41" t="s">
        <v>72</v>
      </c>
      <c r="AA95" s="41" t="s">
        <v>72</v>
      </c>
      <c r="AB95" s="41" t="s">
        <v>72</v>
      </c>
      <c r="AC95" s="41" t="s">
        <v>72</v>
      </c>
      <c r="AD95" s="41" t="s">
        <v>72</v>
      </c>
      <c r="AE95" s="41" t="s">
        <v>75</v>
      </c>
      <c r="AF95" s="41" t="s">
        <v>76</v>
      </c>
      <c r="AG95" t="str">
        <f>VLOOKUP($Q95,武学奇术!$A:$ZZ,25,FALSE)</f>
        <v>拳甲</v>
      </c>
      <c r="AH95" s="27">
        <f>VLOOKUP($Q95,武学奇术!$A:$ZZ,26,FALSE)</f>
        <v>1.2876</v>
      </c>
      <c r="AI95" s="28">
        <f>VLOOKUP($Q95,武学奇术!$A:$ZZ,27,FALSE)*(1+IF(OR($AG95=$F$4,$AG95=$F$5),$B$22,0))</f>
        <v>501.2</v>
      </c>
      <c r="AJ95" s="27">
        <f>VLOOKUP($Q95,武学奇术!$A:$ZZ,28,FALSE)</f>
        <v>1.9313</v>
      </c>
      <c r="AK95" s="28">
        <f>VLOOKUP($Q95,武学奇术!$A:$ZZ,29,FALSE)*(1+IF(OR($AG95=$F$4,$AG95=$F$5),$B$22,0))</f>
        <v>273</v>
      </c>
      <c r="AL95" s="27" cm="1">
        <f t="array" ref="AL95">$G$3+IFERROR(VLOOKUP($AG95,$F$4:$G$7,2,FALSE),0)+VLOOKUP($Q95,武学奇术!$A:$ZZ,2,FALSE)+SUM(_xlfn.XLOOKUP($R95:$AF95,增益!$A:$A,增益!$B:$B,0))</f>
        <v>0.3241</v>
      </c>
      <c r="AM95" s="27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3742.006</v>
      </c>
      <c r="AO95" cm="1">
        <f t="array" ref="AO95">$E$10*(1+$AM95)+VLOOKUP($Q95,武学奇术!$A:$ZZ,4,FALSE)+SUM(_xlfn.XLOOKUP($R95:$AF95,增益!$A:$A,增益!$D:$D,0))-$I$2</f>
        <v>3742.006</v>
      </c>
      <c r="AP95" s="33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0.217</v>
      </c>
      <c r="AQ95" s="33" cm="1">
        <f t="array" ref="AQ95">$G$10+VLOOKUP($Q95,武学奇术!$A:$ZZ,7,FALSE)+SUM(_xlfn.XLOOKUP(R95:AF95,增益!$A:$A,增益!$G:$G,0))</f>
        <v>0.09</v>
      </c>
      <c r="AR95" s="27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3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-0.14</v>
      </c>
      <c r="AV95" s="33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3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-0.14</v>
      </c>
      <c r="AZ95" s="33" cm="1">
        <f t="array" ref="AZ95">$G$12+VLOOKUP($Q95,武学奇术!$A:$ZZ,12,FALSE)+SUM(_xlfn.XLOOKUP(R95:AF95,增益!$A:$A,增益!$L:$L,0))</f>
        <v>0</v>
      </c>
      <c r="BA95">
        <f t="shared" si="16"/>
        <v>0</v>
      </c>
      <c r="BB95">
        <f t="shared" si="17"/>
        <v>0</v>
      </c>
      <c r="BC95" s="33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-0.14</v>
      </c>
      <c r="BD95" s="33" cm="1">
        <f t="array" ref="BD95">$G$13+VLOOKUP($Q95,武学奇术!$A:$ZZ,14,FALSE)+SUM(_xlfn.XLOOKUP(R95:AF95,增益!$A:$A,增益!$N:$N,0))</f>
        <v>0</v>
      </c>
      <c r="BE95">
        <f t="shared" si="18"/>
        <v>570.28</v>
      </c>
      <c r="BF95">
        <f t="shared" si="19"/>
        <v>1582.156</v>
      </c>
      <c r="BG95" s="33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0.08</v>
      </c>
      <c r="BH95" s="33" cm="1">
        <f t="array" ref="BH95">$G$14+VLOOKUP($Q95,武学奇术!$A:$ZZ,16,FALSE)+SUM(_xlfn.XLOOKUP(R95:AF95,增益!$A:$A,增益!$P:$P,0))</f>
        <v>0.24</v>
      </c>
      <c r="BI95" s="27">
        <f>MIN(IF(VLOOKUP($Q95,武学奇术!$A:$ZZ,23,FALSE)=1,100%,$B$8),100%)</f>
        <v>1</v>
      </c>
      <c r="BJ95" s="27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+MIN(IF(VLOOKUP($Q95,武学奇术!$A:$ZZ,32,FALSE)=1,IF(VLOOKUP($Q95,武学奇术!$A:$ZZ,24,FALSE)=1,100%,MIN(40%,$B$10+VLOOKUP($Q95,武学奇术!$A:$ZZ,19,FALSE)+SUM(_xlfn.XLOOKUP(R95:AF95,增益!$A:$A,增益!$S:$S,0)))+$B$12+SUM(_xlfn.XLOOKUP(R95:AF95,增益!$A:$A,增益!$V:$V,0))),0),12%)</f>
        <v>0.918</v>
      </c>
      <c r="BK95" s="27" cm="1">
        <f t="array" ref="BK95">1+$B$13+VLOOKUP($Q95,武学奇术!$A:$ZZ,18,FALSE)+SUM(_xlfn.XLOOKUP(R95:AF95,增益!$A:$A,增益!$R:$R,0))</f>
        <v>1.64</v>
      </c>
      <c r="BL95" s="27" cm="1">
        <f t="array" ref="BL95">MAX(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-IF(VLOOKUP($Q95,武学奇术!$A:$ZZ,32,FALSE)=1,12%,0),0)</f>
        <v>0.0895</v>
      </c>
      <c r="BM95" s="27" cm="1">
        <f t="array" ref="BM95">1+$B$14+VLOOKUP($Q95,武学奇术!$A:$ZZ,20,FALSE)+SUM(_xlfn.XLOOKUP(R95:AF95,增益!$A:$A,增益!$T:$T,0))</f>
        <v>1.35</v>
      </c>
      <c r="BN95" s="27">
        <f t="shared" si="20"/>
        <v>0.9105</v>
      </c>
      <c r="BO95" s="27">
        <f t="shared" si="21"/>
        <v>0</v>
      </c>
      <c r="BP95" s="27">
        <f>IF(VLOOKUP($Q95,武学奇术!$A:$ZZ,22,FALSE)=1,0,(1-$BI95))*(1-$BL95)</f>
        <v>0</v>
      </c>
      <c r="BQ95" s="27" cm="1">
        <f t="array" ref="BQ95">SUM(_xlfn.XLOOKUP(R95:AF95,增益!$A:$A,增益!$W:$W,0))+$I$5</f>
        <v>0.11</v>
      </c>
    </row>
    <row r="96" spans="1:69">
      <c r="A96" s="4"/>
      <c r="B96" s="4"/>
      <c r="K96" s="39">
        <f t="shared" si="11"/>
        <v>58556.5692180294</v>
      </c>
      <c r="L96" s="39">
        <f>((($AN96+($AO96-$AN96)*IF(VLOOKUP($Q96,武学奇术!$A:$ZZ,31,FALSE)=1,$F$18,0.5))*$AH96+$AI96)*(1+$AP96)*(1+$AQ96)+(($AS96+($AT96-$AS96)*IF(VLOOKUP($Q96,武学奇术!$A:$ZZ,31,FALSE)=1,$F$18,0.5))*IF($G$1="鸣金",$AJ96,$AH96)+IF($G$1="鸣金",$AK96*1.5,0))*(1+$AU96)*(1+$AV96)+(($AW96+($AX96-$AW96)*IF(VLOOKUP($Q96,武学奇术!$A:$ZZ,31,FALSE)=1,$F$18,0.5))*IF($G$1="裂石",$AJ96,$AH96)+IF($G$1="裂石",$AK96*1.5,0))*(1+$AY96)*(1+$AZ96)+(($BA96+($BB96-$BA96)*IF(VLOOKUP($Q96,武学奇术!$A:$ZZ,31,FALSE)=1,$F$18,0.5))*IF($G$1="牵丝",$AJ96,$AH96)+IF($G$1="牵丝",$AK96*1.5,0))*(1+$BC96)*(1+$BD96)+(($BE96+($BF96-$BE96)*IF(VLOOKUP($Q96,武学奇术!$A:$ZZ,31,FALSE)=1,$F$18,0.5))*IF($G$1="破竹",$AJ96,$AH96)+IF($G$1="破竹",$AK96*1.5,0))*(1+$BG96)*(1+$BH96))*(1+$AL96)*$BK96*$P96*(1+IF(VLOOKUP($Q96,武学奇术!$A:$ZZ,30,FALSE)="蓄力技",$B$21,0))*(1+$BQ96)</f>
        <v>59649.1799040454</v>
      </c>
      <c r="M96" s="39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47441.2392781681</v>
      </c>
      <c r="N96" s="39">
        <f>((($AN96+($AO96-$AN96)*IF(VLOOKUP($Q96,武学奇术!$A:$ZZ,31,FALSE)=1,$F$18,0.5))*$AH96+$AI96)*(1+$AP96)*(1+$AQ96)+(($AS96+($AT96-$AS96)*IF(VLOOKUP($Q96,武学奇术!$A:$ZZ,31,FALSE)=1,$F$18,0.5))*IF($G$1="鸣金",$AJ96,$AH96)+IF($G$1="鸣金",$AK96*1.5,0))*(1+$AU96)*(1+$AV96)+(($AW96+($AX96-$AW96)*IF(VLOOKUP($Q96,武学奇术!$A:$ZZ,31,FALSE)=1,$F$18,0.5))*IF($G$1="裂石",$AJ96,$AH96)+IF($G$1="裂石",$AK96*1.5,0))*(1+$AY96)*(1+$AZ96)+(($BA96+($BB96-$BA96)*IF(VLOOKUP($Q96,武学奇术!$A:$ZZ,31,FALSE)=1,$F$18,0.5))*IF($G$1="牵丝",$AJ96,$AH96)+IF($G$1="牵丝",$AK96*1.5,0))*(1+$BC96)*(1+$BD96)+(($BE96+($BF96-$BE96)*IF(VLOOKUP($Q96,武学奇术!$A:$ZZ,31,FALSE)=1,$F$18,0.5))*IF($G$1="破竹",$AJ96,$AH96)+IF($G$1="破竹",$AK96*1.5,0))*(1+$BG96)*(1+$BH96))*(1+$AL96)*$P96*(1+IF(VLOOKUP($Q96,武学奇术!$A:$ZZ,30,FALSE)="蓄力技",$B$21,0))*(1+$BQ96)</f>
        <v>30746.9999505389</v>
      </c>
      <c r="O96" s="39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26352.3411765088</v>
      </c>
      <c r="P96" s="40">
        <v>1</v>
      </c>
      <c r="Q96" s="41" t="s">
        <v>108</v>
      </c>
      <c r="R96" s="41" t="s">
        <v>93</v>
      </c>
      <c r="S96" s="41" t="s">
        <v>72</v>
      </c>
      <c r="T96" s="41" t="s">
        <v>72</v>
      </c>
      <c r="U96" s="41" t="s">
        <v>72</v>
      </c>
      <c r="V96" s="41" t="s">
        <v>72</v>
      </c>
      <c r="W96" s="41" t="s">
        <v>72</v>
      </c>
      <c r="X96" s="41" t="s">
        <v>165</v>
      </c>
      <c r="Y96" s="41" t="s">
        <v>81</v>
      </c>
      <c r="Z96" s="41" t="s">
        <v>101</v>
      </c>
      <c r="AA96" s="41" t="s">
        <v>72</v>
      </c>
      <c r="AB96" s="41" t="s">
        <v>72</v>
      </c>
      <c r="AC96" s="41" t="s">
        <v>72</v>
      </c>
      <c r="AD96" s="41" t="s">
        <v>72</v>
      </c>
      <c r="AE96" s="41" t="s">
        <v>75</v>
      </c>
      <c r="AF96" s="41" t="s">
        <v>76</v>
      </c>
      <c r="AG96" t="str">
        <f>VLOOKUP($Q96,武学奇术!$A:$ZZ,25,FALSE)</f>
        <v>拳甲</v>
      </c>
      <c r="AH96" s="27">
        <f>VLOOKUP($Q96,武学奇术!$A:$ZZ,26,FALSE)</f>
        <v>2.33376</v>
      </c>
      <c r="AI96" s="28">
        <f>VLOOKUP($Q96,武学奇术!$A:$ZZ,27,FALSE)*(1+IF(OR($AG96=$F$4,$AG96=$F$5),$B$22,0))</f>
        <v>0</v>
      </c>
      <c r="AJ96" s="27">
        <f>VLOOKUP($Q96,武学奇术!$A:$ZZ,28,FALSE)</f>
        <v>3.50064</v>
      </c>
      <c r="AK96" s="28">
        <f>VLOOKUP($Q96,武学奇术!$A:$ZZ,29,FALSE)*(1+IF(OR($AG96=$F$4,$AG96=$F$5),$B$22,0))</f>
        <v>0</v>
      </c>
      <c r="AL96" s="27" cm="1">
        <f t="array" ref="AL96">$G$3+IFERROR(VLOOKUP($AG96,$F$4:$G$7,2,FALSE),0)+VLOOKUP($Q96,武学奇术!$A:$ZZ,2,FALSE)+SUM(_xlfn.XLOOKUP($R96:$AF96,增益!$A:$A,增益!$B:$B,0))</f>
        <v>0.6241</v>
      </c>
      <c r="AM96" s="27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3742.006</v>
      </c>
      <c r="AO96" cm="1">
        <f t="array" ref="AO96">$E$10*(1+$AM96)+VLOOKUP($Q96,武学奇术!$A:$ZZ,4,FALSE)+SUM(_xlfn.XLOOKUP($R96:$AF96,增益!$A:$A,增益!$D:$D,0))-$I$2</f>
        <v>3742.006</v>
      </c>
      <c r="AP96" s="33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0.247</v>
      </c>
      <c r="AQ96" s="33" cm="1">
        <f t="array" ref="AQ96">$G$10+VLOOKUP($Q96,武学奇术!$A:$ZZ,7,FALSE)+SUM(_xlfn.XLOOKUP(R96:AF96,增益!$A:$A,增益!$G:$G,0))</f>
        <v>0.09</v>
      </c>
      <c r="AR96" s="27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3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-0.08</v>
      </c>
      <c r="AV96" s="33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3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-0.08</v>
      </c>
      <c r="AZ96" s="33" cm="1">
        <f t="array" ref="AZ96">$G$12+VLOOKUP($Q96,武学奇术!$A:$ZZ,12,FALSE)+SUM(_xlfn.XLOOKUP(R96:AF96,增益!$A:$A,增益!$L:$L,0))</f>
        <v>0</v>
      </c>
      <c r="BA96">
        <f t="shared" si="16"/>
        <v>0</v>
      </c>
      <c r="BB96">
        <f t="shared" si="17"/>
        <v>0</v>
      </c>
      <c r="BC96" s="33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-0.08</v>
      </c>
      <c r="BD96" s="33" cm="1">
        <f t="array" ref="BD96">$G$13+VLOOKUP($Q96,武学奇术!$A:$ZZ,14,FALSE)+SUM(_xlfn.XLOOKUP(R96:AF96,增益!$A:$A,增益!$N:$N,0))</f>
        <v>0</v>
      </c>
      <c r="BE96">
        <f t="shared" si="18"/>
        <v>570.28</v>
      </c>
      <c r="BF96">
        <f t="shared" si="19"/>
        <v>1582.156</v>
      </c>
      <c r="BG96" s="33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0.11</v>
      </c>
      <c r="BH96" s="33" cm="1">
        <f t="array" ref="BH96">$G$14+VLOOKUP($Q96,武学奇术!$A:$ZZ,16,FALSE)+SUM(_xlfn.XLOOKUP(R96:AF96,增益!$A:$A,增益!$P:$P,0))</f>
        <v>0.24</v>
      </c>
      <c r="BI96" s="27">
        <f>MIN(IF(VLOOKUP($Q96,武学奇术!$A:$ZZ,23,FALSE)=1,100%,$B$8),100%)</f>
        <v>1</v>
      </c>
      <c r="BJ96" s="27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+MIN(IF(VLOOKUP($Q96,武学奇术!$A:$ZZ,32,FALSE)=1,IF(VLOOKUP($Q96,武学奇术!$A:$ZZ,24,FALSE)=1,100%,MIN(40%,$B$10+VLOOKUP($Q96,武学奇术!$A:$ZZ,19,FALSE)+SUM(_xlfn.XLOOKUP(R96:AF96,增益!$A:$A,增益!$S:$S,0)))+$B$12+SUM(_xlfn.XLOOKUP(R96:AF96,增益!$A:$A,增益!$V:$V,0))),0),12%)</f>
        <v>0.918</v>
      </c>
      <c r="BK96" s="27" cm="1">
        <f t="array" ref="BK96">1+$B$13+VLOOKUP($Q96,武学奇术!$A:$ZZ,18,FALSE)+SUM(_xlfn.XLOOKUP(R96:AF96,增益!$A:$A,增益!$R:$R,0))</f>
        <v>1.94</v>
      </c>
      <c r="BL96" s="27" cm="1">
        <f t="array" ref="BL96">MAX(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-IF(VLOOKUP($Q96,武学奇术!$A:$ZZ,32,FALSE)=1,12%,0),0)</f>
        <v>0.0895</v>
      </c>
      <c r="BM96" s="27" cm="1">
        <f t="array" ref="BM96">1+$B$14+VLOOKUP($Q96,武学奇术!$A:$ZZ,20,FALSE)+SUM(_xlfn.XLOOKUP(R96:AF96,增益!$A:$A,增益!$T:$T,0))</f>
        <v>1.35</v>
      </c>
      <c r="BN96" s="27">
        <f t="shared" si="20"/>
        <v>0.9105</v>
      </c>
      <c r="BO96" s="27">
        <f t="shared" si="21"/>
        <v>0</v>
      </c>
      <c r="BP96" s="27">
        <f>IF(VLOOKUP($Q96,武学奇术!$A:$ZZ,22,FALSE)=1,0,(1-$BI96))*(1-$BL96)</f>
        <v>0</v>
      </c>
      <c r="BQ96" s="27" cm="1">
        <f t="array" ref="BQ96">SUM(_xlfn.XLOOKUP(R96:AF96,增益!$A:$A,增益!$W:$W,0))+$I$5</f>
        <v>0.11</v>
      </c>
    </row>
    <row r="97" spans="11:69">
      <c r="K97" s="39">
        <f t="shared" si="11"/>
        <v>47138.7268570295</v>
      </c>
      <c r="L97" s="39">
        <f>((($AN97+($AO97-$AN97)*IF(VLOOKUP($Q97,武学奇术!$A:$ZZ,31,FALSE)=1,$F$18,0.5))*$AH97+$AI97)*(1+$AP97)*(1+$AQ97)+(($AS97+($AT97-$AS97)*IF(VLOOKUP($Q97,武学奇术!$A:$ZZ,31,FALSE)=1,$F$18,0.5))*IF($G$1="鸣金",$AJ97,$AH97)+IF($G$1="鸣金",$AK97*1.5,0))*(1+$AU97)*(1+$AV97)+(($AW97+($AX97-$AW97)*IF(VLOOKUP($Q97,武学奇术!$A:$ZZ,31,FALSE)=1,$F$18,0.5))*IF($G$1="裂石",$AJ97,$AH97)+IF($G$1="裂石",$AK97*1.5,0))*(1+$AY97)*(1+$AZ97)+(($BA97+($BB97-$BA97)*IF(VLOOKUP($Q97,武学奇术!$A:$ZZ,31,FALSE)=1,$F$18,0.5))*IF($G$1="牵丝",$AJ97,$AH97)+IF($G$1="牵丝",$AK97*1.5,0))*(1+$BC97)*(1+$BD97)+(($BE97+($BF97-$BE97)*IF(VLOOKUP($Q97,武学奇术!$A:$ZZ,31,FALSE)=1,$F$18,0.5))*IF($G$1="破竹",$AJ97,$AH97)+IF($G$1="破竹",$AK97*1.5,0))*(1+$BG97)*(1+$BH97))*(1+$AL97)*$BK97*$P97*(1+IF(VLOOKUP($Q97,武学奇术!$A:$ZZ,30,FALSE)="蓄力技",$B$21,0))*(1+$BQ97)</f>
        <v>47448.8773504399</v>
      </c>
      <c r="M97" s="39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43983.5087089835</v>
      </c>
      <c r="N97" s="39">
        <f>((($AN97+($AO97-$AN97)*IF(VLOOKUP($Q97,武学奇术!$A:$ZZ,31,FALSE)=1,$F$18,0.5))*$AH97+$AI97)*(1+$AP97)*(1+$AQ97)+(($AS97+($AT97-$AS97)*IF(VLOOKUP($Q97,武学奇术!$A:$ZZ,31,FALSE)=1,$F$18,0.5))*IF($G$1="鸣金",$AJ97,$AH97)+IF($G$1="鸣金",$AK97*1.5,0))*(1+$AU97)*(1+$AV97)+(($AW97+($AX97-$AW97)*IF(VLOOKUP($Q97,武学奇术!$A:$ZZ,31,FALSE)=1,$F$18,0.5))*IF($G$1="裂石",$AJ97,$AH97)+IF($G$1="裂石",$AK97*1.5,0))*(1+$AY97)*(1+$AZ97)+(($BA97+($BB97-$BA97)*IF(VLOOKUP($Q97,武学奇术!$A:$ZZ,31,FALSE)=1,$F$18,0.5))*IF($G$1="牵丝",$AJ97,$AH97)+IF($G$1="牵丝",$AK97*1.5,0))*(1+$BC97)*(1+$BD97)+(($BE97+($BF97-$BE97)*IF(VLOOKUP($Q97,武学奇术!$A:$ZZ,31,FALSE)=1,$F$18,0.5))*IF($G$1="破竹",$AJ97,$AH97)+IF($G$1="破竹",$AK97*1.5,0))*(1+$BG97)*(1+$BH97))*(1+$AL97)*$P97*(1+IF(VLOOKUP($Q97,武学奇术!$A:$ZZ,30,FALSE)="蓄力技",$B$21,0))*(1+$BQ97)</f>
        <v>28932.2422868536</v>
      </c>
      <c r="O97" s="39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25284.1077522379</v>
      </c>
      <c r="P97" s="40">
        <v>1</v>
      </c>
      <c r="Q97" s="41" t="s">
        <v>111</v>
      </c>
      <c r="R97" s="41" t="s">
        <v>93</v>
      </c>
      <c r="S97" s="41" t="s">
        <v>72</v>
      </c>
      <c r="T97" s="41" t="s">
        <v>72</v>
      </c>
      <c r="U97" s="41" t="s">
        <v>72</v>
      </c>
      <c r="V97" s="41" t="s">
        <v>72</v>
      </c>
      <c r="W97" s="41" t="s">
        <v>72</v>
      </c>
      <c r="X97" s="41" t="s">
        <v>165</v>
      </c>
      <c r="Y97" s="41" t="s">
        <v>81</v>
      </c>
      <c r="Z97" s="41" t="s">
        <v>72</v>
      </c>
      <c r="AA97" s="41" t="s">
        <v>72</v>
      </c>
      <c r="AB97" s="41" t="s">
        <v>72</v>
      </c>
      <c r="AC97" s="41" t="s">
        <v>72</v>
      </c>
      <c r="AD97" s="41" t="s">
        <v>72</v>
      </c>
      <c r="AE97" s="41" t="s">
        <v>75</v>
      </c>
      <c r="AF97" s="41" t="s">
        <v>76</v>
      </c>
      <c r="AG97" t="str">
        <f>VLOOKUP($Q97,武学奇术!$A:$ZZ,25,FALSE)</f>
        <v>拳甲</v>
      </c>
      <c r="AH97" s="27">
        <f>VLOOKUP($Q97,武学奇术!$A:$ZZ,26,FALSE)</f>
        <v>2.4421</v>
      </c>
      <c r="AI97" s="28">
        <f>VLOOKUP($Q97,武学奇术!$A:$ZZ,27,FALSE)*(1+IF(OR($AG97=$F$4,$AG97=$F$5),$B$22,0))</f>
        <v>945</v>
      </c>
      <c r="AJ97" s="27">
        <f>VLOOKUP($Q97,武学奇术!$A:$ZZ,28,FALSE)</f>
        <v>3.6634</v>
      </c>
      <c r="AK97" s="28">
        <f>VLOOKUP($Q97,武学奇术!$A:$ZZ,29,FALSE)*(1+IF(OR($AG97=$F$4,$AG97=$F$5),$B$22,0))</f>
        <v>512.4</v>
      </c>
      <c r="AL97" s="27" cm="1">
        <f t="array" ref="AL97">$G$3+IFERROR(VLOOKUP($AG97,$F$4:$G$7,2,FALSE),0)+VLOOKUP($Q97,武学奇术!$A:$ZZ,2,FALSE)+SUM(_xlfn.XLOOKUP($R97:$AF97,增益!$A:$A,增益!$B:$B,0))</f>
        <v>0.3241</v>
      </c>
      <c r="AM97" s="27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3742.006</v>
      </c>
      <c r="AO97" cm="1">
        <f t="array" ref="AO97">$E$10*(1+$AM97)+VLOOKUP($Q97,武学奇术!$A:$ZZ,4,FALSE)+SUM(_xlfn.XLOOKUP($R97:$AF97,增益!$A:$A,增益!$D:$D,0))-$I$2</f>
        <v>3742.006</v>
      </c>
      <c r="AP97" s="33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0.217</v>
      </c>
      <c r="AQ97" s="33" cm="1">
        <f t="array" ref="AQ97">$G$10+VLOOKUP($Q97,武学奇术!$A:$ZZ,7,FALSE)+SUM(_xlfn.XLOOKUP(R97:AF97,增益!$A:$A,增益!$G:$G,0))</f>
        <v>0.09</v>
      </c>
      <c r="AR97" s="27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3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-0.14</v>
      </c>
      <c r="AV97" s="33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3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-0.14</v>
      </c>
      <c r="AZ97" s="33" cm="1">
        <f t="array" ref="AZ97">$G$12+VLOOKUP($Q97,武学奇术!$A:$ZZ,12,FALSE)+SUM(_xlfn.XLOOKUP(R97:AF97,增益!$A:$A,增益!$L:$L,0))</f>
        <v>0</v>
      </c>
      <c r="BA97">
        <f t="shared" si="16"/>
        <v>0</v>
      </c>
      <c r="BB97">
        <f t="shared" si="17"/>
        <v>0</v>
      </c>
      <c r="BC97" s="33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-0.14</v>
      </c>
      <c r="BD97" s="33" cm="1">
        <f t="array" ref="BD97">$G$13+VLOOKUP($Q97,武学奇术!$A:$ZZ,14,FALSE)+SUM(_xlfn.XLOOKUP(R97:AF97,增益!$A:$A,增益!$N:$N,0))</f>
        <v>0</v>
      </c>
      <c r="BE97">
        <f t="shared" si="18"/>
        <v>570.28</v>
      </c>
      <c r="BF97">
        <f t="shared" si="19"/>
        <v>1582.156</v>
      </c>
      <c r="BG97" s="33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0.08</v>
      </c>
      <c r="BH97" s="33" cm="1">
        <f t="array" ref="BH97">$G$14+VLOOKUP($Q97,武学奇术!$A:$ZZ,16,FALSE)+SUM(_xlfn.XLOOKUP(R97:AF97,增益!$A:$A,增益!$P:$P,0))</f>
        <v>0.24</v>
      </c>
      <c r="BI97" s="27">
        <f>MIN(IF(VLOOKUP($Q97,武学奇术!$A:$ZZ,23,FALSE)=1,100%,$B$8),100%)</f>
        <v>1</v>
      </c>
      <c r="BJ97" s="27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+MIN(IF(VLOOKUP($Q97,武学奇术!$A:$ZZ,32,FALSE)=1,IF(VLOOKUP($Q97,武学奇术!$A:$ZZ,24,FALSE)=1,100%,MIN(40%,$B$10+VLOOKUP($Q97,武学奇术!$A:$ZZ,19,FALSE)+SUM(_xlfn.XLOOKUP(R97:AF97,增益!$A:$A,增益!$S:$S,0)))+$B$12+SUM(_xlfn.XLOOKUP(R97:AF97,增益!$A:$A,增益!$V:$V,0))),0),12%)</f>
        <v>0.918</v>
      </c>
      <c r="BK97" s="27" cm="1">
        <f t="array" ref="BK97">1+$B$13+VLOOKUP($Q97,武学奇术!$A:$ZZ,18,FALSE)+SUM(_xlfn.XLOOKUP(R97:AF97,增益!$A:$A,增益!$R:$R,0))</f>
        <v>1.64</v>
      </c>
      <c r="BL97" s="27" cm="1">
        <f t="array" ref="BL97">MAX(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-IF(VLOOKUP($Q97,武学奇术!$A:$ZZ,32,FALSE)=1,12%,0),0)</f>
        <v>0.0895</v>
      </c>
      <c r="BM97" s="27" cm="1">
        <f t="array" ref="BM97">1+$B$14+VLOOKUP($Q97,武学奇术!$A:$ZZ,20,FALSE)+SUM(_xlfn.XLOOKUP(R97:AF97,增益!$A:$A,增益!$T:$T,0))</f>
        <v>1.35</v>
      </c>
      <c r="BN97" s="27">
        <f t="shared" si="20"/>
        <v>0.9105</v>
      </c>
      <c r="BO97" s="27">
        <f t="shared" si="21"/>
        <v>0</v>
      </c>
      <c r="BP97" s="27">
        <f>IF(VLOOKUP($Q97,武学奇术!$A:$ZZ,22,FALSE)=1,0,(1-$BI97))*(1-$BL97)</f>
        <v>0</v>
      </c>
      <c r="BQ97" s="27" cm="1">
        <f t="array" ref="BQ97">SUM(_xlfn.XLOOKUP(R97:AF97,增益!$A:$A,增益!$W:$W,0))+$I$5</f>
        <v>0.11</v>
      </c>
    </row>
    <row r="98" spans="11:69">
      <c r="K98" s="39">
        <f t="shared" si="11"/>
        <v>24875.9197734237</v>
      </c>
      <c r="L98" s="39">
        <f>((($AN98+($AO98-$AN98)*IF(VLOOKUP($Q98,武学奇术!$A:$ZZ,31,FALSE)=1,$F$18,0.5))*$AH98+$AI98)*(1+$AP98)*(1+$AQ98)+(($AS98+($AT98-$AS98)*IF(VLOOKUP($Q98,武学奇术!$A:$ZZ,31,FALSE)=1,$F$18,0.5))*IF($G$1="鸣金",$AJ98,$AH98)+IF($G$1="鸣金",$AK98*1.5,0))*(1+$AU98)*(1+$AV98)+(($AW98+($AX98-$AW98)*IF(VLOOKUP($Q98,武学奇术!$A:$ZZ,31,FALSE)=1,$F$18,0.5))*IF($G$1="裂石",$AJ98,$AH98)+IF($G$1="裂石",$AK98*1.5,0))*(1+$AY98)*(1+$AZ98)+(($BA98+($BB98-$BA98)*IF(VLOOKUP($Q98,武学奇术!$A:$ZZ,31,FALSE)=1,$F$18,0.5))*IF($G$1="牵丝",$AJ98,$AH98)+IF($G$1="牵丝",$AK98*1.5,0))*(1+$BC98)*(1+$BD98)+(($BE98+($BF98-$BE98)*IF(VLOOKUP($Q98,武学奇术!$A:$ZZ,31,FALSE)=1,$F$18,0.5))*IF($G$1="破竹",$AJ98,$AH98)+IF($G$1="破竹",$AK98*1.5,0))*(1+$BG98)*(1+$BH98))*(1+$AL98)*$BK98*$P98*(1+IF(VLOOKUP($Q98,武学奇术!$A:$ZZ,30,FALSE)="蓄力技",$B$21,0))*(1+$BQ98)</f>
        <v>25039.828647211</v>
      </c>
      <c r="M98" s="39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23208.4445825484</v>
      </c>
      <c r="N98" s="39">
        <f>((($AN98+($AO98-$AN98)*IF(VLOOKUP($Q98,武学奇术!$A:$ZZ,31,FALSE)=1,$F$18,0.5))*$AH98+$AI98)*(1+$AP98)*(1+$AQ98)+(($AS98+($AT98-$AS98)*IF(VLOOKUP($Q98,武学奇术!$A:$ZZ,31,FALSE)=1,$F$18,0.5))*IF($G$1="鸣金",$AJ98,$AH98)+IF($G$1="鸣金",$AK98*1.5,0))*(1+$AU98)*(1+$AV98)+(($AW98+($AX98-$AW98)*IF(VLOOKUP($Q98,武学奇术!$A:$ZZ,31,FALSE)=1,$F$18,0.5))*IF($G$1="裂石",$AJ98,$AH98)+IF($G$1="裂石",$AK98*1.5,0))*(1+$AY98)*(1+$AZ98)+(($BA98+($BB98-$BA98)*IF(VLOOKUP($Q98,武学奇术!$A:$ZZ,31,FALSE)=1,$F$18,0.5))*IF($G$1="牵丝",$AJ98,$AH98)+IF($G$1="牵丝",$AK98*1.5,0))*(1+$BC98)*(1+$BD98)+(($BE98+($BF98-$BE98)*IF(VLOOKUP($Q98,武学奇术!$A:$ZZ,31,FALSE)=1,$F$18,0.5))*IF($G$1="破竹",$AJ98,$AH98)+IF($G$1="破竹",$AK98*1.5,0))*(1+$BG98)*(1+$BH98))*(1+$AL98)*$P98*(1+IF(VLOOKUP($Q98,武学奇术!$A:$ZZ,30,FALSE)="蓄力技",$B$21,0))*(1+$BQ98)</f>
        <v>15268.1881995189</v>
      </c>
      <c r="O98" s="39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13344.9359675204</v>
      </c>
      <c r="P98" s="40">
        <v>1</v>
      </c>
      <c r="Q98" s="41" t="s">
        <v>106</v>
      </c>
      <c r="R98" s="41" t="s">
        <v>93</v>
      </c>
      <c r="S98" s="41" t="s">
        <v>72</v>
      </c>
      <c r="T98" s="41" t="s">
        <v>72</v>
      </c>
      <c r="U98" s="41" t="s">
        <v>72</v>
      </c>
      <c r="V98" s="41" t="s">
        <v>72</v>
      </c>
      <c r="W98" s="41" t="s">
        <v>72</v>
      </c>
      <c r="X98" s="41" t="s">
        <v>165</v>
      </c>
      <c r="Y98" s="41" t="s">
        <v>81</v>
      </c>
      <c r="Z98" s="41" t="s">
        <v>72</v>
      </c>
      <c r="AA98" s="41" t="s">
        <v>72</v>
      </c>
      <c r="AB98" s="41" t="s">
        <v>72</v>
      </c>
      <c r="AC98" s="41" t="s">
        <v>72</v>
      </c>
      <c r="AD98" s="41" t="s">
        <v>72</v>
      </c>
      <c r="AE98" s="41" t="s">
        <v>75</v>
      </c>
      <c r="AF98" s="41" t="s">
        <v>76</v>
      </c>
      <c r="AG98" t="str">
        <f>VLOOKUP($Q98,武学奇术!$A:$ZZ,25,FALSE)</f>
        <v>拳甲</v>
      </c>
      <c r="AH98" s="27">
        <f>VLOOKUP($Q98,武学奇术!$A:$ZZ,26,FALSE)</f>
        <v>1.2876</v>
      </c>
      <c r="AI98" s="28">
        <f>VLOOKUP($Q98,武学奇术!$A:$ZZ,27,FALSE)*(1+IF(OR($AG98=$F$4,$AG98=$F$5),$B$22,0))</f>
        <v>501.2</v>
      </c>
      <c r="AJ98" s="27">
        <f>VLOOKUP($Q98,武学奇术!$A:$ZZ,28,FALSE)</f>
        <v>1.9313</v>
      </c>
      <c r="AK98" s="28">
        <f>VLOOKUP($Q98,武学奇术!$A:$ZZ,29,FALSE)*(1+IF(OR($AG98=$F$4,$AG98=$F$5),$B$22,0))</f>
        <v>273</v>
      </c>
      <c r="AL98" s="27" cm="1">
        <f t="array" ref="AL98">$G$3+IFERROR(VLOOKUP($AG98,$F$4:$G$7,2,FALSE),0)+VLOOKUP($Q98,武学奇术!$A:$ZZ,2,FALSE)+SUM(_xlfn.XLOOKUP($R98:$AF98,增益!$A:$A,增益!$B:$B,0))</f>
        <v>0.3241</v>
      </c>
      <c r="AM98" s="27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3742.006</v>
      </c>
      <c r="AO98" cm="1">
        <f t="array" ref="AO98">$E$10*(1+$AM98)+VLOOKUP($Q98,武学奇术!$A:$ZZ,4,FALSE)+SUM(_xlfn.XLOOKUP($R98:$AF98,增益!$A:$A,增益!$D:$D,0))-$I$2</f>
        <v>3742.006</v>
      </c>
      <c r="AP98" s="33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0.217</v>
      </c>
      <c r="AQ98" s="33" cm="1">
        <f t="array" ref="AQ98">$G$10+VLOOKUP($Q98,武学奇术!$A:$ZZ,7,FALSE)+SUM(_xlfn.XLOOKUP(R98:AF98,增益!$A:$A,增益!$G:$G,0))</f>
        <v>0.09</v>
      </c>
      <c r="AR98" s="27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3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-0.14</v>
      </c>
      <c r="AV98" s="33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3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-0.14</v>
      </c>
      <c r="AZ98" s="33" cm="1">
        <f t="array" ref="AZ98">$G$12+VLOOKUP($Q98,武学奇术!$A:$ZZ,12,FALSE)+SUM(_xlfn.XLOOKUP(R98:AF98,增益!$A:$A,增益!$L:$L,0))</f>
        <v>0</v>
      </c>
      <c r="BA98">
        <f t="shared" si="16"/>
        <v>0</v>
      </c>
      <c r="BB98">
        <f t="shared" si="17"/>
        <v>0</v>
      </c>
      <c r="BC98" s="33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-0.14</v>
      </c>
      <c r="BD98" s="33" cm="1">
        <f t="array" ref="BD98">$G$13+VLOOKUP($Q98,武学奇术!$A:$ZZ,14,FALSE)+SUM(_xlfn.XLOOKUP(R98:AF98,增益!$A:$A,增益!$N:$N,0))</f>
        <v>0</v>
      </c>
      <c r="BE98">
        <f t="shared" si="18"/>
        <v>570.28</v>
      </c>
      <c r="BF98">
        <f t="shared" si="19"/>
        <v>1582.156</v>
      </c>
      <c r="BG98" s="33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0.08</v>
      </c>
      <c r="BH98" s="33" cm="1">
        <f t="array" ref="BH98">$G$14+VLOOKUP($Q98,武学奇术!$A:$ZZ,16,FALSE)+SUM(_xlfn.XLOOKUP(R98:AF98,增益!$A:$A,增益!$P:$P,0))</f>
        <v>0.24</v>
      </c>
      <c r="BI98" s="27">
        <f>MIN(IF(VLOOKUP($Q98,武学奇术!$A:$ZZ,23,FALSE)=1,100%,$B$8),100%)</f>
        <v>1</v>
      </c>
      <c r="BJ98" s="27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+MIN(IF(VLOOKUP($Q98,武学奇术!$A:$ZZ,32,FALSE)=1,IF(VLOOKUP($Q98,武学奇术!$A:$ZZ,24,FALSE)=1,100%,MIN(40%,$B$10+VLOOKUP($Q98,武学奇术!$A:$ZZ,19,FALSE)+SUM(_xlfn.XLOOKUP(R98:AF98,增益!$A:$A,增益!$S:$S,0)))+$B$12+SUM(_xlfn.XLOOKUP(R98:AF98,增益!$A:$A,增益!$V:$V,0))),0),12%)</f>
        <v>0.918</v>
      </c>
      <c r="BK98" s="27" cm="1">
        <f t="array" ref="BK98">1+$B$13+VLOOKUP($Q98,武学奇术!$A:$ZZ,18,FALSE)+SUM(_xlfn.XLOOKUP(R98:AF98,增益!$A:$A,增益!$R:$R,0))</f>
        <v>1.64</v>
      </c>
      <c r="BL98" s="27" cm="1">
        <f t="array" ref="BL98">MAX(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-IF(VLOOKUP($Q98,武学奇术!$A:$ZZ,32,FALSE)=1,12%,0),0)</f>
        <v>0.0895</v>
      </c>
      <c r="BM98" s="27" cm="1">
        <f t="array" ref="BM98">1+$B$14+VLOOKUP($Q98,武学奇术!$A:$ZZ,20,FALSE)+SUM(_xlfn.XLOOKUP(R98:AF98,增益!$A:$A,增益!$T:$T,0))</f>
        <v>1.35</v>
      </c>
      <c r="BN98" s="27">
        <f t="shared" si="20"/>
        <v>0.9105</v>
      </c>
      <c r="BO98" s="27">
        <f t="shared" si="21"/>
        <v>0</v>
      </c>
      <c r="BP98" s="27">
        <f>IF(VLOOKUP($Q98,武学奇术!$A:$ZZ,22,FALSE)=1,0,(1-$BI98))*(1-$BL98)</f>
        <v>0</v>
      </c>
      <c r="BQ98" s="27" cm="1">
        <f t="array" ref="BQ98">SUM(_xlfn.XLOOKUP(R98:AF98,增益!$A:$A,增益!$W:$W,0))+$I$5</f>
        <v>0.11</v>
      </c>
    </row>
    <row r="99" spans="11:69">
      <c r="K99" s="39">
        <f t="shared" si="11"/>
        <v>58556.5692180294</v>
      </c>
      <c r="L99" s="39">
        <f>((($AN99+($AO99-$AN99)*IF(VLOOKUP($Q99,武学奇术!$A:$ZZ,31,FALSE)=1,$F$18,0.5))*$AH99+$AI99)*(1+$AP99)*(1+$AQ99)+(($AS99+($AT99-$AS99)*IF(VLOOKUP($Q99,武学奇术!$A:$ZZ,31,FALSE)=1,$F$18,0.5))*IF($G$1="鸣金",$AJ99,$AH99)+IF($G$1="鸣金",$AK99*1.5,0))*(1+$AU99)*(1+$AV99)+(($AW99+($AX99-$AW99)*IF(VLOOKUP($Q99,武学奇术!$A:$ZZ,31,FALSE)=1,$F$18,0.5))*IF($G$1="裂石",$AJ99,$AH99)+IF($G$1="裂石",$AK99*1.5,0))*(1+$AY99)*(1+$AZ99)+(($BA99+($BB99-$BA99)*IF(VLOOKUP($Q99,武学奇术!$A:$ZZ,31,FALSE)=1,$F$18,0.5))*IF($G$1="牵丝",$AJ99,$AH99)+IF($G$1="牵丝",$AK99*1.5,0))*(1+$BC99)*(1+$BD99)+(($BE99+($BF99-$BE99)*IF(VLOOKUP($Q99,武学奇术!$A:$ZZ,31,FALSE)=1,$F$18,0.5))*IF($G$1="破竹",$AJ99,$AH99)+IF($G$1="破竹",$AK99*1.5,0))*(1+$BG99)*(1+$BH99))*(1+$AL99)*$BK99*$P99*(1+IF(VLOOKUP($Q99,武学奇术!$A:$ZZ,30,FALSE)="蓄力技",$B$21,0))*(1+$BQ99)</f>
        <v>59649.1799040454</v>
      </c>
      <c r="M99" s="39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47441.2392781681</v>
      </c>
      <c r="N99" s="39">
        <f>((($AN99+($AO99-$AN99)*IF(VLOOKUP($Q99,武学奇术!$A:$ZZ,31,FALSE)=1,$F$18,0.5))*$AH99+$AI99)*(1+$AP99)*(1+$AQ99)+(($AS99+($AT99-$AS99)*IF(VLOOKUP($Q99,武学奇术!$A:$ZZ,31,FALSE)=1,$F$18,0.5))*IF($G$1="鸣金",$AJ99,$AH99)+IF($G$1="鸣金",$AK99*1.5,0))*(1+$AU99)*(1+$AV99)+(($AW99+($AX99-$AW99)*IF(VLOOKUP($Q99,武学奇术!$A:$ZZ,31,FALSE)=1,$F$18,0.5))*IF($G$1="裂石",$AJ99,$AH99)+IF($G$1="裂石",$AK99*1.5,0))*(1+$AY99)*(1+$AZ99)+(($BA99+($BB99-$BA99)*IF(VLOOKUP($Q99,武学奇术!$A:$ZZ,31,FALSE)=1,$F$18,0.5))*IF($G$1="牵丝",$AJ99,$AH99)+IF($G$1="牵丝",$AK99*1.5,0))*(1+$BC99)*(1+$BD99)+(($BE99+($BF99-$BE99)*IF(VLOOKUP($Q99,武学奇术!$A:$ZZ,31,FALSE)=1,$F$18,0.5))*IF($G$1="破竹",$AJ99,$AH99)+IF($G$1="破竹",$AK99*1.5,0))*(1+$BG99)*(1+$BH99))*(1+$AL99)*$P99*(1+IF(VLOOKUP($Q99,武学奇术!$A:$ZZ,30,FALSE)="蓄力技",$B$21,0))*(1+$BQ99)</f>
        <v>30746.9999505389</v>
      </c>
      <c r="O99" s="39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26352.3411765088</v>
      </c>
      <c r="P99" s="40">
        <v>1</v>
      </c>
      <c r="Q99" s="41" t="s">
        <v>108</v>
      </c>
      <c r="R99" s="41" t="s">
        <v>93</v>
      </c>
      <c r="S99" s="41" t="s">
        <v>72</v>
      </c>
      <c r="T99" s="41" t="s">
        <v>72</v>
      </c>
      <c r="U99" s="41" t="s">
        <v>72</v>
      </c>
      <c r="V99" s="41" t="s">
        <v>72</v>
      </c>
      <c r="W99" s="41" t="s">
        <v>72</v>
      </c>
      <c r="X99" s="41" t="s">
        <v>165</v>
      </c>
      <c r="Y99" s="41" t="s">
        <v>81</v>
      </c>
      <c r="Z99" s="41" t="s">
        <v>101</v>
      </c>
      <c r="AA99" s="41" t="s">
        <v>72</v>
      </c>
      <c r="AB99" s="41" t="s">
        <v>72</v>
      </c>
      <c r="AC99" s="41" t="s">
        <v>72</v>
      </c>
      <c r="AD99" s="41" t="s">
        <v>72</v>
      </c>
      <c r="AE99" s="41" t="s">
        <v>75</v>
      </c>
      <c r="AF99" s="41" t="s">
        <v>76</v>
      </c>
      <c r="AG99" t="str">
        <f>VLOOKUP($Q99,武学奇术!$A:$ZZ,25,FALSE)</f>
        <v>拳甲</v>
      </c>
      <c r="AH99" s="27">
        <f>VLOOKUP($Q99,武学奇术!$A:$ZZ,26,FALSE)</f>
        <v>2.33376</v>
      </c>
      <c r="AI99" s="28">
        <f>VLOOKUP($Q99,武学奇术!$A:$ZZ,27,FALSE)*(1+IF(OR($AG99=$F$4,$AG99=$F$5),$B$22,0))</f>
        <v>0</v>
      </c>
      <c r="AJ99" s="27">
        <f>VLOOKUP($Q99,武学奇术!$A:$ZZ,28,FALSE)</f>
        <v>3.50064</v>
      </c>
      <c r="AK99" s="28">
        <f>VLOOKUP($Q99,武学奇术!$A:$ZZ,29,FALSE)*(1+IF(OR($AG99=$F$4,$AG99=$F$5),$B$22,0))</f>
        <v>0</v>
      </c>
      <c r="AL99" s="27" cm="1">
        <f t="array" ref="AL99">$G$3+IFERROR(VLOOKUP($AG99,$F$4:$G$7,2,FALSE),0)+VLOOKUP($Q99,武学奇术!$A:$ZZ,2,FALSE)+SUM(_xlfn.XLOOKUP($R99:$AF99,增益!$A:$A,增益!$B:$B,0))</f>
        <v>0.6241</v>
      </c>
      <c r="AM99" s="27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3742.006</v>
      </c>
      <c r="AO99" cm="1">
        <f t="array" ref="AO99">$E$10*(1+$AM99)+VLOOKUP($Q99,武学奇术!$A:$ZZ,4,FALSE)+SUM(_xlfn.XLOOKUP($R99:$AF99,增益!$A:$A,增益!$D:$D,0))-$I$2</f>
        <v>3742.006</v>
      </c>
      <c r="AP99" s="33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0.247</v>
      </c>
      <c r="AQ99" s="33" cm="1">
        <f t="array" ref="AQ99">$G$10+VLOOKUP($Q99,武学奇术!$A:$ZZ,7,FALSE)+SUM(_xlfn.XLOOKUP(R99:AF99,增益!$A:$A,增益!$G:$G,0))</f>
        <v>0.09</v>
      </c>
      <c r="AR99" s="27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3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-0.08</v>
      </c>
      <c r="AV99" s="33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3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-0.08</v>
      </c>
      <c r="AZ99" s="33" cm="1">
        <f t="array" ref="AZ99">$G$12+VLOOKUP($Q99,武学奇术!$A:$ZZ,12,FALSE)+SUM(_xlfn.XLOOKUP(R99:AF99,增益!$A:$A,增益!$L:$L,0))</f>
        <v>0</v>
      </c>
      <c r="BA99">
        <f t="shared" si="16"/>
        <v>0</v>
      </c>
      <c r="BB99">
        <f t="shared" si="17"/>
        <v>0</v>
      </c>
      <c r="BC99" s="33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-0.08</v>
      </c>
      <c r="BD99" s="33" cm="1">
        <f t="array" ref="BD99">$G$13+VLOOKUP($Q99,武学奇术!$A:$ZZ,14,FALSE)+SUM(_xlfn.XLOOKUP(R99:AF99,增益!$A:$A,增益!$N:$N,0))</f>
        <v>0</v>
      </c>
      <c r="BE99">
        <f t="shared" si="18"/>
        <v>570.28</v>
      </c>
      <c r="BF99">
        <f t="shared" si="19"/>
        <v>1582.156</v>
      </c>
      <c r="BG99" s="33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0.11</v>
      </c>
      <c r="BH99" s="33" cm="1">
        <f t="array" ref="BH99">$G$14+VLOOKUP($Q99,武学奇术!$A:$ZZ,16,FALSE)+SUM(_xlfn.XLOOKUP(R99:AF99,增益!$A:$A,增益!$P:$P,0))</f>
        <v>0.24</v>
      </c>
      <c r="BI99" s="27">
        <f>MIN(IF(VLOOKUP($Q99,武学奇术!$A:$ZZ,23,FALSE)=1,100%,$B$8),100%)</f>
        <v>1</v>
      </c>
      <c r="BJ99" s="27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+MIN(IF(VLOOKUP($Q99,武学奇术!$A:$ZZ,32,FALSE)=1,IF(VLOOKUP($Q99,武学奇术!$A:$ZZ,24,FALSE)=1,100%,MIN(40%,$B$10+VLOOKUP($Q99,武学奇术!$A:$ZZ,19,FALSE)+SUM(_xlfn.XLOOKUP(R99:AF99,增益!$A:$A,增益!$S:$S,0)))+$B$12+SUM(_xlfn.XLOOKUP(R99:AF99,增益!$A:$A,增益!$V:$V,0))),0),12%)</f>
        <v>0.918</v>
      </c>
      <c r="BK99" s="27" cm="1">
        <f t="array" ref="BK99">1+$B$13+VLOOKUP($Q99,武学奇术!$A:$ZZ,18,FALSE)+SUM(_xlfn.XLOOKUP(R99:AF99,增益!$A:$A,增益!$R:$R,0))</f>
        <v>1.94</v>
      </c>
      <c r="BL99" s="27" cm="1">
        <f t="array" ref="BL99">MAX(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-IF(VLOOKUP($Q99,武学奇术!$A:$ZZ,32,FALSE)=1,12%,0),0)</f>
        <v>0.0895</v>
      </c>
      <c r="BM99" s="27" cm="1">
        <f t="array" ref="BM99">1+$B$14+VLOOKUP($Q99,武学奇术!$A:$ZZ,20,FALSE)+SUM(_xlfn.XLOOKUP(R99:AF99,增益!$A:$A,增益!$T:$T,0))</f>
        <v>1.35</v>
      </c>
      <c r="BN99" s="27">
        <f t="shared" si="20"/>
        <v>0.9105</v>
      </c>
      <c r="BO99" s="27">
        <f t="shared" si="21"/>
        <v>0</v>
      </c>
      <c r="BP99" s="27">
        <f>IF(VLOOKUP($Q99,武学奇术!$A:$ZZ,22,FALSE)=1,0,(1-$BI99))*(1-$BL99)</f>
        <v>0</v>
      </c>
      <c r="BQ99" s="27" cm="1">
        <f t="array" ref="BQ99">SUM(_xlfn.XLOOKUP(R99:AF99,增益!$A:$A,增益!$W:$W,0))+$I$5</f>
        <v>0.11</v>
      </c>
    </row>
    <row r="100" spans="11:69">
      <c r="K100" s="39">
        <f t="shared" si="11"/>
        <v>61381.6604255579</v>
      </c>
      <c r="L100" s="39">
        <f>((($AN100+($AO100-$AN100)*IF(VLOOKUP($Q100,武学奇术!$A:$ZZ,31,FALSE)=1,$F$18,0.5))*$AH100+$AI100)*(1+$AP100)*(1+$AQ100)+(($AS100+($AT100-$AS100)*IF(VLOOKUP($Q100,武学奇术!$A:$ZZ,31,FALSE)=1,$F$18,0.5))*IF($G$1="鸣金",$AJ100,$AH100)+IF($G$1="鸣金",$AK100*1.5,0))*(1+$AU100)*(1+$AV100)+(($AW100+($AX100-$AW100)*IF(VLOOKUP($Q100,武学奇术!$A:$ZZ,31,FALSE)=1,$F$18,0.5))*IF($G$1="裂石",$AJ100,$AH100)+IF($G$1="裂石",$AK100*1.5,0))*(1+$AY100)*(1+$AZ100)+(($BA100+($BB100-$BA100)*IF(VLOOKUP($Q100,武学奇术!$A:$ZZ,31,FALSE)=1,$F$18,0.5))*IF($G$1="牵丝",$AJ100,$AH100)+IF($G$1="牵丝",$AK100*1.5,0))*(1+$BC100)*(1+$BD100)+(($BE100+($BF100-$BE100)*IF(VLOOKUP($Q100,武学奇术!$A:$ZZ,31,FALSE)=1,$F$18,0.5))*IF($G$1="破竹",$AJ100,$AH100)+IF($G$1="破竹",$AK100*1.5,0))*(1+$BG100)*(1+$BH100))*(1+$AL100)*$BK100*$P100*(1+IF(VLOOKUP($Q100,武学奇术!$A:$ZZ,30,FALSE)="蓄力技",$B$21,0))*(1+$BQ100)</f>
        <v>61731.9000322274</v>
      </c>
      <c r="M100" s="39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57818.6083375966</v>
      </c>
      <c r="N100" s="39">
        <f>((($AN100+($AO100-$AN100)*IF(VLOOKUP($Q100,武学奇术!$A:$ZZ,31,FALSE)=1,$F$18,0.5))*$AH100+$AI100)*(1+$AP100)*(1+$AQ100)+(($AS100+($AT100-$AS100)*IF(VLOOKUP($Q100,武学奇术!$A:$ZZ,31,FALSE)=1,$F$18,0.5))*IF($G$1="鸣金",$AJ100,$AH100)+IF($G$1="鸣金",$AK100*1.5,0))*(1+$AU100)*(1+$AV100)+(($AW100+($AX100-$AW100)*IF(VLOOKUP($Q100,武学奇术!$A:$ZZ,31,FALSE)=1,$F$18,0.5))*IF($G$1="裂石",$AJ100,$AH100)+IF($G$1="裂石",$AK100*1.5,0))*(1+$AY100)*(1+$AZ100)+(($BA100+($BB100-$BA100)*IF(VLOOKUP($Q100,武学奇术!$A:$ZZ,31,FALSE)=1,$F$18,0.5))*IF($G$1="牵丝",$AJ100,$AH100)+IF($G$1="牵丝",$AK100*1.5,0))*(1+$BC100)*(1+$BD100)+(($BE100+($BF100-$BE100)*IF(VLOOKUP($Q100,武学奇术!$A:$ZZ,31,FALSE)=1,$F$18,0.5))*IF($G$1="破竹",$AJ100,$AH100)+IF($G$1="破竹",$AK100*1.5,0))*(1+$BG100)*(1+$BH100))*(1+$AL100)*$P100*(1+IF(VLOOKUP($Q100,武学奇术!$A:$ZZ,30,FALSE)="蓄力技",$B$21,0))*(1+$BQ100)</f>
        <v>37641.4024586752</v>
      </c>
      <c r="O100" s="39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32454.2061487603</v>
      </c>
      <c r="P100" s="40">
        <v>1</v>
      </c>
      <c r="Q100" s="41" t="s">
        <v>157</v>
      </c>
      <c r="R100" s="41" t="s">
        <v>93</v>
      </c>
      <c r="S100" s="41" t="s">
        <v>72</v>
      </c>
      <c r="T100" s="41" t="s">
        <v>72</v>
      </c>
      <c r="U100" s="41" t="s">
        <v>72</v>
      </c>
      <c r="V100" s="41" t="s">
        <v>72</v>
      </c>
      <c r="W100" s="41" t="s">
        <v>72</v>
      </c>
      <c r="X100" s="41" t="s">
        <v>165</v>
      </c>
      <c r="Y100" s="41" t="s">
        <v>81</v>
      </c>
      <c r="Z100" s="41" t="s">
        <v>72</v>
      </c>
      <c r="AA100" s="41" t="s">
        <v>72</v>
      </c>
      <c r="AB100" s="41" t="s">
        <v>72</v>
      </c>
      <c r="AC100" s="41" t="s">
        <v>72</v>
      </c>
      <c r="AD100" s="41" t="s">
        <v>72</v>
      </c>
      <c r="AE100" s="41" t="s">
        <v>75</v>
      </c>
      <c r="AF100" s="41" t="s">
        <v>76</v>
      </c>
      <c r="AG100" t="str">
        <f>VLOOKUP($Q100,武学奇术!$A:$ZZ,25,FALSE)</f>
        <v>单体奇术</v>
      </c>
      <c r="AH100" s="27">
        <f>VLOOKUP($Q100,武学奇术!$A:$ZZ,26,FALSE)</f>
        <v>3.9855</v>
      </c>
      <c r="AI100" s="28">
        <f>VLOOKUP($Q100,武学奇术!$A:$ZZ,27,FALSE)*(1+IF(OR($AG100=$F$4,$AG100=$F$5),$B$22,0))</f>
        <v>749</v>
      </c>
      <c r="AJ100" s="27">
        <f>VLOOKUP($Q100,武学奇术!$A:$ZZ,28,FALSE)</f>
        <v>5.97825</v>
      </c>
      <c r="AK100" s="28">
        <f>VLOOKUP($Q100,武学奇术!$A:$ZZ,29,FALSE)*(1+IF(OR($AG100=$F$4,$AG100=$F$5),$B$22,0))</f>
        <v>0</v>
      </c>
      <c r="AL100" s="27" cm="1">
        <f t="array" ref="AL100">$G$3+IFERROR(VLOOKUP($AG100,$F$4:$G$7,2,FALSE),0)+VLOOKUP($Q100,武学奇术!$A:$ZZ,2,FALSE)+SUM(_xlfn.XLOOKUP($R100:$AF100,增益!$A:$A,增益!$B:$B,0))</f>
        <v>0.1537</v>
      </c>
      <c r="AM100" s="27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3742.006</v>
      </c>
      <c r="AO100" cm="1">
        <f t="array" ref="AO100">$E$10*(1+$AM100)+VLOOKUP($Q100,武学奇术!$A:$ZZ,4,FALSE)+SUM(_xlfn.XLOOKUP($R100:$AF100,增益!$A:$A,增益!$D:$D,0))-$I$2</f>
        <v>3742.006</v>
      </c>
      <c r="AP100" s="33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0.217</v>
      </c>
      <c r="AQ100" s="33" cm="1">
        <f t="array" ref="AQ100">$G$10+VLOOKUP($Q100,武学奇术!$A:$ZZ,7,FALSE)+SUM(_xlfn.XLOOKUP(R100:AF100,增益!$A:$A,增益!$G:$G,0))</f>
        <v>0.09</v>
      </c>
      <c r="AR100" s="27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3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-0.14</v>
      </c>
      <c r="AV100" s="33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3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-0.14</v>
      </c>
      <c r="AZ100" s="33" cm="1">
        <f t="array" ref="AZ100">$G$12+VLOOKUP($Q100,武学奇术!$A:$ZZ,12,FALSE)+SUM(_xlfn.XLOOKUP(R100:AF100,增益!$A:$A,增益!$L:$L,0))</f>
        <v>0</v>
      </c>
      <c r="BA100">
        <f t="shared" si="16"/>
        <v>0</v>
      </c>
      <c r="BB100">
        <f t="shared" si="17"/>
        <v>0</v>
      </c>
      <c r="BC100" s="33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-0.14</v>
      </c>
      <c r="BD100" s="33" cm="1">
        <f t="array" ref="BD100">$G$13+VLOOKUP($Q100,武学奇术!$A:$ZZ,14,FALSE)+SUM(_xlfn.XLOOKUP(R100:AF100,增益!$A:$A,增益!$N:$N,0))</f>
        <v>0</v>
      </c>
      <c r="BE100">
        <f t="shared" si="18"/>
        <v>570.28</v>
      </c>
      <c r="BF100">
        <f t="shared" si="19"/>
        <v>1582.156</v>
      </c>
      <c r="BG100" s="33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0.08</v>
      </c>
      <c r="BH100" s="33" cm="1">
        <f t="array" ref="BH100">$G$14+VLOOKUP($Q100,武学奇术!$A:$ZZ,16,FALSE)+SUM(_xlfn.XLOOKUP(R100:AF100,增益!$A:$A,增益!$P:$P,0))</f>
        <v>0.24</v>
      </c>
      <c r="BI100" s="27">
        <f>MIN(IF(VLOOKUP($Q100,武学奇术!$A:$ZZ,23,FALSE)=1,100%,$B$8),100%)</f>
        <v>1</v>
      </c>
      <c r="BJ100" s="27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+MIN(IF(VLOOKUP($Q100,武学奇术!$A:$ZZ,32,FALSE)=1,IF(VLOOKUP($Q100,武学奇术!$A:$ZZ,24,FALSE)=1,100%,MIN(40%,$B$10+VLOOKUP($Q100,武学奇术!$A:$ZZ,19,FALSE)+SUM(_xlfn.XLOOKUP(R100:AF100,增益!$A:$A,增益!$S:$S,0)))+$B$12+SUM(_xlfn.XLOOKUP(R100:AF100,增益!$A:$A,增益!$V:$V,0))),0),12%)</f>
        <v>0.918</v>
      </c>
      <c r="BK100" s="27" cm="1">
        <f t="array" ref="BK100">1+$B$13+VLOOKUP($Q100,武学奇术!$A:$ZZ,18,FALSE)+SUM(_xlfn.XLOOKUP(R100:AF100,增益!$A:$A,增益!$R:$R,0))</f>
        <v>1.64</v>
      </c>
      <c r="BL100" s="27" cm="1">
        <f t="array" ref="BL100">MAX(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-IF(VLOOKUP($Q100,武学奇术!$A:$ZZ,32,FALSE)=1,12%,0),0)</f>
        <v>0.0895</v>
      </c>
      <c r="BM100" s="27" cm="1">
        <f t="array" ref="BM100">1+$B$14+VLOOKUP($Q100,武学奇术!$A:$ZZ,20,FALSE)+SUM(_xlfn.XLOOKUP(R100:AF100,增益!$A:$A,增益!$T:$T,0))</f>
        <v>1.35</v>
      </c>
      <c r="BN100" s="27">
        <f t="shared" si="20"/>
        <v>0.9105</v>
      </c>
      <c r="BO100" s="27">
        <f t="shared" si="21"/>
        <v>0</v>
      </c>
      <c r="BP100" s="27">
        <f>IF(VLOOKUP($Q100,武学奇术!$A:$ZZ,22,FALSE)=1,0,(1-$BI100))*(1-$BL100)</f>
        <v>0</v>
      </c>
      <c r="BQ100" s="27" cm="1">
        <f t="array" ref="BQ100">SUM(_xlfn.XLOOKUP(R100:AF100,增益!$A:$A,增益!$W:$W,0))+$I$5</f>
        <v>0.11</v>
      </c>
    </row>
    <row r="101" spans="11:69">
      <c r="K101" s="39">
        <f t="shared" si="11"/>
        <v>39790.2324309967</v>
      </c>
      <c r="L101" s="39">
        <f>((($AN101+($AO101-$AN101)*IF(VLOOKUP($Q101,武学奇术!$A:$ZZ,31,FALSE)=1,$F$18,0.5))*$AH101+$AI101)*(1+$AP101)*(1+$AQ101)+(($AS101+($AT101-$AS101)*IF(VLOOKUP($Q101,武学奇术!$A:$ZZ,31,FALSE)=1,$F$18,0.5))*IF($G$1="鸣金",$AJ101,$AH101)+IF($G$1="鸣金",$AK101*1.5,0))*(1+$AU101)*(1+$AV101)+(($AW101+($AX101-$AW101)*IF(VLOOKUP($Q101,武学奇术!$A:$ZZ,31,FALSE)=1,$F$18,0.5))*IF($G$1="裂石",$AJ101,$AH101)+IF($G$1="裂石",$AK101*1.5,0))*(1+$AY101)*(1+$AZ101)+(($BA101+($BB101-$BA101)*IF(VLOOKUP($Q101,武学奇术!$A:$ZZ,31,FALSE)=1,$F$18,0.5))*IF($G$1="牵丝",$AJ101,$AH101)+IF($G$1="牵丝",$AK101*1.5,0))*(1+$BC101)*(1+$BD101)+(($BE101+($BF101-$BE101)*IF(VLOOKUP($Q101,武学奇术!$A:$ZZ,31,FALSE)=1,$F$18,0.5))*IF($G$1="破竹",$AJ101,$AH101)+IF($G$1="破竹",$AK101*1.5,0))*(1+$BG101)*(1+$BH101))*(1+$AL101)*$BK101*$P101*(1+IF(VLOOKUP($Q101,武学奇术!$A:$ZZ,30,FALSE)="蓄力技",$B$21,0))*(1+$BQ101)</f>
        <v>40017.1632321838</v>
      </c>
      <c r="M101" s="39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37481.6235541155</v>
      </c>
      <c r="N101" s="39">
        <f>((($AN101+($AO101-$AN101)*IF(VLOOKUP($Q101,武学奇术!$A:$ZZ,31,FALSE)=1,$F$18,0.5))*$AH101+$AI101)*(1+$AP101)*(1+$AQ101)+(($AS101+($AT101-$AS101)*IF(VLOOKUP($Q101,武学奇术!$A:$ZZ,31,FALSE)=1,$F$18,0.5))*IF($G$1="鸣金",$AJ101,$AH101)+IF($G$1="鸣金",$AK101*1.5,0))*(1+$AU101)*(1+$AV101)+(($AW101+($AX101-$AW101)*IF(VLOOKUP($Q101,武学奇术!$A:$ZZ,31,FALSE)=1,$F$18,0.5))*IF($G$1="裂石",$AJ101,$AH101)+IF($G$1="裂石",$AK101*1.5,0))*(1+$AY101)*(1+$AZ101)+(($BA101+($BB101-$BA101)*IF(VLOOKUP($Q101,武学奇术!$A:$ZZ,31,FALSE)=1,$F$18,0.5))*IF($G$1="牵丝",$AJ101,$AH101)+IF($G$1="牵丝",$AK101*1.5,0))*(1+$BC101)*(1+$BD101)+(($BE101+($BF101-$BE101)*IF(VLOOKUP($Q101,武学奇术!$A:$ZZ,31,FALSE)=1,$F$18,0.5))*IF($G$1="破竹",$AJ101,$AH101)+IF($G$1="破竹",$AK101*1.5,0))*(1+$BG101)*(1+$BH101))*(1+$AL101)*$P101*(1+IF(VLOOKUP($Q101,武学奇术!$A:$ZZ,30,FALSE)="蓄力技",$B$21,0))*(1+$BQ101)</f>
        <v>24400.7092879169</v>
      </c>
      <c r="O101" s="39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21037.2529801928</v>
      </c>
      <c r="P101" s="40">
        <v>9</v>
      </c>
      <c r="Q101" s="41" t="s">
        <v>160</v>
      </c>
      <c r="R101" s="41" t="s">
        <v>93</v>
      </c>
      <c r="S101" s="41" t="s">
        <v>72</v>
      </c>
      <c r="T101" s="41" t="s">
        <v>72</v>
      </c>
      <c r="U101" s="41" t="s">
        <v>72</v>
      </c>
      <c r="V101" s="41" t="s">
        <v>72</v>
      </c>
      <c r="W101" s="41" t="s">
        <v>72</v>
      </c>
      <c r="X101" s="41" t="s">
        <v>165</v>
      </c>
      <c r="Y101" s="41" t="s">
        <v>81</v>
      </c>
      <c r="Z101" s="41" t="s">
        <v>72</v>
      </c>
      <c r="AA101" s="41" t="s">
        <v>161</v>
      </c>
      <c r="AB101" s="41" t="s">
        <v>72</v>
      </c>
      <c r="AC101" s="41" t="s">
        <v>72</v>
      </c>
      <c r="AD101" s="41" t="s">
        <v>72</v>
      </c>
      <c r="AE101" s="41" t="s">
        <v>75</v>
      </c>
      <c r="AF101" s="41" t="s">
        <v>76</v>
      </c>
      <c r="AG101" t="str">
        <f>VLOOKUP($Q101,武学奇术!$A:$ZZ,25,FALSE)</f>
        <v>单体奇术</v>
      </c>
      <c r="AH101" s="27">
        <f>VLOOKUP($Q101,武学奇术!$A:$ZZ,26,FALSE)</f>
        <v>0.236</v>
      </c>
      <c r="AI101" s="28">
        <f>VLOOKUP($Q101,武学奇术!$A:$ZZ,27,FALSE)*(1+IF(OR($AG101=$F$4,$AG101=$F$5),$B$22,0))</f>
        <v>44</v>
      </c>
      <c r="AJ101" s="27">
        <f>VLOOKUP($Q101,武学奇术!$A:$ZZ,28,FALSE)</f>
        <v>0.354</v>
      </c>
      <c r="AK101" s="28">
        <f>VLOOKUP($Q101,武学奇术!$A:$ZZ,29,FALSE)*(1+IF(OR($AG101=$F$4,$AG101=$F$5),$B$22,0))</f>
        <v>0</v>
      </c>
      <c r="AL101" s="27" cm="1">
        <f t="array" ref="AL101">$G$3+IFERROR(VLOOKUP($AG101,$F$4:$G$7,2,FALSE),0)+VLOOKUP($Q101,武学奇术!$A:$ZZ,2,FALSE)+SUM(_xlfn.XLOOKUP($R101:$AF101,增益!$A:$A,增益!$B:$B,0))</f>
        <v>0.4037</v>
      </c>
      <c r="AM101" s="27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3742.006</v>
      </c>
      <c r="AO101" cm="1">
        <f t="array" ref="AO101">$E$10*(1+$AM101)+VLOOKUP($Q101,武学奇术!$A:$ZZ,4,FALSE)+SUM(_xlfn.XLOOKUP($R101:$AF101,增益!$A:$A,增益!$D:$D,0))-$I$2</f>
        <v>3742.006</v>
      </c>
      <c r="AP101" s="33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0.217</v>
      </c>
      <c r="AQ101" s="33" cm="1">
        <f t="array" ref="AQ101">$G$10+VLOOKUP($Q101,武学奇术!$A:$ZZ,7,FALSE)+SUM(_xlfn.XLOOKUP(R101:AF101,增益!$A:$A,增益!$G:$G,0))</f>
        <v>0.09</v>
      </c>
      <c r="AR101" s="27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3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-0.14</v>
      </c>
      <c r="AV101" s="33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3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-0.14</v>
      </c>
      <c r="AZ101" s="33" cm="1">
        <f t="array" ref="AZ101">$G$12+VLOOKUP($Q101,武学奇术!$A:$ZZ,12,FALSE)+SUM(_xlfn.XLOOKUP(R101:AF101,增益!$A:$A,增益!$L:$L,0))</f>
        <v>0</v>
      </c>
      <c r="BA101">
        <f t="shared" si="16"/>
        <v>0</v>
      </c>
      <c r="BB101">
        <f t="shared" si="17"/>
        <v>0</v>
      </c>
      <c r="BC101" s="33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-0.14</v>
      </c>
      <c r="BD101" s="33" cm="1">
        <f t="array" ref="BD101">$G$13+VLOOKUP($Q101,武学奇术!$A:$ZZ,14,FALSE)+SUM(_xlfn.XLOOKUP(R101:AF101,增益!$A:$A,增益!$N:$N,0))</f>
        <v>0</v>
      </c>
      <c r="BE101">
        <f t="shared" si="18"/>
        <v>570.28</v>
      </c>
      <c r="BF101">
        <f t="shared" si="19"/>
        <v>1582.156</v>
      </c>
      <c r="BG101" s="33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0.08</v>
      </c>
      <c r="BH101" s="33" cm="1">
        <f t="array" ref="BH101">$G$14+VLOOKUP($Q101,武学奇术!$A:$ZZ,16,FALSE)+SUM(_xlfn.XLOOKUP(R101:AF101,增益!$A:$A,增益!$P:$P,0))</f>
        <v>0.24</v>
      </c>
      <c r="BI101" s="27">
        <f>MIN(IF(VLOOKUP($Q101,武学奇术!$A:$ZZ,23,FALSE)=1,100%,$B$8),100%)</f>
        <v>1</v>
      </c>
      <c r="BJ101" s="27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+MIN(IF(VLOOKUP($Q101,武学奇术!$A:$ZZ,32,FALSE)=1,IF(VLOOKUP($Q101,武学奇术!$A:$ZZ,24,FALSE)=1,100%,MIN(40%,$B$10+VLOOKUP($Q101,武学奇术!$A:$ZZ,19,FALSE)+SUM(_xlfn.XLOOKUP(R101:AF101,增益!$A:$A,增益!$S:$S,0)))+$B$12+SUM(_xlfn.XLOOKUP(R101:AF101,增益!$A:$A,增益!$V:$V,0))),0),12%)</f>
        <v>0.918</v>
      </c>
      <c r="BK101" s="27" cm="1">
        <f t="array" ref="BK101">1+$B$13+VLOOKUP($Q101,武学奇术!$A:$ZZ,18,FALSE)+SUM(_xlfn.XLOOKUP(R101:AF101,增益!$A:$A,增益!$R:$R,0))</f>
        <v>1.64</v>
      </c>
      <c r="BL101" s="27" cm="1">
        <f t="array" ref="BL101">MAX(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-IF(VLOOKUP($Q101,武学奇术!$A:$ZZ,32,FALSE)=1,12%,0),0)</f>
        <v>0.0895</v>
      </c>
      <c r="BM101" s="27" cm="1">
        <f t="array" ref="BM101">1+$B$14+VLOOKUP($Q101,武学奇术!$A:$ZZ,20,FALSE)+SUM(_xlfn.XLOOKUP(R101:AF101,增益!$A:$A,增益!$T:$T,0))</f>
        <v>1.35</v>
      </c>
      <c r="BN101" s="27">
        <f t="shared" si="20"/>
        <v>0.9105</v>
      </c>
      <c r="BO101" s="27">
        <f t="shared" si="21"/>
        <v>0</v>
      </c>
      <c r="BP101" s="27">
        <f>IF(VLOOKUP($Q101,武学奇术!$A:$ZZ,22,FALSE)=1,0,(1-$BI101))*(1-$BL101)</f>
        <v>0</v>
      </c>
      <c r="BQ101" s="27" cm="1">
        <f t="array" ref="BQ101">SUM(_xlfn.XLOOKUP(R101:AF101,增益!$A:$A,增益!$W:$W,0))+$I$5</f>
        <v>0.11</v>
      </c>
    </row>
    <row r="102" spans="11:69">
      <c r="K102" s="39">
        <f t="shared" si="11"/>
        <v>59778.7307502285</v>
      </c>
      <c r="L102" s="39">
        <f>((($AN102+($AO102-$AN102)*IF(VLOOKUP($Q102,武学奇术!$A:$ZZ,31,FALSE)=1,$F$18,0.5))*$AH102+$AI102)*(1+$AP102)*(1+$AQ102)+(($AS102+($AT102-$AS102)*IF(VLOOKUP($Q102,武学奇术!$A:$ZZ,31,FALSE)=1,$F$18,0.5))*IF($G$1="鸣金",$AJ102,$AH102)+IF($G$1="鸣金",$AK102*1.5,0))*(1+$AU102)*(1+$AV102)+(($AW102+($AX102-$AW102)*IF(VLOOKUP($Q102,武学奇术!$A:$ZZ,31,FALSE)=1,$F$18,0.5))*IF($G$1="裂石",$AJ102,$AH102)+IF($G$1="裂石",$AK102*1.5,0))*(1+$AY102)*(1+$AZ102)+(($BA102+($BB102-$BA102)*IF(VLOOKUP($Q102,武学奇术!$A:$ZZ,31,FALSE)=1,$F$18,0.5))*IF($G$1="牵丝",$AJ102,$AH102)+IF($G$1="牵丝",$AK102*1.5,0))*(1+$BC102)*(1+$BD102)+(($BE102+($BF102-$BE102)*IF(VLOOKUP($Q102,武学奇术!$A:$ZZ,31,FALSE)=1,$F$18,0.5))*IF($G$1="破竹",$AJ102,$AH102)+IF($G$1="破竹",$AK102*1.5,0))*(1+$BG102)*(1+$BH102))*(1+$AL102)*$BK102*$P102*(1+IF(VLOOKUP($Q102,武学奇术!$A:$ZZ,30,FALSE)="蓄力技",$B$21,0))*(1+$BQ102)</f>
        <v>60834.5611853067</v>
      </c>
      <c r="M102" s="39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蓄力技",$B$21,0))*(1+$BQ102)</f>
        <v>49037.5730838743</v>
      </c>
      <c r="N102" s="39">
        <f>((($AN102+($AO102-$AN102)*IF(VLOOKUP($Q102,武学奇术!$A:$ZZ,31,FALSE)=1,$F$18,0.5))*$AH102+$AI102)*(1+$AP102)*(1+$AQ102)+(($AS102+($AT102-$AS102)*IF(VLOOKUP($Q102,武学奇术!$A:$ZZ,31,FALSE)=1,$F$18,0.5))*IF($G$1="鸣金",$AJ102,$AH102)+IF($G$1="鸣金",$AK102*1.5,0))*(1+$AU102)*(1+$AV102)+(($AW102+($AX102-$AW102)*IF(VLOOKUP($Q102,武学奇术!$A:$ZZ,31,FALSE)=1,$F$18,0.5))*IF($G$1="裂石",$AJ102,$AH102)+IF($G$1="裂石",$AK102*1.5,0))*(1+$AY102)*(1+$AZ102)+(($BA102+($BB102-$BA102)*IF(VLOOKUP($Q102,武学奇术!$A:$ZZ,31,FALSE)=1,$F$18,0.5))*IF($G$1="牵丝",$AJ102,$AH102)+IF($G$1="牵丝",$AK102*1.5,0))*(1+$BC102)*(1+$BD102)+(($BE102+($BF102-$BE102)*IF(VLOOKUP($Q102,武学奇术!$A:$ZZ,31,FALSE)=1,$F$18,0.5))*IF($G$1="破竹",$AJ102,$AH102)+IF($G$1="破竹",$AK102*1.5,0))*(1+$BG102)*(1+$BH102))*(1+$AL102)*$P102*(1+IF(VLOOKUP($Q102,武学奇术!$A:$ZZ,30,FALSE)="蓄力技",$B$21,0))*(1+$BQ102)</f>
        <v>32187.5985107443</v>
      </c>
      <c r="O102" s="39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蓄力技",$B$21,0))*(1+$BQ102)</f>
        <v>28051.0688112113</v>
      </c>
      <c r="P102" s="40">
        <v>10</v>
      </c>
      <c r="Q102" s="41" t="s">
        <v>160</v>
      </c>
      <c r="R102" s="41" t="s">
        <v>93</v>
      </c>
      <c r="S102" s="41" t="s">
        <v>118</v>
      </c>
      <c r="T102" s="41" t="s">
        <v>119</v>
      </c>
      <c r="U102" s="41" t="s">
        <v>72</v>
      </c>
      <c r="V102" s="41" t="s">
        <v>72</v>
      </c>
      <c r="W102" s="41" t="s">
        <v>72</v>
      </c>
      <c r="X102" s="41" t="s">
        <v>165</v>
      </c>
      <c r="Y102" s="41" t="s">
        <v>81</v>
      </c>
      <c r="Z102" s="41" t="s">
        <v>72</v>
      </c>
      <c r="AA102" s="41" t="s">
        <v>161</v>
      </c>
      <c r="AB102" s="41" t="s">
        <v>72</v>
      </c>
      <c r="AC102" s="41" t="s">
        <v>72</v>
      </c>
      <c r="AD102" s="41" t="s">
        <v>72</v>
      </c>
      <c r="AE102" s="41" t="s">
        <v>75</v>
      </c>
      <c r="AF102" s="41" t="s">
        <v>76</v>
      </c>
      <c r="AG102" t="str">
        <f>VLOOKUP($Q102,武学奇术!$A:$ZZ,25,FALSE)</f>
        <v>单体奇术</v>
      </c>
      <c r="AH102" s="27">
        <f>VLOOKUP($Q102,武学奇术!$A:$ZZ,26,FALSE)</f>
        <v>0.236</v>
      </c>
      <c r="AI102" s="28">
        <f>VLOOKUP($Q102,武学奇术!$A:$ZZ,27,FALSE)*(1+IF(OR($AG102=$F$4,$AG102=$F$5),$B$22,0))</f>
        <v>44</v>
      </c>
      <c r="AJ102" s="27">
        <f>VLOOKUP($Q102,武学奇术!$A:$ZZ,28,FALSE)</f>
        <v>0.354</v>
      </c>
      <c r="AK102" s="28">
        <f>VLOOKUP($Q102,武学奇术!$A:$ZZ,29,FALSE)*(1+IF(OR($AG102=$F$4,$AG102=$F$5),$B$22,0))</f>
        <v>0</v>
      </c>
      <c r="AL102" s="27" cm="1">
        <f t="array" ref="AL102">$G$3+IFERROR(VLOOKUP($AG102,$F$4:$G$7,2,FALSE),0)+VLOOKUP($Q102,武学奇术!$A:$ZZ,2,FALSE)+SUM(_xlfn.XLOOKUP($R102:$AF102,增益!$A:$A,增益!$B:$B,0))</f>
        <v>0.5537</v>
      </c>
      <c r="AM102" s="27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3742.006</v>
      </c>
      <c r="AO102" cm="1">
        <f t="array" ref="AO102">$E$10*(1+$AM102)+VLOOKUP($Q102,武学奇术!$A:$ZZ,4,FALSE)+SUM(_xlfn.XLOOKUP($R102:$AF102,增益!$A:$A,增益!$D:$D,0))-$I$2</f>
        <v>3742.006</v>
      </c>
      <c r="AP102" s="33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0.342</v>
      </c>
      <c r="AQ102" s="33" cm="1">
        <f t="array" ref="AQ102">$G$10+VLOOKUP($Q102,武学奇术!$A:$ZZ,7,FALSE)+SUM(_xlfn.XLOOKUP(R102:AF102,增益!$A:$A,增益!$G:$G,0))</f>
        <v>0.09</v>
      </c>
      <c r="AR102" s="27" cm="1">
        <f t="array" ref="AR102">VLOOKUP($Q102,武学奇术!$A:$ZZ,8,FALSE)+SUM(_xlfn.XLOOKUP(R102:AF102,增益!$A:$A,增益!$H:$H,0))</f>
        <v>0</v>
      </c>
      <c r="AS102">
        <f t="shared" si="12"/>
        <v>0</v>
      </c>
      <c r="AT102">
        <f t="shared" si="13"/>
        <v>0</v>
      </c>
      <c r="AU102" s="33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-0.14</v>
      </c>
      <c r="AV102" s="33" cm="1">
        <f t="array" ref="AV102">$G$11+VLOOKUP($Q102,武学奇术!$A:$ZZ,10,FALSE)+SUM(_xlfn.XLOOKUP(R102:AF102,增益!$A:$A,增益!$J:$J,0))</f>
        <v>0</v>
      </c>
      <c r="AW102">
        <f t="shared" si="14"/>
        <v>0</v>
      </c>
      <c r="AX102">
        <f t="shared" si="15"/>
        <v>0</v>
      </c>
      <c r="AY102" s="33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-0.14</v>
      </c>
      <c r="AZ102" s="33" cm="1">
        <f t="array" ref="AZ102">$G$12+VLOOKUP($Q102,武学奇术!$A:$ZZ,12,FALSE)+SUM(_xlfn.XLOOKUP(R102:AF102,增益!$A:$A,增益!$L:$L,0))</f>
        <v>0</v>
      </c>
      <c r="BA102">
        <f t="shared" si="16"/>
        <v>0</v>
      </c>
      <c r="BB102">
        <f t="shared" si="17"/>
        <v>0</v>
      </c>
      <c r="BC102" s="33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-0.14</v>
      </c>
      <c r="BD102" s="33" cm="1">
        <f t="array" ref="BD102">$G$13+VLOOKUP($Q102,武学奇术!$A:$ZZ,14,FALSE)+SUM(_xlfn.XLOOKUP(R102:AF102,增益!$A:$A,增益!$N:$N,0))</f>
        <v>0</v>
      </c>
      <c r="BE102">
        <f t="shared" si="18"/>
        <v>570.28</v>
      </c>
      <c r="BF102">
        <f t="shared" si="19"/>
        <v>1582.156</v>
      </c>
      <c r="BG102" s="33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0.08</v>
      </c>
      <c r="BH102" s="33" cm="1">
        <f t="array" ref="BH102">$G$14+VLOOKUP($Q102,武学奇术!$A:$ZZ,16,FALSE)+SUM(_xlfn.XLOOKUP(R102:AF102,增益!$A:$A,增益!$P:$P,0))</f>
        <v>0.24</v>
      </c>
      <c r="BI102" s="27">
        <f>MIN(IF(VLOOKUP($Q102,武学奇术!$A:$ZZ,23,FALSE)=1,100%,$B$8),100%)</f>
        <v>1</v>
      </c>
      <c r="BJ102" s="27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+MIN(IF(VLOOKUP($Q102,武学奇术!$A:$ZZ,32,FALSE)=1,IF(VLOOKUP($Q102,武学奇术!$A:$ZZ,24,FALSE)=1,100%,MIN(40%,$B$10+VLOOKUP($Q102,武学奇术!$A:$ZZ,19,FALSE)+SUM(_xlfn.XLOOKUP(R102:AF102,增益!$A:$A,增益!$S:$S,0)))+$B$12+SUM(_xlfn.XLOOKUP(R102:AF102,增益!$A:$A,增益!$V:$V,0))),0),12%)</f>
        <v>0.918</v>
      </c>
      <c r="BK102" s="27" cm="1">
        <f t="array" ref="BK102">1+$B$13+VLOOKUP($Q102,武学奇术!$A:$ZZ,18,FALSE)+SUM(_xlfn.XLOOKUP(R102:AF102,增益!$A:$A,增益!$R:$R,0))</f>
        <v>1.89</v>
      </c>
      <c r="BL102" s="27" cm="1">
        <f t="array" ref="BL102">MAX(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-IF(VLOOKUP($Q102,武学奇术!$A:$ZZ,32,FALSE)=1,12%,0),0)</f>
        <v>0.0895</v>
      </c>
      <c r="BM102" s="27" cm="1">
        <f t="array" ref="BM102">1+$B$14+VLOOKUP($Q102,武学奇术!$A:$ZZ,20,FALSE)+SUM(_xlfn.XLOOKUP(R102:AF102,增益!$A:$A,增益!$T:$T,0))</f>
        <v>1.35</v>
      </c>
      <c r="BN102" s="27">
        <f t="shared" si="20"/>
        <v>0.9105</v>
      </c>
      <c r="BO102" s="27">
        <f t="shared" si="21"/>
        <v>0</v>
      </c>
      <c r="BP102" s="27">
        <f>IF(VLOOKUP($Q102,武学奇术!$A:$ZZ,22,FALSE)=1,0,(1-$BI102))*(1-$BL102)</f>
        <v>0</v>
      </c>
      <c r="BQ102" s="27" cm="1">
        <f t="array" ref="BQ102">SUM(_xlfn.XLOOKUP(R102:AF102,增益!$A:$A,增益!$W:$W,0))+$I$5</f>
        <v>0.11</v>
      </c>
    </row>
    <row r="103" spans="11:69">
      <c r="K103" s="39">
        <f t="shared" si="11"/>
        <v>8842.27387355481</v>
      </c>
      <c r="L103" s="39">
        <f>((($AN103+($AO103-$AN103)*IF(VLOOKUP($Q103,武学奇术!$A:$ZZ,31,FALSE)=1,$F$18,0.5))*$AH103+$AI103)*(1+$AP103)*(1+$AQ103)+(($AS103+($AT103-$AS103)*IF(VLOOKUP($Q103,武学奇术!$A:$ZZ,31,FALSE)=1,$F$18,0.5))*IF($G$1="鸣金",$AJ103,$AH103)+IF($G$1="鸣金",$AK103*1.5,0))*(1+$AU103)*(1+$AV103)+(($AW103+($AX103-$AW103)*IF(VLOOKUP($Q103,武学奇术!$A:$ZZ,31,FALSE)=1,$F$18,0.5))*IF($G$1="裂石",$AJ103,$AH103)+IF($G$1="裂石",$AK103*1.5,0))*(1+$AY103)*(1+$AZ103)+(($BA103+($BB103-$BA103)*IF(VLOOKUP($Q103,武学奇术!$A:$ZZ,31,FALSE)=1,$F$18,0.5))*IF($G$1="牵丝",$AJ103,$AH103)+IF($G$1="牵丝",$AK103*1.5,0))*(1+$BC103)*(1+$BD103)+(($BE103+($BF103-$BE103)*IF(VLOOKUP($Q103,武学奇术!$A:$ZZ,31,FALSE)=1,$F$18,0.5))*IF($G$1="破竹",$AJ103,$AH103)+IF($G$1="破竹",$AK103*1.5,0))*(1+$BG103)*(1+$BH103))*(1+$AL103)*$BK103*$P103*(1+IF(VLOOKUP($Q103,武学奇术!$A:$ZZ,30,FALSE)="蓄力技",$B$21,0))*(1+$BQ103)</f>
        <v>8892.70294048528</v>
      </c>
      <c r="M103" s="39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蓄力技",$B$21,0))*(1+$BQ103)</f>
        <v>8329.24967869233</v>
      </c>
      <c r="N103" s="39">
        <f>((($AN103+($AO103-$AN103)*IF(VLOOKUP($Q103,武学奇术!$A:$ZZ,31,FALSE)=1,$F$18,0.5))*$AH103+$AI103)*(1+$AP103)*(1+$AQ103)+(($AS103+($AT103-$AS103)*IF(VLOOKUP($Q103,武学奇术!$A:$ZZ,31,FALSE)=1,$F$18,0.5))*IF($G$1="鸣金",$AJ103,$AH103)+IF($G$1="鸣金",$AK103*1.5,0))*(1+$AU103)*(1+$AV103)+(($AW103+($AX103-$AW103)*IF(VLOOKUP($Q103,武学奇术!$A:$ZZ,31,FALSE)=1,$F$18,0.5))*IF($G$1="裂石",$AJ103,$AH103)+IF($G$1="裂石",$AK103*1.5,0))*(1+$AY103)*(1+$AZ103)+(($BA103+($BB103-$BA103)*IF(VLOOKUP($Q103,武学奇术!$A:$ZZ,31,FALSE)=1,$F$18,0.5))*IF($G$1="牵丝",$AJ103,$AH103)+IF($G$1="牵丝",$AK103*1.5,0))*(1+$BC103)*(1+$BD103)+(($BE103+($BF103-$BE103)*IF(VLOOKUP($Q103,武学奇术!$A:$ZZ,31,FALSE)=1,$F$18,0.5))*IF($G$1="破竹",$AJ103,$AH103)+IF($G$1="破竹",$AK103*1.5,0))*(1+$BG103)*(1+$BH103))*(1+$AL103)*$P103*(1+IF(VLOOKUP($Q103,武学奇术!$A:$ZZ,30,FALSE)="蓄力技",$B$21,0))*(1+$BQ103)</f>
        <v>5422.37984175932</v>
      </c>
      <c r="O103" s="39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蓄力技",$B$21,0))*(1+$BQ103)</f>
        <v>4674.9451067095</v>
      </c>
      <c r="P103" s="40">
        <v>2</v>
      </c>
      <c r="Q103" s="41" t="s">
        <v>160</v>
      </c>
      <c r="R103" s="41" t="s">
        <v>93</v>
      </c>
      <c r="S103" s="41" t="s">
        <v>72</v>
      </c>
      <c r="T103" s="41" t="s">
        <v>72</v>
      </c>
      <c r="U103" s="41" t="s">
        <v>72</v>
      </c>
      <c r="V103" s="41" t="s">
        <v>72</v>
      </c>
      <c r="W103" s="41" t="s">
        <v>72</v>
      </c>
      <c r="X103" s="41" t="s">
        <v>165</v>
      </c>
      <c r="Y103" s="41" t="s">
        <v>81</v>
      </c>
      <c r="Z103" s="41" t="s">
        <v>72</v>
      </c>
      <c r="AA103" s="41" t="s">
        <v>161</v>
      </c>
      <c r="AB103" s="41" t="s">
        <v>72</v>
      </c>
      <c r="AC103" s="41" t="s">
        <v>72</v>
      </c>
      <c r="AD103" s="41" t="s">
        <v>72</v>
      </c>
      <c r="AE103" s="41" t="s">
        <v>75</v>
      </c>
      <c r="AF103" s="41" t="s">
        <v>76</v>
      </c>
      <c r="AG103" t="str">
        <f>VLOOKUP($Q103,武学奇术!$A:$ZZ,25,FALSE)</f>
        <v>单体奇术</v>
      </c>
      <c r="AH103" s="27">
        <f>VLOOKUP($Q103,武学奇术!$A:$ZZ,26,FALSE)</f>
        <v>0.236</v>
      </c>
      <c r="AI103" s="28">
        <f>VLOOKUP($Q103,武学奇术!$A:$ZZ,27,FALSE)*(1+IF(OR($AG103=$F$4,$AG103=$F$5),$B$22,0))</f>
        <v>44</v>
      </c>
      <c r="AJ103" s="27">
        <f>VLOOKUP($Q103,武学奇术!$A:$ZZ,28,FALSE)</f>
        <v>0.354</v>
      </c>
      <c r="AK103" s="28">
        <f>VLOOKUP($Q103,武学奇术!$A:$ZZ,29,FALSE)*(1+IF(OR($AG103=$F$4,$AG103=$F$5),$B$22,0))</f>
        <v>0</v>
      </c>
      <c r="AL103" s="27" cm="1">
        <f t="array" ref="AL103">$G$3+IFERROR(VLOOKUP($AG103,$F$4:$G$7,2,FALSE),0)+VLOOKUP($Q103,武学奇术!$A:$ZZ,2,FALSE)+SUM(_xlfn.XLOOKUP($R103:$AF103,增益!$A:$A,增益!$B:$B,0))</f>
        <v>0.4037</v>
      </c>
      <c r="AM103" s="27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3742.006</v>
      </c>
      <c r="AO103" cm="1">
        <f t="array" ref="AO103">$E$10*(1+$AM103)+VLOOKUP($Q103,武学奇术!$A:$ZZ,4,FALSE)+SUM(_xlfn.XLOOKUP($R103:$AF103,增益!$A:$A,增益!$D:$D,0))-$I$2</f>
        <v>3742.006</v>
      </c>
      <c r="AP103" s="33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0.217</v>
      </c>
      <c r="AQ103" s="33" cm="1">
        <f t="array" ref="AQ103">$G$10+VLOOKUP($Q103,武学奇术!$A:$ZZ,7,FALSE)+SUM(_xlfn.XLOOKUP(R103:AF103,增益!$A:$A,增益!$G:$G,0))</f>
        <v>0.09</v>
      </c>
      <c r="AR103" s="27" cm="1">
        <f t="array" ref="AR103">VLOOKUP($Q103,武学奇术!$A:$ZZ,8,FALSE)+SUM(_xlfn.XLOOKUP(R103:AF103,增益!$A:$A,增益!$H:$H,0))</f>
        <v>0</v>
      </c>
      <c r="AS103">
        <f t="shared" si="12"/>
        <v>0</v>
      </c>
      <c r="AT103">
        <f t="shared" si="13"/>
        <v>0</v>
      </c>
      <c r="AU103" s="33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-0.14</v>
      </c>
      <c r="AV103" s="33" cm="1">
        <f t="array" ref="AV103">$G$11+VLOOKUP($Q103,武学奇术!$A:$ZZ,10,FALSE)+SUM(_xlfn.XLOOKUP(R103:AF103,增益!$A:$A,增益!$J:$J,0))</f>
        <v>0</v>
      </c>
      <c r="AW103">
        <f t="shared" si="14"/>
        <v>0</v>
      </c>
      <c r="AX103">
        <f t="shared" si="15"/>
        <v>0</v>
      </c>
      <c r="AY103" s="33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-0.14</v>
      </c>
      <c r="AZ103" s="33" cm="1">
        <f t="array" ref="AZ103">$G$12+VLOOKUP($Q103,武学奇术!$A:$ZZ,12,FALSE)+SUM(_xlfn.XLOOKUP(R103:AF103,增益!$A:$A,增益!$L:$L,0))</f>
        <v>0</v>
      </c>
      <c r="BA103">
        <f t="shared" si="16"/>
        <v>0</v>
      </c>
      <c r="BB103">
        <f t="shared" si="17"/>
        <v>0</v>
      </c>
      <c r="BC103" s="33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-0.14</v>
      </c>
      <c r="BD103" s="33" cm="1">
        <f t="array" ref="BD103">$G$13+VLOOKUP($Q103,武学奇术!$A:$ZZ,14,FALSE)+SUM(_xlfn.XLOOKUP(R103:AF103,增益!$A:$A,增益!$N:$N,0))</f>
        <v>0</v>
      </c>
      <c r="BE103">
        <f t="shared" si="18"/>
        <v>570.28</v>
      </c>
      <c r="BF103">
        <f t="shared" si="19"/>
        <v>1582.156</v>
      </c>
      <c r="BG103" s="33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0.08</v>
      </c>
      <c r="BH103" s="33" cm="1">
        <f t="array" ref="BH103">$G$14+VLOOKUP($Q103,武学奇术!$A:$ZZ,16,FALSE)+SUM(_xlfn.XLOOKUP(R103:AF103,增益!$A:$A,增益!$P:$P,0))</f>
        <v>0.24</v>
      </c>
      <c r="BI103" s="27">
        <f>MIN(IF(VLOOKUP($Q103,武学奇术!$A:$ZZ,23,FALSE)=1,100%,$B$8),100%)</f>
        <v>1</v>
      </c>
      <c r="BJ103" s="27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+MIN(IF(VLOOKUP($Q103,武学奇术!$A:$ZZ,32,FALSE)=1,IF(VLOOKUP($Q103,武学奇术!$A:$ZZ,24,FALSE)=1,100%,MIN(40%,$B$10+VLOOKUP($Q103,武学奇术!$A:$ZZ,19,FALSE)+SUM(_xlfn.XLOOKUP(R103:AF103,增益!$A:$A,增益!$S:$S,0)))+$B$12+SUM(_xlfn.XLOOKUP(R103:AF103,增益!$A:$A,增益!$V:$V,0))),0),12%)</f>
        <v>0.918</v>
      </c>
      <c r="BK103" s="27" cm="1">
        <f t="array" ref="BK103">1+$B$13+VLOOKUP($Q103,武学奇术!$A:$ZZ,18,FALSE)+SUM(_xlfn.XLOOKUP(R103:AF103,增益!$A:$A,增益!$R:$R,0))</f>
        <v>1.64</v>
      </c>
      <c r="BL103" s="27" cm="1">
        <f t="array" ref="BL103">MAX(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-IF(VLOOKUP($Q103,武学奇术!$A:$ZZ,32,FALSE)=1,12%,0),0)</f>
        <v>0.0895</v>
      </c>
      <c r="BM103" s="27" cm="1">
        <f t="array" ref="BM103">1+$B$14+VLOOKUP($Q103,武学奇术!$A:$ZZ,20,FALSE)+SUM(_xlfn.XLOOKUP(R103:AF103,增益!$A:$A,增益!$T:$T,0))</f>
        <v>1.35</v>
      </c>
      <c r="BN103" s="27">
        <f t="shared" si="20"/>
        <v>0.9105</v>
      </c>
      <c r="BO103" s="27">
        <f t="shared" si="21"/>
        <v>0</v>
      </c>
      <c r="BP103" s="27">
        <f>IF(VLOOKUP($Q103,武学奇术!$A:$ZZ,22,FALSE)=1,0,(1-$BI103))*(1-$BL103)</f>
        <v>0</v>
      </c>
      <c r="BQ103" s="27" cm="1">
        <f t="array" ref="BQ103">SUM(_xlfn.XLOOKUP(R103:AF103,增益!$A:$A,增益!$W:$W,0))+$I$5</f>
        <v>0.11</v>
      </c>
    </row>
    <row r="104" spans="11:69">
      <c r="K104" s="39">
        <f t="shared" si="11"/>
        <v>8403.31063576155</v>
      </c>
      <c r="L104" s="39">
        <f>((($AN104+($AO104-$AN104)*IF(VLOOKUP($Q104,武学奇术!$A:$ZZ,31,FALSE)=1,$F$18,0.5))*$AH104+$AI104)*(1+$AP104)*(1+$AQ104)+(($AS104+($AT104-$AS104)*IF(VLOOKUP($Q104,武学奇术!$A:$ZZ,31,FALSE)=1,$F$18,0.5))*IF($G$1="鸣金",$AJ104,$AH104)+IF($G$1="鸣金",$AK104*1.5,0))*(1+$AU104)*(1+$AV104)+(($AW104+($AX104-$AW104)*IF(VLOOKUP($Q104,武学奇术!$A:$ZZ,31,FALSE)=1,$F$18,0.5))*IF($G$1="裂石",$AJ104,$AH104)+IF($G$1="裂石",$AK104*1.5,0))*(1+$AY104)*(1+$AZ104)+(($BA104+($BB104-$BA104)*IF(VLOOKUP($Q104,武学奇术!$A:$ZZ,31,FALSE)=1,$F$18,0.5))*IF($G$1="牵丝",$AJ104,$AH104)+IF($G$1="牵丝",$AK104*1.5,0))*(1+$BC104)*(1+$BD104)+(($BE104+($BF104-$BE104)*IF(VLOOKUP($Q104,武学奇术!$A:$ZZ,31,FALSE)=1,$F$18,0.5))*IF($G$1="破竹",$AJ104,$AH104)+IF($G$1="破竹",$AK104*1.5,0))*(1+$BG104)*(1+$BH104))*(1+$AL104)*$BK104*$P104*(1+IF(VLOOKUP($Q104,武学奇术!$A:$ZZ,30,FALSE)="蓄力技",$B$21,0))*(1+$BQ104)</f>
        <v>8458.69405742259</v>
      </c>
      <c r="M104" s="39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蓄力技",$B$21,0))*(1+$BQ104)</f>
        <v>7839.88487685224</v>
      </c>
      <c r="N104" s="39">
        <f>((($AN104+($AO104-$AN104)*IF(VLOOKUP($Q104,武学奇术!$A:$ZZ,31,FALSE)=1,$F$18,0.5))*$AH104+$AI104)*(1+$AP104)*(1+$AQ104)+(($AS104+($AT104-$AS104)*IF(VLOOKUP($Q104,武学奇术!$A:$ZZ,31,FALSE)=1,$F$18,0.5))*IF($G$1="鸣金",$AJ104,$AH104)+IF($G$1="鸣金",$AK104*1.5,0))*(1+$AU104)*(1+$AV104)+(($AW104+($AX104-$AW104)*IF(VLOOKUP($Q104,武学奇术!$A:$ZZ,31,FALSE)=1,$F$18,0.5))*IF($G$1="裂石",$AJ104,$AH104)+IF($G$1="裂石",$AK104*1.5,0))*(1+$AY104)*(1+$AZ104)+(($BA104+($BB104-$BA104)*IF(VLOOKUP($Q104,武学奇术!$A:$ZZ,31,FALSE)=1,$F$18,0.5))*IF($G$1="牵丝",$AJ104,$AH104)+IF($G$1="牵丝",$AK104*1.5,0))*(1+$BC104)*(1+$BD104)+(($BE104+($BF104-$BE104)*IF(VLOOKUP($Q104,武学奇术!$A:$ZZ,31,FALSE)=1,$F$18,0.5))*IF($G$1="破竹",$AJ104,$AH104)+IF($G$1="破竹",$AK104*1.5,0))*(1+$BG104)*(1+$BH104))*(1+$AL104)*$P104*(1+IF(VLOOKUP($Q104,武学奇术!$A:$ZZ,30,FALSE)="蓄力技",$B$21,0))*(1+$BQ104)</f>
        <v>5157.74027891622</v>
      </c>
      <c r="O104" s="39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蓄力技",$B$21,0))*(1+$BQ104)</f>
        <v>4508.15842683078</v>
      </c>
      <c r="P104" s="40">
        <v>1</v>
      </c>
      <c r="Q104" s="41" t="s">
        <v>182</v>
      </c>
      <c r="R104" s="41" t="s">
        <v>93</v>
      </c>
      <c r="S104" s="41" t="s">
        <v>72</v>
      </c>
      <c r="T104" s="41" t="s">
        <v>72</v>
      </c>
      <c r="U104" s="41" t="s">
        <v>72</v>
      </c>
      <c r="V104" s="41" t="s">
        <v>72</v>
      </c>
      <c r="W104" s="41" t="s">
        <v>72</v>
      </c>
      <c r="X104" s="41" t="s">
        <v>165</v>
      </c>
      <c r="Y104" s="41" t="s">
        <v>81</v>
      </c>
      <c r="Z104" s="41" t="s">
        <v>72</v>
      </c>
      <c r="AA104" s="41" t="s">
        <v>72</v>
      </c>
      <c r="AB104" s="41" t="s">
        <v>72</v>
      </c>
      <c r="AC104" s="41" t="s">
        <v>72</v>
      </c>
      <c r="AD104" s="41" t="s">
        <v>72</v>
      </c>
      <c r="AE104" s="41" t="s">
        <v>75</v>
      </c>
      <c r="AF104" s="41" t="s">
        <v>76</v>
      </c>
      <c r="AG104" t="str">
        <f>VLOOKUP($Q104,武学奇术!$A:$ZZ,25,FALSE)</f>
        <v>拳甲</v>
      </c>
      <c r="AH104" s="27">
        <f>VLOOKUP($Q104,武学奇术!$A:$ZZ,26,FALSE)</f>
        <v>0.4349</v>
      </c>
      <c r="AI104" s="28">
        <f>VLOOKUP($Q104,武学奇术!$A:$ZZ,27,FALSE)*(1+IF(OR($AG104=$F$4,$AG104=$F$5),$B$22,0))</f>
        <v>169.4</v>
      </c>
      <c r="AJ104" s="27">
        <f>VLOOKUP($Q104,武学奇术!$A:$ZZ,28,FALSE)</f>
        <v>0.6523</v>
      </c>
      <c r="AK104" s="28">
        <f>VLOOKUP($Q104,武学奇术!$A:$ZZ,29,FALSE)*(1+IF(OR($AG104=$F$4,$AG104=$F$5),$B$22,0))</f>
        <v>92.4</v>
      </c>
      <c r="AL104" s="27" cm="1">
        <f t="array" ref="AL104">$G$3+IFERROR(VLOOKUP($AG104,$F$4:$G$7,2,FALSE),0)+VLOOKUP($Q104,武学奇术!$A:$ZZ,2,FALSE)+SUM(_xlfn.XLOOKUP($R104:$AF104,增益!$A:$A,增益!$B:$B,0))</f>
        <v>0.3241</v>
      </c>
      <c r="AM104" s="27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3742.006</v>
      </c>
      <c r="AO104" cm="1">
        <f t="array" ref="AO104">$E$10*(1+$AM104)+VLOOKUP($Q104,武学奇术!$A:$ZZ,4,FALSE)+SUM(_xlfn.XLOOKUP($R104:$AF104,增益!$A:$A,增益!$D:$D,0))-$I$2</f>
        <v>3742.006</v>
      </c>
      <c r="AP104" s="33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0.217</v>
      </c>
      <c r="AQ104" s="33" cm="1">
        <f t="array" ref="AQ104">$G$10+VLOOKUP($Q104,武学奇术!$A:$ZZ,7,FALSE)+SUM(_xlfn.XLOOKUP(R104:AF104,增益!$A:$A,增益!$G:$G,0))</f>
        <v>0.09</v>
      </c>
      <c r="AR104" s="27" cm="1">
        <f t="array" ref="AR104">VLOOKUP($Q104,武学奇术!$A:$ZZ,8,FALSE)+SUM(_xlfn.XLOOKUP(R104:AF104,增益!$A:$A,增益!$H:$H,0))</f>
        <v>0</v>
      </c>
      <c r="AS104">
        <f t="shared" si="12"/>
        <v>0</v>
      </c>
      <c r="AT104">
        <f t="shared" si="13"/>
        <v>0</v>
      </c>
      <c r="AU104" s="33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-0.14</v>
      </c>
      <c r="AV104" s="33" cm="1">
        <f t="array" ref="AV104">$G$11+VLOOKUP($Q104,武学奇术!$A:$ZZ,10,FALSE)+SUM(_xlfn.XLOOKUP(R104:AF104,增益!$A:$A,增益!$J:$J,0))</f>
        <v>0</v>
      </c>
      <c r="AW104">
        <f t="shared" si="14"/>
        <v>0</v>
      </c>
      <c r="AX104">
        <f t="shared" si="15"/>
        <v>0</v>
      </c>
      <c r="AY104" s="33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-0.14</v>
      </c>
      <c r="AZ104" s="33" cm="1">
        <f t="array" ref="AZ104">$G$12+VLOOKUP($Q104,武学奇术!$A:$ZZ,12,FALSE)+SUM(_xlfn.XLOOKUP(R104:AF104,增益!$A:$A,增益!$L:$L,0))</f>
        <v>0</v>
      </c>
      <c r="BA104">
        <f t="shared" si="16"/>
        <v>0</v>
      </c>
      <c r="BB104">
        <f t="shared" si="17"/>
        <v>0</v>
      </c>
      <c r="BC104" s="33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-0.14</v>
      </c>
      <c r="BD104" s="33" cm="1">
        <f t="array" ref="BD104">$G$13+VLOOKUP($Q104,武学奇术!$A:$ZZ,14,FALSE)+SUM(_xlfn.XLOOKUP(R104:AF104,增益!$A:$A,增益!$N:$N,0))</f>
        <v>0</v>
      </c>
      <c r="BE104">
        <f t="shared" si="18"/>
        <v>570.28</v>
      </c>
      <c r="BF104">
        <f t="shared" si="19"/>
        <v>1582.156</v>
      </c>
      <c r="BG104" s="33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0.08</v>
      </c>
      <c r="BH104" s="33" cm="1">
        <f t="array" ref="BH104">$G$14+VLOOKUP($Q104,武学奇术!$A:$ZZ,16,FALSE)+SUM(_xlfn.XLOOKUP(R104:AF104,增益!$A:$A,增益!$P:$P,0))</f>
        <v>0.24</v>
      </c>
      <c r="BI104" s="27">
        <f>MIN(IF(VLOOKUP($Q104,武学奇术!$A:$ZZ,23,FALSE)=1,100%,$B$8),100%)</f>
        <v>1</v>
      </c>
      <c r="BJ104" s="27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+MIN(IF(VLOOKUP($Q104,武学奇术!$A:$ZZ,32,FALSE)=1,IF(VLOOKUP($Q104,武学奇术!$A:$ZZ,24,FALSE)=1,100%,MIN(40%,$B$10+VLOOKUP($Q104,武学奇术!$A:$ZZ,19,FALSE)+SUM(_xlfn.XLOOKUP(R104:AF104,增益!$A:$A,增益!$S:$S,0)))+$B$12+SUM(_xlfn.XLOOKUP(R104:AF104,增益!$A:$A,增益!$V:$V,0))),0),12%)</f>
        <v>0.918</v>
      </c>
      <c r="BK104" s="27" cm="1">
        <f t="array" ref="BK104">1+$B$13+VLOOKUP($Q104,武学奇术!$A:$ZZ,18,FALSE)+SUM(_xlfn.XLOOKUP(R104:AF104,增益!$A:$A,增益!$R:$R,0))</f>
        <v>1.64</v>
      </c>
      <c r="BL104" s="27" cm="1">
        <f t="array" ref="BL104">MAX(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-IF(VLOOKUP($Q104,武学奇术!$A:$ZZ,32,FALSE)=1,12%,0),0)</f>
        <v>0.0895</v>
      </c>
      <c r="BM104" s="27" cm="1">
        <f t="array" ref="BM104">1+$B$14+VLOOKUP($Q104,武学奇术!$A:$ZZ,20,FALSE)+SUM(_xlfn.XLOOKUP(R104:AF104,增益!$A:$A,增益!$T:$T,0))</f>
        <v>1.35</v>
      </c>
      <c r="BN104" s="27">
        <f t="shared" si="20"/>
        <v>0.9105</v>
      </c>
      <c r="BO104" s="27">
        <f t="shared" si="21"/>
        <v>0</v>
      </c>
      <c r="BP104" s="27">
        <f>IF(VLOOKUP($Q104,武学奇术!$A:$ZZ,22,FALSE)=1,0,(1-$BI104))*(1-$BL104)</f>
        <v>0</v>
      </c>
      <c r="BQ104" s="27" cm="1">
        <f t="array" ref="BQ104">SUM(_xlfn.XLOOKUP(R104:AF104,增益!$A:$A,增益!$W:$W,0))+$I$5</f>
        <v>0.11</v>
      </c>
    </row>
    <row r="105" spans="11:69">
      <c r="K105" s="39">
        <f t="shared" si="11"/>
        <v>11044.0380000096</v>
      </c>
      <c r="L105" s="39">
        <f>((($AN105+($AO105-$AN105)*IF(VLOOKUP($Q105,武学奇术!$A:$ZZ,31,FALSE)=1,$F$18,0.5))*$AH105+$AI105)*(1+$AP105)*(1+$AQ105)+(($AS105+($AT105-$AS105)*IF(VLOOKUP($Q105,武学奇术!$A:$ZZ,31,FALSE)=1,$F$18,0.5))*IF($G$1="鸣金",$AJ105,$AH105)+IF($G$1="鸣金",$AK105*1.5,0))*(1+$AU105)*(1+$AV105)+(($AW105+($AX105-$AW105)*IF(VLOOKUP($Q105,武学奇术!$A:$ZZ,31,FALSE)=1,$F$18,0.5))*IF($G$1="裂石",$AJ105,$AH105)+IF($G$1="裂石",$AK105*1.5,0))*(1+$AY105)*(1+$AZ105)+(($BA105+($BB105-$BA105)*IF(VLOOKUP($Q105,武学奇术!$A:$ZZ,31,FALSE)=1,$F$18,0.5))*IF($G$1="牵丝",$AJ105,$AH105)+IF($G$1="牵丝",$AK105*1.5,0))*(1+$BC105)*(1+$BD105)+(($BE105+($BF105-$BE105)*IF(VLOOKUP($Q105,武学奇术!$A:$ZZ,31,FALSE)=1,$F$18,0.5))*IF($G$1="破竹",$AJ105,$AH105)+IF($G$1="破竹",$AK105*1.5,0))*(1+$BG105)*(1+$BH105))*(1+$AL105)*$BK105*$P105*(1+IF(VLOOKUP($Q105,武学奇术!$A:$ZZ,30,FALSE)="蓄力技",$B$21,0))*(1+$BQ105)</f>
        <v>11116.8847807922</v>
      </c>
      <c r="M105" s="39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蓄力技",$B$21,0))*(1+$BQ105)</f>
        <v>10302.9542692542</v>
      </c>
      <c r="N105" s="39">
        <f>((($AN105+($AO105-$AN105)*IF(VLOOKUP($Q105,武学奇术!$A:$ZZ,31,FALSE)=1,$F$18,0.5))*$AH105+$AI105)*(1+$AP105)*(1+$AQ105)+(($AS105+($AT105-$AS105)*IF(VLOOKUP($Q105,武学奇术!$A:$ZZ,31,FALSE)=1,$F$18,0.5))*IF($G$1="鸣金",$AJ105,$AH105)+IF($G$1="鸣金",$AK105*1.5,0))*(1+$AU105)*(1+$AV105)+(($AW105+($AX105-$AW105)*IF(VLOOKUP($Q105,武学奇术!$A:$ZZ,31,FALSE)=1,$F$18,0.5))*IF($G$1="裂石",$AJ105,$AH105)+IF($G$1="裂石",$AK105*1.5,0))*(1+$AY105)*(1+$AZ105)+(($BA105+($BB105-$BA105)*IF(VLOOKUP($Q105,武学奇术!$A:$ZZ,31,FALSE)=1,$F$18,0.5))*IF($G$1="牵丝",$AJ105,$AH105)+IF($G$1="牵丝",$AK105*1.5,0))*(1+$BC105)*(1+$BD105)+(($BE105+($BF105-$BE105)*IF(VLOOKUP($Q105,武学奇术!$A:$ZZ,31,FALSE)=1,$F$18,0.5))*IF($G$1="破竹",$AJ105,$AH105)+IF($G$1="破竹",$AK105*1.5,0))*(1+$BG105)*(1+$BH105))*(1+$AL105)*$P105*(1+IF(VLOOKUP($Q105,武学奇术!$A:$ZZ,30,FALSE)="蓄力技",$B$21,0))*(1+$BQ105)</f>
        <v>6778.58828097086</v>
      </c>
      <c r="O105" s="39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蓄力技",$B$21,0))*(1+$BQ105)</f>
        <v>5925.35858471637</v>
      </c>
      <c r="P105" s="40">
        <v>1</v>
      </c>
      <c r="Q105" s="41" t="s">
        <v>117</v>
      </c>
      <c r="R105" s="41" t="s">
        <v>93</v>
      </c>
      <c r="S105" s="41" t="s">
        <v>72</v>
      </c>
      <c r="T105" s="41" t="s">
        <v>72</v>
      </c>
      <c r="U105" s="41" t="s">
        <v>72</v>
      </c>
      <c r="V105" s="41" t="s">
        <v>72</v>
      </c>
      <c r="W105" s="41" t="s">
        <v>72</v>
      </c>
      <c r="X105" s="41" t="s">
        <v>165</v>
      </c>
      <c r="Y105" s="41" t="s">
        <v>81</v>
      </c>
      <c r="Z105" s="41" t="s">
        <v>72</v>
      </c>
      <c r="AA105" s="41" t="s">
        <v>72</v>
      </c>
      <c r="AB105" s="41" t="s">
        <v>72</v>
      </c>
      <c r="AC105" s="41" t="s">
        <v>72</v>
      </c>
      <c r="AD105" s="41" t="s">
        <v>72</v>
      </c>
      <c r="AE105" s="41" t="s">
        <v>75</v>
      </c>
      <c r="AF105" s="41" t="s">
        <v>76</v>
      </c>
      <c r="AG105" t="str">
        <f>VLOOKUP($Q105,武学奇术!$A:$ZZ,25,FALSE)</f>
        <v>拳甲</v>
      </c>
      <c r="AH105" s="27">
        <f>VLOOKUP($Q105,武学奇术!$A:$ZZ,26,FALSE)</f>
        <v>0.5712</v>
      </c>
      <c r="AI105" s="28">
        <f>VLOOKUP($Q105,武学奇术!$A:$ZZ,27,FALSE)*(1+IF(OR($AG105=$F$4,$AG105=$F$5),$B$22,0))</f>
        <v>224</v>
      </c>
      <c r="AJ105" s="27">
        <f>VLOOKUP($Q105,武学奇术!$A:$ZZ,28,FALSE)</f>
        <v>0.8568</v>
      </c>
      <c r="AK105" s="28">
        <f>VLOOKUP($Q105,武学奇术!$A:$ZZ,29,FALSE)*(1+IF(OR($AG105=$F$4,$AG105=$F$5),$B$22,0))</f>
        <v>121.8</v>
      </c>
      <c r="AL105" s="27" cm="1">
        <f t="array" ref="AL105">$G$3+IFERROR(VLOOKUP($AG105,$F$4:$G$7,2,FALSE),0)+VLOOKUP($Q105,武学奇术!$A:$ZZ,2,FALSE)+SUM(_xlfn.XLOOKUP($R105:$AF105,增益!$A:$A,增益!$B:$B,0))</f>
        <v>0.3241</v>
      </c>
      <c r="AM105" s="27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3742.006</v>
      </c>
      <c r="AO105" cm="1">
        <f t="array" ref="AO105">$E$10*(1+$AM105)+VLOOKUP($Q105,武学奇术!$A:$ZZ,4,FALSE)+SUM(_xlfn.XLOOKUP($R105:$AF105,增益!$A:$A,增益!$D:$D,0))-$I$2</f>
        <v>3742.006</v>
      </c>
      <c r="AP105" s="33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0.217</v>
      </c>
      <c r="AQ105" s="33" cm="1">
        <f t="array" ref="AQ105">$G$10+VLOOKUP($Q105,武学奇术!$A:$ZZ,7,FALSE)+SUM(_xlfn.XLOOKUP(R105:AF105,增益!$A:$A,增益!$G:$G,0))</f>
        <v>0.09</v>
      </c>
      <c r="AR105" s="27" cm="1">
        <f t="array" ref="AR105">VLOOKUP($Q105,武学奇术!$A:$ZZ,8,FALSE)+SUM(_xlfn.XLOOKUP(R105:AF105,增益!$A:$A,增益!$H:$H,0))</f>
        <v>0</v>
      </c>
      <c r="AS105">
        <f t="shared" si="12"/>
        <v>0</v>
      </c>
      <c r="AT105">
        <f t="shared" si="13"/>
        <v>0</v>
      </c>
      <c r="AU105" s="33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-0.14</v>
      </c>
      <c r="AV105" s="33" cm="1">
        <f t="array" ref="AV105">$G$11+VLOOKUP($Q105,武学奇术!$A:$ZZ,10,FALSE)+SUM(_xlfn.XLOOKUP(R105:AF105,增益!$A:$A,增益!$J:$J,0))</f>
        <v>0</v>
      </c>
      <c r="AW105">
        <f t="shared" si="14"/>
        <v>0</v>
      </c>
      <c r="AX105">
        <f t="shared" si="15"/>
        <v>0</v>
      </c>
      <c r="AY105" s="33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-0.14</v>
      </c>
      <c r="AZ105" s="33" cm="1">
        <f t="array" ref="AZ105">$G$12+VLOOKUP($Q105,武学奇术!$A:$ZZ,12,FALSE)+SUM(_xlfn.XLOOKUP(R105:AF105,增益!$A:$A,增益!$L:$L,0))</f>
        <v>0</v>
      </c>
      <c r="BA105">
        <f t="shared" si="16"/>
        <v>0</v>
      </c>
      <c r="BB105">
        <f t="shared" si="17"/>
        <v>0</v>
      </c>
      <c r="BC105" s="33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-0.14</v>
      </c>
      <c r="BD105" s="33" cm="1">
        <f t="array" ref="BD105">$G$13+VLOOKUP($Q105,武学奇术!$A:$ZZ,14,FALSE)+SUM(_xlfn.XLOOKUP(R105:AF105,增益!$A:$A,增益!$N:$N,0))</f>
        <v>0</v>
      </c>
      <c r="BE105">
        <f t="shared" si="18"/>
        <v>570.28</v>
      </c>
      <c r="BF105">
        <f t="shared" si="19"/>
        <v>1582.156</v>
      </c>
      <c r="BG105" s="33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0.08</v>
      </c>
      <c r="BH105" s="33" cm="1">
        <f t="array" ref="BH105">$G$14+VLOOKUP($Q105,武学奇术!$A:$ZZ,16,FALSE)+SUM(_xlfn.XLOOKUP(R105:AF105,增益!$A:$A,增益!$P:$P,0))</f>
        <v>0.24</v>
      </c>
      <c r="BI105" s="27">
        <f>MIN(IF(VLOOKUP($Q105,武学奇术!$A:$ZZ,23,FALSE)=1,100%,$B$8),100%)</f>
        <v>1</v>
      </c>
      <c r="BJ105" s="27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+MIN(IF(VLOOKUP($Q105,武学奇术!$A:$ZZ,32,FALSE)=1,IF(VLOOKUP($Q105,武学奇术!$A:$ZZ,24,FALSE)=1,100%,MIN(40%,$B$10+VLOOKUP($Q105,武学奇术!$A:$ZZ,19,FALSE)+SUM(_xlfn.XLOOKUP(R105:AF105,增益!$A:$A,增益!$S:$S,0)))+$B$12+SUM(_xlfn.XLOOKUP(R105:AF105,增益!$A:$A,增益!$V:$V,0))),0),12%)</f>
        <v>0.918</v>
      </c>
      <c r="BK105" s="27" cm="1">
        <f t="array" ref="BK105">1+$B$13+VLOOKUP($Q105,武学奇术!$A:$ZZ,18,FALSE)+SUM(_xlfn.XLOOKUP(R105:AF105,增益!$A:$A,增益!$R:$R,0))</f>
        <v>1.64</v>
      </c>
      <c r="BL105" s="27" cm="1">
        <f t="array" ref="BL105">MAX(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-IF(VLOOKUP($Q105,武学奇术!$A:$ZZ,32,FALSE)=1,12%,0),0)</f>
        <v>0.0895</v>
      </c>
      <c r="BM105" s="27" cm="1">
        <f t="array" ref="BM105">1+$B$14+VLOOKUP($Q105,武学奇术!$A:$ZZ,20,FALSE)+SUM(_xlfn.XLOOKUP(R105:AF105,增益!$A:$A,增益!$T:$T,0))</f>
        <v>1.35</v>
      </c>
      <c r="BN105" s="27">
        <f t="shared" si="20"/>
        <v>0.9105</v>
      </c>
      <c r="BO105" s="27">
        <f t="shared" si="21"/>
        <v>0</v>
      </c>
      <c r="BP105" s="27">
        <f>IF(VLOOKUP($Q105,武学奇术!$A:$ZZ,22,FALSE)=1,0,(1-$BI105))*(1-$BL105)</f>
        <v>0</v>
      </c>
      <c r="BQ105" s="27" cm="1">
        <f t="array" ref="BQ105">SUM(_xlfn.XLOOKUP(R105:AF105,增益!$A:$A,增益!$W:$W,0))+$I$5</f>
        <v>0.11</v>
      </c>
    </row>
    <row r="106" spans="11:69">
      <c r="K106" s="39">
        <f t="shared" si="11"/>
        <v>24875.9197734237</v>
      </c>
      <c r="L106" s="39">
        <f>((($AN106+($AO106-$AN106)*IF(VLOOKUP($Q106,武学奇术!$A:$ZZ,31,FALSE)=1,$F$18,0.5))*$AH106+$AI106)*(1+$AP106)*(1+$AQ106)+(($AS106+($AT106-$AS106)*IF(VLOOKUP($Q106,武学奇术!$A:$ZZ,31,FALSE)=1,$F$18,0.5))*IF($G$1="鸣金",$AJ106,$AH106)+IF($G$1="鸣金",$AK106*1.5,0))*(1+$AU106)*(1+$AV106)+(($AW106+($AX106-$AW106)*IF(VLOOKUP($Q106,武学奇术!$A:$ZZ,31,FALSE)=1,$F$18,0.5))*IF($G$1="裂石",$AJ106,$AH106)+IF($G$1="裂石",$AK106*1.5,0))*(1+$AY106)*(1+$AZ106)+(($BA106+($BB106-$BA106)*IF(VLOOKUP($Q106,武学奇术!$A:$ZZ,31,FALSE)=1,$F$18,0.5))*IF($G$1="牵丝",$AJ106,$AH106)+IF($G$1="牵丝",$AK106*1.5,0))*(1+$BC106)*(1+$BD106)+(($BE106+($BF106-$BE106)*IF(VLOOKUP($Q106,武学奇术!$A:$ZZ,31,FALSE)=1,$F$18,0.5))*IF($G$1="破竹",$AJ106,$AH106)+IF($G$1="破竹",$AK106*1.5,0))*(1+$BG106)*(1+$BH106))*(1+$AL106)*$BK106*$P106*(1+IF(VLOOKUP($Q106,武学奇术!$A:$ZZ,30,FALSE)="蓄力技",$B$21,0))*(1+$BQ106)</f>
        <v>25039.828647211</v>
      </c>
      <c r="M106" s="39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蓄力技",$B$21,0))*(1+$BQ106)</f>
        <v>23208.4445825484</v>
      </c>
      <c r="N106" s="39">
        <f>((($AN106+($AO106-$AN106)*IF(VLOOKUP($Q106,武学奇术!$A:$ZZ,31,FALSE)=1,$F$18,0.5))*$AH106+$AI106)*(1+$AP106)*(1+$AQ106)+(($AS106+($AT106-$AS106)*IF(VLOOKUP($Q106,武学奇术!$A:$ZZ,31,FALSE)=1,$F$18,0.5))*IF($G$1="鸣金",$AJ106,$AH106)+IF($G$1="鸣金",$AK106*1.5,0))*(1+$AU106)*(1+$AV106)+(($AW106+($AX106-$AW106)*IF(VLOOKUP($Q106,武学奇术!$A:$ZZ,31,FALSE)=1,$F$18,0.5))*IF($G$1="裂石",$AJ106,$AH106)+IF($G$1="裂石",$AK106*1.5,0))*(1+$AY106)*(1+$AZ106)+(($BA106+($BB106-$BA106)*IF(VLOOKUP($Q106,武学奇术!$A:$ZZ,31,FALSE)=1,$F$18,0.5))*IF($G$1="牵丝",$AJ106,$AH106)+IF($G$1="牵丝",$AK106*1.5,0))*(1+$BC106)*(1+$BD106)+(($BE106+($BF106-$BE106)*IF(VLOOKUP($Q106,武学奇术!$A:$ZZ,31,FALSE)=1,$F$18,0.5))*IF($G$1="破竹",$AJ106,$AH106)+IF($G$1="破竹",$AK106*1.5,0))*(1+$BG106)*(1+$BH106))*(1+$AL106)*$P106*(1+IF(VLOOKUP($Q106,武学奇术!$A:$ZZ,30,FALSE)="蓄力技",$B$21,0))*(1+$BQ106)</f>
        <v>15268.1881995189</v>
      </c>
      <c r="O106" s="39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蓄力技",$B$21,0))*(1+$BQ106)</f>
        <v>13344.9359675204</v>
      </c>
      <c r="P106" s="40">
        <v>1</v>
      </c>
      <c r="Q106" s="41" t="s">
        <v>106</v>
      </c>
      <c r="R106" s="41" t="s">
        <v>93</v>
      </c>
      <c r="S106" s="41" t="s">
        <v>72</v>
      </c>
      <c r="T106" s="41" t="s">
        <v>72</v>
      </c>
      <c r="U106" s="41" t="s">
        <v>72</v>
      </c>
      <c r="V106" s="41" t="s">
        <v>72</v>
      </c>
      <c r="W106" s="41" t="s">
        <v>72</v>
      </c>
      <c r="X106" s="41" t="s">
        <v>165</v>
      </c>
      <c r="Y106" s="41" t="s">
        <v>81</v>
      </c>
      <c r="Z106" s="41" t="s">
        <v>72</v>
      </c>
      <c r="AA106" s="41" t="s">
        <v>72</v>
      </c>
      <c r="AB106" s="41" t="s">
        <v>72</v>
      </c>
      <c r="AC106" s="41" t="s">
        <v>72</v>
      </c>
      <c r="AD106" s="41" t="s">
        <v>72</v>
      </c>
      <c r="AE106" s="41" t="s">
        <v>75</v>
      </c>
      <c r="AF106" s="41" t="s">
        <v>76</v>
      </c>
      <c r="AG106" t="str">
        <f>VLOOKUP($Q106,武学奇术!$A:$ZZ,25,FALSE)</f>
        <v>拳甲</v>
      </c>
      <c r="AH106" s="27">
        <f>VLOOKUP($Q106,武学奇术!$A:$ZZ,26,FALSE)</f>
        <v>1.2876</v>
      </c>
      <c r="AI106" s="28">
        <f>VLOOKUP($Q106,武学奇术!$A:$ZZ,27,FALSE)*(1+IF(OR($AG106=$F$4,$AG106=$F$5),$B$22,0))</f>
        <v>501.2</v>
      </c>
      <c r="AJ106" s="27">
        <f>VLOOKUP($Q106,武学奇术!$A:$ZZ,28,FALSE)</f>
        <v>1.9313</v>
      </c>
      <c r="AK106" s="28">
        <f>VLOOKUP($Q106,武学奇术!$A:$ZZ,29,FALSE)*(1+IF(OR($AG106=$F$4,$AG106=$F$5),$B$22,0))</f>
        <v>273</v>
      </c>
      <c r="AL106" s="27" cm="1">
        <f t="array" ref="AL106">$G$3+IFERROR(VLOOKUP($AG106,$F$4:$G$7,2,FALSE),0)+VLOOKUP($Q106,武学奇术!$A:$ZZ,2,FALSE)+SUM(_xlfn.XLOOKUP($R106:$AF106,增益!$A:$A,增益!$B:$B,0))</f>
        <v>0.3241</v>
      </c>
      <c r="AM106" s="27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3742.006</v>
      </c>
      <c r="AO106" cm="1">
        <f t="array" ref="AO106">$E$10*(1+$AM106)+VLOOKUP($Q106,武学奇术!$A:$ZZ,4,FALSE)+SUM(_xlfn.XLOOKUP($R106:$AF106,增益!$A:$A,增益!$D:$D,0))-$I$2</f>
        <v>3742.006</v>
      </c>
      <c r="AP106" s="33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0.217</v>
      </c>
      <c r="AQ106" s="33" cm="1">
        <f t="array" ref="AQ106">$G$10+VLOOKUP($Q106,武学奇术!$A:$ZZ,7,FALSE)+SUM(_xlfn.XLOOKUP(R106:AF106,增益!$A:$A,增益!$G:$G,0))</f>
        <v>0.09</v>
      </c>
      <c r="AR106" s="27" cm="1">
        <f t="array" ref="AR106">VLOOKUP($Q106,武学奇术!$A:$ZZ,8,FALSE)+SUM(_xlfn.XLOOKUP(R106:AF106,增益!$A:$A,增益!$H:$H,0))</f>
        <v>0</v>
      </c>
      <c r="AS106">
        <f t="shared" si="12"/>
        <v>0</v>
      </c>
      <c r="AT106">
        <f t="shared" si="13"/>
        <v>0</v>
      </c>
      <c r="AU106" s="33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-0.14</v>
      </c>
      <c r="AV106" s="33" cm="1">
        <f t="array" ref="AV106">$G$11+VLOOKUP($Q106,武学奇术!$A:$ZZ,10,FALSE)+SUM(_xlfn.XLOOKUP(R106:AF106,增益!$A:$A,增益!$J:$J,0))</f>
        <v>0</v>
      </c>
      <c r="AW106">
        <f t="shared" si="14"/>
        <v>0</v>
      </c>
      <c r="AX106">
        <f t="shared" si="15"/>
        <v>0</v>
      </c>
      <c r="AY106" s="33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-0.14</v>
      </c>
      <c r="AZ106" s="33" cm="1">
        <f t="array" ref="AZ106">$G$12+VLOOKUP($Q106,武学奇术!$A:$ZZ,12,FALSE)+SUM(_xlfn.XLOOKUP(R106:AF106,增益!$A:$A,增益!$L:$L,0))</f>
        <v>0</v>
      </c>
      <c r="BA106">
        <f t="shared" si="16"/>
        <v>0</v>
      </c>
      <c r="BB106">
        <f t="shared" si="17"/>
        <v>0</v>
      </c>
      <c r="BC106" s="33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-0.14</v>
      </c>
      <c r="BD106" s="33" cm="1">
        <f t="array" ref="BD106">$G$13+VLOOKUP($Q106,武学奇术!$A:$ZZ,14,FALSE)+SUM(_xlfn.XLOOKUP(R106:AF106,增益!$A:$A,增益!$N:$N,0))</f>
        <v>0</v>
      </c>
      <c r="BE106">
        <f t="shared" si="18"/>
        <v>570.28</v>
      </c>
      <c r="BF106">
        <f t="shared" si="19"/>
        <v>1582.156</v>
      </c>
      <c r="BG106" s="33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0.08</v>
      </c>
      <c r="BH106" s="33" cm="1">
        <f t="array" ref="BH106">$G$14+VLOOKUP($Q106,武学奇术!$A:$ZZ,16,FALSE)+SUM(_xlfn.XLOOKUP(R106:AF106,增益!$A:$A,增益!$P:$P,0))</f>
        <v>0.24</v>
      </c>
      <c r="BI106" s="27">
        <f>MIN(IF(VLOOKUP($Q106,武学奇术!$A:$ZZ,23,FALSE)=1,100%,$B$8),100%)</f>
        <v>1</v>
      </c>
      <c r="BJ106" s="27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+MIN(IF(VLOOKUP($Q106,武学奇术!$A:$ZZ,32,FALSE)=1,IF(VLOOKUP($Q106,武学奇术!$A:$ZZ,24,FALSE)=1,100%,MIN(40%,$B$10+VLOOKUP($Q106,武学奇术!$A:$ZZ,19,FALSE)+SUM(_xlfn.XLOOKUP(R106:AF106,增益!$A:$A,增益!$S:$S,0)))+$B$12+SUM(_xlfn.XLOOKUP(R106:AF106,增益!$A:$A,增益!$V:$V,0))),0),12%)</f>
        <v>0.918</v>
      </c>
      <c r="BK106" s="27" cm="1">
        <f t="array" ref="BK106">1+$B$13+VLOOKUP($Q106,武学奇术!$A:$ZZ,18,FALSE)+SUM(_xlfn.XLOOKUP(R106:AF106,增益!$A:$A,增益!$R:$R,0))</f>
        <v>1.64</v>
      </c>
      <c r="BL106" s="27" cm="1">
        <f t="array" ref="BL106">MAX(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-IF(VLOOKUP($Q106,武学奇术!$A:$ZZ,32,FALSE)=1,12%,0),0)</f>
        <v>0.0895</v>
      </c>
      <c r="BM106" s="27" cm="1">
        <f t="array" ref="BM106">1+$B$14+VLOOKUP($Q106,武学奇术!$A:$ZZ,20,FALSE)+SUM(_xlfn.XLOOKUP(R106:AF106,增益!$A:$A,增益!$T:$T,0))</f>
        <v>1.35</v>
      </c>
      <c r="BN106" s="27">
        <f t="shared" si="20"/>
        <v>0.9105</v>
      </c>
      <c r="BO106" s="27">
        <f t="shared" si="21"/>
        <v>0</v>
      </c>
      <c r="BP106" s="27">
        <f>IF(VLOOKUP($Q106,武学奇术!$A:$ZZ,22,FALSE)=1,0,(1-$BI106))*(1-$BL106)</f>
        <v>0</v>
      </c>
      <c r="BQ106" s="27" cm="1">
        <f t="array" ref="BQ106">SUM(_xlfn.XLOOKUP(R106:AF106,增益!$A:$A,增益!$W:$W,0))+$I$5</f>
        <v>0.11</v>
      </c>
    </row>
    <row r="107" spans="11:69">
      <c r="K107" s="39">
        <f t="shared" si="11"/>
        <v>58556.5692180294</v>
      </c>
      <c r="L107" s="39">
        <f>((($AN107+($AO107-$AN107)*IF(VLOOKUP($Q107,武学奇术!$A:$ZZ,31,FALSE)=1,$F$18,0.5))*$AH107+$AI107)*(1+$AP107)*(1+$AQ107)+(($AS107+($AT107-$AS107)*IF(VLOOKUP($Q107,武学奇术!$A:$ZZ,31,FALSE)=1,$F$18,0.5))*IF($G$1="鸣金",$AJ107,$AH107)+IF($G$1="鸣金",$AK107*1.5,0))*(1+$AU107)*(1+$AV107)+(($AW107+($AX107-$AW107)*IF(VLOOKUP($Q107,武学奇术!$A:$ZZ,31,FALSE)=1,$F$18,0.5))*IF($G$1="裂石",$AJ107,$AH107)+IF($G$1="裂石",$AK107*1.5,0))*(1+$AY107)*(1+$AZ107)+(($BA107+($BB107-$BA107)*IF(VLOOKUP($Q107,武学奇术!$A:$ZZ,31,FALSE)=1,$F$18,0.5))*IF($G$1="牵丝",$AJ107,$AH107)+IF($G$1="牵丝",$AK107*1.5,0))*(1+$BC107)*(1+$BD107)+(($BE107+($BF107-$BE107)*IF(VLOOKUP($Q107,武学奇术!$A:$ZZ,31,FALSE)=1,$F$18,0.5))*IF($G$1="破竹",$AJ107,$AH107)+IF($G$1="破竹",$AK107*1.5,0))*(1+$BG107)*(1+$BH107))*(1+$AL107)*$BK107*$P107*(1+IF(VLOOKUP($Q107,武学奇术!$A:$ZZ,30,FALSE)="蓄力技",$B$21,0))*(1+$BQ107)</f>
        <v>59649.1799040454</v>
      </c>
      <c r="M107" s="39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蓄力技",$B$21,0))*(1+$BQ107)</f>
        <v>47441.2392781681</v>
      </c>
      <c r="N107" s="39">
        <f>((($AN107+($AO107-$AN107)*IF(VLOOKUP($Q107,武学奇术!$A:$ZZ,31,FALSE)=1,$F$18,0.5))*$AH107+$AI107)*(1+$AP107)*(1+$AQ107)+(($AS107+($AT107-$AS107)*IF(VLOOKUP($Q107,武学奇术!$A:$ZZ,31,FALSE)=1,$F$18,0.5))*IF($G$1="鸣金",$AJ107,$AH107)+IF($G$1="鸣金",$AK107*1.5,0))*(1+$AU107)*(1+$AV107)+(($AW107+($AX107-$AW107)*IF(VLOOKUP($Q107,武学奇术!$A:$ZZ,31,FALSE)=1,$F$18,0.5))*IF($G$1="裂石",$AJ107,$AH107)+IF($G$1="裂石",$AK107*1.5,0))*(1+$AY107)*(1+$AZ107)+(($BA107+($BB107-$BA107)*IF(VLOOKUP($Q107,武学奇术!$A:$ZZ,31,FALSE)=1,$F$18,0.5))*IF($G$1="牵丝",$AJ107,$AH107)+IF($G$1="牵丝",$AK107*1.5,0))*(1+$BC107)*(1+$BD107)+(($BE107+($BF107-$BE107)*IF(VLOOKUP($Q107,武学奇术!$A:$ZZ,31,FALSE)=1,$F$18,0.5))*IF($G$1="破竹",$AJ107,$AH107)+IF($G$1="破竹",$AK107*1.5,0))*(1+$BG107)*(1+$BH107))*(1+$AL107)*$P107*(1+IF(VLOOKUP($Q107,武学奇术!$A:$ZZ,30,FALSE)="蓄力技",$B$21,0))*(1+$BQ107)</f>
        <v>30746.9999505389</v>
      </c>
      <c r="O107" s="39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蓄力技",$B$21,0))*(1+$BQ107)</f>
        <v>26352.3411765088</v>
      </c>
      <c r="P107" s="40">
        <v>1</v>
      </c>
      <c r="Q107" s="41" t="s">
        <v>108</v>
      </c>
      <c r="R107" s="41" t="s">
        <v>93</v>
      </c>
      <c r="S107" s="41" t="s">
        <v>72</v>
      </c>
      <c r="T107" s="41" t="s">
        <v>72</v>
      </c>
      <c r="U107" s="41" t="s">
        <v>72</v>
      </c>
      <c r="V107" s="41" t="s">
        <v>72</v>
      </c>
      <c r="W107" s="41" t="s">
        <v>72</v>
      </c>
      <c r="X107" s="41" t="s">
        <v>165</v>
      </c>
      <c r="Y107" s="41" t="s">
        <v>81</v>
      </c>
      <c r="Z107" s="41" t="s">
        <v>101</v>
      </c>
      <c r="AA107" s="41" t="s">
        <v>72</v>
      </c>
      <c r="AB107" s="41" t="s">
        <v>72</v>
      </c>
      <c r="AC107" s="41" t="s">
        <v>72</v>
      </c>
      <c r="AD107" s="41" t="s">
        <v>72</v>
      </c>
      <c r="AE107" s="41" t="s">
        <v>75</v>
      </c>
      <c r="AF107" s="41" t="s">
        <v>76</v>
      </c>
      <c r="AG107" t="str">
        <f>VLOOKUP($Q107,武学奇术!$A:$ZZ,25,FALSE)</f>
        <v>拳甲</v>
      </c>
      <c r="AH107" s="27">
        <f>VLOOKUP($Q107,武学奇术!$A:$ZZ,26,FALSE)</f>
        <v>2.33376</v>
      </c>
      <c r="AI107" s="28">
        <f>VLOOKUP($Q107,武学奇术!$A:$ZZ,27,FALSE)*(1+IF(OR($AG107=$F$4,$AG107=$F$5),$B$22,0))</f>
        <v>0</v>
      </c>
      <c r="AJ107" s="27">
        <f>VLOOKUP($Q107,武学奇术!$A:$ZZ,28,FALSE)</f>
        <v>3.50064</v>
      </c>
      <c r="AK107" s="28">
        <f>VLOOKUP($Q107,武学奇术!$A:$ZZ,29,FALSE)*(1+IF(OR($AG107=$F$4,$AG107=$F$5),$B$22,0))</f>
        <v>0</v>
      </c>
      <c r="AL107" s="27" cm="1">
        <f t="array" ref="AL107">$G$3+IFERROR(VLOOKUP($AG107,$F$4:$G$7,2,FALSE),0)+VLOOKUP($Q107,武学奇术!$A:$ZZ,2,FALSE)+SUM(_xlfn.XLOOKUP($R107:$AF107,增益!$A:$A,增益!$B:$B,0))</f>
        <v>0.6241</v>
      </c>
      <c r="AM107" s="27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3742.006</v>
      </c>
      <c r="AO107" cm="1">
        <f t="array" ref="AO107">$E$10*(1+$AM107)+VLOOKUP($Q107,武学奇术!$A:$ZZ,4,FALSE)+SUM(_xlfn.XLOOKUP($R107:$AF107,增益!$A:$A,增益!$D:$D,0))-$I$2</f>
        <v>3742.006</v>
      </c>
      <c r="AP107" s="33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0.247</v>
      </c>
      <c r="AQ107" s="33" cm="1">
        <f t="array" ref="AQ107">$G$10+VLOOKUP($Q107,武学奇术!$A:$ZZ,7,FALSE)+SUM(_xlfn.XLOOKUP(R107:AF107,增益!$A:$A,增益!$G:$G,0))</f>
        <v>0.09</v>
      </c>
      <c r="AR107" s="27" cm="1">
        <f t="array" ref="AR107">VLOOKUP($Q107,武学奇术!$A:$ZZ,8,FALSE)+SUM(_xlfn.XLOOKUP(R107:AF107,增益!$A:$A,增益!$H:$H,0))</f>
        <v>0</v>
      </c>
      <c r="AS107">
        <f t="shared" si="12"/>
        <v>0</v>
      </c>
      <c r="AT107">
        <f t="shared" si="13"/>
        <v>0</v>
      </c>
      <c r="AU107" s="33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-0.08</v>
      </c>
      <c r="AV107" s="33" cm="1">
        <f t="array" ref="AV107">$G$11+VLOOKUP($Q107,武学奇术!$A:$ZZ,10,FALSE)+SUM(_xlfn.XLOOKUP(R107:AF107,增益!$A:$A,增益!$J:$J,0))</f>
        <v>0</v>
      </c>
      <c r="AW107">
        <f t="shared" si="14"/>
        <v>0</v>
      </c>
      <c r="AX107">
        <f t="shared" si="15"/>
        <v>0</v>
      </c>
      <c r="AY107" s="33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-0.08</v>
      </c>
      <c r="AZ107" s="33" cm="1">
        <f t="array" ref="AZ107">$G$12+VLOOKUP($Q107,武学奇术!$A:$ZZ,12,FALSE)+SUM(_xlfn.XLOOKUP(R107:AF107,增益!$A:$A,增益!$L:$L,0))</f>
        <v>0</v>
      </c>
      <c r="BA107">
        <f t="shared" si="16"/>
        <v>0</v>
      </c>
      <c r="BB107">
        <f t="shared" si="17"/>
        <v>0</v>
      </c>
      <c r="BC107" s="33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-0.08</v>
      </c>
      <c r="BD107" s="33" cm="1">
        <f t="array" ref="BD107">$G$13+VLOOKUP($Q107,武学奇术!$A:$ZZ,14,FALSE)+SUM(_xlfn.XLOOKUP(R107:AF107,增益!$A:$A,增益!$N:$N,0))</f>
        <v>0</v>
      </c>
      <c r="BE107">
        <f t="shared" si="18"/>
        <v>570.28</v>
      </c>
      <c r="BF107">
        <f t="shared" si="19"/>
        <v>1582.156</v>
      </c>
      <c r="BG107" s="33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0.11</v>
      </c>
      <c r="BH107" s="33" cm="1">
        <f t="array" ref="BH107">$G$14+VLOOKUP($Q107,武学奇术!$A:$ZZ,16,FALSE)+SUM(_xlfn.XLOOKUP(R107:AF107,增益!$A:$A,增益!$P:$P,0))</f>
        <v>0.24</v>
      </c>
      <c r="BI107" s="27">
        <f>MIN(IF(VLOOKUP($Q107,武学奇术!$A:$ZZ,23,FALSE)=1,100%,$B$8),100%)</f>
        <v>1</v>
      </c>
      <c r="BJ107" s="27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+MIN(IF(VLOOKUP($Q107,武学奇术!$A:$ZZ,32,FALSE)=1,IF(VLOOKUP($Q107,武学奇术!$A:$ZZ,24,FALSE)=1,100%,MIN(40%,$B$10+VLOOKUP($Q107,武学奇术!$A:$ZZ,19,FALSE)+SUM(_xlfn.XLOOKUP(R107:AF107,增益!$A:$A,增益!$S:$S,0)))+$B$12+SUM(_xlfn.XLOOKUP(R107:AF107,增益!$A:$A,增益!$V:$V,0))),0),12%)</f>
        <v>0.918</v>
      </c>
      <c r="BK107" s="27" cm="1">
        <f t="array" ref="BK107">1+$B$13+VLOOKUP($Q107,武学奇术!$A:$ZZ,18,FALSE)+SUM(_xlfn.XLOOKUP(R107:AF107,增益!$A:$A,增益!$R:$R,0))</f>
        <v>1.94</v>
      </c>
      <c r="BL107" s="27" cm="1">
        <f t="array" ref="BL107">MAX(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-IF(VLOOKUP($Q107,武学奇术!$A:$ZZ,32,FALSE)=1,12%,0),0)</f>
        <v>0.0895</v>
      </c>
      <c r="BM107" s="27" cm="1">
        <f t="array" ref="BM107">1+$B$14+VLOOKUP($Q107,武学奇术!$A:$ZZ,20,FALSE)+SUM(_xlfn.XLOOKUP(R107:AF107,增益!$A:$A,增益!$T:$T,0))</f>
        <v>1.35</v>
      </c>
      <c r="BN107" s="27">
        <f t="shared" si="20"/>
        <v>0.9105</v>
      </c>
      <c r="BO107" s="27">
        <f t="shared" si="21"/>
        <v>0</v>
      </c>
      <c r="BP107" s="27">
        <f>IF(VLOOKUP($Q107,武学奇术!$A:$ZZ,22,FALSE)=1,0,(1-$BI107))*(1-$BL107)</f>
        <v>0</v>
      </c>
      <c r="BQ107" s="27" cm="1">
        <f t="array" ref="BQ107">SUM(_xlfn.XLOOKUP(R107:AF107,增益!$A:$A,增益!$W:$W,0))+$I$5</f>
        <v>0.11</v>
      </c>
    </row>
    <row r="108" spans="11:69">
      <c r="K108" s="39">
        <f t="shared" si="11"/>
        <v>902429.216230952</v>
      </c>
      <c r="L108" s="39">
        <f>((($AN108+($AO108-$AN108)*IF(VLOOKUP($Q108,武学奇术!$A:$ZZ,31,FALSE)=1,$F$18,0.5))*$AH108+$AI108)*(1+$AP108)*(1+$AQ108)+(($AS108+($AT108-$AS108)*IF(VLOOKUP($Q108,武学奇术!$A:$ZZ,31,FALSE)=1,$F$18,0.5))*IF($G$1="鸣金",$AJ108,$AH108)+IF($G$1="鸣金",$AK108*1.5,0))*(1+$AU108)*(1+$AV108)+(($AW108+($AX108-$AW108)*IF(VLOOKUP($Q108,武学奇术!$A:$ZZ,31,FALSE)=1,$F$18,0.5))*IF($G$1="裂石",$AJ108,$AH108)+IF($G$1="裂石",$AK108*1.5,0))*(1+$AY108)*(1+$AZ108)+(($BA108+($BB108-$BA108)*IF(VLOOKUP($Q108,武学奇术!$A:$ZZ,31,FALSE)=1,$F$18,0.5))*IF($G$1="牵丝",$AJ108,$AH108)+IF($G$1="牵丝",$AK108*1.5,0))*(1+$BC108)*(1+$BD108)+(($BE108+($BF108-$BE108)*IF(VLOOKUP($Q108,武学奇术!$A:$ZZ,31,FALSE)=1,$F$18,0.5))*IF($G$1="破竹",$AJ108,$AH108)+IF($G$1="破竹",$AK108*1.5,0))*(1+$BG108)*(1+$BH108))*(1+$AL108)*$BK108*$P108*(1+IF(VLOOKUP($Q108,武学奇术!$A:$ZZ,30,FALSE)="蓄力技",$B$21,0))*(1+$BQ108)</f>
        <v>902429.216230952</v>
      </c>
      <c r="M108" s="39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蓄力技",$B$21,0))*(1+$BQ108)</f>
        <v>566920.1878137</v>
      </c>
      <c r="N108" s="39">
        <f>((($AN108+($AO108-$AN108)*IF(VLOOKUP($Q108,武学奇术!$A:$ZZ,31,FALSE)=1,$F$18,0.5))*$AH108+$AI108)*(1+$AP108)*(1+$AQ108)+(($AS108+($AT108-$AS108)*IF(VLOOKUP($Q108,武学奇术!$A:$ZZ,31,FALSE)=1,$F$18,0.5))*IF($G$1="鸣金",$AJ108,$AH108)+IF($G$1="鸣金",$AK108*1.5,0))*(1+$AU108)*(1+$AV108)+(($AW108+($AX108-$AW108)*IF(VLOOKUP($Q108,武学奇术!$A:$ZZ,31,FALSE)=1,$F$18,0.5))*IF($G$1="裂石",$AJ108,$AH108)+IF($G$1="裂石",$AK108*1.5,0))*(1+$AY108)*(1+$AZ108)+(($BA108+($BB108-$BA108)*IF(VLOOKUP($Q108,武学奇术!$A:$ZZ,31,FALSE)=1,$F$18,0.5))*IF($G$1="牵丝",$AJ108,$AH108)+IF($G$1="牵丝",$AK108*1.5,0))*(1+$BC108)*(1+$BD108)+(($BE108+($BF108-$BE108)*IF(VLOOKUP($Q108,武学奇术!$A:$ZZ,31,FALSE)=1,$F$18,0.5))*IF($G$1="破竹",$AJ108,$AH108)+IF($G$1="破竹",$AK108*1.5,0))*(1+$BG108)*(1+$BH108))*(1+$AL108)*$P108*(1+IF(VLOOKUP($Q108,武学奇术!$A:$ZZ,30,FALSE)="蓄力技",$B$21,0))*(1+$BQ108)</f>
        <v>377585.446121737</v>
      </c>
      <c r="O108" s="39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蓄力技",$B$21,0))*(1+$BQ108)</f>
        <v>335230.012381474</v>
      </c>
      <c r="P108" s="40">
        <v>1</v>
      </c>
      <c r="Q108" s="41" t="s">
        <v>125</v>
      </c>
      <c r="R108" s="41" t="s">
        <v>93</v>
      </c>
      <c r="S108" s="41" t="s">
        <v>118</v>
      </c>
      <c r="T108" s="41" t="s">
        <v>119</v>
      </c>
      <c r="U108" s="41" t="s">
        <v>72</v>
      </c>
      <c r="V108" s="41" t="s">
        <v>72</v>
      </c>
      <c r="W108" s="41" t="s">
        <v>72</v>
      </c>
      <c r="X108" s="41" t="s">
        <v>165</v>
      </c>
      <c r="Y108" s="41" t="s">
        <v>72</v>
      </c>
      <c r="Z108" s="41" t="s">
        <v>101</v>
      </c>
      <c r="AA108" s="41" t="s">
        <v>72</v>
      </c>
      <c r="AB108" s="41" t="s">
        <v>72</v>
      </c>
      <c r="AC108" s="41" t="s">
        <v>72</v>
      </c>
      <c r="AD108" s="41" t="s">
        <v>72</v>
      </c>
      <c r="AE108" s="41" t="s">
        <v>75</v>
      </c>
      <c r="AF108" s="41" t="s">
        <v>76</v>
      </c>
      <c r="AG108" t="str">
        <f>VLOOKUP($Q108,武学奇术!$A:$ZZ,25,FALSE)</f>
        <v>拳甲</v>
      </c>
      <c r="AH108" s="27">
        <f>VLOOKUP($Q108,武学奇术!$A:$ZZ,26,FALSE)</f>
        <v>16.8107</v>
      </c>
      <c r="AI108" s="28">
        <f>VLOOKUP($Q108,武学奇术!$A:$ZZ,27,FALSE)*(1+IF(OR($AG108=$F$4,$AG108=$F$5),$B$22,0))</f>
        <v>6505.8</v>
      </c>
      <c r="AJ108" s="27">
        <f>VLOOKUP($Q108,武学奇术!$A:$ZZ,28,FALSE)</f>
        <v>25.2161</v>
      </c>
      <c r="AK108" s="28">
        <f>VLOOKUP($Q108,武学奇术!$A:$ZZ,29,FALSE)*(1+IF(OR($AG108=$F$4,$AG108=$F$5),$B$22,0))</f>
        <v>3546.2</v>
      </c>
      <c r="AL108" s="27" cm="1">
        <f t="array" ref="AL108">$G$3+IFERROR(VLOOKUP($AG108,$F$4:$G$7,2,FALSE),0)+VLOOKUP($Q108,武学奇术!$A:$ZZ,2,FALSE)+SUM(_xlfn.XLOOKUP($R108:$AF108,增益!$A:$A,增益!$B:$B,0))</f>
        <v>0.7741</v>
      </c>
      <c r="AM108" s="27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3742.006</v>
      </c>
      <c r="AO108" cm="1">
        <f t="array" ref="AO108">$E$10*(1+$AM108)+VLOOKUP($Q108,武学奇术!$A:$ZZ,4,FALSE)+SUM(_xlfn.XLOOKUP($R108:$AF108,增益!$A:$A,增益!$D:$D,0))-$I$2</f>
        <v>3742.006</v>
      </c>
      <c r="AP108" s="33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0.372</v>
      </c>
      <c r="AQ108" s="33" cm="1">
        <f t="array" ref="AQ108">$G$10+VLOOKUP($Q108,武学奇术!$A:$ZZ,7,FALSE)+SUM(_xlfn.XLOOKUP(R108:AF108,增益!$A:$A,增益!$G:$G,0))</f>
        <v>0.09</v>
      </c>
      <c r="AR108" s="27" cm="1">
        <f t="array" ref="AR108">VLOOKUP($Q108,武学奇术!$A:$ZZ,8,FALSE)+SUM(_xlfn.XLOOKUP(R108:AF108,增益!$A:$A,增益!$H:$H,0))</f>
        <v>0</v>
      </c>
      <c r="AS108">
        <f t="shared" si="12"/>
        <v>0</v>
      </c>
      <c r="AT108">
        <f t="shared" si="13"/>
        <v>0</v>
      </c>
      <c r="AU108" s="33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-0.24</v>
      </c>
      <c r="AV108" s="33" cm="1">
        <f t="array" ref="AV108">$G$11+VLOOKUP($Q108,武学奇术!$A:$ZZ,10,FALSE)+SUM(_xlfn.XLOOKUP(R108:AF108,增益!$A:$A,增益!$J:$J,0))</f>
        <v>0</v>
      </c>
      <c r="AW108">
        <f t="shared" si="14"/>
        <v>0</v>
      </c>
      <c r="AX108">
        <f t="shared" si="15"/>
        <v>0</v>
      </c>
      <c r="AY108" s="33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-0.24</v>
      </c>
      <c r="AZ108" s="33" cm="1">
        <f t="array" ref="AZ108">$G$12+VLOOKUP($Q108,武学奇术!$A:$ZZ,12,FALSE)+SUM(_xlfn.XLOOKUP(R108:AF108,增益!$A:$A,增益!$L:$L,0))</f>
        <v>0</v>
      </c>
      <c r="BA108">
        <f t="shared" si="16"/>
        <v>0</v>
      </c>
      <c r="BB108">
        <f t="shared" si="17"/>
        <v>0</v>
      </c>
      <c r="BC108" s="33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-0.24</v>
      </c>
      <c r="BD108" s="33" cm="1">
        <f t="array" ref="BD108">$G$13+VLOOKUP($Q108,武学奇术!$A:$ZZ,14,FALSE)+SUM(_xlfn.XLOOKUP(R108:AF108,增益!$A:$A,增益!$N:$N,0))</f>
        <v>0</v>
      </c>
      <c r="BE108">
        <f t="shared" si="18"/>
        <v>570.28</v>
      </c>
      <c r="BF108">
        <f t="shared" si="19"/>
        <v>1582.156</v>
      </c>
      <c r="BG108" s="33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0.03</v>
      </c>
      <c r="BH108" s="33" cm="1">
        <f t="array" ref="BH108">$G$14+VLOOKUP($Q108,武学奇术!$A:$ZZ,16,FALSE)+SUM(_xlfn.XLOOKUP(R108:AF108,增益!$A:$A,增益!$P:$P,0))</f>
        <v>0.24</v>
      </c>
      <c r="BI108" s="27">
        <f>MIN(IF(VLOOKUP($Q108,武学奇术!$A:$ZZ,23,FALSE)=1,100%,$B$8),100%)</f>
        <v>1</v>
      </c>
      <c r="BJ108" s="27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+MIN(IF(VLOOKUP($Q108,武学奇术!$A:$ZZ,32,FALSE)=1,IF(VLOOKUP($Q108,武学奇术!$A:$ZZ,24,FALSE)=1,100%,MIN(40%,$B$10+VLOOKUP($Q108,武学奇术!$A:$ZZ,19,FALSE)+SUM(_xlfn.XLOOKUP(R108:AF108,增益!$A:$A,增益!$S:$S,0)))+$B$12+SUM(_xlfn.XLOOKUP(R108:AF108,增益!$A:$A,增益!$V:$V,0))),0),12%)</f>
        <v>1.0075</v>
      </c>
      <c r="BK108" s="27" cm="1">
        <f t="array" ref="BK108">1+$B$13+VLOOKUP($Q108,武学奇术!$A:$ZZ,18,FALSE)+SUM(_xlfn.XLOOKUP(R108:AF108,增益!$A:$A,增益!$R:$R,0))</f>
        <v>2.39</v>
      </c>
      <c r="BL108" s="27" cm="1">
        <f t="array" ref="BL108">MAX(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-IF(VLOOKUP($Q108,武学奇术!$A:$ZZ,32,FALSE)=1,12%,0),0)</f>
        <v>0</v>
      </c>
      <c r="BM108" s="27" cm="1">
        <f t="array" ref="BM108">1+$B$14+VLOOKUP($Q108,武学奇术!$A:$ZZ,20,FALSE)+SUM(_xlfn.XLOOKUP(R108:AF108,增益!$A:$A,增益!$T:$T,0))</f>
        <v>1.35</v>
      </c>
      <c r="BN108" s="27">
        <f t="shared" si="20"/>
        <v>1</v>
      </c>
      <c r="BO108" s="27">
        <f t="shared" si="21"/>
        <v>0</v>
      </c>
      <c r="BP108" s="27">
        <f>IF(VLOOKUP($Q108,武学奇术!$A:$ZZ,22,FALSE)=1,0,(1-$BI108))*(1-$BL108)</f>
        <v>0</v>
      </c>
      <c r="BQ108" s="27" cm="1">
        <f t="array" ref="BQ108">SUM(_xlfn.XLOOKUP(R108:AF108,增益!$A:$A,增益!$W:$W,0))+$I$5</f>
        <v>0.11</v>
      </c>
    </row>
    <row r="109" spans="11:69">
      <c r="K109" s="39">
        <f t="shared" si="11"/>
        <v>347446.690503944</v>
      </c>
      <c r="L109" s="39">
        <f>((($AN109+($AO109-$AN109)*IF(VLOOKUP($Q109,武学奇术!$A:$ZZ,31,FALSE)=1,$F$18,0.5))*$AH109+$AI109)*(1+$AP109)*(1+$AQ109)+(($AS109+($AT109-$AS109)*IF(VLOOKUP($Q109,武学奇术!$A:$ZZ,31,FALSE)=1,$F$18,0.5))*IF($G$1="鸣金",$AJ109,$AH109)+IF($G$1="鸣金",$AK109*1.5,0))*(1+$AU109)*(1+$AV109)+(($AW109+($AX109-$AW109)*IF(VLOOKUP($Q109,武学奇术!$A:$ZZ,31,FALSE)=1,$F$18,0.5))*IF($G$1="裂石",$AJ109,$AH109)+IF($G$1="裂石",$AK109*1.5,0))*(1+$AY109)*(1+$AZ109)+(($BA109+($BB109-$BA109)*IF(VLOOKUP($Q109,武学奇术!$A:$ZZ,31,FALSE)=1,$F$18,0.5))*IF($G$1="牵丝",$AJ109,$AH109)+IF($G$1="牵丝",$AK109*1.5,0))*(1+$BC109)*(1+$BD109)+(($BE109+($BF109-$BE109)*IF(VLOOKUP($Q109,武学奇术!$A:$ZZ,31,FALSE)=1,$F$18,0.5))*IF($G$1="破竹",$AJ109,$AH109)+IF($G$1="破竹",$AK109*1.5,0))*(1+$BG109)*(1+$BH109))*(1+$AL109)*$BK109*$P109*(1+IF(VLOOKUP($Q109,武学奇术!$A:$ZZ,30,FALSE)="蓄力技",$B$21,0))*(1+$BQ109)</f>
        <v>347446.690503944</v>
      </c>
      <c r="M109" s="39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蓄力技",$B$21,0))*(1+$BQ109)</f>
        <v>218270.920315498</v>
      </c>
      <c r="N109" s="39">
        <f>((($AN109+($AO109-$AN109)*IF(VLOOKUP($Q109,武学奇术!$A:$ZZ,31,FALSE)=1,$F$18,0.5))*$AH109+$AI109)*(1+$AP109)*(1+$AQ109)+(($AS109+($AT109-$AS109)*IF(VLOOKUP($Q109,武学奇术!$A:$ZZ,31,FALSE)=1,$F$18,0.5))*IF($G$1="鸣金",$AJ109,$AH109)+IF($G$1="鸣金",$AK109*1.5,0))*(1+$AU109)*(1+$AV109)+(($AW109+($AX109-$AW109)*IF(VLOOKUP($Q109,武学奇术!$A:$ZZ,31,FALSE)=1,$F$18,0.5))*IF($G$1="裂石",$AJ109,$AH109)+IF($G$1="裂石",$AK109*1.5,0))*(1+$AY109)*(1+$AZ109)+(($BA109+($BB109-$BA109)*IF(VLOOKUP($Q109,武学奇术!$A:$ZZ,31,FALSE)=1,$F$18,0.5))*IF($G$1="牵丝",$AJ109,$AH109)+IF($G$1="牵丝",$AK109*1.5,0))*(1+$BC109)*(1+$BD109)+(($BE109+($BF109-$BE109)*IF(VLOOKUP($Q109,武学奇术!$A:$ZZ,31,FALSE)=1,$F$18,0.5))*IF($G$1="破竹",$AJ109,$AH109)+IF($G$1="破竹",$AK109*1.5,0))*(1+$BG109)*(1+$BH109))*(1+$AL109)*$P109*(1+IF(VLOOKUP($Q109,武学奇术!$A:$ZZ,30,FALSE)="蓄力技",$B$21,0))*(1+$BQ109)</f>
        <v>145375.184311274</v>
      </c>
      <c r="O109" s="39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蓄力技",$B$21,0))*(1+$BQ109)</f>
        <v>129068.205425882</v>
      </c>
      <c r="P109" s="40">
        <v>1</v>
      </c>
      <c r="Q109" s="41" t="s">
        <v>129</v>
      </c>
      <c r="R109" s="41" t="s">
        <v>93</v>
      </c>
      <c r="S109" s="41" t="s">
        <v>118</v>
      </c>
      <c r="T109" s="41" t="s">
        <v>119</v>
      </c>
      <c r="U109" s="41" t="s">
        <v>72</v>
      </c>
      <c r="V109" s="41" t="s">
        <v>72</v>
      </c>
      <c r="W109" s="41" t="s">
        <v>72</v>
      </c>
      <c r="X109" s="41" t="s">
        <v>165</v>
      </c>
      <c r="Y109" s="41" t="s">
        <v>72</v>
      </c>
      <c r="Z109" s="41" t="s">
        <v>101</v>
      </c>
      <c r="AA109" s="41" t="s">
        <v>72</v>
      </c>
      <c r="AB109" s="41" t="s">
        <v>72</v>
      </c>
      <c r="AC109" s="41" t="s">
        <v>72</v>
      </c>
      <c r="AD109" s="41" t="s">
        <v>72</v>
      </c>
      <c r="AE109" s="41" t="s">
        <v>75</v>
      </c>
      <c r="AF109" s="41" t="s">
        <v>76</v>
      </c>
      <c r="AG109" t="str">
        <f>VLOOKUP($Q109,武学奇术!$A:$ZZ,25,FALSE)</f>
        <v>拳甲</v>
      </c>
      <c r="AH109" s="27">
        <f>VLOOKUP($Q109,武学奇术!$A:$ZZ,26,FALSE)</f>
        <v>6.4722</v>
      </c>
      <c r="AI109" s="28">
        <f>VLOOKUP($Q109,武学奇术!$A:$ZZ,27,FALSE)*(1+IF(OR($AG109=$F$4,$AG109=$F$5),$B$22,0))</f>
        <v>2504.88</v>
      </c>
      <c r="AJ109" s="27">
        <f>VLOOKUP($Q109,武学奇术!$A:$ZZ,28,FALSE)</f>
        <v>9.70828</v>
      </c>
      <c r="AK109" s="28">
        <f>VLOOKUP($Q109,武学奇术!$A:$ZZ,29,FALSE)*(1+IF(OR($AG109=$F$4,$AG109=$F$5),$B$22,0))</f>
        <v>1365.84</v>
      </c>
      <c r="AL109" s="27" cm="1">
        <f t="array" ref="AL109">$G$3+IFERROR(VLOOKUP($AG109,$F$4:$G$7,2,FALSE),0)+VLOOKUP($Q109,武学奇术!$A:$ZZ,2,FALSE)+SUM(_xlfn.XLOOKUP($R109:$AF109,增益!$A:$A,增益!$B:$B,0))</f>
        <v>0.7741</v>
      </c>
      <c r="AM109" s="27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3742.006</v>
      </c>
      <c r="AO109" cm="1">
        <f t="array" ref="AO109">$E$10*(1+$AM109)+VLOOKUP($Q109,武学奇术!$A:$ZZ,4,FALSE)+SUM(_xlfn.XLOOKUP($R109:$AF109,增益!$A:$A,增益!$D:$D,0))-$I$2</f>
        <v>3742.006</v>
      </c>
      <c r="AP109" s="33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0.372</v>
      </c>
      <c r="AQ109" s="33" cm="1">
        <f t="array" ref="AQ109">$G$10+VLOOKUP($Q109,武学奇术!$A:$ZZ,7,FALSE)+SUM(_xlfn.XLOOKUP(R109:AF109,增益!$A:$A,增益!$G:$G,0))</f>
        <v>0.09</v>
      </c>
      <c r="AR109" s="27" cm="1">
        <f t="array" ref="AR109">VLOOKUP($Q109,武学奇术!$A:$ZZ,8,FALSE)+SUM(_xlfn.XLOOKUP(R109:AF109,增益!$A:$A,增益!$H:$H,0))</f>
        <v>0</v>
      </c>
      <c r="AS109">
        <f t="shared" si="12"/>
        <v>0</v>
      </c>
      <c r="AT109">
        <f t="shared" si="13"/>
        <v>0</v>
      </c>
      <c r="AU109" s="33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-0.24</v>
      </c>
      <c r="AV109" s="33" cm="1">
        <f t="array" ref="AV109">$G$11+VLOOKUP($Q109,武学奇术!$A:$ZZ,10,FALSE)+SUM(_xlfn.XLOOKUP(R109:AF109,增益!$A:$A,增益!$J:$J,0))</f>
        <v>0</v>
      </c>
      <c r="AW109">
        <f t="shared" si="14"/>
        <v>0</v>
      </c>
      <c r="AX109">
        <f t="shared" si="15"/>
        <v>0</v>
      </c>
      <c r="AY109" s="33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-0.24</v>
      </c>
      <c r="AZ109" s="33" cm="1">
        <f t="array" ref="AZ109">$G$12+VLOOKUP($Q109,武学奇术!$A:$ZZ,12,FALSE)+SUM(_xlfn.XLOOKUP(R109:AF109,增益!$A:$A,增益!$L:$L,0))</f>
        <v>0</v>
      </c>
      <c r="BA109">
        <f t="shared" si="16"/>
        <v>0</v>
      </c>
      <c r="BB109">
        <f t="shared" si="17"/>
        <v>0</v>
      </c>
      <c r="BC109" s="33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-0.24</v>
      </c>
      <c r="BD109" s="33" cm="1">
        <f t="array" ref="BD109">$G$13+VLOOKUP($Q109,武学奇术!$A:$ZZ,14,FALSE)+SUM(_xlfn.XLOOKUP(R109:AF109,增益!$A:$A,增益!$N:$N,0))</f>
        <v>0</v>
      </c>
      <c r="BE109">
        <f t="shared" si="18"/>
        <v>570.28</v>
      </c>
      <c r="BF109">
        <f t="shared" si="19"/>
        <v>1582.156</v>
      </c>
      <c r="BG109" s="33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0.03</v>
      </c>
      <c r="BH109" s="33" cm="1">
        <f t="array" ref="BH109">$G$14+VLOOKUP($Q109,武学奇术!$A:$ZZ,16,FALSE)+SUM(_xlfn.XLOOKUP(R109:AF109,增益!$A:$A,增益!$P:$P,0))</f>
        <v>0.24</v>
      </c>
      <c r="BI109" s="27">
        <f>MIN(IF(VLOOKUP($Q109,武学奇术!$A:$ZZ,23,FALSE)=1,100%,$B$8),100%)</f>
        <v>1</v>
      </c>
      <c r="BJ109" s="27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+MIN(IF(VLOOKUP($Q109,武学奇术!$A:$ZZ,32,FALSE)=1,IF(VLOOKUP($Q109,武学奇术!$A:$ZZ,24,FALSE)=1,100%,MIN(40%,$B$10+VLOOKUP($Q109,武学奇术!$A:$ZZ,19,FALSE)+SUM(_xlfn.XLOOKUP(R109:AF109,增益!$A:$A,增益!$S:$S,0)))+$B$12+SUM(_xlfn.XLOOKUP(R109:AF109,增益!$A:$A,增益!$V:$V,0))),0),12%)</f>
        <v>1.0075</v>
      </c>
      <c r="BK109" s="27" cm="1">
        <f t="array" ref="BK109">1+$B$13+VLOOKUP($Q109,武学奇术!$A:$ZZ,18,FALSE)+SUM(_xlfn.XLOOKUP(R109:AF109,增益!$A:$A,增益!$R:$R,0))</f>
        <v>2.39</v>
      </c>
      <c r="BL109" s="27" cm="1">
        <f t="array" ref="BL109">MAX(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-IF(VLOOKUP($Q109,武学奇术!$A:$ZZ,32,FALSE)=1,12%,0),0)</f>
        <v>0</v>
      </c>
      <c r="BM109" s="27" cm="1">
        <f t="array" ref="BM109">1+$B$14+VLOOKUP($Q109,武学奇术!$A:$ZZ,20,FALSE)+SUM(_xlfn.XLOOKUP(R109:AF109,增益!$A:$A,增益!$T:$T,0))</f>
        <v>1.35</v>
      </c>
      <c r="BN109" s="27">
        <f t="shared" si="20"/>
        <v>1</v>
      </c>
      <c r="BO109" s="27">
        <f t="shared" si="21"/>
        <v>0</v>
      </c>
      <c r="BP109" s="27">
        <f>IF(VLOOKUP($Q109,武学奇术!$A:$ZZ,22,FALSE)=1,0,(1-$BI109))*(1-$BL109)</f>
        <v>0</v>
      </c>
      <c r="BQ109" s="27" cm="1">
        <f t="array" ref="BQ109">SUM(_xlfn.XLOOKUP(R109:AF109,增益!$A:$A,增益!$W:$W,0))+$I$5</f>
        <v>0.11</v>
      </c>
    </row>
    <row r="110" spans="11:69">
      <c r="K110" s="39">
        <f t="shared" si="11"/>
        <v>60434.8951544553</v>
      </c>
      <c r="L110" s="39">
        <f>((($AN110+($AO110-$AN110)*IF(VLOOKUP($Q110,武学奇术!$A:$ZZ,31,FALSE)=1,$F$18,0.5))*$AH110+$AI110)*(1+$AP110)*(1+$AQ110)+(($AS110+($AT110-$AS110)*IF(VLOOKUP($Q110,武学奇术!$A:$ZZ,31,FALSE)=1,$F$18,0.5))*IF($G$1="鸣金",$AJ110,$AH110)+IF($G$1="鸣金",$AK110*1.5,0))*(1+$AU110)*(1+$AV110)+(($AW110+($AX110-$AW110)*IF(VLOOKUP($Q110,武学奇术!$A:$ZZ,31,FALSE)=1,$F$18,0.5))*IF($G$1="裂石",$AJ110,$AH110)+IF($G$1="裂石",$AK110*1.5,0))*(1+$AY110)*(1+$AZ110)+(($BA110+($BB110-$BA110)*IF(VLOOKUP($Q110,武学奇术!$A:$ZZ,31,FALSE)=1,$F$18,0.5))*IF($G$1="牵丝",$AJ110,$AH110)+IF($G$1="牵丝",$AK110*1.5,0))*(1+$BC110)*(1+$BD110)+(($BE110+($BF110-$BE110)*IF(VLOOKUP($Q110,武学奇术!$A:$ZZ,31,FALSE)=1,$F$18,0.5))*IF($G$1="破竹",$AJ110,$AH110)+IF($G$1="破竹",$AK110*1.5,0))*(1+$BG110)*(1+$BH110))*(1+$AL110)*$BK110*$P110*(1+IF(VLOOKUP($Q110,武学奇术!$A:$ZZ,30,FALSE)="蓄力技",$B$21,0))*(1+$BQ110)</f>
        <v>60861.8694917785</v>
      </c>
      <c r="M110" s="39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蓄力技",$B$21,0))*(1+$BQ110)</f>
        <v>56091.2065049268</v>
      </c>
      <c r="N110" s="39">
        <f>((($AN110+($AO110-$AN110)*IF(VLOOKUP($Q110,武学奇术!$A:$ZZ,31,FALSE)=1,$F$18,0.5))*$AH110+$AI110)*(1+$AP110)*(1+$AQ110)+(($AS110+($AT110-$AS110)*IF(VLOOKUP($Q110,武学奇术!$A:$ZZ,31,FALSE)=1,$F$18,0.5))*IF($G$1="鸣金",$AJ110,$AH110)+IF($G$1="鸣金",$AK110*1.5,0))*(1+$AU110)*(1+$AV110)+(($AW110+($AX110-$AW110)*IF(VLOOKUP($Q110,武学奇术!$A:$ZZ,31,FALSE)=1,$F$18,0.5))*IF($G$1="裂石",$AJ110,$AH110)+IF($G$1="裂石",$AK110*1.5,0))*(1+$AY110)*(1+$AZ110)+(($BA110+($BB110-$BA110)*IF(VLOOKUP($Q110,武学奇术!$A:$ZZ,31,FALSE)=1,$F$18,0.5))*IF($G$1="牵丝",$AJ110,$AH110)+IF($G$1="牵丝",$AK110*1.5,0))*(1+$BC110)*(1+$BD110)+(($BE110+($BF110-$BE110)*IF(VLOOKUP($Q110,武学奇术!$A:$ZZ,31,FALSE)=1,$F$18,0.5))*IF($G$1="破竹",$AJ110,$AH110)+IF($G$1="破竹",$AK110*1.5,0))*(1+$BG110)*(1+$BH110))*(1+$AL110)*$P110*(1+IF(VLOOKUP($Q110,武学奇术!$A:$ZZ,30,FALSE)="蓄力技",$B$21,0))*(1+$BQ110)</f>
        <v>37110.8960315723</v>
      </c>
      <c r="O110" s="39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蓄力技",$B$21,0))*(1+$BQ110)</f>
        <v>32672.7502076432</v>
      </c>
      <c r="P110" s="40">
        <v>1</v>
      </c>
      <c r="Q110" s="41" t="s">
        <v>111</v>
      </c>
      <c r="R110" s="41" t="s">
        <v>93</v>
      </c>
      <c r="S110" s="41" t="s">
        <v>72</v>
      </c>
      <c r="T110" s="41" t="s">
        <v>119</v>
      </c>
      <c r="U110" s="41" t="s">
        <v>72</v>
      </c>
      <c r="V110" s="41" t="s">
        <v>176</v>
      </c>
      <c r="W110" s="41" t="s">
        <v>177</v>
      </c>
      <c r="X110" s="41" t="s">
        <v>165</v>
      </c>
      <c r="Y110" s="41" t="s">
        <v>72</v>
      </c>
      <c r="Z110" s="41" t="s">
        <v>72</v>
      </c>
      <c r="AA110" s="41" t="s">
        <v>72</v>
      </c>
      <c r="AB110" s="41" t="s">
        <v>72</v>
      </c>
      <c r="AC110" s="41" t="s">
        <v>72</v>
      </c>
      <c r="AD110" s="41" t="s">
        <v>72</v>
      </c>
      <c r="AE110" s="41" t="s">
        <v>75</v>
      </c>
      <c r="AF110" s="41" t="s">
        <v>76</v>
      </c>
      <c r="AG110" t="str">
        <f>VLOOKUP($Q110,武学奇术!$A:$ZZ,25,FALSE)</f>
        <v>拳甲</v>
      </c>
      <c r="AH110" s="27">
        <f>VLOOKUP($Q110,武学奇术!$A:$ZZ,26,FALSE)</f>
        <v>2.4421</v>
      </c>
      <c r="AI110" s="28">
        <f>VLOOKUP($Q110,武学奇术!$A:$ZZ,27,FALSE)*(1+IF(OR($AG110=$F$4,$AG110=$F$5),$B$22,0))</f>
        <v>945</v>
      </c>
      <c r="AJ110" s="27">
        <f>VLOOKUP($Q110,武学奇术!$A:$ZZ,28,FALSE)</f>
        <v>3.6634</v>
      </c>
      <c r="AK110" s="28">
        <f>VLOOKUP($Q110,武学奇术!$A:$ZZ,29,FALSE)*(1+IF(OR($AG110=$F$4,$AG110=$F$5),$B$22,0))</f>
        <v>512.4</v>
      </c>
      <c r="AL110" s="27" cm="1">
        <f t="array" ref="AL110">$G$3+IFERROR(VLOOKUP($AG110,$F$4:$G$7,2,FALSE),0)+VLOOKUP($Q110,武学奇术!$A:$ZZ,2,FALSE)+SUM(_xlfn.XLOOKUP($R110:$AF110,增益!$A:$A,增益!$B:$B,0))</f>
        <v>0.4741</v>
      </c>
      <c r="AM110" s="27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3742.006</v>
      </c>
      <c r="AO110" cm="1">
        <f t="array" ref="AO110">$E$10*(1+$AM110)+VLOOKUP($Q110,武学奇术!$A:$ZZ,4,FALSE)+SUM(_xlfn.XLOOKUP($R110:$AF110,增益!$A:$A,增益!$D:$D,0))-$I$2</f>
        <v>3742.006</v>
      </c>
      <c r="AP110" s="33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0.217</v>
      </c>
      <c r="AQ110" s="33" cm="1">
        <f t="array" ref="AQ110">$G$10+VLOOKUP($Q110,武学奇术!$A:$ZZ,7,FALSE)+SUM(_xlfn.XLOOKUP(R110:AF110,增益!$A:$A,增益!$G:$G,0))</f>
        <v>0.09</v>
      </c>
      <c r="AR110" s="27" cm="1">
        <f t="array" ref="AR110">VLOOKUP($Q110,武学奇术!$A:$ZZ,8,FALSE)+SUM(_xlfn.XLOOKUP(R110:AF110,增益!$A:$A,增益!$H:$H,0))</f>
        <v>0</v>
      </c>
      <c r="AS110">
        <f t="shared" si="12"/>
        <v>0</v>
      </c>
      <c r="AT110">
        <f t="shared" si="13"/>
        <v>0</v>
      </c>
      <c r="AU110" s="33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-0.3</v>
      </c>
      <c r="AV110" s="33" cm="1">
        <f t="array" ref="AV110">$G$11+VLOOKUP($Q110,武学奇术!$A:$ZZ,10,FALSE)+SUM(_xlfn.XLOOKUP(R110:AF110,增益!$A:$A,增益!$J:$J,0))</f>
        <v>0.1</v>
      </c>
      <c r="AW110">
        <f t="shared" si="14"/>
        <v>0</v>
      </c>
      <c r="AX110">
        <f t="shared" si="15"/>
        <v>0</v>
      </c>
      <c r="AY110" s="33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-0.3</v>
      </c>
      <c r="AZ110" s="33" cm="1">
        <f t="array" ref="AZ110">$G$12+VLOOKUP($Q110,武学奇术!$A:$ZZ,12,FALSE)+SUM(_xlfn.XLOOKUP(R110:AF110,增益!$A:$A,增益!$L:$L,0))</f>
        <v>0</v>
      </c>
      <c r="BA110">
        <f t="shared" si="16"/>
        <v>0</v>
      </c>
      <c r="BB110">
        <f t="shared" si="17"/>
        <v>0</v>
      </c>
      <c r="BC110" s="33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-0.3</v>
      </c>
      <c r="BD110" s="33" cm="1">
        <f t="array" ref="BD110">$G$13+VLOOKUP($Q110,武学奇术!$A:$ZZ,14,FALSE)+SUM(_xlfn.XLOOKUP(R110:AF110,增益!$A:$A,增益!$N:$N,0))</f>
        <v>0</v>
      </c>
      <c r="BE110">
        <f t="shared" si="18"/>
        <v>570.28</v>
      </c>
      <c r="BF110">
        <f t="shared" si="19"/>
        <v>1582.156</v>
      </c>
      <c r="BG110" s="33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0</v>
      </c>
      <c r="BH110" s="33" cm="1">
        <f t="array" ref="BH110">$G$14+VLOOKUP($Q110,武学奇术!$A:$ZZ,16,FALSE)+SUM(_xlfn.XLOOKUP(R110:AF110,增益!$A:$A,增益!$P:$P,0))</f>
        <v>0.24</v>
      </c>
      <c r="BI110" s="27">
        <f>MIN(IF(VLOOKUP($Q110,武学奇术!$A:$ZZ,23,FALSE)=1,100%,$B$8),100%)</f>
        <v>1</v>
      </c>
      <c r="BJ110" s="27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+MIN(IF(VLOOKUP($Q110,武学奇术!$A:$ZZ,32,FALSE)=1,IF(VLOOKUP($Q110,武学奇术!$A:$ZZ,24,FALSE)=1,100%,MIN(40%,$B$10+VLOOKUP($Q110,武学奇术!$A:$ZZ,19,FALSE)+SUM(_xlfn.XLOOKUP(R110:AF110,增益!$A:$A,增益!$S:$S,0)))+$B$12+SUM(_xlfn.XLOOKUP(R110:AF110,增益!$A:$A,增益!$V:$V,0))),0),12%)</f>
        <v>0.918</v>
      </c>
      <c r="BK110" s="27" cm="1">
        <f t="array" ref="BK110">1+$B$13+VLOOKUP($Q110,武学奇术!$A:$ZZ,18,FALSE)+SUM(_xlfn.XLOOKUP(R110:AF110,增益!$A:$A,增益!$R:$R,0))</f>
        <v>1.64</v>
      </c>
      <c r="BL110" s="27" cm="1">
        <f t="array" ref="BL110">MAX(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-IF(VLOOKUP($Q110,武学奇术!$A:$ZZ,32,FALSE)=1,12%,0),0)</f>
        <v>0.0895</v>
      </c>
      <c r="BM110" s="27" cm="1">
        <f t="array" ref="BM110">1+$B$14+VLOOKUP($Q110,武学奇术!$A:$ZZ,20,FALSE)+SUM(_xlfn.XLOOKUP(R110:AF110,增益!$A:$A,增益!$T:$T,0))</f>
        <v>1.35</v>
      </c>
      <c r="BN110" s="27">
        <f t="shared" si="20"/>
        <v>0.9105</v>
      </c>
      <c r="BO110" s="27">
        <f t="shared" si="21"/>
        <v>0</v>
      </c>
      <c r="BP110" s="27">
        <f>IF(VLOOKUP($Q110,武学奇术!$A:$ZZ,22,FALSE)=1,0,(1-$BI110))*(1-$BL110)</f>
        <v>0</v>
      </c>
      <c r="BQ110" s="27" cm="1">
        <f t="array" ref="BQ110">SUM(_xlfn.XLOOKUP(R110:AF110,增益!$A:$A,增益!$W:$W,0))+$I$5</f>
        <v>0.31</v>
      </c>
    </row>
    <row r="111" spans="11:69">
      <c r="K111" s="39">
        <f t="shared" si="11"/>
        <v>32683.8813328142</v>
      </c>
      <c r="L111" s="39">
        <f>((($AN111+($AO111-$AN111)*IF(VLOOKUP($Q111,武学奇术!$A:$ZZ,31,FALSE)=1,$F$18,0.5))*$AH111+$AI111)*(1+$AP111)*(1+$AQ111)+(($AS111+($AT111-$AS111)*IF(VLOOKUP($Q111,武学奇术!$A:$ZZ,31,FALSE)=1,$F$18,0.5))*IF($G$1="鸣金",$AJ111,$AH111)+IF($G$1="鸣金",$AK111*1.5,0))*(1+$AU111)*(1+$AV111)+(($AW111+($AX111-$AW111)*IF(VLOOKUP($Q111,武学奇术!$A:$ZZ,31,FALSE)=1,$F$18,0.5))*IF($G$1="裂石",$AJ111,$AH111)+IF($G$1="裂石",$AK111*1.5,0))*(1+$AY111)*(1+$AZ111)+(($BA111+($BB111-$BA111)*IF(VLOOKUP($Q111,武学奇术!$A:$ZZ,31,FALSE)=1,$F$18,0.5))*IF($G$1="牵丝",$AJ111,$AH111)+IF($G$1="牵丝",$AK111*1.5,0))*(1+$BC111)*(1+$BD111)+(($BE111+($BF111-$BE111)*IF(VLOOKUP($Q111,武学奇术!$A:$ZZ,31,FALSE)=1,$F$18,0.5))*IF($G$1="破竹",$AJ111,$AH111)+IF($G$1="破竹",$AK111*1.5,0))*(1+$BG111)*(1+$BH111))*(1+$AL111)*$BK111*$P111*(1+IF(VLOOKUP($Q111,武学奇术!$A:$ZZ,30,FALSE)="蓄力技",$B$21,0))*(1+$BQ111)</f>
        <v>32899.237316796</v>
      </c>
      <c r="M111" s="39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蓄力技",$B$21,0))*(1+$BQ111)</f>
        <v>30493.025205267</v>
      </c>
      <c r="N111" s="39">
        <f>((($AN111+($AO111-$AN111)*IF(VLOOKUP($Q111,武学奇术!$A:$ZZ,31,FALSE)=1,$F$18,0.5))*$AH111+$AI111)*(1+$AP111)*(1+$AQ111)+(($AS111+($AT111-$AS111)*IF(VLOOKUP($Q111,武学奇术!$A:$ZZ,31,FALSE)=1,$F$18,0.5))*IF($G$1="鸣金",$AJ111,$AH111)+IF($G$1="鸣金",$AK111*1.5,0))*(1+$AU111)*(1+$AV111)+(($AW111+($AX111-$AW111)*IF(VLOOKUP($Q111,武学奇术!$A:$ZZ,31,FALSE)=1,$F$18,0.5))*IF($G$1="裂石",$AJ111,$AH111)+IF($G$1="裂石",$AK111*1.5,0))*(1+$AY111)*(1+$AZ111)+(($BA111+($BB111-$BA111)*IF(VLOOKUP($Q111,武学奇术!$A:$ZZ,31,FALSE)=1,$F$18,0.5))*IF($G$1="牵丝",$AJ111,$AH111)+IF($G$1="牵丝",$AK111*1.5,0))*(1+$BC111)*(1+$BD111)+(($BE111+($BF111-$BE111)*IF(VLOOKUP($Q111,武学奇术!$A:$ZZ,31,FALSE)=1,$F$18,0.5))*IF($G$1="破竹",$AJ111,$AH111)+IF($G$1="破竹",$AK111*1.5,0))*(1+$BG111)*(1+$BH111))*(1+$AL111)*$P111*(1+IF(VLOOKUP($Q111,武学奇术!$A:$ZZ,30,FALSE)="蓄力技",$B$21,0))*(1+$BQ111)</f>
        <v>20060.510559022</v>
      </c>
      <c r="O111" s="39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蓄力技",$B$21,0))*(1+$BQ111)</f>
        <v>17533.5950400684</v>
      </c>
      <c r="P111" s="40">
        <v>1</v>
      </c>
      <c r="Q111" s="41" t="s">
        <v>106</v>
      </c>
      <c r="R111" s="41" t="s">
        <v>93</v>
      </c>
      <c r="S111" s="41" t="s">
        <v>72</v>
      </c>
      <c r="T111" s="41" t="s">
        <v>119</v>
      </c>
      <c r="U111" s="41" t="s">
        <v>72</v>
      </c>
      <c r="V111" s="41" t="s">
        <v>176</v>
      </c>
      <c r="W111" s="41" t="s">
        <v>177</v>
      </c>
      <c r="X111" s="41" t="s">
        <v>165</v>
      </c>
      <c r="Y111" s="41" t="s">
        <v>81</v>
      </c>
      <c r="Z111" s="41" t="s">
        <v>72</v>
      </c>
      <c r="AA111" s="41" t="s">
        <v>72</v>
      </c>
      <c r="AB111" s="41" t="s">
        <v>72</v>
      </c>
      <c r="AC111" s="41" t="s">
        <v>72</v>
      </c>
      <c r="AD111" s="41" t="s">
        <v>72</v>
      </c>
      <c r="AE111" s="41" t="s">
        <v>75</v>
      </c>
      <c r="AF111" s="41" t="s">
        <v>76</v>
      </c>
      <c r="AG111" t="str">
        <f>VLOOKUP($Q111,武学奇术!$A:$ZZ,25,FALSE)</f>
        <v>拳甲</v>
      </c>
      <c r="AH111" s="27">
        <f>VLOOKUP($Q111,武学奇术!$A:$ZZ,26,FALSE)</f>
        <v>1.2876</v>
      </c>
      <c r="AI111" s="28">
        <f>VLOOKUP($Q111,武学奇术!$A:$ZZ,27,FALSE)*(1+IF(OR($AG111=$F$4,$AG111=$F$5),$B$22,0))</f>
        <v>501.2</v>
      </c>
      <c r="AJ111" s="27">
        <f>VLOOKUP($Q111,武学奇术!$A:$ZZ,28,FALSE)</f>
        <v>1.9313</v>
      </c>
      <c r="AK111" s="28">
        <f>VLOOKUP($Q111,武学奇术!$A:$ZZ,29,FALSE)*(1+IF(OR($AG111=$F$4,$AG111=$F$5),$B$22,0))</f>
        <v>273</v>
      </c>
      <c r="AL111" s="27" cm="1">
        <f t="array" ref="AL111">$G$3+IFERROR(VLOOKUP($AG111,$F$4:$G$7,2,FALSE),0)+VLOOKUP($Q111,武学奇术!$A:$ZZ,2,FALSE)+SUM(_xlfn.XLOOKUP($R111:$AF111,增益!$A:$A,增益!$B:$B,0))</f>
        <v>0.4741</v>
      </c>
      <c r="AM111" s="27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3742.006</v>
      </c>
      <c r="AO111" cm="1">
        <f t="array" ref="AO111">$E$10*(1+$AM111)+VLOOKUP($Q111,武学奇术!$A:$ZZ,4,FALSE)+SUM(_xlfn.XLOOKUP($R111:$AF111,增益!$A:$A,增益!$D:$D,0))-$I$2</f>
        <v>3742.006</v>
      </c>
      <c r="AP111" s="33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0.217</v>
      </c>
      <c r="AQ111" s="33" cm="1">
        <f t="array" ref="AQ111">$G$10+VLOOKUP($Q111,武学奇术!$A:$ZZ,7,FALSE)+SUM(_xlfn.XLOOKUP(R111:AF111,增益!$A:$A,增益!$G:$G,0))</f>
        <v>0.09</v>
      </c>
      <c r="AR111" s="27" cm="1">
        <f t="array" ref="AR111">VLOOKUP($Q111,武学奇术!$A:$ZZ,8,FALSE)+SUM(_xlfn.XLOOKUP(R111:AF111,增益!$A:$A,增益!$H:$H,0))</f>
        <v>0</v>
      </c>
      <c r="AS111">
        <f t="shared" si="12"/>
        <v>0</v>
      </c>
      <c r="AT111">
        <f t="shared" si="13"/>
        <v>0</v>
      </c>
      <c r="AU111" s="33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-0.14</v>
      </c>
      <c r="AV111" s="33" cm="1">
        <f t="array" ref="AV111">$G$11+VLOOKUP($Q111,武学奇术!$A:$ZZ,10,FALSE)+SUM(_xlfn.XLOOKUP(R111:AF111,增益!$A:$A,增益!$J:$J,0))</f>
        <v>0.1</v>
      </c>
      <c r="AW111">
        <f t="shared" si="14"/>
        <v>0</v>
      </c>
      <c r="AX111">
        <f t="shared" si="15"/>
        <v>0</v>
      </c>
      <c r="AY111" s="33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-0.14</v>
      </c>
      <c r="AZ111" s="33" cm="1">
        <f t="array" ref="AZ111">$G$12+VLOOKUP($Q111,武学奇术!$A:$ZZ,12,FALSE)+SUM(_xlfn.XLOOKUP(R111:AF111,增益!$A:$A,增益!$L:$L,0))</f>
        <v>0</v>
      </c>
      <c r="BA111">
        <f t="shared" si="16"/>
        <v>0</v>
      </c>
      <c r="BB111">
        <f t="shared" si="17"/>
        <v>0</v>
      </c>
      <c r="BC111" s="33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-0.14</v>
      </c>
      <c r="BD111" s="33" cm="1">
        <f t="array" ref="BD111">$G$13+VLOOKUP($Q111,武学奇术!$A:$ZZ,14,FALSE)+SUM(_xlfn.XLOOKUP(R111:AF111,增益!$A:$A,增益!$N:$N,0))</f>
        <v>0</v>
      </c>
      <c r="BE111">
        <f t="shared" si="18"/>
        <v>570.28</v>
      </c>
      <c r="BF111">
        <f t="shared" si="19"/>
        <v>1582.156</v>
      </c>
      <c r="BG111" s="33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0.08</v>
      </c>
      <c r="BH111" s="33" cm="1">
        <f t="array" ref="BH111">$G$14+VLOOKUP($Q111,武学奇术!$A:$ZZ,16,FALSE)+SUM(_xlfn.XLOOKUP(R111:AF111,增益!$A:$A,增益!$P:$P,0))</f>
        <v>0.24</v>
      </c>
      <c r="BI111" s="27">
        <f>MIN(IF(VLOOKUP($Q111,武学奇术!$A:$ZZ,23,FALSE)=1,100%,$B$8),100%)</f>
        <v>1</v>
      </c>
      <c r="BJ111" s="27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+MIN(IF(VLOOKUP($Q111,武学奇术!$A:$ZZ,32,FALSE)=1,IF(VLOOKUP($Q111,武学奇术!$A:$ZZ,24,FALSE)=1,100%,MIN(40%,$B$10+VLOOKUP($Q111,武学奇术!$A:$ZZ,19,FALSE)+SUM(_xlfn.XLOOKUP(R111:AF111,增益!$A:$A,增益!$S:$S,0)))+$B$12+SUM(_xlfn.XLOOKUP(R111:AF111,增益!$A:$A,增益!$V:$V,0))),0),12%)</f>
        <v>0.918</v>
      </c>
      <c r="BK111" s="27" cm="1">
        <f t="array" ref="BK111">1+$B$13+VLOOKUP($Q111,武学奇术!$A:$ZZ,18,FALSE)+SUM(_xlfn.XLOOKUP(R111:AF111,增益!$A:$A,增益!$R:$R,0))</f>
        <v>1.64</v>
      </c>
      <c r="BL111" s="27" cm="1">
        <f t="array" ref="BL111">MAX(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-IF(VLOOKUP($Q111,武学奇术!$A:$ZZ,32,FALSE)=1,12%,0),0)</f>
        <v>0.0895</v>
      </c>
      <c r="BM111" s="27" cm="1">
        <f t="array" ref="BM111">1+$B$14+VLOOKUP($Q111,武学奇术!$A:$ZZ,20,FALSE)+SUM(_xlfn.XLOOKUP(R111:AF111,增益!$A:$A,增益!$T:$T,0))</f>
        <v>1.35</v>
      </c>
      <c r="BN111" s="27">
        <f t="shared" si="20"/>
        <v>0.9105</v>
      </c>
      <c r="BO111" s="27">
        <f t="shared" si="21"/>
        <v>0</v>
      </c>
      <c r="BP111" s="27">
        <f>IF(VLOOKUP($Q111,武学奇术!$A:$ZZ,22,FALSE)=1,0,(1-$BI111))*(1-$BL111)</f>
        <v>0</v>
      </c>
      <c r="BQ111" s="27" cm="1">
        <f t="array" ref="BQ111">SUM(_xlfn.XLOOKUP(R111:AF111,增益!$A:$A,增益!$W:$W,0))+$I$5</f>
        <v>0.31</v>
      </c>
    </row>
    <row r="112" spans="11:69">
      <c r="K112" s="39">
        <f t="shared" si="11"/>
        <v>75489.9730351639</v>
      </c>
      <c r="L112" s="39">
        <f>((($AN112+($AO112-$AN112)*IF(VLOOKUP($Q112,武学奇术!$A:$ZZ,31,FALSE)=1,$F$18,0.5))*$AH112+$AI112)*(1+$AP112)*(1+$AQ112)+(($AS112+($AT112-$AS112)*IF(VLOOKUP($Q112,武学奇术!$A:$ZZ,31,FALSE)=1,$F$18,0.5))*IF($G$1="鸣金",$AJ112,$AH112)+IF($G$1="鸣金",$AK112*1.5,0))*(1+$AU112)*(1+$AV112)+(($AW112+($AX112-$AW112)*IF(VLOOKUP($Q112,武学奇术!$A:$ZZ,31,FALSE)=1,$F$18,0.5))*IF($G$1="裂石",$AJ112,$AH112)+IF($G$1="裂石",$AK112*1.5,0))*(1+$AY112)*(1+$AZ112)+(($BA112+($BB112-$BA112)*IF(VLOOKUP($Q112,武学奇术!$A:$ZZ,31,FALSE)=1,$F$18,0.5))*IF($G$1="牵丝",$AJ112,$AH112)+IF($G$1="牵丝",$AK112*1.5,0))*(1+$BC112)*(1+$BD112)+(($BE112+($BF112-$BE112)*IF(VLOOKUP($Q112,武学奇术!$A:$ZZ,31,FALSE)=1,$F$18,0.5))*IF($G$1="破竹",$AJ112,$AH112)+IF($G$1="破竹",$AK112*1.5,0))*(1+$BG112)*(1+$BH112))*(1+$AL112)*$BK112*$P112*(1+IF(VLOOKUP($Q112,武学奇术!$A:$ZZ,30,FALSE)="蓄力技",$B$21,0))*(1+$BQ112)</f>
        <v>76898.5451616861</v>
      </c>
      <c r="M112" s="39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蓄力技",$B$21,0))*(1+$BQ112)</f>
        <v>61160.3091111593</v>
      </c>
      <c r="N112" s="39">
        <f>((($AN112+($AO112-$AN112)*IF(VLOOKUP($Q112,武学奇术!$A:$ZZ,31,FALSE)=1,$F$18,0.5))*$AH112+$AI112)*(1+$AP112)*(1+$AQ112)+(($AS112+($AT112-$AS112)*IF(VLOOKUP($Q112,武学奇术!$A:$ZZ,31,FALSE)=1,$F$18,0.5))*IF($G$1="鸣金",$AJ112,$AH112)+IF($G$1="鸣金",$AK112*1.5,0))*(1+$AU112)*(1+$AV112)+(($AW112+($AX112-$AW112)*IF(VLOOKUP($Q112,武学奇术!$A:$ZZ,31,FALSE)=1,$F$18,0.5))*IF($G$1="裂石",$AJ112,$AH112)+IF($G$1="裂石",$AK112*1.5,0))*(1+$AY112)*(1+$AZ112)+(($BA112+($BB112-$BA112)*IF(VLOOKUP($Q112,武学奇术!$A:$ZZ,31,FALSE)=1,$F$18,0.5))*IF($G$1="牵丝",$AJ112,$AH112)+IF($G$1="牵丝",$AK112*1.5,0))*(1+$BC112)*(1+$BD112)+(($BE112+($BF112-$BE112)*IF(VLOOKUP($Q112,武学奇术!$A:$ZZ,31,FALSE)=1,$F$18,0.5))*IF($G$1="破竹",$AJ112,$AH112)+IF($G$1="破竹",$AK112*1.5,0))*(1+$BG112)*(1+$BH112))*(1+$AL112)*$P112*(1+IF(VLOOKUP($Q112,武学奇术!$A:$ZZ,30,FALSE)="蓄力技",$B$21,0))*(1+$BQ112)</f>
        <v>39638.4253410753</v>
      </c>
      <c r="O112" s="39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蓄力技",$B$21,0))*(1+$BQ112)</f>
        <v>33972.9180072178</v>
      </c>
      <c r="P112" s="40">
        <v>1</v>
      </c>
      <c r="Q112" s="41" t="s">
        <v>108</v>
      </c>
      <c r="R112" s="41" t="s">
        <v>93</v>
      </c>
      <c r="S112" s="41" t="s">
        <v>72</v>
      </c>
      <c r="T112" s="41" t="s">
        <v>119</v>
      </c>
      <c r="U112" s="41" t="s">
        <v>72</v>
      </c>
      <c r="V112" s="41" t="s">
        <v>176</v>
      </c>
      <c r="W112" s="41" t="s">
        <v>177</v>
      </c>
      <c r="X112" s="41" t="s">
        <v>165</v>
      </c>
      <c r="Y112" s="41" t="s">
        <v>81</v>
      </c>
      <c r="Z112" s="41" t="s">
        <v>101</v>
      </c>
      <c r="AA112" s="41" t="s">
        <v>72</v>
      </c>
      <c r="AB112" s="41" t="s">
        <v>72</v>
      </c>
      <c r="AC112" s="41" t="s">
        <v>72</v>
      </c>
      <c r="AD112" s="41" t="s">
        <v>72</v>
      </c>
      <c r="AE112" s="41" t="s">
        <v>75</v>
      </c>
      <c r="AF112" s="41" t="s">
        <v>76</v>
      </c>
      <c r="AG112" t="str">
        <f>VLOOKUP($Q112,武学奇术!$A:$ZZ,25,FALSE)</f>
        <v>拳甲</v>
      </c>
      <c r="AH112" s="27">
        <f>VLOOKUP($Q112,武学奇术!$A:$ZZ,26,FALSE)</f>
        <v>2.33376</v>
      </c>
      <c r="AI112" s="28">
        <f>VLOOKUP($Q112,武学奇术!$A:$ZZ,27,FALSE)*(1+IF(OR($AG112=$F$4,$AG112=$F$5),$B$22,0))</f>
        <v>0</v>
      </c>
      <c r="AJ112" s="27">
        <f>VLOOKUP($Q112,武学奇术!$A:$ZZ,28,FALSE)</f>
        <v>3.50064</v>
      </c>
      <c r="AK112" s="28">
        <f>VLOOKUP($Q112,武学奇术!$A:$ZZ,29,FALSE)*(1+IF(OR($AG112=$F$4,$AG112=$F$5),$B$22,0))</f>
        <v>0</v>
      </c>
      <c r="AL112" s="27" cm="1">
        <f t="array" ref="AL112">$G$3+IFERROR(VLOOKUP($AG112,$F$4:$G$7,2,FALSE),0)+VLOOKUP($Q112,武学奇术!$A:$ZZ,2,FALSE)+SUM(_xlfn.XLOOKUP($R112:$AF112,增益!$A:$A,增益!$B:$B,0))</f>
        <v>0.7741</v>
      </c>
      <c r="AM112" s="27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3742.006</v>
      </c>
      <c r="AO112" cm="1">
        <f t="array" ref="AO112">$E$10*(1+$AM112)+VLOOKUP($Q112,武学奇术!$A:$ZZ,4,FALSE)+SUM(_xlfn.XLOOKUP($R112:$AF112,增益!$A:$A,增益!$D:$D,0))-$I$2</f>
        <v>3742.006</v>
      </c>
      <c r="AP112" s="33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0.247</v>
      </c>
      <c r="AQ112" s="33" cm="1">
        <f t="array" ref="AQ112">$G$10+VLOOKUP($Q112,武学奇术!$A:$ZZ,7,FALSE)+SUM(_xlfn.XLOOKUP(R112:AF112,增益!$A:$A,增益!$G:$G,0))</f>
        <v>0.09</v>
      </c>
      <c r="AR112" s="27" cm="1">
        <f t="array" ref="AR112">VLOOKUP($Q112,武学奇术!$A:$ZZ,8,FALSE)+SUM(_xlfn.XLOOKUP(R112:AF112,增益!$A:$A,增益!$H:$H,0))</f>
        <v>0</v>
      </c>
      <c r="AS112">
        <f t="shared" si="12"/>
        <v>0</v>
      </c>
      <c r="AT112">
        <f t="shared" si="13"/>
        <v>0</v>
      </c>
      <c r="AU112" s="33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-0.08</v>
      </c>
      <c r="AV112" s="33" cm="1">
        <f t="array" ref="AV112">$G$11+VLOOKUP($Q112,武学奇术!$A:$ZZ,10,FALSE)+SUM(_xlfn.XLOOKUP(R112:AF112,增益!$A:$A,增益!$J:$J,0))</f>
        <v>0.1</v>
      </c>
      <c r="AW112">
        <f t="shared" si="14"/>
        <v>0</v>
      </c>
      <c r="AX112">
        <f t="shared" si="15"/>
        <v>0</v>
      </c>
      <c r="AY112" s="33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-0.08</v>
      </c>
      <c r="AZ112" s="33" cm="1">
        <f t="array" ref="AZ112">$G$12+VLOOKUP($Q112,武学奇术!$A:$ZZ,12,FALSE)+SUM(_xlfn.XLOOKUP(R112:AF112,增益!$A:$A,增益!$L:$L,0))</f>
        <v>0</v>
      </c>
      <c r="BA112">
        <f t="shared" si="16"/>
        <v>0</v>
      </c>
      <c r="BB112">
        <f t="shared" si="17"/>
        <v>0</v>
      </c>
      <c r="BC112" s="33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-0.08</v>
      </c>
      <c r="BD112" s="33" cm="1">
        <f t="array" ref="BD112">$G$13+VLOOKUP($Q112,武学奇术!$A:$ZZ,14,FALSE)+SUM(_xlfn.XLOOKUP(R112:AF112,增益!$A:$A,增益!$N:$N,0))</f>
        <v>0</v>
      </c>
      <c r="BE112">
        <f t="shared" si="18"/>
        <v>570.28</v>
      </c>
      <c r="BF112">
        <f t="shared" si="19"/>
        <v>1582.156</v>
      </c>
      <c r="BG112" s="33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0.11</v>
      </c>
      <c r="BH112" s="33" cm="1">
        <f t="array" ref="BH112">$G$14+VLOOKUP($Q112,武学奇术!$A:$ZZ,16,FALSE)+SUM(_xlfn.XLOOKUP(R112:AF112,增益!$A:$A,增益!$P:$P,0))</f>
        <v>0.24</v>
      </c>
      <c r="BI112" s="27">
        <f>MIN(IF(VLOOKUP($Q112,武学奇术!$A:$ZZ,23,FALSE)=1,100%,$B$8),100%)</f>
        <v>1</v>
      </c>
      <c r="BJ112" s="27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+MIN(IF(VLOOKUP($Q112,武学奇术!$A:$ZZ,32,FALSE)=1,IF(VLOOKUP($Q112,武学奇术!$A:$ZZ,24,FALSE)=1,100%,MIN(40%,$B$10+VLOOKUP($Q112,武学奇术!$A:$ZZ,19,FALSE)+SUM(_xlfn.XLOOKUP(R112:AF112,增益!$A:$A,增益!$S:$S,0)))+$B$12+SUM(_xlfn.XLOOKUP(R112:AF112,增益!$A:$A,增益!$V:$V,0))),0),12%)</f>
        <v>0.918</v>
      </c>
      <c r="BK112" s="27" cm="1">
        <f t="array" ref="BK112">1+$B$13+VLOOKUP($Q112,武学奇术!$A:$ZZ,18,FALSE)+SUM(_xlfn.XLOOKUP(R112:AF112,增益!$A:$A,增益!$R:$R,0))</f>
        <v>1.94</v>
      </c>
      <c r="BL112" s="27" cm="1">
        <f t="array" ref="BL112">MAX(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-IF(VLOOKUP($Q112,武学奇术!$A:$ZZ,32,FALSE)=1,12%,0),0)</f>
        <v>0.0895</v>
      </c>
      <c r="BM112" s="27" cm="1">
        <f t="array" ref="BM112">1+$B$14+VLOOKUP($Q112,武学奇术!$A:$ZZ,20,FALSE)+SUM(_xlfn.XLOOKUP(R112:AF112,增益!$A:$A,增益!$T:$T,0))</f>
        <v>1.35</v>
      </c>
      <c r="BN112" s="27">
        <f t="shared" si="20"/>
        <v>0.9105</v>
      </c>
      <c r="BO112" s="27">
        <f t="shared" si="21"/>
        <v>0</v>
      </c>
      <c r="BP112" s="27">
        <f>IF(VLOOKUP($Q112,武学奇术!$A:$ZZ,22,FALSE)=1,0,(1-$BI112))*(1-$BL112)</f>
        <v>0</v>
      </c>
      <c r="BQ112" s="27" cm="1">
        <f t="array" ref="BQ112">SUM(_xlfn.XLOOKUP(R112:AF112,增益!$A:$A,增益!$W:$W,0))+$I$5</f>
        <v>0.31</v>
      </c>
    </row>
    <row r="113" spans="11:69">
      <c r="K113" s="39">
        <f t="shared" si="11"/>
        <v>29897.0484771684</v>
      </c>
      <c r="L113" s="39">
        <f>((($AN113+($AO113-$AN113)*IF(VLOOKUP($Q113,武学奇术!$A:$ZZ,31,FALSE)=1,$F$18,0.5))*$AH113+$AI113)*(1+$AP113)*(1+$AQ113)+(($AS113+($AT113-$AS113)*IF(VLOOKUP($Q113,武学奇术!$A:$ZZ,31,FALSE)=1,$F$18,0.5))*IF($G$1="鸣金",$AJ113,$AH113)+IF($G$1="鸣金",$AK113*1.5,0))*(1+$AU113)*(1+$AV113)+(($AW113+($AX113-$AW113)*IF(VLOOKUP($Q113,武学奇术!$A:$ZZ,31,FALSE)=1,$F$18,0.5))*IF($G$1="裂石",$AJ113,$AH113)+IF($G$1="裂石",$AK113*1.5,0))*(1+$AY113)*(1+$AZ113)+(($BA113+($BB113-$BA113)*IF(VLOOKUP($Q113,武学奇术!$A:$ZZ,31,FALSE)=1,$F$18,0.5))*IF($G$1="牵丝",$AJ113,$AH113)+IF($G$1="牵丝",$AK113*1.5,0))*(1+$BC113)*(1+$BD113)+(($BE113+($BF113-$BE113)*IF(VLOOKUP($Q113,武学奇术!$A:$ZZ,31,FALSE)=1,$F$18,0.5))*IF($G$1="破竹",$AJ113,$AH113)+IF($G$1="破竹",$AK113*1.5,0))*(1+$BG113)*(1+$BH113))*(1+$AL113)*$BK113*$P113*(1+IF(VLOOKUP($Q113,武学奇术!$A:$ZZ,30,FALSE)="蓄力技",$B$21,0))*(1+$BQ113)</f>
        <v>30093.9656152735</v>
      </c>
      <c r="M113" s="39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蓄力技",$B$21,0))*(1+$BQ113)</f>
        <v>27893.7741280651</v>
      </c>
      <c r="N113" s="39">
        <f>((($AN113+($AO113-$AN113)*IF(VLOOKUP($Q113,武学奇术!$A:$ZZ,31,FALSE)=1,$F$18,0.5))*$AH113+$AI113)*(1+$AP113)*(1+$AQ113)+(($AS113+($AT113-$AS113)*IF(VLOOKUP($Q113,武学奇术!$A:$ZZ,31,FALSE)=1,$F$18,0.5))*IF($G$1="鸣金",$AJ113,$AH113)+IF($G$1="鸣金",$AK113*1.5,0))*(1+$AU113)*(1+$AV113)+(($AW113+($AX113-$AW113)*IF(VLOOKUP($Q113,武学奇术!$A:$ZZ,31,FALSE)=1,$F$18,0.5))*IF($G$1="裂石",$AJ113,$AH113)+IF($G$1="裂石",$AK113*1.5,0))*(1+$AY113)*(1+$AZ113)+(($BA113+($BB113-$BA113)*IF(VLOOKUP($Q113,武学奇术!$A:$ZZ,31,FALSE)=1,$F$18,0.5))*IF($G$1="牵丝",$AJ113,$AH113)+IF($G$1="牵丝",$AK113*1.5,0))*(1+$BC113)*(1+$BD113)+(($BE113+($BF113-$BE113)*IF(VLOOKUP($Q113,武学奇术!$A:$ZZ,31,FALSE)=1,$F$18,0.5))*IF($G$1="破竹",$AJ113,$AH113)+IF($G$1="破竹",$AK113*1.5,0))*(1+$BG113)*(1+$BH113))*(1+$AL113)*$P113*(1+IF(VLOOKUP($Q113,武学奇术!$A:$ZZ,30,FALSE)="蓄力技",$B$21,0))*(1+$BQ113)</f>
        <v>18349.9790337034</v>
      </c>
      <c r="O113" s="39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蓄力技",$B$21,0))*(1+$BQ113)</f>
        <v>16037.9031577289</v>
      </c>
      <c r="P113" s="40">
        <v>1</v>
      </c>
      <c r="Q113" s="41" t="s">
        <v>148</v>
      </c>
      <c r="R113" s="41" t="s">
        <v>93</v>
      </c>
      <c r="S113" s="41" t="s">
        <v>72</v>
      </c>
      <c r="T113" s="41" t="s">
        <v>119</v>
      </c>
      <c r="U113" s="41" t="s">
        <v>72</v>
      </c>
      <c r="V113" s="41" t="s">
        <v>176</v>
      </c>
      <c r="W113" s="41" t="s">
        <v>177</v>
      </c>
      <c r="X113" s="41" t="s">
        <v>165</v>
      </c>
      <c r="Y113" s="41" t="s">
        <v>81</v>
      </c>
      <c r="Z113" s="41" t="s">
        <v>72</v>
      </c>
      <c r="AA113" s="41" t="s">
        <v>72</v>
      </c>
      <c r="AB113" s="41" t="s">
        <v>72</v>
      </c>
      <c r="AC113" s="41" t="s">
        <v>72</v>
      </c>
      <c r="AD113" s="41" t="s">
        <v>72</v>
      </c>
      <c r="AE113" s="41" t="s">
        <v>75</v>
      </c>
      <c r="AF113" s="41" t="s">
        <v>76</v>
      </c>
      <c r="AG113" t="str">
        <f>VLOOKUP($Q113,武学奇术!$A:$ZZ,25,FALSE)</f>
        <v>绳镖</v>
      </c>
      <c r="AH113" s="27">
        <f>VLOOKUP($Q113,武学奇术!$A:$ZZ,26,FALSE)</f>
        <v>1.2503</v>
      </c>
      <c r="AI113" s="28">
        <f>VLOOKUP($Q113,武学奇术!$A:$ZZ,27,FALSE)*(1+IF(OR($AG113=$F$4,$AG113=$F$5),$B$22,0))</f>
        <v>485.8</v>
      </c>
      <c r="AJ113" s="27">
        <f>VLOOKUP($Q113,武学奇术!$A:$ZZ,28,FALSE)</f>
        <v>1.8755</v>
      </c>
      <c r="AK113" s="28">
        <f>VLOOKUP($Q113,武学奇术!$A:$ZZ,29,FALSE)*(1+IF(OR($AG113=$F$4,$AG113=$F$5),$B$22,0))</f>
        <v>264.6</v>
      </c>
      <c r="AL113" s="27" cm="1">
        <f t="array" ref="AL113">$G$3+IFERROR(VLOOKUP($AG113,$F$4:$G$7,2,FALSE),0)+VLOOKUP($Q113,武学奇术!$A:$ZZ,2,FALSE)+SUM(_xlfn.XLOOKUP($R113:$AF113,增益!$A:$A,增益!$B:$B,0))</f>
        <v>0.3889</v>
      </c>
      <c r="AM113" s="27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3742.006</v>
      </c>
      <c r="AO113" cm="1">
        <f t="array" ref="AO113">$E$10*(1+$AM113)+VLOOKUP($Q113,武学奇术!$A:$ZZ,4,FALSE)+SUM(_xlfn.XLOOKUP($R113:$AF113,增益!$A:$A,增益!$D:$D,0))-$I$2</f>
        <v>3742.006</v>
      </c>
      <c r="AP113" s="33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0.217</v>
      </c>
      <c r="AQ113" s="33" cm="1">
        <f t="array" ref="AQ113">$G$10+VLOOKUP($Q113,武学奇术!$A:$ZZ,7,FALSE)+SUM(_xlfn.XLOOKUP(R113:AF113,增益!$A:$A,增益!$G:$G,0))</f>
        <v>0.09</v>
      </c>
      <c r="AR113" s="27" cm="1">
        <f t="array" ref="AR113">VLOOKUP($Q113,武学奇术!$A:$ZZ,8,FALSE)+SUM(_xlfn.XLOOKUP(R113:AF113,增益!$A:$A,增益!$H:$H,0))</f>
        <v>0</v>
      </c>
      <c r="AS113">
        <f t="shared" si="12"/>
        <v>0</v>
      </c>
      <c r="AT113">
        <f t="shared" si="13"/>
        <v>0</v>
      </c>
      <c r="AU113" s="33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-0.14</v>
      </c>
      <c r="AV113" s="33" cm="1">
        <f t="array" ref="AV113">$G$11+VLOOKUP($Q113,武学奇术!$A:$ZZ,10,FALSE)+SUM(_xlfn.XLOOKUP(R113:AF113,增益!$A:$A,增益!$J:$J,0))</f>
        <v>0.1</v>
      </c>
      <c r="AW113">
        <f t="shared" si="14"/>
        <v>0</v>
      </c>
      <c r="AX113">
        <f t="shared" si="15"/>
        <v>0</v>
      </c>
      <c r="AY113" s="33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-0.14</v>
      </c>
      <c r="AZ113" s="33" cm="1">
        <f t="array" ref="AZ113">$G$12+VLOOKUP($Q113,武学奇术!$A:$ZZ,12,FALSE)+SUM(_xlfn.XLOOKUP(R113:AF113,增益!$A:$A,增益!$L:$L,0))</f>
        <v>0</v>
      </c>
      <c r="BA113">
        <f t="shared" si="16"/>
        <v>0</v>
      </c>
      <c r="BB113">
        <f t="shared" si="17"/>
        <v>0</v>
      </c>
      <c r="BC113" s="33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-0.14</v>
      </c>
      <c r="BD113" s="33" cm="1">
        <f t="array" ref="BD113">$G$13+VLOOKUP($Q113,武学奇术!$A:$ZZ,14,FALSE)+SUM(_xlfn.XLOOKUP(R113:AF113,增益!$A:$A,增益!$N:$N,0))</f>
        <v>0</v>
      </c>
      <c r="BE113">
        <f t="shared" si="18"/>
        <v>570.28</v>
      </c>
      <c r="BF113">
        <f t="shared" si="19"/>
        <v>1582.156</v>
      </c>
      <c r="BG113" s="33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0.08</v>
      </c>
      <c r="BH113" s="33" cm="1">
        <f t="array" ref="BH113">$G$14+VLOOKUP($Q113,武学奇术!$A:$ZZ,16,FALSE)+SUM(_xlfn.XLOOKUP(R113:AF113,增益!$A:$A,增益!$P:$P,0))</f>
        <v>0.24</v>
      </c>
      <c r="BI113" s="27">
        <f>MIN(IF(VLOOKUP($Q113,武学奇术!$A:$ZZ,23,FALSE)=1,100%,$B$8),100%)</f>
        <v>1</v>
      </c>
      <c r="BJ113" s="27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+MIN(IF(VLOOKUP($Q113,武学奇术!$A:$ZZ,32,FALSE)=1,IF(VLOOKUP($Q113,武学奇术!$A:$ZZ,24,FALSE)=1,100%,MIN(40%,$B$10+VLOOKUP($Q113,武学奇术!$A:$ZZ,19,FALSE)+SUM(_xlfn.XLOOKUP(R113:AF113,增益!$A:$A,增益!$S:$S,0)))+$B$12+SUM(_xlfn.XLOOKUP(R113:AF113,增益!$A:$A,增益!$V:$V,0))),0),12%)</f>
        <v>0.918</v>
      </c>
      <c r="BK113" s="27" cm="1">
        <f t="array" ref="BK113">1+$B$13+VLOOKUP($Q113,武学奇术!$A:$ZZ,18,FALSE)+SUM(_xlfn.XLOOKUP(R113:AF113,增益!$A:$A,增益!$R:$R,0))</f>
        <v>1.64</v>
      </c>
      <c r="BL113" s="27" cm="1">
        <f t="array" ref="BL113">MAX(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-IF(VLOOKUP($Q113,武学奇术!$A:$ZZ,32,FALSE)=1,12%,0),0)</f>
        <v>0.0895</v>
      </c>
      <c r="BM113" s="27" cm="1">
        <f t="array" ref="BM113">1+$B$14+VLOOKUP($Q113,武学奇术!$A:$ZZ,20,FALSE)+SUM(_xlfn.XLOOKUP(R113:AF113,增益!$A:$A,增益!$T:$T,0))</f>
        <v>1.35</v>
      </c>
      <c r="BN113" s="27">
        <f t="shared" si="20"/>
        <v>0.9105</v>
      </c>
      <c r="BO113" s="27">
        <f t="shared" si="21"/>
        <v>0</v>
      </c>
      <c r="BP113" s="27">
        <f>IF(VLOOKUP($Q113,武学奇术!$A:$ZZ,22,FALSE)=1,0,(1-$BI113))*(1-$BL113)</f>
        <v>0</v>
      </c>
      <c r="BQ113" s="27" cm="1">
        <f t="array" ref="BQ113">SUM(_xlfn.XLOOKUP(R113:AF113,增益!$A:$A,增益!$W:$W,0))+$I$5</f>
        <v>0.31</v>
      </c>
    </row>
    <row r="114" spans="11:69">
      <c r="K114" s="39">
        <f t="shared" si="11"/>
        <v>59887.1801002802</v>
      </c>
      <c r="L114" s="39">
        <f>((($AN114+($AO114-$AN114)*IF(VLOOKUP($Q114,武学奇术!$A:$ZZ,31,FALSE)=1,$F$18,0.5))*$AH114+$AI114)*(1+$AP114)*(1+$AQ114)+(($AS114+($AT114-$AS114)*IF(VLOOKUP($Q114,武学奇术!$A:$ZZ,31,FALSE)=1,$F$18,0.5))*IF($G$1="鸣金",$AJ114,$AH114)+IF($G$1="鸣金",$AK114*1.5,0))*(1+$AU114)*(1+$AV114)+(($AW114+($AX114-$AW114)*IF(VLOOKUP($Q114,武学奇术!$A:$ZZ,31,FALSE)=1,$F$18,0.5))*IF($G$1="裂石",$AJ114,$AH114)+IF($G$1="裂石",$AK114*1.5,0))*(1+$AY114)*(1+$AZ114)+(($BA114+($BB114-$BA114)*IF(VLOOKUP($Q114,武学奇术!$A:$ZZ,31,FALSE)=1,$F$18,0.5))*IF($G$1="牵丝",$AJ114,$AH114)+IF($G$1="牵丝",$AK114*1.5,0))*(1+$BC114)*(1+$BD114)+(($BE114+($BF114-$BE114)*IF(VLOOKUP($Q114,武学奇术!$A:$ZZ,31,FALSE)=1,$F$18,0.5))*IF($G$1="破竹",$AJ114,$AH114)+IF($G$1="破竹",$AK114*1.5,0))*(1+$BG114)*(1+$BH114))*(1+$AL114)*$BK114*$P114*(1+IF(VLOOKUP($Q114,武学奇术!$A:$ZZ,30,FALSE)="蓄力技",$B$21,0))*(1+$BQ114)</f>
        <v>61004.6187379383</v>
      </c>
      <c r="M114" s="39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蓄力技",$B$21,0))*(1+$BQ114)</f>
        <v>48519.270831143</v>
      </c>
      <c r="N114" s="39">
        <f>((($AN114+($AO114-$AN114)*IF(VLOOKUP($Q114,武学奇术!$A:$ZZ,31,FALSE)=1,$F$18,0.5))*$AH114+$AI114)*(1+$AP114)*(1+$AQ114)+(($AS114+($AT114-$AS114)*IF(VLOOKUP($Q114,武学奇术!$A:$ZZ,31,FALSE)=1,$F$18,0.5))*IF($G$1="鸣金",$AJ114,$AH114)+IF($G$1="鸣金",$AK114*1.5,0))*(1+$AU114)*(1+$AV114)+(($AW114+($AX114-$AW114)*IF(VLOOKUP($Q114,武学奇术!$A:$ZZ,31,FALSE)=1,$F$18,0.5))*IF($G$1="裂石",$AJ114,$AH114)+IF($G$1="裂石",$AK114*1.5,0))*(1+$AY114)*(1+$AZ114)+(($BA114+($BB114-$BA114)*IF(VLOOKUP($Q114,武学奇术!$A:$ZZ,31,FALSE)=1,$F$18,0.5))*IF($G$1="牵丝",$AJ114,$AH114)+IF($G$1="牵丝",$AK114*1.5,0))*(1+$BC114)*(1+$BD114)+(($BE114+($BF114-$BE114)*IF(VLOOKUP($Q114,武学奇术!$A:$ZZ,31,FALSE)=1,$F$18,0.5))*IF($G$1="破竹",$AJ114,$AH114)+IF($G$1="破竹",$AK114*1.5,0))*(1+$BG114)*(1+$BH114))*(1+$AL114)*$P114*(1+IF(VLOOKUP($Q114,武学奇术!$A:$ZZ,30,FALSE)="蓄力技",$B$21,0))*(1+$BQ114)</f>
        <v>31445.6797618239</v>
      </c>
      <c r="O114" s="39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蓄力技",$B$21,0))*(1+$BQ114)</f>
        <v>26951.1589079863</v>
      </c>
      <c r="P114" s="40">
        <v>1</v>
      </c>
      <c r="Q114" s="41" t="s">
        <v>149</v>
      </c>
      <c r="R114" s="41" t="s">
        <v>93</v>
      </c>
      <c r="S114" s="41" t="s">
        <v>72</v>
      </c>
      <c r="T114" s="41" t="s">
        <v>119</v>
      </c>
      <c r="U114" s="41" t="s">
        <v>72</v>
      </c>
      <c r="V114" s="41" t="s">
        <v>176</v>
      </c>
      <c r="W114" s="41" t="s">
        <v>177</v>
      </c>
      <c r="X114" s="41" t="s">
        <v>165</v>
      </c>
      <c r="Y114" s="41" t="s">
        <v>81</v>
      </c>
      <c r="Z114" s="41" t="s">
        <v>101</v>
      </c>
      <c r="AA114" s="41" t="s">
        <v>72</v>
      </c>
      <c r="AB114" s="41" t="s">
        <v>72</v>
      </c>
      <c r="AC114" s="41" t="s">
        <v>72</v>
      </c>
      <c r="AD114" s="41" t="s">
        <v>72</v>
      </c>
      <c r="AE114" s="41" t="s">
        <v>75</v>
      </c>
      <c r="AF114" s="41" t="s">
        <v>76</v>
      </c>
      <c r="AG114" t="str">
        <f>VLOOKUP($Q114,武学奇术!$A:$ZZ,25,FALSE)</f>
        <v>绳镖</v>
      </c>
      <c r="AH114" s="27">
        <f>VLOOKUP($Q114,武学奇术!$A:$ZZ,26,FALSE)</f>
        <v>1.9448</v>
      </c>
      <c r="AI114" s="28">
        <f>VLOOKUP($Q114,武学奇术!$A:$ZZ,27,FALSE)*(1+IF(OR($AG114=$F$4,$AG114=$F$5),$B$22,0))</f>
        <v>0</v>
      </c>
      <c r="AJ114" s="27">
        <f>VLOOKUP($Q114,武学奇术!$A:$ZZ,28,FALSE)</f>
        <v>2.9172</v>
      </c>
      <c r="AK114" s="28">
        <f>VLOOKUP($Q114,武学奇术!$A:$ZZ,29,FALSE)*(1+IF(OR($AG114=$F$4,$AG114=$F$5),$B$22,0))</f>
        <v>0</v>
      </c>
      <c r="AL114" s="27" cm="1">
        <f t="array" ref="AL114">$G$3+IFERROR(VLOOKUP($AG114,$F$4:$G$7,2,FALSE),0)+VLOOKUP($Q114,武学奇术!$A:$ZZ,2,FALSE)+SUM(_xlfn.XLOOKUP($R114:$AF114,增益!$A:$A,增益!$B:$B,0))</f>
        <v>0.6889</v>
      </c>
      <c r="AM114" s="27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3742.006</v>
      </c>
      <c r="AO114" cm="1">
        <f t="array" ref="AO114">$E$10*(1+$AM114)+VLOOKUP($Q114,武学奇术!$A:$ZZ,4,FALSE)+SUM(_xlfn.XLOOKUP($R114:$AF114,增益!$A:$A,增益!$D:$D,0))-$I$2</f>
        <v>3742.006</v>
      </c>
      <c r="AP114" s="33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0.247</v>
      </c>
      <c r="AQ114" s="33" cm="1">
        <f t="array" ref="AQ114">$G$10+VLOOKUP($Q114,武学奇术!$A:$ZZ,7,FALSE)+SUM(_xlfn.XLOOKUP(R114:AF114,增益!$A:$A,增益!$G:$G,0))</f>
        <v>0.09</v>
      </c>
      <c r="AR114" s="27" cm="1">
        <f t="array" ref="AR114">VLOOKUP($Q114,武学奇术!$A:$ZZ,8,FALSE)+SUM(_xlfn.XLOOKUP(R114:AF114,增益!$A:$A,增益!$H:$H,0))</f>
        <v>0</v>
      </c>
      <c r="AS114">
        <f t="shared" si="12"/>
        <v>0</v>
      </c>
      <c r="AT114">
        <f t="shared" si="13"/>
        <v>0</v>
      </c>
      <c r="AU114" s="33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-0.08</v>
      </c>
      <c r="AV114" s="33" cm="1">
        <f t="array" ref="AV114">$G$11+VLOOKUP($Q114,武学奇术!$A:$ZZ,10,FALSE)+SUM(_xlfn.XLOOKUP(R114:AF114,增益!$A:$A,增益!$J:$J,0))</f>
        <v>0.1</v>
      </c>
      <c r="AW114">
        <f t="shared" si="14"/>
        <v>0</v>
      </c>
      <c r="AX114">
        <f t="shared" si="15"/>
        <v>0</v>
      </c>
      <c r="AY114" s="33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-0.08</v>
      </c>
      <c r="AZ114" s="33" cm="1">
        <f t="array" ref="AZ114">$G$12+VLOOKUP($Q114,武学奇术!$A:$ZZ,12,FALSE)+SUM(_xlfn.XLOOKUP(R114:AF114,增益!$A:$A,增益!$L:$L,0))</f>
        <v>0</v>
      </c>
      <c r="BA114">
        <f t="shared" si="16"/>
        <v>0</v>
      </c>
      <c r="BB114">
        <f t="shared" si="17"/>
        <v>0</v>
      </c>
      <c r="BC114" s="33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-0.08</v>
      </c>
      <c r="BD114" s="33" cm="1">
        <f t="array" ref="BD114">$G$13+VLOOKUP($Q114,武学奇术!$A:$ZZ,14,FALSE)+SUM(_xlfn.XLOOKUP(R114:AF114,增益!$A:$A,增益!$N:$N,0))</f>
        <v>0</v>
      </c>
      <c r="BE114">
        <f t="shared" si="18"/>
        <v>570.28</v>
      </c>
      <c r="BF114">
        <f t="shared" si="19"/>
        <v>1582.156</v>
      </c>
      <c r="BG114" s="33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0.11</v>
      </c>
      <c r="BH114" s="33" cm="1">
        <f t="array" ref="BH114">$G$14+VLOOKUP($Q114,武学奇术!$A:$ZZ,16,FALSE)+SUM(_xlfn.XLOOKUP(R114:AF114,增益!$A:$A,增益!$P:$P,0))</f>
        <v>0.24</v>
      </c>
      <c r="BI114" s="27">
        <f>MIN(IF(VLOOKUP($Q114,武学奇术!$A:$ZZ,23,FALSE)=1,100%,$B$8),100%)</f>
        <v>1</v>
      </c>
      <c r="BJ114" s="27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+MIN(IF(VLOOKUP($Q114,武学奇术!$A:$ZZ,32,FALSE)=1,IF(VLOOKUP($Q114,武学奇术!$A:$ZZ,24,FALSE)=1,100%,MIN(40%,$B$10+VLOOKUP($Q114,武学奇术!$A:$ZZ,19,FALSE)+SUM(_xlfn.XLOOKUP(R114:AF114,增益!$A:$A,增益!$S:$S,0)))+$B$12+SUM(_xlfn.XLOOKUP(R114:AF114,增益!$A:$A,增益!$V:$V,0))),0),12%)</f>
        <v>0.918</v>
      </c>
      <c r="BK114" s="27" cm="1">
        <f t="array" ref="BK114">1+$B$13+VLOOKUP($Q114,武学奇术!$A:$ZZ,18,FALSE)+SUM(_xlfn.XLOOKUP(R114:AF114,增益!$A:$A,增益!$R:$R,0))</f>
        <v>1.94</v>
      </c>
      <c r="BL114" s="27" cm="1">
        <f t="array" ref="BL114">MAX(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-IF(VLOOKUP($Q114,武学奇术!$A:$ZZ,32,FALSE)=1,12%,0),0)</f>
        <v>0.0895</v>
      </c>
      <c r="BM114" s="27" cm="1">
        <f t="array" ref="BM114">1+$B$14+VLOOKUP($Q114,武学奇术!$A:$ZZ,20,FALSE)+SUM(_xlfn.XLOOKUP(R114:AF114,增益!$A:$A,增益!$T:$T,0))</f>
        <v>1.35</v>
      </c>
      <c r="BN114" s="27">
        <f t="shared" si="20"/>
        <v>0.9105</v>
      </c>
      <c r="BO114" s="27">
        <f t="shared" si="21"/>
        <v>0</v>
      </c>
      <c r="BP114" s="27">
        <f>IF(VLOOKUP($Q114,武学奇术!$A:$ZZ,22,FALSE)=1,0,(1-$BI114))*(1-$BL114)</f>
        <v>0</v>
      </c>
      <c r="BQ114" s="27" cm="1">
        <f t="array" ref="BQ114">SUM(_xlfn.XLOOKUP(R114:AF114,增益!$A:$A,增益!$W:$W,0))+$I$5</f>
        <v>0.31</v>
      </c>
    </row>
    <row r="115" spans="11:69">
      <c r="K115" s="39">
        <f t="shared" si="11"/>
        <v>12922.631603272</v>
      </c>
      <c r="L115" s="39">
        <f>((($AN115+($AO115-$AN115)*IF(VLOOKUP($Q115,武学奇术!$A:$ZZ,31,FALSE)=1,$F$18,0.5))*$AH115+$AI115)*(1+$AP115)*(1+$AQ115)+(($AS115+($AT115-$AS115)*IF(VLOOKUP($Q115,武学奇术!$A:$ZZ,31,FALSE)=1,$F$18,0.5))*IF($G$1="鸣金",$AJ115,$AH115)+IF($G$1="鸣金",$AK115*1.5,0))*(1+$AU115)*(1+$AV115)+(($AW115+($AX115-$AW115)*IF(VLOOKUP($Q115,武学奇术!$A:$ZZ,31,FALSE)=1,$F$18,0.5))*IF($G$1="裂石",$AJ115,$AH115)+IF($G$1="裂石",$AK115*1.5,0))*(1+$AY115)*(1+$AZ115)+(($BA115+($BB115-$BA115)*IF(VLOOKUP($Q115,武学奇术!$A:$ZZ,31,FALSE)=1,$F$18,0.5))*IF($G$1="牵丝",$AJ115,$AH115)+IF($G$1="牵丝",$AK115*1.5,0))*(1+$BC115)*(1+$BD115)+(($BE115+($BF115-$BE115)*IF(VLOOKUP($Q115,武学奇术!$A:$ZZ,31,FALSE)=1,$F$18,0.5))*IF($G$1="破竹",$AJ115,$AH115)+IF($G$1="破竹",$AK115*1.5,0))*(1+$BG115)*(1+$BH115))*(1+$AL115)*$BK115*$P115*(1+IF(VLOOKUP($Q115,武学奇术!$A:$ZZ,30,FALSE)="蓄力技",$B$21,0))*(1+$BQ115)</f>
        <v>13159.9951281104</v>
      </c>
      <c r="M115" s="39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蓄力技",$B$21,0))*(1+$BQ115)</f>
        <v>10507.8887053349</v>
      </c>
      <c r="N115" s="39">
        <f>((($AN115+($AO115-$AN115)*IF(VLOOKUP($Q115,武学奇术!$A:$ZZ,31,FALSE)=1,$F$18,0.5))*$AH115+$AI115)*(1+$AP115)*(1+$AQ115)+(($AS115+($AT115-$AS115)*IF(VLOOKUP($Q115,武学奇术!$A:$ZZ,31,FALSE)=1,$F$18,0.5))*IF($G$1="鸣金",$AJ115,$AH115)+IF($G$1="鸣金",$AK115*1.5,0))*(1+$AU115)*(1+$AV115)+(($AW115+($AX115-$AW115)*IF(VLOOKUP($Q115,武学奇术!$A:$ZZ,31,FALSE)=1,$F$18,0.5))*IF($G$1="裂石",$AJ115,$AH115)+IF($G$1="裂石",$AK115*1.5,0))*(1+$AY115)*(1+$AZ115)+(($BA115+($BB115-$BA115)*IF(VLOOKUP($Q115,武学奇术!$A:$ZZ,31,FALSE)=1,$F$18,0.5))*IF($G$1="牵丝",$AJ115,$AH115)+IF($G$1="牵丝",$AK115*1.5,0))*(1+$BC115)*(1+$BD115)+(($BE115+($BF115-$BE115)*IF(VLOOKUP($Q115,武学奇术!$A:$ZZ,31,FALSE)=1,$F$18,0.5))*IF($G$1="破竹",$AJ115,$AH115)+IF($G$1="破竹",$AK115*1.5,0))*(1+$BG115)*(1+$BH115))*(1+$AL115)*$P115*(1+IF(VLOOKUP($Q115,武学奇术!$A:$ZZ,30,FALSE)="蓄力技",$B$21,0))*(1+$BQ115)</f>
        <v>6962.96038524362</v>
      </c>
      <c r="O115" s="39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蓄力技",$B$21,0))*(1+$BQ115)</f>
        <v>6142.29950727624</v>
      </c>
      <c r="P115" s="40">
        <v>1</v>
      </c>
      <c r="Q115" s="41" t="s">
        <v>96</v>
      </c>
      <c r="R115" s="41" t="s">
        <v>93</v>
      </c>
      <c r="S115" s="41" t="s">
        <v>118</v>
      </c>
      <c r="T115" s="41" t="s">
        <v>72</v>
      </c>
      <c r="U115" s="41" t="s">
        <v>72</v>
      </c>
      <c r="V115" s="41" t="s">
        <v>176</v>
      </c>
      <c r="W115" s="41" t="s">
        <v>177</v>
      </c>
      <c r="X115" s="41" t="s">
        <v>165</v>
      </c>
      <c r="Y115" s="41" t="s">
        <v>81</v>
      </c>
      <c r="Z115" s="41" t="s">
        <v>72</v>
      </c>
      <c r="AA115" s="41" t="s">
        <v>72</v>
      </c>
      <c r="AB115" s="41" t="s">
        <v>72</v>
      </c>
      <c r="AC115" s="41" t="s">
        <v>72</v>
      </c>
      <c r="AD115" s="41" t="s">
        <v>72</v>
      </c>
      <c r="AE115" s="41" t="s">
        <v>75</v>
      </c>
      <c r="AF115" s="41" t="s">
        <v>76</v>
      </c>
      <c r="AG115" t="str">
        <f>VLOOKUP($Q115,武学奇术!$A:$ZZ,25,FALSE)</f>
        <v>绳镖</v>
      </c>
      <c r="AH115" s="27">
        <f>VLOOKUP($Q115,武学奇术!$A:$ZZ,26,FALSE)</f>
        <v>0.4975</v>
      </c>
      <c r="AI115" s="28">
        <f>VLOOKUP($Q115,武学奇术!$A:$ZZ,27,FALSE)*(1+IF(OR($AG115=$F$4,$AG115=$F$5),$B$22,0))</f>
        <v>191.8</v>
      </c>
      <c r="AJ115" s="27">
        <f>VLOOKUP($Q115,武学奇术!$A:$ZZ,28,FALSE)</f>
        <v>0.7463</v>
      </c>
      <c r="AK115" s="28">
        <f>VLOOKUP($Q115,武学奇术!$A:$ZZ,29,FALSE)*(1+IF(OR($AG115=$F$4,$AG115=$F$5),$B$22,0))</f>
        <v>105</v>
      </c>
      <c r="AL115" s="27" cm="1">
        <f t="array" ref="AL115">$G$3+IFERROR(VLOOKUP($AG115,$F$4:$G$7,2,FALSE),0)+VLOOKUP($Q115,武学奇术!$A:$ZZ,2,FALSE)+SUM(_xlfn.XLOOKUP($R115:$AF115,增益!$A:$A,增益!$B:$B,0))</f>
        <v>0.2389</v>
      </c>
      <c r="AM115" s="27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3742.006</v>
      </c>
      <c r="AO115" cm="1">
        <f t="array" ref="AO115">$E$10*(1+$AM115)+VLOOKUP($Q115,武学奇术!$A:$ZZ,4,FALSE)+SUM(_xlfn.XLOOKUP($R115:$AF115,增益!$A:$A,增益!$D:$D,0))-$I$2</f>
        <v>3742.006</v>
      </c>
      <c r="AP115" s="33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0.342</v>
      </c>
      <c r="AQ115" s="33" cm="1">
        <f t="array" ref="AQ115">$G$10+VLOOKUP($Q115,武学奇术!$A:$ZZ,7,FALSE)+SUM(_xlfn.XLOOKUP(R115:AF115,增益!$A:$A,增益!$G:$G,0))</f>
        <v>0.09</v>
      </c>
      <c r="AR115" s="27" cm="1">
        <f t="array" ref="AR115">VLOOKUP($Q115,武学奇术!$A:$ZZ,8,FALSE)+SUM(_xlfn.XLOOKUP(R115:AF115,增益!$A:$A,增益!$H:$H,0))</f>
        <v>0</v>
      </c>
      <c r="AS115">
        <f t="shared" si="12"/>
        <v>0</v>
      </c>
      <c r="AT115">
        <f t="shared" si="13"/>
        <v>0</v>
      </c>
      <c r="AU115" s="33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-0.14</v>
      </c>
      <c r="AV115" s="33" cm="1">
        <f t="array" ref="AV115">$G$11+VLOOKUP($Q115,武学奇术!$A:$ZZ,10,FALSE)+SUM(_xlfn.XLOOKUP(R115:AF115,增益!$A:$A,增益!$J:$J,0))</f>
        <v>0.1</v>
      </c>
      <c r="AW115">
        <f t="shared" si="14"/>
        <v>0</v>
      </c>
      <c r="AX115">
        <f t="shared" si="15"/>
        <v>0</v>
      </c>
      <c r="AY115" s="33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-0.14</v>
      </c>
      <c r="AZ115" s="33" cm="1">
        <f t="array" ref="AZ115">$G$12+VLOOKUP($Q115,武学奇术!$A:$ZZ,12,FALSE)+SUM(_xlfn.XLOOKUP(R115:AF115,增益!$A:$A,增益!$L:$L,0))</f>
        <v>0</v>
      </c>
      <c r="BA115">
        <f t="shared" si="16"/>
        <v>0</v>
      </c>
      <c r="BB115">
        <f t="shared" si="17"/>
        <v>0</v>
      </c>
      <c r="BC115" s="33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-0.14</v>
      </c>
      <c r="BD115" s="33" cm="1">
        <f t="array" ref="BD115">$G$13+VLOOKUP($Q115,武学奇术!$A:$ZZ,14,FALSE)+SUM(_xlfn.XLOOKUP(R115:AF115,增益!$A:$A,增益!$N:$N,0))</f>
        <v>0</v>
      </c>
      <c r="BE115">
        <f t="shared" si="18"/>
        <v>570.28</v>
      </c>
      <c r="BF115">
        <f t="shared" si="19"/>
        <v>1582.156</v>
      </c>
      <c r="BG115" s="33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0.08</v>
      </c>
      <c r="BH115" s="33" cm="1">
        <f t="array" ref="BH115">$G$14+VLOOKUP($Q115,武学奇术!$A:$ZZ,16,FALSE)+SUM(_xlfn.XLOOKUP(R115:AF115,增益!$A:$A,增益!$P:$P,0))</f>
        <v>0.24</v>
      </c>
      <c r="BI115" s="27">
        <f>MIN(IF(VLOOKUP($Q115,武学奇术!$A:$ZZ,23,FALSE)=1,100%,$B$8),100%)</f>
        <v>1</v>
      </c>
      <c r="BJ115" s="27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+MIN(IF(VLOOKUP($Q115,武学奇术!$A:$ZZ,32,FALSE)=1,IF(VLOOKUP($Q115,武学奇术!$A:$ZZ,24,FALSE)=1,100%,MIN(40%,$B$10+VLOOKUP($Q115,武学奇术!$A:$ZZ,19,FALSE)+SUM(_xlfn.XLOOKUP(R115:AF115,增益!$A:$A,增益!$S:$S,0)))+$B$12+SUM(_xlfn.XLOOKUP(R115:AF115,增益!$A:$A,增益!$V:$V,0))),0),12%)</f>
        <v>0.918</v>
      </c>
      <c r="BK115" s="27" cm="1">
        <f t="array" ref="BK115">1+$B$13+VLOOKUP($Q115,武学奇术!$A:$ZZ,18,FALSE)+SUM(_xlfn.XLOOKUP(R115:AF115,增益!$A:$A,增益!$R:$R,0))</f>
        <v>1.89</v>
      </c>
      <c r="BL115" s="27" cm="1">
        <f t="array" ref="BL115">MAX(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-IF(VLOOKUP($Q115,武学奇术!$A:$ZZ,32,FALSE)=1,12%,0),0)</f>
        <v>0.0895</v>
      </c>
      <c r="BM115" s="27" cm="1">
        <f t="array" ref="BM115">1+$B$14+VLOOKUP($Q115,武学奇术!$A:$ZZ,20,FALSE)+SUM(_xlfn.XLOOKUP(R115:AF115,增益!$A:$A,增益!$T:$T,0))</f>
        <v>1.35</v>
      </c>
      <c r="BN115" s="27">
        <f t="shared" si="20"/>
        <v>0.9105</v>
      </c>
      <c r="BO115" s="27">
        <f t="shared" si="21"/>
        <v>0</v>
      </c>
      <c r="BP115" s="27">
        <f>IF(VLOOKUP($Q115,武学奇术!$A:$ZZ,22,FALSE)=1,0,(1-$BI115))*(1-$BL115)</f>
        <v>0</v>
      </c>
      <c r="BQ115" s="27" cm="1">
        <f t="array" ref="BQ115">SUM(_xlfn.XLOOKUP(R115:AF115,增益!$A:$A,增益!$W:$W,0))+$I$5</f>
        <v>0.31</v>
      </c>
    </row>
    <row r="116" spans="11:69">
      <c r="K116" s="39">
        <f t="shared" si="11"/>
        <v>78381.317820596</v>
      </c>
      <c r="L116" s="39">
        <f>((($AN116+($AO116-$AN116)*IF(VLOOKUP($Q116,武学奇术!$A:$ZZ,31,FALSE)=1,$F$18,0.5))*$AH116+$AI116)*(1+$AP116)*(1+$AQ116)+(($AS116+($AT116-$AS116)*IF(VLOOKUP($Q116,武学奇术!$A:$ZZ,31,FALSE)=1,$F$18,0.5))*IF($G$1="鸣金",$AJ116,$AH116)+IF($G$1="鸣金",$AK116*1.5,0))*(1+$AU116)*(1+$AV116)+(($AW116+($AX116-$AW116)*IF(VLOOKUP($Q116,武学奇术!$A:$ZZ,31,FALSE)=1,$F$18,0.5))*IF($G$1="裂石",$AJ116,$AH116)+IF($G$1="裂石",$AK116*1.5,0))*(1+$AY116)*(1+$AZ116)+(($BA116+($BB116-$BA116)*IF(VLOOKUP($Q116,武学奇术!$A:$ZZ,31,FALSE)=1,$F$18,0.5))*IF($G$1="牵丝",$AJ116,$AH116)+IF($G$1="牵丝",$AK116*1.5,0))*(1+$BC116)*(1+$BD116)+(($BE116+($BF116-$BE116)*IF(VLOOKUP($Q116,武学奇术!$A:$ZZ,31,FALSE)=1,$F$18,0.5))*IF($G$1="破竹",$AJ116,$AH116)+IF($G$1="破竹",$AK116*1.5,0))*(1+$BG116)*(1+$BH116))*(1+$AL116)*$BK116*$P116*(1+IF(VLOOKUP($Q116,武学奇术!$A:$ZZ,30,FALSE)="蓄力技",$B$21,0))*(1+$BQ116)</f>
        <v>80552.8133816886</v>
      </c>
      <c r="M116" s="39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蓄力技",$B$21,0))*(1+$BQ116)</f>
        <v>56290.2931460169</v>
      </c>
      <c r="N116" s="39">
        <f>((($AN116+($AO116-$AN116)*IF(VLOOKUP($Q116,武学奇术!$A:$ZZ,31,FALSE)=1,$F$18,0.5))*$AH116+$AI116)*(1+$AP116)*(1+$AQ116)+(($AS116+($AT116-$AS116)*IF(VLOOKUP($Q116,武学奇术!$A:$ZZ,31,FALSE)=1,$F$18,0.5))*IF($G$1="鸣金",$AJ116,$AH116)+IF($G$1="鸣金",$AK116*1.5,0))*(1+$AU116)*(1+$AV116)+(($AW116+($AX116-$AW116)*IF(VLOOKUP($Q116,武学奇术!$A:$ZZ,31,FALSE)=1,$F$18,0.5))*IF($G$1="裂石",$AJ116,$AH116)+IF($G$1="裂石",$AK116*1.5,0))*(1+$AY116)*(1+$AZ116)+(($BA116+($BB116-$BA116)*IF(VLOOKUP($Q116,武学奇术!$A:$ZZ,31,FALSE)=1,$F$18,0.5))*IF($G$1="牵丝",$AJ116,$AH116)+IF($G$1="牵丝",$AK116*1.5,0))*(1+$BC116)*(1+$BD116)+(($BE116+($BF116-$BE116)*IF(VLOOKUP($Q116,武学奇术!$A:$ZZ,31,FALSE)=1,$F$18,0.5))*IF($G$1="破竹",$AJ116,$AH116)+IF($G$1="破竹",$AK116*1.5,0))*(1+$BG116)*(1+$BH116))*(1+$AL116)*$P116*(1+IF(VLOOKUP($Q116,武学奇术!$A:$ZZ,30,FALSE)="蓄力技",$B$21,0))*(1+$BQ116)</f>
        <v>36782.1065669811</v>
      </c>
      <c r="O116" s="39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蓄力技",$B$21,0))*(1+$BQ116)</f>
        <v>31867.6996924682</v>
      </c>
      <c r="P116" s="40">
        <v>1</v>
      </c>
      <c r="Q116" s="41" t="s">
        <v>100</v>
      </c>
      <c r="R116" s="41" t="s">
        <v>93</v>
      </c>
      <c r="S116" s="41" t="s">
        <v>118</v>
      </c>
      <c r="T116" s="41" t="s">
        <v>72</v>
      </c>
      <c r="U116" s="41" t="s">
        <v>72</v>
      </c>
      <c r="V116" s="41" t="s">
        <v>176</v>
      </c>
      <c r="W116" s="41" t="s">
        <v>177</v>
      </c>
      <c r="X116" s="41" t="s">
        <v>165</v>
      </c>
      <c r="Y116" s="41" t="s">
        <v>81</v>
      </c>
      <c r="Z116" s="41" t="s">
        <v>101</v>
      </c>
      <c r="AA116" s="41" t="s">
        <v>72</v>
      </c>
      <c r="AB116" s="41" t="s">
        <v>72</v>
      </c>
      <c r="AC116" s="41" t="s">
        <v>72</v>
      </c>
      <c r="AD116" s="41" t="s">
        <v>72</v>
      </c>
      <c r="AE116" s="41" t="s">
        <v>75</v>
      </c>
      <c r="AF116" s="41" t="s">
        <v>76</v>
      </c>
      <c r="AG116" t="str">
        <f>VLOOKUP($Q116,武学奇术!$A:$ZZ,25,FALSE)</f>
        <v>绳镖</v>
      </c>
      <c r="AH116" s="27">
        <f>VLOOKUP($Q116,武学奇术!$A:$ZZ,26,FALSE)</f>
        <v>2.33376</v>
      </c>
      <c r="AI116" s="28">
        <f>VLOOKUP($Q116,武学奇术!$A:$ZZ,27,FALSE)*(1+IF(OR($AG116=$F$4,$AG116=$F$5),$B$22,0))</f>
        <v>0</v>
      </c>
      <c r="AJ116" s="27">
        <f>VLOOKUP($Q116,武学奇术!$A:$ZZ,28,FALSE)</f>
        <v>3.50064</v>
      </c>
      <c r="AK116" s="28">
        <f>VLOOKUP($Q116,武学奇术!$A:$ZZ,29,FALSE)*(1+IF(OR($AG116=$F$4,$AG116=$F$5),$B$22,0))</f>
        <v>0</v>
      </c>
      <c r="AL116" s="27" cm="1">
        <f t="array" ref="AL116">$G$3+IFERROR(VLOOKUP($AG116,$F$4:$G$7,2,FALSE),0)+VLOOKUP($Q116,武学奇术!$A:$ZZ,2,FALSE)+SUM(_xlfn.XLOOKUP($R116:$AF116,增益!$A:$A,增益!$B:$B,0))</f>
        <v>0.5389</v>
      </c>
      <c r="AM116" s="27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3742.006</v>
      </c>
      <c r="AO116" cm="1">
        <f t="array" ref="AO116">$E$10*(1+$AM116)+VLOOKUP($Q116,武学奇术!$A:$ZZ,4,FALSE)+SUM(_xlfn.XLOOKUP($R116:$AF116,增益!$A:$A,增益!$D:$D,0))-$I$2</f>
        <v>3742.006</v>
      </c>
      <c r="AP116" s="33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0.372</v>
      </c>
      <c r="AQ116" s="33" cm="1">
        <f t="array" ref="AQ116">$G$10+VLOOKUP($Q116,武学奇术!$A:$ZZ,7,FALSE)+SUM(_xlfn.XLOOKUP(R116:AF116,增益!$A:$A,增益!$G:$G,0))</f>
        <v>0.09</v>
      </c>
      <c r="AR116" s="27" cm="1">
        <f t="array" ref="AR116">VLOOKUP($Q116,武学奇术!$A:$ZZ,8,FALSE)+SUM(_xlfn.XLOOKUP(R116:AF116,增益!$A:$A,增益!$H:$H,0))</f>
        <v>0</v>
      </c>
      <c r="AS116">
        <f t="shared" si="12"/>
        <v>0</v>
      </c>
      <c r="AT116">
        <f t="shared" si="13"/>
        <v>0</v>
      </c>
      <c r="AU116" s="33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-0.08</v>
      </c>
      <c r="AV116" s="33" cm="1">
        <f t="array" ref="AV116">$G$11+VLOOKUP($Q116,武学奇术!$A:$ZZ,10,FALSE)+SUM(_xlfn.XLOOKUP(R116:AF116,增益!$A:$A,增益!$J:$J,0))</f>
        <v>0.1</v>
      </c>
      <c r="AW116">
        <f t="shared" si="14"/>
        <v>0</v>
      </c>
      <c r="AX116">
        <f t="shared" si="15"/>
        <v>0</v>
      </c>
      <c r="AY116" s="33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-0.08</v>
      </c>
      <c r="AZ116" s="33" cm="1">
        <f t="array" ref="AZ116">$G$12+VLOOKUP($Q116,武学奇术!$A:$ZZ,12,FALSE)+SUM(_xlfn.XLOOKUP(R116:AF116,增益!$A:$A,增益!$L:$L,0))</f>
        <v>0</v>
      </c>
      <c r="BA116">
        <f t="shared" si="16"/>
        <v>0</v>
      </c>
      <c r="BB116">
        <f t="shared" si="17"/>
        <v>0</v>
      </c>
      <c r="BC116" s="33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-0.08</v>
      </c>
      <c r="BD116" s="33" cm="1">
        <f t="array" ref="BD116">$G$13+VLOOKUP($Q116,武学奇术!$A:$ZZ,14,FALSE)+SUM(_xlfn.XLOOKUP(R116:AF116,增益!$A:$A,增益!$N:$N,0))</f>
        <v>0</v>
      </c>
      <c r="BE116">
        <f t="shared" si="18"/>
        <v>570.28</v>
      </c>
      <c r="BF116">
        <f t="shared" si="19"/>
        <v>1582.156</v>
      </c>
      <c r="BG116" s="33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0.11</v>
      </c>
      <c r="BH116" s="33" cm="1">
        <f t="array" ref="BH116">$G$14+VLOOKUP($Q116,武学奇术!$A:$ZZ,16,FALSE)+SUM(_xlfn.XLOOKUP(R116:AF116,增益!$A:$A,增益!$P:$P,0))</f>
        <v>0.24</v>
      </c>
      <c r="BI116" s="27">
        <f>MIN(IF(VLOOKUP($Q116,武学奇术!$A:$ZZ,23,FALSE)=1,100%,$B$8),100%)</f>
        <v>1</v>
      </c>
      <c r="BJ116" s="27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+MIN(IF(VLOOKUP($Q116,武学奇术!$A:$ZZ,32,FALSE)=1,IF(VLOOKUP($Q116,武学奇术!$A:$ZZ,24,FALSE)=1,100%,MIN(40%,$B$10+VLOOKUP($Q116,武学奇术!$A:$ZZ,19,FALSE)+SUM(_xlfn.XLOOKUP(R116:AF116,增益!$A:$A,增益!$S:$S,0)))+$B$12+SUM(_xlfn.XLOOKUP(R116:AF116,增益!$A:$A,增益!$V:$V,0))),0),12%)</f>
        <v>0.918</v>
      </c>
      <c r="BK116" s="27" cm="1">
        <f t="array" ref="BK116">1+$B$13+VLOOKUP($Q116,武学奇术!$A:$ZZ,18,FALSE)+SUM(_xlfn.XLOOKUP(R116:AF116,增益!$A:$A,增益!$R:$R,0))</f>
        <v>2.19</v>
      </c>
      <c r="BL116" s="27" cm="1">
        <f t="array" ref="BL116">MAX(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-IF(VLOOKUP($Q116,武学奇术!$A:$ZZ,32,FALSE)=1,12%,0),0)</f>
        <v>0.0895</v>
      </c>
      <c r="BM116" s="27" cm="1">
        <f t="array" ref="BM116">1+$B$14+VLOOKUP($Q116,武学奇术!$A:$ZZ,20,FALSE)+SUM(_xlfn.XLOOKUP(R116:AF116,增益!$A:$A,增益!$T:$T,0))</f>
        <v>1.35</v>
      </c>
      <c r="BN116" s="27">
        <f t="shared" si="20"/>
        <v>0.9105</v>
      </c>
      <c r="BO116" s="27">
        <f t="shared" si="21"/>
        <v>0</v>
      </c>
      <c r="BP116" s="27">
        <f>IF(VLOOKUP($Q116,武学奇术!$A:$ZZ,22,FALSE)=1,0,(1-$BI116))*(1-$BL116)</f>
        <v>0</v>
      </c>
      <c r="BQ116" s="27" cm="1">
        <f t="array" ref="BQ116">SUM(_xlfn.XLOOKUP(R116:AF116,增益!$A:$A,增益!$W:$W,0))+$I$5</f>
        <v>0.31</v>
      </c>
    </row>
    <row r="117" spans="11:69">
      <c r="K117" s="39">
        <f t="shared" si="11"/>
        <v>30555.3480530674</v>
      </c>
      <c r="L117" s="39">
        <f>((($AN117+($AO117-$AN117)*IF(VLOOKUP($Q117,武学奇术!$A:$ZZ,31,FALSE)=1,$F$18,0.5))*$AH117+$AI117)*(1+$AP117)*(1+$AQ117)+(($AS117+($AT117-$AS117)*IF(VLOOKUP($Q117,武学奇术!$A:$ZZ,31,FALSE)=1,$F$18,0.5))*IF($G$1="鸣金",$AJ117,$AH117)+IF($G$1="鸣金",$AK117*1.5,0))*(1+$AU117)*(1+$AV117)+(($AW117+($AX117-$AW117)*IF(VLOOKUP($Q117,武学奇术!$A:$ZZ,31,FALSE)=1,$F$18,0.5))*IF($G$1="裂石",$AJ117,$AH117)+IF($G$1="裂石",$AK117*1.5,0))*(1+$AY117)*(1+$AZ117)+(($BA117+($BB117-$BA117)*IF(VLOOKUP($Q117,武学奇术!$A:$ZZ,31,FALSE)=1,$F$18,0.5))*IF($G$1="牵丝",$AJ117,$AH117)+IF($G$1="牵丝",$AK117*1.5,0))*(1+$BC117)*(1+$BD117)+(($BE117+($BF117-$BE117)*IF(VLOOKUP($Q117,武学奇术!$A:$ZZ,31,FALSE)=1,$F$18,0.5))*IF($G$1="破竹",$AJ117,$AH117)+IF($G$1="破竹",$AK117*1.5,0))*(1+$BG117)*(1+$BH117))*(1+$AL117)*$BK117*$P117*(1+IF(VLOOKUP($Q117,武学奇术!$A:$ZZ,30,FALSE)="蓄力技",$B$21,0))*(1+$BQ117)</f>
        <v>31116.6439196374</v>
      </c>
      <c r="M117" s="39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蓄力技",$B$21,0))*(1+$BQ117)</f>
        <v>24845.1817233237</v>
      </c>
      <c r="N117" s="39">
        <f>((($AN117+($AO117-$AN117)*IF(VLOOKUP($Q117,武学奇术!$A:$ZZ,31,FALSE)=1,$F$18,0.5))*$AH117+$AI117)*(1+$AP117)*(1+$AQ117)+(($AS117+($AT117-$AS117)*IF(VLOOKUP($Q117,武学奇术!$A:$ZZ,31,FALSE)=1,$F$18,0.5))*IF($G$1="鸣金",$AJ117,$AH117)+IF($G$1="鸣金",$AK117*1.5,0))*(1+$AU117)*(1+$AV117)+(($AW117+($AX117-$AW117)*IF(VLOOKUP($Q117,武学奇术!$A:$ZZ,31,FALSE)=1,$F$18,0.5))*IF($G$1="裂石",$AJ117,$AH117)+IF($G$1="裂石",$AK117*1.5,0))*(1+$AY117)*(1+$AZ117)+(($BA117+($BB117-$BA117)*IF(VLOOKUP($Q117,武学奇术!$A:$ZZ,31,FALSE)=1,$F$18,0.5))*IF($G$1="牵丝",$AJ117,$AH117)+IF($G$1="牵丝",$AK117*1.5,0))*(1+$BC117)*(1+$BD117)+(($BE117+($BF117-$BE117)*IF(VLOOKUP($Q117,武学奇术!$A:$ZZ,31,FALSE)=1,$F$18,0.5))*IF($G$1="破竹",$AJ117,$AH117)+IF($G$1="破竹",$AK117*1.5,0))*(1+$BG117)*(1+$BH117))*(1+$AL117)*$P117*(1+IF(VLOOKUP($Q117,武学奇术!$A:$ZZ,30,FALSE)="蓄力技",$B$21,0))*(1+$BQ117)</f>
        <v>16463.8327617129</v>
      </c>
      <c r="O117" s="39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蓄力技",$B$21,0))*(1+$BQ117)</f>
        <v>14523.8272098527</v>
      </c>
      <c r="P117" s="40">
        <v>1</v>
      </c>
      <c r="Q117" s="41" t="s">
        <v>140</v>
      </c>
      <c r="R117" s="41" t="s">
        <v>93</v>
      </c>
      <c r="S117" s="41" t="s">
        <v>118</v>
      </c>
      <c r="T117" s="41" t="s">
        <v>72</v>
      </c>
      <c r="U117" s="41" t="s">
        <v>72</v>
      </c>
      <c r="V117" s="41" t="s">
        <v>176</v>
      </c>
      <c r="W117" s="41" t="s">
        <v>177</v>
      </c>
      <c r="X117" s="41" t="s">
        <v>165</v>
      </c>
      <c r="Y117" s="41" t="s">
        <v>81</v>
      </c>
      <c r="Z117" s="41" t="s">
        <v>72</v>
      </c>
      <c r="AA117" s="41" t="s">
        <v>72</v>
      </c>
      <c r="AB117" s="41" t="s">
        <v>72</v>
      </c>
      <c r="AC117" s="41" t="s">
        <v>72</v>
      </c>
      <c r="AD117" s="41" t="s">
        <v>72</v>
      </c>
      <c r="AE117" s="41" t="s">
        <v>75</v>
      </c>
      <c r="AF117" s="41" t="s">
        <v>76</v>
      </c>
      <c r="AG117" t="str">
        <f>VLOOKUP($Q117,武学奇术!$A:$ZZ,25,FALSE)</f>
        <v>拳甲</v>
      </c>
      <c r="AH117" s="27">
        <f>VLOOKUP($Q117,武学奇术!$A:$ZZ,26,FALSE)</f>
        <v>1.1005</v>
      </c>
      <c r="AI117" s="28">
        <f>VLOOKUP($Q117,武学奇术!$A:$ZZ,27,FALSE)*(1+IF(OR($AG117=$F$4,$AG117=$F$5),$B$22,0))</f>
        <v>427</v>
      </c>
      <c r="AJ117" s="27">
        <f>VLOOKUP($Q117,武学奇术!$A:$ZZ,28,FALSE)</f>
        <v>1.6507</v>
      </c>
      <c r="AK117" s="28">
        <f>VLOOKUP($Q117,武学奇术!$A:$ZZ,29,FALSE)*(1+IF(OR($AG117=$F$4,$AG117=$F$5),$B$22,0))</f>
        <v>231</v>
      </c>
      <c r="AL117" s="27" cm="1">
        <f t="array" ref="AL117">$G$3+IFERROR(VLOOKUP($AG117,$F$4:$G$7,2,FALSE),0)+VLOOKUP($Q117,武学奇术!$A:$ZZ,2,FALSE)+SUM(_xlfn.XLOOKUP($R117:$AF117,增益!$A:$A,增益!$B:$B,0))</f>
        <v>0.3241</v>
      </c>
      <c r="AM117" s="27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3742.006</v>
      </c>
      <c r="AO117" cm="1">
        <f t="array" ref="AO117">$E$10*(1+$AM117)+VLOOKUP($Q117,武学奇术!$A:$ZZ,4,FALSE)+SUM(_xlfn.XLOOKUP($R117:$AF117,增益!$A:$A,增益!$D:$D,0))-$I$2</f>
        <v>3742.006</v>
      </c>
      <c r="AP117" s="33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0.342</v>
      </c>
      <c r="AQ117" s="33" cm="1">
        <f t="array" ref="AQ117">$G$10+VLOOKUP($Q117,武学奇术!$A:$ZZ,7,FALSE)+SUM(_xlfn.XLOOKUP(R117:AF117,增益!$A:$A,增益!$G:$G,0))</f>
        <v>0.09</v>
      </c>
      <c r="AR117" s="27" cm="1">
        <f t="array" ref="AR117">VLOOKUP($Q117,武学奇术!$A:$ZZ,8,FALSE)+SUM(_xlfn.XLOOKUP(R117:AF117,增益!$A:$A,增益!$H:$H,0))</f>
        <v>0</v>
      </c>
      <c r="AS117">
        <f t="shared" si="12"/>
        <v>0</v>
      </c>
      <c r="AT117">
        <f t="shared" si="13"/>
        <v>0</v>
      </c>
      <c r="AU117" s="33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-0.14</v>
      </c>
      <c r="AV117" s="33" cm="1">
        <f t="array" ref="AV117">$G$11+VLOOKUP($Q117,武学奇术!$A:$ZZ,10,FALSE)+SUM(_xlfn.XLOOKUP(R117:AF117,增益!$A:$A,增益!$J:$J,0))</f>
        <v>0.1</v>
      </c>
      <c r="AW117">
        <f t="shared" si="14"/>
        <v>0</v>
      </c>
      <c r="AX117">
        <f t="shared" si="15"/>
        <v>0</v>
      </c>
      <c r="AY117" s="33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-0.14</v>
      </c>
      <c r="AZ117" s="33" cm="1">
        <f t="array" ref="AZ117">$G$12+VLOOKUP($Q117,武学奇术!$A:$ZZ,12,FALSE)+SUM(_xlfn.XLOOKUP(R117:AF117,增益!$A:$A,增益!$L:$L,0))</f>
        <v>0</v>
      </c>
      <c r="BA117">
        <f t="shared" si="16"/>
        <v>0</v>
      </c>
      <c r="BB117">
        <f t="shared" si="17"/>
        <v>0</v>
      </c>
      <c r="BC117" s="33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-0.14</v>
      </c>
      <c r="BD117" s="33" cm="1">
        <f t="array" ref="BD117">$G$13+VLOOKUP($Q117,武学奇术!$A:$ZZ,14,FALSE)+SUM(_xlfn.XLOOKUP(R117:AF117,增益!$A:$A,增益!$N:$N,0))</f>
        <v>0</v>
      </c>
      <c r="BE117">
        <f t="shared" si="18"/>
        <v>570.28</v>
      </c>
      <c r="BF117">
        <f t="shared" si="19"/>
        <v>1582.156</v>
      </c>
      <c r="BG117" s="33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0.08</v>
      </c>
      <c r="BH117" s="33" cm="1">
        <f t="array" ref="BH117">$G$14+VLOOKUP($Q117,武学奇术!$A:$ZZ,16,FALSE)+SUM(_xlfn.XLOOKUP(R117:AF117,增益!$A:$A,增益!$P:$P,0))</f>
        <v>0.24</v>
      </c>
      <c r="BI117" s="27">
        <f>MIN(IF(VLOOKUP($Q117,武学奇术!$A:$ZZ,23,FALSE)=1,100%,$B$8),100%)</f>
        <v>1</v>
      </c>
      <c r="BJ117" s="27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+MIN(IF(VLOOKUP($Q117,武学奇术!$A:$ZZ,32,FALSE)=1,IF(VLOOKUP($Q117,武学奇术!$A:$ZZ,24,FALSE)=1,100%,MIN(40%,$B$10+VLOOKUP($Q117,武学奇术!$A:$ZZ,19,FALSE)+SUM(_xlfn.XLOOKUP(R117:AF117,增益!$A:$A,增益!$S:$S,0)))+$B$12+SUM(_xlfn.XLOOKUP(R117:AF117,增益!$A:$A,增益!$V:$V,0))),0),12%)</f>
        <v>0.918</v>
      </c>
      <c r="BK117" s="27" cm="1">
        <f t="array" ref="BK117">1+$B$13+VLOOKUP($Q117,武学奇术!$A:$ZZ,18,FALSE)+SUM(_xlfn.XLOOKUP(R117:AF117,增益!$A:$A,增益!$R:$R,0))</f>
        <v>1.89</v>
      </c>
      <c r="BL117" s="27" cm="1">
        <f t="array" ref="BL117">MAX(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-IF(VLOOKUP($Q117,武学奇术!$A:$ZZ,32,FALSE)=1,12%,0),0)</f>
        <v>0.0895</v>
      </c>
      <c r="BM117" s="27" cm="1">
        <f t="array" ref="BM117">1+$B$14+VLOOKUP($Q117,武学奇术!$A:$ZZ,20,FALSE)+SUM(_xlfn.XLOOKUP(R117:AF117,增益!$A:$A,增益!$T:$T,0))</f>
        <v>1.35</v>
      </c>
      <c r="BN117" s="27">
        <f t="shared" si="20"/>
        <v>0.9105</v>
      </c>
      <c r="BO117" s="27">
        <f t="shared" si="21"/>
        <v>0</v>
      </c>
      <c r="BP117" s="27">
        <f>IF(VLOOKUP($Q117,武学奇术!$A:$ZZ,22,FALSE)=1,0,(1-$BI117))*(1-$BL117)</f>
        <v>0</v>
      </c>
      <c r="BQ117" s="27" cm="1">
        <f t="array" ref="BQ117">SUM(_xlfn.XLOOKUP(R117:AF117,增益!$A:$A,增益!$W:$W,0))+$I$5</f>
        <v>0.31</v>
      </c>
    </row>
    <row r="118" spans="11:69">
      <c r="K118" s="39">
        <f t="shared" si="11"/>
        <v>110011.394051836</v>
      </c>
      <c r="L118" s="39">
        <f>((($AN118+($AO118-$AN118)*IF(VLOOKUP($Q118,武学奇术!$A:$ZZ,31,FALSE)=1,$F$18,0.5))*$AH118+$AI118)*(1+$AP118)*(1+$AQ118)+(($AS118+($AT118-$AS118)*IF(VLOOKUP($Q118,武学奇术!$A:$ZZ,31,FALSE)=1,$F$18,0.5))*IF($G$1="鸣金",$AJ118,$AH118)+IF($G$1="鸣金",$AK118*1.5,0))*(1+$AU118)*(1+$AV118)+(($AW118+($AX118-$AW118)*IF(VLOOKUP($Q118,武学奇术!$A:$ZZ,31,FALSE)=1,$F$18,0.5))*IF($G$1="裂石",$AJ118,$AH118)+IF($G$1="裂石",$AK118*1.5,0))*(1+$AY118)*(1+$AZ118)+(($BA118+($BB118-$BA118)*IF(VLOOKUP($Q118,武学奇术!$A:$ZZ,31,FALSE)=1,$F$18,0.5))*IF($G$1="牵丝",$AJ118,$AH118)+IF($G$1="牵丝",$AK118*1.5,0))*(1+$BC118)*(1+$BD118)+(($BE118+($BF118-$BE118)*IF(VLOOKUP($Q118,武学奇术!$A:$ZZ,31,FALSE)=1,$F$18,0.5))*IF($G$1="破竹",$AJ118,$AH118)+IF($G$1="破竹",$AK118*1.5,0))*(1+$BG118)*(1+$BH118))*(1+$AL118)*$BK118*$P118*(1+IF(VLOOKUP($Q118,武学奇术!$A:$ZZ,30,FALSE)="蓄力技",$B$21,0))*(1+$BQ118)</f>
        <v>113157.015134707</v>
      </c>
      <c r="M118" s="39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蓄力技",$B$21,0))*(1+$BQ118)</f>
        <v>78010.4108568096</v>
      </c>
      <c r="N118" s="39">
        <f>((($AN118+($AO118-$AN118)*IF(VLOOKUP($Q118,武学奇术!$A:$ZZ,31,FALSE)=1,$F$18,0.5))*$AH118+$AI118)*(1+$AP118)*(1+$AQ118)+(($AS118+($AT118-$AS118)*IF(VLOOKUP($Q118,武学奇术!$A:$ZZ,31,FALSE)=1,$F$18,0.5))*IF($G$1="鸣金",$AJ118,$AH118)+IF($G$1="鸣金",$AK118*1.5,0))*(1+$AU118)*(1+$AV118)+(($AW118+($AX118-$AW118)*IF(VLOOKUP($Q118,武学奇术!$A:$ZZ,31,FALSE)=1,$F$18,0.5))*IF($G$1="裂石",$AJ118,$AH118)+IF($G$1="裂石",$AK118*1.5,0))*(1+$AY118)*(1+$AZ118)+(($BA118+($BB118-$BA118)*IF(VLOOKUP($Q118,武学奇术!$A:$ZZ,31,FALSE)=1,$F$18,0.5))*IF($G$1="牵丝",$AJ118,$AH118)+IF($G$1="牵丝",$AK118*1.5,0))*(1+$BC118)*(1+$BD118)+(($BE118+($BF118-$BE118)*IF(VLOOKUP($Q118,武学奇术!$A:$ZZ,31,FALSE)=1,$F$18,0.5))*IF($G$1="破竹",$AJ118,$AH118)+IF($G$1="破竹",$AK118*1.5,0))*(1+$BG118)*(1+$BH118))*(1+$AL118)*$P118*(1+IF(VLOOKUP($Q118,武学奇术!$A:$ZZ,30,FALSE)="蓄力技",$B$21,0))*(1+$BQ118)</f>
        <v>51669.8699245239</v>
      </c>
      <c r="O118" s="39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蓄力技",$B$21,0))*(1+$BQ118)</f>
        <v>45554.2503254852</v>
      </c>
      <c r="P118" s="40">
        <v>1</v>
      </c>
      <c r="Q118" s="41" t="s">
        <v>103</v>
      </c>
      <c r="R118" s="41" t="s">
        <v>93</v>
      </c>
      <c r="S118" s="41" t="s">
        <v>118</v>
      </c>
      <c r="T118" s="41" t="s">
        <v>72</v>
      </c>
      <c r="U118" s="41" t="s">
        <v>72</v>
      </c>
      <c r="V118" s="41" t="s">
        <v>176</v>
      </c>
      <c r="W118" s="41" t="s">
        <v>177</v>
      </c>
      <c r="X118" s="41" t="s">
        <v>165</v>
      </c>
      <c r="Y118" s="41" t="s">
        <v>81</v>
      </c>
      <c r="Z118" s="41" t="s">
        <v>101</v>
      </c>
      <c r="AA118" s="41" t="s">
        <v>72</v>
      </c>
      <c r="AB118" s="41" t="s">
        <v>72</v>
      </c>
      <c r="AC118" s="41" t="s">
        <v>72</v>
      </c>
      <c r="AD118" s="41" t="s">
        <v>72</v>
      </c>
      <c r="AE118" s="41" t="s">
        <v>75</v>
      </c>
      <c r="AF118" s="41" t="s">
        <v>76</v>
      </c>
      <c r="AG118" t="str">
        <f>VLOOKUP($Q118,武学奇术!$A:$ZZ,25,FALSE)</f>
        <v>拳甲</v>
      </c>
      <c r="AH118" s="27">
        <f>VLOOKUP($Q118,武学奇术!$A:$ZZ,26,FALSE)</f>
        <v>2.75166</v>
      </c>
      <c r="AI118" s="28">
        <f>VLOOKUP($Q118,武学奇术!$A:$ZZ,27,FALSE)*(1+IF(OR($AG118=$F$4,$AG118=$F$5),$B$22,0))</f>
        <v>1060.92</v>
      </c>
      <c r="AJ118" s="27">
        <f>VLOOKUP($Q118,武学奇术!$A:$ZZ,28,FALSE)</f>
        <v>4.12776</v>
      </c>
      <c r="AK118" s="28">
        <f>VLOOKUP($Q118,武学奇术!$A:$ZZ,29,FALSE)*(1+IF(OR($AG118=$F$4,$AG118=$F$5),$B$22,0))</f>
        <v>574.56</v>
      </c>
      <c r="AL118" s="27" cm="1">
        <f t="array" ref="AL118">$G$3+IFERROR(VLOOKUP($AG118,$F$4:$G$7,2,FALSE),0)+VLOOKUP($Q118,武学奇术!$A:$ZZ,2,FALSE)+SUM(_xlfn.XLOOKUP($R118:$AF118,增益!$A:$A,增益!$B:$B,0))</f>
        <v>0.6241</v>
      </c>
      <c r="AM118" s="27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3742.006</v>
      </c>
      <c r="AO118" cm="1">
        <f t="array" ref="AO118">$E$10*(1+$AM118)+VLOOKUP($Q118,武学奇术!$A:$ZZ,4,FALSE)+SUM(_xlfn.XLOOKUP($R118:$AF118,增益!$A:$A,增益!$D:$D,0))-$I$2</f>
        <v>3742.006</v>
      </c>
      <c r="AP118" s="33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0.372</v>
      </c>
      <c r="AQ118" s="33" cm="1">
        <f t="array" ref="AQ118">$G$10+VLOOKUP($Q118,武学奇术!$A:$ZZ,7,FALSE)+SUM(_xlfn.XLOOKUP(R118:AF118,增益!$A:$A,增益!$G:$G,0))</f>
        <v>0.09</v>
      </c>
      <c r="AR118" s="27" cm="1">
        <f t="array" ref="AR118">VLOOKUP($Q118,武学奇术!$A:$ZZ,8,FALSE)+SUM(_xlfn.XLOOKUP(R118:AF118,增益!$A:$A,增益!$H:$H,0))</f>
        <v>0</v>
      </c>
      <c r="AS118">
        <f t="shared" si="12"/>
        <v>0</v>
      </c>
      <c r="AT118">
        <f t="shared" si="13"/>
        <v>0</v>
      </c>
      <c r="AU118" s="33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-0.08</v>
      </c>
      <c r="AV118" s="33" cm="1">
        <f t="array" ref="AV118">$G$11+VLOOKUP($Q118,武学奇术!$A:$ZZ,10,FALSE)+SUM(_xlfn.XLOOKUP(R118:AF118,增益!$A:$A,增益!$J:$J,0))</f>
        <v>0.1</v>
      </c>
      <c r="AW118">
        <f t="shared" si="14"/>
        <v>0</v>
      </c>
      <c r="AX118">
        <f t="shared" si="15"/>
        <v>0</v>
      </c>
      <c r="AY118" s="33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-0.08</v>
      </c>
      <c r="AZ118" s="33" cm="1">
        <f t="array" ref="AZ118">$G$12+VLOOKUP($Q118,武学奇术!$A:$ZZ,12,FALSE)+SUM(_xlfn.XLOOKUP(R118:AF118,增益!$A:$A,增益!$L:$L,0))</f>
        <v>0</v>
      </c>
      <c r="BA118">
        <f t="shared" si="16"/>
        <v>0</v>
      </c>
      <c r="BB118">
        <f t="shared" si="17"/>
        <v>0</v>
      </c>
      <c r="BC118" s="33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-0.08</v>
      </c>
      <c r="BD118" s="33" cm="1">
        <f t="array" ref="BD118">$G$13+VLOOKUP($Q118,武学奇术!$A:$ZZ,14,FALSE)+SUM(_xlfn.XLOOKUP(R118:AF118,增益!$A:$A,增益!$N:$N,0))</f>
        <v>0</v>
      </c>
      <c r="BE118">
        <f t="shared" si="18"/>
        <v>570.28</v>
      </c>
      <c r="BF118">
        <f t="shared" si="19"/>
        <v>1582.156</v>
      </c>
      <c r="BG118" s="33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0.11</v>
      </c>
      <c r="BH118" s="33" cm="1">
        <f t="array" ref="BH118">$G$14+VLOOKUP($Q118,武学奇术!$A:$ZZ,16,FALSE)+SUM(_xlfn.XLOOKUP(R118:AF118,增益!$A:$A,增益!$P:$P,0))</f>
        <v>0.24</v>
      </c>
      <c r="BI118" s="27">
        <f>MIN(IF(VLOOKUP($Q118,武学奇术!$A:$ZZ,23,FALSE)=1,100%,$B$8),100%)</f>
        <v>1</v>
      </c>
      <c r="BJ118" s="27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+MIN(IF(VLOOKUP($Q118,武学奇术!$A:$ZZ,32,FALSE)=1,IF(VLOOKUP($Q118,武学奇术!$A:$ZZ,24,FALSE)=1,100%,MIN(40%,$B$10+VLOOKUP($Q118,武学奇术!$A:$ZZ,19,FALSE)+SUM(_xlfn.XLOOKUP(R118:AF118,增益!$A:$A,增益!$S:$S,0)))+$B$12+SUM(_xlfn.XLOOKUP(R118:AF118,增益!$A:$A,增益!$V:$V,0))),0),12%)</f>
        <v>0.918</v>
      </c>
      <c r="BK118" s="27" cm="1">
        <f t="array" ref="BK118">1+$B$13+VLOOKUP($Q118,武学奇术!$A:$ZZ,18,FALSE)+SUM(_xlfn.XLOOKUP(R118:AF118,增益!$A:$A,增益!$R:$R,0))</f>
        <v>2.19</v>
      </c>
      <c r="BL118" s="27" cm="1">
        <f t="array" ref="BL118">MAX(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-IF(VLOOKUP($Q118,武学奇术!$A:$ZZ,32,FALSE)=1,12%,0),0)</f>
        <v>0.0895</v>
      </c>
      <c r="BM118" s="27" cm="1">
        <f t="array" ref="BM118">1+$B$14+VLOOKUP($Q118,武学奇术!$A:$ZZ,20,FALSE)+SUM(_xlfn.XLOOKUP(R118:AF118,增益!$A:$A,增益!$T:$T,0))</f>
        <v>1.35</v>
      </c>
      <c r="BN118" s="27">
        <f t="shared" si="20"/>
        <v>0.9105</v>
      </c>
      <c r="BO118" s="27">
        <f t="shared" si="21"/>
        <v>0</v>
      </c>
      <c r="BP118" s="27">
        <f>IF(VLOOKUP($Q118,武学奇术!$A:$ZZ,22,FALSE)=1,0,(1-$BI118))*(1-$BL118)</f>
        <v>0</v>
      </c>
      <c r="BQ118" s="27" cm="1">
        <f t="array" ref="BQ118">SUM(_xlfn.XLOOKUP(R118:AF118,增益!$A:$A,增益!$W:$W,0))+$I$5</f>
        <v>0.31</v>
      </c>
    </row>
    <row r="119" spans="11:69">
      <c r="K119" s="39">
        <f t="shared" si="11"/>
        <v>35774.9713954433</v>
      </c>
      <c r="L119" s="39">
        <f>((($AN119+($AO119-$AN119)*IF(VLOOKUP($Q119,武学奇术!$A:$ZZ,31,FALSE)=1,$F$18,0.5))*$AH119+$AI119)*(1+$AP119)*(1+$AQ119)+(($AS119+($AT119-$AS119)*IF(VLOOKUP($Q119,武学奇术!$A:$ZZ,31,FALSE)=1,$F$18,0.5))*IF($G$1="鸣金",$AJ119,$AH119)+IF($G$1="鸣金",$AK119*1.5,0))*(1+$AU119)*(1+$AV119)+(($AW119+($AX119-$AW119)*IF(VLOOKUP($Q119,武学奇术!$A:$ZZ,31,FALSE)=1,$F$18,0.5))*IF($G$1="裂石",$AJ119,$AH119)+IF($G$1="裂石",$AK119*1.5,0))*(1+$AY119)*(1+$AZ119)+(($BA119+($BB119-$BA119)*IF(VLOOKUP($Q119,武学奇术!$A:$ZZ,31,FALSE)=1,$F$18,0.5))*IF($G$1="牵丝",$AJ119,$AH119)+IF($G$1="牵丝",$AK119*1.5,0))*(1+$BC119)*(1+$BD119)+(($BE119+($BF119-$BE119)*IF(VLOOKUP($Q119,武学奇术!$A:$ZZ,31,FALSE)=1,$F$18,0.5))*IF($G$1="破竹",$AJ119,$AH119)+IF($G$1="破竹",$AK119*1.5,0))*(1+$BG119)*(1+$BH119))*(1+$AL119)*$BK119*$P119*(1+IF(VLOOKUP($Q119,武学奇术!$A:$ZZ,30,FALSE)="蓄力技",$B$21,0))*(1+$BQ119)</f>
        <v>36432.3520107557</v>
      </c>
      <c r="M119" s="39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蓄力技",$B$21,0))*(1+$BQ119)</f>
        <v>29087.3172027953</v>
      </c>
      <c r="N119" s="39">
        <f>((($AN119+($AO119-$AN119)*IF(VLOOKUP($Q119,武学奇术!$A:$ZZ,31,FALSE)=1,$F$18,0.5))*$AH119+$AI119)*(1+$AP119)*(1+$AQ119)+(($AS119+($AT119-$AS119)*IF(VLOOKUP($Q119,武学奇术!$A:$ZZ,31,FALSE)=1,$F$18,0.5))*IF($G$1="鸣金",$AJ119,$AH119)+IF($G$1="鸣金",$AK119*1.5,0))*(1+$AU119)*(1+$AV119)+(($AW119+($AX119-$AW119)*IF(VLOOKUP($Q119,武学奇术!$A:$ZZ,31,FALSE)=1,$F$18,0.5))*IF($G$1="裂石",$AJ119,$AH119)+IF($G$1="裂石",$AK119*1.5,0))*(1+$AY119)*(1+$AZ119)+(($BA119+($BB119-$BA119)*IF(VLOOKUP($Q119,武学奇术!$A:$ZZ,31,FALSE)=1,$F$18,0.5))*IF($G$1="牵丝",$AJ119,$AH119)+IF($G$1="牵丝",$AK119*1.5,0))*(1+$BC119)*(1+$BD119)+(($BE119+($BF119-$BE119)*IF(VLOOKUP($Q119,武学奇术!$A:$ZZ,31,FALSE)=1,$F$18,0.5))*IF($G$1="破竹",$AJ119,$AH119)+IF($G$1="破竹",$AK119*1.5,0))*(1+$BG119)*(1+$BH119))*(1+$AL119)*$P119*(1+IF(VLOOKUP($Q119,武学奇术!$A:$ZZ,30,FALSE)="蓄力技",$B$21,0))*(1+$BQ119)</f>
        <v>19276.3767252676</v>
      </c>
      <c r="O119" s="39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蓄力技",$B$21,0))*(1+$BQ119)</f>
        <v>17006.5925595757</v>
      </c>
      <c r="P119" s="40">
        <v>1</v>
      </c>
      <c r="Q119" s="41" t="s">
        <v>106</v>
      </c>
      <c r="R119" s="41" t="s">
        <v>93</v>
      </c>
      <c r="S119" s="41" t="s">
        <v>118</v>
      </c>
      <c r="T119" s="41" t="s">
        <v>72</v>
      </c>
      <c r="U119" s="41" t="s">
        <v>72</v>
      </c>
      <c r="V119" s="41" t="s">
        <v>176</v>
      </c>
      <c r="W119" s="41" t="s">
        <v>177</v>
      </c>
      <c r="X119" s="41" t="s">
        <v>165</v>
      </c>
      <c r="Y119" s="41" t="s">
        <v>81</v>
      </c>
      <c r="Z119" s="41" t="s">
        <v>72</v>
      </c>
      <c r="AA119" s="41" t="s">
        <v>72</v>
      </c>
      <c r="AB119" s="41" t="s">
        <v>72</v>
      </c>
      <c r="AC119" s="41" t="s">
        <v>72</v>
      </c>
      <c r="AD119" s="41" t="s">
        <v>72</v>
      </c>
      <c r="AE119" s="41" t="s">
        <v>75</v>
      </c>
      <c r="AF119" s="41" t="s">
        <v>76</v>
      </c>
      <c r="AG119" t="str">
        <f>VLOOKUP($Q119,武学奇术!$A:$ZZ,25,FALSE)</f>
        <v>拳甲</v>
      </c>
      <c r="AH119" s="27">
        <f>VLOOKUP($Q119,武学奇术!$A:$ZZ,26,FALSE)</f>
        <v>1.2876</v>
      </c>
      <c r="AI119" s="28">
        <f>VLOOKUP($Q119,武学奇术!$A:$ZZ,27,FALSE)*(1+IF(OR($AG119=$F$4,$AG119=$F$5),$B$22,0))</f>
        <v>501.2</v>
      </c>
      <c r="AJ119" s="27">
        <f>VLOOKUP($Q119,武学奇术!$A:$ZZ,28,FALSE)</f>
        <v>1.9313</v>
      </c>
      <c r="AK119" s="28">
        <f>VLOOKUP($Q119,武学奇术!$A:$ZZ,29,FALSE)*(1+IF(OR($AG119=$F$4,$AG119=$F$5),$B$22,0))</f>
        <v>273</v>
      </c>
      <c r="AL119" s="27" cm="1">
        <f t="array" ref="AL119">$G$3+IFERROR(VLOOKUP($AG119,$F$4:$G$7,2,FALSE),0)+VLOOKUP($Q119,武学奇术!$A:$ZZ,2,FALSE)+SUM(_xlfn.XLOOKUP($R119:$AF119,增益!$A:$A,增益!$B:$B,0))</f>
        <v>0.3241</v>
      </c>
      <c r="AM119" s="27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3742.006</v>
      </c>
      <c r="AO119" cm="1">
        <f t="array" ref="AO119">$E$10*(1+$AM119)+VLOOKUP($Q119,武学奇术!$A:$ZZ,4,FALSE)+SUM(_xlfn.XLOOKUP($R119:$AF119,增益!$A:$A,增益!$D:$D,0))-$I$2</f>
        <v>3742.006</v>
      </c>
      <c r="AP119" s="33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0.342</v>
      </c>
      <c r="AQ119" s="33" cm="1">
        <f t="array" ref="AQ119">$G$10+VLOOKUP($Q119,武学奇术!$A:$ZZ,7,FALSE)+SUM(_xlfn.XLOOKUP(R119:AF119,增益!$A:$A,增益!$G:$G,0))</f>
        <v>0.09</v>
      </c>
      <c r="AR119" s="27" cm="1">
        <f t="array" ref="AR119">VLOOKUP($Q119,武学奇术!$A:$ZZ,8,FALSE)+SUM(_xlfn.XLOOKUP(R119:AF119,增益!$A:$A,增益!$H:$H,0))</f>
        <v>0</v>
      </c>
      <c r="AS119">
        <f t="shared" si="12"/>
        <v>0</v>
      </c>
      <c r="AT119">
        <f t="shared" si="13"/>
        <v>0</v>
      </c>
      <c r="AU119" s="33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-0.14</v>
      </c>
      <c r="AV119" s="33" cm="1">
        <f t="array" ref="AV119">$G$11+VLOOKUP($Q119,武学奇术!$A:$ZZ,10,FALSE)+SUM(_xlfn.XLOOKUP(R119:AF119,增益!$A:$A,增益!$J:$J,0))</f>
        <v>0.1</v>
      </c>
      <c r="AW119">
        <f t="shared" si="14"/>
        <v>0</v>
      </c>
      <c r="AX119">
        <f t="shared" si="15"/>
        <v>0</v>
      </c>
      <c r="AY119" s="33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-0.14</v>
      </c>
      <c r="AZ119" s="33" cm="1">
        <f t="array" ref="AZ119">$G$12+VLOOKUP($Q119,武学奇术!$A:$ZZ,12,FALSE)+SUM(_xlfn.XLOOKUP(R119:AF119,增益!$A:$A,增益!$L:$L,0))</f>
        <v>0</v>
      </c>
      <c r="BA119">
        <f t="shared" si="16"/>
        <v>0</v>
      </c>
      <c r="BB119">
        <f t="shared" si="17"/>
        <v>0</v>
      </c>
      <c r="BC119" s="33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-0.14</v>
      </c>
      <c r="BD119" s="33" cm="1">
        <f t="array" ref="BD119">$G$13+VLOOKUP($Q119,武学奇术!$A:$ZZ,14,FALSE)+SUM(_xlfn.XLOOKUP(R119:AF119,增益!$A:$A,增益!$N:$N,0))</f>
        <v>0</v>
      </c>
      <c r="BE119">
        <f t="shared" si="18"/>
        <v>570.28</v>
      </c>
      <c r="BF119">
        <f t="shared" si="19"/>
        <v>1582.156</v>
      </c>
      <c r="BG119" s="33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0.08</v>
      </c>
      <c r="BH119" s="33" cm="1">
        <f t="array" ref="BH119">$G$14+VLOOKUP($Q119,武学奇术!$A:$ZZ,16,FALSE)+SUM(_xlfn.XLOOKUP(R119:AF119,增益!$A:$A,增益!$P:$P,0))</f>
        <v>0.24</v>
      </c>
      <c r="BI119" s="27">
        <f>MIN(IF(VLOOKUP($Q119,武学奇术!$A:$ZZ,23,FALSE)=1,100%,$B$8),100%)</f>
        <v>1</v>
      </c>
      <c r="BJ119" s="27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+MIN(IF(VLOOKUP($Q119,武学奇术!$A:$ZZ,32,FALSE)=1,IF(VLOOKUP($Q119,武学奇术!$A:$ZZ,24,FALSE)=1,100%,MIN(40%,$B$10+VLOOKUP($Q119,武学奇术!$A:$ZZ,19,FALSE)+SUM(_xlfn.XLOOKUP(R119:AF119,增益!$A:$A,增益!$S:$S,0)))+$B$12+SUM(_xlfn.XLOOKUP(R119:AF119,增益!$A:$A,增益!$V:$V,0))),0),12%)</f>
        <v>0.918</v>
      </c>
      <c r="BK119" s="27" cm="1">
        <f t="array" ref="BK119">1+$B$13+VLOOKUP($Q119,武学奇术!$A:$ZZ,18,FALSE)+SUM(_xlfn.XLOOKUP(R119:AF119,增益!$A:$A,增益!$R:$R,0))</f>
        <v>1.89</v>
      </c>
      <c r="BL119" s="27" cm="1">
        <f t="array" ref="BL119">MAX(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-IF(VLOOKUP($Q119,武学奇术!$A:$ZZ,32,FALSE)=1,12%,0),0)</f>
        <v>0.0895</v>
      </c>
      <c r="BM119" s="27" cm="1">
        <f t="array" ref="BM119">1+$B$14+VLOOKUP($Q119,武学奇术!$A:$ZZ,20,FALSE)+SUM(_xlfn.XLOOKUP(R119:AF119,增益!$A:$A,增益!$T:$T,0))</f>
        <v>1.35</v>
      </c>
      <c r="BN119" s="27">
        <f t="shared" si="20"/>
        <v>0.9105</v>
      </c>
      <c r="BO119" s="27">
        <f t="shared" si="21"/>
        <v>0</v>
      </c>
      <c r="BP119" s="27">
        <f>IF(VLOOKUP($Q119,武学奇术!$A:$ZZ,22,FALSE)=1,0,(1-$BI119))*(1-$BL119)</f>
        <v>0</v>
      </c>
      <c r="BQ119" s="27" cm="1">
        <f t="array" ref="BQ119">SUM(_xlfn.XLOOKUP(R119:AF119,增益!$A:$A,增益!$W:$W,0))+$I$5</f>
        <v>0.31</v>
      </c>
    </row>
    <row r="120" spans="11:69">
      <c r="K120" s="39">
        <f t="shared" si="11"/>
        <v>82720.8384381246</v>
      </c>
      <c r="L120" s="39">
        <f>((($AN120+($AO120-$AN120)*IF(VLOOKUP($Q120,武学奇术!$A:$ZZ,31,FALSE)=1,$F$18,0.5))*$AH120+$AI120)*(1+$AP120)*(1+$AQ120)+(($AS120+($AT120-$AS120)*IF(VLOOKUP($Q120,武学奇术!$A:$ZZ,31,FALSE)=1,$F$18,0.5))*IF($G$1="鸣金",$AJ120,$AH120)+IF($G$1="鸣金",$AK120*1.5,0))*(1+$AU120)*(1+$AV120)+(($AW120+($AX120-$AW120)*IF(VLOOKUP($Q120,武学奇术!$A:$ZZ,31,FALSE)=1,$F$18,0.5))*IF($G$1="裂石",$AJ120,$AH120)+IF($G$1="裂石",$AK120*1.5,0))*(1+$AY120)*(1+$AZ120)+(($BA120+($BB120-$BA120)*IF(VLOOKUP($Q120,武学奇术!$A:$ZZ,31,FALSE)=1,$F$18,0.5))*IF($G$1="牵丝",$AJ120,$AH120)+IF($G$1="牵丝",$AK120*1.5,0))*(1+$BC120)*(1+$BD120)+(($BE120+($BF120-$BE120)*IF(VLOOKUP($Q120,武学奇术!$A:$ZZ,31,FALSE)=1,$F$18,0.5))*IF($G$1="破竹",$AJ120,$AH120)+IF($G$1="破竹",$AK120*1.5,0))*(1+$BG120)*(1+$BH120))*(1+$AL120)*$BK120*$P120*(1+IF(VLOOKUP($Q120,武学奇术!$A:$ZZ,30,FALSE)="蓄力技",$B$21,0))*(1+$BQ120)</f>
        <v>85012.5571597898</v>
      </c>
      <c r="M120" s="39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蓄力技",$B$21,0))*(1+$BQ120)</f>
        <v>59406.7613869946</v>
      </c>
      <c r="N120" s="39">
        <f>((($AN120+($AO120-$AN120)*IF(VLOOKUP($Q120,武学奇术!$A:$ZZ,31,FALSE)=1,$F$18,0.5))*$AH120+$AI120)*(1+$AP120)*(1+$AQ120)+(($AS120+($AT120-$AS120)*IF(VLOOKUP($Q120,武学奇术!$A:$ZZ,31,FALSE)=1,$F$18,0.5))*IF($G$1="鸣金",$AJ120,$AH120)+IF($G$1="鸣金",$AK120*1.5,0))*(1+$AU120)*(1+$AV120)+(($AW120+($AX120-$AW120)*IF(VLOOKUP($Q120,武学奇术!$A:$ZZ,31,FALSE)=1,$F$18,0.5))*IF($G$1="裂石",$AJ120,$AH120)+IF($G$1="裂石",$AK120*1.5,0))*(1+$AY120)*(1+$AZ120)+(($BA120+($BB120-$BA120)*IF(VLOOKUP($Q120,武学奇术!$A:$ZZ,31,FALSE)=1,$F$18,0.5))*IF($G$1="牵丝",$AJ120,$AH120)+IF($G$1="牵丝",$AK120*1.5,0))*(1+$BC120)*(1+$BD120)+(($BE120+($BF120-$BE120)*IF(VLOOKUP($Q120,武学奇术!$A:$ZZ,31,FALSE)=1,$F$18,0.5))*IF($G$1="破竹",$AJ120,$AH120)+IF($G$1="破竹",$AK120*1.5,0))*(1+$BG120)*(1+$BH120))*(1+$AL120)*$P120*(1+IF(VLOOKUP($Q120,武学奇术!$A:$ZZ,30,FALSE)="蓄力技",$B$21,0))*(1+$BQ120)</f>
        <v>38818.5192510456</v>
      </c>
      <c r="O120" s="39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蓄力技",$B$21,0))*(1+$BQ120)</f>
        <v>33632.0300672803</v>
      </c>
      <c r="P120" s="40">
        <v>1</v>
      </c>
      <c r="Q120" s="41" t="s">
        <v>108</v>
      </c>
      <c r="R120" s="41" t="s">
        <v>93</v>
      </c>
      <c r="S120" s="41" t="s">
        <v>118</v>
      </c>
      <c r="T120" s="41" t="s">
        <v>72</v>
      </c>
      <c r="U120" s="41" t="s">
        <v>72</v>
      </c>
      <c r="V120" s="41" t="s">
        <v>176</v>
      </c>
      <c r="W120" s="41" t="s">
        <v>177</v>
      </c>
      <c r="X120" s="41" t="s">
        <v>165</v>
      </c>
      <c r="Y120" s="41" t="s">
        <v>81</v>
      </c>
      <c r="Z120" s="41" t="s">
        <v>101</v>
      </c>
      <c r="AA120" s="41" t="s">
        <v>72</v>
      </c>
      <c r="AB120" s="41" t="s">
        <v>72</v>
      </c>
      <c r="AC120" s="41" t="s">
        <v>72</v>
      </c>
      <c r="AD120" s="41" t="s">
        <v>72</v>
      </c>
      <c r="AE120" s="41" t="s">
        <v>75</v>
      </c>
      <c r="AF120" s="41" t="s">
        <v>76</v>
      </c>
      <c r="AG120" t="str">
        <f>VLOOKUP($Q120,武学奇术!$A:$ZZ,25,FALSE)</f>
        <v>拳甲</v>
      </c>
      <c r="AH120" s="27">
        <f>VLOOKUP($Q120,武学奇术!$A:$ZZ,26,FALSE)</f>
        <v>2.33376</v>
      </c>
      <c r="AI120" s="28">
        <f>VLOOKUP($Q120,武学奇术!$A:$ZZ,27,FALSE)*(1+IF(OR($AG120=$F$4,$AG120=$F$5),$B$22,0))</f>
        <v>0</v>
      </c>
      <c r="AJ120" s="27">
        <f>VLOOKUP($Q120,武学奇术!$A:$ZZ,28,FALSE)</f>
        <v>3.50064</v>
      </c>
      <c r="AK120" s="28">
        <f>VLOOKUP($Q120,武学奇术!$A:$ZZ,29,FALSE)*(1+IF(OR($AG120=$F$4,$AG120=$F$5),$B$22,0))</f>
        <v>0</v>
      </c>
      <c r="AL120" s="27" cm="1">
        <f t="array" ref="AL120">$G$3+IFERROR(VLOOKUP($AG120,$F$4:$G$7,2,FALSE),0)+VLOOKUP($Q120,武学奇术!$A:$ZZ,2,FALSE)+SUM(_xlfn.XLOOKUP($R120:$AF120,增益!$A:$A,增益!$B:$B,0))</f>
        <v>0.6241</v>
      </c>
      <c r="AM120" s="27" cm="1">
        <f t="array" ref="AM120">VLOOKUP($Q120,武学奇术!$A:$ZZ,5,FALSE)+SUM(_xlfn.XLOOKUP($R120:$AF120,增益!$A:$A,增益!$E:$E,0))</f>
        <v>0</v>
      </c>
      <c r="AN120" cm="1">
        <f t="array" ref="AN120">$D$10*(1+$AM120)+VLOOKUP($Q120,武学奇术!$A:$ZZ,3,FALSE)+SUM(_xlfn.XLOOKUP($R120:$AF120,增益!$A:$A,增益!$C:$C,0))-$I$2</f>
        <v>3742.006</v>
      </c>
      <c r="AO120" cm="1">
        <f t="array" ref="AO120">$E$10*(1+$AM120)+VLOOKUP($Q120,武学奇术!$A:$ZZ,4,FALSE)+SUM(_xlfn.XLOOKUP($R120:$AF120,增益!$A:$A,增益!$D:$D,0))-$I$2</f>
        <v>3742.006</v>
      </c>
      <c r="AP120" s="33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0.372</v>
      </c>
      <c r="AQ120" s="33" cm="1">
        <f t="array" ref="AQ120">$G$10+VLOOKUP($Q120,武学奇术!$A:$ZZ,7,FALSE)+SUM(_xlfn.XLOOKUP(R120:AF120,增益!$A:$A,增益!$G:$G,0))</f>
        <v>0.09</v>
      </c>
      <c r="AR120" s="27" cm="1">
        <f t="array" ref="AR120">VLOOKUP($Q120,武学奇术!$A:$ZZ,8,FALSE)+SUM(_xlfn.XLOOKUP(R120:AF120,增益!$A:$A,增益!$H:$H,0))</f>
        <v>0</v>
      </c>
      <c r="AS120">
        <f t="shared" si="12"/>
        <v>0</v>
      </c>
      <c r="AT120">
        <f t="shared" si="13"/>
        <v>0</v>
      </c>
      <c r="AU120" s="33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-0.08</v>
      </c>
      <c r="AV120" s="33" cm="1">
        <f t="array" ref="AV120">$G$11+VLOOKUP($Q120,武学奇术!$A:$ZZ,10,FALSE)+SUM(_xlfn.XLOOKUP(R120:AF120,增益!$A:$A,增益!$J:$J,0))</f>
        <v>0.1</v>
      </c>
      <c r="AW120">
        <f t="shared" si="14"/>
        <v>0</v>
      </c>
      <c r="AX120">
        <f t="shared" si="15"/>
        <v>0</v>
      </c>
      <c r="AY120" s="33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-0.08</v>
      </c>
      <c r="AZ120" s="33" cm="1">
        <f t="array" ref="AZ120">$G$12+VLOOKUP($Q120,武学奇术!$A:$ZZ,12,FALSE)+SUM(_xlfn.XLOOKUP(R120:AF120,增益!$A:$A,增益!$L:$L,0))</f>
        <v>0</v>
      </c>
      <c r="BA120">
        <f t="shared" si="16"/>
        <v>0</v>
      </c>
      <c r="BB120">
        <f t="shared" si="17"/>
        <v>0</v>
      </c>
      <c r="BC120" s="33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-0.08</v>
      </c>
      <c r="BD120" s="33" cm="1">
        <f t="array" ref="BD120">$G$13+VLOOKUP($Q120,武学奇术!$A:$ZZ,14,FALSE)+SUM(_xlfn.XLOOKUP(R120:AF120,增益!$A:$A,增益!$N:$N,0))</f>
        <v>0</v>
      </c>
      <c r="BE120">
        <f t="shared" si="18"/>
        <v>570.28</v>
      </c>
      <c r="BF120">
        <f t="shared" si="19"/>
        <v>1582.156</v>
      </c>
      <c r="BG120" s="33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0.11</v>
      </c>
      <c r="BH120" s="33" cm="1">
        <f t="array" ref="BH120">$G$14+VLOOKUP($Q120,武学奇术!$A:$ZZ,16,FALSE)+SUM(_xlfn.XLOOKUP(R120:AF120,增益!$A:$A,增益!$P:$P,0))</f>
        <v>0.24</v>
      </c>
      <c r="BI120" s="27">
        <f>MIN(IF(VLOOKUP($Q120,武学奇术!$A:$ZZ,23,FALSE)=1,100%,$B$8),100%)</f>
        <v>1</v>
      </c>
      <c r="BJ120" s="27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+MIN(IF(VLOOKUP($Q120,武学奇术!$A:$ZZ,32,FALSE)=1,IF(VLOOKUP($Q120,武学奇术!$A:$ZZ,24,FALSE)=1,100%,MIN(40%,$B$10+VLOOKUP($Q120,武学奇术!$A:$ZZ,19,FALSE)+SUM(_xlfn.XLOOKUP(R120:AF120,增益!$A:$A,增益!$S:$S,0)))+$B$12+SUM(_xlfn.XLOOKUP(R120:AF120,增益!$A:$A,增益!$V:$V,0))),0),12%)</f>
        <v>0.918</v>
      </c>
      <c r="BK120" s="27" cm="1">
        <f t="array" ref="BK120">1+$B$13+VLOOKUP($Q120,武学奇术!$A:$ZZ,18,FALSE)+SUM(_xlfn.XLOOKUP(R120:AF120,增益!$A:$A,增益!$R:$R,0))</f>
        <v>2.19</v>
      </c>
      <c r="BL120" s="27" cm="1">
        <f t="array" ref="BL120">MAX(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-IF(VLOOKUP($Q120,武学奇术!$A:$ZZ,32,FALSE)=1,12%,0),0)</f>
        <v>0.0895</v>
      </c>
      <c r="BM120" s="27" cm="1">
        <f t="array" ref="BM120">1+$B$14+VLOOKUP($Q120,武学奇术!$A:$ZZ,20,FALSE)+SUM(_xlfn.XLOOKUP(R120:AF120,增益!$A:$A,增益!$T:$T,0))</f>
        <v>1.35</v>
      </c>
      <c r="BN120" s="27">
        <f t="shared" si="20"/>
        <v>0.9105</v>
      </c>
      <c r="BO120" s="27">
        <f t="shared" si="21"/>
        <v>0</v>
      </c>
      <c r="BP120" s="27">
        <f>IF(VLOOKUP($Q120,武学奇术!$A:$ZZ,22,FALSE)=1,0,(1-$BI120))*(1-$BL120)</f>
        <v>0</v>
      </c>
      <c r="BQ120" s="27" cm="1">
        <f t="array" ref="BQ120">SUM(_xlfn.XLOOKUP(R120:AF120,增益!$A:$A,增益!$W:$W,0))+$I$5</f>
        <v>0.31</v>
      </c>
    </row>
    <row r="121" spans="11:69">
      <c r="K121" s="39">
        <f t="shared" si="11"/>
        <v>67793.3014775657</v>
      </c>
      <c r="L121" s="39">
        <f>((($AN121+($AO121-$AN121)*IF(VLOOKUP($Q121,武学奇术!$A:$ZZ,31,FALSE)=1,$F$18,0.5))*$AH121+$AI121)*(1+$AP121)*(1+$AQ121)+(($AS121+($AT121-$AS121)*IF(VLOOKUP($Q121,武学奇术!$A:$ZZ,31,FALSE)=1,$F$18,0.5))*IF($G$1="鸣金",$AJ121,$AH121)+IF($G$1="鸣金",$AK121*1.5,0))*(1+$AU121)*(1+$AV121)+(($AW121+($AX121-$AW121)*IF(VLOOKUP($Q121,武学奇术!$A:$ZZ,31,FALSE)=1,$F$18,0.5))*IF($G$1="裂石",$AJ121,$AH121)+IF($G$1="裂石",$AK121*1.5,0))*(1+$AY121)*(1+$AZ121)+(($BA121+($BB121-$BA121)*IF(VLOOKUP($Q121,武学奇术!$A:$ZZ,31,FALSE)=1,$F$18,0.5))*IF($G$1="牵丝",$AJ121,$AH121)+IF($G$1="牵丝",$AK121*1.5,0))*(1+$BC121)*(1+$BD121)+(($BE121+($BF121-$BE121)*IF(VLOOKUP($Q121,武学奇术!$A:$ZZ,31,FALSE)=1,$F$18,0.5))*IF($G$1="破竹",$AJ121,$AH121)+IF($G$1="破竹",$AK121*1.5,0))*(1+$BG121)*(1+$BH121))*(1+$AL121)*$BK121*$P121*(1+IF(VLOOKUP($Q121,武学奇术!$A:$ZZ,30,FALSE)="蓄力技",$B$21,0))*(1+$BQ121)</f>
        <v>69038.5080242397</v>
      </c>
      <c r="M121" s="39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蓄力技",$B$21,0))*(1+$BQ121)</f>
        <v>55125.5857150328</v>
      </c>
      <c r="N121" s="39">
        <f>((($AN121+($AO121-$AN121)*IF(VLOOKUP($Q121,武学奇术!$A:$ZZ,31,FALSE)=1,$F$18,0.5))*$AH121+$AI121)*(1+$AP121)*(1+$AQ121)+(($AS121+($AT121-$AS121)*IF(VLOOKUP($Q121,武学奇术!$A:$ZZ,31,FALSE)=1,$F$18,0.5))*IF($G$1="鸣金",$AJ121,$AH121)+IF($G$1="鸣金",$AK121*1.5,0))*(1+$AU121)*(1+$AV121)+(($AW121+($AX121-$AW121)*IF(VLOOKUP($Q121,武学奇术!$A:$ZZ,31,FALSE)=1,$F$18,0.5))*IF($G$1="裂石",$AJ121,$AH121)+IF($G$1="裂石",$AK121*1.5,0))*(1+$AY121)*(1+$AZ121)+(($BA121+($BB121-$BA121)*IF(VLOOKUP($Q121,武学奇术!$A:$ZZ,31,FALSE)=1,$F$18,0.5))*IF($G$1="牵丝",$AJ121,$AH121)+IF($G$1="牵丝",$AK121*1.5,0))*(1+$BC121)*(1+$BD121)+(($BE121+($BF121-$BE121)*IF(VLOOKUP($Q121,武学奇术!$A:$ZZ,31,FALSE)=1,$F$18,0.5))*IF($G$1="破竹",$AJ121,$AH121)+IF($G$1="破竹",$AK121*1.5,0))*(1+$BG121)*(1+$BH121))*(1+$AL121)*$P121*(1+IF(VLOOKUP($Q121,武学奇术!$A:$ZZ,30,FALSE)="蓄力技",$B$21,0))*(1+$BQ121)</f>
        <v>36528.3111239364</v>
      </c>
      <c r="O121" s="39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蓄力技",$B$21,0))*(1+$BQ121)</f>
        <v>32222.8550515521</v>
      </c>
      <c r="P121" s="40">
        <v>1</v>
      </c>
      <c r="Q121" s="41" t="s">
        <v>111</v>
      </c>
      <c r="R121" s="41" t="s">
        <v>93</v>
      </c>
      <c r="S121" s="41" t="s">
        <v>118</v>
      </c>
      <c r="T121" s="41" t="s">
        <v>72</v>
      </c>
      <c r="U121" s="41" t="s">
        <v>72</v>
      </c>
      <c r="V121" s="41" t="s">
        <v>176</v>
      </c>
      <c r="W121" s="41" t="s">
        <v>177</v>
      </c>
      <c r="X121" s="41" t="s">
        <v>165</v>
      </c>
      <c r="Y121" s="41" t="s">
        <v>81</v>
      </c>
      <c r="Z121" s="41" t="s">
        <v>72</v>
      </c>
      <c r="AA121" s="41" t="s">
        <v>72</v>
      </c>
      <c r="AB121" s="41" t="s">
        <v>72</v>
      </c>
      <c r="AC121" s="41" t="s">
        <v>72</v>
      </c>
      <c r="AD121" s="41" t="s">
        <v>72</v>
      </c>
      <c r="AE121" s="41" t="s">
        <v>75</v>
      </c>
      <c r="AF121" s="41" t="s">
        <v>76</v>
      </c>
      <c r="AG121" t="str">
        <f>VLOOKUP($Q121,武学奇术!$A:$ZZ,25,FALSE)</f>
        <v>拳甲</v>
      </c>
      <c r="AH121" s="27">
        <f>VLOOKUP($Q121,武学奇术!$A:$ZZ,26,FALSE)</f>
        <v>2.4421</v>
      </c>
      <c r="AI121" s="28">
        <f>VLOOKUP($Q121,武学奇术!$A:$ZZ,27,FALSE)*(1+IF(OR($AG121=$F$4,$AG121=$F$5),$B$22,0))</f>
        <v>945</v>
      </c>
      <c r="AJ121" s="27">
        <f>VLOOKUP($Q121,武学奇术!$A:$ZZ,28,FALSE)</f>
        <v>3.6634</v>
      </c>
      <c r="AK121" s="28">
        <f>VLOOKUP($Q121,武学奇术!$A:$ZZ,29,FALSE)*(1+IF(OR($AG121=$F$4,$AG121=$F$5),$B$22,0))</f>
        <v>512.4</v>
      </c>
      <c r="AL121" s="27" cm="1">
        <f t="array" ref="AL121">$G$3+IFERROR(VLOOKUP($AG121,$F$4:$G$7,2,FALSE),0)+VLOOKUP($Q121,武学奇术!$A:$ZZ,2,FALSE)+SUM(_xlfn.XLOOKUP($R121:$AF121,增益!$A:$A,增益!$B:$B,0))</f>
        <v>0.3241</v>
      </c>
      <c r="AM121" s="27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3742.006</v>
      </c>
      <c r="AO121" cm="1">
        <f t="array" ref="AO121">$E$10*(1+$AM121)+VLOOKUP($Q121,武学奇术!$A:$ZZ,4,FALSE)+SUM(_xlfn.XLOOKUP($R121:$AF121,增益!$A:$A,增益!$D:$D,0))-$I$2</f>
        <v>3742.006</v>
      </c>
      <c r="AP121" s="33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0.342</v>
      </c>
      <c r="AQ121" s="33" cm="1">
        <f t="array" ref="AQ121">$G$10+VLOOKUP($Q121,武学奇术!$A:$ZZ,7,FALSE)+SUM(_xlfn.XLOOKUP(R121:AF121,增益!$A:$A,增益!$G:$G,0))</f>
        <v>0.09</v>
      </c>
      <c r="AR121" s="27" cm="1">
        <f t="array" ref="AR121">VLOOKUP($Q121,武学奇术!$A:$ZZ,8,FALSE)+SUM(_xlfn.XLOOKUP(R121:AF121,增益!$A:$A,增益!$H:$H,0))</f>
        <v>0</v>
      </c>
      <c r="AS121">
        <f t="shared" si="12"/>
        <v>0</v>
      </c>
      <c r="AT121">
        <f t="shared" si="13"/>
        <v>0</v>
      </c>
      <c r="AU121" s="33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-0.14</v>
      </c>
      <c r="AV121" s="33" cm="1">
        <f t="array" ref="AV121">$G$11+VLOOKUP($Q121,武学奇术!$A:$ZZ,10,FALSE)+SUM(_xlfn.XLOOKUP(R121:AF121,增益!$A:$A,增益!$J:$J,0))</f>
        <v>0.1</v>
      </c>
      <c r="AW121">
        <f t="shared" si="14"/>
        <v>0</v>
      </c>
      <c r="AX121">
        <f t="shared" si="15"/>
        <v>0</v>
      </c>
      <c r="AY121" s="33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-0.14</v>
      </c>
      <c r="AZ121" s="33" cm="1">
        <f t="array" ref="AZ121">$G$12+VLOOKUP($Q121,武学奇术!$A:$ZZ,12,FALSE)+SUM(_xlfn.XLOOKUP(R121:AF121,增益!$A:$A,增益!$L:$L,0))</f>
        <v>0</v>
      </c>
      <c r="BA121">
        <f t="shared" si="16"/>
        <v>0</v>
      </c>
      <c r="BB121">
        <f t="shared" si="17"/>
        <v>0</v>
      </c>
      <c r="BC121" s="33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-0.14</v>
      </c>
      <c r="BD121" s="33" cm="1">
        <f t="array" ref="BD121">$G$13+VLOOKUP($Q121,武学奇术!$A:$ZZ,14,FALSE)+SUM(_xlfn.XLOOKUP(R121:AF121,增益!$A:$A,增益!$N:$N,0))</f>
        <v>0</v>
      </c>
      <c r="BE121">
        <f t="shared" si="18"/>
        <v>570.28</v>
      </c>
      <c r="BF121">
        <f t="shared" si="19"/>
        <v>1582.156</v>
      </c>
      <c r="BG121" s="33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0.08</v>
      </c>
      <c r="BH121" s="33" cm="1">
        <f t="array" ref="BH121">$G$14+VLOOKUP($Q121,武学奇术!$A:$ZZ,16,FALSE)+SUM(_xlfn.XLOOKUP(R121:AF121,增益!$A:$A,增益!$P:$P,0))</f>
        <v>0.24</v>
      </c>
      <c r="BI121" s="27">
        <f>MIN(IF(VLOOKUP($Q121,武学奇术!$A:$ZZ,23,FALSE)=1,100%,$B$8),100%)</f>
        <v>1</v>
      </c>
      <c r="BJ121" s="27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+MIN(IF(VLOOKUP($Q121,武学奇术!$A:$ZZ,32,FALSE)=1,IF(VLOOKUP($Q121,武学奇术!$A:$ZZ,24,FALSE)=1,100%,MIN(40%,$B$10+VLOOKUP($Q121,武学奇术!$A:$ZZ,19,FALSE)+SUM(_xlfn.XLOOKUP(R121:AF121,增益!$A:$A,增益!$S:$S,0)))+$B$12+SUM(_xlfn.XLOOKUP(R121:AF121,增益!$A:$A,增益!$V:$V,0))),0),12%)</f>
        <v>0.918</v>
      </c>
      <c r="BK121" s="27" cm="1">
        <f t="array" ref="BK121">1+$B$13+VLOOKUP($Q121,武学奇术!$A:$ZZ,18,FALSE)+SUM(_xlfn.XLOOKUP(R121:AF121,增益!$A:$A,增益!$R:$R,0))</f>
        <v>1.89</v>
      </c>
      <c r="BL121" s="27" cm="1">
        <f t="array" ref="BL121">MAX(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-IF(VLOOKUP($Q121,武学奇术!$A:$ZZ,32,FALSE)=1,12%,0),0)</f>
        <v>0.0895</v>
      </c>
      <c r="BM121" s="27" cm="1">
        <f t="array" ref="BM121">1+$B$14+VLOOKUP($Q121,武学奇术!$A:$ZZ,20,FALSE)+SUM(_xlfn.XLOOKUP(R121:AF121,增益!$A:$A,增益!$T:$T,0))</f>
        <v>1.35</v>
      </c>
      <c r="BN121" s="27">
        <f t="shared" si="20"/>
        <v>0.9105</v>
      </c>
      <c r="BO121" s="27">
        <f t="shared" si="21"/>
        <v>0</v>
      </c>
      <c r="BP121" s="27">
        <f>IF(VLOOKUP($Q121,武学奇术!$A:$ZZ,22,FALSE)=1,0,(1-$BI121))*(1-$BL121)</f>
        <v>0</v>
      </c>
      <c r="BQ121" s="27" cm="1">
        <f t="array" ref="BQ121">SUM(_xlfn.XLOOKUP(R121:AF121,增益!$A:$A,增益!$W:$W,0))+$I$5</f>
        <v>0.31</v>
      </c>
    </row>
    <row r="122" spans="11:69">
      <c r="K122" s="39">
        <f t="shared" si="11"/>
        <v>35774.9713954433</v>
      </c>
      <c r="L122" s="39">
        <f>((($AN122+($AO122-$AN122)*IF(VLOOKUP($Q122,武学奇术!$A:$ZZ,31,FALSE)=1,$F$18,0.5))*$AH122+$AI122)*(1+$AP122)*(1+$AQ122)+(($AS122+($AT122-$AS122)*IF(VLOOKUP($Q122,武学奇术!$A:$ZZ,31,FALSE)=1,$F$18,0.5))*IF($G$1="鸣金",$AJ122,$AH122)+IF($G$1="鸣金",$AK122*1.5,0))*(1+$AU122)*(1+$AV122)+(($AW122+($AX122-$AW122)*IF(VLOOKUP($Q122,武学奇术!$A:$ZZ,31,FALSE)=1,$F$18,0.5))*IF($G$1="裂石",$AJ122,$AH122)+IF($G$1="裂石",$AK122*1.5,0))*(1+$AY122)*(1+$AZ122)+(($BA122+($BB122-$BA122)*IF(VLOOKUP($Q122,武学奇术!$A:$ZZ,31,FALSE)=1,$F$18,0.5))*IF($G$1="牵丝",$AJ122,$AH122)+IF($G$1="牵丝",$AK122*1.5,0))*(1+$BC122)*(1+$BD122)+(($BE122+($BF122-$BE122)*IF(VLOOKUP($Q122,武学奇术!$A:$ZZ,31,FALSE)=1,$F$18,0.5))*IF($G$1="破竹",$AJ122,$AH122)+IF($G$1="破竹",$AK122*1.5,0))*(1+$BG122)*(1+$BH122))*(1+$AL122)*$BK122*$P122*(1+IF(VLOOKUP($Q122,武学奇术!$A:$ZZ,30,FALSE)="蓄力技",$B$21,0))*(1+$BQ122)</f>
        <v>36432.3520107557</v>
      </c>
      <c r="M122" s="39">
        <f>(($AO122*$AH122+$AI122)*(1+$AP122)*(1+$AQ122)+($AT122*IF($G$1="鸣金",$AJ122,$AH122)+IF($G$1="鸣金",$AK122*1.5,0))*(1+$AU122)*(1+$AV122)+($AX122*IF($G$1="裂石",$AJ122,$AH122)+IF($G$1="裂石",$AK122*1.5,0))*(1+$AY122)*(1+$AZ122)+($BB122*IF($G$1="牵丝",$AJ122,$AH122)+IF($G$1="牵丝",$AK122*1.5,0))*(1+$BC122)*(1+$BD122)+($BF122*IF($G$1="破竹",$AJ122,$AH122)+IF($G$1="破竹",$AK122*1.5,0))*(1+$BG122)*(1+$BH122))*(1+$AL122)*$BM122*$P122*(1+IF(VLOOKUP($Q122,武学奇术!$A:$ZZ,30,FALSE)="蓄力技",$B$21,0))*(1+$BQ122)</f>
        <v>29087.3172027953</v>
      </c>
      <c r="N122" s="39">
        <f>((($AN122+($AO122-$AN122)*IF(VLOOKUP($Q122,武学奇术!$A:$ZZ,31,FALSE)=1,$F$18,0.5))*$AH122+$AI122)*(1+$AP122)*(1+$AQ122)+(($AS122+($AT122-$AS122)*IF(VLOOKUP($Q122,武学奇术!$A:$ZZ,31,FALSE)=1,$F$18,0.5))*IF($G$1="鸣金",$AJ122,$AH122)+IF($G$1="鸣金",$AK122*1.5,0))*(1+$AU122)*(1+$AV122)+(($AW122+($AX122-$AW122)*IF(VLOOKUP($Q122,武学奇术!$A:$ZZ,31,FALSE)=1,$F$18,0.5))*IF($G$1="裂石",$AJ122,$AH122)+IF($G$1="裂石",$AK122*1.5,0))*(1+$AY122)*(1+$AZ122)+(($BA122+($BB122-$BA122)*IF(VLOOKUP($Q122,武学奇术!$A:$ZZ,31,FALSE)=1,$F$18,0.5))*IF($G$1="牵丝",$AJ122,$AH122)+IF($G$1="牵丝",$AK122*1.5,0))*(1+$BC122)*(1+$BD122)+(($BE122+($BF122-$BE122)*IF(VLOOKUP($Q122,武学奇术!$A:$ZZ,31,FALSE)=1,$F$18,0.5))*IF($G$1="破竹",$AJ122,$AH122)+IF($G$1="破竹",$AK122*1.5,0))*(1+$BG122)*(1+$BH122))*(1+$AL122)*$P122*(1+IF(VLOOKUP($Q122,武学奇术!$A:$ZZ,30,FALSE)="蓄力技",$B$21,0))*(1+$BQ122)</f>
        <v>19276.3767252676</v>
      </c>
      <c r="O122" s="39">
        <f>((($AN122*$AH122+$AI122)*(1+$AP122)*(1+$AQ122)+($AS122*IF($G$1="鸣金",$AJ122,$AH122)+IF($G$1="鸣金",$AK122*1.5,0))*(1+$AU122)*(1+$AV122)+($AW122*IF($G$1="裂石",$AJ122,$AH122)+IF($G$1="裂石",$AK122*1.5,0))*(1+$AY122)*(1+$AZ122)+($BA122*IF($G$1="牵丝",$AJ122,$AH122)+IF($G$1="牵丝",$AK122*1.5,0))*(1+$BC122)*(1+$BD122)+($BE122*IF($G$1="破竹",$AJ122,$AH122)+IF($G$1="破竹",$AK122*1.5,0))*(1+$BG122)*(1+$BH122))*(1+$AL122))*$P122*(1+IF(VLOOKUP($Q122,武学奇术!$A:$ZZ,30,FALSE)="蓄力技",$B$21,0))*(1+$BQ122)</f>
        <v>17006.5925595757</v>
      </c>
      <c r="P122" s="40">
        <v>1</v>
      </c>
      <c r="Q122" s="41" t="s">
        <v>106</v>
      </c>
      <c r="R122" s="41" t="s">
        <v>93</v>
      </c>
      <c r="S122" s="41" t="s">
        <v>118</v>
      </c>
      <c r="T122" s="41" t="s">
        <v>72</v>
      </c>
      <c r="U122" s="41" t="s">
        <v>72</v>
      </c>
      <c r="V122" s="41" t="s">
        <v>176</v>
      </c>
      <c r="W122" s="41" t="s">
        <v>177</v>
      </c>
      <c r="X122" s="41" t="s">
        <v>165</v>
      </c>
      <c r="Y122" s="41" t="s">
        <v>81</v>
      </c>
      <c r="Z122" s="41" t="s">
        <v>72</v>
      </c>
      <c r="AA122" s="41" t="s">
        <v>72</v>
      </c>
      <c r="AB122" s="41" t="s">
        <v>72</v>
      </c>
      <c r="AC122" s="41" t="s">
        <v>72</v>
      </c>
      <c r="AD122" s="41" t="s">
        <v>72</v>
      </c>
      <c r="AE122" s="41" t="s">
        <v>75</v>
      </c>
      <c r="AF122" s="41" t="s">
        <v>76</v>
      </c>
      <c r="AG122" t="str">
        <f>VLOOKUP($Q122,武学奇术!$A:$ZZ,25,FALSE)</f>
        <v>拳甲</v>
      </c>
      <c r="AH122" s="27">
        <f>VLOOKUP($Q122,武学奇术!$A:$ZZ,26,FALSE)</f>
        <v>1.2876</v>
      </c>
      <c r="AI122" s="28">
        <f>VLOOKUP($Q122,武学奇术!$A:$ZZ,27,FALSE)*(1+IF(OR($AG122=$F$4,$AG122=$F$5),$B$22,0))</f>
        <v>501.2</v>
      </c>
      <c r="AJ122" s="27">
        <f>VLOOKUP($Q122,武学奇术!$A:$ZZ,28,FALSE)</f>
        <v>1.9313</v>
      </c>
      <c r="AK122" s="28">
        <f>VLOOKUP($Q122,武学奇术!$A:$ZZ,29,FALSE)*(1+IF(OR($AG122=$F$4,$AG122=$F$5),$B$22,0))</f>
        <v>273</v>
      </c>
      <c r="AL122" s="27" cm="1">
        <f t="array" ref="AL122">$G$3+IFERROR(VLOOKUP($AG122,$F$4:$G$7,2,FALSE),0)+VLOOKUP($Q122,武学奇术!$A:$ZZ,2,FALSE)+SUM(_xlfn.XLOOKUP($R122:$AF122,增益!$A:$A,增益!$B:$B,0))</f>
        <v>0.3241</v>
      </c>
      <c r="AM122" s="27" cm="1">
        <f t="array" ref="AM122">VLOOKUP($Q122,武学奇术!$A:$ZZ,5,FALSE)+SUM(_xlfn.XLOOKUP($R122:$AF122,增益!$A:$A,增益!$E:$E,0))</f>
        <v>0</v>
      </c>
      <c r="AN122" cm="1">
        <f t="array" ref="AN122">$D$10*(1+$AM122)+VLOOKUP($Q122,武学奇术!$A:$ZZ,3,FALSE)+SUM(_xlfn.XLOOKUP($R122:$AF122,增益!$A:$A,增益!$C:$C,0))-$I$2</f>
        <v>3742.006</v>
      </c>
      <c r="AO122" cm="1">
        <f t="array" ref="AO122">$E$10*(1+$AM122)+VLOOKUP($Q122,武学奇术!$A:$ZZ,4,FALSE)+SUM(_xlfn.XLOOKUP($R122:$AF122,增益!$A:$A,增益!$D:$D,0))-$I$2</f>
        <v>3742.006</v>
      </c>
      <c r="AP122" s="33" cm="1">
        <f t="array" ref="AP122">IF($F$10-$I$3+VLOOKUP($Q122,武学奇术!$A:$ZZ,6,FALSE)+SUM(_xlfn.XLOOKUP(R122:AF122,增益!$A:$A,增益!$F:$F,0))&gt;0,($F$10-$I$3+VLOOKUP($Q122,武学奇术!$A:$ZZ,6,FALSE)+SUM(_xlfn.XLOOKUP(R122:AF122,增益!$A:$A,增益!$F:$F,0)))/200,($F$10-$I$3+VLOOKUP($Q122,武学奇术!$A:$ZZ,6,FALSE)+SUM(_xlfn.XLOOKUP(R122:AF122,增益!$A:$A,增益!$F:$F,0)))/100)</f>
        <v>0.342</v>
      </c>
      <c r="AQ122" s="33" cm="1">
        <f t="array" ref="AQ122">$G$10+VLOOKUP($Q122,武学奇术!$A:$ZZ,7,FALSE)+SUM(_xlfn.XLOOKUP(R122:AF122,增益!$A:$A,增益!$G:$G,0))</f>
        <v>0.09</v>
      </c>
      <c r="AR122" s="27" cm="1">
        <f t="array" ref="AR122">VLOOKUP($Q122,武学奇术!$A:$ZZ,8,FALSE)+SUM(_xlfn.XLOOKUP(R122:AF122,增益!$A:$A,增益!$H:$H,0))</f>
        <v>0</v>
      </c>
      <c r="AS122">
        <f t="shared" si="12"/>
        <v>0</v>
      </c>
      <c r="AT122">
        <f t="shared" si="13"/>
        <v>0</v>
      </c>
      <c r="AU122" s="33" cm="1">
        <f t="array" ref="AU122">IF($F$11-$I$4+VLOOKUP($Q122,武学奇术!$A:$ZZ,9,FALSE)+SUM(_xlfn.XLOOKUP(R122:AF122,增益!$A:$A,增益!$I:$I,0))&gt;0,($F$11-$I$4+VLOOKUP($Q122,武学奇术!$A:$ZZ,9,FALSE)+SUM(_xlfn.XLOOKUP(R122:AF122,增益!$A:$A,增益!$I:$I,0)))/200,($F$11-$I$4+VLOOKUP($Q122,武学奇术!$A:$ZZ,9,FALSE)+SUM(_xlfn.XLOOKUP(R122:AF122,增益!$A:$A,增益!$I:$I,0)))/100)</f>
        <v>-0.14</v>
      </c>
      <c r="AV122" s="33" cm="1">
        <f t="array" ref="AV122">$G$11+VLOOKUP($Q122,武学奇术!$A:$ZZ,10,FALSE)+SUM(_xlfn.XLOOKUP(R122:AF122,增益!$A:$A,增益!$J:$J,0))</f>
        <v>0.1</v>
      </c>
      <c r="AW122">
        <f t="shared" si="14"/>
        <v>0</v>
      </c>
      <c r="AX122">
        <f t="shared" si="15"/>
        <v>0</v>
      </c>
      <c r="AY122" s="33" cm="1">
        <f t="array" ref="AY122">IF($F$12-$I$4+VLOOKUP($Q122,武学奇术!$A:$ZZ,11,FALSE)+SUM(_xlfn.XLOOKUP(R122:AF122,增益!$A:$A,增益!$K:$K,0))&gt;0,($F$12-$I$4+VLOOKUP($Q122,武学奇术!$A:$ZZ,11,FALSE)+SUM(_xlfn.XLOOKUP(R122:AF122,增益!$A:$A,增益!$K:$K,0)))/200,($F$12-$I$4+VLOOKUP($Q122,武学奇术!$A:$ZZ,11,FALSE)+SUM(_xlfn.XLOOKUP(R122:AF122,增益!$A:$A,增益!$K:$K,0)))/100)</f>
        <v>-0.14</v>
      </c>
      <c r="AZ122" s="33" cm="1">
        <f t="array" ref="AZ122">$G$12+VLOOKUP($Q122,武学奇术!$A:$ZZ,12,FALSE)+SUM(_xlfn.XLOOKUP(R122:AF122,增益!$A:$A,增益!$L:$L,0))</f>
        <v>0</v>
      </c>
      <c r="BA122">
        <f t="shared" si="16"/>
        <v>0</v>
      </c>
      <c r="BB122">
        <f t="shared" si="17"/>
        <v>0</v>
      </c>
      <c r="BC122" s="33" cm="1">
        <f t="array" ref="BC122">IF($F$13-$I$4+VLOOKUP($Q122,武学奇术!$A:$ZZ,13,FALSE)+SUM(_xlfn.XLOOKUP(R122:AF122,增益!$A:$A,增益!$M:$M,0))&gt;0,($F$13-$I$4+VLOOKUP($Q122,武学奇术!$A:$ZZ,13,FALSE)+SUM(_xlfn.XLOOKUP(R122:AF122,增益!$A:$A,增益!$K:$K,0)))/200,($F$13-$I$4+VLOOKUP($Q122,武学奇术!$A:$ZZ,13,FALSE)+SUM(_xlfn.XLOOKUP(R122:AF122,增益!$A:$A,增益!$M:$M,0)))/100)</f>
        <v>-0.14</v>
      </c>
      <c r="BD122" s="33" cm="1">
        <f t="array" ref="BD122">$G$13+VLOOKUP($Q122,武学奇术!$A:$ZZ,14,FALSE)+SUM(_xlfn.XLOOKUP(R122:AF122,增益!$A:$A,增益!$N:$N,0))</f>
        <v>0</v>
      </c>
      <c r="BE122">
        <f t="shared" si="18"/>
        <v>570.28</v>
      </c>
      <c r="BF122">
        <f t="shared" si="19"/>
        <v>1582.156</v>
      </c>
      <c r="BG122" s="33" cm="1">
        <f t="array" ref="BG122">IF($F$14-$I$4+VLOOKUP($Q122,武学奇术!$A:$ZZ,15,FALSE)+SUM(_xlfn.XLOOKUP(R122:AF122,增益!$A:$A,增益!$O:$O,0))&gt;0,($F$14-$I$4+VLOOKUP($Q122,武学奇术!$A:$ZZ,15,FALSE)+SUM(_xlfn.XLOOKUP(R122:AF122,增益!$A:$A,增益!$O:$O,0)))/200,($F$14-$I$4+VLOOKUP($Q122,武学奇术!$A:$ZZ,15,FALSE)+SUM(_xlfn.XLOOKUP(R122:AF122,增益!$A:$A,增益!$O:$O,0)))/100)</f>
        <v>0.08</v>
      </c>
      <c r="BH122" s="33" cm="1">
        <f t="array" ref="BH122">$G$14+VLOOKUP($Q122,武学奇术!$A:$ZZ,16,FALSE)+SUM(_xlfn.XLOOKUP(R122:AF122,增益!$A:$A,增益!$P:$P,0))</f>
        <v>0.24</v>
      </c>
      <c r="BI122" s="27">
        <f>MIN(IF(VLOOKUP($Q122,武学奇术!$A:$ZZ,23,FALSE)=1,100%,$B$8),100%)</f>
        <v>1</v>
      </c>
      <c r="BJ122" s="27" cm="1">
        <f t="array" ref="BJ122">IF(VLOOKUP($Q122,武学奇术!$A:$ZZ,23,FALSE)=1,100%,MIN(80%,$B$9+VLOOKUP($Q122,武学奇术!$A:$ZZ,17,FALSE)+SUM(_xlfn.XLOOKUP(R122:AF122,增益!$A:$A,增益!$Q:$Q,0)))+$B$11+SUM(_xlfn.XLOOKUP(R122:AF122,增益!$A:$A,增益!$U:$U,0)))*IF(VLOOKUP($Q122,武学奇术!$A:$ZZ,24,FALSE)=1,0,1)+MIN(IF(VLOOKUP($Q122,武学奇术!$A:$ZZ,32,FALSE)=1,IF(VLOOKUP($Q122,武学奇术!$A:$ZZ,24,FALSE)=1,100%,MIN(40%,$B$10+VLOOKUP($Q122,武学奇术!$A:$ZZ,19,FALSE)+SUM(_xlfn.XLOOKUP(R122:AF122,增益!$A:$A,增益!$S:$S,0)))+$B$12+SUM(_xlfn.XLOOKUP(R122:AF122,增益!$A:$A,增益!$V:$V,0))),0),12%)</f>
        <v>0.918</v>
      </c>
      <c r="BK122" s="27" cm="1">
        <f t="array" ref="BK122">1+$B$13+VLOOKUP($Q122,武学奇术!$A:$ZZ,18,FALSE)+SUM(_xlfn.XLOOKUP(R122:AF122,增益!$A:$A,增益!$R:$R,0))</f>
        <v>1.89</v>
      </c>
      <c r="BL122" s="27" cm="1">
        <f t="array" ref="BL122">MAX(IF(VLOOKUP($Q122,武学奇术!$A:$ZZ,24,FALSE)=1,100%,MIN(40%,$B$10+VLOOKUP($Q122,武学奇术!$A:$ZZ,19,FALSE)+SUM(_xlfn.XLOOKUP(R122:AF122,增益!$A:$A,增益!$S:$S,0)))+$B$12+SUM(_xlfn.XLOOKUP(R122:AF122,增益!$A:$A,增益!$V:$V,0)))*IF(VLOOKUP($Q122,武学奇术!$A:$ZZ,23,FALSE)=1,0,1)-IF(VLOOKUP($Q122,武学奇术!$A:$ZZ,32,FALSE)=1,12%,0),0)</f>
        <v>0.0895</v>
      </c>
      <c r="BM122" s="27" cm="1">
        <f t="array" ref="BM122">1+$B$14+VLOOKUP($Q122,武学奇术!$A:$ZZ,20,FALSE)+SUM(_xlfn.XLOOKUP(R122:AF122,增益!$A:$A,增益!$T:$T,0))</f>
        <v>1.35</v>
      </c>
      <c r="BN122" s="27">
        <f t="shared" si="20"/>
        <v>0.9105</v>
      </c>
      <c r="BO122" s="27">
        <f t="shared" si="21"/>
        <v>0</v>
      </c>
      <c r="BP122" s="27">
        <f>IF(VLOOKUP($Q122,武学奇术!$A:$ZZ,22,FALSE)=1,0,(1-$BI122))*(1-$BL122)</f>
        <v>0</v>
      </c>
      <c r="BQ122" s="27" cm="1">
        <f t="array" ref="BQ122">SUM(_xlfn.XLOOKUP(R122:AF122,增益!$A:$A,增益!$W:$W,0))+$I$5</f>
        <v>0.31</v>
      </c>
    </row>
    <row r="123" spans="11:69">
      <c r="K123" s="39">
        <f t="shared" si="11"/>
        <v>82720.8384381246</v>
      </c>
      <c r="L123" s="39">
        <f>((($AN123+($AO123-$AN123)*IF(VLOOKUP($Q123,武学奇术!$A:$ZZ,31,FALSE)=1,$F$18,0.5))*$AH123+$AI123)*(1+$AP123)*(1+$AQ123)+(($AS123+($AT123-$AS123)*IF(VLOOKUP($Q123,武学奇术!$A:$ZZ,31,FALSE)=1,$F$18,0.5))*IF($G$1="鸣金",$AJ123,$AH123)+IF($G$1="鸣金",$AK123*1.5,0))*(1+$AU123)*(1+$AV123)+(($AW123+($AX123-$AW123)*IF(VLOOKUP($Q123,武学奇术!$A:$ZZ,31,FALSE)=1,$F$18,0.5))*IF($G$1="裂石",$AJ123,$AH123)+IF($G$1="裂石",$AK123*1.5,0))*(1+$AY123)*(1+$AZ123)+(($BA123+($BB123-$BA123)*IF(VLOOKUP($Q123,武学奇术!$A:$ZZ,31,FALSE)=1,$F$18,0.5))*IF($G$1="牵丝",$AJ123,$AH123)+IF($G$1="牵丝",$AK123*1.5,0))*(1+$BC123)*(1+$BD123)+(($BE123+($BF123-$BE123)*IF(VLOOKUP($Q123,武学奇术!$A:$ZZ,31,FALSE)=1,$F$18,0.5))*IF($G$1="破竹",$AJ123,$AH123)+IF($G$1="破竹",$AK123*1.5,0))*(1+$BG123)*(1+$BH123))*(1+$AL123)*$BK123*$P123*(1+IF(VLOOKUP($Q123,武学奇术!$A:$ZZ,30,FALSE)="蓄力技",$B$21,0))*(1+$BQ123)</f>
        <v>85012.5571597898</v>
      </c>
      <c r="M123" s="39">
        <f>(($AO123*$AH123+$AI123)*(1+$AP123)*(1+$AQ123)+($AT123*IF($G$1="鸣金",$AJ123,$AH123)+IF($G$1="鸣金",$AK123*1.5,0))*(1+$AU123)*(1+$AV123)+($AX123*IF($G$1="裂石",$AJ123,$AH123)+IF($G$1="裂石",$AK123*1.5,0))*(1+$AY123)*(1+$AZ123)+($BB123*IF($G$1="牵丝",$AJ123,$AH123)+IF($G$1="牵丝",$AK123*1.5,0))*(1+$BC123)*(1+$BD123)+($BF123*IF($G$1="破竹",$AJ123,$AH123)+IF($G$1="破竹",$AK123*1.5,0))*(1+$BG123)*(1+$BH123))*(1+$AL123)*$BM123*$P123*(1+IF(VLOOKUP($Q123,武学奇术!$A:$ZZ,30,FALSE)="蓄力技",$B$21,0))*(1+$BQ123)</f>
        <v>59406.7613869946</v>
      </c>
      <c r="N123" s="39">
        <f>((($AN123+($AO123-$AN123)*IF(VLOOKUP($Q123,武学奇术!$A:$ZZ,31,FALSE)=1,$F$18,0.5))*$AH123+$AI123)*(1+$AP123)*(1+$AQ123)+(($AS123+($AT123-$AS123)*IF(VLOOKUP($Q123,武学奇术!$A:$ZZ,31,FALSE)=1,$F$18,0.5))*IF($G$1="鸣金",$AJ123,$AH123)+IF($G$1="鸣金",$AK123*1.5,0))*(1+$AU123)*(1+$AV123)+(($AW123+($AX123-$AW123)*IF(VLOOKUP($Q123,武学奇术!$A:$ZZ,31,FALSE)=1,$F$18,0.5))*IF($G$1="裂石",$AJ123,$AH123)+IF($G$1="裂石",$AK123*1.5,0))*(1+$AY123)*(1+$AZ123)+(($BA123+($BB123-$BA123)*IF(VLOOKUP($Q123,武学奇术!$A:$ZZ,31,FALSE)=1,$F$18,0.5))*IF($G$1="牵丝",$AJ123,$AH123)+IF($G$1="牵丝",$AK123*1.5,0))*(1+$BC123)*(1+$BD123)+(($BE123+($BF123-$BE123)*IF(VLOOKUP($Q123,武学奇术!$A:$ZZ,31,FALSE)=1,$F$18,0.5))*IF($G$1="破竹",$AJ123,$AH123)+IF($G$1="破竹",$AK123*1.5,0))*(1+$BG123)*(1+$BH123))*(1+$AL123)*$P123*(1+IF(VLOOKUP($Q123,武学奇术!$A:$ZZ,30,FALSE)="蓄力技",$B$21,0))*(1+$BQ123)</f>
        <v>38818.5192510456</v>
      </c>
      <c r="O123" s="39">
        <f>((($AN123*$AH123+$AI123)*(1+$AP123)*(1+$AQ123)+($AS123*IF($G$1="鸣金",$AJ123,$AH123)+IF($G$1="鸣金",$AK123*1.5,0))*(1+$AU123)*(1+$AV123)+($AW123*IF($G$1="裂石",$AJ123,$AH123)+IF($G$1="裂石",$AK123*1.5,0))*(1+$AY123)*(1+$AZ123)+($BA123*IF($G$1="牵丝",$AJ123,$AH123)+IF($G$1="牵丝",$AK123*1.5,0))*(1+$BC123)*(1+$BD123)+($BE123*IF($G$1="破竹",$AJ123,$AH123)+IF($G$1="破竹",$AK123*1.5,0))*(1+$BG123)*(1+$BH123))*(1+$AL123))*$P123*(1+IF(VLOOKUP($Q123,武学奇术!$A:$ZZ,30,FALSE)="蓄力技",$B$21,0))*(1+$BQ123)</f>
        <v>33632.0300672803</v>
      </c>
      <c r="P123" s="40">
        <v>1</v>
      </c>
      <c r="Q123" s="41" t="s">
        <v>108</v>
      </c>
      <c r="R123" s="41" t="s">
        <v>93</v>
      </c>
      <c r="S123" s="41" t="s">
        <v>118</v>
      </c>
      <c r="T123" s="41" t="s">
        <v>72</v>
      </c>
      <c r="U123" s="41" t="s">
        <v>72</v>
      </c>
      <c r="V123" s="41" t="s">
        <v>176</v>
      </c>
      <c r="W123" s="41" t="s">
        <v>177</v>
      </c>
      <c r="X123" s="41" t="s">
        <v>165</v>
      </c>
      <c r="Y123" s="41" t="s">
        <v>81</v>
      </c>
      <c r="Z123" s="41" t="s">
        <v>101</v>
      </c>
      <c r="AA123" s="41" t="s">
        <v>72</v>
      </c>
      <c r="AB123" s="41" t="s">
        <v>72</v>
      </c>
      <c r="AC123" s="41" t="s">
        <v>72</v>
      </c>
      <c r="AD123" s="41" t="s">
        <v>72</v>
      </c>
      <c r="AE123" s="41" t="s">
        <v>75</v>
      </c>
      <c r="AF123" s="41" t="s">
        <v>76</v>
      </c>
      <c r="AG123" t="str">
        <f>VLOOKUP($Q123,武学奇术!$A:$ZZ,25,FALSE)</f>
        <v>拳甲</v>
      </c>
      <c r="AH123" s="27">
        <f>VLOOKUP($Q123,武学奇术!$A:$ZZ,26,FALSE)</f>
        <v>2.33376</v>
      </c>
      <c r="AI123" s="28">
        <f>VLOOKUP($Q123,武学奇术!$A:$ZZ,27,FALSE)*(1+IF(OR($AG123=$F$4,$AG123=$F$5),$B$22,0))</f>
        <v>0</v>
      </c>
      <c r="AJ123" s="27">
        <f>VLOOKUP($Q123,武学奇术!$A:$ZZ,28,FALSE)</f>
        <v>3.50064</v>
      </c>
      <c r="AK123" s="28">
        <f>VLOOKUP($Q123,武学奇术!$A:$ZZ,29,FALSE)*(1+IF(OR($AG123=$F$4,$AG123=$F$5),$B$22,0))</f>
        <v>0</v>
      </c>
      <c r="AL123" s="27" cm="1">
        <f t="array" ref="AL123">$G$3+IFERROR(VLOOKUP($AG123,$F$4:$G$7,2,FALSE),0)+VLOOKUP($Q123,武学奇术!$A:$ZZ,2,FALSE)+SUM(_xlfn.XLOOKUP($R123:$AF123,增益!$A:$A,增益!$B:$B,0))</f>
        <v>0.6241</v>
      </c>
      <c r="AM123" s="27" cm="1">
        <f t="array" ref="AM123">VLOOKUP($Q123,武学奇术!$A:$ZZ,5,FALSE)+SUM(_xlfn.XLOOKUP($R123:$AF123,增益!$A:$A,增益!$E:$E,0))</f>
        <v>0</v>
      </c>
      <c r="AN123" cm="1">
        <f t="array" ref="AN123">$D$10*(1+$AM123)+VLOOKUP($Q123,武学奇术!$A:$ZZ,3,FALSE)+SUM(_xlfn.XLOOKUP($R123:$AF123,增益!$A:$A,增益!$C:$C,0))-$I$2</f>
        <v>3742.006</v>
      </c>
      <c r="AO123" cm="1">
        <f t="array" ref="AO123">$E$10*(1+$AM123)+VLOOKUP($Q123,武学奇术!$A:$ZZ,4,FALSE)+SUM(_xlfn.XLOOKUP($R123:$AF123,增益!$A:$A,增益!$D:$D,0))-$I$2</f>
        <v>3742.006</v>
      </c>
      <c r="AP123" s="33" cm="1">
        <f t="array" ref="AP123">IF($F$10-$I$3+VLOOKUP($Q123,武学奇术!$A:$ZZ,6,FALSE)+SUM(_xlfn.XLOOKUP(R123:AF123,增益!$A:$A,增益!$F:$F,0))&gt;0,($F$10-$I$3+VLOOKUP($Q123,武学奇术!$A:$ZZ,6,FALSE)+SUM(_xlfn.XLOOKUP(R123:AF123,增益!$A:$A,增益!$F:$F,0)))/200,($F$10-$I$3+VLOOKUP($Q123,武学奇术!$A:$ZZ,6,FALSE)+SUM(_xlfn.XLOOKUP(R123:AF123,增益!$A:$A,增益!$F:$F,0)))/100)</f>
        <v>0.372</v>
      </c>
      <c r="AQ123" s="33" cm="1">
        <f t="array" ref="AQ123">$G$10+VLOOKUP($Q123,武学奇术!$A:$ZZ,7,FALSE)+SUM(_xlfn.XLOOKUP(R123:AF123,增益!$A:$A,增益!$G:$G,0))</f>
        <v>0.09</v>
      </c>
      <c r="AR123" s="27" cm="1">
        <f t="array" ref="AR123">VLOOKUP($Q123,武学奇术!$A:$ZZ,8,FALSE)+SUM(_xlfn.XLOOKUP(R123:AF123,增益!$A:$A,增益!$H:$H,0))</f>
        <v>0</v>
      </c>
      <c r="AS123">
        <f t="shared" si="12"/>
        <v>0</v>
      </c>
      <c r="AT123">
        <f t="shared" si="13"/>
        <v>0</v>
      </c>
      <c r="AU123" s="33" cm="1">
        <f t="array" ref="AU123">IF($F$11-$I$4+VLOOKUP($Q123,武学奇术!$A:$ZZ,9,FALSE)+SUM(_xlfn.XLOOKUP(R123:AF123,增益!$A:$A,增益!$I:$I,0))&gt;0,($F$11-$I$4+VLOOKUP($Q123,武学奇术!$A:$ZZ,9,FALSE)+SUM(_xlfn.XLOOKUP(R123:AF123,增益!$A:$A,增益!$I:$I,0)))/200,($F$11-$I$4+VLOOKUP($Q123,武学奇术!$A:$ZZ,9,FALSE)+SUM(_xlfn.XLOOKUP(R123:AF123,增益!$A:$A,增益!$I:$I,0)))/100)</f>
        <v>-0.08</v>
      </c>
      <c r="AV123" s="33" cm="1">
        <f t="array" ref="AV123">$G$11+VLOOKUP($Q123,武学奇术!$A:$ZZ,10,FALSE)+SUM(_xlfn.XLOOKUP(R123:AF123,增益!$A:$A,增益!$J:$J,0))</f>
        <v>0.1</v>
      </c>
      <c r="AW123">
        <f t="shared" si="14"/>
        <v>0</v>
      </c>
      <c r="AX123">
        <f t="shared" si="15"/>
        <v>0</v>
      </c>
      <c r="AY123" s="33" cm="1">
        <f t="array" ref="AY123">IF($F$12-$I$4+VLOOKUP($Q123,武学奇术!$A:$ZZ,11,FALSE)+SUM(_xlfn.XLOOKUP(R123:AF123,增益!$A:$A,增益!$K:$K,0))&gt;0,($F$12-$I$4+VLOOKUP($Q123,武学奇术!$A:$ZZ,11,FALSE)+SUM(_xlfn.XLOOKUP(R123:AF123,增益!$A:$A,增益!$K:$K,0)))/200,($F$12-$I$4+VLOOKUP($Q123,武学奇术!$A:$ZZ,11,FALSE)+SUM(_xlfn.XLOOKUP(R123:AF123,增益!$A:$A,增益!$K:$K,0)))/100)</f>
        <v>-0.08</v>
      </c>
      <c r="AZ123" s="33" cm="1">
        <f t="array" ref="AZ123">$G$12+VLOOKUP($Q123,武学奇术!$A:$ZZ,12,FALSE)+SUM(_xlfn.XLOOKUP(R123:AF123,增益!$A:$A,增益!$L:$L,0))</f>
        <v>0</v>
      </c>
      <c r="BA123">
        <f t="shared" si="16"/>
        <v>0</v>
      </c>
      <c r="BB123">
        <f t="shared" si="17"/>
        <v>0</v>
      </c>
      <c r="BC123" s="33" cm="1">
        <f t="array" ref="BC123">IF($F$13-$I$4+VLOOKUP($Q123,武学奇术!$A:$ZZ,13,FALSE)+SUM(_xlfn.XLOOKUP(R123:AF123,增益!$A:$A,增益!$M:$M,0))&gt;0,($F$13-$I$4+VLOOKUP($Q123,武学奇术!$A:$ZZ,13,FALSE)+SUM(_xlfn.XLOOKUP(R123:AF123,增益!$A:$A,增益!$K:$K,0)))/200,($F$13-$I$4+VLOOKUP($Q123,武学奇术!$A:$ZZ,13,FALSE)+SUM(_xlfn.XLOOKUP(R123:AF123,增益!$A:$A,增益!$M:$M,0)))/100)</f>
        <v>-0.08</v>
      </c>
      <c r="BD123" s="33" cm="1">
        <f t="array" ref="BD123">$G$13+VLOOKUP($Q123,武学奇术!$A:$ZZ,14,FALSE)+SUM(_xlfn.XLOOKUP(R123:AF123,增益!$A:$A,增益!$N:$N,0))</f>
        <v>0</v>
      </c>
      <c r="BE123">
        <f t="shared" si="18"/>
        <v>570.28</v>
      </c>
      <c r="BF123">
        <f t="shared" si="19"/>
        <v>1582.156</v>
      </c>
      <c r="BG123" s="33" cm="1">
        <f t="array" ref="BG123">IF($F$14-$I$4+VLOOKUP($Q123,武学奇术!$A:$ZZ,15,FALSE)+SUM(_xlfn.XLOOKUP(R123:AF123,增益!$A:$A,增益!$O:$O,0))&gt;0,($F$14-$I$4+VLOOKUP($Q123,武学奇术!$A:$ZZ,15,FALSE)+SUM(_xlfn.XLOOKUP(R123:AF123,增益!$A:$A,增益!$O:$O,0)))/200,($F$14-$I$4+VLOOKUP($Q123,武学奇术!$A:$ZZ,15,FALSE)+SUM(_xlfn.XLOOKUP(R123:AF123,增益!$A:$A,增益!$O:$O,0)))/100)</f>
        <v>0.11</v>
      </c>
      <c r="BH123" s="33" cm="1">
        <f t="array" ref="BH123">$G$14+VLOOKUP($Q123,武学奇术!$A:$ZZ,16,FALSE)+SUM(_xlfn.XLOOKUP(R123:AF123,增益!$A:$A,增益!$P:$P,0))</f>
        <v>0.24</v>
      </c>
      <c r="BI123" s="27">
        <f>MIN(IF(VLOOKUP($Q123,武学奇术!$A:$ZZ,23,FALSE)=1,100%,$B$8),100%)</f>
        <v>1</v>
      </c>
      <c r="BJ123" s="27" cm="1">
        <f t="array" ref="BJ123">IF(VLOOKUP($Q123,武学奇术!$A:$ZZ,23,FALSE)=1,100%,MIN(80%,$B$9+VLOOKUP($Q123,武学奇术!$A:$ZZ,17,FALSE)+SUM(_xlfn.XLOOKUP(R123:AF123,增益!$A:$A,增益!$Q:$Q,0)))+$B$11+SUM(_xlfn.XLOOKUP(R123:AF123,增益!$A:$A,增益!$U:$U,0)))*IF(VLOOKUP($Q123,武学奇术!$A:$ZZ,24,FALSE)=1,0,1)+MIN(IF(VLOOKUP($Q123,武学奇术!$A:$ZZ,32,FALSE)=1,IF(VLOOKUP($Q123,武学奇术!$A:$ZZ,24,FALSE)=1,100%,MIN(40%,$B$10+VLOOKUP($Q123,武学奇术!$A:$ZZ,19,FALSE)+SUM(_xlfn.XLOOKUP(R123:AF123,增益!$A:$A,增益!$S:$S,0)))+$B$12+SUM(_xlfn.XLOOKUP(R123:AF123,增益!$A:$A,增益!$V:$V,0))),0),12%)</f>
        <v>0.918</v>
      </c>
      <c r="BK123" s="27" cm="1">
        <f t="array" ref="BK123">1+$B$13+VLOOKUP($Q123,武学奇术!$A:$ZZ,18,FALSE)+SUM(_xlfn.XLOOKUP(R123:AF123,增益!$A:$A,增益!$R:$R,0))</f>
        <v>2.19</v>
      </c>
      <c r="BL123" s="27" cm="1">
        <f t="array" ref="BL123">MAX(IF(VLOOKUP($Q123,武学奇术!$A:$ZZ,24,FALSE)=1,100%,MIN(40%,$B$10+VLOOKUP($Q123,武学奇术!$A:$ZZ,19,FALSE)+SUM(_xlfn.XLOOKUP(R123:AF123,增益!$A:$A,增益!$S:$S,0)))+$B$12+SUM(_xlfn.XLOOKUP(R123:AF123,增益!$A:$A,增益!$V:$V,0)))*IF(VLOOKUP($Q123,武学奇术!$A:$ZZ,23,FALSE)=1,0,1)-IF(VLOOKUP($Q123,武学奇术!$A:$ZZ,32,FALSE)=1,12%,0),0)</f>
        <v>0.0895</v>
      </c>
      <c r="BM123" s="27" cm="1">
        <f t="array" ref="BM123">1+$B$14+VLOOKUP($Q123,武学奇术!$A:$ZZ,20,FALSE)+SUM(_xlfn.XLOOKUP(R123:AF123,增益!$A:$A,增益!$T:$T,0))</f>
        <v>1.35</v>
      </c>
      <c r="BN123" s="27">
        <f t="shared" si="20"/>
        <v>0.9105</v>
      </c>
      <c r="BO123" s="27">
        <f t="shared" si="21"/>
        <v>0</v>
      </c>
      <c r="BP123" s="27">
        <f>IF(VLOOKUP($Q123,武学奇术!$A:$ZZ,22,FALSE)=1,0,(1-$BI123))*(1-$BL123)</f>
        <v>0</v>
      </c>
      <c r="BQ123" s="27" cm="1">
        <f t="array" ref="BQ123">SUM(_xlfn.XLOOKUP(R123:AF123,增益!$A:$A,增益!$W:$W,0))+$I$5</f>
        <v>0.31</v>
      </c>
    </row>
    <row r="124" spans="11:69">
      <c r="K124" s="39">
        <f t="shared" si="11"/>
        <v>777254.036692946</v>
      </c>
      <c r="L124" s="39">
        <f>((($AN124+($AO124-$AN124)*IF(VLOOKUP($Q124,武学奇术!$A:$ZZ,31,FALSE)=1,$F$18,0.5))*$AH124+$AI124)*(1+$AP124)*(1+$AQ124)+(($AS124+($AT124-$AS124)*IF(VLOOKUP($Q124,武学奇术!$A:$ZZ,31,FALSE)=1,$F$18,0.5))*IF($G$1="鸣金",$AJ124,$AH124)+IF($G$1="鸣金",$AK124*1.5,0))*(1+$AU124)*(1+$AV124)+(($AW124+($AX124-$AW124)*IF(VLOOKUP($Q124,武学奇术!$A:$ZZ,31,FALSE)=1,$F$18,0.5))*IF($G$1="裂石",$AJ124,$AH124)+IF($G$1="裂石",$AK124*1.5,0))*(1+$AY124)*(1+$AZ124)+(($BA124+($BB124-$BA124)*IF(VLOOKUP($Q124,武学奇术!$A:$ZZ,31,FALSE)=1,$F$18,0.5))*IF($G$1="牵丝",$AJ124,$AH124)+IF($G$1="牵丝",$AK124*1.5,0))*(1+$BC124)*(1+$BD124)+(($BE124+($BF124-$BE124)*IF(VLOOKUP($Q124,武学奇术!$A:$ZZ,31,FALSE)=1,$F$18,0.5))*IF($G$1="破竹",$AJ124,$AH124)+IF($G$1="破竹",$AK124*1.5,0))*(1+$BG124)*(1+$BH124))*(1+$AL124)*$BK124*$P124*(1+IF(VLOOKUP($Q124,武学奇术!$A:$ZZ,30,FALSE)="蓄力技",$B$21,0))*(1+$BQ124)</f>
        <v>777254.036692946</v>
      </c>
      <c r="M124" s="39">
        <f>(($AO124*$AH124+$AI124)*(1+$AP124)*(1+$AQ124)+($AT124*IF($G$1="鸣金",$AJ124,$AH124)+IF($G$1="鸣金",$AK124*1.5,0))*(1+$AU124)*(1+$AV124)+($AX124*IF($G$1="裂石",$AJ124,$AH124)+IF($G$1="裂石",$AK124*1.5,0))*(1+$AY124)*(1+$AZ124)+($BB124*IF($G$1="牵丝",$AJ124,$AH124)+IF($G$1="牵丝",$AK124*1.5,0))*(1+$BC124)*(1+$BD124)+($BF124*IF($G$1="破竹",$AJ124,$AH124)+IF($G$1="破竹",$AK124*1.5,0))*(1+$BG124)*(1+$BH124))*(1+$AL124)*$BM124*$P124*(1+IF(VLOOKUP($Q124,武学奇术!$A:$ZZ,30,FALSE)="蓄力技",$B$21,0))*(1+$BQ124)</f>
        <v>491351.303282614</v>
      </c>
      <c r="N124" s="39">
        <f>((($AN124+($AO124-$AN124)*IF(VLOOKUP($Q124,武学奇术!$A:$ZZ,31,FALSE)=1,$F$18,0.5))*$AH124+$AI124)*(1+$AP124)*(1+$AQ124)+(($AS124+($AT124-$AS124)*IF(VLOOKUP($Q124,武学奇术!$A:$ZZ,31,FALSE)=1,$F$18,0.5))*IF($G$1="鸣金",$AJ124,$AH124)+IF($G$1="鸣金",$AK124*1.5,0))*(1+$AU124)*(1+$AV124)+(($AW124+($AX124-$AW124)*IF(VLOOKUP($Q124,武学奇术!$A:$ZZ,31,FALSE)=1,$F$18,0.5))*IF($G$1="裂石",$AJ124,$AH124)+IF($G$1="裂石",$AK124*1.5,0))*(1+$AY124)*(1+$AZ124)+(($BA124+($BB124-$BA124)*IF(VLOOKUP($Q124,武学奇术!$A:$ZZ,31,FALSE)=1,$F$18,0.5))*IF($G$1="牵丝",$AJ124,$AH124)+IF($G$1="牵丝",$AK124*1.5,0))*(1+$BC124)*(1+$BD124)+(($BE124+($BF124-$BE124)*IF(VLOOKUP($Q124,武学奇术!$A:$ZZ,31,FALSE)=1,$F$18,0.5))*IF($G$1="破竹",$AJ124,$AH124)+IF($G$1="破竹",$AK124*1.5,0))*(1+$BG124)*(1+$BH124))*(1+$AL124)*$P124*(1+IF(VLOOKUP($Q124,武学奇术!$A:$ZZ,30,FALSE)="蓄力技",$B$21,0))*(1+$BQ124)</f>
        <v>325210.894013785</v>
      </c>
      <c r="O124" s="39">
        <f>((($AN124*$AH124+$AI124)*(1+$AP124)*(1+$AQ124)+($AS124*IF($G$1="鸣金",$AJ124,$AH124)+IF($G$1="鸣金",$AK124*1.5,0))*(1+$AU124)*(1+$AV124)+($AW124*IF($G$1="裂石",$AJ124,$AH124)+IF($G$1="裂石",$AK124*1.5,0))*(1+$AY124)*(1+$AZ124)+($BA124*IF($G$1="牵丝",$AJ124,$AH124)+IF($G$1="牵丝",$AK124*1.5,0))*(1+$BC124)*(1+$BD124)+($BE124*IF($G$1="破竹",$AJ124,$AH124)+IF($G$1="破竹",$AK124*1.5,0))*(1+$BG124)*(1+$BH124))*(1+$AL124))*$P124*(1+IF(VLOOKUP($Q124,武学奇术!$A:$ZZ,30,FALSE)="蓄力技",$B$21,0))*(1+$BQ124)</f>
        <v>286457.859670078</v>
      </c>
      <c r="P124" s="40">
        <v>1</v>
      </c>
      <c r="Q124" s="41" t="s">
        <v>125</v>
      </c>
      <c r="R124" s="41" t="s">
        <v>93</v>
      </c>
      <c r="S124" s="41" t="s">
        <v>118</v>
      </c>
      <c r="T124" s="41" t="s">
        <v>72</v>
      </c>
      <c r="U124" s="41" t="s">
        <v>72</v>
      </c>
      <c r="V124" s="41" t="s">
        <v>72</v>
      </c>
      <c r="W124" s="41" t="s">
        <v>72</v>
      </c>
      <c r="X124" s="41" t="s">
        <v>165</v>
      </c>
      <c r="Y124" s="41" t="s">
        <v>81</v>
      </c>
      <c r="Z124" s="41" t="s">
        <v>101</v>
      </c>
      <c r="AA124" s="41" t="s">
        <v>72</v>
      </c>
      <c r="AB124" s="41" t="s">
        <v>72</v>
      </c>
      <c r="AC124" s="41" t="s">
        <v>72</v>
      </c>
      <c r="AD124" s="41" t="s">
        <v>72</v>
      </c>
      <c r="AE124" s="41" t="s">
        <v>75</v>
      </c>
      <c r="AF124" s="41" t="s">
        <v>72</v>
      </c>
      <c r="AG124" t="str">
        <f>VLOOKUP($Q124,武学奇术!$A:$ZZ,25,FALSE)</f>
        <v>拳甲</v>
      </c>
      <c r="AH124" s="27">
        <f>VLOOKUP($Q124,武学奇术!$A:$ZZ,26,FALSE)</f>
        <v>16.8107</v>
      </c>
      <c r="AI124" s="28">
        <f>VLOOKUP($Q124,武学奇术!$A:$ZZ,27,FALSE)*(1+IF(OR($AG124=$F$4,$AG124=$F$5),$B$22,0))</f>
        <v>6505.8</v>
      </c>
      <c r="AJ124" s="27">
        <f>VLOOKUP($Q124,武学奇术!$A:$ZZ,28,FALSE)</f>
        <v>25.2161</v>
      </c>
      <c r="AK124" s="28">
        <f>VLOOKUP($Q124,武学奇术!$A:$ZZ,29,FALSE)*(1+IF(OR($AG124=$F$4,$AG124=$F$5),$B$22,0))</f>
        <v>3546.2</v>
      </c>
      <c r="AL124" s="27" cm="1">
        <f t="array" ref="AL124">$G$3+IFERROR(VLOOKUP($AG124,$F$4:$G$7,2,FALSE),0)+VLOOKUP($Q124,武学奇术!$A:$ZZ,2,FALSE)+SUM(_xlfn.XLOOKUP($R124:$AF124,增益!$A:$A,增益!$B:$B,0))</f>
        <v>0.6241</v>
      </c>
      <c r="AM124" s="27" cm="1">
        <f t="array" ref="AM124">VLOOKUP($Q124,武学奇术!$A:$ZZ,5,FALSE)+SUM(_xlfn.XLOOKUP($R124:$AF124,增益!$A:$A,增益!$E:$E,0))</f>
        <v>0</v>
      </c>
      <c r="AN124" cm="1">
        <f t="array" ref="AN124">$D$10*(1+$AM124)+VLOOKUP($Q124,武学奇术!$A:$ZZ,3,FALSE)+SUM(_xlfn.XLOOKUP($R124:$AF124,增益!$A:$A,增益!$C:$C,0))-$I$2</f>
        <v>3742.006</v>
      </c>
      <c r="AO124" cm="1">
        <f t="array" ref="AO124">$E$10*(1+$AM124)+VLOOKUP($Q124,武学奇术!$A:$ZZ,4,FALSE)+SUM(_xlfn.XLOOKUP($R124:$AF124,增益!$A:$A,增益!$D:$D,0))-$I$2</f>
        <v>3742.006</v>
      </c>
      <c r="AP124" s="33" cm="1">
        <f t="array" ref="AP124">IF($F$10-$I$3+VLOOKUP($Q124,武学奇术!$A:$ZZ,6,FALSE)+SUM(_xlfn.XLOOKUP(R124:AF124,增益!$A:$A,增益!$F:$F,0))&gt;0,($F$10-$I$3+VLOOKUP($Q124,武学奇术!$A:$ZZ,6,FALSE)+SUM(_xlfn.XLOOKUP(R124:AF124,增益!$A:$A,增益!$F:$F,0)))/200,($F$10-$I$3+VLOOKUP($Q124,武学奇术!$A:$ZZ,6,FALSE)+SUM(_xlfn.XLOOKUP(R124:AF124,增益!$A:$A,增益!$F:$F,0)))/100)</f>
        <v>0.372</v>
      </c>
      <c r="AQ124" s="33" cm="1">
        <f t="array" ref="AQ124">$G$10+VLOOKUP($Q124,武学奇术!$A:$ZZ,7,FALSE)+SUM(_xlfn.XLOOKUP(R124:AF124,增益!$A:$A,增益!$G:$G,0))</f>
        <v>0</v>
      </c>
      <c r="AR124" s="27" cm="1">
        <f t="array" ref="AR124">VLOOKUP($Q124,武学奇术!$A:$ZZ,8,FALSE)+SUM(_xlfn.XLOOKUP(R124:AF124,增益!$A:$A,增益!$H:$H,0))</f>
        <v>0</v>
      </c>
      <c r="AS124">
        <f t="shared" si="12"/>
        <v>0</v>
      </c>
      <c r="AT124">
        <f t="shared" si="13"/>
        <v>0</v>
      </c>
      <c r="AU124" s="33" cm="1">
        <f t="array" ref="AU124">IF($F$11-$I$4+VLOOKUP($Q124,武学奇术!$A:$ZZ,9,FALSE)+SUM(_xlfn.XLOOKUP(R124:AF124,增益!$A:$A,增益!$I:$I,0))&gt;0,($F$11-$I$4+VLOOKUP($Q124,武学奇术!$A:$ZZ,9,FALSE)+SUM(_xlfn.XLOOKUP(R124:AF124,增益!$A:$A,增益!$I:$I,0)))/200,($F$11-$I$4+VLOOKUP($Q124,武学奇术!$A:$ZZ,9,FALSE)+SUM(_xlfn.XLOOKUP(R124:AF124,增益!$A:$A,增益!$I:$I,0)))/100)</f>
        <v>-0.08</v>
      </c>
      <c r="AV124" s="33" cm="1">
        <f t="array" ref="AV124">$G$11+VLOOKUP($Q124,武学奇术!$A:$ZZ,10,FALSE)+SUM(_xlfn.XLOOKUP(R124:AF124,增益!$A:$A,增益!$J:$J,0))</f>
        <v>0</v>
      </c>
      <c r="AW124">
        <f t="shared" si="14"/>
        <v>0</v>
      </c>
      <c r="AX124">
        <f t="shared" si="15"/>
        <v>0</v>
      </c>
      <c r="AY124" s="33" cm="1">
        <f t="array" ref="AY124">IF($F$12-$I$4+VLOOKUP($Q124,武学奇术!$A:$ZZ,11,FALSE)+SUM(_xlfn.XLOOKUP(R124:AF124,增益!$A:$A,增益!$K:$K,0))&gt;0,($F$12-$I$4+VLOOKUP($Q124,武学奇术!$A:$ZZ,11,FALSE)+SUM(_xlfn.XLOOKUP(R124:AF124,增益!$A:$A,增益!$K:$K,0)))/200,($F$12-$I$4+VLOOKUP($Q124,武学奇术!$A:$ZZ,11,FALSE)+SUM(_xlfn.XLOOKUP(R124:AF124,增益!$A:$A,增益!$K:$K,0)))/100)</f>
        <v>-0.08</v>
      </c>
      <c r="AZ124" s="33" cm="1">
        <f t="array" ref="AZ124">$G$12+VLOOKUP($Q124,武学奇术!$A:$ZZ,12,FALSE)+SUM(_xlfn.XLOOKUP(R124:AF124,增益!$A:$A,增益!$L:$L,0))</f>
        <v>0</v>
      </c>
      <c r="BA124">
        <f t="shared" si="16"/>
        <v>0</v>
      </c>
      <c r="BB124">
        <f t="shared" si="17"/>
        <v>0</v>
      </c>
      <c r="BC124" s="33" cm="1">
        <f t="array" ref="BC124">IF($F$13-$I$4+VLOOKUP($Q124,武学奇术!$A:$ZZ,13,FALSE)+SUM(_xlfn.XLOOKUP(R124:AF124,增益!$A:$A,增益!$M:$M,0))&gt;0,($F$13-$I$4+VLOOKUP($Q124,武学奇术!$A:$ZZ,13,FALSE)+SUM(_xlfn.XLOOKUP(R124:AF124,增益!$A:$A,增益!$K:$K,0)))/200,($F$13-$I$4+VLOOKUP($Q124,武学奇术!$A:$ZZ,13,FALSE)+SUM(_xlfn.XLOOKUP(R124:AF124,增益!$A:$A,增益!$M:$M,0)))/100)</f>
        <v>-0.08</v>
      </c>
      <c r="BD124" s="33" cm="1">
        <f t="array" ref="BD124">$G$13+VLOOKUP($Q124,武学奇术!$A:$ZZ,14,FALSE)+SUM(_xlfn.XLOOKUP(R124:AF124,增益!$A:$A,增益!$N:$N,0))</f>
        <v>0</v>
      </c>
      <c r="BE124">
        <f t="shared" si="18"/>
        <v>570.28</v>
      </c>
      <c r="BF124">
        <f t="shared" si="19"/>
        <v>1582.156</v>
      </c>
      <c r="BG124" s="33" cm="1">
        <f t="array" ref="BG124">IF($F$14-$I$4+VLOOKUP($Q124,武学奇术!$A:$ZZ,15,FALSE)+SUM(_xlfn.XLOOKUP(R124:AF124,增益!$A:$A,增益!$O:$O,0))&gt;0,($F$14-$I$4+VLOOKUP($Q124,武学奇术!$A:$ZZ,15,FALSE)+SUM(_xlfn.XLOOKUP(R124:AF124,增益!$A:$A,增益!$O:$O,0)))/200,($F$14-$I$4+VLOOKUP($Q124,武学奇术!$A:$ZZ,15,FALSE)+SUM(_xlfn.XLOOKUP(R124:AF124,增益!$A:$A,增益!$O:$O,0)))/100)</f>
        <v>0.11</v>
      </c>
      <c r="BH124" s="33" cm="1">
        <f t="array" ref="BH124">$G$14+VLOOKUP($Q124,武学奇术!$A:$ZZ,16,FALSE)+SUM(_xlfn.XLOOKUP(R124:AF124,增益!$A:$A,增益!$P:$P,0))</f>
        <v>0.15</v>
      </c>
      <c r="BI124" s="27">
        <f>MIN(IF(VLOOKUP($Q124,武学奇术!$A:$ZZ,23,FALSE)=1,100%,$B$8),100%)</f>
        <v>1</v>
      </c>
      <c r="BJ124" s="27" cm="1">
        <f t="array" ref="BJ124">IF(VLOOKUP($Q124,武学奇术!$A:$ZZ,23,FALSE)=1,100%,MIN(80%,$B$9+VLOOKUP($Q124,武学奇术!$A:$ZZ,17,FALSE)+SUM(_xlfn.XLOOKUP(R124:AF124,增益!$A:$A,增益!$Q:$Q,0)))+$B$11+SUM(_xlfn.XLOOKUP(R124:AF124,增益!$A:$A,增益!$U:$U,0)))*IF(VLOOKUP($Q124,武学奇术!$A:$ZZ,24,FALSE)=1,0,1)+MIN(IF(VLOOKUP($Q124,武学奇术!$A:$ZZ,32,FALSE)=1,IF(VLOOKUP($Q124,武学奇术!$A:$ZZ,24,FALSE)=1,100%,MIN(40%,$B$10+VLOOKUP($Q124,武学奇术!$A:$ZZ,19,FALSE)+SUM(_xlfn.XLOOKUP(R124:AF124,增益!$A:$A,增益!$S:$S,0)))+$B$12+SUM(_xlfn.XLOOKUP(R124:AF124,增益!$A:$A,增益!$V:$V,0))),0),12%)</f>
        <v>1.0075</v>
      </c>
      <c r="BK124" s="27" cm="1">
        <f t="array" ref="BK124">1+$B$13+VLOOKUP($Q124,武学奇术!$A:$ZZ,18,FALSE)+SUM(_xlfn.XLOOKUP(R124:AF124,增益!$A:$A,增益!$R:$R,0))</f>
        <v>2.39</v>
      </c>
      <c r="BL124" s="27" cm="1">
        <f t="array" ref="BL124">MAX(IF(VLOOKUP($Q124,武学奇术!$A:$ZZ,24,FALSE)=1,100%,MIN(40%,$B$10+VLOOKUP($Q124,武学奇术!$A:$ZZ,19,FALSE)+SUM(_xlfn.XLOOKUP(R124:AF124,增益!$A:$A,增益!$S:$S,0)))+$B$12+SUM(_xlfn.XLOOKUP(R124:AF124,增益!$A:$A,增益!$V:$V,0)))*IF(VLOOKUP($Q124,武学奇术!$A:$ZZ,23,FALSE)=1,0,1)-IF(VLOOKUP($Q124,武学奇术!$A:$ZZ,32,FALSE)=1,12%,0),0)</f>
        <v>0</v>
      </c>
      <c r="BM124" s="27" cm="1">
        <f t="array" ref="BM124">1+$B$14+VLOOKUP($Q124,武学奇术!$A:$ZZ,20,FALSE)+SUM(_xlfn.XLOOKUP(R124:AF124,增益!$A:$A,增益!$T:$T,0))</f>
        <v>1.35</v>
      </c>
      <c r="BN124" s="27">
        <f t="shared" si="20"/>
        <v>1</v>
      </c>
      <c r="BO124" s="27">
        <f t="shared" si="21"/>
        <v>0</v>
      </c>
      <c r="BP124" s="27">
        <f>IF(VLOOKUP($Q124,武学奇术!$A:$ZZ,22,FALSE)=1,0,(1-$BI124))*(1-$BL124)</f>
        <v>0</v>
      </c>
      <c r="BQ124" s="27" cm="1">
        <f t="array" ref="BQ124">SUM(_xlfn.XLOOKUP(R124:AF124,增益!$A:$A,增益!$W:$W,0))+$I$5</f>
        <v>0.11</v>
      </c>
    </row>
    <row r="125" spans="11:69">
      <c r="K125" s="39">
        <f t="shared" si="11"/>
        <v>299252.960509033</v>
      </c>
      <c r="L125" s="39">
        <f>((($AN125+($AO125-$AN125)*IF(VLOOKUP($Q125,武学奇术!$A:$ZZ,31,FALSE)=1,$F$18,0.5))*$AH125+$AI125)*(1+$AP125)*(1+$AQ125)+(($AS125+($AT125-$AS125)*IF(VLOOKUP($Q125,武学奇术!$A:$ZZ,31,FALSE)=1,$F$18,0.5))*IF($G$1="鸣金",$AJ125,$AH125)+IF($G$1="鸣金",$AK125*1.5,0))*(1+$AU125)*(1+$AV125)+(($AW125+($AX125-$AW125)*IF(VLOOKUP($Q125,武学奇术!$A:$ZZ,31,FALSE)=1,$F$18,0.5))*IF($G$1="裂石",$AJ125,$AH125)+IF($G$1="裂石",$AK125*1.5,0))*(1+$AY125)*(1+$AZ125)+(($BA125+($BB125-$BA125)*IF(VLOOKUP($Q125,武学奇术!$A:$ZZ,31,FALSE)=1,$F$18,0.5))*IF($G$1="牵丝",$AJ125,$AH125)+IF($G$1="牵丝",$AK125*1.5,0))*(1+$BC125)*(1+$BD125)+(($BE125+($BF125-$BE125)*IF(VLOOKUP($Q125,武学奇术!$A:$ZZ,31,FALSE)=1,$F$18,0.5))*IF($G$1="破竹",$AJ125,$AH125)+IF($G$1="破竹",$AK125*1.5,0))*(1+$BG125)*(1+$BH125))*(1+$AL125)*$BK125*$P125*(1+IF(VLOOKUP($Q125,武学奇术!$A:$ZZ,30,FALSE)="蓄力技",$B$21,0))*(1+$BQ125)</f>
        <v>299252.960509033</v>
      </c>
      <c r="M125" s="39">
        <f>(($AO125*$AH125+$AI125)*(1+$AP125)*(1+$AQ125)+($AT125*IF($G$1="鸣金",$AJ125,$AH125)+IF($G$1="鸣金",$AK125*1.5,0))*(1+$AU125)*(1+$AV125)+($AX125*IF($G$1="裂石",$AJ125,$AH125)+IF($G$1="裂石",$AK125*1.5,0))*(1+$AY125)*(1+$AZ125)+($BB125*IF($G$1="牵丝",$AJ125,$AH125)+IF($G$1="牵丝",$AK125*1.5,0))*(1+$BC125)*(1+$BD125)+($BF125*IF($G$1="破竹",$AJ125,$AH125)+IF($G$1="破竹",$AK125*1.5,0))*(1+$BG125)*(1+$BH125))*(1+$AL125)*$BM125*$P125*(1+IF(VLOOKUP($Q125,武学奇术!$A:$ZZ,30,FALSE)="蓄力技",$B$21,0))*(1+$BQ125)</f>
        <v>189176.157722927</v>
      </c>
      <c r="N125" s="39">
        <f>((($AN125+($AO125-$AN125)*IF(VLOOKUP($Q125,武学奇术!$A:$ZZ,31,FALSE)=1,$F$18,0.5))*$AH125+$AI125)*(1+$AP125)*(1+$AQ125)+(($AS125+($AT125-$AS125)*IF(VLOOKUP($Q125,武学奇术!$A:$ZZ,31,FALSE)=1,$F$18,0.5))*IF($G$1="鸣金",$AJ125,$AH125)+IF($G$1="鸣金",$AK125*1.5,0))*(1+$AU125)*(1+$AV125)+(($AW125+($AX125-$AW125)*IF(VLOOKUP($Q125,武学奇术!$A:$ZZ,31,FALSE)=1,$F$18,0.5))*IF($G$1="裂石",$AJ125,$AH125)+IF($G$1="裂石",$AK125*1.5,0))*(1+$AY125)*(1+$AZ125)+(($BA125+($BB125-$BA125)*IF(VLOOKUP($Q125,武学奇术!$A:$ZZ,31,FALSE)=1,$F$18,0.5))*IF($G$1="牵丝",$AJ125,$AH125)+IF($G$1="牵丝",$AK125*1.5,0))*(1+$BC125)*(1+$BD125)+(($BE125+($BF125-$BE125)*IF(VLOOKUP($Q125,武学奇术!$A:$ZZ,31,FALSE)=1,$F$18,0.5))*IF($G$1="破竹",$AJ125,$AH125)+IF($G$1="破竹",$AK125*1.5,0))*(1+$BG125)*(1+$BH125))*(1+$AL125)*$P125*(1+IF(VLOOKUP($Q125,武学奇术!$A:$ZZ,30,FALSE)="蓄力技",$B$21,0))*(1+$BQ125)</f>
        <v>125210.443727629</v>
      </c>
      <c r="O125" s="39">
        <f>((($AN125*$AH125+$AI125)*(1+$AP125)*(1+$AQ125)+($AS125*IF($G$1="鸣金",$AJ125,$AH125)+IF($G$1="鸣金",$AK125*1.5,0))*(1+$AU125)*(1+$AV125)+($AW125*IF($G$1="裂石",$AJ125,$AH125)+IF($G$1="裂石",$AK125*1.5,0))*(1+$AY125)*(1+$AZ125)+($BA125*IF($G$1="牵丝",$AJ125,$AH125)+IF($G$1="牵丝",$AK125*1.5,0))*(1+$BC125)*(1+$BD125)+($BE125*IF($G$1="破竹",$AJ125,$AH125)+IF($G$1="破竹",$AK125*1.5,0))*(1+$BG125)*(1+$BH125))*(1+$AL125))*$P125*(1+IF(VLOOKUP($Q125,武学奇术!$A:$ZZ,30,FALSE)="蓄力技",$B$21,0))*(1+$BQ125)</f>
        <v>110290.40025309</v>
      </c>
      <c r="P125" s="40">
        <v>1</v>
      </c>
      <c r="Q125" s="41" t="s">
        <v>129</v>
      </c>
      <c r="R125" s="41" t="s">
        <v>93</v>
      </c>
      <c r="S125" s="41" t="s">
        <v>118</v>
      </c>
      <c r="T125" s="41" t="s">
        <v>72</v>
      </c>
      <c r="U125" s="41" t="s">
        <v>72</v>
      </c>
      <c r="V125" s="41" t="s">
        <v>72</v>
      </c>
      <c r="W125" s="41" t="s">
        <v>72</v>
      </c>
      <c r="X125" s="41" t="s">
        <v>165</v>
      </c>
      <c r="Y125" s="41" t="s">
        <v>81</v>
      </c>
      <c r="Z125" s="41" t="s">
        <v>101</v>
      </c>
      <c r="AA125" s="41" t="s">
        <v>72</v>
      </c>
      <c r="AB125" s="41" t="s">
        <v>72</v>
      </c>
      <c r="AC125" s="41" t="s">
        <v>72</v>
      </c>
      <c r="AD125" s="41" t="s">
        <v>72</v>
      </c>
      <c r="AE125" s="41" t="s">
        <v>75</v>
      </c>
      <c r="AF125" s="41" t="s">
        <v>72</v>
      </c>
      <c r="AG125" t="str">
        <f>VLOOKUP($Q125,武学奇术!$A:$ZZ,25,FALSE)</f>
        <v>拳甲</v>
      </c>
      <c r="AH125" s="27">
        <f>VLOOKUP($Q125,武学奇术!$A:$ZZ,26,FALSE)</f>
        <v>6.4722</v>
      </c>
      <c r="AI125" s="28">
        <f>VLOOKUP($Q125,武学奇术!$A:$ZZ,27,FALSE)*(1+IF(OR($AG125=$F$4,$AG125=$F$5),$B$22,0))</f>
        <v>2504.88</v>
      </c>
      <c r="AJ125" s="27">
        <f>VLOOKUP($Q125,武学奇术!$A:$ZZ,28,FALSE)</f>
        <v>9.70828</v>
      </c>
      <c r="AK125" s="28">
        <f>VLOOKUP($Q125,武学奇术!$A:$ZZ,29,FALSE)*(1+IF(OR($AG125=$F$4,$AG125=$F$5),$B$22,0))</f>
        <v>1365.84</v>
      </c>
      <c r="AL125" s="27" cm="1">
        <f t="array" ref="AL125">$G$3+IFERROR(VLOOKUP($AG125,$F$4:$G$7,2,FALSE),0)+VLOOKUP($Q125,武学奇术!$A:$ZZ,2,FALSE)+SUM(_xlfn.XLOOKUP($R125:$AF125,增益!$A:$A,增益!$B:$B,0))</f>
        <v>0.6241</v>
      </c>
      <c r="AM125" s="27" cm="1">
        <f t="array" ref="AM125">VLOOKUP($Q125,武学奇术!$A:$ZZ,5,FALSE)+SUM(_xlfn.XLOOKUP($R125:$AF125,增益!$A:$A,增益!$E:$E,0))</f>
        <v>0</v>
      </c>
      <c r="AN125" cm="1">
        <f t="array" ref="AN125">$D$10*(1+$AM125)+VLOOKUP($Q125,武学奇术!$A:$ZZ,3,FALSE)+SUM(_xlfn.XLOOKUP($R125:$AF125,增益!$A:$A,增益!$C:$C,0))-$I$2</f>
        <v>3742.006</v>
      </c>
      <c r="AO125" cm="1">
        <f t="array" ref="AO125">$E$10*(1+$AM125)+VLOOKUP($Q125,武学奇术!$A:$ZZ,4,FALSE)+SUM(_xlfn.XLOOKUP($R125:$AF125,增益!$A:$A,增益!$D:$D,0))-$I$2</f>
        <v>3742.006</v>
      </c>
      <c r="AP125" s="33" cm="1">
        <f t="array" ref="AP125">IF($F$10-$I$3+VLOOKUP($Q125,武学奇术!$A:$ZZ,6,FALSE)+SUM(_xlfn.XLOOKUP(R125:AF125,增益!$A:$A,增益!$F:$F,0))&gt;0,($F$10-$I$3+VLOOKUP($Q125,武学奇术!$A:$ZZ,6,FALSE)+SUM(_xlfn.XLOOKUP(R125:AF125,增益!$A:$A,增益!$F:$F,0)))/200,($F$10-$I$3+VLOOKUP($Q125,武学奇术!$A:$ZZ,6,FALSE)+SUM(_xlfn.XLOOKUP(R125:AF125,增益!$A:$A,增益!$F:$F,0)))/100)</f>
        <v>0.372</v>
      </c>
      <c r="AQ125" s="33" cm="1">
        <f t="array" ref="AQ125">$G$10+VLOOKUP($Q125,武学奇术!$A:$ZZ,7,FALSE)+SUM(_xlfn.XLOOKUP(R125:AF125,增益!$A:$A,增益!$G:$G,0))</f>
        <v>0</v>
      </c>
      <c r="AR125" s="27" cm="1">
        <f t="array" ref="AR125">VLOOKUP($Q125,武学奇术!$A:$ZZ,8,FALSE)+SUM(_xlfn.XLOOKUP(R125:AF125,增益!$A:$A,增益!$H:$H,0))</f>
        <v>0</v>
      </c>
      <c r="AS125">
        <f t="shared" si="12"/>
        <v>0</v>
      </c>
      <c r="AT125">
        <f t="shared" si="13"/>
        <v>0</v>
      </c>
      <c r="AU125" s="33" cm="1">
        <f t="array" ref="AU125">IF($F$11-$I$4+VLOOKUP($Q125,武学奇术!$A:$ZZ,9,FALSE)+SUM(_xlfn.XLOOKUP(R125:AF125,增益!$A:$A,增益!$I:$I,0))&gt;0,($F$11-$I$4+VLOOKUP($Q125,武学奇术!$A:$ZZ,9,FALSE)+SUM(_xlfn.XLOOKUP(R125:AF125,增益!$A:$A,增益!$I:$I,0)))/200,($F$11-$I$4+VLOOKUP($Q125,武学奇术!$A:$ZZ,9,FALSE)+SUM(_xlfn.XLOOKUP(R125:AF125,增益!$A:$A,增益!$I:$I,0)))/100)</f>
        <v>-0.08</v>
      </c>
      <c r="AV125" s="33" cm="1">
        <f t="array" ref="AV125">$G$11+VLOOKUP($Q125,武学奇术!$A:$ZZ,10,FALSE)+SUM(_xlfn.XLOOKUP(R125:AF125,增益!$A:$A,增益!$J:$J,0))</f>
        <v>0</v>
      </c>
      <c r="AW125">
        <f t="shared" si="14"/>
        <v>0</v>
      </c>
      <c r="AX125">
        <f t="shared" si="15"/>
        <v>0</v>
      </c>
      <c r="AY125" s="33" cm="1">
        <f t="array" ref="AY125">IF($F$12-$I$4+VLOOKUP($Q125,武学奇术!$A:$ZZ,11,FALSE)+SUM(_xlfn.XLOOKUP(R125:AF125,增益!$A:$A,增益!$K:$K,0))&gt;0,($F$12-$I$4+VLOOKUP($Q125,武学奇术!$A:$ZZ,11,FALSE)+SUM(_xlfn.XLOOKUP(R125:AF125,增益!$A:$A,增益!$K:$K,0)))/200,($F$12-$I$4+VLOOKUP($Q125,武学奇术!$A:$ZZ,11,FALSE)+SUM(_xlfn.XLOOKUP(R125:AF125,增益!$A:$A,增益!$K:$K,0)))/100)</f>
        <v>-0.08</v>
      </c>
      <c r="AZ125" s="33" cm="1">
        <f t="array" ref="AZ125">$G$12+VLOOKUP($Q125,武学奇术!$A:$ZZ,12,FALSE)+SUM(_xlfn.XLOOKUP(R125:AF125,增益!$A:$A,增益!$L:$L,0))</f>
        <v>0</v>
      </c>
      <c r="BA125">
        <f t="shared" si="16"/>
        <v>0</v>
      </c>
      <c r="BB125">
        <f t="shared" si="17"/>
        <v>0</v>
      </c>
      <c r="BC125" s="33" cm="1">
        <f t="array" ref="BC125">IF($F$13-$I$4+VLOOKUP($Q125,武学奇术!$A:$ZZ,13,FALSE)+SUM(_xlfn.XLOOKUP(R125:AF125,增益!$A:$A,增益!$M:$M,0))&gt;0,($F$13-$I$4+VLOOKUP($Q125,武学奇术!$A:$ZZ,13,FALSE)+SUM(_xlfn.XLOOKUP(R125:AF125,增益!$A:$A,增益!$K:$K,0)))/200,($F$13-$I$4+VLOOKUP($Q125,武学奇术!$A:$ZZ,13,FALSE)+SUM(_xlfn.XLOOKUP(R125:AF125,增益!$A:$A,增益!$M:$M,0)))/100)</f>
        <v>-0.08</v>
      </c>
      <c r="BD125" s="33" cm="1">
        <f t="array" ref="BD125">$G$13+VLOOKUP($Q125,武学奇术!$A:$ZZ,14,FALSE)+SUM(_xlfn.XLOOKUP(R125:AF125,增益!$A:$A,增益!$N:$N,0))</f>
        <v>0</v>
      </c>
      <c r="BE125">
        <f t="shared" si="18"/>
        <v>570.28</v>
      </c>
      <c r="BF125">
        <f t="shared" si="19"/>
        <v>1582.156</v>
      </c>
      <c r="BG125" s="33" cm="1">
        <f t="array" ref="BG125">IF($F$14-$I$4+VLOOKUP($Q125,武学奇术!$A:$ZZ,15,FALSE)+SUM(_xlfn.XLOOKUP(R125:AF125,增益!$A:$A,增益!$O:$O,0))&gt;0,($F$14-$I$4+VLOOKUP($Q125,武学奇术!$A:$ZZ,15,FALSE)+SUM(_xlfn.XLOOKUP(R125:AF125,增益!$A:$A,增益!$O:$O,0)))/200,($F$14-$I$4+VLOOKUP($Q125,武学奇术!$A:$ZZ,15,FALSE)+SUM(_xlfn.XLOOKUP(R125:AF125,增益!$A:$A,增益!$O:$O,0)))/100)</f>
        <v>0.11</v>
      </c>
      <c r="BH125" s="33" cm="1">
        <f t="array" ref="BH125">$G$14+VLOOKUP($Q125,武学奇术!$A:$ZZ,16,FALSE)+SUM(_xlfn.XLOOKUP(R125:AF125,增益!$A:$A,增益!$P:$P,0))</f>
        <v>0.15</v>
      </c>
      <c r="BI125" s="27">
        <f>MIN(IF(VLOOKUP($Q125,武学奇术!$A:$ZZ,23,FALSE)=1,100%,$B$8),100%)</f>
        <v>1</v>
      </c>
      <c r="BJ125" s="27" cm="1">
        <f t="array" ref="BJ125">IF(VLOOKUP($Q125,武学奇术!$A:$ZZ,23,FALSE)=1,100%,MIN(80%,$B$9+VLOOKUP($Q125,武学奇术!$A:$ZZ,17,FALSE)+SUM(_xlfn.XLOOKUP(R125:AF125,增益!$A:$A,增益!$Q:$Q,0)))+$B$11+SUM(_xlfn.XLOOKUP(R125:AF125,增益!$A:$A,增益!$U:$U,0)))*IF(VLOOKUP($Q125,武学奇术!$A:$ZZ,24,FALSE)=1,0,1)+MIN(IF(VLOOKUP($Q125,武学奇术!$A:$ZZ,32,FALSE)=1,IF(VLOOKUP($Q125,武学奇术!$A:$ZZ,24,FALSE)=1,100%,MIN(40%,$B$10+VLOOKUP($Q125,武学奇术!$A:$ZZ,19,FALSE)+SUM(_xlfn.XLOOKUP(R125:AF125,增益!$A:$A,增益!$S:$S,0)))+$B$12+SUM(_xlfn.XLOOKUP(R125:AF125,增益!$A:$A,增益!$V:$V,0))),0),12%)</f>
        <v>1.0075</v>
      </c>
      <c r="BK125" s="27" cm="1">
        <f t="array" ref="BK125">1+$B$13+VLOOKUP($Q125,武学奇术!$A:$ZZ,18,FALSE)+SUM(_xlfn.XLOOKUP(R125:AF125,增益!$A:$A,增益!$R:$R,0))</f>
        <v>2.39</v>
      </c>
      <c r="BL125" s="27" cm="1">
        <f t="array" ref="BL125">MAX(IF(VLOOKUP($Q125,武学奇术!$A:$ZZ,24,FALSE)=1,100%,MIN(40%,$B$10+VLOOKUP($Q125,武学奇术!$A:$ZZ,19,FALSE)+SUM(_xlfn.XLOOKUP(R125:AF125,增益!$A:$A,增益!$S:$S,0)))+$B$12+SUM(_xlfn.XLOOKUP(R125:AF125,增益!$A:$A,增益!$V:$V,0)))*IF(VLOOKUP($Q125,武学奇术!$A:$ZZ,23,FALSE)=1,0,1)-IF(VLOOKUP($Q125,武学奇术!$A:$ZZ,32,FALSE)=1,12%,0),0)</f>
        <v>0</v>
      </c>
      <c r="BM125" s="27" cm="1">
        <f t="array" ref="BM125">1+$B$14+VLOOKUP($Q125,武学奇术!$A:$ZZ,20,FALSE)+SUM(_xlfn.XLOOKUP(R125:AF125,增益!$A:$A,增益!$T:$T,0))</f>
        <v>1.35</v>
      </c>
      <c r="BN125" s="27">
        <f t="shared" si="20"/>
        <v>1</v>
      </c>
      <c r="BO125" s="27">
        <f t="shared" si="21"/>
        <v>0</v>
      </c>
      <c r="BP125" s="27">
        <f>IF(VLOOKUP($Q125,武学奇术!$A:$ZZ,22,FALSE)=1,0,(1-$BI125))*(1-$BL125)</f>
        <v>0</v>
      </c>
      <c r="BQ125" s="27" cm="1">
        <f t="array" ref="BQ125">SUM(_xlfn.XLOOKUP(R125:AF125,增益!$A:$A,增益!$W:$W,0))+$I$5</f>
        <v>0.11</v>
      </c>
    </row>
    <row r="126" spans="11:69">
      <c r="K126" s="39">
        <f t="shared" si="11"/>
        <v>119006.664507923</v>
      </c>
      <c r="L126" s="39">
        <f>((($AN126+($AO126-$AN126)*IF(VLOOKUP($Q126,武学奇术!$A:$ZZ,31,FALSE)=1,$F$18,0.5))*$AH126+$AI126)*(1+$AP126)*(1+$AQ126)+(($AS126+($AT126-$AS126)*IF(VLOOKUP($Q126,武学奇术!$A:$ZZ,31,FALSE)=1,$F$18,0.5))*IF($G$1="鸣金",$AJ126,$AH126)+IF($G$1="鸣金",$AK126*1.5,0))*(1+$AU126)*(1+$AV126)+(($AW126+($AX126-$AW126)*IF(VLOOKUP($Q126,武学奇术!$A:$ZZ,31,FALSE)=1,$F$18,0.5))*IF($G$1="裂石",$AJ126,$AH126)+IF($G$1="裂石",$AK126*1.5,0))*(1+$AY126)*(1+$AZ126)+(($BA126+($BB126-$BA126)*IF(VLOOKUP($Q126,武学奇术!$A:$ZZ,31,FALSE)=1,$F$18,0.5))*IF($G$1="牵丝",$AJ126,$AH126)+IF($G$1="牵丝",$AK126*1.5,0))*(1+$BC126)*(1+$BD126)+(($BE126+($BF126-$BE126)*IF(VLOOKUP($Q126,武学奇术!$A:$ZZ,31,FALSE)=1,$F$18,0.5))*IF($G$1="破竹",$AJ126,$AH126)+IF($G$1="破竹",$AK126*1.5,0))*(1+$BG126)*(1+$BH126))*(1+$AL126)*$BK126*$P126*(1+IF(VLOOKUP($Q126,武学奇术!$A:$ZZ,30,FALSE)="蓄力技",$B$21,0))*(1+$BQ126)</f>
        <v>121100.474669127</v>
      </c>
      <c r="M126" s="39">
        <f>(($AO126*$AH126+$AI126)*(1+$AP126)*(1+$AQ126)+($AT126*IF($G$1="鸣金",$AJ126,$AH126)+IF($G$1="鸣金",$AK126*1.5,0))*(1+$AU126)*(1+$AV126)+($AX126*IF($G$1="裂石",$AJ126,$AH126)+IF($G$1="裂石",$AK126*1.5,0))*(1+$AY126)*(1+$AZ126)+($BB126*IF($G$1="牵丝",$AJ126,$AH126)+IF($G$1="牵丝",$AK126*1.5,0))*(1+$BC126)*(1+$BD126)+($BF126*IF($G$1="破竹",$AJ126,$AH126)+IF($G$1="破竹",$AK126*1.5,0))*(1+$BG126)*(1+$BH126))*(1+$AL126)*$BM126*$P126*(1+IF(VLOOKUP($Q126,武学奇术!$A:$ZZ,30,FALSE)="蓄力技",$B$21,0))*(1+$BQ126)</f>
        <v>97705.9477282994</v>
      </c>
      <c r="N126" s="39">
        <f>((($AN126+($AO126-$AN126)*IF(VLOOKUP($Q126,武学奇术!$A:$ZZ,31,FALSE)=1,$F$18,0.5))*$AH126+$AI126)*(1+$AP126)*(1+$AQ126)+(($AS126+($AT126-$AS126)*IF(VLOOKUP($Q126,武学奇术!$A:$ZZ,31,FALSE)=1,$F$18,0.5))*IF($G$1="鸣金",$AJ126,$AH126)+IF($G$1="鸣金",$AK126*1.5,0))*(1+$AU126)*(1+$AV126)+(($AW126+($AX126-$AW126)*IF(VLOOKUP($Q126,武学奇术!$A:$ZZ,31,FALSE)=1,$F$18,0.5))*IF($G$1="裂石",$AJ126,$AH126)+IF($G$1="裂石",$AK126*1.5,0))*(1+$AY126)*(1+$AZ126)+(($BA126+($BB126-$BA126)*IF(VLOOKUP($Q126,武学奇术!$A:$ZZ,31,FALSE)=1,$F$18,0.5))*IF($G$1="牵丝",$AJ126,$AH126)+IF($G$1="牵丝",$AK126*1.5,0))*(1+$BC126)*(1+$BD126)+(($BE126+($BF126-$BE126)*IF(VLOOKUP($Q126,武学奇术!$A:$ZZ,31,FALSE)=1,$F$18,0.5))*IF($G$1="破竹",$AJ126,$AH126)+IF($G$1="破竹",$AK126*1.5,0))*(1+$BG126)*(1+$BH126))*(1+$AL126)*$P126*(1+IF(VLOOKUP($Q126,武学奇术!$A:$ZZ,30,FALSE)="蓄力技",$B$21,0))*(1+$BQ126)</f>
        <v>64074.3252217606</v>
      </c>
      <c r="O126" s="39">
        <f>((($AN126*$AH126+$AI126)*(1+$AP126)*(1+$AQ126)+($AS126*IF($G$1="鸣金",$AJ126,$AH126)+IF($G$1="鸣金",$AK126*1.5,0))*(1+$AU126)*(1+$AV126)+($AW126*IF($G$1="裂石",$AJ126,$AH126)+IF($G$1="裂石",$AK126*1.5,0))*(1+$AY126)*(1+$AZ126)+($BA126*IF($G$1="牵丝",$AJ126,$AH126)+IF($G$1="牵丝",$AK126*1.5,0))*(1+$BC126)*(1+$BD126)+($BE126*IF($G$1="破竹",$AJ126,$AH126)+IF($G$1="破竹",$AK126*1.5,0))*(1+$BG126)*(1+$BH126))*(1+$AL126))*$P126*(1+IF(VLOOKUP($Q126,武学奇术!$A:$ZZ,30,FALSE)="蓄力技",$B$21,0))*(1+$BQ126)</f>
        <v>55773.8743484845</v>
      </c>
      <c r="P126" s="40">
        <v>1</v>
      </c>
      <c r="Q126" s="41" t="s">
        <v>189</v>
      </c>
      <c r="R126" s="41" t="s">
        <v>93</v>
      </c>
      <c r="S126" s="41" t="s">
        <v>118</v>
      </c>
      <c r="T126" s="41" t="s">
        <v>72</v>
      </c>
      <c r="U126" s="41" t="s">
        <v>72</v>
      </c>
      <c r="V126" s="41" t="s">
        <v>72</v>
      </c>
      <c r="W126" s="41" t="s">
        <v>72</v>
      </c>
      <c r="X126" s="41" t="s">
        <v>165</v>
      </c>
      <c r="Y126" s="41" t="s">
        <v>81</v>
      </c>
      <c r="Z126" s="41" t="s">
        <v>72</v>
      </c>
      <c r="AA126" s="41" t="s">
        <v>72</v>
      </c>
      <c r="AB126" s="41" t="s">
        <v>72</v>
      </c>
      <c r="AC126" s="41" t="s">
        <v>72</v>
      </c>
      <c r="AD126" s="41" t="s">
        <v>72</v>
      </c>
      <c r="AE126" s="41" t="s">
        <v>75</v>
      </c>
      <c r="AF126" s="41" t="s">
        <v>72</v>
      </c>
      <c r="AG126" t="str">
        <f>VLOOKUP($Q126,武学奇术!$A:$ZZ,25,FALSE)</f>
        <v>群体奇术</v>
      </c>
      <c r="AH126" s="27">
        <f>VLOOKUP($Q126,武学奇术!$A:$ZZ,26,FALSE)</f>
        <v>6.87663</v>
      </c>
      <c r="AI126" s="28">
        <f>VLOOKUP($Q126,武学奇术!$A:$ZZ,27,FALSE)*(1+IF(OR($AG126=$F$4,$AG126=$F$5),$B$22,0))</f>
        <v>1277.1</v>
      </c>
      <c r="AJ126" s="27">
        <f>VLOOKUP($Q126,武学奇术!$A:$ZZ,28,FALSE)</f>
        <v>10.314945</v>
      </c>
      <c r="AK126" s="28">
        <f>VLOOKUP($Q126,武学奇术!$A:$ZZ,29,FALSE)*(1+IF(OR($AG126=$F$4,$AG126=$F$5),$B$22,0))</f>
        <v>0</v>
      </c>
      <c r="AL126" s="27" cm="1">
        <f t="array" ref="AL126">$G$3+IFERROR(VLOOKUP($AG126,$F$4:$G$7,2,FALSE),0)+VLOOKUP($Q126,武学奇术!$A:$ZZ,2,FALSE)+SUM(_xlfn.XLOOKUP($R126:$AF126,增益!$A:$A,增益!$B:$B,0))</f>
        <v>0.1537</v>
      </c>
      <c r="AM126" s="27" cm="1">
        <f t="array" ref="AM126">VLOOKUP($Q126,武学奇术!$A:$ZZ,5,FALSE)+SUM(_xlfn.XLOOKUP($R126:$AF126,增益!$A:$A,增益!$E:$E,0))</f>
        <v>0</v>
      </c>
      <c r="AN126" cm="1">
        <f t="array" ref="AN126">$D$10*(1+$AM126)+VLOOKUP($Q126,武学奇术!$A:$ZZ,3,FALSE)+SUM(_xlfn.XLOOKUP($R126:$AF126,增益!$A:$A,增益!$C:$C,0))-$I$2</f>
        <v>3742.006</v>
      </c>
      <c r="AO126" cm="1">
        <f t="array" ref="AO126">$E$10*(1+$AM126)+VLOOKUP($Q126,武学奇术!$A:$ZZ,4,FALSE)+SUM(_xlfn.XLOOKUP($R126:$AF126,增益!$A:$A,增益!$D:$D,0))-$I$2</f>
        <v>3742.006</v>
      </c>
      <c r="AP126" s="33" cm="1">
        <f t="array" ref="AP126">IF($F$10-$I$3+VLOOKUP($Q126,武学奇术!$A:$ZZ,6,FALSE)+SUM(_xlfn.XLOOKUP(R126:AF126,增益!$A:$A,增益!$F:$F,0))&gt;0,($F$10-$I$3+VLOOKUP($Q126,武学奇术!$A:$ZZ,6,FALSE)+SUM(_xlfn.XLOOKUP(R126:AF126,增益!$A:$A,增益!$F:$F,0)))/200,($F$10-$I$3+VLOOKUP($Q126,武学奇术!$A:$ZZ,6,FALSE)+SUM(_xlfn.XLOOKUP(R126:AF126,增益!$A:$A,增益!$F:$F,0)))/100)</f>
        <v>0.342</v>
      </c>
      <c r="AQ126" s="33" cm="1">
        <f t="array" ref="AQ126">$G$10+VLOOKUP($Q126,武学奇术!$A:$ZZ,7,FALSE)+SUM(_xlfn.XLOOKUP(R126:AF126,增益!$A:$A,增益!$G:$G,0))</f>
        <v>0</v>
      </c>
      <c r="AR126" s="27" cm="1">
        <f t="array" ref="AR126">VLOOKUP($Q126,武学奇术!$A:$ZZ,8,FALSE)+SUM(_xlfn.XLOOKUP(R126:AF126,增益!$A:$A,增益!$H:$H,0))</f>
        <v>0</v>
      </c>
      <c r="AS126">
        <f t="shared" si="12"/>
        <v>0</v>
      </c>
      <c r="AT126">
        <f t="shared" si="13"/>
        <v>0</v>
      </c>
      <c r="AU126" s="33" cm="1">
        <f t="array" ref="AU126">IF($F$11-$I$4+VLOOKUP($Q126,武学奇术!$A:$ZZ,9,FALSE)+SUM(_xlfn.XLOOKUP(R126:AF126,增益!$A:$A,增益!$I:$I,0))&gt;0,($F$11-$I$4+VLOOKUP($Q126,武学奇术!$A:$ZZ,9,FALSE)+SUM(_xlfn.XLOOKUP(R126:AF126,增益!$A:$A,增益!$I:$I,0)))/200,($F$11-$I$4+VLOOKUP($Q126,武学奇术!$A:$ZZ,9,FALSE)+SUM(_xlfn.XLOOKUP(R126:AF126,增益!$A:$A,增益!$I:$I,0)))/100)</f>
        <v>-0.14</v>
      </c>
      <c r="AV126" s="33" cm="1">
        <f t="array" ref="AV126">$G$11+VLOOKUP($Q126,武学奇术!$A:$ZZ,10,FALSE)+SUM(_xlfn.XLOOKUP(R126:AF126,增益!$A:$A,增益!$J:$J,0))</f>
        <v>0</v>
      </c>
      <c r="AW126">
        <f t="shared" si="14"/>
        <v>0</v>
      </c>
      <c r="AX126">
        <f t="shared" si="15"/>
        <v>0</v>
      </c>
      <c r="AY126" s="33" cm="1">
        <f t="array" ref="AY126">IF($F$12-$I$4+VLOOKUP($Q126,武学奇术!$A:$ZZ,11,FALSE)+SUM(_xlfn.XLOOKUP(R126:AF126,增益!$A:$A,增益!$K:$K,0))&gt;0,($F$12-$I$4+VLOOKUP($Q126,武学奇术!$A:$ZZ,11,FALSE)+SUM(_xlfn.XLOOKUP(R126:AF126,增益!$A:$A,增益!$K:$K,0)))/200,($F$12-$I$4+VLOOKUP($Q126,武学奇术!$A:$ZZ,11,FALSE)+SUM(_xlfn.XLOOKUP(R126:AF126,增益!$A:$A,增益!$K:$K,0)))/100)</f>
        <v>-0.14</v>
      </c>
      <c r="AZ126" s="33" cm="1">
        <f t="array" ref="AZ126">$G$12+VLOOKUP($Q126,武学奇术!$A:$ZZ,12,FALSE)+SUM(_xlfn.XLOOKUP(R126:AF126,增益!$A:$A,增益!$L:$L,0))</f>
        <v>0</v>
      </c>
      <c r="BA126">
        <f t="shared" si="16"/>
        <v>0</v>
      </c>
      <c r="BB126">
        <f t="shared" si="17"/>
        <v>0</v>
      </c>
      <c r="BC126" s="33" cm="1">
        <f t="array" ref="BC126">IF($F$13-$I$4+VLOOKUP($Q126,武学奇术!$A:$ZZ,13,FALSE)+SUM(_xlfn.XLOOKUP(R126:AF126,增益!$A:$A,增益!$M:$M,0))&gt;0,($F$13-$I$4+VLOOKUP($Q126,武学奇术!$A:$ZZ,13,FALSE)+SUM(_xlfn.XLOOKUP(R126:AF126,增益!$A:$A,增益!$K:$K,0)))/200,($F$13-$I$4+VLOOKUP($Q126,武学奇术!$A:$ZZ,13,FALSE)+SUM(_xlfn.XLOOKUP(R126:AF126,增益!$A:$A,增益!$M:$M,0)))/100)</f>
        <v>-0.14</v>
      </c>
      <c r="BD126" s="33" cm="1">
        <f t="array" ref="BD126">$G$13+VLOOKUP($Q126,武学奇术!$A:$ZZ,14,FALSE)+SUM(_xlfn.XLOOKUP(R126:AF126,增益!$A:$A,增益!$N:$N,0))</f>
        <v>0</v>
      </c>
      <c r="BE126">
        <f t="shared" si="18"/>
        <v>570.28</v>
      </c>
      <c r="BF126">
        <f t="shared" si="19"/>
        <v>1582.156</v>
      </c>
      <c r="BG126" s="33" cm="1">
        <f t="array" ref="BG126">IF($F$14-$I$4+VLOOKUP($Q126,武学奇术!$A:$ZZ,15,FALSE)+SUM(_xlfn.XLOOKUP(R126:AF126,增益!$A:$A,增益!$O:$O,0))&gt;0,($F$14-$I$4+VLOOKUP($Q126,武学奇术!$A:$ZZ,15,FALSE)+SUM(_xlfn.XLOOKUP(R126:AF126,增益!$A:$A,增益!$O:$O,0)))/200,($F$14-$I$4+VLOOKUP($Q126,武学奇术!$A:$ZZ,15,FALSE)+SUM(_xlfn.XLOOKUP(R126:AF126,增益!$A:$A,增益!$O:$O,0)))/100)</f>
        <v>0.08</v>
      </c>
      <c r="BH126" s="33" cm="1">
        <f t="array" ref="BH126">$G$14+VLOOKUP($Q126,武学奇术!$A:$ZZ,16,FALSE)+SUM(_xlfn.XLOOKUP(R126:AF126,增益!$A:$A,增益!$P:$P,0))</f>
        <v>0.15</v>
      </c>
      <c r="BI126" s="27">
        <f>MIN(IF(VLOOKUP($Q126,武学奇术!$A:$ZZ,23,FALSE)=1,100%,$B$8),100%)</f>
        <v>1</v>
      </c>
      <c r="BJ126" s="27" cm="1">
        <f t="array" ref="BJ126">IF(VLOOKUP($Q126,武学奇术!$A:$ZZ,23,FALSE)=1,100%,MIN(80%,$B$9+VLOOKUP($Q126,武学奇术!$A:$ZZ,17,FALSE)+SUM(_xlfn.XLOOKUP(R126:AF126,增益!$A:$A,增益!$Q:$Q,0)))+$B$11+SUM(_xlfn.XLOOKUP(R126:AF126,增益!$A:$A,增益!$U:$U,0)))*IF(VLOOKUP($Q126,武学奇术!$A:$ZZ,24,FALSE)=1,0,1)+MIN(IF(VLOOKUP($Q126,武学奇术!$A:$ZZ,32,FALSE)=1,IF(VLOOKUP($Q126,武学奇术!$A:$ZZ,24,FALSE)=1,100%,MIN(40%,$B$10+VLOOKUP($Q126,武学奇术!$A:$ZZ,19,FALSE)+SUM(_xlfn.XLOOKUP(R126:AF126,增益!$A:$A,增益!$S:$S,0)))+$B$12+SUM(_xlfn.XLOOKUP(R126:AF126,增益!$A:$A,增益!$V:$V,0))),0),12%)</f>
        <v>0.918</v>
      </c>
      <c r="BK126" s="27" cm="1">
        <f t="array" ref="BK126">1+$B$13+VLOOKUP($Q126,武学奇术!$A:$ZZ,18,FALSE)+SUM(_xlfn.XLOOKUP(R126:AF126,增益!$A:$A,增益!$R:$R,0))</f>
        <v>1.89</v>
      </c>
      <c r="BL126" s="27" cm="1">
        <f t="array" ref="BL126">MAX(IF(VLOOKUP($Q126,武学奇术!$A:$ZZ,24,FALSE)=1,100%,MIN(40%,$B$10+VLOOKUP($Q126,武学奇术!$A:$ZZ,19,FALSE)+SUM(_xlfn.XLOOKUP(R126:AF126,增益!$A:$A,增益!$S:$S,0)))+$B$12+SUM(_xlfn.XLOOKUP(R126:AF126,增益!$A:$A,增益!$V:$V,0)))*IF(VLOOKUP($Q126,武学奇术!$A:$ZZ,23,FALSE)=1,0,1)-IF(VLOOKUP($Q126,武学奇术!$A:$ZZ,32,FALSE)=1,12%,0),0)</f>
        <v>0.0895</v>
      </c>
      <c r="BM126" s="27" cm="1">
        <f t="array" ref="BM126">1+$B$14+VLOOKUP($Q126,武学奇术!$A:$ZZ,20,FALSE)+SUM(_xlfn.XLOOKUP(R126:AF126,增益!$A:$A,增益!$T:$T,0))</f>
        <v>1.35</v>
      </c>
      <c r="BN126" s="27">
        <f t="shared" si="20"/>
        <v>0.9105</v>
      </c>
      <c r="BO126" s="27">
        <f t="shared" si="21"/>
        <v>0</v>
      </c>
      <c r="BP126" s="27">
        <f>IF(VLOOKUP($Q126,武学奇术!$A:$ZZ,22,FALSE)=1,0,(1-$BI126))*(1-$BL126)</f>
        <v>0</v>
      </c>
      <c r="BQ126" s="27" cm="1">
        <f t="array" ref="BQ126">SUM(_xlfn.XLOOKUP(R126:AF126,增益!$A:$A,增益!$W:$W,0))+$I$5</f>
        <v>0.11</v>
      </c>
    </row>
    <row r="127" spans="11:69">
      <c r="K127" s="39">
        <f t="shared" si="11"/>
        <v>18184.5703168322</v>
      </c>
      <c r="L127" s="39">
        <f>((($AN127+($AO127-$AN127)*IF(VLOOKUP($Q127,武学奇术!$A:$ZZ,31,FALSE)=1,$F$18,0.5))*$AH127+$AI127)*(1+$AP127)*(1+$AQ127)+(($AS127+($AT127-$AS127)*IF(VLOOKUP($Q127,武学奇术!$A:$ZZ,31,FALSE)=1,$F$18,0.5))*IF($G$1="鸣金",$AJ127,$AH127)+IF($G$1="鸣金",$AK127*1.5,0))*(1+$AU127)*(1+$AV127)+(($AW127+($AX127-$AW127)*IF(VLOOKUP($Q127,武学奇术!$A:$ZZ,31,FALSE)=1,$F$18,0.5))*IF($G$1="裂石",$AJ127,$AH127)+IF($G$1="裂石",$AK127*1.5,0))*(1+$AY127)*(1+$AZ127)+(($BA127+($BB127-$BA127)*IF(VLOOKUP($Q127,武学奇术!$A:$ZZ,31,FALSE)=1,$F$18,0.5))*IF($G$1="牵丝",$AJ127,$AH127)+IF($G$1="牵丝",$AK127*1.5,0))*(1+$BC127)*(1+$BD127)+(($BE127+($BF127-$BE127)*IF(VLOOKUP($Q127,武学奇术!$A:$ZZ,31,FALSE)=1,$F$18,0.5))*IF($G$1="破竹",$AJ127,$AH127)+IF($G$1="破竹",$AK127*1.5,0))*(1+$BG127)*(1+$BH127))*(1+$AL127)*$BK127*$P127*(1+IF(VLOOKUP($Q127,武学奇术!$A:$ZZ,30,FALSE)="蓄力技",$B$21,0))*(1+$BQ127)</f>
        <v>18491.6765598889</v>
      </c>
      <c r="M127" s="39">
        <f>(($AO127*$AH127+$AI127)*(1+$AP127)*(1+$AQ127)+($AT127*IF($G$1="鸣金",$AJ127,$AH127)+IF($G$1="鸣金",$AK127*1.5,0))*(1+$AU127)*(1+$AV127)+($AX127*IF($G$1="裂石",$AJ127,$AH127)+IF($G$1="裂石",$AK127*1.5,0))*(1+$AY127)*(1+$AZ127)+($BB127*IF($G$1="牵丝",$AJ127,$AH127)+IF($G$1="牵丝",$AK127*1.5,0))*(1+$BC127)*(1+$BD127)+($BF127*IF($G$1="破竹",$AJ127,$AH127)+IF($G$1="破竹",$AK127*1.5,0))*(1+$BG127)*(1+$BH127))*(1+$AL127)*$BM127*$P127*(1+IF(VLOOKUP($Q127,武学奇术!$A:$ZZ,30,FALSE)="蓄力技",$B$21,0))*(1+$BQ127)</f>
        <v>15060.3218888642</v>
      </c>
      <c r="N127" s="39">
        <f>((($AN127+($AO127-$AN127)*IF(VLOOKUP($Q127,武学奇术!$A:$ZZ,31,FALSE)=1,$F$18,0.5))*$AH127+$AI127)*(1+$AP127)*(1+$AQ127)+(($AS127+($AT127-$AS127)*IF(VLOOKUP($Q127,武学奇术!$A:$ZZ,31,FALSE)=1,$F$18,0.5))*IF($G$1="鸣金",$AJ127,$AH127)+IF($G$1="鸣金",$AK127*1.5,0))*(1+$AU127)*(1+$AV127)+(($AW127+($AX127-$AW127)*IF(VLOOKUP($Q127,武学奇术!$A:$ZZ,31,FALSE)=1,$F$18,0.5))*IF($G$1="裂石",$AJ127,$AH127)+IF($G$1="裂石",$AK127*1.5,0))*(1+$AY127)*(1+$AZ127)+(($BA127+($BB127-$BA127)*IF(VLOOKUP($Q127,武学奇术!$A:$ZZ,31,FALSE)=1,$F$18,0.5))*IF($G$1="牵丝",$AJ127,$AH127)+IF($G$1="牵丝",$AK127*1.5,0))*(1+$BC127)*(1+$BD127)+(($BE127+($BF127-$BE127)*IF(VLOOKUP($Q127,武学奇术!$A:$ZZ,31,FALSE)=1,$F$18,0.5))*IF($G$1="破竹",$AJ127,$AH127)+IF($G$1="破竹",$AK127*1.5,0))*(1+$BG127)*(1+$BH127))*(1+$AL127)*$P127*(1+IF(VLOOKUP($Q127,武学奇术!$A:$ZZ,30,FALSE)="蓄力技",$B$21,0))*(1+$BQ127)</f>
        <v>10160.2618460928</v>
      </c>
      <c r="O127" s="39">
        <f>((($AN127*$AH127+$AI127)*(1+$AP127)*(1+$AQ127)+($AS127*IF($G$1="鸣金",$AJ127,$AH127)+IF($G$1="鸣金",$AK127*1.5,0))*(1+$AU127)*(1+$AV127)+($AW127*IF($G$1="裂石",$AJ127,$AH127)+IF($G$1="裂石",$AK127*1.5,0))*(1+$AY127)*(1+$AZ127)+($BA127*IF($G$1="牵丝",$AJ127,$AH127)+IF($G$1="牵丝",$AK127*1.5,0))*(1+$BC127)*(1+$BD127)+($BE127*IF($G$1="破竹",$AJ127,$AH127)+IF($G$1="破竹",$AK127*1.5,0))*(1+$BG127)*(1+$BH127))*(1+$AL127))*$P127*(1+IF(VLOOKUP($Q127,武学奇术!$A:$ZZ,30,FALSE)="蓄力技",$B$21,0))*(1+$BQ127)</f>
        <v>9164.72970043431</v>
      </c>
      <c r="P127" s="40">
        <f t="shared" ref="P127:P136" si="22">IF($C$24="易水歌",1,0)</f>
        <v>1</v>
      </c>
      <c r="Q127" s="41" t="s">
        <v>190</v>
      </c>
      <c r="R127" s="41" t="s">
        <v>93</v>
      </c>
      <c r="S127" s="41" t="s">
        <v>118</v>
      </c>
      <c r="T127" s="41" t="s">
        <v>119</v>
      </c>
      <c r="U127" s="41" t="s">
        <v>73</v>
      </c>
      <c r="V127" s="41" t="s">
        <v>72</v>
      </c>
      <c r="W127" s="41" t="s">
        <v>72</v>
      </c>
      <c r="X127" s="41" t="s">
        <v>86</v>
      </c>
      <c r="Y127" s="41" t="s">
        <v>81</v>
      </c>
      <c r="Z127" s="41" t="s">
        <v>72</v>
      </c>
      <c r="AA127" s="41" t="s">
        <v>72</v>
      </c>
      <c r="AB127" s="41" t="s">
        <v>72</v>
      </c>
      <c r="AC127" s="41" t="s">
        <v>72</v>
      </c>
      <c r="AD127" s="41" t="s">
        <v>72</v>
      </c>
      <c r="AE127" s="41" t="s">
        <v>75</v>
      </c>
      <c r="AF127" s="41" t="s">
        <v>76</v>
      </c>
      <c r="AG127" t="str">
        <f>VLOOKUP($Q127,武学奇术!$A:$ZZ,25,FALSE)</f>
        <v>心法</v>
      </c>
      <c r="AH127" s="27">
        <f>VLOOKUP($Q127,武学奇术!$A:$ZZ,26,FALSE)</f>
        <v>1</v>
      </c>
      <c r="AI127" s="28">
        <f>VLOOKUP($Q127,武学奇术!$A:$ZZ,27,FALSE)*(1+IF(OR($AG127=$F$4,$AG127=$F$5),$B$22,0))</f>
        <v>0</v>
      </c>
      <c r="AJ127" s="27">
        <f>VLOOKUP($Q127,武学奇术!$A:$ZZ,28,FALSE)</f>
        <v>1</v>
      </c>
      <c r="AK127" s="28">
        <f>VLOOKUP($Q127,武学奇术!$A:$ZZ,29,FALSE)*(1+IF(OR($AG127=$F$4,$AG127=$F$5),$B$22,0))</f>
        <v>0</v>
      </c>
      <c r="AL127" s="27" cm="1">
        <f t="array" ref="AL127">$G$3+IFERROR(VLOOKUP($AG127,$F$4:$G$7,2,FALSE),0)+VLOOKUP($Q127,武学奇术!$A:$ZZ,2,FALSE)+SUM(_xlfn.XLOOKUP($R127:$AF127,增益!$A:$A,增益!$B:$B,0))</f>
        <v>0.3237</v>
      </c>
      <c r="AM127" s="27" cm="1">
        <f t="array" ref="AM127">VLOOKUP($Q127,武学奇术!$A:$ZZ,5,FALSE)+SUM(_xlfn.XLOOKUP($R127:$AF127,增益!$A:$A,增益!$E:$E,0))</f>
        <v>0</v>
      </c>
      <c r="AN127" cm="1">
        <f t="array" ref="AN127">$D$10*(1+$AM127)+VLOOKUP($Q127,武学奇术!$A:$ZZ,3,FALSE)+SUM(_xlfn.XLOOKUP($R127:$AF127,增益!$A:$A,增益!$C:$C,0))-$I$2</f>
        <v>3742.006</v>
      </c>
      <c r="AO127" cm="1">
        <f t="array" ref="AO127">$E$10*(1+$AM127)+VLOOKUP($Q127,武学奇术!$A:$ZZ,4,FALSE)+SUM(_xlfn.XLOOKUP($R127:$AF127,增益!$A:$A,增益!$D:$D,0))-$I$2</f>
        <v>3742.006</v>
      </c>
      <c r="AP127" s="33" cm="1">
        <f t="array" ref="AP127">IF($F$10-$I$3+VLOOKUP($Q127,武学奇术!$A:$ZZ,6,FALSE)+SUM(_xlfn.XLOOKUP(R127:AF127,增益!$A:$A,增益!$F:$F,0))&gt;0,($F$10-$I$3+VLOOKUP($Q127,武学奇术!$A:$ZZ,6,FALSE)+SUM(_xlfn.XLOOKUP(R127:AF127,增益!$A:$A,增益!$F:$F,0)))/200,($F$10-$I$3+VLOOKUP($Q127,武学奇术!$A:$ZZ,6,FALSE)+SUM(_xlfn.XLOOKUP(R127:AF127,增益!$A:$A,增益!$F:$F,0)))/100)</f>
        <v>0.342</v>
      </c>
      <c r="AQ127" s="33" cm="1">
        <f t="array" ref="AQ127">$G$10+VLOOKUP($Q127,武学奇术!$A:$ZZ,7,FALSE)+SUM(_xlfn.XLOOKUP(R127:AF127,增益!$A:$A,增益!$G:$G,0))</f>
        <v>0.09</v>
      </c>
      <c r="AR127" s="27" cm="1">
        <f t="array" ref="AR127">VLOOKUP($Q127,武学奇术!$A:$ZZ,8,FALSE)+SUM(_xlfn.XLOOKUP(R127:AF127,增益!$A:$A,增益!$H:$H,0))</f>
        <v>0</v>
      </c>
      <c r="AS127">
        <f t="shared" si="12"/>
        <v>0</v>
      </c>
      <c r="AT127">
        <f t="shared" si="13"/>
        <v>0</v>
      </c>
      <c r="AU127" s="33" cm="1">
        <f t="array" ref="AU127">IF($F$11-$I$4+VLOOKUP($Q127,武学奇术!$A:$ZZ,9,FALSE)+SUM(_xlfn.XLOOKUP(R127:AF127,增益!$A:$A,增益!$I:$I,0))&gt;0,($F$11-$I$4+VLOOKUP($Q127,武学奇术!$A:$ZZ,9,FALSE)+SUM(_xlfn.XLOOKUP(R127:AF127,增益!$A:$A,增益!$I:$I,0)))/200,($F$11-$I$4+VLOOKUP($Q127,武学奇术!$A:$ZZ,9,FALSE)+SUM(_xlfn.XLOOKUP(R127:AF127,增益!$A:$A,增益!$I:$I,0)))/100)</f>
        <v>-0.14</v>
      </c>
      <c r="AV127" s="33" cm="1">
        <f t="array" ref="AV127">$G$11+VLOOKUP($Q127,武学奇术!$A:$ZZ,10,FALSE)+SUM(_xlfn.XLOOKUP(R127:AF127,增益!$A:$A,增益!$J:$J,0))</f>
        <v>0</v>
      </c>
      <c r="AW127">
        <f t="shared" si="14"/>
        <v>0</v>
      </c>
      <c r="AX127">
        <f t="shared" si="15"/>
        <v>0</v>
      </c>
      <c r="AY127" s="33" cm="1">
        <f t="array" ref="AY127">IF($F$12-$I$4+VLOOKUP($Q127,武学奇术!$A:$ZZ,11,FALSE)+SUM(_xlfn.XLOOKUP(R127:AF127,增益!$A:$A,增益!$K:$K,0))&gt;0,($F$12-$I$4+VLOOKUP($Q127,武学奇术!$A:$ZZ,11,FALSE)+SUM(_xlfn.XLOOKUP(R127:AF127,增益!$A:$A,增益!$K:$K,0)))/200,($F$12-$I$4+VLOOKUP($Q127,武学奇术!$A:$ZZ,11,FALSE)+SUM(_xlfn.XLOOKUP(R127:AF127,增益!$A:$A,增益!$K:$K,0)))/100)</f>
        <v>-0.14</v>
      </c>
      <c r="AZ127" s="33" cm="1">
        <f t="array" ref="AZ127">$G$12+VLOOKUP($Q127,武学奇术!$A:$ZZ,12,FALSE)+SUM(_xlfn.XLOOKUP(R127:AF127,增益!$A:$A,增益!$L:$L,0))</f>
        <v>0</v>
      </c>
      <c r="BA127">
        <f t="shared" si="16"/>
        <v>0</v>
      </c>
      <c r="BB127">
        <f t="shared" si="17"/>
        <v>0</v>
      </c>
      <c r="BC127" s="33" cm="1">
        <f t="array" ref="BC127">IF($F$13-$I$4+VLOOKUP($Q127,武学奇术!$A:$ZZ,13,FALSE)+SUM(_xlfn.XLOOKUP(R127:AF127,增益!$A:$A,增益!$M:$M,0))&gt;0,($F$13-$I$4+VLOOKUP($Q127,武学奇术!$A:$ZZ,13,FALSE)+SUM(_xlfn.XLOOKUP(R127:AF127,增益!$A:$A,增益!$K:$K,0)))/200,($F$13-$I$4+VLOOKUP($Q127,武学奇术!$A:$ZZ,13,FALSE)+SUM(_xlfn.XLOOKUP(R127:AF127,增益!$A:$A,增益!$M:$M,0)))/100)</f>
        <v>-0.14</v>
      </c>
      <c r="BD127" s="33" cm="1">
        <f t="array" ref="BD127">$G$13+VLOOKUP($Q127,武学奇术!$A:$ZZ,14,FALSE)+SUM(_xlfn.XLOOKUP(R127:AF127,增益!$A:$A,增益!$N:$N,0))</f>
        <v>0</v>
      </c>
      <c r="BE127">
        <f t="shared" si="18"/>
        <v>570.28</v>
      </c>
      <c r="BF127">
        <f t="shared" si="19"/>
        <v>1582.156</v>
      </c>
      <c r="BG127" s="33" cm="1">
        <f t="array" ref="BG127">IF($F$14-$I$4+VLOOKUP($Q127,武学奇术!$A:$ZZ,15,FALSE)+SUM(_xlfn.XLOOKUP(R127:AF127,增益!$A:$A,增益!$O:$O,0))&gt;0,($F$14-$I$4+VLOOKUP($Q127,武学奇术!$A:$ZZ,15,FALSE)+SUM(_xlfn.XLOOKUP(R127:AF127,增益!$A:$A,增益!$O:$O,0)))/200,($F$14-$I$4+VLOOKUP($Q127,武学奇术!$A:$ZZ,15,FALSE)+SUM(_xlfn.XLOOKUP(R127:AF127,增益!$A:$A,增益!$O:$O,0)))/100)</f>
        <v>0.08</v>
      </c>
      <c r="BH127" s="33" cm="1">
        <f t="array" ref="BH127">$G$14+VLOOKUP($Q127,武学奇术!$A:$ZZ,16,FALSE)+SUM(_xlfn.XLOOKUP(R127:AF127,增益!$A:$A,增益!$P:$P,0))</f>
        <v>0.24</v>
      </c>
      <c r="BI127" s="27">
        <f>MIN(IF(VLOOKUP($Q127,武学奇术!$A:$ZZ,23,FALSE)=1,100%,$B$8),100%)</f>
        <v>1</v>
      </c>
      <c r="BJ127" s="27" cm="1">
        <f t="array" ref="BJ127">IF(VLOOKUP($Q127,武学奇术!$A:$ZZ,23,FALSE)=1,100%,MIN(80%,$B$9+VLOOKUP($Q127,武学奇术!$A:$ZZ,17,FALSE)+SUM(_xlfn.XLOOKUP(R127:AF127,增益!$A:$A,增益!$Q:$Q,0)))+$B$11+SUM(_xlfn.XLOOKUP(R127:AF127,增益!$A:$A,增益!$U:$U,0)))*IF(VLOOKUP($Q127,武学奇术!$A:$ZZ,24,FALSE)=1,0,1)+MIN(IF(VLOOKUP($Q127,武学奇术!$A:$ZZ,32,FALSE)=1,IF(VLOOKUP($Q127,武学奇术!$A:$ZZ,24,FALSE)=1,100%,MIN(40%,$B$10+VLOOKUP($Q127,武学奇术!$A:$ZZ,19,FALSE)+SUM(_xlfn.XLOOKUP(R127:AF127,增益!$A:$A,增益!$S:$S,0)))+$B$12+SUM(_xlfn.XLOOKUP(R127:AF127,增益!$A:$A,增益!$V:$V,0))),0),12%)</f>
        <v>0.918</v>
      </c>
      <c r="BK127" s="27" cm="1">
        <f t="array" ref="BK127">1+$B$13+VLOOKUP($Q127,武学奇术!$A:$ZZ,18,FALSE)+SUM(_xlfn.XLOOKUP(R127:AF127,增益!$A:$A,增益!$R:$R,0))</f>
        <v>1.82</v>
      </c>
      <c r="BL127" s="27" cm="1">
        <f t="array" ref="BL127">MAX(IF(VLOOKUP($Q127,武学奇术!$A:$ZZ,24,FALSE)=1,100%,MIN(40%,$B$10+VLOOKUP($Q127,武学奇术!$A:$ZZ,19,FALSE)+SUM(_xlfn.XLOOKUP(R127:AF127,增益!$A:$A,增益!$S:$S,0)))+$B$12+SUM(_xlfn.XLOOKUP(R127:AF127,增益!$A:$A,增益!$V:$V,0)))*IF(VLOOKUP($Q127,武学奇术!$A:$ZZ,23,FALSE)=1,0,1)-IF(VLOOKUP($Q127,武学奇术!$A:$ZZ,32,FALSE)=1,12%,0),0)</f>
        <v>0.0895</v>
      </c>
      <c r="BM127" s="27" cm="1">
        <f t="array" ref="BM127">1+$B$14+VLOOKUP($Q127,武学奇术!$A:$ZZ,20,FALSE)+SUM(_xlfn.XLOOKUP(R127:AF127,增益!$A:$A,增益!$T:$T,0))</f>
        <v>1.35</v>
      </c>
      <c r="BN127" s="27">
        <f t="shared" si="20"/>
        <v>0.9105</v>
      </c>
      <c r="BO127" s="27">
        <f t="shared" si="21"/>
        <v>0</v>
      </c>
      <c r="BP127" s="27">
        <f>IF(VLOOKUP($Q127,武学奇术!$A:$ZZ,22,FALSE)=1,0,(1-$BI127))*(1-$BL127)</f>
        <v>0</v>
      </c>
      <c r="BQ127" s="27" cm="1">
        <f t="array" ref="BQ127">SUM(_xlfn.XLOOKUP(R127:AF127,增益!$A:$A,增益!$W:$W,0))+$I$5</f>
        <v>0.11</v>
      </c>
    </row>
    <row r="128" spans="11:69">
      <c r="K128" s="39">
        <f t="shared" si="11"/>
        <v>12895.2657238638</v>
      </c>
      <c r="L128" s="39">
        <f>((($AN128+($AO128-$AN128)*IF(VLOOKUP($Q128,武学奇术!$A:$ZZ,31,FALSE)=1,$F$18,0.5))*$AH128+$AI128)*(1+$AP128)*(1+$AQ128)+(($AS128+($AT128-$AS128)*IF(VLOOKUP($Q128,武学奇术!$A:$ZZ,31,FALSE)=1,$F$18,0.5))*IF($G$1="鸣金",$AJ128,$AH128)+IF($G$1="鸣金",$AK128*1.5,0))*(1+$AU128)*(1+$AV128)+(($AW128+($AX128-$AW128)*IF(VLOOKUP($Q128,武学奇术!$A:$ZZ,31,FALSE)=1,$F$18,0.5))*IF($G$1="裂石",$AJ128,$AH128)+IF($G$1="裂石",$AK128*1.5,0))*(1+$AY128)*(1+$AZ128)+(($BA128+($BB128-$BA128)*IF(VLOOKUP($Q128,武学奇术!$A:$ZZ,31,FALSE)=1,$F$18,0.5))*IF($G$1="牵丝",$AJ128,$AH128)+IF($G$1="牵丝",$AK128*1.5,0))*(1+$BC128)*(1+$BD128)+(($BE128+($BF128-$BE128)*IF(VLOOKUP($Q128,武学奇术!$A:$ZZ,31,FALSE)=1,$F$18,0.5))*IF($G$1="破竹",$AJ128,$AH128)+IF($G$1="破竹",$AK128*1.5,0))*(1+$BG128)*(1+$BH128))*(1+$AL128)*$BK128*$P128*(1+IF(VLOOKUP($Q128,武学奇术!$A:$ZZ,30,FALSE)="蓄力技",$B$21,0))*(1+$BQ128)</f>
        <v>12985.8846365962</v>
      </c>
      <c r="M128" s="39">
        <f>(($AO128*$AH128+$AI128)*(1+$AP128)*(1+$AQ128)+($AT128*IF($G$1="鸣金",$AJ128,$AH128)+IF($G$1="鸣金",$AK128*1.5,0))*(1+$AU128)*(1+$AV128)+($AX128*IF($G$1="裂石",$AJ128,$AH128)+IF($G$1="裂石",$AK128*1.5,0))*(1+$AY128)*(1+$AZ128)+($BB128*IF($G$1="牵丝",$AJ128,$AH128)+IF($G$1="牵丝",$AK128*1.5,0))*(1+$BC128)*(1+$BD128)+($BF128*IF($G$1="破竹",$AJ128,$AH128)+IF($G$1="破竹",$AK128*1.5,0))*(1+$BG128)*(1+$BH128))*(1+$AL128)*$BM128*$P128*(1+IF(VLOOKUP($Q128,武学奇术!$A:$ZZ,30,FALSE)="蓄力技",$B$21,0))*(1+$BQ128)</f>
        <v>11973.3828183574</v>
      </c>
      <c r="N128" s="39">
        <f>((($AN128+($AO128-$AN128)*IF(VLOOKUP($Q128,武学奇术!$A:$ZZ,31,FALSE)=1,$F$18,0.5))*$AH128+$AI128)*(1+$AP128)*(1+$AQ128)+(($AS128+($AT128-$AS128)*IF(VLOOKUP($Q128,武学奇术!$A:$ZZ,31,FALSE)=1,$F$18,0.5))*IF($G$1="鸣金",$AJ128,$AH128)+IF($G$1="鸣金",$AK128*1.5,0))*(1+$AU128)*(1+$AV128)+(($AW128+($AX128-$AW128)*IF(VLOOKUP($Q128,武学奇术!$A:$ZZ,31,FALSE)=1,$F$18,0.5))*IF($G$1="裂石",$AJ128,$AH128)+IF($G$1="裂石",$AK128*1.5,0))*(1+$AY128)*(1+$AZ128)+(($BA128+($BB128-$BA128)*IF(VLOOKUP($Q128,武学奇术!$A:$ZZ,31,FALSE)=1,$F$18,0.5))*IF($G$1="牵丝",$AJ128,$AH128)+IF($G$1="牵丝",$AK128*1.5,0))*(1+$BC128)*(1+$BD128)+(($BE128+($BF128-$BE128)*IF(VLOOKUP($Q128,武学奇术!$A:$ZZ,31,FALSE)=1,$F$18,0.5))*IF($G$1="破竹",$AJ128,$AH128)+IF($G$1="破竹",$AK128*1.5,0))*(1+$BG128)*(1+$BH128))*(1+$AL128)*$P128*(1+IF(VLOOKUP($Q128,武学奇术!$A:$ZZ,30,FALSE)="蓄力技",$B$21,0))*(1+$BQ128)</f>
        <v>8065.76685502868</v>
      </c>
      <c r="O128" s="39">
        <f>((($AN128*$AH128+$AI128)*(1+$AP128)*(1+$AQ128)+($AS128*IF($G$1="鸣金",$AJ128,$AH128)+IF($G$1="鸣金",$AK128*1.5,0))*(1+$AU128)*(1+$AV128)+($AW128*IF($G$1="裂石",$AJ128,$AH128)+IF($G$1="裂石",$AK128*1.5,0))*(1+$AY128)*(1+$AZ128)+($BA128*IF($G$1="牵丝",$AJ128,$AH128)+IF($G$1="牵丝",$AK128*1.5,0))*(1+$BC128)*(1+$BD128)+($BE128*IF($G$1="破竹",$AJ128,$AH128)+IF($G$1="破竹",$AK128*1.5,0))*(1+$BG128)*(1+$BH128))*(1+$AL128))*$P128*(1+IF(VLOOKUP($Q128,武学奇术!$A:$ZZ,30,FALSE)="蓄力技",$B$21,0))*(1+$BQ128)</f>
        <v>7262.36125201484</v>
      </c>
      <c r="P128" s="40">
        <f t="shared" si="22"/>
        <v>1</v>
      </c>
      <c r="Q128" s="41" t="s">
        <v>190</v>
      </c>
      <c r="R128" s="41" t="s">
        <v>93</v>
      </c>
      <c r="S128" s="41" t="s">
        <v>72</v>
      </c>
      <c r="T128" s="41" t="s">
        <v>72</v>
      </c>
      <c r="U128" s="41" t="s">
        <v>72</v>
      </c>
      <c r="V128" s="41" t="s">
        <v>72</v>
      </c>
      <c r="W128" s="41" t="s">
        <v>72</v>
      </c>
      <c r="X128" s="41" t="s">
        <v>154</v>
      </c>
      <c r="Y128" s="41" t="s">
        <v>72</v>
      </c>
      <c r="Z128" s="41" t="s">
        <v>72</v>
      </c>
      <c r="AA128" s="41" t="s">
        <v>72</v>
      </c>
      <c r="AB128" s="41" t="s">
        <v>72</v>
      </c>
      <c r="AC128" s="41" t="s">
        <v>72</v>
      </c>
      <c r="AD128" s="41" t="s">
        <v>72</v>
      </c>
      <c r="AE128" s="41" t="s">
        <v>75</v>
      </c>
      <c r="AF128" s="41" t="s">
        <v>76</v>
      </c>
      <c r="AG128" t="str">
        <f>VLOOKUP($Q128,武学奇术!$A:$ZZ,25,FALSE)</f>
        <v>心法</v>
      </c>
      <c r="AH128" s="27">
        <f>VLOOKUP($Q128,武学奇术!$A:$ZZ,26,FALSE)</f>
        <v>1</v>
      </c>
      <c r="AI128" s="28">
        <f>VLOOKUP($Q128,武学奇术!$A:$ZZ,27,FALSE)*(1+IF(OR($AG128=$F$4,$AG128=$F$5),$B$22,0))</f>
        <v>0</v>
      </c>
      <c r="AJ128" s="27">
        <f>VLOOKUP($Q128,武学奇术!$A:$ZZ,28,FALSE)</f>
        <v>1</v>
      </c>
      <c r="AK128" s="28">
        <f>VLOOKUP($Q128,武学奇术!$A:$ZZ,29,FALSE)*(1+IF(OR($AG128=$F$4,$AG128=$F$5),$B$22,0))</f>
        <v>0</v>
      </c>
      <c r="AL128" s="27" cm="1">
        <f t="array" ref="AL128">$G$3+IFERROR(VLOOKUP($AG128,$F$4:$G$7,2,FALSE),0)+VLOOKUP($Q128,武学奇术!$A:$ZZ,2,FALSE)+SUM(_xlfn.XLOOKUP($R128:$AF128,增益!$A:$A,增益!$B:$B,0))</f>
        <v>0.1537</v>
      </c>
      <c r="AM128" s="27" cm="1">
        <f t="array" ref="AM128">VLOOKUP($Q128,武学奇术!$A:$ZZ,5,FALSE)+SUM(_xlfn.XLOOKUP($R128:$AF128,增益!$A:$A,增益!$E:$E,0))</f>
        <v>0</v>
      </c>
      <c r="AN128" cm="1">
        <f t="array" ref="AN128">$D$10*(1+$AM128)+VLOOKUP($Q128,武学奇术!$A:$ZZ,3,FALSE)+SUM(_xlfn.XLOOKUP($R128:$AF128,增益!$A:$A,增益!$C:$C,0))-$I$2</f>
        <v>3742.006</v>
      </c>
      <c r="AO128" cm="1">
        <f t="array" ref="AO128">$E$10*(1+$AM128)+VLOOKUP($Q128,武学奇术!$A:$ZZ,4,FALSE)+SUM(_xlfn.XLOOKUP($R128:$AF128,增益!$A:$A,增益!$D:$D,0))-$I$2</f>
        <v>3742.006</v>
      </c>
      <c r="AP128" s="33" cm="1">
        <f t="array" ref="AP128">IF($F$10-$I$3+VLOOKUP($Q128,武学奇术!$A:$ZZ,6,FALSE)+SUM(_xlfn.XLOOKUP(R128:AF128,增益!$A:$A,增益!$F:$F,0))&gt;0,($F$10-$I$3+VLOOKUP($Q128,武学奇术!$A:$ZZ,6,FALSE)+SUM(_xlfn.XLOOKUP(R128:AF128,增益!$A:$A,增益!$F:$F,0)))/200,($F$10-$I$3+VLOOKUP($Q128,武学奇术!$A:$ZZ,6,FALSE)+SUM(_xlfn.XLOOKUP(R128:AF128,增益!$A:$A,增益!$F:$F,0)))/100)</f>
        <v>0.217</v>
      </c>
      <c r="AQ128" s="33" cm="1">
        <f t="array" ref="AQ128">$G$10+VLOOKUP($Q128,武学奇术!$A:$ZZ,7,FALSE)+SUM(_xlfn.XLOOKUP(R128:AF128,增益!$A:$A,增益!$G:$G,0))</f>
        <v>0.09</v>
      </c>
      <c r="AR128" s="27" cm="1">
        <f t="array" ref="AR128">VLOOKUP($Q128,武学奇术!$A:$ZZ,8,FALSE)+SUM(_xlfn.XLOOKUP(R128:AF128,增益!$A:$A,增益!$H:$H,0))</f>
        <v>0</v>
      </c>
      <c r="AS128">
        <f t="shared" si="12"/>
        <v>0</v>
      </c>
      <c r="AT128">
        <f t="shared" si="13"/>
        <v>0</v>
      </c>
      <c r="AU128" s="33" cm="1">
        <f t="array" ref="AU128">IF($F$11-$I$4+VLOOKUP($Q128,武学奇术!$A:$ZZ,9,FALSE)+SUM(_xlfn.XLOOKUP(R128:AF128,增益!$A:$A,增益!$I:$I,0))&gt;0,($F$11-$I$4+VLOOKUP($Q128,武学奇术!$A:$ZZ,9,FALSE)+SUM(_xlfn.XLOOKUP(R128:AF128,增益!$A:$A,增益!$I:$I,0)))/200,($F$11-$I$4+VLOOKUP($Q128,武学奇术!$A:$ZZ,9,FALSE)+SUM(_xlfn.XLOOKUP(R128:AF128,增益!$A:$A,增益!$I:$I,0)))/100)</f>
        <v>-0.3</v>
      </c>
      <c r="AV128" s="33" cm="1">
        <f t="array" ref="AV128">$G$11+VLOOKUP($Q128,武学奇术!$A:$ZZ,10,FALSE)+SUM(_xlfn.XLOOKUP(R128:AF128,增益!$A:$A,增益!$J:$J,0))</f>
        <v>0</v>
      </c>
      <c r="AW128">
        <f t="shared" si="14"/>
        <v>0</v>
      </c>
      <c r="AX128">
        <f t="shared" si="15"/>
        <v>0</v>
      </c>
      <c r="AY128" s="33" cm="1">
        <f t="array" ref="AY128">IF($F$12-$I$4+VLOOKUP($Q128,武学奇术!$A:$ZZ,11,FALSE)+SUM(_xlfn.XLOOKUP(R128:AF128,增益!$A:$A,增益!$K:$K,0))&gt;0,($F$12-$I$4+VLOOKUP($Q128,武学奇术!$A:$ZZ,11,FALSE)+SUM(_xlfn.XLOOKUP(R128:AF128,增益!$A:$A,增益!$K:$K,0)))/200,($F$12-$I$4+VLOOKUP($Q128,武学奇术!$A:$ZZ,11,FALSE)+SUM(_xlfn.XLOOKUP(R128:AF128,增益!$A:$A,增益!$K:$K,0)))/100)</f>
        <v>-0.3</v>
      </c>
      <c r="AZ128" s="33" cm="1">
        <f t="array" ref="AZ128">$G$12+VLOOKUP($Q128,武学奇术!$A:$ZZ,12,FALSE)+SUM(_xlfn.XLOOKUP(R128:AF128,增益!$A:$A,增益!$L:$L,0))</f>
        <v>0</v>
      </c>
      <c r="BA128">
        <f t="shared" si="16"/>
        <v>0</v>
      </c>
      <c r="BB128">
        <f t="shared" si="17"/>
        <v>0</v>
      </c>
      <c r="BC128" s="33" cm="1">
        <f t="array" ref="BC128">IF($F$13-$I$4+VLOOKUP($Q128,武学奇术!$A:$ZZ,13,FALSE)+SUM(_xlfn.XLOOKUP(R128:AF128,增益!$A:$A,增益!$M:$M,0))&gt;0,($F$13-$I$4+VLOOKUP($Q128,武学奇术!$A:$ZZ,13,FALSE)+SUM(_xlfn.XLOOKUP(R128:AF128,增益!$A:$A,增益!$K:$K,0)))/200,($F$13-$I$4+VLOOKUP($Q128,武学奇术!$A:$ZZ,13,FALSE)+SUM(_xlfn.XLOOKUP(R128:AF128,增益!$A:$A,增益!$M:$M,0)))/100)</f>
        <v>-0.3</v>
      </c>
      <c r="BD128" s="33" cm="1">
        <f t="array" ref="BD128">$G$13+VLOOKUP($Q128,武学奇术!$A:$ZZ,14,FALSE)+SUM(_xlfn.XLOOKUP(R128:AF128,增益!$A:$A,增益!$N:$N,0))</f>
        <v>0</v>
      </c>
      <c r="BE128">
        <f t="shared" si="18"/>
        <v>570.28</v>
      </c>
      <c r="BF128">
        <f t="shared" si="19"/>
        <v>1582.156</v>
      </c>
      <c r="BG128" s="33" cm="1">
        <f t="array" ref="BG128">IF($F$14-$I$4+VLOOKUP($Q128,武学奇术!$A:$ZZ,15,FALSE)+SUM(_xlfn.XLOOKUP(R128:AF128,增益!$A:$A,增益!$O:$O,0))&gt;0,($F$14-$I$4+VLOOKUP($Q128,武学奇术!$A:$ZZ,15,FALSE)+SUM(_xlfn.XLOOKUP(R128:AF128,增益!$A:$A,增益!$O:$O,0)))/200,($F$14-$I$4+VLOOKUP($Q128,武学奇术!$A:$ZZ,15,FALSE)+SUM(_xlfn.XLOOKUP(R128:AF128,增益!$A:$A,增益!$O:$O,0)))/100)</f>
        <v>0</v>
      </c>
      <c r="BH128" s="33" cm="1">
        <f t="array" ref="BH128">$G$14+VLOOKUP($Q128,武学奇术!$A:$ZZ,16,FALSE)+SUM(_xlfn.XLOOKUP(R128:AF128,增益!$A:$A,增益!$P:$P,0))</f>
        <v>0.24</v>
      </c>
      <c r="BI128" s="27">
        <f>MIN(IF(VLOOKUP($Q128,武学奇术!$A:$ZZ,23,FALSE)=1,100%,$B$8),100%)</f>
        <v>1</v>
      </c>
      <c r="BJ128" s="27" cm="1">
        <f t="array" ref="BJ128">IF(VLOOKUP($Q128,武学奇术!$A:$ZZ,23,FALSE)=1,100%,MIN(80%,$B$9+VLOOKUP($Q128,武学奇术!$A:$ZZ,17,FALSE)+SUM(_xlfn.XLOOKUP(R128:AF128,增益!$A:$A,增益!$Q:$Q,0)))+$B$11+SUM(_xlfn.XLOOKUP(R128:AF128,增益!$A:$A,增益!$U:$U,0)))*IF(VLOOKUP($Q128,武学奇术!$A:$ZZ,24,FALSE)=1,0,1)+MIN(IF(VLOOKUP($Q128,武学奇术!$A:$ZZ,32,FALSE)=1,IF(VLOOKUP($Q128,武学奇术!$A:$ZZ,24,FALSE)=1,100%,MIN(40%,$B$10+VLOOKUP($Q128,武学奇术!$A:$ZZ,19,FALSE)+SUM(_xlfn.XLOOKUP(R128:AF128,增益!$A:$A,增益!$S:$S,0)))+$B$12+SUM(_xlfn.XLOOKUP(R128:AF128,增益!$A:$A,增益!$V:$V,0))),0),12%)</f>
        <v>0.918</v>
      </c>
      <c r="BK128" s="27" cm="1">
        <f t="array" ref="BK128">1+$B$13+VLOOKUP($Q128,武学奇术!$A:$ZZ,18,FALSE)+SUM(_xlfn.XLOOKUP(R128:AF128,增益!$A:$A,增益!$R:$R,0))</f>
        <v>1.61</v>
      </c>
      <c r="BL128" s="27" cm="1">
        <f t="array" ref="BL128">MAX(IF(VLOOKUP($Q128,武学奇术!$A:$ZZ,24,FALSE)=1,100%,MIN(40%,$B$10+VLOOKUP($Q128,武学奇术!$A:$ZZ,19,FALSE)+SUM(_xlfn.XLOOKUP(R128:AF128,增益!$A:$A,增益!$S:$S,0)))+$B$12+SUM(_xlfn.XLOOKUP(R128:AF128,增益!$A:$A,增益!$V:$V,0)))*IF(VLOOKUP($Q128,武学奇术!$A:$ZZ,23,FALSE)=1,0,1)-IF(VLOOKUP($Q128,武学奇术!$A:$ZZ,32,FALSE)=1,12%,0),0)</f>
        <v>0.0895</v>
      </c>
      <c r="BM128" s="27" cm="1">
        <f t="array" ref="BM128">1+$B$14+VLOOKUP($Q128,武学奇术!$A:$ZZ,20,FALSE)+SUM(_xlfn.XLOOKUP(R128:AF128,增益!$A:$A,增益!$T:$T,0))</f>
        <v>1.35</v>
      </c>
      <c r="BN128" s="27">
        <f t="shared" si="20"/>
        <v>0.9105</v>
      </c>
      <c r="BO128" s="27">
        <f t="shared" si="21"/>
        <v>0</v>
      </c>
      <c r="BP128" s="27">
        <f>IF(VLOOKUP($Q128,武学奇术!$A:$ZZ,22,FALSE)=1,0,(1-$BI128))*(1-$BL128)</f>
        <v>0</v>
      </c>
      <c r="BQ128" s="27" cm="1">
        <f t="array" ref="BQ128">SUM(_xlfn.XLOOKUP(R128:AF128,增益!$A:$A,增益!$W:$W,0))+$I$5</f>
        <v>0.11</v>
      </c>
    </row>
    <row r="129" spans="11:69">
      <c r="K129" s="39">
        <f t="shared" si="11"/>
        <v>18547.5968008699</v>
      </c>
      <c r="L129" s="39">
        <f>((($AN129+($AO129-$AN129)*IF(VLOOKUP($Q129,武学奇术!$A:$ZZ,31,FALSE)=1,$F$18,0.5))*$AH129+$AI129)*(1+$AP129)*(1+$AQ129)+(($AS129+($AT129-$AS129)*IF(VLOOKUP($Q129,武学奇术!$A:$ZZ,31,FALSE)=1,$F$18,0.5))*IF($G$1="鸣金",$AJ129,$AH129)+IF($G$1="鸣金",$AK129*1.5,0))*(1+$AU129)*(1+$AV129)+(($AW129+($AX129-$AW129)*IF(VLOOKUP($Q129,武学奇术!$A:$ZZ,31,FALSE)=1,$F$18,0.5))*IF($G$1="裂石",$AJ129,$AH129)+IF($G$1="裂石",$AK129*1.5,0))*(1+$AY129)*(1+$AZ129)+(($BA129+($BB129-$BA129)*IF(VLOOKUP($Q129,武学奇术!$A:$ZZ,31,FALSE)=1,$F$18,0.5))*IF($G$1="牵丝",$AJ129,$AH129)+IF($G$1="牵丝",$AK129*1.5,0))*(1+$BC129)*(1+$BD129)+(($BE129+($BF129-$BE129)*IF(VLOOKUP($Q129,武学奇术!$A:$ZZ,31,FALSE)=1,$F$18,0.5))*IF($G$1="破竹",$AJ129,$AH129)+IF($G$1="破竹",$AK129*1.5,0))*(1+$BG129)*(1+$BH129))*(1+$AL129)*$BK129*$P129*(1+IF(VLOOKUP($Q129,武学奇术!$A:$ZZ,30,FALSE)="蓄力技",$B$21,0))*(1+$BQ129)</f>
        <v>18912.7552065723</v>
      </c>
      <c r="M129" s="39">
        <f>(($AO129*$AH129+$AI129)*(1+$AP129)*(1+$AQ129)+($AT129*IF($G$1="鸣金",$AJ129,$AH129)+IF($G$1="鸣金",$AK129*1.5,0))*(1+$AU129)*(1+$AV129)+($AX129*IF($G$1="裂石",$AJ129,$AH129)+IF($G$1="裂石",$AK129*1.5,0))*(1+$AY129)*(1+$AZ129)+($BB129*IF($G$1="牵丝",$AJ129,$AH129)+IF($G$1="牵丝",$AK129*1.5,0))*(1+$BC129)*(1+$BD129)+($BF129*IF($G$1="破竹",$AJ129,$AH129)+IF($G$1="破竹",$AK129*1.5,0))*(1+$BG129)*(1+$BH129))*(1+$AL129)*$BM129*$P129*(1+IF(VLOOKUP($Q129,武学奇术!$A:$ZZ,30,FALSE)="蓄力技",$B$21,0))*(1+$BQ129)</f>
        <v>14832.7730199533</v>
      </c>
      <c r="N129" s="39">
        <f>((($AN129+($AO129-$AN129)*IF(VLOOKUP($Q129,武学奇术!$A:$ZZ,31,FALSE)=1,$F$18,0.5))*$AH129+$AI129)*(1+$AP129)*(1+$AQ129)+(($AS129+($AT129-$AS129)*IF(VLOOKUP($Q129,武学奇术!$A:$ZZ,31,FALSE)=1,$F$18,0.5))*IF($G$1="鸣金",$AJ129,$AH129)+IF($G$1="鸣金",$AK129*1.5,0))*(1+$AU129)*(1+$AV129)+(($AW129+($AX129-$AW129)*IF(VLOOKUP($Q129,武学奇术!$A:$ZZ,31,FALSE)=1,$F$18,0.5))*IF($G$1="裂石",$AJ129,$AH129)+IF($G$1="裂石",$AK129*1.5,0))*(1+$AY129)*(1+$AZ129)+(($BA129+($BB129-$BA129)*IF(VLOOKUP($Q129,武学奇术!$A:$ZZ,31,FALSE)=1,$F$18,0.5))*IF($G$1="牵丝",$AJ129,$AH129)+IF($G$1="牵丝",$AK129*1.5,0))*(1+$BC129)*(1+$BD129)+(($BE129+($BF129-$BE129)*IF(VLOOKUP($Q129,武学奇术!$A:$ZZ,31,FALSE)=1,$F$18,0.5))*IF($G$1="破竹",$AJ129,$AH129)+IF($G$1="破竹",$AK129*1.5,0))*(1+$BG129)*(1+$BH129))*(1+$AL129)*$P129*(1+IF(VLOOKUP($Q129,武学奇术!$A:$ZZ,30,FALSE)="蓄力技",$B$21,0))*(1+$BQ129)</f>
        <v>10006.7487865462</v>
      </c>
      <c r="O129" s="39">
        <f>((($AN129*$AH129+$AI129)*(1+$AP129)*(1+$AQ129)+($AS129*IF($G$1="鸣金",$AJ129,$AH129)+IF($G$1="鸣金",$AK129*1.5,0))*(1+$AU129)*(1+$AV129)+($AW129*IF($G$1="裂石",$AJ129,$AH129)+IF($G$1="裂石",$AK129*1.5,0))*(1+$AY129)*(1+$AZ129)+($BA129*IF($G$1="牵丝",$AJ129,$AH129)+IF($G$1="牵丝",$AK129*1.5,0))*(1+$BC129)*(1+$BD129)+($BE129*IF($G$1="破竹",$AJ129,$AH129)+IF($G$1="破竹",$AK129*1.5,0))*(1+$BG129)*(1+$BH129))*(1+$AL129))*$P129*(1+IF(VLOOKUP($Q129,武学奇术!$A:$ZZ,30,FALSE)="蓄力技",$B$21,0))*(1+$BQ129)</f>
        <v>9026.25829905282</v>
      </c>
      <c r="P129" s="40">
        <f t="shared" si="22"/>
        <v>1</v>
      </c>
      <c r="Q129" s="41" t="s">
        <v>190</v>
      </c>
      <c r="R129" s="41" t="s">
        <v>93</v>
      </c>
      <c r="S129" s="41" t="s">
        <v>118</v>
      </c>
      <c r="T129" s="41" t="s">
        <v>119</v>
      </c>
      <c r="U129" s="41" t="s">
        <v>72</v>
      </c>
      <c r="V129" s="41" t="s">
        <v>72</v>
      </c>
      <c r="W129" s="41" t="s">
        <v>72</v>
      </c>
      <c r="X129" s="41" t="s">
        <v>165</v>
      </c>
      <c r="Y129" s="41" t="s">
        <v>81</v>
      </c>
      <c r="Z129" s="41" t="s">
        <v>72</v>
      </c>
      <c r="AA129" s="41" t="s">
        <v>72</v>
      </c>
      <c r="AB129" s="41" t="s">
        <v>72</v>
      </c>
      <c r="AC129" s="41" t="s">
        <v>72</v>
      </c>
      <c r="AD129" s="41" t="s">
        <v>72</v>
      </c>
      <c r="AE129" s="41" t="s">
        <v>75</v>
      </c>
      <c r="AF129" s="41" t="s">
        <v>76</v>
      </c>
      <c r="AG129" t="str">
        <f>VLOOKUP($Q129,武学奇术!$A:$ZZ,25,FALSE)</f>
        <v>心法</v>
      </c>
      <c r="AH129" s="27">
        <f>VLOOKUP($Q129,武学奇术!$A:$ZZ,26,FALSE)</f>
        <v>1</v>
      </c>
      <c r="AI129" s="28">
        <f>VLOOKUP($Q129,武学奇术!$A:$ZZ,27,FALSE)*(1+IF(OR($AG129=$F$4,$AG129=$F$5),$B$22,0))</f>
        <v>0</v>
      </c>
      <c r="AJ129" s="27">
        <f>VLOOKUP($Q129,武学奇术!$A:$ZZ,28,FALSE)</f>
        <v>1</v>
      </c>
      <c r="AK129" s="28">
        <f>VLOOKUP($Q129,武学奇术!$A:$ZZ,29,FALSE)*(1+IF(OR($AG129=$F$4,$AG129=$F$5),$B$22,0))</f>
        <v>0</v>
      </c>
      <c r="AL129" s="27" cm="1">
        <f t="array" ref="AL129">$G$3+IFERROR(VLOOKUP($AG129,$F$4:$G$7,2,FALSE),0)+VLOOKUP($Q129,武学奇术!$A:$ZZ,2,FALSE)+SUM(_xlfn.XLOOKUP($R129:$AF129,增益!$A:$A,增益!$B:$B,0))</f>
        <v>0.3037</v>
      </c>
      <c r="AM129" s="27" cm="1">
        <f t="array" ref="AM129">VLOOKUP($Q129,武学奇术!$A:$ZZ,5,FALSE)+SUM(_xlfn.XLOOKUP($R129:$AF129,增益!$A:$A,增益!$E:$E,0))</f>
        <v>0</v>
      </c>
      <c r="AN129" cm="1">
        <f t="array" ref="AN129">$D$10*(1+$AM129)+VLOOKUP($Q129,武学奇术!$A:$ZZ,3,FALSE)+SUM(_xlfn.XLOOKUP($R129:$AF129,增益!$A:$A,增益!$C:$C,0))-$I$2</f>
        <v>3742.006</v>
      </c>
      <c r="AO129" cm="1">
        <f t="array" ref="AO129">$E$10*(1+$AM129)+VLOOKUP($Q129,武学奇术!$A:$ZZ,4,FALSE)+SUM(_xlfn.XLOOKUP($R129:$AF129,增益!$A:$A,增益!$D:$D,0))-$I$2</f>
        <v>3742.006</v>
      </c>
      <c r="AP129" s="33" cm="1">
        <f t="array" ref="AP129">IF($F$10-$I$3+VLOOKUP($Q129,武学奇术!$A:$ZZ,6,FALSE)+SUM(_xlfn.XLOOKUP(R129:AF129,增益!$A:$A,增益!$F:$F,0))&gt;0,($F$10-$I$3+VLOOKUP($Q129,武学奇术!$A:$ZZ,6,FALSE)+SUM(_xlfn.XLOOKUP(R129:AF129,增益!$A:$A,增益!$F:$F,0)))/200,($F$10-$I$3+VLOOKUP($Q129,武学奇术!$A:$ZZ,6,FALSE)+SUM(_xlfn.XLOOKUP(R129:AF129,增益!$A:$A,增益!$F:$F,0)))/100)</f>
        <v>0.342</v>
      </c>
      <c r="AQ129" s="33" cm="1">
        <f t="array" ref="AQ129">$G$10+VLOOKUP($Q129,武学奇术!$A:$ZZ,7,FALSE)+SUM(_xlfn.XLOOKUP(R129:AF129,增益!$A:$A,增益!$G:$G,0))</f>
        <v>0.09</v>
      </c>
      <c r="AR129" s="27" cm="1">
        <f t="array" ref="AR129">VLOOKUP($Q129,武学奇术!$A:$ZZ,8,FALSE)+SUM(_xlfn.XLOOKUP(R129:AF129,增益!$A:$A,增益!$H:$H,0))</f>
        <v>0</v>
      </c>
      <c r="AS129">
        <f t="shared" si="12"/>
        <v>0</v>
      </c>
      <c r="AT129">
        <f t="shared" si="13"/>
        <v>0</v>
      </c>
      <c r="AU129" s="33" cm="1">
        <f t="array" ref="AU129">IF($F$11-$I$4+VLOOKUP($Q129,武学奇术!$A:$ZZ,9,FALSE)+SUM(_xlfn.XLOOKUP(R129:AF129,增益!$A:$A,增益!$I:$I,0))&gt;0,($F$11-$I$4+VLOOKUP($Q129,武学奇术!$A:$ZZ,9,FALSE)+SUM(_xlfn.XLOOKUP(R129:AF129,增益!$A:$A,增益!$I:$I,0)))/200,($F$11-$I$4+VLOOKUP($Q129,武学奇术!$A:$ZZ,9,FALSE)+SUM(_xlfn.XLOOKUP(R129:AF129,增益!$A:$A,增益!$I:$I,0)))/100)</f>
        <v>-0.14</v>
      </c>
      <c r="AV129" s="33" cm="1">
        <f t="array" ref="AV129">$G$11+VLOOKUP($Q129,武学奇术!$A:$ZZ,10,FALSE)+SUM(_xlfn.XLOOKUP(R129:AF129,增益!$A:$A,增益!$J:$J,0))</f>
        <v>0</v>
      </c>
      <c r="AW129">
        <f t="shared" si="14"/>
        <v>0</v>
      </c>
      <c r="AX129">
        <f t="shared" si="15"/>
        <v>0</v>
      </c>
      <c r="AY129" s="33" cm="1">
        <f t="array" ref="AY129">IF($F$12-$I$4+VLOOKUP($Q129,武学奇术!$A:$ZZ,11,FALSE)+SUM(_xlfn.XLOOKUP(R129:AF129,增益!$A:$A,增益!$K:$K,0))&gt;0,($F$12-$I$4+VLOOKUP($Q129,武学奇术!$A:$ZZ,11,FALSE)+SUM(_xlfn.XLOOKUP(R129:AF129,增益!$A:$A,增益!$K:$K,0)))/200,($F$12-$I$4+VLOOKUP($Q129,武学奇术!$A:$ZZ,11,FALSE)+SUM(_xlfn.XLOOKUP(R129:AF129,增益!$A:$A,增益!$K:$K,0)))/100)</f>
        <v>-0.14</v>
      </c>
      <c r="AZ129" s="33" cm="1">
        <f t="array" ref="AZ129">$G$12+VLOOKUP($Q129,武学奇术!$A:$ZZ,12,FALSE)+SUM(_xlfn.XLOOKUP(R129:AF129,增益!$A:$A,增益!$L:$L,0))</f>
        <v>0</v>
      </c>
      <c r="BA129">
        <f t="shared" si="16"/>
        <v>0</v>
      </c>
      <c r="BB129">
        <f t="shared" si="17"/>
        <v>0</v>
      </c>
      <c r="BC129" s="33" cm="1">
        <f t="array" ref="BC129">IF($F$13-$I$4+VLOOKUP($Q129,武学奇术!$A:$ZZ,13,FALSE)+SUM(_xlfn.XLOOKUP(R129:AF129,增益!$A:$A,增益!$M:$M,0))&gt;0,($F$13-$I$4+VLOOKUP($Q129,武学奇术!$A:$ZZ,13,FALSE)+SUM(_xlfn.XLOOKUP(R129:AF129,增益!$A:$A,增益!$K:$K,0)))/200,($F$13-$I$4+VLOOKUP($Q129,武学奇术!$A:$ZZ,13,FALSE)+SUM(_xlfn.XLOOKUP(R129:AF129,增益!$A:$A,增益!$M:$M,0)))/100)</f>
        <v>-0.14</v>
      </c>
      <c r="BD129" s="33" cm="1">
        <f t="array" ref="BD129">$G$13+VLOOKUP($Q129,武学奇术!$A:$ZZ,14,FALSE)+SUM(_xlfn.XLOOKUP(R129:AF129,增益!$A:$A,增益!$N:$N,0))</f>
        <v>0</v>
      </c>
      <c r="BE129">
        <f t="shared" si="18"/>
        <v>570.28</v>
      </c>
      <c r="BF129">
        <f t="shared" si="19"/>
        <v>1582.156</v>
      </c>
      <c r="BG129" s="33" cm="1">
        <f t="array" ref="BG129">IF($F$14-$I$4+VLOOKUP($Q129,武学奇术!$A:$ZZ,15,FALSE)+SUM(_xlfn.XLOOKUP(R129:AF129,增益!$A:$A,增益!$O:$O,0))&gt;0,($F$14-$I$4+VLOOKUP($Q129,武学奇术!$A:$ZZ,15,FALSE)+SUM(_xlfn.XLOOKUP(R129:AF129,增益!$A:$A,增益!$O:$O,0)))/200,($F$14-$I$4+VLOOKUP($Q129,武学奇术!$A:$ZZ,15,FALSE)+SUM(_xlfn.XLOOKUP(R129:AF129,增益!$A:$A,增益!$O:$O,0)))/100)</f>
        <v>0.08</v>
      </c>
      <c r="BH129" s="33" cm="1">
        <f t="array" ref="BH129">$G$14+VLOOKUP($Q129,武学奇术!$A:$ZZ,16,FALSE)+SUM(_xlfn.XLOOKUP(R129:AF129,增益!$A:$A,增益!$P:$P,0))</f>
        <v>0.24</v>
      </c>
      <c r="BI129" s="27">
        <f>MIN(IF(VLOOKUP($Q129,武学奇术!$A:$ZZ,23,FALSE)=1,100%,$B$8),100%)</f>
        <v>1</v>
      </c>
      <c r="BJ129" s="27" cm="1">
        <f t="array" ref="BJ129">IF(VLOOKUP($Q129,武学奇术!$A:$ZZ,23,FALSE)=1,100%,MIN(80%,$B$9+VLOOKUP($Q129,武学奇术!$A:$ZZ,17,FALSE)+SUM(_xlfn.XLOOKUP(R129:AF129,增益!$A:$A,增益!$Q:$Q,0)))+$B$11+SUM(_xlfn.XLOOKUP(R129:AF129,增益!$A:$A,增益!$U:$U,0)))*IF(VLOOKUP($Q129,武学奇术!$A:$ZZ,24,FALSE)=1,0,1)+MIN(IF(VLOOKUP($Q129,武学奇术!$A:$ZZ,32,FALSE)=1,IF(VLOOKUP($Q129,武学奇术!$A:$ZZ,24,FALSE)=1,100%,MIN(40%,$B$10+VLOOKUP($Q129,武学奇术!$A:$ZZ,19,FALSE)+SUM(_xlfn.XLOOKUP(R129:AF129,增益!$A:$A,增益!$S:$S,0)))+$B$12+SUM(_xlfn.XLOOKUP(R129:AF129,增益!$A:$A,增益!$V:$V,0))),0),12%)</f>
        <v>0.918</v>
      </c>
      <c r="BK129" s="27" cm="1">
        <f t="array" ref="BK129">1+$B$13+VLOOKUP($Q129,武学奇术!$A:$ZZ,18,FALSE)+SUM(_xlfn.XLOOKUP(R129:AF129,增益!$A:$A,增益!$R:$R,0))</f>
        <v>1.89</v>
      </c>
      <c r="BL129" s="27" cm="1">
        <f t="array" ref="BL129">MAX(IF(VLOOKUP($Q129,武学奇术!$A:$ZZ,24,FALSE)=1,100%,MIN(40%,$B$10+VLOOKUP($Q129,武学奇术!$A:$ZZ,19,FALSE)+SUM(_xlfn.XLOOKUP(R129:AF129,增益!$A:$A,增益!$S:$S,0)))+$B$12+SUM(_xlfn.XLOOKUP(R129:AF129,增益!$A:$A,增益!$V:$V,0)))*IF(VLOOKUP($Q129,武学奇术!$A:$ZZ,23,FALSE)=1,0,1)-IF(VLOOKUP($Q129,武学奇术!$A:$ZZ,32,FALSE)=1,12%,0),0)</f>
        <v>0.0895</v>
      </c>
      <c r="BM129" s="27" cm="1">
        <f t="array" ref="BM129">1+$B$14+VLOOKUP($Q129,武学奇术!$A:$ZZ,20,FALSE)+SUM(_xlfn.XLOOKUP(R129:AF129,增益!$A:$A,增益!$T:$T,0))</f>
        <v>1.35</v>
      </c>
      <c r="BN129" s="27">
        <f t="shared" si="20"/>
        <v>0.9105</v>
      </c>
      <c r="BO129" s="27">
        <f t="shared" si="21"/>
        <v>0</v>
      </c>
      <c r="BP129" s="27">
        <f>IF(VLOOKUP($Q129,武学奇术!$A:$ZZ,22,FALSE)=1,0,(1-$BI129))*(1-$BL129)</f>
        <v>0</v>
      </c>
      <c r="BQ129" s="27" cm="1">
        <f t="array" ref="BQ129">SUM(_xlfn.XLOOKUP(R129:AF129,增益!$A:$A,增益!$W:$W,0))+$I$5</f>
        <v>0.11</v>
      </c>
    </row>
    <row r="130" spans="11:69">
      <c r="K130" s="39">
        <f t="shared" ref="K130:K136" si="23">($L130*$BN130+$M130*$BL130+$N130*$BO130+$O130*$BP130)</f>
        <v>19064.638763537</v>
      </c>
      <c r="L130" s="39">
        <f>((($AN130+($AO130-$AN130)*IF(VLOOKUP($Q130,武学奇术!$A:$ZZ,31,FALSE)=1,$F$18,0.5))*$AH130+$AI130)*(1+$AP130)*(1+$AQ130)+(($AS130+($AT130-$AS130)*IF(VLOOKUP($Q130,武学奇术!$A:$ZZ,31,FALSE)=1,$F$18,0.5))*IF($G$1="鸣金",$AJ130,$AH130)+IF($G$1="鸣金",$AK130*1.5,0))*(1+$AU130)*(1+$AV130)+(($AW130+($AX130-$AW130)*IF(VLOOKUP($Q130,武学奇术!$A:$ZZ,31,FALSE)=1,$F$18,0.5))*IF($G$1="裂石",$AJ130,$AH130)+IF($G$1="裂石",$AK130*1.5,0))*(1+$AY130)*(1+$AZ130)+(($BA130+($BB130-$BA130)*IF(VLOOKUP($Q130,武学奇术!$A:$ZZ,31,FALSE)=1,$F$18,0.5))*IF($G$1="牵丝",$AJ130,$AH130)+IF($G$1="牵丝",$AK130*1.5,0))*(1+$BC130)*(1+$BD130)+(($BE130+($BF130-$BE130)*IF(VLOOKUP($Q130,武学奇术!$A:$ZZ,31,FALSE)=1,$F$18,0.5))*IF($G$1="破竹",$AJ130,$AH130)+IF($G$1="破竹",$AK130*1.5,0))*(1+$BG130)*(1+$BH130))*(1+$AL130)*$BK130*$P130*(1+IF(VLOOKUP($Q130,武学奇术!$A:$ZZ,30,FALSE)="蓄力技",$B$21,0))*(1+$BQ130)</f>
        <v>19447.374061145</v>
      </c>
      <c r="M130" s="39">
        <f>(($AO130*$AH130+$AI130)*(1+$AP130)*(1+$AQ130)+($AT130*IF($G$1="鸣金",$AJ130,$AH130)+IF($G$1="鸣金",$AK130*1.5,0))*(1+$AU130)*(1+$AV130)+($AX130*IF($G$1="裂石",$AJ130,$AH130)+IF($G$1="裂石",$AK130*1.5,0))*(1+$AY130)*(1+$AZ130)+($BB130*IF($G$1="牵丝",$AJ130,$AH130)+IF($G$1="牵丝",$AK130*1.5,0))*(1+$BC130)*(1+$BD130)+($BF130*IF($G$1="破竹",$AJ130,$AH130)+IF($G$1="破竹",$AK130*1.5,0))*(1+$BG130)*(1+$BH130))*(1+$AL130)*$BM130*$P130*(1+IF(VLOOKUP($Q130,武学奇术!$A:$ZZ,30,FALSE)="蓄力技",$B$21,0))*(1+$BQ130)</f>
        <v>15171.002020832</v>
      </c>
      <c r="N130" s="39">
        <f>((($AN130+($AO130-$AN130)*IF(VLOOKUP($Q130,武学奇术!$A:$ZZ,31,FALSE)=1,$F$18,0.5))*$AH130+$AI130)*(1+$AP130)*(1+$AQ130)+(($AS130+($AT130-$AS130)*IF(VLOOKUP($Q130,武学奇术!$A:$ZZ,31,FALSE)=1,$F$18,0.5))*IF($G$1="鸣金",$AJ130,$AH130)+IF($G$1="鸣金",$AK130*1.5,0))*(1+$AU130)*(1+$AV130)+(($AW130+($AX130-$AW130)*IF(VLOOKUP($Q130,武学奇术!$A:$ZZ,31,FALSE)=1,$F$18,0.5))*IF($G$1="裂石",$AJ130,$AH130)+IF($G$1="裂石",$AK130*1.5,0))*(1+$AY130)*(1+$AZ130)+(($BA130+($BB130-$BA130)*IF(VLOOKUP($Q130,武学奇术!$A:$ZZ,31,FALSE)=1,$F$18,0.5))*IF($G$1="牵丝",$AJ130,$AH130)+IF($G$1="牵丝",$AK130*1.5,0))*(1+$BC130)*(1+$BD130)+(($BE130+($BF130-$BE130)*IF(VLOOKUP($Q130,武学奇术!$A:$ZZ,31,FALSE)=1,$F$18,0.5))*IF($G$1="破竹",$AJ130,$AH130)+IF($G$1="破竹",$AK130*1.5,0))*(1+$BG130)*(1+$BH130))*(1+$AL130)*$P130*(1+IF(VLOOKUP($Q130,武学奇术!$A:$ZZ,30,FALSE)="蓄力技",$B$21,0))*(1+$BQ130)</f>
        <v>10289.6159053677</v>
      </c>
      <c r="O130" s="39">
        <f>((($AN130*$AH130+$AI130)*(1+$AP130)*(1+$AQ130)+($AS130*IF($G$1="鸣金",$AJ130,$AH130)+IF($G$1="鸣金",$AK130*1.5,0))*(1+$AU130)*(1+$AV130)+($AW130*IF($G$1="裂石",$AJ130,$AH130)+IF($G$1="裂石",$AK130*1.5,0))*(1+$AY130)*(1+$AZ130)+($BA130*IF($G$1="牵丝",$AJ130,$AH130)+IF($G$1="牵丝",$AK130*1.5,0))*(1+$BC130)*(1+$BD130)+($BE130*IF($G$1="破竹",$AJ130,$AH130)+IF($G$1="破竹",$AK130*1.5,0))*(1+$BG130)*(1+$BH130))*(1+$AL130))*$P130*(1+IF(VLOOKUP($Q130,武学奇术!$A:$ZZ,30,FALSE)="蓄力技",$B$21,0))*(1+$BQ130)</f>
        <v>9341.45253604511</v>
      </c>
      <c r="P130" s="40">
        <f t="shared" si="22"/>
        <v>1</v>
      </c>
      <c r="Q130" s="41" t="s">
        <v>190</v>
      </c>
      <c r="R130" s="41" t="s">
        <v>93</v>
      </c>
      <c r="S130" s="41" t="s">
        <v>118</v>
      </c>
      <c r="T130" s="41" t="s">
        <v>72</v>
      </c>
      <c r="U130" s="41" t="s">
        <v>72</v>
      </c>
      <c r="V130" s="41" t="s">
        <v>176</v>
      </c>
      <c r="W130" s="41" t="s">
        <v>177</v>
      </c>
      <c r="X130" s="41" t="s">
        <v>165</v>
      </c>
      <c r="Y130" s="41" t="s">
        <v>72</v>
      </c>
      <c r="Z130" s="41" t="s">
        <v>72</v>
      </c>
      <c r="AA130" s="41" t="s">
        <v>72</v>
      </c>
      <c r="AB130" s="41" t="s">
        <v>72</v>
      </c>
      <c r="AC130" s="41" t="s">
        <v>72</v>
      </c>
      <c r="AD130" s="41" t="s">
        <v>72</v>
      </c>
      <c r="AE130" s="41" t="s">
        <v>75</v>
      </c>
      <c r="AF130" s="41" t="s">
        <v>76</v>
      </c>
      <c r="AG130" t="str">
        <f>VLOOKUP($Q130,武学奇术!$A:$ZZ,25,FALSE)</f>
        <v>心法</v>
      </c>
      <c r="AH130" s="27">
        <f>VLOOKUP($Q130,武学奇术!$A:$ZZ,26,FALSE)</f>
        <v>1</v>
      </c>
      <c r="AI130" s="28">
        <f>VLOOKUP($Q130,武学奇术!$A:$ZZ,27,FALSE)*(1+IF(OR($AG130=$F$4,$AG130=$F$5),$B$22,0))</f>
        <v>0</v>
      </c>
      <c r="AJ130" s="27">
        <f>VLOOKUP($Q130,武学奇术!$A:$ZZ,28,FALSE)</f>
        <v>1</v>
      </c>
      <c r="AK130" s="28">
        <f>VLOOKUP($Q130,武学奇术!$A:$ZZ,29,FALSE)*(1+IF(OR($AG130=$F$4,$AG130=$F$5),$B$22,0))</f>
        <v>0</v>
      </c>
      <c r="AL130" s="27" cm="1">
        <f t="array" ref="AL130">$G$3+IFERROR(VLOOKUP($AG130,$F$4:$G$7,2,FALSE),0)+VLOOKUP($Q130,武学奇术!$A:$ZZ,2,FALSE)+SUM(_xlfn.XLOOKUP($R130:$AF130,增益!$A:$A,增益!$B:$B,0))</f>
        <v>0.1537</v>
      </c>
      <c r="AM130" s="27" cm="1">
        <f t="array" ref="AM130">VLOOKUP($Q130,武学奇术!$A:$ZZ,5,FALSE)+SUM(_xlfn.XLOOKUP($R130:$AF130,增益!$A:$A,增益!$E:$E,0))</f>
        <v>0</v>
      </c>
      <c r="AN130" cm="1">
        <f t="array" ref="AN130">$D$10*(1+$AM130)+VLOOKUP($Q130,武学奇术!$A:$ZZ,3,FALSE)+SUM(_xlfn.XLOOKUP($R130:$AF130,增益!$A:$A,增益!$C:$C,0))-$I$2</f>
        <v>3742.006</v>
      </c>
      <c r="AO130" cm="1">
        <f t="array" ref="AO130">$E$10*(1+$AM130)+VLOOKUP($Q130,武学奇术!$A:$ZZ,4,FALSE)+SUM(_xlfn.XLOOKUP($R130:$AF130,增益!$A:$A,增益!$D:$D,0))-$I$2</f>
        <v>3742.006</v>
      </c>
      <c r="AP130" s="33" cm="1">
        <f t="array" ref="AP130">IF($F$10-$I$3+VLOOKUP($Q130,武学奇术!$A:$ZZ,6,FALSE)+SUM(_xlfn.XLOOKUP(R130:AF130,增益!$A:$A,增益!$F:$F,0))&gt;0,($F$10-$I$3+VLOOKUP($Q130,武学奇术!$A:$ZZ,6,FALSE)+SUM(_xlfn.XLOOKUP(R130:AF130,增益!$A:$A,增益!$F:$F,0)))/200,($F$10-$I$3+VLOOKUP($Q130,武学奇术!$A:$ZZ,6,FALSE)+SUM(_xlfn.XLOOKUP(R130:AF130,增益!$A:$A,增益!$F:$F,0)))/100)</f>
        <v>0.342</v>
      </c>
      <c r="AQ130" s="33" cm="1">
        <f t="array" ref="AQ130">$G$10+VLOOKUP($Q130,武学奇术!$A:$ZZ,7,FALSE)+SUM(_xlfn.XLOOKUP(R130:AF130,增益!$A:$A,增益!$G:$G,0))</f>
        <v>0.09</v>
      </c>
      <c r="AR130" s="27" cm="1">
        <f t="array" ref="AR130">VLOOKUP($Q130,武学奇术!$A:$ZZ,8,FALSE)+SUM(_xlfn.XLOOKUP(R130:AF130,增益!$A:$A,增益!$H:$H,0))</f>
        <v>0</v>
      </c>
      <c r="AS130">
        <f t="shared" ref="AS130:AS136" si="24">$D$11*(1+$AR130)</f>
        <v>0</v>
      </c>
      <c r="AT130">
        <f t="shared" ref="AT130:AT136" si="25">$E$11*(1+$AR130)</f>
        <v>0</v>
      </c>
      <c r="AU130" s="33" cm="1">
        <f t="array" ref="AU130">IF($F$11-$I$4+VLOOKUP($Q130,武学奇术!$A:$ZZ,9,FALSE)+SUM(_xlfn.XLOOKUP(R130:AF130,增益!$A:$A,增益!$I:$I,0))&gt;0,($F$11-$I$4+VLOOKUP($Q130,武学奇术!$A:$ZZ,9,FALSE)+SUM(_xlfn.XLOOKUP(R130:AF130,增益!$A:$A,增益!$I:$I,0)))/200,($F$11-$I$4+VLOOKUP($Q130,武学奇术!$A:$ZZ,9,FALSE)+SUM(_xlfn.XLOOKUP(R130:AF130,增益!$A:$A,增益!$I:$I,0)))/100)</f>
        <v>-0.3</v>
      </c>
      <c r="AV130" s="33" cm="1">
        <f t="array" ref="AV130">$G$11+VLOOKUP($Q130,武学奇术!$A:$ZZ,10,FALSE)+SUM(_xlfn.XLOOKUP(R130:AF130,增益!$A:$A,增益!$J:$J,0))</f>
        <v>0.1</v>
      </c>
      <c r="AW130">
        <f t="shared" ref="AW130:AW136" si="26">$D$12*(1+$AR130)</f>
        <v>0</v>
      </c>
      <c r="AX130">
        <f t="shared" ref="AX130:AX136" si="27">$E$12*(1+$AR130)</f>
        <v>0</v>
      </c>
      <c r="AY130" s="33" cm="1">
        <f t="array" ref="AY130">IF($F$12-$I$4+VLOOKUP($Q130,武学奇术!$A:$ZZ,11,FALSE)+SUM(_xlfn.XLOOKUP(R130:AF130,增益!$A:$A,增益!$K:$K,0))&gt;0,($F$12-$I$4+VLOOKUP($Q130,武学奇术!$A:$ZZ,11,FALSE)+SUM(_xlfn.XLOOKUP(R130:AF130,增益!$A:$A,增益!$K:$K,0)))/200,($F$12-$I$4+VLOOKUP($Q130,武学奇术!$A:$ZZ,11,FALSE)+SUM(_xlfn.XLOOKUP(R130:AF130,增益!$A:$A,增益!$K:$K,0)))/100)</f>
        <v>-0.3</v>
      </c>
      <c r="AZ130" s="33" cm="1">
        <f t="array" ref="AZ130">$G$12+VLOOKUP($Q130,武学奇术!$A:$ZZ,12,FALSE)+SUM(_xlfn.XLOOKUP(R130:AF130,增益!$A:$A,增益!$L:$L,0))</f>
        <v>0</v>
      </c>
      <c r="BA130">
        <f t="shared" ref="BA130:BA136" si="28">$D$13*(1+$AR130)</f>
        <v>0</v>
      </c>
      <c r="BB130">
        <f t="shared" ref="BB130:BB136" si="29">$E$13*(1+$AR130)</f>
        <v>0</v>
      </c>
      <c r="BC130" s="33" cm="1">
        <f t="array" ref="BC130">IF($F$13-$I$4+VLOOKUP($Q130,武学奇术!$A:$ZZ,13,FALSE)+SUM(_xlfn.XLOOKUP(R130:AF130,增益!$A:$A,增益!$M:$M,0))&gt;0,($F$13-$I$4+VLOOKUP($Q130,武学奇术!$A:$ZZ,13,FALSE)+SUM(_xlfn.XLOOKUP(R130:AF130,增益!$A:$A,增益!$K:$K,0)))/200,($F$13-$I$4+VLOOKUP($Q130,武学奇术!$A:$ZZ,13,FALSE)+SUM(_xlfn.XLOOKUP(R130:AF130,增益!$A:$A,增益!$M:$M,0)))/100)</f>
        <v>-0.3</v>
      </c>
      <c r="BD130" s="33" cm="1">
        <f t="array" ref="BD130">$G$13+VLOOKUP($Q130,武学奇术!$A:$ZZ,14,FALSE)+SUM(_xlfn.XLOOKUP(R130:AF130,增益!$A:$A,增益!$N:$N,0))</f>
        <v>0</v>
      </c>
      <c r="BE130">
        <f t="shared" ref="BE130:BE136" si="30">$D$14*(1+$AR130)</f>
        <v>570.28</v>
      </c>
      <c r="BF130">
        <f t="shared" ref="BF130:BF136" si="31">$E$14*(1+$AR130)</f>
        <v>1582.156</v>
      </c>
      <c r="BG130" s="33" cm="1">
        <f t="array" ref="BG130">IF($F$14-$I$4+VLOOKUP($Q130,武学奇术!$A:$ZZ,15,FALSE)+SUM(_xlfn.XLOOKUP(R130:AF130,增益!$A:$A,增益!$O:$O,0))&gt;0,($F$14-$I$4+VLOOKUP($Q130,武学奇术!$A:$ZZ,15,FALSE)+SUM(_xlfn.XLOOKUP(R130:AF130,增益!$A:$A,增益!$O:$O,0)))/200,($F$14-$I$4+VLOOKUP($Q130,武学奇术!$A:$ZZ,15,FALSE)+SUM(_xlfn.XLOOKUP(R130:AF130,增益!$A:$A,增益!$O:$O,0)))/100)</f>
        <v>0</v>
      </c>
      <c r="BH130" s="33" cm="1">
        <f t="array" ref="BH130">$G$14+VLOOKUP($Q130,武学奇术!$A:$ZZ,16,FALSE)+SUM(_xlfn.XLOOKUP(R130:AF130,增益!$A:$A,增益!$P:$P,0))</f>
        <v>0.24</v>
      </c>
      <c r="BI130" s="27">
        <f>MIN(IF(VLOOKUP($Q130,武学奇术!$A:$ZZ,23,FALSE)=1,100%,$B$8),100%)</f>
        <v>1</v>
      </c>
      <c r="BJ130" s="27" cm="1">
        <f t="array" ref="BJ130">IF(VLOOKUP($Q130,武学奇术!$A:$ZZ,23,FALSE)=1,100%,MIN(80%,$B$9+VLOOKUP($Q130,武学奇术!$A:$ZZ,17,FALSE)+SUM(_xlfn.XLOOKUP(R130:AF130,增益!$A:$A,增益!$Q:$Q,0)))+$B$11+SUM(_xlfn.XLOOKUP(R130:AF130,增益!$A:$A,增益!$U:$U,0)))*IF(VLOOKUP($Q130,武学奇术!$A:$ZZ,24,FALSE)=1,0,1)+MIN(IF(VLOOKUP($Q130,武学奇术!$A:$ZZ,32,FALSE)=1,IF(VLOOKUP($Q130,武学奇术!$A:$ZZ,24,FALSE)=1,100%,MIN(40%,$B$10+VLOOKUP($Q130,武学奇术!$A:$ZZ,19,FALSE)+SUM(_xlfn.XLOOKUP(R130:AF130,增益!$A:$A,增益!$S:$S,0)))+$B$12+SUM(_xlfn.XLOOKUP(R130:AF130,增益!$A:$A,增益!$V:$V,0))),0),12%)</f>
        <v>0.918</v>
      </c>
      <c r="BK130" s="27" cm="1">
        <f t="array" ref="BK130">1+$B$13+VLOOKUP($Q130,武学奇术!$A:$ZZ,18,FALSE)+SUM(_xlfn.XLOOKUP(R130:AF130,增益!$A:$A,增益!$R:$R,0))</f>
        <v>1.89</v>
      </c>
      <c r="BL130" s="27" cm="1">
        <f t="array" ref="BL130">MAX(IF(VLOOKUP($Q130,武学奇术!$A:$ZZ,24,FALSE)=1,100%,MIN(40%,$B$10+VLOOKUP($Q130,武学奇术!$A:$ZZ,19,FALSE)+SUM(_xlfn.XLOOKUP(R130:AF130,增益!$A:$A,增益!$S:$S,0)))+$B$12+SUM(_xlfn.XLOOKUP(R130:AF130,增益!$A:$A,增益!$V:$V,0)))*IF(VLOOKUP($Q130,武学奇术!$A:$ZZ,23,FALSE)=1,0,1)-IF(VLOOKUP($Q130,武学奇术!$A:$ZZ,32,FALSE)=1,12%,0),0)</f>
        <v>0.0895</v>
      </c>
      <c r="BM130" s="27" cm="1">
        <f t="array" ref="BM130">1+$B$14+VLOOKUP($Q130,武学奇术!$A:$ZZ,20,FALSE)+SUM(_xlfn.XLOOKUP(R130:AF130,增益!$A:$A,增益!$T:$T,0))</f>
        <v>1.35</v>
      </c>
      <c r="BN130" s="27">
        <f t="shared" ref="BN130:BN136" si="32">MIN((1-BL130)*BI130,BI130*BJ130)</f>
        <v>0.9105</v>
      </c>
      <c r="BO130" s="27">
        <f t="shared" ref="BO130:BO136" si="33">1-BL130-BN130-BP130</f>
        <v>0</v>
      </c>
      <c r="BP130" s="27">
        <f>IF(VLOOKUP($Q130,武学奇术!$A:$ZZ,22,FALSE)=1,0,(1-$BI130))*(1-$BL130)</f>
        <v>0</v>
      </c>
      <c r="BQ130" s="27" cm="1">
        <f t="array" ref="BQ130">SUM(_xlfn.XLOOKUP(R130:AF130,增益!$A:$A,增益!$W:$W,0))+$I$5</f>
        <v>0.31</v>
      </c>
    </row>
    <row r="131" spans="11:69">
      <c r="K131" s="39">
        <f t="shared" si="23"/>
        <v>16413.5632654472</v>
      </c>
      <c r="L131" s="39">
        <f>((($AN131+($AO131-$AN131)*IF(VLOOKUP($Q131,武学奇术!$A:$ZZ,31,FALSE)=1,$F$18,0.5))*$AH131+$AI131)*(1+$AP131)*(1+$AQ131)+(($AS131+($AT131-$AS131)*IF(VLOOKUP($Q131,武学奇术!$A:$ZZ,31,FALSE)=1,$F$18,0.5))*IF($G$1="鸣金",$AJ131,$AH131)+IF($G$1="鸣金",$AK131*1.5,0))*(1+$AU131)*(1+$AV131)+(($AW131+($AX131-$AW131)*IF(VLOOKUP($Q131,武学奇术!$A:$ZZ,31,FALSE)=1,$F$18,0.5))*IF($G$1="裂石",$AJ131,$AH131)+IF($G$1="裂石",$AK131*1.5,0))*(1+$AY131)*(1+$AZ131)+(($BA131+($BB131-$BA131)*IF(VLOOKUP($Q131,武学奇术!$A:$ZZ,31,FALSE)=1,$F$18,0.5))*IF($G$1="牵丝",$AJ131,$AH131)+IF($G$1="牵丝",$AK131*1.5,0))*(1+$BC131)*(1+$BD131)+(($BE131+($BF131-$BE131)*IF(VLOOKUP($Q131,武学奇术!$A:$ZZ,31,FALSE)=1,$F$18,0.5))*IF($G$1="破竹",$AJ131,$AH131)+IF($G$1="破竹",$AK131*1.5,0))*(1+$BG131)*(1+$BH131))*(1+$AL131)*$BK131*$P131*(1+IF(VLOOKUP($Q131,武学奇术!$A:$ZZ,30,FALSE)="蓄力技",$B$21,0))*(1+$BQ131)</f>
        <v>16736.707587499</v>
      </c>
      <c r="M131" s="39">
        <f>(($AO131*$AH131+$AI131)*(1+$AP131)*(1+$AQ131)+($AT131*IF($G$1="鸣金",$AJ131,$AH131)+IF($G$1="鸣金",$AK131*1.5,0))*(1+$AU131)*(1+$AV131)+($AX131*IF($G$1="裂石",$AJ131,$AH131)+IF($G$1="裂石",$AK131*1.5,0))*(1+$AY131)*(1+$AZ131)+($BB131*IF($G$1="牵丝",$AJ131,$AH131)+IF($G$1="牵丝",$AK131*1.5,0))*(1+$BC131)*(1+$BD131)+($BF131*IF($G$1="破竹",$AJ131,$AH131)+IF($G$1="破竹",$AK131*1.5,0))*(1+$BG131)*(1+$BH131))*(1+$AL131)*$BM131*$P131*(1+IF(VLOOKUP($Q131,武学奇术!$A:$ZZ,30,FALSE)="蓄力技",$B$21,0))*(1+$BQ131)</f>
        <v>13126.156503122</v>
      </c>
      <c r="N131" s="39">
        <f>((($AN131+($AO131-$AN131)*IF(VLOOKUP($Q131,武学奇术!$A:$ZZ,31,FALSE)=1,$F$18,0.5))*$AH131+$AI131)*(1+$AP131)*(1+$AQ131)+(($AS131+($AT131-$AS131)*IF(VLOOKUP($Q131,武学奇术!$A:$ZZ,31,FALSE)=1,$F$18,0.5))*IF($G$1="鸣金",$AJ131,$AH131)+IF($G$1="鸣金",$AK131*1.5,0))*(1+$AU131)*(1+$AV131)+(($AW131+($AX131-$AW131)*IF(VLOOKUP($Q131,武学奇术!$A:$ZZ,31,FALSE)=1,$F$18,0.5))*IF($G$1="裂石",$AJ131,$AH131)+IF($G$1="裂石",$AK131*1.5,0))*(1+$AY131)*(1+$AZ131)+(($BA131+($BB131-$BA131)*IF(VLOOKUP($Q131,武学奇术!$A:$ZZ,31,FALSE)=1,$F$18,0.5))*IF($G$1="牵丝",$AJ131,$AH131)+IF($G$1="牵丝",$AK131*1.5,0))*(1+$BC131)*(1+$BD131)+(($BE131+($BF131-$BE131)*IF(VLOOKUP($Q131,武学奇术!$A:$ZZ,31,FALSE)=1,$F$18,0.5))*IF($G$1="破竹",$AJ131,$AH131)+IF($G$1="破竹",$AK131*1.5,0))*(1+$BG131)*(1+$BH131))*(1+$AL131)*$P131*(1+IF(VLOOKUP($Q131,武学奇术!$A:$ZZ,30,FALSE)="蓄力技",$B$21,0))*(1+$BQ131)</f>
        <v>8855.40083994655</v>
      </c>
      <c r="O131" s="39">
        <f>((($AN131*$AH131+$AI131)*(1+$AP131)*(1+$AQ131)+($AS131*IF($G$1="鸣金",$AJ131,$AH131)+IF($G$1="鸣金",$AK131*1.5,0))*(1+$AU131)*(1+$AV131)+($AW131*IF($G$1="裂石",$AJ131,$AH131)+IF($G$1="裂石",$AK131*1.5,0))*(1+$AY131)*(1+$AZ131)+($BA131*IF($G$1="牵丝",$AJ131,$AH131)+IF($G$1="牵丝",$AK131*1.5,0))*(1+$BC131)*(1+$BD131)+($BE131*IF($G$1="破竹",$AJ131,$AH131)+IF($G$1="破竹",$AK131*1.5,0))*(1+$BG131)*(1+$BH131))*(1+$AL131))*$P131*(1+IF(VLOOKUP($Q131,武学奇术!$A:$ZZ,30,FALSE)="蓄力技",$B$21,0))*(1+$BQ131)</f>
        <v>7987.7227886916</v>
      </c>
      <c r="P131" s="40">
        <f t="shared" si="22"/>
        <v>1</v>
      </c>
      <c r="Q131" s="41" t="s">
        <v>190</v>
      </c>
      <c r="R131" s="41" t="s">
        <v>93</v>
      </c>
      <c r="S131" s="41" t="s">
        <v>118</v>
      </c>
      <c r="T131" s="41" t="s">
        <v>72</v>
      </c>
      <c r="U131" s="41" t="s">
        <v>72</v>
      </c>
      <c r="V131" s="41" t="s">
        <v>72</v>
      </c>
      <c r="W131" s="41" t="s">
        <v>72</v>
      </c>
      <c r="X131" s="41" t="s">
        <v>165</v>
      </c>
      <c r="Y131" s="41" t="s">
        <v>81</v>
      </c>
      <c r="Z131" s="41" t="s">
        <v>72</v>
      </c>
      <c r="AA131" s="41" t="s">
        <v>72</v>
      </c>
      <c r="AB131" s="41" t="s">
        <v>72</v>
      </c>
      <c r="AC131" s="41" t="s">
        <v>72</v>
      </c>
      <c r="AD131" s="41" t="s">
        <v>72</v>
      </c>
      <c r="AE131" s="41" t="s">
        <v>75</v>
      </c>
      <c r="AF131" s="41" t="s">
        <v>76</v>
      </c>
      <c r="AG131" t="str">
        <f>VLOOKUP($Q131,武学奇术!$A:$ZZ,25,FALSE)</f>
        <v>心法</v>
      </c>
      <c r="AH131" s="27">
        <f>VLOOKUP($Q131,武学奇术!$A:$ZZ,26,FALSE)</f>
        <v>1</v>
      </c>
      <c r="AI131" s="28">
        <f>VLOOKUP($Q131,武学奇术!$A:$ZZ,27,FALSE)*(1+IF(OR($AG131=$F$4,$AG131=$F$5),$B$22,0))</f>
        <v>0</v>
      </c>
      <c r="AJ131" s="27">
        <f>VLOOKUP($Q131,武学奇术!$A:$ZZ,28,FALSE)</f>
        <v>1</v>
      </c>
      <c r="AK131" s="28">
        <f>VLOOKUP($Q131,武学奇术!$A:$ZZ,29,FALSE)*(1+IF(OR($AG131=$F$4,$AG131=$F$5),$B$22,0))</f>
        <v>0</v>
      </c>
      <c r="AL131" s="27" cm="1">
        <f t="array" ref="AL131">$G$3+IFERROR(VLOOKUP($AG131,$F$4:$G$7,2,FALSE),0)+VLOOKUP($Q131,武学奇术!$A:$ZZ,2,FALSE)+SUM(_xlfn.XLOOKUP($R131:$AF131,增益!$A:$A,增益!$B:$B,0))</f>
        <v>0.1537</v>
      </c>
      <c r="AM131" s="27" cm="1">
        <f t="array" ref="AM131">VLOOKUP($Q131,武学奇术!$A:$ZZ,5,FALSE)+SUM(_xlfn.XLOOKUP($R131:$AF131,增益!$A:$A,增益!$E:$E,0))</f>
        <v>0</v>
      </c>
      <c r="AN131" cm="1">
        <f t="array" ref="AN131">$D$10*(1+$AM131)+VLOOKUP($Q131,武学奇术!$A:$ZZ,3,FALSE)+SUM(_xlfn.XLOOKUP($R131:$AF131,增益!$A:$A,增益!$C:$C,0))-$I$2</f>
        <v>3742.006</v>
      </c>
      <c r="AO131" cm="1">
        <f t="array" ref="AO131">$E$10*(1+$AM131)+VLOOKUP($Q131,武学奇术!$A:$ZZ,4,FALSE)+SUM(_xlfn.XLOOKUP($R131:$AF131,增益!$A:$A,增益!$D:$D,0))-$I$2</f>
        <v>3742.006</v>
      </c>
      <c r="AP131" s="33" cm="1">
        <f t="array" ref="AP131">IF($F$10-$I$3+VLOOKUP($Q131,武学奇术!$A:$ZZ,6,FALSE)+SUM(_xlfn.XLOOKUP(R131:AF131,增益!$A:$A,增益!$F:$F,0))&gt;0,($F$10-$I$3+VLOOKUP($Q131,武学奇术!$A:$ZZ,6,FALSE)+SUM(_xlfn.XLOOKUP(R131:AF131,增益!$A:$A,增益!$F:$F,0)))/200,($F$10-$I$3+VLOOKUP($Q131,武学奇术!$A:$ZZ,6,FALSE)+SUM(_xlfn.XLOOKUP(R131:AF131,增益!$A:$A,增益!$F:$F,0)))/100)</f>
        <v>0.342</v>
      </c>
      <c r="AQ131" s="33" cm="1">
        <f t="array" ref="AQ131">$G$10+VLOOKUP($Q131,武学奇术!$A:$ZZ,7,FALSE)+SUM(_xlfn.XLOOKUP(R131:AF131,增益!$A:$A,增益!$G:$G,0))</f>
        <v>0.09</v>
      </c>
      <c r="AR131" s="27" cm="1">
        <f t="array" ref="AR131">VLOOKUP($Q131,武学奇术!$A:$ZZ,8,FALSE)+SUM(_xlfn.XLOOKUP(R131:AF131,增益!$A:$A,增益!$H:$H,0))</f>
        <v>0</v>
      </c>
      <c r="AS131">
        <f t="shared" si="24"/>
        <v>0</v>
      </c>
      <c r="AT131">
        <f t="shared" si="25"/>
        <v>0</v>
      </c>
      <c r="AU131" s="33" cm="1">
        <f t="array" ref="AU131">IF($F$11-$I$4+VLOOKUP($Q131,武学奇术!$A:$ZZ,9,FALSE)+SUM(_xlfn.XLOOKUP(R131:AF131,增益!$A:$A,增益!$I:$I,0))&gt;0,($F$11-$I$4+VLOOKUP($Q131,武学奇术!$A:$ZZ,9,FALSE)+SUM(_xlfn.XLOOKUP(R131:AF131,增益!$A:$A,增益!$I:$I,0)))/200,($F$11-$I$4+VLOOKUP($Q131,武学奇术!$A:$ZZ,9,FALSE)+SUM(_xlfn.XLOOKUP(R131:AF131,增益!$A:$A,增益!$I:$I,0)))/100)</f>
        <v>-0.14</v>
      </c>
      <c r="AV131" s="33" cm="1">
        <f t="array" ref="AV131">$G$11+VLOOKUP($Q131,武学奇术!$A:$ZZ,10,FALSE)+SUM(_xlfn.XLOOKUP(R131:AF131,增益!$A:$A,增益!$J:$J,0))</f>
        <v>0</v>
      </c>
      <c r="AW131">
        <f t="shared" si="26"/>
        <v>0</v>
      </c>
      <c r="AX131">
        <f t="shared" si="27"/>
        <v>0</v>
      </c>
      <c r="AY131" s="33" cm="1">
        <f t="array" ref="AY131">IF($F$12-$I$4+VLOOKUP($Q131,武学奇术!$A:$ZZ,11,FALSE)+SUM(_xlfn.XLOOKUP(R131:AF131,增益!$A:$A,增益!$K:$K,0))&gt;0,($F$12-$I$4+VLOOKUP($Q131,武学奇术!$A:$ZZ,11,FALSE)+SUM(_xlfn.XLOOKUP(R131:AF131,增益!$A:$A,增益!$K:$K,0)))/200,($F$12-$I$4+VLOOKUP($Q131,武学奇术!$A:$ZZ,11,FALSE)+SUM(_xlfn.XLOOKUP(R131:AF131,增益!$A:$A,增益!$K:$K,0)))/100)</f>
        <v>-0.14</v>
      </c>
      <c r="AZ131" s="33" cm="1">
        <f t="array" ref="AZ131">$G$12+VLOOKUP($Q131,武学奇术!$A:$ZZ,12,FALSE)+SUM(_xlfn.XLOOKUP(R131:AF131,增益!$A:$A,增益!$L:$L,0))</f>
        <v>0</v>
      </c>
      <c r="BA131">
        <f t="shared" si="28"/>
        <v>0</v>
      </c>
      <c r="BB131">
        <f t="shared" si="29"/>
        <v>0</v>
      </c>
      <c r="BC131" s="33" cm="1">
        <f t="array" ref="BC131">IF($F$13-$I$4+VLOOKUP($Q131,武学奇术!$A:$ZZ,13,FALSE)+SUM(_xlfn.XLOOKUP(R131:AF131,增益!$A:$A,增益!$M:$M,0))&gt;0,($F$13-$I$4+VLOOKUP($Q131,武学奇术!$A:$ZZ,13,FALSE)+SUM(_xlfn.XLOOKUP(R131:AF131,增益!$A:$A,增益!$K:$K,0)))/200,($F$13-$I$4+VLOOKUP($Q131,武学奇术!$A:$ZZ,13,FALSE)+SUM(_xlfn.XLOOKUP(R131:AF131,增益!$A:$A,增益!$M:$M,0)))/100)</f>
        <v>-0.14</v>
      </c>
      <c r="BD131" s="33" cm="1">
        <f t="array" ref="BD131">$G$13+VLOOKUP($Q131,武学奇术!$A:$ZZ,14,FALSE)+SUM(_xlfn.XLOOKUP(R131:AF131,增益!$A:$A,增益!$N:$N,0))</f>
        <v>0</v>
      </c>
      <c r="BE131">
        <f t="shared" si="30"/>
        <v>570.28</v>
      </c>
      <c r="BF131">
        <f t="shared" si="31"/>
        <v>1582.156</v>
      </c>
      <c r="BG131" s="33" cm="1">
        <f t="array" ref="BG131">IF($F$14-$I$4+VLOOKUP($Q131,武学奇术!$A:$ZZ,15,FALSE)+SUM(_xlfn.XLOOKUP(R131:AF131,增益!$A:$A,增益!$O:$O,0))&gt;0,($F$14-$I$4+VLOOKUP($Q131,武学奇术!$A:$ZZ,15,FALSE)+SUM(_xlfn.XLOOKUP(R131:AF131,增益!$A:$A,增益!$O:$O,0)))/200,($F$14-$I$4+VLOOKUP($Q131,武学奇术!$A:$ZZ,15,FALSE)+SUM(_xlfn.XLOOKUP(R131:AF131,增益!$A:$A,增益!$O:$O,0)))/100)</f>
        <v>0.08</v>
      </c>
      <c r="BH131" s="33" cm="1">
        <f t="array" ref="BH131">$G$14+VLOOKUP($Q131,武学奇术!$A:$ZZ,16,FALSE)+SUM(_xlfn.XLOOKUP(R131:AF131,增益!$A:$A,增益!$P:$P,0))</f>
        <v>0.24</v>
      </c>
      <c r="BI131" s="27">
        <f>MIN(IF(VLOOKUP($Q131,武学奇术!$A:$ZZ,23,FALSE)=1,100%,$B$8),100%)</f>
        <v>1</v>
      </c>
      <c r="BJ131" s="27" cm="1">
        <f t="array" ref="BJ131">IF(VLOOKUP($Q131,武学奇术!$A:$ZZ,23,FALSE)=1,100%,MIN(80%,$B$9+VLOOKUP($Q131,武学奇术!$A:$ZZ,17,FALSE)+SUM(_xlfn.XLOOKUP(R131:AF131,增益!$A:$A,增益!$Q:$Q,0)))+$B$11+SUM(_xlfn.XLOOKUP(R131:AF131,增益!$A:$A,增益!$U:$U,0)))*IF(VLOOKUP($Q131,武学奇术!$A:$ZZ,24,FALSE)=1,0,1)+MIN(IF(VLOOKUP($Q131,武学奇术!$A:$ZZ,32,FALSE)=1,IF(VLOOKUP($Q131,武学奇术!$A:$ZZ,24,FALSE)=1,100%,MIN(40%,$B$10+VLOOKUP($Q131,武学奇术!$A:$ZZ,19,FALSE)+SUM(_xlfn.XLOOKUP(R131:AF131,增益!$A:$A,增益!$S:$S,0)))+$B$12+SUM(_xlfn.XLOOKUP(R131:AF131,增益!$A:$A,增益!$V:$V,0))),0),12%)</f>
        <v>0.918</v>
      </c>
      <c r="BK131" s="27" cm="1">
        <f t="array" ref="BK131">1+$B$13+VLOOKUP($Q131,武学奇术!$A:$ZZ,18,FALSE)+SUM(_xlfn.XLOOKUP(R131:AF131,增益!$A:$A,增益!$R:$R,0))</f>
        <v>1.89</v>
      </c>
      <c r="BL131" s="27" cm="1">
        <f t="array" ref="BL131">MAX(IF(VLOOKUP($Q131,武学奇术!$A:$ZZ,24,FALSE)=1,100%,MIN(40%,$B$10+VLOOKUP($Q131,武学奇术!$A:$ZZ,19,FALSE)+SUM(_xlfn.XLOOKUP(R131:AF131,增益!$A:$A,增益!$S:$S,0)))+$B$12+SUM(_xlfn.XLOOKUP(R131:AF131,增益!$A:$A,增益!$V:$V,0)))*IF(VLOOKUP($Q131,武学奇术!$A:$ZZ,23,FALSE)=1,0,1)-IF(VLOOKUP($Q131,武学奇术!$A:$ZZ,32,FALSE)=1,12%,0),0)</f>
        <v>0.0895</v>
      </c>
      <c r="BM131" s="27" cm="1">
        <f t="array" ref="BM131">1+$B$14+VLOOKUP($Q131,武学奇术!$A:$ZZ,20,FALSE)+SUM(_xlfn.XLOOKUP(R131:AF131,增益!$A:$A,增益!$T:$T,0))</f>
        <v>1.35</v>
      </c>
      <c r="BN131" s="27">
        <f t="shared" si="32"/>
        <v>0.9105</v>
      </c>
      <c r="BO131" s="27">
        <f t="shared" si="33"/>
        <v>0</v>
      </c>
      <c r="BP131" s="27">
        <f>IF(VLOOKUP($Q131,武学奇术!$A:$ZZ,22,FALSE)=1,0,(1-$BI131))*(1-$BL131)</f>
        <v>0</v>
      </c>
      <c r="BQ131" s="27" cm="1">
        <f t="array" ref="BQ131">SUM(_xlfn.XLOOKUP(R131:AF131,增益!$A:$A,增益!$W:$W,0))+$I$5</f>
        <v>0.11</v>
      </c>
    </row>
    <row r="132" spans="11:69">
      <c r="K132" s="39">
        <f t="shared" si="23"/>
        <v>13115.5821455089</v>
      </c>
      <c r="L132" s="39">
        <f>((($AN132+($AO132-$AN132)*IF(VLOOKUP($Q132,武学奇术!$A:$ZZ,31,FALSE)=1,$F$18,0.5))*$AH132+$AI132)*(1+$AP132)*(1+$AQ132)+(($AS132+($AT132-$AS132)*IF(VLOOKUP($Q132,武学奇术!$A:$ZZ,31,FALSE)=1,$F$18,0.5))*IF($G$1="鸣金",$AJ132,$AH132)+IF($G$1="鸣金",$AK132*1.5,0))*(1+$AU132)*(1+$AV132)+(($AW132+($AX132-$AW132)*IF(VLOOKUP($Q132,武学奇术!$A:$ZZ,31,FALSE)=1,$F$18,0.5))*IF($G$1="裂石",$AJ132,$AH132)+IF($G$1="裂石",$AK132*1.5,0))*(1+$AY132)*(1+$AZ132)+(($BA132+($BB132-$BA132)*IF(VLOOKUP($Q132,武学奇术!$A:$ZZ,31,FALSE)=1,$F$18,0.5))*IF($G$1="牵丝",$AJ132,$AH132)+IF($G$1="牵丝",$AK132*1.5,0))*(1+$BC132)*(1+$BD132)+(($BE132+($BF132-$BE132)*IF(VLOOKUP($Q132,武学奇术!$A:$ZZ,31,FALSE)=1,$F$18,0.5))*IF($G$1="破竹",$AJ132,$AH132)+IF($G$1="破竹",$AK132*1.5,0))*(1+$BG132)*(1+$BH132))*(1+$AL132)*$BK132*$P132*(1+IF(VLOOKUP($Q132,武学奇术!$A:$ZZ,30,FALSE)="蓄力技",$B$21,0))*(1+$BQ132)</f>
        <v>13227.857642247</v>
      </c>
      <c r="M132" s="39">
        <f>(($AO132*$AH132+$AI132)*(1+$AP132)*(1+$AQ132)+($AT132*IF($G$1="鸣金",$AJ132,$AH132)+IF($G$1="鸣金",$AK132*1.5,0))*(1+$AU132)*(1+$AV132)+($AX132*IF($G$1="裂石",$AJ132,$AH132)+IF($G$1="裂石",$AK132*1.5,0))*(1+$AY132)*(1+$AZ132)+($BB132*IF($G$1="牵丝",$AJ132,$AH132)+IF($G$1="牵丝",$AK132*1.5,0))*(1+$BC132)*(1+$BD132)+($BF132*IF($G$1="破竹",$AJ132,$AH132)+IF($G$1="破竹",$AK132*1.5,0))*(1+$BG132)*(1+$BH132))*(1+$AL132)*$BM132*$P132*(1+IF(VLOOKUP($Q132,武学奇术!$A:$ZZ,30,FALSE)="蓄力技",$B$21,0))*(1+$BQ132)</f>
        <v>11973.3828183574</v>
      </c>
      <c r="N132" s="39">
        <f>((($AN132+($AO132-$AN132)*IF(VLOOKUP($Q132,武学奇术!$A:$ZZ,31,FALSE)=1,$F$18,0.5))*$AH132+$AI132)*(1+$AP132)*(1+$AQ132)+(($AS132+($AT132-$AS132)*IF(VLOOKUP($Q132,武学奇术!$A:$ZZ,31,FALSE)=1,$F$18,0.5))*IF($G$1="鸣金",$AJ132,$AH132)+IF($G$1="鸣金",$AK132*1.5,0))*(1+$AU132)*(1+$AV132)+(($AW132+($AX132-$AW132)*IF(VLOOKUP($Q132,武学奇术!$A:$ZZ,31,FALSE)=1,$F$18,0.5))*IF($G$1="裂石",$AJ132,$AH132)+IF($G$1="裂石",$AK132*1.5,0))*(1+$AY132)*(1+$AZ132)+(($BA132+($BB132-$BA132)*IF(VLOOKUP($Q132,武学奇术!$A:$ZZ,31,FALSE)=1,$F$18,0.5))*IF($G$1="牵丝",$AJ132,$AH132)+IF($G$1="牵丝",$AK132*1.5,0))*(1+$BC132)*(1+$BD132)+(($BE132+($BF132-$BE132)*IF(VLOOKUP($Q132,武学奇术!$A:$ZZ,31,FALSE)=1,$F$18,0.5))*IF($G$1="破竹",$AJ132,$AH132)+IF($G$1="破竹",$AK132*1.5,0))*(1+$BG132)*(1+$BH132))*(1+$AL132)*$P132*(1+IF(VLOOKUP($Q132,武学奇术!$A:$ZZ,30,FALSE)="蓄力技",$B$21,0))*(1+$BQ132)</f>
        <v>8065.76685502868</v>
      </c>
      <c r="O132" s="39">
        <f>((($AN132*$AH132+$AI132)*(1+$AP132)*(1+$AQ132)+($AS132*IF($G$1="鸣金",$AJ132,$AH132)+IF($G$1="鸣金",$AK132*1.5,0))*(1+$AU132)*(1+$AV132)+($AW132*IF($G$1="裂石",$AJ132,$AH132)+IF($G$1="裂石",$AK132*1.5,0))*(1+$AY132)*(1+$AZ132)+($BA132*IF($G$1="牵丝",$AJ132,$AH132)+IF($G$1="牵丝",$AK132*1.5,0))*(1+$BC132)*(1+$BD132)+($BE132*IF($G$1="破竹",$AJ132,$AH132)+IF($G$1="破竹",$AK132*1.5,0))*(1+$BG132)*(1+$BH132))*(1+$AL132))*$P132*(1+IF(VLOOKUP($Q132,武学奇术!$A:$ZZ,30,FALSE)="蓄力技",$B$21,0))*(1+$BQ132)</f>
        <v>7262.36125201484</v>
      </c>
      <c r="P132" s="40">
        <f t="shared" si="22"/>
        <v>1</v>
      </c>
      <c r="Q132" s="41" t="s">
        <v>190</v>
      </c>
      <c r="R132" s="41" t="s">
        <v>93</v>
      </c>
      <c r="S132" s="41" t="s">
        <v>72</v>
      </c>
      <c r="T132" s="41" t="s">
        <v>72</v>
      </c>
      <c r="U132" s="41" t="s">
        <v>72</v>
      </c>
      <c r="V132" s="41" t="s">
        <v>72</v>
      </c>
      <c r="W132" s="41" t="s">
        <v>72</v>
      </c>
      <c r="X132" s="41" t="s">
        <v>165</v>
      </c>
      <c r="Y132" s="41" t="s">
        <v>72</v>
      </c>
      <c r="Z132" s="41" t="s">
        <v>72</v>
      </c>
      <c r="AA132" s="41" t="s">
        <v>72</v>
      </c>
      <c r="AB132" s="41" t="s">
        <v>72</v>
      </c>
      <c r="AC132" s="41" t="s">
        <v>72</v>
      </c>
      <c r="AD132" s="41" t="s">
        <v>72</v>
      </c>
      <c r="AE132" s="41" t="s">
        <v>75</v>
      </c>
      <c r="AF132" s="41" t="s">
        <v>76</v>
      </c>
      <c r="AG132" t="str">
        <f>VLOOKUP($Q132,武学奇术!$A:$ZZ,25,FALSE)</f>
        <v>心法</v>
      </c>
      <c r="AH132" s="27">
        <f>VLOOKUP($Q132,武学奇术!$A:$ZZ,26,FALSE)</f>
        <v>1</v>
      </c>
      <c r="AI132" s="28">
        <f>VLOOKUP($Q132,武学奇术!$A:$ZZ,27,FALSE)*(1+IF(OR($AG132=$F$4,$AG132=$F$5),$B$22,0))</f>
        <v>0</v>
      </c>
      <c r="AJ132" s="27">
        <f>VLOOKUP($Q132,武学奇术!$A:$ZZ,28,FALSE)</f>
        <v>1</v>
      </c>
      <c r="AK132" s="28">
        <f>VLOOKUP($Q132,武学奇术!$A:$ZZ,29,FALSE)*(1+IF(OR($AG132=$F$4,$AG132=$F$5),$B$22,0))</f>
        <v>0</v>
      </c>
      <c r="AL132" s="27" cm="1">
        <f t="array" ref="AL132">$G$3+IFERROR(VLOOKUP($AG132,$F$4:$G$7,2,FALSE),0)+VLOOKUP($Q132,武学奇术!$A:$ZZ,2,FALSE)+SUM(_xlfn.XLOOKUP($R132:$AF132,增益!$A:$A,增益!$B:$B,0))</f>
        <v>0.1537</v>
      </c>
      <c r="AM132" s="27" cm="1">
        <f t="array" ref="AM132">VLOOKUP($Q132,武学奇术!$A:$ZZ,5,FALSE)+SUM(_xlfn.XLOOKUP($R132:$AF132,增益!$A:$A,增益!$E:$E,0))</f>
        <v>0</v>
      </c>
      <c r="AN132" cm="1">
        <f t="array" ref="AN132">$D$10*(1+$AM132)+VLOOKUP($Q132,武学奇术!$A:$ZZ,3,FALSE)+SUM(_xlfn.XLOOKUP($R132:$AF132,增益!$A:$A,增益!$C:$C,0))-$I$2</f>
        <v>3742.006</v>
      </c>
      <c r="AO132" cm="1">
        <f t="array" ref="AO132">$E$10*(1+$AM132)+VLOOKUP($Q132,武学奇术!$A:$ZZ,4,FALSE)+SUM(_xlfn.XLOOKUP($R132:$AF132,增益!$A:$A,增益!$D:$D,0))-$I$2</f>
        <v>3742.006</v>
      </c>
      <c r="AP132" s="33" cm="1">
        <f t="array" ref="AP132">IF($F$10-$I$3+VLOOKUP($Q132,武学奇术!$A:$ZZ,6,FALSE)+SUM(_xlfn.XLOOKUP(R132:AF132,增益!$A:$A,增益!$F:$F,0))&gt;0,($F$10-$I$3+VLOOKUP($Q132,武学奇术!$A:$ZZ,6,FALSE)+SUM(_xlfn.XLOOKUP(R132:AF132,增益!$A:$A,增益!$F:$F,0)))/200,($F$10-$I$3+VLOOKUP($Q132,武学奇术!$A:$ZZ,6,FALSE)+SUM(_xlfn.XLOOKUP(R132:AF132,增益!$A:$A,增益!$F:$F,0)))/100)</f>
        <v>0.217</v>
      </c>
      <c r="AQ132" s="33" cm="1">
        <f t="array" ref="AQ132">$G$10+VLOOKUP($Q132,武学奇术!$A:$ZZ,7,FALSE)+SUM(_xlfn.XLOOKUP(R132:AF132,增益!$A:$A,增益!$G:$G,0))</f>
        <v>0.09</v>
      </c>
      <c r="AR132" s="27" cm="1">
        <f t="array" ref="AR132">VLOOKUP($Q132,武学奇术!$A:$ZZ,8,FALSE)+SUM(_xlfn.XLOOKUP(R132:AF132,增益!$A:$A,增益!$H:$H,0))</f>
        <v>0</v>
      </c>
      <c r="AS132">
        <f t="shared" si="24"/>
        <v>0</v>
      </c>
      <c r="AT132">
        <f t="shared" si="25"/>
        <v>0</v>
      </c>
      <c r="AU132" s="33" cm="1">
        <f t="array" ref="AU132">IF($F$11-$I$4+VLOOKUP($Q132,武学奇术!$A:$ZZ,9,FALSE)+SUM(_xlfn.XLOOKUP(R132:AF132,增益!$A:$A,增益!$I:$I,0))&gt;0,($F$11-$I$4+VLOOKUP($Q132,武学奇术!$A:$ZZ,9,FALSE)+SUM(_xlfn.XLOOKUP(R132:AF132,增益!$A:$A,增益!$I:$I,0)))/200,($F$11-$I$4+VLOOKUP($Q132,武学奇术!$A:$ZZ,9,FALSE)+SUM(_xlfn.XLOOKUP(R132:AF132,增益!$A:$A,增益!$I:$I,0)))/100)</f>
        <v>-0.3</v>
      </c>
      <c r="AV132" s="33" cm="1">
        <f t="array" ref="AV132">$G$11+VLOOKUP($Q132,武学奇术!$A:$ZZ,10,FALSE)+SUM(_xlfn.XLOOKUP(R132:AF132,增益!$A:$A,增益!$J:$J,0))</f>
        <v>0</v>
      </c>
      <c r="AW132">
        <f t="shared" si="26"/>
        <v>0</v>
      </c>
      <c r="AX132">
        <f t="shared" si="27"/>
        <v>0</v>
      </c>
      <c r="AY132" s="33" cm="1">
        <f t="array" ref="AY132">IF($F$12-$I$4+VLOOKUP($Q132,武学奇术!$A:$ZZ,11,FALSE)+SUM(_xlfn.XLOOKUP(R132:AF132,增益!$A:$A,增益!$K:$K,0))&gt;0,($F$12-$I$4+VLOOKUP($Q132,武学奇术!$A:$ZZ,11,FALSE)+SUM(_xlfn.XLOOKUP(R132:AF132,增益!$A:$A,增益!$K:$K,0)))/200,($F$12-$I$4+VLOOKUP($Q132,武学奇术!$A:$ZZ,11,FALSE)+SUM(_xlfn.XLOOKUP(R132:AF132,增益!$A:$A,增益!$K:$K,0)))/100)</f>
        <v>-0.3</v>
      </c>
      <c r="AZ132" s="33" cm="1">
        <f t="array" ref="AZ132">$G$12+VLOOKUP($Q132,武学奇术!$A:$ZZ,12,FALSE)+SUM(_xlfn.XLOOKUP(R132:AF132,增益!$A:$A,增益!$L:$L,0))</f>
        <v>0</v>
      </c>
      <c r="BA132">
        <f t="shared" si="28"/>
        <v>0</v>
      </c>
      <c r="BB132">
        <f t="shared" si="29"/>
        <v>0</v>
      </c>
      <c r="BC132" s="33" cm="1">
        <f t="array" ref="BC132">IF($F$13-$I$4+VLOOKUP($Q132,武学奇术!$A:$ZZ,13,FALSE)+SUM(_xlfn.XLOOKUP(R132:AF132,增益!$A:$A,增益!$M:$M,0))&gt;0,($F$13-$I$4+VLOOKUP($Q132,武学奇术!$A:$ZZ,13,FALSE)+SUM(_xlfn.XLOOKUP(R132:AF132,增益!$A:$A,增益!$K:$K,0)))/200,($F$13-$I$4+VLOOKUP($Q132,武学奇术!$A:$ZZ,13,FALSE)+SUM(_xlfn.XLOOKUP(R132:AF132,增益!$A:$A,增益!$M:$M,0)))/100)</f>
        <v>-0.3</v>
      </c>
      <c r="BD132" s="33" cm="1">
        <f t="array" ref="BD132">$G$13+VLOOKUP($Q132,武学奇术!$A:$ZZ,14,FALSE)+SUM(_xlfn.XLOOKUP(R132:AF132,增益!$A:$A,增益!$N:$N,0))</f>
        <v>0</v>
      </c>
      <c r="BE132">
        <f t="shared" si="30"/>
        <v>570.28</v>
      </c>
      <c r="BF132">
        <f t="shared" si="31"/>
        <v>1582.156</v>
      </c>
      <c r="BG132" s="33" cm="1">
        <f t="array" ref="BG132">IF($F$14-$I$4+VLOOKUP($Q132,武学奇术!$A:$ZZ,15,FALSE)+SUM(_xlfn.XLOOKUP(R132:AF132,增益!$A:$A,增益!$O:$O,0))&gt;0,($F$14-$I$4+VLOOKUP($Q132,武学奇术!$A:$ZZ,15,FALSE)+SUM(_xlfn.XLOOKUP(R132:AF132,增益!$A:$A,增益!$O:$O,0)))/200,($F$14-$I$4+VLOOKUP($Q132,武学奇术!$A:$ZZ,15,FALSE)+SUM(_xlfn.XLOOKUP(R132:AF132,增益!$A:$A,增益!$O:$O,0)))/100)</f>
        <v>0</v>
      </c>
      <c r="BH132" s="33" cm="1">
        <f t="array" ref="BH132">$G$14+VLOOKUP($Q132,武学奇术!$A:$ZZ,16,FALSE)+SUM(_xlfn.XLOOKUP(R132:AF132,增益!$A:$A,增益!$P:$P,0))</f>
        <v>0.24</v>
      </c>
      <c r="BI132" s="27">
        <f>MIN(IF(VLOOKUP($Q132,武学奇术!$A:$ZZ,23,FALSE)=1,100%,$B$8),100%)</f>
        <v>1</v>
      </c>
      <c r="BJ132" s="27" cm="1">
        <f t="array" ref="BJ132">IF(VLOOKUP($Q132,武学奇术!$A:$ZZ,23,FALSE)=1,100%,MIN(80%,$B$9+VLOOKUP($Q132,武学奇术!$A:$ZZ,17,FALSE)+SUM(_xlfn.XLOOKUP(R132:AF132,增益!$A:$A,增益!$Q:$Q,0)))+$B$11+SUM(_xlfn.XLOOKUP(R132:AF132,增益!$A:$A,增益!$U:$U,0)))*IF(VLOOKUP($Q132,武学奇术!$A:$ZZ,24,FALSE)=1,0,1)+MIN(IF(VLOOKUP($Q132,武学奇术!$A:$ZZ,32,FALSE)=1,IF(VLOOKUP($Q132,武学奇术!$A:$ZZ,24,FALSE)=1,100%,MIN(40%,$B$10+VLOOKUP($Q132,武学奇术!$A:$ZZ,19,FALSE)+SUM(_xlfn.XLOOKUP(R132:AF132,增益!$A:$A,增益!$S:$S,0)))+$B$12+SUM(_xlfn.XLOOKUP(R132:AF132,增益!$A:$A,增益!$V:$V,0))),0),12%)</f>
        <v>0.918</v>
      </c>
      <c r="BK132" s="27" cm="1">
        <f t="array" ref="BK132">1+$B$13+VLOOKUP($Q132,武学奇术!$A:$ZZ,18,FALSE)+SUM(_xlfn.XLOOKUP(R132:AF132,增益!$A:$A,增益!$R:$R,0))</f>
        <v>1.64</v>
      </c>
      <c r="BL132" s="27" cm="1">
        <f t="array" ref="BL132">MAX(IF(VLOOKUP($Q132,武学奇术!$A:$ZZ,24,FALSE)=1,100%,MIN(40%,$B$10+VLOOKUP($Q132,武学奇术!$A:$ZZ,19,FALSE)+SUM(_xlfn.XLOOKUP(R132:AF132,增益!$A:$A,增益!$S:$S,0)))+$B$12+SUM(_xlfn.XLOOKUP(R132:AF132,增益!$A:$A,增益!$V:$V,0)))*IF(VLOOKUP($Q132,武学奇术!$A:$ZZ,23,FALSE)=1,0,1)-IF(VLOOKUP($Q132,武学奇术!$A:$ZZ,32,FALSE)=1,12%,0),0)</f>
        <v>0.0895</v>
      </c>
      <c r="BM132" s="27" cm="1">
        <f t="array" ref="BM132">1+$B$14+VLOOKUP($Q132,武学奇术!$A:$ZZ,20,FALSE)+SUM(_xlfn.XLOOKUP(R132:AF132,增益!$A:$A,增益!$T:$T,0))</f>
        <v>1.35</v>
      </c>
      <c r="BN132" s="27">
        <f t="shared" si="32"/>
        <v>0.9105</v>
      </c>
      <c r="BO132" s="27">
        <f t="shared" si="33"/>
        <v>0</v>
      </c>
      <c r="BP132" s="27">
        <f>IF(VLOOKUP($Q132,武学奇术!$A:$ZZ,22,FALSE)=1,0,(1-$BI132))*(1-$BL132)</f>
        <v>0</v>
      </c>
      <c r="BQ132" s="27" cm="1">
        <f t="array" ref="BQ132">SUM(_xlfn.XLOOKUP(R132:AF132,增益!$A:$A,增益!$W:$W,0))+$I$5</f>
        <v>0.11</v>
      </c>
    </row>
    <row r="133" spans="11:69">
      <c r="K133" s="39">
        <f t="shared" si="23"/>
        <v>18254.2938234474</v>
      </c>
      <c r="L133" s="39">
        <f>((($AN133+($AO133-$AN133)*IF(VLOOKUP($Q133,武学奇术!$A:$ZZ,31,FALSE)=1,$F$18,0.5))*$AH133+$AI133)*(1+$AP133)*(1+$AQ133)+(($AS133+($AT133-$AS133)*IF(VLOOKUP($Q133,武学奇术!$A:$ZZ,31,FALSE)=1,$F$18,0.5))*IF($G$1="鸣金",$AJ133,$AH133)+IF($G$1="鸣金",$AK133*1.5,0))*(1+$AU133)*(1+$AV133)+(($AW133+($AX133-$AW133)*IF(VLOOKUP($Q133,武学奇术!$A:$ZZ,31,FALSE)=1,$F$18,0.5))*IF($G$1="裂石",$AJ133,$AH133)+IF($G$1="裂石",$AK133*1.5,0))*(1+$AY133)*(1+$AZ133)+(($BA133+($BB133-$BA133)*IF(VLOOKUP($Q133,武学奇术!$A:$ZZ,31,FALSE)=1,$F$18,0.5))*IF($G$1="牵丝",$AJ133,$AH133)+IF($G$1="牵丝",$AK133*1.5,0))*(1+$BC133)*(1+$BD133)+(($BE133+($BF133-$BE133)*IF(VLOOKUP($Q133,武学奇术!$A:$ZZ,31,FALSE)=1,$F$18,0.5))*IF($G$1="破竹",$AJ133,$AH133)+IF($G$1="破竹",$AK133*1.5,0))*(1+$BG133)*(1+$BH133))*(1+$AL133)*$BK133*$P133*(1+IF(VLOOKUP($Q133,武学奇术!$A:$ZZ,30,FALSE)="蓄力技",$B$21,0))*(1+$BQ133)</f>
        <v>18620.7609076548</v>
      </c>
      <c r="M133" s="39">
        <f>(($AO133*$AH133+$AI133)*(1+$AP133)*(1+$AQ133)+($AT133*IF($G$1="鸣金",$AJ133,$AH133)+IF($G$1="鸣金",$AK133*1.5,0))*(1+$AU133)*(1+$AV133)+($AX133*IF($G$1="裂石",$AJ133,$AH133)+IF($G$1="裂石",$AK133*1.5,0))*(1+$AY133)*(1+$AZ133)+($BB133*IF($G$1="牵丝",$AJ133,$AH133)+IF($G$1="牵丝",$AK133*1.5,0))*(1+$BC133)*(1+$BD133)+($BF133*IF($G$1="破竹",$AJ133,$AH133)+IF($G$1="破竹",$AK133*1.5,0))*(1+$BG133)*(1+$BH133))*(1+$AL133)*$BM133*$P133*(1+IF(VLOOKUP($Q133,武学奇术!$A:$ZZ,30,FALSE)="蓄力技",$B$21,0))*(1+$BQ133)</f>
        <v>14526.1566148344</v>
      </c>
      <c r="N133" s="39">
        <f>((($AN133+($AO133-$AN133)*IF(VLOOKUP($Q133,武学奇术!$A:$ZZ,31,FALSE)=1,$F$18,0.5))*$AH133+$AI133)*(1+$AP133)*(1+$AQ133)+(($AS133+($AT133-$AS133)*IF(VLOOKUP($Q133,武学奇术!$A:$ZZ,31,FALSE)=1,$F$18,0.5))*IF($G$1="鸣金",$AJ133,$AH133)+IF($G$1="鸣金",$AK133*1.5,0))*(1+$AU133)*(1+$AV133)+(($AW133+($AX133-$AW133)*IF(VLOOKUP($Q133,武学奇术!$A:$ZZ,31,FALSE)=1,$F$18,0.5))*IF($G$1="裂石",$AJ133,$AH133)+IF($G$1="裂石",$AK133*1.5,0))*(1+$AY133)*(1+$AZ133)+(($BA133+($BB133-$BA133)*IF(VLOOKUP($Q133,武学奇术!$A:$ZZ,31,FALSE)=1,$F$18,0.5))*IF($G$1="牵丝",$AJ133,$AH133)+IF($G$1="牵丝",$AK133*1.5,0))*(1+$BC133)*(1+$BD133)+(($BE133+($BF133-$BE133)*IF(VLOOKUP($Q133,武学奇术!$A:$ZZ,31,FALSE)=1,$F$18,0.5))*IF($G$1="破竹",$AJ133,$AH133)+IF($G$1="破竹",$AK133*1.5,0))*(1+$BG133)*(1+$BH133))*(1+$AL133)*$P133*(1+IF(VLOOKUP($Q133,武学奇术!$A:$ZZ,30,FALSE)="蓄力技",$B$21,0))*(1+$BQ133)</f>
        <v>9852.25444849463</v>
      </c>
      <c r="O133" s="39">
        <f>((($AN133*$AH133+$AI133)*(1+$AP133)*(1+$AQ133)+($AS133*IF($G$1="鸣金",$AJ133,$AH133)+IF($G$1="鸣金",$AK133*1.5,0))*(1+$AU133)*(1+$AV133)+($AW133*IF($G$1="裂石",$AJ133,$AH133)+IF($G$1="裂石",$AK133*1.5,0))*(1+$AY133)*(1+$AZ133)+($BA133*IF($G$1="牵丝",$AJ133,$AH133)+IF($G$1="牵丝",$AK133*1.5,0))*(1+$BC133)*(1+$BD133)+($BE133*IF($G$1="破竹",$AJ133,$AH133)+IF($G$1="破竹",$AK133*1.5,0))*(1+$BG133)*(1+$BH133))*(1+$AL133))*$P133*(1+IF(VLOOKUP($Q133,武学奇术!$A:$ZZ,30,FALSE)="蓄力技",$B$21,0))*(1+$BQ133)</f>
        <v>8944.39288600079</v>
      </c>
      <c r="P133" s="40">
        <f t="shared" si="22"/>
        <v>1</v>
      </c>
      <c r="Q133" s="41" t="s">
        <v>190</v>
      </c>
      <c r="R133" s="41" t="s">
        <v>93</v>
      </c>
      <c r="S133" s="41" t="s">
        <v>118</v>
      </c>
      <c r="T133" s="41" t="s">
        <v>119</v>
      </c>
      <c r="U133" s="41" t="s">
        <v>72</v>
      </c>
      <c r="V133" s="41" t="s">
        <v>72</v>
      </c>
      <c r="W133" s="41" t="s">
        <v>72</v>
      </c>
      <c r="X133" s="41" t="s">
        <v>165</v>
      </c>
      <c r="Y133" s="41" t="s">
        <v>72</v>
      </c>
      <c r="Z133" s="41" t="s">
        <v>72</v>
      </c>
      <c r="AA133" s="41" t="s">
        <v>72</v>
      </c>
      <c r="AB133" s="41" t="s">
        <v>72</v>
      </c>
      <c r="AC133" s="41" t="s">
        <v>72</v>
      </c>
      <c r="AD133" s="41" t="s">
        <v>72</v>
      </c>
      <c r="AE133" s="41" t="s">
        <v>75</v>
      </c>
      <c r="AF133" s="41" t="s">
        <v>76</v>
      </c>
      <c r="AG133" t="str">
        <f>VLOOKUP($Q133,武学奇术!$A:$ZZ,25,FALSE)</f>
        <v>心法</v>
      </c>
      <c r="AH133" s="27">
        <f>VLOOKUP($Q133,武学奇术!$A:$ZZ,26,FALSE)</f>
        <v>1</v>
      </c>
      <c r="AI133" s="28">
        <f>VLOOKUP($Q133,武学奇术!$A:$ZZ,27,FALSE)*(1+IF(OR($AG133=$F$4,$AG133=$F$5),$B$22,0))</f>
        <v>0</v>
      </c>
      <c r="AJ133" s="27">
        <f>VLOOKUP($Q133,武学奇术!$A:$ZZ,28,FALSE)</f>
        <v>1</v>
      </c>
      <c r="AK133" s="28">
        <f>VLOOKUP($Q133,武学奇术!$A:$ZZ,29,FALSE)*(1+IF(OR($AG133=$F$4,$AG133=$F$5),$B$22,0))</f>
        <v>0</v>
      </c>
      <c r="AL133" s="27" cm="1">
        <f t="array" ref="AL133">$G$3+IFERROR(VLOOKUP($AG133,$F$4:$G$7,2,FALSE),0)+VLOOKUP($Q133,武学奇术!$A:$ZZ,2,FALSE)+SUM(_xlfn.XLOOKUP($R133:$AF133,增益!$A:$A,增益!$B:$B,0))</f>
        <v>0.3037</v>
      </c>
      <c r="AM133" s="27" cm="1">
        <f t="array" ref="AM133">VLOOKUP($Q133,武学奇术!$A:$ZZ,5,FALSE)+SUM(_xlfn.XLOOKUP($R133:$AF133,增益!$A:$A,增益!$E:$E,0))</f>
        <v>0</v>
      </c>
      <c r="AN133" cm="1">
        <f t="array" ref="AN133">$D$10*(1+$AM133)+VLOOKUP($Q133,武学奇术!$A:$ZZ,3,FALSE)+SUM(_xlfn.XLOOKUP($R133:$AF133,增益!$A:$A,增益!$C:$C,0))-$I$2</f>
        <v>3742.006</v>
      </c>
      <c r="AO133" cm="1">
        <f t="array" ref="AO133">$E$10*(1+$AM133)+VLOOKUP($Q133,武学奇术!$A:$ZZ,4,FALSE)+SUM(_xlfn.XLOOKUP($R133:$AF133,增益!$A:$A,增益!$D:$D,0))-$I$2</f>
        <v>3742.006</v>
      </c>
      <c r="AP133" s="33" cm="1">
        <f t="array" ref="AP133">IF($F$10-$I$3+VLOOKUP($Q133,武学奇术!$A:$ZZ,6,FALSE)+SUM(_xlfn.XLOOKUP(R133:AF133,增益!$A:$A,增益!$F:$F,0))&gt;0,($F$10-$I$3+VLOOKUP($Q133,武学奇术!$A:$ZZ,6,FALSE)+SUM(_xlfn.XLOOKUP(R133:AF133,增益!$A:$A,增益!$F:$F,0)))/200,($F$10-$I$3+VLOOKUP($Q133,武学奇术!$A:$ZZ,6,FALSE)+SUM(_xlfn.XLOOKUP(R133:AF133,增益!$A:$A,增益!$F:$F,0)))/100)</f>
        <v>0.342</v>
      </c>
      <c r="AQ133" s="33" cm="1">
        <f t="array" ref="AQ133">$G$10+VLOOKUP($Q133,武学奇术!$A:$ZZ,7,FALSE)+SUM(_xlfn.XLOOKUP(R133:AF133,增益!$A:$A,增益!$G:$G,0))</f>
        <v>0.09</v>
      </c>
      <c r="AR133" s="27" cm="1">
        <f t="array" ref="AR133">VLOOKUP($Q133,武学奇术!$A:$ZZ,8,FALSE)+SUM(_xlfn.XLOOKUP(R133:AF133,增益!$A:$A,增益!$H:$H,0))</f>
        <v>0</v>
      </c>
      <c r="AS133">
        <f t="shared" si="24"/>
        <v>0</v>
      </c>
      <c r="AT133">
        <f t="shared" si="25"/>
        <v>0</v>
      </c>
      <c r="AU133" s="33" cm="1">
        <f t="array" ref="AU133">IF($F$11-$I$4+VLOOKUP($Q133,武学奇术!$A:$ZZ,9,FALSE)+SUM(_xlfn.XLOOKUP(R133:AF133,增益!$A:$A,增益!$I:$I,0))&gt;0,($F$11-$I$4+VLOOKUP($Q133,武学奇术!$A:$ZZ,9,FALSE)+SUM(_xlfn.XLOOKUP(R133:AF133,增益!$A:$A,增益!$I:$I,0)))/200,($F$11-$I$4+VLOOKUP($Q133,武学奇术!$A:$ZZ,9,FALSE)+SUM(_xlfn.XLOOKUP(R133:AF133,增益!$A:$A,增益!$I:$I,0)))/100)</f>
        <v>-0.3</v>
      </c>
      <c r="AV133" s="33" cm="1">
        <f t="array" ref="AV133">$G$11+VLOOKUP($Q133,武学奇术!$A:$ZZ,10,FALSE)+SUM(_xlfn.XLOOKUP(R133:AF133,增益!$A:$A,增益!$J:$J,0))</f>
        <v>0</v>
      </c>
      <c r="AW133">
        <f t="shared" si="26"/>
        <v>0</v>
      </c>
      <c r="AX133">
        <f t="shared" si="27"/>
        <v>0</v>
      </c>
      <c r="AY133" s="33" cm="1">
        <f t="array" ref="AY133">IF($F$12-$I$4+VLOOKUP($Q133,武学奇术!$A:$ZZ,11,FALSE)+SUM(_xlfn.XLOOKUP(R133:AF133,增益!$A:$A,增益!$K:$K,0))&gt;0,($F$12-$I$4+VLOOKUP($Q133,武学奇术!$A:$ZZ,11,FALSE)+SUM(_xlfn.XLOOKUP(R133:AF133,增益!$A:$A,增益!$K:$K,0)))/200,($F$12-$I$4+VLOOKUP($Q133,武学奇术!$A:$ZZ,11,FALSE)+SUM(_xlfn.XLOOKUP(R133:AF133,增益!$A:$A,增益!$K:$K,0)))/100)</f>
        <v>-0.3</v>
      </c>
      <c r="AZ133" s="33" cm="1">
        <f t="array" ref="AZ133">$G$12+VLOOKUP($Q133,武学奇术!$A:$ZZ,12,FALSE)+SUM(_xlfn.XLOOKUP(R133:AF133,增益!$A:$A,增益!$L:$L,0))</f>
        <v>0</v>
      </c>
      <c r="BA133">
        <f t="shared" si="28"/>
        <v>0</v>
      </c>
      <c r="BB133">
        <f t="shared" si="29"/>
        <v>0</v>
      </c>
      <c r="BC133" s="33" cm="1">
        <f t="array" ref="BC133">IF($F$13-$I$4+VLOOKUP($Q133,武学奇术!$A:$ZZ,13,FALSE)+SUM(_xlfn.XLOOKUP(R133:AF133,增益!$A:$A,增益!$M:$M,0))&gt;0,($F$13-$I$4+VLOOKUP($Q133,武学奇术!$A:$ZZ,13,FALSE)+SUM(_xlfn.XLOOKUP(R133:AF133,增益!$A:$A,增益!$K:$K,0)))/200,($F$13-$I$4+VLOOKUP($Q133,武学奇术!$A:$ZZ,13,FALSE)+SUM(_xlfn.XLOOKUP(R133:AF133,增益!$A:$A,增益!$M:$M,0)))/100)</f>
        <v>-0.3</v>
      </c>
      <c r="BD133" s="33" cm="1">
        <f t="array" ref="BD133">$G$13+VLOOKUP($Q133,武学奇术!$A:$ZZ,14,FALSE)+SUM(_xlfn.XLOOKUP(R133:AF133,增益!$A:$A,增益!$N:$N,0))</f>
        <v>0</v>
      </c>
      <c r="BE133">
        <f t="shared" si="30"/>
        <v>570.28</v>
      </c>
      <c r="BF133">
        <f t="shared" si="31"/>
        <v>1582.156</v>
      </c>
      <c r="BG133" s="33" cm="1">
        <f t="array" ref="BG133">IF($F$14-$I$4+VLOOKUP($Q133,武学奇术!$A:$ZZ,15,FALSE)+SUM(_xlfn.XLOOKUP(R133:AF133,增益!$A:$A,增益!$O:$O,0))&gt;0,($F$14-$I$4+VLOOKUP($Q133,武学奇术!$A:$ZZ,15,FALSE)+SUM(_xlfn.XLOOKUP(R133:AF133,增益!$A:$A,增益!$O:$O,0)))/200,($F$14-$I$4+VLOOKUP($Q133,武学奇术!$A:$ZZ,15,FALSE)+SUM(_xlfn.XLOOKUP(R133:AF133,增益!$A:$A,增益!$O:$O,0)))/100)</f>
        <v>0</v>
      </c>
      <c r="BH133" s="33" cm="1">
        <f t="array" ref="BH133">$G$14+VLOOKUP($Q133,武学奇术!$A:$ZZ,16,FALSE)+SUM(_xlfn.XLOOKUP(R133:AF133,增益!$A:$A,增益!$P:$P,0))</f>
        <v>0.24</v>
      </c>
      <c r="BI133" s="27">
        <f>MIN(IF(VLOOKUP($Q133,武学奇术!$A:$ZZ,23,FALSE)=1,100%,$B$8),100%)</f>
        <v>1</v>
      </c>
      <c r="BJ133" s="27" cm="1">
        <f t="array" ref="BJ133">IF(VLOOKUP($Q133,武学奇术!$A:$ZZ,23,FALSE)=1,100%,MIN(80%,$B$9+VLOOKUP($Q133,武学奇术!$A:$ZZ,17,FALSE)+SUM(_xlfn.XLOOKUP(R133:AF133,增益!$A:$A,增益!$Q:$Q,0)))+$B$11+SUM(_xlfn.XLOOKUP(R133:AF133,增益!$A:$A,增益!$U:$U,0)))*IF(VLOOKUP($Q133,武学奇术!$A:$ZZ,24,FALSE)=1,0,1)+MIN(IF(VLOOKUP($Q133,武学奇术!$A:$ZZ,32,FALSE)=1,IF(VLOOKUP($Q133,武学奇术!$A:$ZZ,24,FALSE)=1,100%,MIN(40%,$B$10+VLOOKUP($Q133,武学奇术!$A:$ZZ,19,FALSE)+SUM(_xlfn.XLOOKUP(R133:AF133,增益!$A:$A,增益!$S:$S,0)))+$B$12+SUM(_xlfn.XLOOKUP(R133:AF133,增益!$A:$A,增益!$V:$V,0))),0),12%)</f>
        <v>0.918</v>
      </c>
      <c r="BK133" s="27" cm="1">
        <f t="array" ref="BK133">1+$B$13+VLOOKUP($Q133,武学奇术!$A:$ZZ,18,FALSE)+SUM(_xlfn.XLOOKUP(R133:AF133,增益!$A:$A,增益!$R:$R,0))</f>
        <v>1.89</v>
      </c>
      <c r="BL133" s="27" cm="1">
        <f t="array" ref="BL133">MAX(IF(VLOOKUP($Q133,武学奇术!$A:$ZZ,24,FALSE)=1,100%,MIN(40%,$B$10+VLOOKUP($Q133,武学奇术!$A:$ZZ,19,FALSE)+SUM(_xlfn.XLOOKUP(R133:AF133,增益!$A:$A,增益!$S:$S,0)))+$B$12+SUM(_xlfn.XLOOKUP(R133:AF133,增益!$A:$A,增益!$V:$V,0)))*IF(VLOOKUP($Q133,武学奇术!$A:$ZZ,23,FALSE)=1,0,1)-IF(VLOOKUP($Q133,武学奇术!$A:$ZZ,32,FALSE)=1,12%,0),0)</f>
        <v>0.0895</v>
      </c>
      <c r="BM133" s="27" cm="1">
        <f t="array" ref="BM133">1+$B$14+VLOOKUP($Q133,武学奇术!$A:$ZZ,20,FALSE)+SUM(_xlfn.XLOOKUP(R133:AF133,增益!$A:$A,增益!$T:$T,0))</f>
        <v>1.35</v>
      </c>
      <c r="BN133" s="27">
        <f t="shared" si="32"/>
        <v>0.9105</v>
      </c>
      <c r="BO133" s="27">
        <f t="shared" si="33"/>
        <v>0</v>
      </c>
      <c r="BP133" s="27">
        <f>IF(VLOOKUP($Q133,武学奇术!$A:$ZZ,22,FALSE)=1,0,(1-$BI133))*(1-$BL133)</f>
        <v>0</v>
      </c>
      <c r="BQ133" s="27" cm="1">
        <f t="array" ref="BQ133">SUM(_xlfn.XLOOKUP(R133:AF133,增益!$A:$A,增益!$W:$W,0))+$I$5</f>
        <v>0.11</v>
      </c>
    </row>
    <row r="134" spans="11:69">
      <c r="K134" s="39">
        <f t="shared" si="23"/>
        <v>13344.0179345982</v>
      </c>
      <c r="L134" s="39">
        <f>((($AN134+($AO134-$AN134)*IF(VLOOKUP($Q134,武学奇术!$A:$ZZ,31,FALSE)=1,$F$18,0.5))*$AH134+$AI134)*(1+$AP134)*(1+$AQ134)+(($AS134+($AT134-$AS134)*IF(VLOOKUP($Q134,武学奇术!$A:$ZZ,31,FALSE)=1,$F$18,0.5))*IF($G$1="鸣金",$AJ134,$AH134)+IF($G$1="鸣金",$AK134*1.5,0))*(1+$AU134)*(1+$AV134)+(($AW134+($AX134-$AW134)*IF(VLOOKUP($Q134,武学奇术!$A:$ZZ,31,FALSE)=1,$F$18,0.5))*IF($G$1="裂石",$AJ134,$AH134)+IF($G$1="裂石",$AK134*1.5,0))*(1+$AY134)*(1+$AZ134)+(($BA134+($BB134-$BA134)*IF(VLOOKUP($Q134,武学奇术!$A:$ZZ,31,FALSE)=1,$F$18,0.5))*IF($G$1="牵丝",$AJ134,$AH134)+IF($G$1="牵丝",$AK134*1.5,0))*(1+$BC134)*(1+$BD134)+(($BE134+($BF134-$BE134)*IF(VLOOKUP($Q134,武学奇术!$A:$ZZ,31,FALSE)=1,$F$18,0.5))*IF($G$1="破竹",$AJ134,$AH134)+IF($G$1="破竹",$AK134*1.5,0))*(1+$BG134)*(1+$BH134))*(1+$AL134)*$BK134*$P134*(1+IF(VLOOKUP($Q134,武学奇术!$A:$ZZ,30,FALSE)="蓄力技",$B$21,0))*(1+$BQ134)</f>
        <v>13452.0762456132</v>
      </c>
      <c r="M134" s="39">
        <f>(($AO134*$AH134+$AI134)*(1+$AP134)*(1+$AQ134)+($AT134*IF($G$1="鸣金",$AJ134,$AH134)+IF($G$1="鸣金",$AK134*1.5,0))*(1+$AU134)*(1+$AV134)+($AX134*IF($G$1="裂石",$AJ134,$AH134)+IF($G$1="裂石",$AK134*1.5,0))*(1+$AY134)*(1+$AZ134)+($BB134*IF($G$1="牵丝",$AJ134,$AH134)+IF($G$1="牵丝",$AK134*1.5,0))*(1+$BC134)*(1+$BD134)+($BF134*IF($G$1="破竹",$AJ134,$AH134)+IF($G$1="破竹",$AK134*1.5,0))*(1+$BG134)*(1+$BH134))*(1+$AL134)*$BM134*$P134*(1+IF(VLOOKUP($Q134,武学奇术!$A:$ZZ,30,FALSE)="蓄力技",$B$21,0))*(1+$BQ134)</f>
        <v>12244.7208152782</v>
      </c>
      <c r="N134" s="39">
        <f>((($AN134+($AO134-$AN134)*IF(VLOOKUP($Q134,武学奇术!$A:$ZZ,31,FALSE)=1,$F$18,0.5))*$AH134+$AI134)*(1+$AP134)*(1+$AQ134)+(($AS134+($AT134-$AS134)*IF(VLOOKUP($Q134,武学奇术!$A:$ZZ,31,FALSE)=1,$F$18,0.5))*IF($G$1="鸣金",$AJ134,$AH134)+IF($G$1="鸣金",$AK134*1.5,0))*(1+$AU134)*(1+$AV134)+(($AW134+($AX134-$AW134)*IF(VLOOKUP($Q134,武学奇术!$A:$ZZ,31,FALSE)=1,$F$18,0.5))*IF($G$1="裂石",$AJ134,$AH134)+IF($G$1="裂石",$AK134*1.5,0))*(1+$AY134)*(1+$AZ134)+(($BA134+($BB134-$BA134)*IF(VLOOKUP($Q134,武学奇术!$A:$ZZ,31,FALSE)=1,$F$18,0.5))*IF($G$1="牵丝",$AJ134,$AH134)+IF($G$1="牵丝",$AK134*1.5,0))*(1+$BC134)*(1+$BD134)+(($BE134+($BF134-$BE134)*IF(VLOOKUP($Q134,武学奇术!$A:$ZZ,31,FALSE)=1,$F$18,0.5))*IF($G$1="破竹",$AJ134,$AH134)+IF($G$1="破竹",$AK134*1.5,0))*(1+$BG134)*(1+$BH134))*(1+$AL134)*$P134*(1+IF(VLOOKUP($Q134,武学奇术!$A:$ZZ,30,FALSE)="蓄力技",$B$21,0))*(1+$BQ134)</f>
        <v>8202.48551561782</v>
      </c>
      <c r="O134" s="39">
        <f>((($AN134*$AH134+$AI134)*(1+$AP134)*(1+$AQ134)+($AS134*IF($G$1="鸣金",$AJ134,$AH134)+IF($G$1="鸣金",$AK134*1.5,0))*(1+$AU134)*(1+$AV134)+($AW134*IF($G$1="裂石",$AJ134,$AH134)+IF($G$1="裂石",$AK134*1.5,0))*(1+$AY134)*(1+$AZ134)+($BA134*IF($G$1="牵丝",$AJ134,$AH134)+IF($G$1="牵丝",$AK134*1.5,0))*(1+$BC134)*(1+$BD134)+($BE134*IF($G$1="破竹",$AJ134,$AH134)+IF($G$1="破竹",$AK134*1.5,0))*(1+$BG134)*(1+$BH134))*(1+$AL134))*$P134*(1+IF(VLOOKUP($Q134,武学奇术!$A:$ZZ,30,FALSE)="蓄力技",$B$21,0))*(1+$BQ134)</f>
        <v>7334.80746436288</v>
      </c>
      <c r="P134" s="40">
        <f t="shared" si="22"/>
        <v>1</v>
      </c>
      <c r="Q134" s="41" t="s">
        <v>190</v>
      </c>
      <c r="R134" s="41" t="s">
        <v>93</v>
      </c>
      <c r="S134" s="41" t="s">
        <v>72</v>
      </c>
      <c r="T134" s="41" t="s">
        <v>72</v>
      </c>
      <c r="U134" s="41" t="s">
        <v>72</v>
      </c>
      <c r="V134" s="41" t="s">
        <v>72</v>
      </c>
      <c r="W134" s="41" t="s">
        <v>72</v>
      </c>
      <c r="X134" s="41" t="s">
        <v>165</v>
      </c>
      <c r="Y134" s="41" t="s">
        <v>81</v>
      </c>
      <c r="Z134" s="41" t="s">
        <v>72</v>
      </c>
      <c r="AA134" s="41" t="s">
        <v>72</v>
      </c>
      <c r="AB134" s="41" t="s">
        <v>72</v>
      </c>
      <c r="AC134" s="41" t="s">
        <v>72</v>
      </c>
      <c r="AD134" s="41" t="s">
        <v>72</v>
      </c>
      <c r="AE134" s="41" t="s">
        <v>75</v>
      </c>
      <c r="AF134" s="41" t="s">
        <v>76</v>
      </c>
      <c r="AG134" t="str">
        <f>VLOOKUP($Q134,武学奇术!$A:$ZZ,25,FALSE)</f>
        <v>心法</v>
      </c>
      <c r="AH134" s="27">
        <f>VLOOKUP($Q134,武学奇术!$A:$ZZ,26,FALSE)</f>
        <v>1</v>
      </c>
      <c r="AI134" s="28">
        <f>VLOOKUP($Q134,武学奇术!$A:$ZZ,27,FALSE)*(1+IF(OR($AG134=$F$4,$AG134=$F$5),$B$22,0))</f>
        <v>0</v>
      </c>
      <c r="AJ134" s="27">
        <f>VLOOKUP($Q134,武学奇术!$A:$ZZ,28,FALSE)</f>
        <v>1</v>
      </c>
      <c r="AK134" s="28">
        <f>VLOOKUP($Q134,武学奇术!$A:$ZZ,29,FALSE)*(1+IF(OR($AG134=$F$4,$AG134=$F$5),$B$22,0))</f>
        <v>0</v>
      </c>
      <c r="AL134" s="27" cm="1">
        <f t="array" ref="AL134">$G$3+IFERROR(VLOOKUP($AG134,$F$4:$G$7,2,FALSE),0)+VLOOKUP($Q134,武学奇术!$A:$ZZ,2,FALSE)+SUM(_xlfn.XLOOKUP($R134:$AF134,增益!$A:$A,增益!$B:$B,0))</f>
        <v>0.1537</v>
      </c>
      <c r="AM134" s="27" cm="1">
        <f t="array" ref="AM134">VLOOKUP($Q134,武学奇术!$A:$ZZ,5,FALSE)+SUM(_xlfn.XLOOKUP($R134:$AF134,增益!$A:$A,增益!$E:$E,0))</f>
        <v>0</v>
      </c>
      <c r="AN134" cm="1">
        <f t="array" ref="AN134">$D$10*(1+$AM134)+VLOOKUP($Q134,武学奇术!$A:$ZZ,3,FALSE)+SUM(_xlfn.XLOOKUP($R134:$AF134,增益!$A:$A,增益!$C:$C,0))-$I$2</f>
        <v>3742.006</v>
      </c>
      <c r="AO134" cm="1">
        <f t="array" ref="AO134">$E$10*(1+$AM134)+VLOOKUP($Q134,武学奇术!$A:$ZZ,4,FALSE)+SUM(_xlfn.XLOOKUP($R134:$AF134,增益!$A:$A,增益!$D:$D,0))-$I$2</f>
        <v>3742.006</v>
      </c>
      <c r="AP134" s="33" cm="1">
        <f t="array" ref="AP134">IF($F$10-$I$3+VLOOKUP($Q134,武学奇术!$A:$ZZ,6,FALSE)+SUM(_xlfn.XLOOKUP(R134:AF134,增益!$A:$A,增益!$F:$F,0))&gt;0,($F$10-$I$3+VLOOKUP($Q134,武学奇术!$A:$ZZ,6,FALSE)+SUM(_xlfn.XLOOKUP(R134:AF134,增益!$A:$A,增益!$F:$F,0)))/200,($F$10-$I$3+VLOOKUP($Q134,武学奇术!$A:$ZZ,6,FALSE)+SUM(_xlfn.XLOOKUP(R134:AF134,增益!$A:$A,增益!$F:$F,0)))/100)</f>
        <v>0.217</v>
      </c>
      <c r="AQ134" s="33" cm="1">
        <f t="array" ref="AQ134">$G$10+VLOOKUP($Q134,武学奇术!$A:$ZZ,7,FALSE)+SUM(_xlfn.XLOOKUP(R134:AF134,增益!$A:$A,增益!$G:$G,0))</f>
        <v>0.09</v>
      </c>
      <c r="AR134" s="27" cm="1">
        <f t="array" ref="AR134">VLOOKUP($Q134,武学奇术!$A:$ZZ,8,FALSE)+SUM(_xlfn.XLOOKUP(R134:AF134,增益!$A:$A,增益!$H:$H,0))</f>
        <v>0</v>
      </c>
      <c r="AS134">
        <f t="shared" si="24"/>
        <v>0</v>
      </c>
      <c r="AT134">
        <f t="shared" si="25"/>
        <v>0</v>
      </c>
      <c r="AU134" s="33" cm="1">
        <f t="array" ref="AU134">IF($F$11-$I$4+VLOOKUP($Q134,武学奇术!$A:$ZZ,9,FALSE)+SUM(_xlfn.XLOOKUP(R134:AF134,增益!$A:$A,增益!$I:$I,0))&gt;0,($F$11-$I$4+VLOOKUP($Q134,武学奇术!$A:$ZZ,9,FALSE)+SUM(_xlfn.XLOOKUP(R134:AF134,增益!$A:$A,增益!$I:$I,0)))/200,($F$11-$I$4+VLOOKUP($Q134,武学奇术!$A:$ZZ,9,FALSE)+SUM(_xlfn.XLOOKUP(R134:AF134,增益!$A:$A,增益!$I:$I,0)))/100)</f>
        <v>-0.14</v>
      </c>
      <c r="AV134" s="33" cm="1">
        <f t="array" ref="AV134">$G$11+VLOOKUP($Q134,武学奇术!$A:$ZZ,10,FALSE)+SUM(_xlfn.XLOOKUP(R134:AF134,增益!$A:$A,增益!$J:$J,0))</f>
        <v>0</v>
      </c>
      <c r="AW134">
        <f t="shared" si="26"/>
        <v>0</v>
      </c>
      <c r="AX134">
        <f t="shared" si="27"/>
        <v>0</v>
      </c>
      <c r="AY134" s="33" cm="1">
        <f t="array" ref="AY134">IF($F$12-$I$4+VLOOKUP($Q134,武学奇术!$A:$ZZ,11,FALSE)+SUM(_xlfn.XLOOKUP(R134:AF134,增益!$A:$A,增益!$K:$K,0))&gt;0,($F$12-$I$4+VLOOKUP($Q134,武学奇术!$A:$ZZ,11,FALSE)+SUM(_xlfn.XLOOKUP(R134:AF134,增益!$A:$A,增益!$K:$K,0)))/200,($F$12-$I$4+VLOOKUP($Q134,武学奇术!$A:$ZZ,11,FALSE)+SUM(_xlfn.XLOOKUP(R134:AF134,增益!$A:$A,增益!$K:$K,0)))/100)</f>
        <v>-0.14</v>
      </c>
      <c r="AZ134" s="33" cm="1">
        <f t="array" ref="AZ134">$G$12+VLOOKUP($Q134,武学奇术!$A:$ZZ,12,FALSE)+SUM(_xlfn.XLOOKUP(R134:AF134,增益!$A:$A,增益!$L:$L,0))</f>
        <v>0</v>
      </c>
      <c r="BA134">
        <f t="shared" si="28"/>
        <v>0</v>
      </c>
      <c r="BB134">
        <f t="shared" si="29"/>
        <v>0</v>
      </c>
      <c r="BC134" s="33" cm="1">
        <f t="array" ref="BC134">IF($F$13-$I$4+VLOOKUP($Q134,武学奇术!$A:$ZZ,13,FALSE)+SUM(_xlfn.XLOOKUP(R134:AF134,增益!$A:$A,增益!$M:$M,0))&gt;0,($F$13-$I$4+VLOOKUP($Q134,武学奇术!$A:$ZZ,13,FALSE)+SUM(_xlfn.XLOOKUP(R134:AF134,增益!$A:$A,增益!$K:$K,0)))/200,($F$13-$I$4+VLOOKUP($Q134,武学奇术!$A:$ZZ,13,FALSE)+SUM(_xlfn.XLOOKUP(R134:AF134,增益!$A:$A,增益!$M:$M,0)))/100)</f>
        <v>-0.14</v>
      </c>
      <c r="BD134" s="33" cm="1">
        <f t="array" ref="BD134">$G$13+VLOOKUP($Q134,武学奇术!$A:$ZZ,14,FALSE)+SUM(_xlfn.XLOOKUP(R134:AF134,增益!$A:$A,增益!$N:$N,0))</f>
        <v>0</v>
      </c>
      <c r="BE134">
        <f t="shared" si="30"/>
        <v>570.28</v>
      </c>
      <c r="BF134">
        <f t="shared" si="31"/>
        <v>1582.156</v>
      </c>
      <c r="BG134" s="33" cm="1">
        <f t="array" ref="BG134">IF($F$14-$I$4+VLOOKUP($Q134,武学奇术!$A:$ZZ,15,FALSE)+SUM(_xlfn.XLOOKUP(R134:AF134,增益!$A:$A,增益!$O:$O,0))&gt;0,($F$14-$I$4+VLOOKUP($Q134,武学奇术!$A:$ZZ,15,FALSE)+SUM(_xlfn.XLOOKUP(R134:AF134,增益!$A:$A,增益!$O:$O,0)))/200,($F$14-$I$4+VLOOKUP($Q134,武学奇术!$A:$ZZ,15,FALSE)+SUM(_xlfn.XLOOKUP(R134:AF134,增益!$A:$A,增益!$O:$O,0)))/100)</f>
        <v>0.08</v>
      </c>
      <c r="BH134" s="33" cm="1">
        <f t="array" ref="BH134">$G$14+VLOOKUP($Q134,武学奇术!$A:$ZZ,16,FALSE)+SUM(_xlfn.XLOOKUP(R134:AF134,增益!$A:$A,增益!$P:$P,0))</f>
        <v>0.24</v>
      </c>
      <c r="BI134" s="27">
        <f>MIN(IF(VLOOKUP($Q134,武学奇术!$A:$ZZ,23,FALSE)=1,100%,$B$8),100%)</f>
        <v>1</v>
      </c>
      <c r="BJ134" s="27" cm="1">
        <f t="array" ref="BJ134">IF(VLOOKUP($Q134,武学奇术!$A:$ZZ,23,FALSE)=1,100%,MIN(80%,$B$9+VLOOKUP($Q134,武学奇术!$A:$ZZ,17,FALSE)+SUM(_xlfn.XLOOKUP(R134:AF134,增益!$A:$A,增益!$Q:$Q,0)))+$B$11+SUM(_xlfn.XLOOKUP(R134:AF134,增益!$A:$A,增益!$U:$U,0)))*IF(VLOOKUP($Q134,武学奇术!$A:$ZZ,24,FALSE)=1,0,1)+MIN(IF(VLOOKUP($Q134,武学奇术!$A:$ZZ,32,FALSE)=1,IF(VLOOKUP($Q134,武学奇术!$A:$ZZ,24,FALSE)=1,100%,MIN(40%,$B$10+VLOOKUP($Q134,武学奇术!$A:$ZZ,19,FALSE)+SUM(_xlfn.XLOOKUP(R134:AF134,增益!$A:$A,增益!$S:$S,0)))+$B$12+SUM(_xlfn.XLOOKUP(R134:AF134,增益!$A:$A,增益!$V:$V,0))),0),12%)</f>
        <v>0.918</v>
      </c>
      <c r="BK134" s="27" cm="1">
        <f t="array" ref="BK134">1+$B$13+VLOOKUP($Q134,武学奇术!$A:$ZZ,18,FALSE)+SUM(_xlfn.XLOOKUP(R134:AF134,增益!$A:$A,增益!$R:$R,0))</f>
        <v>1.64</v>
      </c>
      <c r="BL134" s="27" cm="1">
        <f t="array" ref="BL134">MAX(IF(VLOOKUP($Q134,武学奇术!$A:$ZZ,24,FALSE)=1,100%,MIN(40%,$B$10+VLOOKUP($Q134,武学奇术!$A:$ZZ,19,FALSE)+SUM(_xlfn.XLOOKUP(R134:AF134,增益!$A:$A,增益!$S:$S,0)))+$B$12+SUM(_xlfn.XLOOKUP(R134:AF134,增益!$A:$A,增益!$V:$V,0)))*IF(VLOOKUP($Q134,武学奇术!$A:$ZZ,23,FALSE)=1,0,1)-IF(VLOOKUP($Q134,武学奇术!$A:$ZZ,32,FALSE)=1,12%,0),0)</f>
        <v>0.0895</v>
      </c>
      <c r="BM134" s="27" cm="1">
        <f t="array" ref="BM134">1+$B$14+VLOOKUP($Q134,武学奇术!$A:$ZZ,20,FALSE)+SUM(_xlfn.XLOOKUP(R134:AF134,增益!$A:$A,增益!$T:$T,0))</f>
        <v>1.35</v>
      </c>
      <c r="BN134" s="27">
        <f t="shared" si="32"/>
        <v>0.9105</v>
      </c>
      <c r="BO134" s="27">
        <f t="shared" si="33"/>
        <v>0</v>
      </c>
      <c r="BP134" s="27">
        <f>IF(VLOOKUP($Q134,武学奇术!$A:$ZZ,22,FALSE)=1,0,(1-$BI134))*(1-$BL134)</f>
        <v>0</v>
      </c>
      <c r="BQ134" s="27" cm="1">
        <f t="array" ref="BQ134">SUM(_xlfn.XLOOKUP(R134:AF134,增益!$A:$A,增益!$W:$W,0))+$I$5</f>
        <v>0.11</v>
      </c>
    </row>
    <row r="135" spans="11:69">
      <c r="K135" s="39">
        <f t="shared" si="23"/>
        <v>18254.2938234474</v>
      </c>
      <c r="L135" s="39">
        <f>((($AN135+($AO135-$AN135)*IF(VLOOKUP($Q135,武学奇术!$A:$ZZ,31,FALSE)=1,$F$18,0.5))*$AH135+$AI135)*(1+$AP135)*(1+$AQ135)+(($AS135+($AT135-$AS135)*IF(VLOOKUP($Q135,武学奇术!$A:$ZZ,31,FALSE)=1,$F$18,0.5))*IF($G$1="鸣金",$AJ135,$AH135)+IF($G$1="鸣金",$AK135*1.5,0))*(1+$AU135)*(1+$AV135)+(($AW135+($AX135-$AW135)*IF(VLOOKUP($Q135,武学奇术!$A:$ZZ,31,FALSE)=1,$F$18,0.5))*IF($G$1="裂石",$AJ135,$AH135)+IF($G$1="裂石",$AK135*1.5,0))*(1+$AY135)*(1+$AZ135)+(($BA135+($BB135-$BA135)*IF(VLOOKUP($Q135,武学奇术!$A:$ZZ,31,FALSE)=1,$F$18,0.5))*IF($G$1="牵丝",$AJ135,$AH135)+IF($G$1="牵丝",$AK135*1.5,0))*(1+$BC135)*(1+$BD135)+(($BE135+($BF135-$BE135)*IF(VLOOKUP($Q135,武学奇术!$A:$ZZ,31,FALSE)=1,$F$18,0.5))*IF($G$1="破竹",$AJ135,$AH135)+IF($G$1="破竹",$AK135*1.5,0))*(1+$BG135)*(1+$BH135))*(1+$AL135)*$BK135*$P135*(1+IF(VLOOKUP($Q135,武学奇术!$A:$ZZ,30,FALSE)="蓄力技",$B$21,0))*(1+$BQ135)</f>
        <v>18620.7609076548</v>
      </c>
      <c r="M135" s="39">
        <f>(($AO135*$AH135+$AI135)*(1+$AP135)*(1+$AQ135)+($AT135*IF($G$1="鸣金",$AJ135,$AH135)+IF($G$1="鸣金",$AK135*1.5,0))*(1+$AU135)*(1+$AV135)+($AX135*IF($G$1="裂石",$AJ135,$AH135)+IF($G$1="裂石",$AK135*1.5,0))*(1+$AY135)*(1+$AZ135)+($BB135*IF($G$1="牵丝",$AJ135,$AH135)+IF($G$1="牵丝",$AK135*1.5,0))*(1+$BC135)*(1+$BD135)+($BF135*IF($G$1="破竹",$AJ135,$AH135)+IF($G$1="破竹",$AK135*1.5,0))*(1+$BG135)*(1+$BH135))*(1+$AL135)*$BM135*$P135*(1+IF(VLOOKUP($Q135,武学奇术!$A:$ZZ,30,FALSE)="蓄力技",$B$21,0))*(1+$BQ135)</f>
        <v>14526.1566148344</v>
      </c>
      <c r="N135" s="39">
        <f>((($AN135+($AO135-$AN135)*IF(VLOOKUP($Q135,武学奇术!$A:$ZZ,31,FALSE)=1,$F$18,0.5))*$AH135+$AI135)*(1+$AP135)*(1+$AQ135)+(($AS135+($AT135-$AS135)*IF(VLOOKUP($Q135,武学奇术!$A:$ZZ,31,FALSE)=1,$F$18,0.5))*IF($G$1="鸣金",$AJ135,$AH135)+IF($G$1="鸣金",$AK135*1.5,0))*(1+$AU135)*(1+$AV135)+(($AW135+($AX135-$AW135)*IF(VLOOKUP($Q135,武学奇术!$A:$ZZ,31,FALSE)=1,$F$18,0.5))*IF($G$1="裂石",$AJ135,$AH135)+IF($G$1="裂石",$AK135*1.5,0))*(1+$AY135)*(1+$AZ135)+(($BA135+($BB135-$BA135)*IF(VLOOKUP($Q135,武学奇术!$A:$ZZ,31,FALSE)=1,$F$18,0.5))*IF($G$1="牵丝",$AJ135,$AH135)+IF($G$1="牵丝",$AK135*1.5,0))*(1+$BC135)*(1+$BD135)+(($BE135+($BF135-$BE135)*IF(VLOOKUP($Q135,武学奇术!$A:$ZZ,31,FALSE)=1,$F$18,0.5))*IF($G$1="破竹",$AJ135,$AH135)+IF($G$1="破竹",$AK135*1.5,0))*(1+$BG135)*(1+$BH135))*(1+$AL135)*$P135*(1+IF(VLOOKUP($Q135,武学奇术!$A:$ZZ,30,FALSE)="蓄力技",$B$21,0))*(1+$BQ135)</f>
        <v>9852.25444849463</v>
      </c>
      <c r="O135" s="39">
        <f>((($AN135*$AH135+$AI135)*(1+$AP135)*(1+$AQ135)+($AS135*IF($G$1="鸣金",$AJ135,$AH135)+IF($G$1="鸣金",$AK135*1.5,0))*(1+$AU135)*(1+$AV135)+($AW135*IF($G$1="裂石",$AJ135,$AH135)+IF($G$1="裂石",$AK135*1.5,0))*(1+$AY135)*(1+$AZ135)+($BA135*IF($G$1="牵丝",$AJ135,$AH135)+IF($G$1="牵丝",$AK135*1.5,0))*(1+$BC135)*(1+$BD135)+($BE135*IF($G$1="破竹",$AJ135,$AH135)+IF($G$1="破竹",$AK135*1.5,0))*(1+$BG135)*(1+$BH135))*(1+$AL135))*$P135*(1+IF(VLOOKUP($Q135,武学奇术!$A:$ZZ,30,FALSE)="蓄力技",$B$21,0))*(1+$BQ135)</f>
        <v>8944.39288600079</v>
      </c>
      <c r="P135" s="40">
        <f t="shared" si="22"/>
        <v>1</v>
      </c>
      <c r="Q135" s="41" t="s">
        <v>190</v>
      </c>
      <c r="R135" s="41" t="s">
        <v>93</v>
      </c>
      <c r="S135" s="41" t="s">
        <v>118</v>
      </c>
      <c r="T135" s="41" t="s">
        <v>119</v>
      </c>
      <c r="U135" s="41" t="s">
        <v>72</v>
      </c>
      <c r="V135" s="41" t="s">
        <v>72</v>
      </c>
      <c r="W135" s="41" t="s">
        <v>72</v>
      </c>
      <c r="X135" s="41" t="s">
        <v>165</v>
      </c>
      <c r="Y135" s="41" t="s">
        <v>72</v>
      </c>
      <c r="Z135" s="41" t="s">
        <v>72</v>
      </c>
      <c r="AA135" s="41" t="s">
        <v>72</v>
      </c>
      <c r="AB135" s="41" t="s">
        <v>72</v>
      </c>
      <c r="AC135" s="41" t="s">
        <v>72</v>
      </c>
      <c r="AD135" s="41" t="s">
        <v>72</v>
      </c>
      <c r="AE135" s="41" t="s">
        <v>75</v>
      </c>
      <c r="AF135" s="41" t="s">
        <v>76</v>
      </c>
      <c r="AG135" t="str">
        <f>VLOOKUP($Q135,武学奇术!$A:$ZZ,25,FALSE)</f>
        <v>心法</v>
      </c>
      <c r="AH135" s="27">
        <f>VLOOKUP($Q135,武学奇术!$A:$ZZ,26,FALSE)</f>
        <v>1</v>
      </c>
      <c r="AI135" s="28">
        <f>VLOOKUP($Q135,武学奇术!$A:$ZZ,27,FALSE)*(1+IF(OR($AG135=$F$4,$AG135=$F$5),$B$22,0))</f>
        <v>0</v>
      </c>
      <c r="AJ135" s="27">
        <f>VLOOKUP($Q135,武学奇术!$A:$ZZ,28,FALSE)</f>
        <v>1</v>
      </c>
      <c r="AK135" s="28">
        <f>VLOOKUP($Q135,武学奇术!$A:$ZZ,29,FALSE)*(1+IF(OR($AG135=$F$4,$AG135=$F$5),$B$22,0))</f>
        <v>0</v>
      </c>
      <c r="AL135" s="27" cm="1">
        <f t="array" ref="AL135">$G$3+IFERROR(VLOOKUP($AG135,$F$4:$G$7,2,FALSE),0)+VLOOKUP($Q135,武学奇术!$A:$ZZ,2,FALSE)+SUM(_xlfn.XLOOKUP($R135:$AF135,增益!$A:$A,增益!$B:$B,0))</f>
        <v>0.3037</v>
      </c>
      <c r="AM135" s="27" cm="1">
        <f t="array" ref="AM135">VLOOKUP($Q135,武学奇术!$A:$ZZ,5,FALSE)+SUM(_xlfn.XLOOKUP($R135:$AF135,增益!$A:$A,增益!$E:$E,0))</f>
        <v>0</v>
      </c>
      <c r="AN135" cm="1">
        <f t="array" ref="AN135">$D$10*(1+$AM135)+VLOOKUP($Q135,武学奇术!$A:$ZZ,3,FALSE)+SUM(_xlfn.XLOOKUP($R135:$AF135,增益!$A:$A,增益!$C:$C,0))-$I$2</f>
        <v>3742.006</v>
      </c>
      <c r="AO135" cm="1">
        <f t="array" ref="AO135">$E$10*(1+$AM135)+VLOOKUP($Q135,武学奇术!$A:$ZZ,4,FALSE)+SUM(_xlfn.XLOOKUP($R135:$AF135,增益!$A:$A,增益!$D:$D,0))-$I$2</f>
        <v>3742.006</v>
      </c>
      <c r="AP135" s="33" cm="1">
        <f t="array" ref="AP135">IF($F$10-$I$3+VLOOKUP($Q135,武学奇术!$A:$ZZ,6,FALSE)+SUM(_xlfn.XLOOKUP(R135:AF135,增益!$A:$A,增益!$F:$F,0))&gt;0,($F$10-$I$3+VLOOKUP($Q135,武学奇术!$A:$ZZ,6,FALSE)+SUM(_xlfn.XLOOKUP(R135:AF135,增益!$A:$A,增益!$F:$F,0)))/200,($F$10-$I$3+VLOOKUP($Q135,武学奇术!$A:$ZZ,6,FALSE)+SUM(_xlfn.XLOOKUP(R135:AF135,增益!$A:$A,增益!$F:$F,0)))/100)</f>
        <v>0.342</v>
      </c>
      <c r="AQ135" s="33" cm="1">
        <f t="array" ref="AQ135">$G$10+VLOOKUP($Q135,武学奇术!$A:$ZZ,7,FALSE)+SUM(_xlfn.XLOOKUP(R135:AF135,增益!$A:$A,增益!$G:$G,0))</f>
        <v>0.09</v>
      </c>
      <c r="AR135" s="27" cm="1">
        <f t="array" ref="AR135">VLOOKUP($Q135,武学奇术!$A:$ZZ,8,FALSE)+SUM(_xlfn.XLOOKUP(R135:AF135,增益!$A:$A,增益!$H:$H,0))</f>
        <v>0</v>
      </c>
      <c r="AS135">
        <f t="shared" si="24"/>
        <v>0</v>
      </c>
      <c r="AT135">
        <f t="shared" si="25"/>
        <v>0</v>
      </c>
      <c r="AU135" s="33" cm="1">
        <f t="array" ref="AU135">IF($F$11-$I$4+VLOOKUP($Q135,武学奇术!$A:$ZZ,9,FALSE)+SUM(_xlfn.XLOOKUP(R135:AF135,增益!$A:$A,增益!$I:$I,0))&gt;0,($F$11-$I$4+VLOOKUP($Q135,武学奇术!$A:$ZZ,9,FALSE)+SUM(_xlfn.XLOOKUP(R135:AF135,增益!$A:$A,增益!$I:$I,0)))/200,($F$11-$I$4+VLOOKUP($Q135,武学奇术!$A:$ZZ,9,FALSE)+SUM(_xlfn.XLOOKUP(R135:AF135,增益!$A:$A,增益!$I:$I,0)))/100)</f>
        <v>-0.3</v>
      </c>
      <c r="AV135" s="33" cm="1">
        <f t="array" ref="AV135">$G$11+VLOOKUP($Q135,武学奇术!$A:$ZZ,10,FALSE)+SUM(_xlfn.XLOOKUP(R135:AF135,增益!$A:$A,增益!$J:$J,0))</f>
        <v>0</v>
      </c>
      <c r="AW135">
        <f t="shared" si="26"/>
        <v>0</v>
      </c>
      <c r="AX135">
        <f t="shared" si="27"/>
        <v>0</v>
      </c>
      <c r="AY135" s="33" cm="1">
        <f t="array" ref="AY135">IF($F$12-$I$4+VLOOKUP($Q135,武学奇术!$A:$ZZ,11,FALSE)+SUM(_xlfn.XLOOKUP(R135:AF135,增益!$A:$A,增益!$K:$K,0))&gt;0,($F$12-$I$4+VLOOKUP($Q135,武学奇术!$A:$ZZ,11,FALSE)+SUM(_xlfn.XLOOKUP(R135:AF135,增益!$A:$A,增益!$K:$K,0)))/200,($F$12-$I$4+VLOOKUP($Q135,武学奇术!$A:$ZZ,11,FALSE)+SUM(_xlfn.XLOOKUP(R135:AF135,增益!$A:$A,增益!$K:$K,0)))/100)</f>
        <v>-0.3</v>
      </c>
      <c r="AZ135" s="33" cm="1">
        <f t="array" ref="AZ135">$G$12+VLOOKUP($Q135,武学奇术!$A:$ZZ,12,FALSE)+SUM(_xlfn.XLOOKUP(R135:AF135,增益!$A:$A,增益!$L:$L,0))</f>
        <v>0</v>
      </c>
      <c r="BA135">
        <f t="shared" si="28"/>
        <v>0</v>
      </c>
      <c r="BB135">
        <f t="shared" si="29"/>
        <v>0</v>
      </c>
      <c r="BC135" s="33" cm="1">
        <f t="array" ref="BC135">IF($F$13-$I$4+VLOOKUP($Q135,武学奇术!$A:$ZZ,13,FALSE)+SUM(_xlfn.XLOOKUP(R135:AF135,增益!$A:$A,增益!$M:$M,0))&gt;0,($F$13-$I$4+VLOOKUP($Q135,武学奇术!$A:$ZZ,13,FALSE)+SUM(_xlfn.XLOOKUP(R135:AF135,增益!$A:$A,增益!$K:$K,0)))/200,($F$13-$I$4+VLOOKUP($Q135,武学奇术!$A:$ZZ,13,FALSE)+SUM(_xlfn.XLOOKUP(R135:AF135,增益!$A:$A,增益!$M:$M,0)))/100)</f>
        <v>-0.3</v>
      </c>
      <c r="BD135" s="33" cm="1">
        <f t="array" ref="BD135">$G$13+VLOOKUP($Q135,武学奇术!$A:$ZZ,14,FALSE)+SUM(_xlfn.XLOOKUP(R135:AF135,增益!$A:$A,增益!$N:$N,0))</f>
        <v>0</v>
      </c>
      <c r="BE135">
        <f t="shared" si="30"/>
        <v>570.28</v>
      </c>
      <c r="BF135">
        <f t="shared" si="31"/>
        <v>1582.156</v>
      </c>
      <c r="BG135" s="33" cm="1">
        <f t="array" ref="BG135">IF($F$14-$I$4+VLOOKUP($Q135,武学奇术!$A:$ZZ,15,FALSE)+SUM(_xlfn.XLOOKUP(R135:AF135,增益!$A:$A,增益!$O:$O,0))&gt;0,($F$14-$I$4+VLOOKUP($Q135,武学奇术!$A:$ZZ,15,FALSE)+SUM(_xlfn.XLOOKUP(R135:AF135,增益!$A:$A,增益!$O:$O,0)))/200,($F$14-$I$4+VLOOKUP($Q135,武学奇术!$A:$ZZ,15,FALSE)+SUM(_xlfn.XLOOKUP(R135:AF135,增益!$A:$A,增益!$O:$O,0)))/100)</f>
        <v>0</v>
      </c>
      <c r="BH135" s="33" cm="1">
        <f t="array" ref="BH135">$G$14+VLOOKUP($Q135,武学奇术!$A:$ZZ,16,FALSE)+SUM(_xlfn.XLOOKUP(R135:AF135,增益!$A:$A,增益!$P:$P,0))</f>
        <v>0.24</v>
      </c>
      <c r="BI135" s="27">
        <f>MIN(IF(VLOOKUP($Q135,武学奇术!$A:$ZZ,23,FALSE)=1,100%,$B$8),100%)</f>
        <v>1</v>
      </c>
      <c r="BJ135" s="27" cm="1">
        <f t="array" ref="BJ135">IF(VLOOKUP($Q135,武学奇术!$A:$ZZ,23,FALSE)=1,100%,MIN(80%,$B$9+VLOOKUP($Q135,武学奇术!$A:$ZZ,17,FALSE)+SUM(_xlfn.XLOOKUP(R135:AF135,增益!$A:$A,增益!$Q:$Q,0)))+$B$11+SUM(_xlfn.XLOOKUP(R135:AF135,增益!$A:$A,增益!$U:$U,0)))*IF(VLOOKUP($Q135,武学奇术!$A:$ZZ,24,FALSE)=1,0,1)+MIN(IF(VLOOKUP($Q135,武学奇术!$A:$ZZ,32,FALSE)=1,IF(VLOOKUP($Q135,武学奇术!$A:$ZZ,24,FALSE)=1,100%,MIN(40%,$B$10+VLOOKUP($Q135,武学奇术!$A:$ZZ,19,FALSE)+SUM(_xlfn.XLOOKUP(R135:AF135,增益!$A:$A,增益!$S:$S,0)))+$B$12+SUM(_xlfn.XLOOKUP(R135:AF135,增益!$A:$A,增益!$V:$V,0))),0),12%)</f>
        <v>0.918</v>
      </c>
      <c r="BK135" s="27" cm="1">
        <f t="array" ref="BK135">1+$B$13+VLOOKUP($Q135,武学奇术!$A:$ZZ,18,FALSE)+SUM(_xlfn.XLOOKUP(R135:AF135,增益!$A:$A,增益!$R:$R,0))</f>
        <v>1.89</v>
      </c>
      <c r="BL135" s="27" cm="1">
        <f t="array" ref="BL135">MAX(IF(VLOOKUP($Q135,武学奇术!$A:$ZZ,24,FALSE)=1,100%,MIN(40%,$B$10+VLOOKUP($Q135,武学奇术!$A:$ZZ,19,FALSE)+SUM(_xlfn.XLOOKUP(R135:AF135,增益!$A:$A,增益!$S:$S,0)))+$B$12+SUM(_xlfn.XLOOKUP(R135:AF135,增益!$A:$A,增益!$V:$V,0)))*IF(VLOOKUP($Q135,武学奇术!$A:$ZZ,23,FALSE)=1,0,1)-IF(VLOOKUP($Q135,武学奇术!$A:$ZZ,32,FALSE)=1,12%,0),0)</f>
        <v>0.0895</v>
      </c>
      <c r="BM135" s="27" cm="1">
        <f t="array" ref="BM135">1+$B$14+VLOOKUP($Q135,武学奇术!$A:$ZZ,20,FALSE)+SUM(_xlfn.XLOOKUP(R135:AF135,增益!$A:$A,增益!$T:$T,0))</f>
        <v>1.35</v>
      </c>
      <c r="BN135" s="27">
        <f t="shared" si="32"/>
        <v>0.9105</v>
      </c>
      <c r="BO135" s="27">
        <f t="shared" si="33"/>
        <v>0</v>
      </c>
      <c r="BP135" s="27">
        <f>IF(VLOOKUP($Q135,武学奇术!$A:$ZZ,22,FALSE)=1,0,(1-$BI135))*(1-$BL135)</f>
        <v>0</v>
      </c>
      <c r="BQ135" s="27" cm="1">
        <f t="array" ref="BQ135">SUM(_xlfn.XLOOKUP(R135:AF135,增益!$A:$A,增益!$W:$W,0))+$I$5</f>
        <v>0.11</v>
      </c>
    </row>
    <row r="136" spans="11:69">
      <c r="K136" s="39">
        <f t="shared" si="23"/>
        <v>19370.9620520143</v>
      </c>
      <c r="L136" s="39">
        <f>((($AN136+($AO136-$AN136)*IF(VLOOKUP($Q136,武学奇术!$A:$ZZ,31,FALSE)=1,$F$18,0.5))*$AH136+$AI136)*(1+$AP136)*(1+$AQ136)+(($AS136+($AT136-$AS136)*IF(VLOOKUP($Q136,武学奇术!$A:$ZZ,31,FALSE)=1,$F$18,0.5))*IF($G$1="鸣金",$AJ136,$AH136)+IF($G$1="鸣金",$AK136*1.5,0))*(1+$AU136)*(1+$AV136)+(($AW136+($AX136-$AW136)*IF(VLOOKUP($Q136,武学奇术!$A:$ZZ,31,FALSE)=1,$F$18,0.5))*IF($G$1="裂石",$AJ136,$AH136)+IF($G$1="裂石",$AK136*1.5,0))*(1+$AY136)*(1+$AZ136)+(($BA136+($BB136-$BA136)*IF(VLOOKUP($Q136,武学奇术!$A:$ZZ,31,FALSE)=1,$F$18,0.5))*IF($G$1="牵丝",$AJ136,$AH136)+IF($G$1="牵丝",$AK136*1.5,0))*(1+$BC136)*(1+$BD136)+(($BE136+($BF136-$BE136)*IF(VLOOKUP($Q136,武学奇术!$A:$ZZ,31,FALSE)=1,$F$18,0.5))*IF($G$1="破竹",$AJ136,$AH136)+IF($G$1="破竹",$AK136*1.5,0))*(1+$BG136)*(1+$BH136))*(1+$AL136)*$BK136*$P136*(1+IF(VLOOKUP($Q136,武学奇术!$A:$ZZ,30,FALSE)="蓄力技",$B$21,0))*(1+$BQ136)</f>
        <v>19752.3305762375</v>
      </c>
      <c r="M136" s="39">
        <f>(($AO136*$AH136+$AI136)*(1+$AP136)*(1+$AQ136)+($AT136*IF($G$1="鸣金",$AJ136,$AH136)+IF($G$1="鸣金",$AK136*1.5,0))*(1+$AU136)*(1+$AV136)+($AX136*IF($G$1="裂石",$AJ136,$AH136)+IF($G$1="裂石",$AK136*1.5,0))*(1+$AY136)*(1+$AZ136)+($BB136*IF($G$1="牵丝",$AJ136,$AH136)+IF($G$1="牵丝",$AK136*1.5,0))*(1+$BC136)*(1+$BD136)+($BF136*IF($G$1="破竹",$AJ136,$AH136)+IF($G$1="破竹",$AK136*1.5,0))*(1+$BG136)*(1+$BH136))*(1+$AL136)*$BM136*$P136*(1+IF(VLOOKUP($Q136,武学奇术!$A:$ZZ,30,FALSE)="蓄力技",$B$21,0))*(1+$BQ136)</f>
        <v>15491.2297469278</v>
      </c>
      <c r="N136" s="39">
        <f>((($AN136+($AO136-$AN136)*IF(VLOOKUP($Q136,武学奇术!$A:$ZZ,31,FALSE)=1,$F$18,0.5))*$AH136+$AI136)*(1+$AP136)*(1+$AQ136)+(($AS136+($AT136-$AS136)*IF(VLOOKUP($Q136,武学奇术!$A:$ZZ,31,FALSE)=1,$F$18,0.5))*IF($G$1="鸣金",$AJ136,$AH136)+IF($G$1="鸣金",$AK136*1.5,0))*(1+$AU136)*(1+$AV136)+(($AW136+($AX136-$AW136)*IF(VLOOKUP($Q136,武学奇术!$A:$ZZ,31,FALSE)=1,$F$18,0.5))*IF($G$1="裂石",$AJ136,$AH136)+IF($G$1="裂石",$AK136*1.5,0))*(1+$AY136)*(1+$AZ136)+(($BA136+($BB136-$BA136)*IF(VLOOKUP($Q136,武学奇术!$A:$ZZ,31,FALSE)=1,$F$18,0.5))*IF($G$1="牵丝",$AJ136,$AH136)+IF($G$1="牵丝",$AK136*1.5,0))*(1+$BC136)*(1+$BD136)+(($BE136+($BF136-$BE136)*IF(VLOOKUP($Q136,武学奇术!$A:$ZZ,31,FALSE)=1,$F$18,0.5))*IF($G$1="破竹",$AJ136,$AH136)+IF($G$1="破竹",$AK136*1.5,0))*(1+$BG136)*(1+$BH136))*(1+$AL136)*$P136*(1+IF(VLOOKUP($Q136,武学奇术!$A:$ZZ,30,FALSE)="蓄力技",$B$21,0))*(1+$BQ136)</f>
        <v>10450.9685588558</v>
      </c>
      <c r="O136" s="39">
        <f>((($AN136*$AH136+$AI136)*(1+$AP136)*(1+$AQ136)+($AS136*IF($G$1="鸣金",$AJ136,$AH136)+IF($G$1="鸣金",$AK136*1.5,0))*(1+$AU136)*(1+$AV136)+($AW136*IF($G$1="裂石",$AJ136,$AH136)+IF($G$1="裂石",$AK136*1.5,0))*(1+$AY136)*(1+$AZ136)+($BA136*IF($G$1="牵丝",$AJ136,$AH136)+IF($G$1="牵丝",$AK136*1.5,0))*(1+$BC136)*(1+$BD136)+($BE136*IF($G$1="破竹",$AJ136,$AH136)+IF($G$1="破竹",$AK136*1.5,0))*(1+$BG136)*(1+$BH136))*(1+$AL136))*$P136*(1+IF(VLOOKUP($Q136,武学奇术!$A:$ZZ,30,FALSE)="蓄力技",$B$21,0))*(1+$BQ136)</f>
        <v>9426.95211998738</v>
      </c>
      <c r="P136" s="40">
        <f t="shared" si="22"/>
        <v>1</v>
      </c>
      <c r="Q136" s="41" t="s">
        <v>190</v>
      </c>
      <c r="R136" s="41" t="s">
        <v>93</v>
      </c>
      <c r="S136" s="41" t="s">
        <v>118</v>
      </c>
      <c r="T136" s="41" t="s">
        <v>72</v>
      </c>
      <c r="U136" s="41" t="s">
        <v>72</v>
      </c>
      <c r="V136" s="41" t="s">
        <v>176</v>
      </c>
      <c r="W136" s="41" t="s">
        <v>177</v>
      </c>
      <c r="X136" s="41" t="s">
        <v>165</v>
      </c>
      <c r="Y136" s="41" t="s">
        <v>81</v>
      </c>
      <c r="Z136" s="41" t="s">
        <v>72</v>
      </c>
      <c r="AA136" s="41" t="s">
        <v>72</v>
      </c>
      <c r="AB136" s="41" t="s">
        <v>72</v>
      </c>
      <c r="AC136" s="41" t="s">
        <v>72</v>
      </c>
      <c r="AD136" s="41" t="s">
        <v>72</v>
      </c>
      <c r="AE136" s="41" t="s">
        <v>75</v>
      </c>
      <c r="AF136" s="41" t="s">
        <v>76</v>
      </c>
      <c r="AG136" t="str">
        <f>VLOOKUP($Q136,武学奇术!$A:$ZZ,25,FALSE)</f>
        <v>心法</v>
      </c>
      <c r="AH136" s="27">
        <f>VLOOKUP($Q136,武学奇术!$A:$ZZ,26,FALSE)</f>
        <v>1</v>
      </c>
      <c r="AI136" s="28">
        <f>VLOOKUP($Q136,武学奇术!$A:$ZZ,27,FALSE)*(1+IF(OR($AG136=$F$4,$AG136=$F$5),$B$22,0))</f>
        <v>0</v>
      </c>
      <c r="AJ136" s="27">
        <f>VLOOKUP($Q136,武学奇术!$A:$ZZ,28,FALSE)</f>
        <v>1</v>
      </c>
      <c r="AK136" s="28">
        <f>VLOOKUP($Q136,武学奇术!$A:$ZZ,29,FALSE)*(1+IF(OR($AG136=$F$4,$AG136=$F$5),$B$22,0))</f>
        <v>0</v>
      </c>
      <c r="AL136" s="27" cm="1">
        <f t="array" ref="AL136">$G$3+IFERROR(VLOOKUP($AG136,$F$4:$G$7,2,FALSE),0)+VLOOKUP($Q136,武学奇术!$A:$ZZ,2,FALSE)+SUM(_xlfn.XLOOKUP($R136:$AF136,增益!$A:$A,增益!$B:$B,0))</f>
        <v>0.1537</v>
      </c>
      <c r="AM136" s="27" cm="1">
        <f t="array" ref="AM136">VLOOKUP($Q136,武学奇术!$A:$ZZ,5,FALSE)+SUM(_xlfn.XLOOKUP($R136:$AF136,增益!$A:$A,增益!$E:$E,0))</f>
        <v>0</v>
      </c>
      <c r="AN136" cm="1">
        <f t="array" ref="AN136">$D$10*(1+$AM136)+VLOOKUP($Q136,武学奇术!$A:$ZZ,3,FALSE)+SUM(_xlfn.XLOOKUP($R136:$AF136,增益!$A:$A,增益!$C:$C,0))-$I$2</f>
        <v>3742.006</v>
      </c>
      <c r="AO136" cm="1">
        <f t="array" ref="AO136">$E$10*(1+$AM136)+VLOOKUP($Q136,武学奇术!$A:$ZZ,4,FALSE)+SUM(_xlfn.XLOOKUP($R136:$AF136,增益!$A:$A,增益!$D:$D,0))-$I$2</f>
        <v>3742.006</v>
      </c>
      <c r="AP136" s="33" cm="1">
        <f t="array" ref="AP136">IF($F$10-$I$3+VLOOKUP($Q136,武学奇术!$A:$ZZ,6,FALSE)+SUM(_xlfn.XLOOKUP(R136:AF136,增益!$A:$A,增益!$F:$F,0))&gt;0,($F$10-$I$3+VLOOKUP($Q136,武学奇术!$A:$ZZ,6,FALSE)+SUM(_xlfn.XLOOKUP(R136:AF136,增益!$A:$A,增益!$F:$F,0)))/200,($F$10-$I$3+VLOOKUP($Q136,武学奇术!$A:$ZZ,6,FALSE)+SUM(_xlfn.XLOOKUP(R136:AF136,增益!$A:$A,增益!$F:$F,0)))/100)</f>
        <v>0.342</v>
      </c>
      <c r="AQ136" s="33" cm="1">
        <f t="array" ref="AQ136">$G$10+VLOOKUP($Q136,武学奇术!$A:$ZZ,7,FALSE)+SUM(_xlfn.XLOOKUP(R136:AF136,增益!$A:$A,增益!$G:$G,0))</f>
        <v>0.09</v>
      </c>
      <c r="AR136" s="27" cm="1">
        <f t="array" ref="AR136">VLOOKUP($Q136,武学奇术!$A:$ZZ,8,FALSE)+SUM(_xlfn.XLOOKUP(R136:AF136,增益!$A:$A,增益!$H:$H,0))</f>
        <v>0</v>
      </c>
      <c r="AS136">
        <f t="shared" si="24"/>
        <v>0</v>
      </c>
      <c r="AT136">
        <f t="shared" si="25"/>
        <v>0</v>
      </c>
      <c r="AU136" s="33" cm="1">
        <f t="array" ref="AU136">IF($F$11-$I$4+VLOOKUP($Q136,武学奇术!$A:$ZZ,9,FALSE)+SUM(_xlfn.XLOOKUP(R136:AF136,增益!$A:$A,增益!$I:$I,0))&gt;0,($F$11-$I$4+VLOOKUP($Q136,武学奇术!$A:$ZZ,9,FALSE)+SUM(_xlfn.XLOOKUP(R136:AF136,增益!$A:$A,增益!$I:$I,0)))/200,($F$11-$I$4+VLOOKUP($Q136,武学奇术!$A:$ZZ,9,FALSE)+SUM(_xlfn.XLOOKUP(R136:AF136,增益!$A:$A,增益!$I:$I,0)))/100)</f>
        <v>-0.14</v>
      </c>
      <c r="AV136" s="33" cm="1">
        <f t="array" ref="AV136">$G$11+VLOOKUP($Q136,武学奇术!$A:$ZZ,10,FALSE)+SUM(_xlfn.XLOOKUP(R136:AF136,增益!$A:$A,增益!$J:$J,0))</f>
        <v>0.1</v>
      </c>
      <c r="AW136">
        <f t="shared" si="26"/>
        <v>0</v>
      </c>
      <c r="AX136">
        <f t="shared" si="27"/>
        <v>0</v>
      </c>
      <c r="AY136" s="33" cm="1">
        <f t="array" ref="AY136">IF($F$12-$I$4+VLOOKUP($Q136,武学奇术!$A:$ZZ,11,FALSE)+SUM(_xlfn.XLOOKUP(R136:AF136,增益!$A:$A,增益!$K:$K,0))&gt;0,($F$12-$I$4+VLOOKUP($Q136,武学奇术!$A:$ZZ,11,FALSE)+SUM(_xlfn.XLOOKUP(R136:AF136,增益!$A:$A,增益!$K:$K,0)))/200,($F$12-$I$4+VLOOKUP($Q136,武学奇术!$A:$ZZ,11,FALSE)+SUM(_xlfn.XLOOKUP(R136:AF136,增益!$A:$A,增益!$K:$K,0)))/100)</f>
        <v>-0.14</v>
      </c>
      <c r="AZ136" s="33" cm="1">
        <f t="array" ref="AZ136">$G$12+VLOOKUP($Q136,武学奇术!$A:$ZZ,12,FALSE)+SUM(_xlfn.XLOOKUP(R136:AF136,增益!$A:$A,增益!$L:$L,0))</f>
        <v>0</v>
      </c>
      <c r="BA136">
        <f t="shared" si="28"/>
        <v>0</v>
      </c>
      <c r="BB136">
        <f t="shared" si="29"/>
        <v>0</v>
      </c>
      <c r="BC136" s="33" cm="1">
        <f t="array" ref="BC136">IF($F$13-$I$4+VLOOKUP($Q136,武学奇术!$A:$ZZ,13,FALSE)+SUM(_xlfn.XLOOKUP(R136:AF136,增益!$A:$A,增益!$M:$M,0))&gt;0,($F$13-$I$4+VLOOKUP($Q136,武学奇术!$A:$ZZ,13,FALSE)+SUM(_xlfn.XLOOKUP(R136:AF136,增益!$A:$A,增益!$K:$K,0)))/200,($F$13-$I$4+VLOOKUP($Q136,武学奇术!$A:$ZZ,13,FALSE)+SUM(_xlfn.XLOOKUP(R136:AF136,增益!$A:$A,增益!$M:$M,0)))/100)</f>
        <v>-0.14</v>
      </c>
      <c r="BD136" s="33" cm="1">
        <f t="array" ref="BD136">$G$13+VLOOKUP($Q136,武学奇术!$A:$ZZ,14,FALSE)+SUM(_xlfn.XLOOKUP(R136:AF136,增益!$A:$A,增益!$N:$N,0))</f>
        <v>0</v>
      </c>
      <c r="BE136">
        <f t="shared" si="30"/>
        <v>570.28</v>
      </c>
      <c r="BF136">
        <f t="shared" si="31"/>
        <v>1582.156</v>
      </c>
      <c r="BG136" s="33" cm="1">
        <f t="array" ref="BG136">IF($F$14-$I$4+VLOOKUP($Q136,武学奇术!$A:$ZZ,15,FALSE)+SUM(_xlfn.XLOOKUP(R136:AF136,增益!$A:$A,增益!$O:$O,0))&gt;0,($F$14-$I$4+VLOOKUP($Q136,武学奇术!$A:$ZZ,15,FALSE)+SUM(_xlfn.XLOOKUP(R136:AF136,增益!$A:$A,增益!$O:$O,0)))/200,($F$14-$I$4+VLOOKUP($Q136,武学奇术!$A:$ZZ,15,FALSE)+SUM(_xlfn.XLOOKUP(R136:AF136,增益!$A:$A,增益!$O:$O,0)))/100)</f>
        <v>0.08</v>
      </c>
      <c r="BH136" s="33" cm="1">
        <f t="array" ref="BH136">$G$14+VLOOKUP($Q136,武学奇术!$A:$ZZ,16,FALSE)+SUM(_xlfn.XLOOKUP(R136:AF136,增益!$A:$A,增益!$P:$P,0))</f>
        <v>0.24</v>
      </c>
      <c r="BI136" s="27">
        <f>MIN(IF(VLOOKUP($Q136,武学奇术!$A:$ZZ,23,FALSE)=1,100%,$B$8),100%)</f>
        <v>1</v>
      </c>
      <c r="BJ136" s="27" cm="1">
        <f t="array" ref="BJ136">IF(VLOOKUP($Q136,武学奇术!$A:$ZZ,23,FALSE)=1,100%,MIN(80%,$B$9+VLOOKUP($Q136,武学奇术!$A:$ZZ,17,FALSE)+SUM(_xlfn.XLOOKUP(R136:AF136,增益!$A:$A,增益!$Q:$Q,0)))+$B$11+SUM(_xlfn.XLOOKUP(R136:AF136,增益!$A:$A,增益!$U:$U,0)))*IF(VLOOKUP($Q136,武学奇术!$A:$ZZ,24,FALSE)=1,0,1)+MIN(IF(VLOOKUP($Q136,武学奇术!$A:$ZZ,32,FALSE)=1,IF(VLOOKUP($Q136,武学奇术!$A:$ZZ,24,FALSE)=1,100%,MIN(40%,$B$10+VLOOKUP($Q136,武学奇术!$A:$ZZ,19,FALSE)+SUM(_xlfn.XLOOKUP(R136:AF136,增益!$A:$A,增益!$S:$S,0)))+$B$12+SUM(_xlfn.XLOOKUP(R136:AF136,增益!$A:$A,增益!$V:$V,0))),0),12%)</f>
        <v>0.918</v>
      </c>
      <c r="BK136" s="27" cm="1">
        <f t="array" ref="BK136">1+$B$13+VLOOKUP($Q136,武学奇术!$A:$ZZ,18,FALSE)+SUM(_xlfn.XLOOKUP(R136:AF136,增益!$A:$A,增益!$R:$R,0))</f>
        <v>1.89</v>
      </c>
      <c r="BL136" s="27" cm="1">
        <f t="array" ref="BL136">MAX(IF(VLOOKUP($Q136,武学奇术!$A:$ZZ,24,FALSE)=1,100%,MIN(40%,$B$10+VLOOKUP($Q136,武学奇术!$A:$ZZ,19,FALSE)+SUM(_xlfn.XLOOKUP(R136:AF136,增益!$A:$A,增益!$S:$S,0)))+$B$12+SUM(_xlfn.XLOOKUP(R136:AF136,增益!$A:$A,增益!$V:$V,0)))*IF(VLOOKUP($Q136,武学奇术!$A:$ZZ,23,FALSE)=1,0,1)-IF(VLOOKUP($Q136,武学奇术!$A:$ZZ,32,FALSE)=1,12%,0),0)</f>
        <v>0.0895</v>
      </c>
      <c r="BM136" s="27" cm="1">
        <f t="array" ref="BM136">1+$B$14+VLOOKUP($Q136,武学奇术!$A:$ZZ,20,FALSE)+SUM(_xlfn.XLOOKUP(R136:AF136,增益!$A:$A,增益!$T:$T,0))</f>
        <v>1.35</v>
      </c>
      <c r="BN136" s="27">
        <f t="shared" si="32"/>
        <v>0.9105</v>
      </c>
      <c r="BO136" s="27">
        <f t="shared" si="33"/>
        <v>0</v>
      </c>
      <c r="BP136" s="27">
        <f>IF(VLOOKUP($Q136,武学奇术!$A:$ZZ,22,FALSE)=1,0,(1-$BI136))*(1-$BL136)</f>
        <v>0</v>
      </c>
      <c r="BQ136" s="27" cm="1">
        <f t="array" ref="BQ136">SUM(_xlfn.XLOOKUP(R136:AF136,增益!$A:$A,增益!$W:$W,0))+$I$5</f>
        <v>0.31</v>
      </c>
    </row>
  </sheetData>
  <mergeCells count="17">
    <mergeCell ref="H1:I1"/>
    <mergeCell ref="C8:G8"/>
    <mergeCell ref="C15:D15"/>
    <mergeCell ref="C21:D21"/>
    <mergeCell ref="C22:D22"/>
    <mergeCell ref="C23:D23"/>
    <mergeCell ref="C24:D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C24:D24">
      <formula1>"易水歌,征人归"</formula1>
    </dataValidation>
    <dataValidation type="list" allowBlank="1" showInputMessage="1" showErrorMessage="1" sqref="R28:S28 U28:AF28 R82:Y82 Z82 AA82:AF82 T28:T33 R2:AF15 R16:AF27 R29:S33 U29:AF33 R34:AF81 R83:AF136">
      <formula1>增益!$A:$A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Q2:Q15 Q16:Q81 Q82:Q136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"/>
  <sheetViews>
    <sheetView topLeftCell="G1" workbookViewId="0">
      <selection activeCell="AB35" sqref="AB35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7"/>
    <col min="27" max="27" width="9" style="28"/>
    <col min="28" max="28" width="9.375" style="27"/>
    <col min="29" max="29" width="9" style="28"/>
  </cols>
  <sheetData>
    <row r="1" spans="1:32">
      <c r="B1" t="s">
        <v>34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102</v>
      </c>
      <c r="R1" t="s">
        <v>199</v>
      </c>
      <c r="S1" t="s">
        <v>104</v>
      </c>
      <c r="T1" t="s">
        <v>200</v>
      </c>
      <c r="U1" t="s">
        <v>201</v>
      </c>
      <c r="V1" t="s">
        <v>202</v>
      </c>
      <c r="W1" t="s">
        <v>203</v>
      </c>
      <c r="X1" t="s">
        <v>204</v>
      </c>
      <c r="Y1" t="s">
        <v>29</v>
      </c>
      <c r="Z1" s="27" t="s">
        <v>30</v>
      </c>
      <c r="AA1" s="28" t="s">
        <v>31</v>
      </c>
      <c r="AB1" s="27" t="s">
        <v>32</v>
      </c>
      <c r="AC1" s="28" t="s">
        <v>33</v>
      </c>
      <c r="AD1" t="s">
        <v>205</v>
      </c>
      <c r="AF1" t="s">
        <v>206</v>
      </c>
    </row>
    <row r="2" spans="1:32">
      <c r="A2" t="s">
        <v>108</v>
      </c>
      <c r="B2" s="29">
        <v>0.3</v>
      </c>
      <c r="F2">
        <f>IF(期望!$G$2="撼天",6,0)</f>
        <v>6</v>
      </c>
      <c r="I2">
        <f>IF(期望!$G$2="撼天",6,0)</f>
        <v>6</v>
      </c>
      <c r="K2">
        <f>IF(期望!$G$2="撼天",6,0)</f>
        <v>6</v>
      </c>
      <c r="M2">
        <f>IF(期望!$G$2="撼天",6,0)</f>
        <v>6</v>
      </c>
      <c r="O2">
        <f>IF(期望!$G$2="撼天",6,0)</f>
        <v>6</v>
      </c>
      <c r="R2" s="29">
        <v>0.3</v>
      </c>
      <c r="Y2" s="30" t="s">
        <v>83</v>
      </c>
      <c r="Z2" s="30">
        <f>132%*1.7*(1+期望!$B$22/10)</f>
        <v>2.33376</v>
      </c>
      <c r="AA2" s="4"/>
      <c r="AB2" s="30">
        <f>Z2*1.5</f>
        <v>3.50064</v>
      </c>
    </row>
    <row r="3" spans="1:32">
      <c r="A3" t="s">
        <v>100</v>
      </c>
      <c r="B3" s="29">
        <v>0.3</v>
      </c>
      <c r="F3">
        <f>IF(期望!$G$2="撼天",6,0)</f>
        <v>6</v>
      </c>
      <c r="I3">
        <f>IF(期望!$G$2="撼天",6,0)</f>
        <v>6</v>
      </c>
      <c r="K3">
        <f>IF(期望!$G$2="撼天",6,0)</f>
        <v>6</v>
      </c>
      <c r="M3">
        <f>IF(期望!$G$2="撼天",6,0)</f>
        <v>6</v>
      </c>
      <c r="O3">
        <f>IF(期望!$G$2="撼天",6,0)</f>
        <v>6</v>
      </c>
      <c r="R3" s="29">
        <v>0.3</v>
      </c>
      <c r="Y3" s="30" t="s">
        <v>88</v>
      </c>
      <c r="Z3" s="30">
        <f>132%*1.7*(1+期望!$B$22/10)</f>
        <v>2.33376</v>
      </c>
      <c r="AA3" s="4"/>
      <c r="AB3" s="30">
        <f>Z3*1.5</f>
        <v>3.50064</v>
      </c>
    </row>
    <row r="4" spans="1:32">
      <c r="A4" t="s">
        <v>149</v>
      </c>
      <c r="B4" s="29">
        <v>0.3</v>
      </c>
      <c r="F4">
        <f>IF(期望!$G$2="撼天",6,0)</f>
        <v>6</v>
      </c>
      <c r="I4">
        <f>IF(期望!$G$2="撼天",6,0)</f>
        <v>6</v>
      </c>
      <c r="K4">
        <f>IF(期望!$G$2="撼天",6,0)</f>
        <v>6</v>
      </c>
      <c r="M4">
        <f>IF(期望!$G$2="撼天",6,0)</f>
        <v>6</v>
      </c>
      <c r="O4">
        <f>IF(期望!$G$2="撼天",6,0)</f>
        <v>6</v>
      </c>
      <c r="R4" s="29">
        <v>0.3</v>
      </c>
      <c r="Y4" s="30" t="s">
        <v>88</v>
      </c>
      <c r="Z4" s="30">
        <f>110%*1.7*(1+期望!$B$22/10)</f>
        <v>1.9448</v>
      </c>
      <c r="AA4" s="4"/>
      <c r="AB4" s="30">
        <f>Z4*1.5</f>
        <v>2.9172</v>
      </c>
    </row>
    <row r="5" spans="1:32">
      <c r="A5" t="s">
        <v>111</v>
      </c>
      <c r="R5" s="29"/>
      <c r="Y5" s="30" t="s">
        <v>83</v>
      </c>
      <c r="Z5" s="27">
        <f>48.84%*3+97.69%</f>
        <v>2.4421</v>
      </c>
      <c r="AA5" s="28">
        <f>135*3+270</f>
        <v>675</v>
      </c>
      <c r="AB5" s="27">
        <f>73.27%*3+146.53%</f>
        <v>3.6634</v>
      </c>
      <c r="AC5" s="28">
        <f>73*3+147</f>
        <v>366</v>
      </c>
    </row>
    <row r="6" spans="1:32">
      <c r="A6" t="s">
        <v>140</v>
      </c>
      <c r="R6" s="29"/>
      <c r="Y6" s="30" t="s">
        <v>83</v>
      </c>
      <c r="Z6" s="27">
        <f>22.01%+88.04%</f>
        <v>1.1005</v>
      </c>
      <c r="AA6" s="28">
        <f>61+244</f>
        <v>305</v>
      </c>
      <c r="AB6" s="27">
        <f>33.01%+132.06%</f>
        <v>1.6507</v>
      </c>
      <c r="AC6" s="28">
        <f>33+132</f>
        <v>165</v>
      </c>
    </row>
    <row r="7" spans="1:32">
      <c r="A7" t="s">
        <v>103</v>
      </c>
      <c r="B7" s="29">
        <v>0.3</v>
      </c>
      <c r="F7">
        <f>IF(期望!$G$2="撼天",6,0)</f>
        <v>6</v>
      </c>
      <c r="I7">
        <f>IF(期望!$G$2="撼天",6,0)</f>
        <v>6</v>
      </c>
      <c r="K7">
        <f>IF(期望!$G$2="撼天",6,0)</f>
        <v>6</v>
      </c>
      <c r="M7">
        <f>IF(期望!$G$2="撼天",6,0)</f>
        <v>6</v>
      </c>
      <c r="O7">
        <f>IF(期望!$G$2="撼天",6,0)</f>
        <v>6</v>
      </c>
      <c r="R7" s="29">
        <v>0.3</v>
      </c>
      <c r="Y7" s="30" t="s">
        <v>83</v>
      </c>
      <c r="Z7" s="27">
        <f>(22.93%*4+61.15%)*1.8</f>
        <v>2.75166</v>
      </c>
      <c r="AA7" s="28">
        <f>(63*4+169)*1.8</f>
        <v>757.8</v>
      </c>
      <c r="AB7" s="27">
        <f>(34.4%*4+91.72%)*1.8</f>
        <v>4.12776</v>
      </c>
      <c r="AC7" s="28">
        <f>(34*4+92)*1.8</f>
        <v>410.4</v>
      </c>
    </row>
    <row r="8" spans="1:32">
      <c r="A8" t="s">
        <v>182</v>
      </c>
      <c r="R8" s="29"/>
      <c r="Y8" s="30" t="s">
        <v>83</v>
      </c>
      <c r="Z8" s="27">
        <v>0.4349</v>
      </c>
      <c r="AA8" s="28">
        <v>121</v>
      </c>
      <c r="AB8" s="27">
        <v>0.6523</v>
      </c>
      <c r="AC8" s="28">
        <v>66</v>
      </c>
    </row>
    <row r="9" spans="1:32">
      <c r="A9" t="s">
        <v>117</v>
      </c>
      <c r="R9" s="29"/>
      <c r="Y9" s="30" t="s">
        <v>83</v>
      </c>
      <c r="Z9" s="27">
        <f>25.29%+31.83%</f>
        <v>0.5712</v>
      </c>
      <c r="AA9" s="28">
        <f>71+89</f>
        <v>160</v>
      </c>
      <c r="AB9" s="27">
        <f>37.94%+47.74%</f>
        <v>0.8568</v>
      </c>
      <c r="AC9" s="28">
        <f>39+48</f>
        <v>87</v>
      </c>
    </row>
    <row r="10" spans="1:32">
      <c r="A10" t="s">
        <v>106</v>
      </c>
      <c r="R10" s="29"/>
      <c r="Y10" s="30" t="s">
        <v>83</v>
      </c>
      <c r="Z10" s="27">
        <f>46.74%+82.02%</f>
        <v>1.2876</v>
      </c>
      <c r="AA10" s="28">
        <f>130+228</f>
        <v>358</v>
      </c>
      <c r="AB10" s="27">
        <f>70.1%+123.03%</f>
        <v>1.9313</v>
      </c>
      <c r="AC10" s="28">
        <f>71+124</f>
        <v>195</v>
      </c>
    </row>
    <row r="11" customFormat="1" spans="1:32">
      <c r="A11" t="s">
        <v>207</v>
      </c>
      <c r="B11" s="29">
        <v>0.3</v>
      </c>
      <c r="F11">
        <f>IF(期望!$G$2="撼天",6,0)</f>
        <v>6</v>
      </c>
      <c r="I11">
        <f>IF(期望!$G$2="撼天",6,0)</f>
        <v>6</v>
      </c>
      <c r="K11">
        <f>IF(期望!$G$2="撼天",6,0)</f>
        <v>6</v>
      </c>
      <c r="M11">
        <f>IF(期望!$G$2="撼天",6,0)</f>
        <v>6</v>
      </c>
      <c r="O11">
        <f>IF(期望!$G$2="撼天",6,0)</f>
        <v>6</v>
      </c>
      <c r="R11" s="29">
        <v>0.5</v>
      </c>
      <c r="V11">
        <v>1</v>
      </c>
      <c r="Y11" s="30" t="s">
        <v>83</v>
      </c>
      <c r="Z11" s="27">
        <v>7.9363</v>
      </c>
      <c r="AA11" s="28">
        <v>2194</v>
      </c>
      <c r="AB11" s="27">
        <v>11.9044</v>
      </c>
      <c r="AC11" s="28">
        <v>1196</v>
      </c>
      <c r="AD11" t="s">
        <v>208</v>
      </c>
      <c r="AE11">
        <v>1</v>
      </c>
      <c r="AF11">
        <v>1</v>
      </c>
    </row>
    <row r="12" spans="1:32">
      <c r="A12" t="s">
        <v>125</v>
      </c>
      <c r="B12" s="29">
        <v>0.3</v>
      </c>
      <c r="F12">
        <f>IF(期望!$G$2="撼天",6,0)</f>
        <v>6</v>
      </c>
      <c r="I12">
        <f>IF(期望!$G$2="撼天",6,0)</f>
        <v>6</v>
      </c>
      <c r="K12">
        <f>IF(期望!$G$2="撼天",6,0)</f>
        <v>6</v>
      </c>
      <c r="M12">
        <f>IF(期望!$G$2="撼天",6,0)</f>
        <v>6</v>
      </c>
      <c r="O12">
        <f>IF(期望!$G$2="撼天",6,0)</f>
        <v>6</v>
      </c>
      <c r="R12" s="29">
        <v>0.5</v>
      </c>
      <c r="V12">
        <v>1</v>
      </c>
      <c r="Y12" s="30" t="s">
        <v>83</v>
      </c>
      <c r="Z12" s="27">
        <v>16.8107</v>
      </c>
      <c r="AA12" s="28">
        <v>4647</v>
      </c>
      <c r="AB12" s="27">
        <v>25.2161</v>
      </c>
      <c r="AC12" s="28">
        <v>2533</v>
      </c>
      <c r="AD12" t="s">
        <v>208</v>
      </c>
      <c r="AE12">
        <v>1</v>
      </c>
      <c r="AF12">
        <v>1</v>
      </c>
    </row>
    <row r="13" customFormat="1" spans="1:32">
      <c r="A13" t="s">
        <v>129</v>
      </c>
      <c r="B13" s="29">
        <v>0.3</v>
      </c>
      <c r="F13">
        <f>IF(期望!$G$2="撼天",6,0)</f>
        <v>6</v>
      </c>
      <c r="I13">
        <f>IF(期望!$G$2="撼天",6,0)</f>
        <v>6</v>
      </c>
      <c r="K13">
        <f>IF(期望!$G$2="撼天",6,0)</f>
        <v>6</v>
      </c>
      <c r="M13">
        <f>IF(期望!$G$2="撼天",6,0)</f>
        <v>6</v>
      </c>
      <c r="O13">
        <f>IF(期望!$G$2="撼天",6,0)</f>
        <v>6</v>
      </c>
      <c r="R13" s="29">
        <v>0.5</v>
      </c>
      <c r="V13">
        <v>1</v>
      </c>
      <c r="Y13" s="30" t="s">
        <v>83</v>
      </c>
      <c r="Z13" s="27">
        <f>1618.05%*0.4</f>
        <v>6.4722</v>
      </c>
      <c r="AA13" s="28">
        <f>4473*0.4</f>
        <v>1789.2</v>
      </c>
      <c r="AB13" s="27">
        <f>2427.07%*0.4</f>
        <v>9.70828</v>
      </c>
      <c r="AC13" s="28">
        <f>2439*0.4</f>
        <v>975.6</v>
      </c>
      <c r="AD13" t="s">
        <v>208</v>
      </c>
      <c r="AE13">
        <v>1</v>
      </c>
      <c r="AF13">
        <v>1</v>
      </c>
    </row>
    <row r="14" spans="1:32">
      <c r="A14" t="s">
        <v>96</v>
      </c>
      <c r="R14" s="29"/>
      <c r="Y14" s="30" t="s">
        <v>88</v>
      </c>
      <c r="Z14" s="30">
        <v>0.4975</v>
      </c>
      <c r="AA14" s="31">
        <v>137</v>
      </c>
      <c r="AB14" s="30">
        <v>0.7463</v>
      </c>
      <c r="AC14" s="28">
        <v>75</v>
      </c>
    </row>
    <row r="15" spans="1:32">
      <c r="A15" t="s">
        <v>151</v>
      </c>
      <c r="R15" s="29"/>
      <c r="Y15" s="30" t="s">
        <v>88</v>
      </c>
      <c r="Z15" s="30">
        <f>49.75%+116.09%</f>
        <v>1.6584</v>
      </c>
      <c r="AA15" s="31">
        <f>137+321</f>
        <v>458</v>
      </c>
      <c r="AB15" s="30">
        <f>74.63%+174.13%</f>
        <v>2.4876</v>
      </c>
      <c r="AC15" s="28">
        <f>75+175</f>
        <v>250</v>
      </c>
    </row>
    <row r="16" customFormat="1" spans="1:32">
      <c r="A16" t="s">
        <v>148</v>
      </c>
      <c r="R16" s="29"/>
      <c r="Y16" s="30" t="s">
        <v>88</v>
      </c>
      <c r="Z16" s="30">
        <v>1.2503</v>
      </c>
      <c r="AA16" s="31">
        <v>347</v>
      </c>
      <c r="AB16" s="30">
        <v>1.8755</v>
      </c>
      <c r="AC16" s="28">
        <v>189</v>
      </c>
    </row>
    <row r="17" customFormat="1" spans="1:31">
      <c r="A17" t="s">
        <v>209</v>
      </c>
      <c r="Q17" s="27"/>
      <c r="R17" s="29"/>
      <c r="Y17" t="s">
        <v>95</v>
      </c>
      <c r="Z17" s="27">
        <f>198.72%*2</f>
        <v>3.9744</v>
      </c>
      <c r="AA17" s="28">
        <f>491*2</f>
        <v>982</v>
      </c>
      <c r="AB17" s="27">
        <v>5.9613</v>
      </c>
      <c r="AC17" s="28"/>
      <c r="AE17">
        <v>1</v>
      </c>
    </row>
    <row r="18" customFormat="1" spans="1:31">
      <c r="A18" t="s">
        <v>70</v>
      </c>
      <c r="Q18" s="27"/>
      <c r="R18" s="29"/>
      <c r="Y18" t="s">
        <v>95</v>
      </c>
      <c r="Z18" s="27">
        <f>74.52%*2</f>
        <v>1.4904</v>
      </c>
      <c r="AA18" s="28">
        <f>184*2</f>
        <v>368</v>
      </c>
      <c r="AB18" s="27">
        <v>2.2353</v>
      </c>
      <c r="AC18" s="28"/>
      <c r="AE18">
        <v>1</v>
      </c>
    </row>
    <row r="19" customFormat="1" spans="1:31">
      <c r="A19" t="s">
        <v>210</v>
      </c>
      <c r="B19" s="29"/>
      <c r="E19" s="29"/>
      <c r="G19" s="29"/>
      <c r="N19" s="29"/>
      <c r="R19" s="29"/>
      <c r="Y19" t="s">
        <v>95</v>
      </c>
      <c r="Z19" s="27">
        <f>254.69%*2.7*1.5</f>
        <v>10.314945</v>
      </c>
      <c r="AA19" s="28">
        <f>473*2.7*1.5</f>
        <v>1915.65</v>
      </c>
      <c r="AB19" s="27">
        <f>Z19*1.5</f>
        <v>15.4724175</v>
      </c>
      <c r="AC19" s="28"/>
      <c r="AE19">
        <v>1</v>
      </c>
    </row>
    <row r="20" customFormat="1" spans="1:31">
      <c r="A20" t="s">
        <v>211</v>
      </c>
      <c r="B20" s="29"/>
      <c r="Q20" s="27"/>
      <c r="R20" s="29"/>
      <c r="Y20" t="s">
        <v>92</v>
      </c>
      <c r="Z20" s="27">
        <f>319.83%+390.91%</f>
        <v>7.1074</v>
      </c>
      <c r="AA20" s="28">
        <f>594+726</f>
        <v>1320</v>
      </c>
      <c r="AB20" s="27">
        <v>10.6596</v>
      </c>
      <c r="AC20" s="28"/>
      <c r="AE20">
        <v>1</v>
      </c>
    </row>
    <row r="21" customFormat="1" spans="1:31">
      <c r="A21" t="s">
        <v>212</v>
      </c>
      <c r="B21" s="29">
        <v>0.57</v>
      </c>
      <c r="Q21" s="27"/>
      <c r="R21" s="29"/>
      <c r="V21">
        <v>1</v>
      </c>
      <c r="Y21" t="s">
        <v>92</v>
      </c>
      <c r="Z21" s="27">
        <f>1636.39%*2.2*0.7</f>
        <v>25.200406</v>
      </c>
      <c r="AA21" s="28">
        <f>3049*2.2*0.7</f>
        <v>4695.46</v>
      </c>
      <c r="AB21" s="27">
        <f t="shared" ref="AB21:AB32" si="0">Z21*1.5</f>
        <v>37.800609</v>
      </c>
      <c r="AC21" s="28"/>
      <c r="AE21">
        <v>1</v>
      </c>
    </row>
    <row r="22" customFormat="1" spans="1:31">
      <c r="A22" t="s">
        <v>213</v>
      </c>
      <c r="Q22" s="27"/>
      <c r="R22" s="29"/>
      <c r="Y22" t="s">
        <v>95</v>
      </c>
      <c r="Z22" s="27">
        <f>(416%+772.56%)*2</f>
        <v>23.7712</v>
      </c>
      <c r="AA22" s="28">
        <f>(773+1436)*2</f>
        <v>4418</v>
      </c>
      <c r="AB22" s="27">
        <f t="shared" si="0"/>
        <v>35.6568</v>
      </c>
      <c r="AC22" s="28"/>
      <c r="AE22">
        <v>1</v>
      </c>
    </row>
    <row r="23" customFormat="1" spans="1:31">
      <c r="A23" t="s">
        <v>214</v>
      </c>
      <c r="B23" s="29"/>
      <c r="Q23" s="27"/>
      <c r="R23" s="29"/>
      <c r="Y23" t="s">
        <v>92</v>
      </c>
      <c r="Z23" s="27">
        <f>256.96%/2</f>
        <v>1.2848</v>
      </c>
      <c r="AA23" s="28">
        <f>483/2</f>
        <v>241.5</v>
      </c>
      <c r="AB23" s="27">
        <f t="shared" si="0"/>
        <v>1.9272</v>
      </c>
      <c r="AC23" s="28"/>
      <c r="AE23">
        <v>1</v>
      </c>
    </row>
    <row r="24" customFormat="1" spans="1:31">
      <c r="A24" t="s">
        <v>157</v>
      </c>
      <c r="Q24" s="27"/>
      <c r="R24" s="29"/>
      <c r="Y24" t="s">
        <v>92</v>
      </c>
      <c r="Z24" s="27">
        <f>256.96%+141.59%</f>
        <v>3.9855</v>
      </c>
      <c r="AA24" s="28">
        <f>483+266</f>
        <v>749</v>
      </c>
      <c r="AB24" s="27">
        <f t="shared" si="0"/>
        <v>5.97825</v>
      </c>
      <c r="AC24" s="28"/>
      <c r="AE24">
        <v>1</v>
      </c>
    </row>
    <row r="25" customFormat="1" spans="1:31">
      <c r="A25" t="s">
        <v>160</v>
      </c>
      <c r="B25" s="29"/>
      <c r="Q25" s="27"/>
      <c r="R25" s="29"/>
      <c r="T25" s="29"/>
      <c r="Y25" t="s">
        <v>92</v>
      </c>
      <c r="Z25" s="27">
        <v>0.236</v>
      </c>
      <c r="AA25" s="28">
        <v>44</v>
      </c>
      <c r="AB25" s="27">
        <f t="shared" si="0"/>
        <v>0.354</v>
      </c>
      <c r="AC25" s="28"/>
      <c r="AE25">
        <v>0.6</v>
      </c>
    </row>
    <row r="26" customFormat="1" spans="1:31">
      <c r="A26" t="s">
        <v>215</v>
      </c>
      <c r="B26" s="29"/>
      <c r="Q26" s="27"/>
      <c r="R26" s="29"/>
      <c r="Y26" t="s">
        <v>92</v>
      </c>
      <c r="Z26" s="27">
        <f>272.37%/2</f>
        <v>1.36185</v>
      </c>
      <c r="AA26" s="28">
        <f>508/2</f>
        <v>254</v>
      </c>
      <c r="AB26" s="27">
        <f t="shared" si="0"/>
        <v>2.042775</v>
      </c>
      <c r="AC26" s="28"/>
      <c r="AE26">
        <v>1</v>
      </c>
    </row>
    <row r="27" customFormat="1" spans="1:31">
      <c r="A27" t="s">
        <v>216</v>
      </c>
      <c r="Q27" s="27"/>
      <c r="R27" s="29"/>
      <c r="Y27" t="s">
        <v>92</v>
      </c>
      <c r="Z27" s="27">
        <f>272.37%+150.08%</f>
        <v>4.2245</v>
      </c>
      <c r="AA27" s="28">
        <f>508+280</f>
        <v>788</v>
      </c>
      <c r="AB27" s="27">
        <f t="shared" si="0"/>
        <v>6.33675</v>
      </c>
      <c r="AC27" s="28"/>
      <c r="AE27">
        <v>1</v>
      </c>
    </row>
    <row r="28" customFormat="1" spans="1:31">
      <c r="A28" t="s">
        <v>217</v>
      </c>
      <c r="B28" s="29"/>
      <c r="Q28" s="27"/>
      <c r="R28" s="29"/>
      <c r="T28" s="29"/>
      <c r="Y28" t="s">
        <v>92</v>
      </c>
      <c r="Z28" s="27">
        <v>0.2957</v>
      </c>
      <c r="AA28" s="28">
        <v>55</v>
      </c>
      <c r="AB28" s="27">
        <f t="shared" si="0"/>
        <v>0.44355</v>
      </c>
      <c r="AC28" s="28"/>
      <c r="AE28">
        <v>0.6</v>
      </c>
    </row>
    <row r="29" customFormat="1" spans="1:31">
      <c r="A29" t="s">
        <v>218</v>
      </c>
      <c r="Q29" s="27"/>
      <c r="R29" s="29"/>
      <c r="Y29" t="s">
        <v>92</v>
      </c>
      <c r="Z29" s="27">
        <v>1.0238</v>
      </c>
      <c r="AA29" s="28">
        <v>189</v>
      </c>
      <c r="AB29" s="27">
        <f t="shared" si="0"/>
        <v>1.5357</v>
      </c>
      <c r="AC29" s="28"/>
      <c r="AE29">
        <v>1</v>
      </c>
    </row>
    <row r="30" customFormat="1" spans="1:31">
      <c r="A30" t="s">
        <v>219</v>
      </c>
      <c r="B30" s="29">
        <v>0.8</v>
      </c>
      <c r="Q30" s="27"/>
      <c r="R30" s="29"/>
      <c r="Y30" t="s">
        <v>92</v>
      </c>
      <c r="Z30" s="27">
        <v>1.7063</v>
      </c>
      <c r="AA30" s="28">
        <v>315</v>
      </c>
      <c r="AB30" s="27">
        <f t="shared" si="0"/>
        <v>2.55945</v>
      </c>
      <c r="AC30" s="28"/>
      <c r="AE30">
        <v>1</v>
      </c>
    </row>
    <row r="31" customFormat="1" spans="1:31">
      <c r="A31" t="s">
        <v>220</v>
      </c>
      <c r="Q31" s="27"/>
      <c r="R31" s="29"/>
      <c r="Y31" t="s">
        <v>92</v>
      </c>
      <c r="Z31" s="27">
        <v>0.702</v>
      </c>
      <c r="AA31" s="28">
        <v>129</v>
      </c>
      <c r="AB31" s="27">
        <f t="shared" si="0"/>
        <v>1.053</v>
      </c>
      <c r="AC31" s="28"/>
      <c r="AE31">
        <v>1</v>
      </c>
    </row>
    <row r="32" customFormat="1" spans="1:31">
      <c r="A32" t="s">
        <v>221</v>
      </c>
      <c r="Q32" s="27"/>
      <c r="R32" s="29"/>
      <c r="Y32" t="s">
        <v>92</v>
      </c>
      <c r="Z32" s="27">
        <v>1.6088</v>
      </c>
      <c r="AA32" s="28">
        <v>297</v>
      </c>
      <c r="AB32" s="27">
        <f t="shared" si="0"/>
        <v>2.4132</v>
      </c>
      <c r="AC32" s="28"/>
      <c r="AE32">
        <v>1</v>
      </c>
    </row>
    <row r="33" customFormat="1" spans="1:31">
      <c r="A33" t="s">
        <v>190</v>
      </c>
      <c r="Q33" s="27"/>
      <c r="R33" s="29"/>
      <c r="Y33" t="s">
        <v>222</v>
      </c>
      <c r="Z33" s="27">
        <v>1</v>
      </c>
      <c r="AA33" s="28"/>
      <c r="AB33" s="27">
        <v>1</v>
      </c>
      <c r="AC33" s="28"/>
      <c r="AE33">
        <v>1</v>
      </c>
    </row>
    <row r="34" customFormat="1" spans="1:31">
      <c r="A34" t="s">
        <v>189</v>
      </c>
      <c r="B34" s="29"/>
      <c r="E34" s="29"/>
      <c r="G34" s="29"/>
      <c r="N34" s="29"/>
      <c r="R34" s="29"/>
      <c r="Y34" t="s">
        <v>95</v>
      </c>
      <c r="Z34" s="27">
        <f>254.69%*2.7</f>
        <v>6.87663</v>
      </c>
      <c r="AA34" s="28">
        <f>473*2.7</f>
        <v>1277.1</v>
      </c>
      <c r="AB34" s="27">
        <f>Z34*1.5</f>
        <v>10.314945</v>
      </c>
      <c r="AC34" s="28"/>
      <c r="AE34">
        <v>1</v>
      </c>
    </row>
    <row r="35" customFormat="1" spans="1:31">
      <c r="A35" t="s">
        <v>72</v>
      </c>
      <c r="Q35" s="27"/>
      <c r="Y35" t="s">
        <v>222</v>
      </c>
      <c r="Z35" s="27">
        <v>0</v>
      </c>
      <c r="AA35" s="28"/>
      <c r="AB35" s="27">
        <v>0</v>
      </c>
      <c r="AC35" s="28"/>
      <c r="AE35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"/>
  <sheetViews>
    <sheetView workbookViewId="0">
      <selection activeCell="B4" sqref="B4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7"/>
    <col min="24" max="24" width="9.375" style="27"/>
    <col min="25" max="25" width="9" style="28"/>
    <col min="26" max="26" width="9.375" style="27"/>
    <col min="27" max="27" width="9" style="28"/>
  </cols>
  <sheetData>
    <row r="1" spans="1:26">
      <c r="B1" t="s">
        <v>34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102</v>
      </c>
      <c r="R1" t="s">
        <v>199</v>
      </c>
      <c r="S1" t="s">
        <v>104</v>
      </c>
      <c r="T1" t="s">
        <v>200</v>
      </c>
      <c r="U1" t="s">
        <v>223</v>
      </c>
      <c r="V1" t="s">
        <v>224</v>
      </c>
      <c r="W1" s="27" t="s">
        <v>65</v>
      </c>
    </row>
    <row r="2" spans="1:26">
      <c r="A2" t="s">
        <v>81</v>
      </c>
      <c r="B2" s="29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0"/>
      <c r="X2" s="30"/>
      <c r="Y2" s="31"/>
      <c r="Z2" s="30"/>
    </row>
    <row r="3" spans="1:26">
      <c r="A3" t="s">
        <v>161</v>
      </c>
      <c r="B3" s="29">
        <f>IF(期望!$D$20="√",25%,0)</f>
        <v>0.25</v>
      </c>
      <c r="W3" s="30"/>
      <c r="X3" s="30"/>
      <c r="Y3" s="31"/>
      <c r="Z3" s="30"/>
    </row>
    <row r="4" spans="1:26">
      <c r="A4" t="s">
        <v>75</v>
      </c>
      <c r="B4" s="29"/>
      <c r="W4" s="30">
        <v>0.05</v>
      </c>
      <c r="X4" s="30"/>
      <c r="Y4" s="31"/>
      <c r="Z4" s="30"/>
    </row>
    <row r="5" spans="1:26">
      <c r="A5" t="s">
        <v>101</v>
      </c>
      <c r="B5" s="29"/>
      <c r="F5">
        <f>IF(期望!$C$22="三穷致知",20,0)</f>
        <v>0</v>
      </c>
      <c r="I5">
        <f>IF(期望!$C$22="三穷致知",20,0)</f>
        <v>0</v>
      </c>
      <c r="K5">
        <f>IF(期望!$C$22="三穷致知",20,0)</f>
        <v>0</v>
      </c>
      <c r="M5">
        <f>IF(期望!$C$22="三穷致知",20,0)</f>
        <v>0</v>
      </c>
      <c r="O5">
        <f>IF(期望!$C$22="三穷致知",20,0)</f>
        <v>0</v>
      </c>
      <c r="W5" s="30"/>
      <c r="X5" s="30"/>
      <c r="Y5" s="31"/>
      <c r="Z5" s="30"/>
    </row>
    <row r="6" spans="1:26">
      <c r="A6" t="s">
        <v>176</v>
      </c>
      <c r="B6" s="29"/>
      <c r="W6" s="30">
        <v>0.1</v>
      </c>
    </row>
    <row r="7" spans="1:26">
      <c r="A7" t="s">
        <v>73</v>
      </c>
      <c r="B7" s="29">
        <v>0.02</v>
      </c>
      <c r="W7" s="30"/>
    </row>
    <row r="8" spans="1:26">
      <c r="A8" t="s">
        <v>119</v>
      </c>
      <c r="B8" s="29">
        <v>0.15</v>
      </c>
      <c r="W8" s="30"/>
    </row>
    <row r="9" spans="1:26">
      <c r="A9" t="s">
        <v>118</v>
      </c>
      <c r="B9" s="29"/>
      <c r="F9">
        <f>IF(期望!$C$22="断石之构",25,0)</f>
        <v>25</v>
      </c>
      <c r="J9" s="29"/>
      <c r="R9" s="29">
        <f>IF(期望!$C$22="断石之构",25%,0)</f>
        <v>0.25</v>
      </c>
      <c r="X9" s="30"/>
      <c r="Y9" s="31"/>
      <c r="Z9" s="30"/>
    </row>
    <row r="10" spans="1:26">
      <c r="A10" t="s">
        <v>177</v>
      </c>
      <c r="B10" s="29"/>
      <c r="J10" s="29">
        <f>IF(期望!$D$18="√",10%,0)</f>
        <v>0.1</v>
      </c>
      <c r="W10" s="27">
        <f>IF(期望!$D$18="√",10%,0)</f>
        <v>0.1</v>
      </c>
      <c r="X10" s="30"/>
      <c r="Y10" s="31"/>
      <c r="Z10" s="30"/>
    </row>
    <row r="11" spans="1:26">
      <c r="A11" t="s">
        <v>76</v>
      </c>
      <c r="B11" s="29"/>
      <c r="G11" s="29">
        <v>0.09</v>
      </c>
      <c r="P11" s="29">
        <v>0.09</v>
      </c>
      <c r="X11" s="30"/>
      <c r="Y11" s="31"/>
      <c r="Z11" s="30"/>
    </row>
    <row r="12" spans="1:26">
      <c r="A12" t="s">
        <v>74</v>
      </c>
      <c r="R12" s="29">
        <f>IF(期望!$F$16="√",1%,0)</f>
        <v>0.01</v>
      </c>
      <c r="X12" s="30"/>
      <c r="Y12" s="31"/>
      <c r="Z12" s="30"/>
    </row>
    <row r="13" spans="1:26">
      <c r="A13" t="s">
        <v>80</v>
      </c>
      <c r="R13" s="29">
        <f>IF(期望!$F$16="√",2%,0)</f>
        <v>0.02</v>
      </c>
      <c r="X13" s="30"/>
      <c r="Y13" s="31"/>
      <c r="Z13" s="30"/>
    </row>
    <row r="14" spans="1:26">
      <c r="A14" t="s">
        <v>86</v>
      </c>
      <c r="R14" s="29">
        <f>IF(期望!$F$16="√",3%,0)</f>
        <v>0.03</v>
      </c>
      <c r="X14" s="30"/>
      <c r="Y14" s="31"/>
      <c r="Z14" s="30"/>
    </row>
    <row r="15" spans="1:26">
      <c r="A15" t="s">
        <v>91</v>
      </c>
      <c r="R15" s="29">
        <f>IF(期望!$F$16="√",4%,0)</f>
        <v>0.04</v>
      </c>
      <c r="X15" s="30"/>
      <c r="Y15" s="31"/>
      <c r="Z15" s="30"/>
    </row>
    <row r="16" spans="1:26">
      <c r="A16" t="s">
        <v>141</v>
      </c>
      <c r="R16" s="29">
        <f>IF(期望!$F$16="√",5%,0)</f>
        <v>0.05</v>
      </c>
      <c r="X16" s="30"/>
      <c r="Y16" s="31"/>
      <c r="Z16" s="30"/>
    </row>
    <row r="17" spans="1:26">
      <c r="A17" t="s">
        <v>146</v>
      </c>
      <c r="R17" s="29">
        <f>IF(期望!$F$16="√",6%,0)</f>
        <v>0.06</v>
      </c>
      <c r="X17" s="30"/>
      <c r="Y17" s="31"/>
      <c r="Z17" s="30"/>
    </row>
    <row r="18" spans="1:26">
      <c r="A18" t="s">
        <v>154</v>
      </c>
      <c r="R18" s="29">
        <f>IF(期望!$F$16="√",7%,0)</f>
        <v>0.07</v>
      </c>
      <c r="X18" s="30"/>
      <c r="Y18" s="31"/>
      <c r="Z18" s="30"/>
    </row>
    <row r="19" spans="1:26">
      <c r="A19" t="s">
        <v>158</v>
      </c>
      <c r="R19" s="29">
        <f>IF(期望!$F$16="√",8%,0)</f>
        <v>0.08</v>
      </c>
      <c r="X19" s="30"/>
      <c r="Y19" s="31"/>
      <c r="Z19" s="30"/>
    </row>
    <row r="20" spans="1:26">
      <c r="A20" t="s">
        <v>163</v>
      </c>
      <c r="R20" s="29">
        <f>IF(期望!$F$16="√",9%,0)</f>
        <v>0.09</v>
      </c>
      <c r="X20" s="30"/>
      <c r="Y20" s="31"/>
      <c r="Z20" s="30"/>
    </row>
    <row r="21" spans="1:26">
      <c r="A21" t="s">
        <v>165</v>
      </c>
      <c r="R21" s="29">
        <f>IF(期望!$F$16="√",10%,0)</f>
        <v>0.1</v>
      </c>
      <c r="X21" s="30"/>
      <c r="Y21" s="31"/>
      <c r="Z21" s="30"/>
    </row>
    <row r="22" spans="1:26">
      <c r="A22" t="s">
        <v>225</v>
      </c>
      <c r="R22" s="29">
        <f>IF(期望!$F$16="√",10%,0)</f>
        <v>0.1</v>
      </c>
      <c r="X22" s="30"/>
      <c r="Y22" s="31"/>
      <c r="Z22" s="30"/>
    </row>
    <row r="23" spans="1:26">
      <c r="A23" t="s">
        <v>71</v>
      </c>
      <c r="B23" s="29">
        <f>1%*IF(期望!$C$24="易水歌",1,0)</f>
        <v>0.01</v>
      </c>
      <c r="F23">
        <f>2*IF(期望!$C$24="易水歌",1,0)</f>
        <v>2</v>
      </c>
      <c r="X23" s="30"/>
      <c r="Y23" s="31"/>
      <c r="Z23" s="30"/>
    </row>
    <row r="24" spans="1:26">
      <c r="A24" t="s">
        <v>79</v>
      </c>
      <c r="B24" s="29">
        <f>2%*IF(期望!$C$24="易水歌",1,0)</f>
        <v>0.02</v>
      </c>
      <c r="F24">
        <f>4*IF(期望!$C$24="易水歌",1,0)</f>
        <v>4</v>
      </c>
      <c r="X24" s="30"/>
      <c r="Y24" s="31"/>
      <c r="Z24" s="30"/>
    </row>
    <row r="25" spans="1:26">
      <c r="A25" t="s">
        <v>85</v>
      </c>
      <c r="B25" s="29">
        <f>3%*IF(期望!$C$24="易水歌",1,0)</f>
        <v>0.03</v>
      </c>
      <c r="F25">
        <f>6*IF(期望!$C$24="易水歌",1,0)</f>
        <v>6</v>
      </c>
      <c r="X25" s="30"/>
      <c r="Y25" s="31"/>
      <c r="Z25" s="30"/>
    </row>
    <row r="26" spans="1:26">
      <c r="A26" t="s">
        <v>90</v>
      </c>
      <c r="B26" s="29">
        <f>4%*IF(期望!$C$24="易水歌",1,0)</f>
        <v>0.04</v>
      </c>
      <c r="F26">
        <f>8*IF(期望!$C$24="易水歌",1,0)</f>
        <v>8</v>
      </c>
      <c r="X26" s="30"/>
      <c r="Y26" s="31"/>
      <c r="Z26" s="30"/>
    </row>
    <row r="27" spans="1:26">
      <c r="A27" t="s">
        <v>93</v>
      </c>
      <c r="B27" s="29">
        <f>5%*IF(期望!$C$24="易水歌",1,0)</f>
        <v>0.05</v>
      </c>
      <c r="F27">
        <f>10*IF(期望!$C$24="易水歌",1,0)</f>
        <v>10</v>
      </c>
      <c r="X27" s="30"/>
      <c r="Y27" s="31"/>
      <c r="Z27" s="30"/>
    </row>
    <row r="28" spans="1:26">
      <c r="A28" t="s">
        <v>72</v>
      </c>
      <c r="X28" s="30"/>
      <c r="Y28" s="31"/>
      <c r="Z28" s="30"/>
    </row>
    <row r="29" spans="1:26">
      <c r="X29" s="30"/>
      <c r="Y29" s="31"/>
      <c r="Z29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C35" sqref="C35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226</v>
      </c>
      <c r="B1" s="3" t="s">
        <v>227</v>
      </c>
      <c r="C1" s="4" t="s">
        <v>228</v>
      </c>
      <c r="D1" s="5" t="s">
        <v>229</v>
      </c>
    </row>
    <row r="2" spans="1:4">
      <c r="A2" s="6">
        <v>0.1</v>
      </c>
      <c r="B2" s="7">
        <v>1</v>
      </c>
      <c r="C2" s="8" t="s">
        <v>230</v>
      </c>
      <c r="D2" s="4" t="s">
        <v>231</v>
      </c>
    </row>
    <row r="3" spans="1:4">
      <c r="A3" s="9"/>
      <c r="B3" s="10">
        <v>2</v>
      </c>
      <c r="C3" s="11" t="s">
        <v>232</v>
      </c>
    </row>
    <row r="4" spans="1:4">
      <c r="A4" s="9"/>
      <c r="B4" s="12">
        <v>3</v>
      </c>
      <c r="C4" s="11" t="s">
        <v>233</v>
      </c>
    </row>
    <row r="5" ht="14.25" spans="1:4">
      <c r="A5" s="13"/>
      <c r="B5" s="14">
        <v>4</v>
      </c>
      <c r="C5" s="15" t="s">
        <v>234</v>
      </c>
    </row>
    <row r="6" ht="14.25" spans="1:4">
      <c r="A6" s="16">
        <v>0.2</v>
      </c>
      <c r="B6" s="17">
        <v>1</v>
      </c>
      <c r="C6" s="18" t="s">
        <v>235</v>
      </c>
    </row>
    <row r="7" ht="14.25" spans="1:4">
      <c r="A7" s="16">
        <v>0.3</v>
      </c>
      <c r="B7" s="17">
        <v>1</v>
      </c>
      <c r="C7" s="18" t="s">
        <v>236</v>
      </c>
    </row>
    <row r="8" ht="14.25" spans="1:4">
      <c r="A8" s="16">
        <v>0.4</v>
      </c>
      <c r="B8" s="17">
        <v>1</v>
      </c>
      <c r="C8" s="18" t="s">
        <v>237</v>
      </c>
    </row>
    <row r="9" ht="14.25" spans="1:4">
      <c r="A9" s="19">
        <v>0.5</v>
      </c>
      <c r="B9" s="20">
        <v>1</v>
      </c>
      <c r="C9" s="8" t="s">
        <v>238</v>
      </c>
    </row>
    <row r="10" spans="1:4">
      <c r="A10" s="19">
        <v>0.6</v>
      </c>
      <c r="B10" s="20">
        <v>1</v>
      </c>
      <c r="C10" s="8" t="s">
        <v>239</v>
      </c>
    </row>
    <row r="11" spans="1:4">
      <c r="A11" s="21"/>
      <c r="B11" s="12">
        <v>2</v>
      </c>
      <c r="C11" s="11" t="s">
        <v>240</v>
      </c>
    </row>
    <row r="12" ht="14.25" spans="1:4">
      <c r="A12" s="22"/>
      <c r="B12" s="14">
        <v>3</v>
      </c>
      <c r="C12" s="15" t="s">
        <v>241</v>
      </c>
    </row>
    <row r="13" ht="14.25" spans="1:4">
      <c r="A13" s="23">
        <v>0.7</v>
      </c>
      <c r="B13" s="17">
        <v>1</v>
      </c>
      <c r="C13" s="18" t="s">
        <v>242</v>
      </c>
    </row>
    <row r="14" ht="14.25" spans="1:4">
      <c r="A14" s="16">
        <v>0.8</v>
      </c>
      <c r="B14" s="17">
        <v>1</v>
      </c>
      <c r="C14" s="18" t="s">
        <v>243</v>
      </c>
    </row>
    <row r="15" ht="14.25" spans="1:4">
      <c r="A15" s="16">
        <v>0.9</v>
      </c>
      <c r="B15" s="17">
        <v>1</v>
      </c>
      <c r="C15" s="18" t="s">
        <v>243</v>
      </c>
    </row>
    <row r="16" ht="14.25" spans="1:4">
      <c r="A16" s="16">
        <v>1</v>
      </c>
      <c r="B16" s="17">
        <v>1</v>
      </c>
      <c r="C16" s="18" t="s">
        <v>244</v>
      </c>
    </row>
    <row r="17" spans="1:3">
      <c r="A17" s="19">
        <v>1.1</v>
      </c>
      <c r="B17" s="20">
        <v>1</v>
      </c>
      <c r="C17" s="8" t="s">
        <v>245</v>
      </c>
    </row>
    <row r="18" ht="14.25" spans="1:3">
      <c r="A18" s="22"/>
      <c r="B18" s="14">
        <v>2</v>
      </c>
      <c r="C18" s="15" t="s">
        <v>246</v>
      </c>
    </row>
    <row r="19" ht="14.25" spans="1:3">
      <c r="A19" s="19">
        <v>1.2</v>
      </c>
      <c r="B19" s="20">
        <v>1</v>
      </c>
      <c r="C19" s="8" t="s">
        <v>247</v>
      </c>
    </row>
    <row r="20" spans="1:3">
      <c r="A20" s="19">
        <v>1.3</v>
      </c>
      <c r="B20" s="20">
        <v>1</v>
      </c>
      <c r="C20" s="8" t="s">
        <v>248</v>
      </c>
    </row>
    <row r="21" ht="14.25" spans="1:3">
      <c r="A21" s="22"/>
      <c r="B21" s="14">
        <v>2</v>
      </c>
      <c r="C21" s="15" t="s">
        <v>249</v>
      </c>
    </row>
    <row r="22" spans="1:3">
      <c r="A22" s="19">
        <v>1.4</v>
      </c>
      <c r="B22" s="20">
        <v>1</v>
      </c>
      <c r="C22" s="8" t="s">
        <v>250</v>
      </c>
    </row>
    <row r="23" ht="14.25" spans="1:3">
      <c r="A23" s="22"/>
      <c r="B23" s="14">
        <v>2</v>
      </c>
      <c r="C23" s="15" t="s">
        <v>251</v>
      </c>
    </row>
    <row r="24" ht="14.25" spans="1:3">
      <c r="A24" s="16">
        <v>1.5</v>
      </c>
      <c r="B24" s="17">
        <v>1</v>
      </c>
      <c r="C24" s="18" t="s">
        <v>252</v>
      </c>
    </row>
    <row r="25" ht="14.25" spans="1:3">
      <c r="A25" s="16">
        <v>1.6</v>
      </c>
      <c r="B25" s="17">
        <v>1</v>
      </c>
      <c r="C25" s="18" t="s">
        <v>253</v>
      </c>
    </row>
    <row r="26" ht="14.25" spans="1:3">
      <c r="A26" s="16">
        <v>1.7</v>
      </c>
      <c r="B26" s="17">
        <v>1</v>
      </c>
      <c r="C26" s="18" t="s">
        <v>253</v>
      </c>
    </row>
    <row r="27" ht="14.25" spans="1:3">
      <c r="A27" s="24">
        <v>1.8</v>
      </c>
      <c r="B27" s="25">
        <v>1</v>
      </c>
      <c r="C27" s="26" t="s">
        <v>254</v>
      </c>
    </row>
  </sheetData>
  <mergeCells count="5">
    <mergeCell ref="A2:A5"/>
    <mergeCell ref="A10:A12"/>
    <mergeCell ref="A17:A18"/>
    <mergeCell ref="A20:A21"/>
    <mergeCell ref="A22:A2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2026-07-03T05:47:04Z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