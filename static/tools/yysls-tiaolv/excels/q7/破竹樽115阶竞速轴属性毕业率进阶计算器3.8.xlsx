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<sst xmlns="http://schemas.openxmlformats.org/spreadsheetml/2006/main" count="6278" uniqueCount="284">
  <si>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</si>
  <si>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</si>
  <si>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</si>
  <si>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</si>
  <si>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</si>
  <si>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</si>
  <si>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</si>
  <si>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</si>
  <si>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</si>
  <si>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</si>
  <si>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</si>
  <si>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</si>
  <si>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</si>
  <si>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</si>
  <si>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</si>
  <si>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</si>
  <si>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</si>
  <si>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</si>
  <si>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</si>
  <si>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</si>
  <si>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</si>
  <si>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</si>
  <si>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</si>
  <si>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</si>
  <si>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</si>
  <si>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</si>
  <si>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</si>
  <si>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</si>
  <si>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</si>
  <si>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</si>
  <si>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</si>
  <si>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</si>
  <si>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</si>
  <si>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</si>
  <si>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</si>
  <si>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</si>
  <si>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</si>
  <si>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</si>
  <si>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</si>
  <si>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</si>
  <si>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</si>
  <si>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</si>
  <si>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</si>
  <si>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</si>
  <si>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</si>
  <si>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</si>
  <si>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</si>
  <si>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</si>
  <si>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</si>
  <si>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</si>
  <si>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</si>
  <si>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</si>
  <si>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</si>
  <si>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</si>
  <si>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</si>
  <si>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</si>
  <si>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</si>
  <si>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</si>
  <si>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</si>
  <si>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</si>
  <si>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</si>
  <si>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</si>
  <si>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</si>
  <si>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</si>
  <si>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</si>
  <si>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</si>
  <si>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</si>
  <si>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</si>
  <si>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</si>
  <si>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</si>
  <si>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</si>
  <si>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</si>
  <si>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</si>
  <si>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结算增伤</t>
  </si>
  <si>
    <t>外功</t>
  </si>
  <si>
    <t>套装</t>
  </si>
  <si>
    <t>倾觞</t>
  </si>
  <si>
    <t>防御</t>
  </si>
  <si>
    <t>千灯一月单次</t>
  </si>
  <si>
    <t>易水歌2层</t>
  </si>
  <si>
    <t>沧海帖2层</t>
  </si>
  <si>
    <t>离猎</t>
  </si>
  <si>
    <t>浅醉</t>
  </si>
  <si>
    <t>醉意增伤</t>
  </si>
  <si>
    <t>N/a</t>
  </si>
  <si>
    <t>惧刃(拐)</t>
  </si>
  <si>
    <t>燕别(0%)</t>
  </si>
  <si>
    <t>裁云(拐)</t>
  </si>
  <si>
    <t>无惧</t>
  </si>
  <si>
    <t>鸣金</t>
  </si>
  <si>
    <t>外抗</t>
  </si>
  <si>
    <t>易水歌3层</t>
  </si>
  <si>
    <t>扶风(拐)</t>
  </si>
  <si>
    <t>断石5层</t>
  </si>
  <si>
    <t>阴阳</t>
  </si>
  <si>
    <t>裂石</t>
  </si>
  <si>
    <t>拳甲</t>
  </si>
  <si>
    <t>属抗</t>
  </si>
  <si>
    <t>易水歌4层</t>
  </si>
  <si>
    <t>沧海帖3层</t>
  </si>
  <si>
    <t>烁鼓(拐)</t>
  </si>
  <si>
    <t>牵丝</t>
  </si>
  <si>
    <t>双刀</t>
  </si>
  <si>
    <t>副本天赋</t>
  </si>
  <si>
    <t>易水歌5层</t>
  </si>
  <si>
    <t>单体奇术</t>
  </si>
  <si>
    <t>沧海帖4层</t>
  </si>
  <si>
    <t>燕别(10%)</t>
  </si>
  <si>
    <t>无相</t>
  </si>
  <si>
    <t>群体奇术</t>
  </si>
  <si>
    <t>碧血为迎</t>
  </si>
  <si>
    <t>小燕别(0%)</t>
  </si>
  <si>
    <t>精准率</t>
  </si>
  <si>
    <t>实际属性</t>
  </si>
  <si>
    <t>战斗时间</t>
  </si>
  <si>
    <t>双刀Q1(浅醉)</t>
  </si>
  <si>
    <t>易水歌1层</t>
  </si>
  <si>
    <t>沧海帖1层</t>
  </si>
  <si>
    <t>会心率</t>
  </si>
  <si>
    <t>拳甲Q2</t>
  </si>
  <si>
    <t>会意率</t>
  </si>
  <si>
    <t>总伤</t>
  </si>
  <si>
    <t>长鲸吸川(拳甲+浅醉)</t>
  </si>
  <si>
    <t>直接会心率</t>
  </si>
  <si>
    <t>拳甲～(浅醉)</t>
  </si>
  <si>
    <t>直接会意率</t>
  </si>
  <si>
    <t>ADPS</t>
  </si>
  <si>
    <t>拳甲～破防(浅醉)</t>
  </si>
  <si>
    <t>会心伤害加成</t>
  </si>
  <si>
    <t>长鲸吸川(拳甲+浓醺)</t>
  </si>
  <si>
    <t>浓醺</t>
  </si>
  <si>
    <t>会意伤害加成</t>
  </si>
  <si>
    <t>RDPS</t>
  </si>
  <si>
    <t>饮龙·酩酊</t>
  </si>
  <si>
    <t>全武增</t>
  </si>
  <si>
    <t>团队增益</t>
  </si>
  <si>
    <t>饮龙·酩酊一段</t>
  </si>
  <si>
    <t>首领增</t>
  </si>
  <si>
    <t>威</t>
  </si>
  <si>
    <t>√</t>
  </si>
  <si>
    <t>沧海帖</t>
  </si>
  <si>
    <t>毕业率</t>
  </si>
  <si>
    <t>饮龙·酩酊二段</t>
  </si>
  <si>
    <t>拳甲增</t>
  </si>
  <si>
    <t>尘</t>
  </si>
  <si>
    <t>所恨年年</t>
  </si>
  <si>
    <t>饮龙·酩酊三段</t>
  </si>
  <si>
    <t>双刀增</t>
  </si>
  <si>
    <t>虹</t>
  </si>
  <si>
    <t>高伤取值</t>
  </si>
  <si>
    <t>机制时间</t>
  </si>
  <si>
    <t>饮龙·酩酊四段</t>
  </si>
  <si>
    <t>单体奇术增</t>
  </si>
  <si>
    <t>钧</t>
  </si>
  <si>
    <t>群体奇术增</t>
  </si>
  <si>
    <t>影</t>
  </si>
  <si>
    <t>真气比例</t>
  </si>
  <si>
    <t>碧血为迎·酩酊一段</t>
  </si>
  <si>
    <t>沧海帖5层</t>
  </si>
  <si>
    <t>酩酊技定音</t>
  </si>
  <si>
    <t>翊</t>
  </si>
  <si>
    <t>×</t>
  </si>
  <si>
    <t>第三心法</t>
  </si>
  <si>
    <t>碧血为迎·酩酊后续</t>
  </si>
  <si>
    <t>固伤加成</t>
  </si>
  <si>
    <t>断石之构</t>
  </si>
  <si>
    <t>碧血为迎·酩酊尾段</t>
  </si>
  <si>
    <t>食物加成</t>
  </si>
  <si>
    <t>第四心法</t>
  </si>
  <si>
    <t>普通拳甲Q1</t>
  </si>
  <si>
    <t>沧海帖6层</t>
  </si>
  <si>
    <t>小燕别(10%)</t>
  </si>
  <si>
    <t>易水歌</t>
  </si>
  <si>
    <t>普通拳甲Q2</t>
  </si>
  <si>
    <t>灯</t>
  </si>
  <si>
    <t>沧海帖7层</t>
  </si>
  <si>
    <t>双刀～</t>
  </si>
  <si>
    <t>双刀Q卸</t>
  </si>
  <si>
    <t>切武器</t>
  </si>
  <si>
    <t>Q2</t>
  </si>
  <si>
    <t>醉杀</t>
  </si>
  <si>
    <t>步乱</t>
  </si>
  <si>
    <t>喝酒</t>
  </si>
  <si>
    <t>惧</t>
  </si>
  <si>
    <t>鼓</t>
  </si>
  <si>
    <t>碧血为迎(浅醉)</t>
  </si>
  <si>
    <t>沧海帖8层</t>
  </si>
  <si>
    <t>燕别(20%)</t>
  </si>
  <si>
    <t>拳～</t>
  </si>
  <si>
    <t>拳～左派</t>
  </si>
  <si>
    <t>断</t>
  </si>
  <si>
    <t>RRRR</t>
  </si>
  <si>
    <t>沧海帖9层</t>
  </si>
  <si>
    <t>RR</t>
  </si>
  <si>
    <t>沧海帖10层</t>
  </si>
  <si>
    <t>气竭</t>
  </si>
  <si>
    <t>真气失衡</t>
  </si>
  <si>
    <t>燕别(30%)</t>
  </si>
  <si>
    <t>断石1层</t>
  </si>
  <si>
    <t>断石2层</t>
  </si>
  <si>
    <t>碧血酩酊</t>
  </si>
  <si>
    <t>断石4层</t>
  </si>
  <si>
    <t>普通Q1</t>
  </si>
  <si>
    <t>普通Q2</t>
  </si>
  <si>
    <t>燕别(40%)</t>
  </si>
  <si>
    <t>小燕别(40%)</t>
  </si>
  <si>
    <t>Q1</t>
  </si>
  <si>
    <t>机制</t>
  </si>
  <si>
    <t>双刀～出伤</t>
  </si>
  <si>
    <t>易水歌6重</t>
  </si>
  <si>
    <t>蓄力技定音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</si>
  <si>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</si>
  <si>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</si>
  <si>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</si>
  <si>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</si>
  <si>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</si>
  <si>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</si>
  <si>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</si>
  <si>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</si>
  <si>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</si>
  <si>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</si>
  <si>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</si>
  <si>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</si>
  <si>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</si>
  <si>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拳甲Q1</t>
  </si>
  <si>
    <t>酩酊技</t>
  </si>
  <si>
    <t>碧血为迎·酩酊</t>
  </si>
  <si>
    <t>双刀Q1</t>
  </si>
  <si>
    <t>心法</t>
  </si>
  <si>
    <t>萧呤千浪AOE</t>
  </si>
  <si>
    <t>萧呤千浪流星</t>
  </si>
  <si>
    <t>衍九矢9hit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</si>
  <si>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</si>
  <si>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</si>
  <si>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</si>
  <si>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</si>
  <si>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</si>
  <si>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</si>
  <si>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</si>
  <si>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</si>
  <si>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</si>
  <si>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</si>
  <si>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</si>
  <si>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</si>
  <si>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</si>
  <si>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</si>
  <si>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直接会心</t>
  </si>
  <si>
    <t>直接会意</t>
  </si>
  <si>
    <t>惊神(拐)</t>
  </si>
  <si>
    <t>小燕别(20%)</t>
  </si>
  <si>
    <t>小燕别(30%)</t>
  </si>
  <si>
    <t>近战笛</t>
  </si>
  <si>
    <t>进气断石</t>
  </si>
  <si>
    <t>断石3层</t>
  </si>
  <si>
    <t>鬼掣帖</t>
  </si>
  <si>
    <t>版本号</t>
  </si>
  <si>
    <t>编号</t>
  </si>
  <si>
    <t>描述</t>
  </si>
  <si>
    <t>BiliBili@片雲</t>
  </si>
  <si>
    <t>更新破竹樽测试版</t>
  </si>
  <si>
    <t>如有问题⬆</t>
  </si>
  <si>
    <t>修正拳Q1少算的一段,注意需要贴脸释放否则只有一段</t>
  </si>
  <si>
    <t>删除完美喝酒老鹰伤害以计算下限</t>
  </si>
  <si>
    <t>略微更改了轴</t>
  </si>
  <si>
    <t>添加了断石覆盖(蹭3次),老1和燕别几乎没区别,老2会比燕别高一些</t>
  </si>
  <si>
    <t>修正拳Q倍率</t>
  </si>
  <si>
    <t>进行了缩轴处理,P3开局阴阳没蹭到掉1%</t>
  </si>
  <si>
    <t>更新为正式版本,添加了之前去掉的完美喝酒老鹰伤害</t>
  </si>
  <si>
    <t>一气太快没时间打叶隆使用2个奇术替换(如射箭骑龙)</t>
  </si>
  <si>
    <t>更新杭州西版本蹊跷</t>
  </si>
  <si>
    <t>同步了版本号</t>
  </si>
  <si>
    <t>修正尘rd</t>
  </si>
  <si>
    <t>更新南吕相和赛季</t>
  </si>
  <si>
    <t>大小外满值差距2%</t>
  </si>
  <si>
    <t>根据测试将DIY增益抗性调整到实际值32.25%</t>
  </si>
  <si>
    <t>修正DIY外穿错误</t>
  </si>
  <si>
    <t>轴变更为茧中老人木桩轴</t>
  </si>
  <si>
    <t>修正了一些属性错误,略微下调了尘的rd</t>
  </si>
  <si>
    <t>将默认心法切换为断石之构以提高上限</t>
  </si>
  <si>
    <t>修正了一些倍率错误</t>
  </si>
  <si>
    <t>修正定音小数点数值</t>
  </si>
  <si>
    <t>根据测试修正预输入连招的正确时间</t>
  </si>
  <si>
    <t>如果要在浓醺偷3拳只有在气竭或断石的时候有收益,其余时间不增加dps。</t>
  </si>
  <si>
    <t>更新未央城蹊跷P1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</si>
</sst>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6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76" fontId="0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vertical="center"/>
    </xf>
    <xf numFmtId="177" fontId="0" fillId="2" borderId="11" xfId="0" applyNumberForma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11" xfId="0" applyNumberFormat="1" applyFill="1" applyBorder="1" applyAlignment="1">
      <alignment vertical="center"/>
    </xf>
    <xf numFmtId="10" fontId="0" fillId="0" borderId="11" xfId="0" applyNumberFormat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11" xfId="0" applyNumberForma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11" xfId="0" applyNumberFormat="1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11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11" xfId="0" applyNumberFormat="1" applyFill="1" applyBorder="1" applyAlignment="1">
      <alignment vertical="center"/>
    </xf>
    <xf numFmtId="10" fontId="0" fillId="0" borderId="9" xfId="0" applyNumberFormat="1" applyBorder="1" applyAlignment="1">
      <alignment vertical="center"/>
    </xf>
    <xf numFmtId="0" fontId="0" fillId="2" borderId="4" xfId="0" applyFill="1" applyBorder="1" applyAlignment="1">
      <alignment vertical="center"/>
    </xf>
    <xf numFmtId="10" fontId="0" fillId="2" borderId="6" xfId="0" applyNumberForma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2" borderId="11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2" borderId="7" xfId="0" applyFill="1" applyBorder="1" applyAlignment="1">
      <alignment vertical="center"/>
    </xf>
    <xf numFmtId="10" fontId="0" fillId="2" borderId="9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0" fontId="0" fillId="2" borderId="8" xfId="0" applyFill="1" applyBorder="1" applyAlignment="1">
      <alignment vertical="center"/>
    </xf>
    <xf numFmtId="177" fontId="0" fillId="0" borderId="11" xfId="0" applyNumberFormat="1" applyBorder="1" applyAlignment="1">
      <alignment vertical="center"/>
    </xf>
    <xf numFmtId="177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40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11" max="11" width="12.625" style="37"/>
    <col min="12" max="16" width="12.625" style="25" customWidth="1"/>
    <col min="17" max="17" width="9.375"/>
    <col min="18" max="18" width="24.625" style="30" customWidth="1"/>
    <col min="19" max="38" width="9" style="30"/>
    <col min="40" max="40" width="9.375" style="24"/>
    <col min="41" max="41" width="9" style="25"/>
    <col min="42" max="42" width="9.375" style="24"/>
    <col min="43" max="43" width="9" style="25"/>
    <col min="44" max="45" width="9" style="24"/>
    <col min="46" max="47" width="9.375"/>
    <col min="48" max="50" width="9" style="31"/>
    <col min="53" max="54" width="9" style="31"/>
    <col min="64" max="64" width="9.375"/>
    <col min="67" max="71" width="9" style="24"/>
    <col min="72" max="73" width="9.00833333333333" style="24" customWidth="1"/>
    <col min="74" max="76" width="9" style="24"/>
    <col min="77" max="77" width="9.00833333333333" style="24" customWidth="1"/>
  </cols>
  <sheetData>
    <row r="1" spans="1:77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7" t="s">
        <v>12</v>
      </c>
      <c r="Q1" s="38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s="39" t="s">
        <v>30</v>
      </c>
      <c r="AI1" s="39" t="s">
        <v>31</v>
      </c>
      <c r="AJ1" s="39" t="s">
        <v>32</v>
      </c>
      <c r="AK1" s="39" t="s">
        <v>33</v>
      </c>
      <c r="AL1" s="39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1" t="s">
        <v>44</v>
      </c>
      <c r="AW1" s="31" t="s">
        <v>45</v>
      </c>
      <c r="AX1" s="31" t="s">
        <v>46</v>
      </c>
      <c r="AY1" t="s">
        <v>47</v>
      </c>
      <c r="AZ1" t="s">
        <v>48</v>
      </c>
      <c r="BA1" s="31" t="s">
        <v>49</v>
      </c>
      <c r="BB1" s="31" t="s">
        <v>50</v>
      </c>
      <c r="BC1" t="s">
        <v>51</v>
      </c>
      <c r="BD1" t="s">
        <v>52</v>
      </c>
      <c r="BE1" s="31" t="s">
        <v>53</v>
      </c>
      <c r="BF1" s="31" t="s">
        <v>54</v>
      </c>
      <c r="BG1" t="s">
        <v>55</v>
      </c>
      <c r="BH1" t="s">
        <v>56</v>
      </c>
      <c r="BI1" s="31" t="s">
        <v>57</v>
      </c>
      <c r="BJ1" s="31" t="s">
        <v>58</v>
      </c>
      <c r="BK1" t="s">
        <v>59</v>
      </c>
      <c r="BL1" t="s">
        <v>60</v>
      </c>
      <c r="BM1" s="31" t="s">
        <v>61</v>
      </c>
      <c r="BN1" s="31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26" t="s">
        <v>72</v>
      </c>
      <c r="BY1" s="26" t="s">
        <v>73</v>
      </c>
    </row>
    <row r="2" spans="1:77">
      <c r="A2" s="40" t="s">
        <v>74</v>
      </c>
      <c r="B2" s="30">
        <v>4485</v>
      </c>
      <c r="C2" s="30">
        <v>3417.6</v>
      </c>
      <c r="D2" s="30">
        <f>58.68+IF($E$22="征人归",5.1,0)</f>
        <v>58.68</v>
      </c>
      <c r="E2" s="41">
        <f>IF($E$22="燕别云岫",2.5%,0)</f>
        <v>0</v>
      </c>
      <c r="F2" s="42" t="s">
        <v>75</v>
      </c>
      <c r="G2" s="43" t="s">
        <v>76</v>
      </c>
      <c r="H2" s="44" t="s">
        <v>77</v>
      </c>
      <c r="I2" s="21">
        <f>687*(1-IF(F17="√",0.06,0)-IF(D20="√",0.04,0))</f>
        <v>618.3</v>
      </c>
      <c r="K2" s="37">
        <f>$L2*VLOOKUP($R2,武学奇术!$A:$ZZ,31,FALSE)</f>
        <v>45212.2109330882</v>
      </c>
      <c r="L2" s="37">
        <f>($M2*$BT2+$N2*$BR2+$O2*$BU2+$P2*$BV2)</f>
        <v>45212.2109330882</v>
      </c>
      <c r="M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*(1+$BX2)</f>
        <v>45706.0705767918</v>
      </c>
      <c r="N2" s="37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*(1+$BX2)</f>
        <v>43416.9313495726</v>
      </c>
      <c r="O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*(1+$BX2)</f>
        <v>28388.863712293</v>
      </c>
      <c r="P2" s="37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*(1+$BX2)</f>
        <v>24617.0375360138</v>
      </c>
      <c r="Q2" s="38">
        <v>1</v>
      </c>
      <c r="R2" s="39" t="s">
        <v>78</v>
      </c>
      <c r="S2" s="39" t="s">
        <v>79</v>
      </c>
      <c r="T2" s="39" t="s">
        <v>80</v>
      </c>
      <c r="U2" s="39" t="s">
        <v>81</v>
      </c>
      <c r="V2" s="39" t="s">
        <v>82</v>
      </c>
      <c r="W2" s="39" t="s">
        <v>83</v>
      </c>
      <c r="X2" s="39" t="s">
        <v>84</v>
      </c>
      <c r="Y2" s="39" t="s">
        <v>85</v>
      </c>
      <c r="Z2" s="39" t="s">
        <v>84</v>
      </c>
      <c r="AA2" s="39" t="s">
        <v>84</v>
      </c>
      <c r="AB2" s="39" t="s">
        <v>86</v>
      </c>
      <c r="AC2" s="39" t="s">
        <v>84</v>
      </c>
      <c r="AD2" s="39" t="s">
        <v>84</v>
      </c>
      <c r="AE2" s="39" t="s">
        <v>87</v>
      </c>
      <c r="AF2" s="39" t="s">
        <v>88</v>
      </c>
      <c r="AG2" s="39" t="s">
        <v>84</v>
      </c>
      <c r="AH2" s="39" t="s">
        <v>84</v>
      </c>
      <c r="AI2" s="39" t="s">
        <v>84</v>
      </c>
      <c r="AJ2" s="39" t="s">
        <v>84</v>
      </c>
      <c r="AK2" s="39" t="s">
        <v>84</v>
      </c>
      <c r="AL2" s="39" t="s">
        <v>84</v>
      </c>
      <c r="AM2" t="str">
        <f>VLOOKUP($R2,武学奇术!$A:$ZZ,25,FALSE)</f>
        <v>群体奇术</v>
      </c>
      <c r="AN2" s="24">
        <f>VLOOKUP($R2,武学奇术!$A:$ZZ,26,FALSE)</f>
        <v>2.3774</v>
      </c>
      <c r="AO2" s="25">
        <f>VLOOKUP($R2,武学奇术!$A:$ZZ,27,FALSE)*(1+IF(OR($AM2=$F$4,$AM2=$F$5),$B$22,0))</f>
        <v>476</v>
      </c>
      <c r="AP2" s="24">
        <f>VLOOKUP($R2,武学奇术!$A:$ZZ,28,FALSE)</f>
        <v>3.5661</v>
      </c>
      <c r="AQ2" s="25">
        <f>VLOOKUP($R2,武学奇术!$A:$ZZ,29,FALSE)*(1+IF(OR($AM2=$F$4,$AM2=$F$5),$B$22,0))</f>
        <v>0</v>
      </c>
      <c r="AR2" s="24" cm="1">
        <f t="array" ref="AR2">$G$3+IFERROR(VLOOKUP($AM2,$F$4:$G$7,2,FALSE),0)+VLOOKUP($R2,武学奇术!$A:$ZZ,2,FALSE)+SUM(_xlfn.XLOOKUP($S2:$AL2,增益!$A:$A,增益!$B:$B,0))</f>
        <v>0.2042</v>
      </c>
      <c r="AS2" s="24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4342.95</v>
      </c>
      <c r="AU2" cm="1">
        <f t="array" ref="AU2">$E$10*(1+$AS2)+VLOOKUP($R2,武学奇术!$A:$ZZ,4,FALSE)+SUM(_xlfn.XLOOKUP($S2:$AL2,增益!$A:$A,增益!$D:$D,0))-$I$2</f>
        <v>4342.95</v>
      </c>
      <c r="AV2" s="31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0.2734</v>
      </c>
      <c r="AW2" s="31" cm="1">
        <f t="array" ref="AW2">$G$10+VLOOKUP($R2,武学奇术!$A:$ZZ,7,FALSE)+SUM(_xlfn.XLOOKUP($S2:$AL2,增益!$A:$A,增益!$G:$G,0))</f>
        <v>0.11</v>
      </c>
      <c r="AX2" s="24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1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-0.14</v>
      </c>
      <c r="BB2" s="31" cm="1">
        <f t="array" ref="BB2">$G$11+VLOOKUP($R2,武学奇术!$A:$ZZ,10,FALSE)+SUM(_xlfn.XLOOKUP($S2:$AL2,增益!$A:$A,增益!$J:$J,0))</f>
        <v>0.02</v>
      </c>
      <c r="BC2">
        <f>$D$12*(1+$AX2)</f>
        <v>0</v>
      </c>
      <c r="BD2">
        <f>$E$12*(1+$AX2)</f>
        <v>0</v>
      </c>
      <c r="BE2" s="31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-0.14</v>
      </c>
      <c r="BF2" s="31" cm="1">
        <f t="array" ref="BF2">$G$12+VLOOKUP($R2,武学奇术!$A:$ZZ,12,FALSE)+SUM(_xlfn.XLOOKUP($S2:$AL2,增益!$A:$A,增益!$L:$L,0))</f>
        <v>0.02</v>
      </c>
      <c r="BG2">
        <f>$D$13*(1+$AX2)</f>
        <v>0</v>
      </c>
      <c r="BH2">
        <f>$E$13*(1+$AX2)</f>
        <v>0</v>
      </c>
      <c r="BI2" s="31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-0.14</v>
      </c>
      <c r="BJ2" s="31" cm="1">
        <f t="array" ref="BJ2">$G$13+VLOOKUP($R2,武学奇术!$A:$ZZ,14,FALSE)+SUM(_xlfn.XLOOKUP($S2:$AL2,增益!$A:$A,增益!$N:$N,0))</f>
        <v>0.02</v>
      </c>
      <c r="BK2">
        <f>$D$14*(1+$AX2)</f>
        <v>649.11</v>
      </c>
      <c r="BL2">
        <f>$E$14*(1+$AX2)</f>
        <v>1812.09</v>
      </c>
      <c r="BM2" s="31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0.08</v>
      </c>
      <c r="BN2" s="31" cm="1">
        <f t="array" ref="BN2">$G$14+VLOOKUP($R2,武学奇术!$A:$ZZ,16,FALSE)+SUM(_xlfn.XLOOKUP($S2:$AL2,增益!$A:$A,增益!$P:$P,0))</f>
        <v>0.26</v>
      </c>
      <c r="BO2" s="24">
        <f>MIN(IF(VLOOKUP($R2,武学奇术!$A:$ZZ,23,FALSE)=1,100%,$B$8),100%)</f>
        <v>0.9943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0.8985</v>
      </c>
      <c r="BQ2" s="24" cm="1">
        <f t="array" ref="BQ2">1+$B$13+VLOOKUP($R2,武学奇术!$A:$ZZ,18,FALSE)+SUM(_xlfn.XLOOKUP($S2:$AL2,增益!$A:$A,增益!$R:$R,0))</f>
        <v>1.61</v>
      </c>
      <c r="BR2" s="24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4" cm="1">
        <f t="array" ref="BS2">1+$B$14+VLOOKUP($R2,武学奇术!$A:$ZZ,20,FALSE)+SUM(_xlfn.XLOOKUP($S2:$AL2,增益!$A:$A,增益!$T:$T,0))</f>
        <v>1.35</v>
      </c>
      <c r="BT2" s="24">
        <f>MIN((1-BR2)*BO2,BO2*BP2)</f>
        <v>0.89337855</v>
      </c>
      <c r="BU2" s="24">
        <f>1-BR2-BT2-BV2</f>
        <v>0.01014186</v>
      </c>
      <c r="BV2" s="24">
        <f>IF(VLOOKUP($R2,武学奇术!$A:$ZZ,22,FALSE)=1,0,(1-$BO2))*(1-$BR2)</f>
        <v>0.00517959000000003</v>
      </c>
      <c r="BW2" s="24" cm="1">
        <f t="array" ref="BW2">SUM(_xlfn.XLOOKUP($S2:$AL2,增益!$A:$A,增益!$W:$W,0))+$I$5</f>
        <v>0.11</v>
      </c>
      <c r="BX2" s="24">
        <f>VLOOKUP($R2,武学奇术!$A:$ZZ,32,FALSE)</f>
        <v>0</v>
      </c>
      <c r="BY2" s="24" cm="1">
        <f t="array" ref="BY2">SUM(_xlfn.XLOOKUP($S2:$AL2,增益!$A:$A,增益!$X:$X,0))</f>
        <v>0</v>
      </c>
    </row>
    <row r="3" spans="1:77">
      <c r="A3" s="45" t="s">
        <v>89</v>
      </c>
      <c r="B3" s="46"/>
      <c r="C3" s="46"/>
      <c r="D3" s="46"/>
      <c r="E3" s="47"/>
      <c r="F3" s="44" t="s">
        <v>40</v>
      </c>
      <c r="G3" s="48">
        <f>B16+1.5%+IF($D$16="√",8%,0)+IF($E$22="征人归",8%,0)</f>
        <v>0.1842</v>
      </c>
      <c r="H3" s="44" t="s">
        <v>90</v>
      </c>
      <c r="I3" s="21">
        <f>25-IF(D17="√",7,0)-IF(F17="√",10,0)</f>
        <v>8</v>
      </c>
      <c r="K3" s="37">
        <f>$L3*VLOOKUP($R3,武学奇术!$A:$ZZ,31,FALSE)</f>
        <v>62814.6228002408</v>
      </c>
      <c r="L3" s="37">
        <f t="shared" ref="L3:L34" si="0">($M3*$BT3+$N3*$BR3+$O3*$BU3+$P3*$BV3)</f>
        <v>62814.6228002408</v>
      </c>
      <c r="M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*(1+$BX3)</f>
        <v>64377.7728303927</v>
      </c>
      <c r="N3" s="37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*(1+$BX3)</f>
        <v>52494.3289478543</v>
      </c>
      <c r="O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*(1+$BX3)</f>
        <v>34611.7058227918</v>
      </c>
      <c r="P3" s="37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*(1+$BX3)</f>
        <v>30338.7235360618</v>
      </c>
      <c r="Q3" s="38">
        <v>1</v>
      </c>
      <c r="R3" s="39" t="s">
        <v>78</v>
      </c>
      <c r="S3" s="39" t="s">
        <v>91</v>
      </c>
      <c r="T3" s="39" t="s">
        <v>80</v>
      </c>
      <c r="U3" s="39" t="s">
        <v>81</v>
      </c>
      <c r="V3" s="39" t="s">
        <v>82</v>
      </c>
      <c r="W3" s="39" t="s">
        <v>83</v>
      </c>
      <c r="X3" s="39" t="s">
        <v>84</v>
      </c>
      <c r="Y3" s="39" t="s">
        <v>85</v>
      </c>
      <c r="Z3" s="39" t="s">
        <v>84</v>
      </c>
      <c r="AA3" s="39" t="s">
        <v>84</v>
      </c>
      <c r="AB3" s="39" t="s">
        <v>86</v>
      </c>
      <c r="AC3" s="39" t="s">
        <v>92</v>
      </c>
      <c r="AD3" s="39" t="s">
        <v>93</v>
      </c>
      <c r="AE3" s="39" t="s">
        <v>87</v>
      </c>
      <c r="AF3" s="39" t="s">
        <v>88</v>
      </c>
      <c r="AG3" s="39" t="s">
        <v>94</v>
      </c>
      <c r="AH3" s="39" t="s">
        <v>84</v>
      </c>
      <c r="AI3" s="39" t="s">
        <v>84</v>
      </c>
      <c r="AJ3" s="39" t="s">
        <v>84</v>
      </c>
      <c r="AK3" s="39" t="s">
        <v>84</v>
      </c>
      <c r="AL3" s="39" t="s">
        <v>84</v>
      </c>
      <c r="AM3" t="str">
        <f>VLOOKUP($R3,武学奇术!$A:$ZZ,25,FALSE)</f>
        <v>群体奇术</v>
      </c>
      <c r="AN3" s="24">
        <f>VLOOKUP($R3,武学奇术!$A:$ZZ,26,FALSE)</f>
        <v>2.3774</v>
      </c>
      <c r="AO3" s="25">
        <f>VLOOKUP($R3,武学奇术!$A:$ZZ,27,FALSE)*(1+IF(OR($AM3=$F$4,$AM3=$F$5),$B$22,0))</f>
        <v>476</v>
      </c>
      <c r="AP3" s="24">
        <f>VLOOKUP($R3,武学奇术!$A:$ZZ,28,FALSE)</f>
        <v>3.5661</v>
      </c>
      <c r="AQ3" s="25">
        <f>VLOOKUP($R3,武学奇术!$A:$ZZ,29,FALSE)*(1+IF(OR($AM3=$F$4,$AM3=$F$5),$B$22,0))</f>
        <v>0</v>
      </c>
      <c r="AR3" s="24" cm="1">
        <f t="array" ref="AR3">$G$3+IFERROR(VLOOKUP($AM3,$F$4:$G$7,2,FALSE),0)+VLOOKUP($R3,武学奇术!$A:$ZZ,2,FALSE)+SUM(_xlfn.XLOOKUP($S3:$AL3,增益!$A:$A,增益!$B:$B,0))</f>
        <v>0.3642</v>
      </c>
      <c r="AS3" s="24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4342.95</v>
      </c>
      <c r="AU3" cm="1">
        <f t="array" ref="AU3">$E$10*(1+$AS3)+VLOOKUP($R3,武学奇术!$A:$ZZ,4,FALSE)+SUM(_xlfn.XLOOKUP($S3:$AL3,增益!$A:$A,增益!$D:$D,0))-$I$2</f>
        <v>4342.95</v>
      </c>
      <c r="AV3" s="31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0.4084</v>
      </c>
      <c r="AW3" s="31" cm="1">
        <f t="array" ref="AW3">$G$10+VLOOKUP($R3,武学奇术!$A:$ZZ,7,FALSE)+SUM(_xlfn.XLOOKUP($S3:$AL3,增益!$A:$A,增益!$G:$G,0))</f>
        <v>0.11</v>
      </c>
      <c r="AX3" s="24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1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1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31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1" cm="1">
        <f t="array" ref="BF3">$G$12+VLOOKUP($R3,武学奇术!$A:$ZZ,12,FALSE)+SUM(_xlfn.XLOOKUP($S3:$AL3,增益!$A:$A,增益!$L:$L,0))</f>
        <v>0.02</v>
      </c>
      <c r="BG3">
        <f t="shared" ref="BG3:BG34" si="5">$D$13*(1+$AX3)</f>
        <v>0</v>
      </c>
      <c r="BH3">
        <f t="shared" ref="BH3:BH34" si="6">$E$13*(1+$AX3)</f>
        <v>0</v>
      </c>
      <c r="BI3" s="31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1" cm="1">
        <f t="array" ref="BJ3">$G$13+VLOOKUP($R3,武学奇术!$A:$ZZ,14,FALSE)+SUM(_xlfn.XLOOKUP($S3:$AL3,增益!$A:$A,增益!$N:$N,0))</f>
        <v>0.02</v>
      </c>
      <c r="BK3">
        <f t="shared" ref="BK3:BK34" si="7">$D$14*(1+$AX3)</f>
        <v>649.11</v>
      </c>
      <c r="BL3">
        <f t="shared" ref="BL3:BL34" si="8">$E$14*(1+$AX3)</f>
        <v>1812.09</v>
      </c>
      <c r="BM3" s="31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0.08</v>
      </c>
      <c r="BN3" s="31" cm="1">
        <f t="array" ref="BN3">$G$14+VLOOKUP($R3,武学奇术!$A:$ZZ,16,FALSE)+SUM(_xlfn.XLOOKUP($S3:$AL3,增益!$A:$A,增益!$P:$P,0))</f>
        <v>0.26</v>
      </c>
      <c r="BO3" s="24">
        <f>MIN(IF(VLOOKUP($R3,武学奇术!$A:$ZZ,23,FALSE)=1,100%,$B$8),100%)</f>
        <v>0.9943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0.8985</v>
      </c>
      <c r="BQ3" s="24" cm="1">
        <f t="array" ref="BQ3">1+$B$13+VLOOKUP($R3,武学奇术!$A:$ZZ,18,FALSE)+SUM(_xlfn.XLOOKUP($S3:$AL3,增益!$A:$A,增益!$R:$R,0))</f>
        <v>1.86</v>
      </c>
      <c r="BR3" s="24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4" cm="1">
        <f t="array" ref="BS3">1+$B$14+VLOOKUP($R3,武学奇术!$A:$ZZ,20,FALSE)+SUM(_xlfn.XLOOKUP($S3:$AL3,增益!$A:$A,增益!$T:$T,0))</f>
        <v>1.35</v>
      </c>
      <c r="BT3" s="24">
        <f t="shared" ref="BT3:BT34" si="9">MIN((1-BR3)*BO3,BO3*BP3)</f>
        <v>0.89337855</v>
      </c>
      <c r="BU3" s="24">
        <f t="shared" ref="BU3:BU34" si="10">1-BR3-BT3-BV3</f>
        <v>0.01014186</v>
      </c>
      <c r="BV3" s="24">
        <f>IF(VLOOKUP($R3,武学奇术!$A:$ZZ,22,FALSE)=1,0,(1-$BO3))*(1-$BR3)</f>
        <v>0.00517959000000003</v>
      </c>
      <c r="BW3" s="24" cm="1">
        <f t="array" ref="BW3">SUM(_xlfn.XLOOKUP($S3:$AL3,增益!$A:$A,增益!$W:$W,0))+$I$5</f>
        <v>0.11</v>
      </c>
      <c r="BX3" s="24">
        <f>VLOOKUP($R3,武学奇术!$A:$ZZ,32,FALSE)</f>
        <v>0</v>
      </c>
      <c r="BY3" s="24" cm="1">
        <f t="array" ref="BY3">SUM(_xlfn.XLOOKUP($S3:$AL3,增益!$A:$A,增益!$X:$X,0))</f>
        <v>0</v>
      </c>
    </row>
    <row r="4" ht="14.25" spans="1:77">
      <c r="A4" s="49" t="s">
        <v>95</v>
      </c>
      <c r="B4" s="50"/>
      <c r="C4" s="50"/>
      <c r="D4" s="50"/>
      <c r="E4" s="51"/>
      <c r="F4" s="44" t="s">
        <v>96</v>
      </c>
      <c r="G4" s="48">
        <f>B15+B17</f>
        <v>0.1701</v>
      </c>
      <c r="H4" s="52" t="s">
        <v>97</v>
      </c>
      <c r="I4" s="14">
        <f>30</f>
        <v>30</v>
      </c>
      <c r="K4" s="37">
        <f>$L4*VLOOKUP($R4,武学奇术!$A:$ZZ,31,FALSE)</f>
        <v>63917.4116946247</v>
      </c>
      <c r="L4" s="37">
        <f t="shared" si="0"/>
        <v>63917.4116946247</v>
      </c>
      <c r="M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*(1+$BX4)</f>
        <v>65540.3140095155</v>
      </c>
      <c r="N4" s="37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*(1+$BX4)</f>
        <v>53126.0110872982</v>
      </c>
      <c r="O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*(1+$BX4)</f>
        <v>35048.296261773</v>
      </c>
      <c r="P4" s="37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*(1+$BX4)</f>
        <v>30743.9917181399</v>
      </c>
      <c r="Q4" s="38">
        <v>1</v>
      </c>
      <c r="R4" s="39" t="s">
        <v>78</v>
      </c>
      <c r="S4" s="39" t="s">
        <v>98</v>
      </c>
      <c r="T4" s="39" t="s">
        <v>99</v>
      </c>
      <c r="U4" s="39" t="s">
        <v>81</v>
      </c>
      <c r="V4" s="39" t="s">
        <v>82</v>
      </c>
      <c r="W4" s="39" t="s">
        <v>83</v>
      </c>
      <c r="X4" s="39" t="s">
        <v>84</v>
      </c>
      <c r="Y4" s="39" t="s">
        <v>85</v>
      </c>
      <c r="Z4" s="39" t="s">
        <v>84</v>
      </c>
      <c r="AA4" s="39" t="s">
        <v>84</v>
      </c>
      <c r="AB4" s="39" t="s">
        <v>86</v>
      </c>
      <c r="AC4" s="39" t="s">
        <v>100</v>
      </c>
      <c r="AD4" s="39" t="s">
        <v>93</v>
      </c>
      <c r="AE4" s="39" t="s">
        <v>87</v>
      </c>
      <c r="AF4" s="39" t="s">
        <v>88</v>
      </c>
      <c r="AG4" s="39" t="s">
        <v>94</v>
      </c>
      <c r="AH4" s="39" t="s">
        <v>84</v>
      </c>
      <c r="AI4" s="39" t="s">
        <v>84</v>
      </c>
      <c r="AJ4" s="39" t="s">
        <v>84</v>
      </c>
      <c r="AK4" s="39" t="s">
        <v>84</v>
      </c>
      <c r="AL4" s="39" t="s">
        <v>84</v>
      </c>
      <c r="AM4" t="str">
        <f>VLOOKUP($R4,武学奇术!$A:$ZZ,25,FALSE)</f>
        <v>群体奇术</v>
      </c>
      <c r="AN4" s="24">
        <f>VLOOKUP($R4,武学奇术!$A:$ZZ,26,FALSE)</f>
        <v>2.3774</v>
      </c>
      <c r="AO4" s="25">
        <f>VLOOKUP($R4,武学奇术!$A:$ZZ,27,FALSE)*(1+IF(OR($AM4=$F$4,$AM4=$F$5),$B$22,0))</f>
        <v>476</v>
      </c>
      <c r="AP4" s="24">
        <f>VLOOKUP($R4,武学奇术!$A:$ZZ,28,FALSE)</f>
        <v>3.5661</v>
      </c>
      <c r="AQ4" s="25">
        <f>VLOOKUP($R4,武学奇术!$A:$ZZ,29,FALSE)*(1+IF(OR($AM4=$F$4,$AM4=$F$5),$B$22,0))</f>
        <v>0</v>
      </c>
      <c r="AR4" s="24" cm="1">
        <f t="array" ref="AR4">$G$3+IFERROR(VLOOKUP($AM4,$F$4:$G$7,2,FALSE),0)+VLOOKUP($R4,武学奇术!$A:$ZZ,2,FALSE)+SUM(_xlfn.XLOOKUP($S4:$AL4,增益!$A:$A,增益!$B:$B,0))</f>
        <v>0.3742</v>
      </c>
      <c r="AS4" s="24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4342.95</v>
      </c>
      <c r="AU4" cm="1">
        <f t="array" ref="AU4">$E$10*(1+$AS4)+VLOOKUP($R4,武学奇术!$A:$ZZ,4,FALSE)+SUM(_xlfn.XLOOKUP($S4:$AL4,增益!$A:$A,增益!$D:$D,0))-$I$2</f>
        <v>4342.95</v>
      </c>
      <c r="AV4" s="31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0.4184</v>
      </c>
      <c r="AW4" s="31" cm="1">
        <f t="array" ref="AW4">$G$10+VLOOKUP($R4,武学奇术!$A:$ZZ,7,FALSE)+SUM(_xlfn.XLOOKUP($S4:$AL4,增益!$A:$A,增益!$G:$G,0))</f>
        <v>0.11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1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1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1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1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1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1" cm="1">
        <f t="array" ref="BJ4">$G$13+VLOOKUP($R4,武学奇术!$A:$ZZ,14,FALSE)+SUM(_xlfn.XLOOKUP($S4:$AL4,增益!$A:$A,增益!$N:$N,0))</f>
        <v>0.02</v>
      </c>
      <c r="BK4">
        <f t="shared" si="7"/>
        <v>649.11</v>
      </c>
      <c r="BL4">
        <f t="shared" si="8"/>
        <v>1812.09</v>
      </c>
      <c r="BM4" s="31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0.08</v>
      </c>
      <c r="BN4" s="31" cm="1">
        <f t="array" ref="BN4">$G$14+VLOOKUP($R4,武学奇术!$A:$ZZ,16,FALSE)+SUM(_xlfn.XLOOKUP($S4:$AL4,增益!$A:$A,增益!$P:$P,0))</f>
        <v>0.26</v>
      </c>
      <c r="BO4" s="24">
        <f>MIN(IF(VLOOKUP($R4,武学奇术!$A:$ZZ,23,FALSE)=1,100%,$B$8),100%)</f>
        <v>0.9943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0.8985</v>
      </c>
      <c r="BQ4" s="24" cm="1">
        <f t="array" ref="BQ4">1+$B$13+VLOOKUP($R4,武学奇术!$A:$ZZ,18,FALSE)+SUM(_xlfn.XLOOKUP($S4:$AL4,增益!$A:$A,增益!$R:$R,0))</f>
        <v>1.87</v>
      </c>
      <c r="BR4" s="24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0.89337855</v>
      </c>
      <c r="BU4" s="24">
        <f t="shared" si="10"/>
        <v>0.01014186</v>
      </c>
      <c r="BV4" s="24">
        <f>IF(VLOOKUP($R4,武学奇术!$A:$ZZ,22,FALSE)=1,0,(1-$BO4))*(1-$BR4)</f>
        <v>0.00517959000000003</v>
      </c>
      <c r="BW4" s="24" cm="1">
        <f t="array" ref="BW4">SUM(_xlfn.XLOOKUP($S4:$AL4,增益!$A:$A,增益!$W:$W,0))+$I$5</f>
        <v>0.11</v>
      </c>
      <c r="BX4" s="24">
        <f>VLOOKUP($R4,武学奇术!$A:$ZZ,32,FALSE)</f>
        <v>0</v>
      </c>
      <c r="BY4" s="24" cm="1">
        <f t="array" ref="BY4">SUM(_xlfn.XLOOKUP($S4:$AL4,增益!$A:$A,增益!$X:$X,0))</f>
        <v>0</v>
      </c>
    </row>
    <row r="5" spans="1:77">
      <c r="A5" s="53" t="s">
        <v>101</v>
      </c>
      <c r="B5" s="54"/>
      <c r="C5" s="54"/>
      <c r="D5" s="54"/>
      <c r="E5" s="55"/>
      <c r="F5" s="44" t="s">
        <v>102</v>
      </c>
      <c r="G5" s="48">
        <f>B15+B18</f>
        <v>0.1701</v>
      </c>
      <c r="H5" t="s">
        <v>103</v>
      </c>
      <c r="I5" s="27">
        <v>0.06</v>
      </c>
      <c r="K5" s="37">
        <f>$L5*VLOOKUP($R5,武学奇术!$A:$ZZ,31,FALSE)</f>
        <v>64715.8023217382</v>
      </c>
      <c r="L5" s="37">
        <f t="shared" si="0"/>
        <v>64715.8023217382</v>
      </c>
      <c r="M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*(1+$BX5)</f>
        <v>66361.7152569706</v>
      </c>
      <c r="N5" s="37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*(1+$BX5)</f>
        <v>53761.2863394995</v>
      </c>
      <c r="O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*(1+$BX5)</f>
        <v>35487.5482657597</v>
      </c>
      <c r="P5" s="37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*(1+$BX5)</f>
        <v>31151.9214652234</v>
      </c>
      <c r="Q5" s="38">
        <v>1</v>
      </c>
      <c r="R5" s="39" t="s">
        <v>78</v>
      </c>
      <c r="S5" s="39" t="s">
        <v>104</v>
      </c>
      <c r="T5" s="39" t="s">
        <v>99</v>
      </c>
      <c r="U5" s="39" t="s">
        <v>81</v>
      </c>
      <c r="V5" s="39" t="s">
        <v>82</v>
      </c>
      <c r="W5" s="39" t="s">
        <v>83</v>
      </c>
      <c r="X5" s="39" t="s">
        <v>84</v>
      </c>
      <c r="Y5" s="39" t="s">
        <v>85</v>
      </c>
      <c r="Z5" s="39" t="s">
        <v>84</v>
      </c>
      <c r="AA5" s="39" t="s">
        <v>84</v>
      </c>
      <c r="AB5" s="39" t="s">
        <v>86</v>
      </c>
      <c r="AC5" s="39" t="s">
        <v>100</v>
      </c>
      <c r="AD5" s="39" t="s">
        <v>93</v>
      </c>
      <c r="AE5" s="39" t="s">
        <v>87</v>
      </c>
      <c r="AF5" s="39" t="s">
        <v>88</v>
      </c>
      <c r="AG5" s="39" t="s">
        <v>94</v>
      </c>
      <c r="AH5" s="39" t="s">
        <v>84</v>
      </c>
      <c r="AI5" s="39" t="s">
        <v>84</v>
      </c>
      <c r="AJ5" s="39" t="s">
        <v>84</v>
      </c>
      <c r="AK5" s="39" t="s">
        <v>84</v>
      </c>
      <c r="AL5" s="39" t="s">
        <v>84</v>
      </c>
      <c r="AM5" t="str">
        <f>VLOOKUP($R5,武学奇术!$A:$ZZ,25,FALSE)</f>
        <v>群体奇术</v>
      </c>
      <c r="AN5" s="24">
        <f>VLOOKUP($R5,武学奇术!$A:$ZZ,26,FALSE)</f>
        <v>2.3774</v>
      </c>
      <c r="AO5" s="25">
        <f>VLOOKUP($R5,武学奇术!$A:$ZZ,27,FALSE)*(1+IF(OR($AM5=$F$4,$AM5=$F$5),$B$22,0))</f>
        <v>476</v>
      </c>
      <c r="AP5" s="24">
        <f>VLOOKUP($R5,武学奇术!$A:$ZZ,28,FALSE)</f>
        <v>3.5661</v>
      </c>
      <c r="AQ5" s="25">
        <f>VLOOKUP($R5,武学奇术!$A:$ZZ,29,FALSE)*(1+IF(OR($AM5=$F$4,$AM5=$F$5),$B$22,0))</f>
        <v>0</v>
      </c>
      <c r="AR5" s="24" cm="1">
        <f t="array" ref="AR5">$G$3+IFERROR(VLOOKUP($AM5,$F$4:$G$7,2,FALSE),0)+VLOOKUP($R5,武学奇术!$A:$ZZ,2,FALSE)+SUM(_xlfn.XLOOKUP($S5:$AL5,增益!$A:$A,增益!$B:$B,0))</f>
        <v>0.3842</v>
      </c>
      <c r="AS5" s="24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4342.95</v>
      </c>
      <c r="AU5" cm="1">
        <f t="array" ref="AU5">$E$10*(1+$AS5)+VLOOKUP($R5,武学奇术!$A:$ZZ,4,FALSE)+SUM(_xlfn.XLOOKUP($S5:$AL5,增益!$A:$A,增益!$D:$D,0))-$I$2</f>
        <v>4342.95</v>
      </c>
      <c r="AV5" s="31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0.4284</v>
      </c>
      <c r="AW5" s="31" cm="1">
        <f t="array" ref="AW5">$G$10+VLOOKUP($R5,武学奇术!$A:$ZZ,7,FALSE)+SUM(_xlfn.XLOOKUP($S5:$AL5,增益!$A:$A,增益!$G:$G,0))</f>
        <v>0.11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1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1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1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1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1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1" cm="1">
        <f t="array" ref="BJ5">$G$13+VLOOKUP($R5,武学奇术!$A:$ZZ,14,FALSE)+SUM(_xlfn.XLOOKUP($S5:$AL5,增益!$A:$A,增益!$N:$N,0))</f>
        <v>0.02</v>
      </c>
      <c r="BK5">
        <f t="shared" si="7"/>
        <v>649.11</v>
      </c>
      <c r="BL5">
        <f t="shared" si="8"/>
        <v>1812.09</v>
      </c>
      <c r="BM5" s="31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0.08</v>
      </c>
      <c r="BN5" s="31" cm="1">
        <f t="array" ref="BN5">$G$14+VLOOKUP($R5,武学奇术!$A:$ZZ,16,FALSE)+SUM(_xlfn.XLOOKUP($S5:$AL5,增益!$A:$A,增益!$P:$P,0))</f>
        <v>0.26</v>
      </c>
      <c r="BO5" s="24">
        <f>MIN(IF(VLOOKUP($R5,武学奇术!$A:$ZZ,23,FALSE)=1,100%,$B$8),100%)</f>
        <v>0.9943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0.8985</v>
      </c>
      <c r="BQ5" s="24" cm="1">
        <f t="array" ref="BQ5">1+$B$13+VLOOKUP($R5,武学奇术!$A:$ZZ,18,FALSE)+SUM(_xlfn.XLOOKUP($S5:$AL5,增益!$A:$A,增益!$R:$R,0))</f>
        <v>1.87</v>
      </c>
      <c r="BR5" s="24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0.89337855</v>
      </c>
      <c r="BU5" s="24">
        <f t="shared" si="10"/>
        <v>0.01014186</v>
      </c>
      <c r="BV5" s="24">
        <f>IF(VLOOKUP($R5,武学奇术!$A:$ZZ,22,FALSE)=1,0,(1-$BO5))*(1-$BR5)</f>
        <v>0.00517959000000003</v>
      </c>
      <c r="BW5" s="24" cm="1">
        <f t="array" ref="BW5">SUM(_xlfn.XLOOKUP($S5:$AL5,增益!$A:$A,增益!$W:$W,0))+$I$5</f>
        <v>0.11</v>
      </c>
      <c r="BX5" s="24">
        <f>VLOOKUP($R5,武学奇术!$A:$ZZ,32,FALSE)</f>
        <v>0</v>
      </c>
      <c r="BY5" s="24" cm="1">
        <f t="array" ref="BY5">SUM(_xlfn.XLOOKUP($S5:$AL5,增益!$A:$A,增益!$X:$X,0))</f>
        <v>0</v>
      </c>
    </row>
    <row r="6" spans="1:77">
      <c r="A6" s="56" t="s">
        <v>5</v>
      </c>
      <c r="B6" s="57">
        <v>539</v>
      </c>
      <c r="C6" s="57">
        <v>1475</v>
      </c>
      <c r="D6" s="57">
        <v>30</v>
      </c>
      <c r="E6" s="58">
        <v>0.15</v>
      </c>
      <c r="F6" s="44" t="s">
        <v>105</v>
      </c>
      <c r="G6" s="48">
        <f>B19</f>
        <v>0</v>
      </c>
      <c r="K6" s="37">
        <f>$L6*VLOOKUP($R6,武学奇术!$A:$ZZ,31,FALSE)</f>
        <v>65032.8404658654</v>
      </c>
      <c r="L6" s="37">
        <f t="shared" si="0"/>
        <v>65032.8404658654</v>
      </c>
      <c r="M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*(1+$BX6)</f>
        <v>66716.5907396282</v>
      </c>
      <c r="N6" s="37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*(1+$BX6)</f>
        <v>53761.2863394995</v>
      </c>
      <c r="O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*(1+$BX6)</f>
        <v>35487.5482657597</v>
      </c>
      <c r="P6" s="37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*(1+$BX6)</f>
        <v>31151.9214652234</v>
      </c>
      <c r="Q6" s="38">
        <v>1</v>
      </c>
      <c r="R6" s="39" t="s">
        <v>78</v>
      </c>
      <c r="S6" s="39" t="s">
        <v>104</v>
      </c>
      <c r="T6" s="39" t="s">
        <v>106</v>
      </c>
      <c r="U6" s="39" t="s">
        <v>81</v>
      </c>
      <c r="V6" s="39" t="s">
        <v>82</v>
      </c>
      <c r="W6" s="39" t="s">
        <v>83</v>
      </c>
      <c r="X6" s="39" t="s">
        <v>84</v>
      </c>
      <c r="Y6" s="39" t="s">
        <v>85</v>
      </c>
      <c r="Z6" s="39" t="s">
        <v>84</v>
      </c>
      <c r="AA6" s="39" t="s">
        <v>84</v>
      </c>
      <c r="AB6" s="39" t="s">
        <v>107</v>
      </c>
      <c r="AC6" s="39" t="s">
        <v>92</v>
      </c>
      <c r="AD6" s="39" t="s">
        <v>93</v>
      </c>
      <c r="AE6" s="39" t="s">
        <v>87</v>
      </c>
      <c r="AF6" s="39" t="s">
        <v>88</v>
      </c>
      <c r="AG6" s="39" t="s">
        <v>94</v>
      </c>
      <c r="AH6" s="39" t="s">
        <v>84</v>
      </c>
      <c r="AI6" s="39" t="s">
        <v>84</v>
      </c>
      <c r="AJ6" s="39" t="s">
        <v>84</v>
      </c>
      <c r="AK6" s="39" t="s">
        <v>84</v>
      </c>
      <c r="AL6" s="39" t="s">
        <v>84</v>
      </c>
      <c r="AM6" t="str">
        <f>VLOOKUP($R6,武学奇术!$A:$ZZ,25,FALSE)</f>
        <v>群体奇术</v>
      </c>
      <c r="AN6" s="24">
        <f>VLOOKUP($R6,武学奇术!$A:$ZZ,26,FALSE)</f>
        <v>2.3774</v>
      </c>
      <c r="AO6" s="25">
        <f>VLOOKUP($R6,武学奇术!$A:$ZZ,27,FALSE)*(1+IF(OR($AM6=$F$4,$AM6=$F$5),$B$22,0))</f>
        <v>476</v>
      </c>
      <c r="AP6" s="24">
        <f>VLOOKUP($R6,武学奇术!$A:$ZZ,28,FALSE)</f>
        <v>3.5661</v>
      </c>
      <c r="AQ6" s="25">
        <f>VLOOKUP($R6,武学奇术!$A:$ZZ,29,FALSE)*(1+IF(OR($AM6=$F$4,$AM6=$F$5),$B$22,0))</f>
        <v>0</v>
      </c>
      <c r="AR6" s="24" cm="1">
        <f t="array" ref="AR6">$G$3+IFERROR(VLOOKUP($AM6,$F$4:$G$7,2,FALSE),0)+VLOOKUP($R6,武学奇术!$A:$ZZ,2,FALSE)+SUM(_xlfn.XLOOKUP($S6:$AL6,增益!$A:$A,增益!$B:$B,0))</f>
        <v>0.3842</v>
      </c>
      <c r="AS6" s="24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4342.95</v>
      </c>
      <c r="AU6" cm="1">
        <f t="array" ref="AU6">$E$10*(1+$AS6)+VLOOKUP($R6,武学奇术!$A:$ZZ,4,FALSE)+SUM(_xlfn.XLOOKUP($S6:$AL6,增益!$A:$A,增益!$D:$D,0))-$I$2</f>
        <v>4342.95</v>
      </c>
      <c r="AV6" s="31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0.4284</v>
      </c>
      <c r="AW6" s="31" cm="1">
        <f t="array" ref="AW6">$G$10+VLOOKUP($R6,武学奇术!$A:$ZZ,7,FALSE)+SUM(_xlfn.XLOOKUP($S6:$AL6,增益!$A:$A,增益!$G:$G,0))</f>
        <v>0.11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1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1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1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1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1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1" cm="1">
        <f t="array" ref="BJ6">$G$13+VLOOKUP($R6,武学奇术!$A:$ZZ,14,FALSE)+SUM(_xlfn.XLOOKUP($S6:$AL6,增益!$A:$A,增益!$N:$N,0))</f>
        <v>0.02</v>
      </c>
      <c r="BK6">
        <f t="shared" si="7"/>
        <v>649.11</v>
      </c>
      <c r="BL6">
        <f t="shared" si="8"/>
        <v>1812.09</v>
      </c>
      <c r="BM6" s="31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0.08</v>
      </c>
      <c r="BN6" s="31" cm="1">
        <f t="array" ref="BN6">$G$14+VLOOKUP($R6,武学奇术!$A:$ZZ,16,FALSE)+SUM(_xlfn.XLOOKUP($S6:$AL6,增益!$A:$A,增益!$P:$P,0))</f>
        <v>0.26</v>
      </c>
      <c r="BO6" s="24">
        <f>MIN(IF(VLOOKUP($R6,武学奇术!$A:$ZZ,23,FALSE)=1,100%,$B$8),100%)</f>
        <v>0.9943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0.8985</v>
      </c>
      <c r="BQ6" s="24" cm="1">
        <f t="array" ref="BQ6">1+$B$13+VLOOKUP($R6,武学奇术!$A:$ZZ,18,FALSE)+SUM(_xlfn.XLOOKUP($S6:$AL6,增益!$A:$A,增益!$R:$R,0))</f>
        <v>1.88</v>
      </c>
      <c r="BR6" s="24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0.89337855</v>
      </c>
      <c r="BU6" s="24">
        <f t="shared" si="10"/>
        <v>0.01014186</v>
      </c>
      <c r="BV6" s="24">
        <f>IF(VLOOKUP($R6,武学奇术!$A:$ZZ,22,FALSE)=1,0,(1-$BO6))*(1-$BR6)</f>
        <v>0.00517959000000003</v>
      </c>
      <c r="BW6" s="24" cm="1">
        <f t="array" ref="BW6">SUM(_xlfn.XLOOKUP($S6:$AL6,增益!$A:$A,增益!$W:$W,0))+$I$5</f>
        <v>0.11</v>
      </c>
      <c r="BX6" s="24">
        <f>VLOOKUP($R6,武学奇术!$A:$ZZ,32,FALSE)</f>
        <v>0</v>
      </c>
      <c r="BY6" s="24" cm="1">
        <f t="array" ref="BY6">SUM(_xlfn.XLOOKUP($S6:$AL6,增益!$A:$A,增益!$X:$X,0))</f>
        <v>0</v>
      </c>
    </row>
    <row r="7" ht="14.25" spans="1:77">
      <c r="A7" s="85" t="s">
        <v>108</v>
      </c>
      <c r="B7" s="91">
        <v>79.2</v>
      </c>
      <c r="C7" s="59">
        <f>92.4+79.2*2</f>
        <v>250.8</v>
      </c>
      <c r="D7" s="60"/>
      <c r="E7" s="61"/>
      <c r="F7" s="52" t="s">
        <v>109</v>
      </c>
      <c r="G7" s="62">
        <f>B20</f>
        <v>0</v>
      </c>
      <c r="K7" s="37">
        <f>$L7*VLOOKUP($R7,武学奇术!$A:$ZZ,31,FALSE)</f>
        <v>12927.1746380062</v>
      </c>
      <c r="L7" s="37">
        <f t="shared" si="0"/>
        <v>12927.1746380062</v>
      </c>
      <c r="M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*(1+$BX7)</f>
        <v>13026.6111333954</v>
      </c>
      <c r="N7" s="37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*(1+$BX7)</f>
        <v>12760.3819342319</v>
      </c>
      <c r="O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*(1+$BX7)</f>
        <v>8458.83839830872</v>
      </c>
      <c r="P7" s="37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*(1+$BX7)</f>
        <v>7465.54203051972</v>
      </c>
      <c r="Q7" s="38">
        <v>1</v>
      </c>
      <c r="R7" s="39" t="s">
        <v>110</v>
      </c>
      <c r="S7" s="39" t="s">
        <v>84</v>
      </c>
      <c r="T7" s="39" t="s">
        <v>84</v>
      </c>
      <c r="U7" s="39" t="s">
        <v>84</v>
      </c>
      <c r="V7" s="39" t="s">
        <v>84</v>
      </c>
      <c r="W7" s="39" t="s">
        <v>84</v>
      </c>
      <c r="X7" s="39" t="s">
        <v>84</v>
      </c>
      <c r="Y7" s="39" t="s">
        <v>84</v>
      </c>
      <c r="Z7" s="39" t="s">
        <v>84</v>
      </c>
      <c r="AA7" s="39" t="s">
        <v>84</v>
      </c>
      <c r="AB7" s="39" t="s">
        <v>111</v>
      </c>
      <c r="AC7" s="39" t="s">
        <v>84</v>
      </c>
      <c r="AD7" s="39" t="s">
        <v>84</v>
      </c>
      <c r="AE7" s="39" t="s">
        <v>87</v>
      </c>
      <c r="AF7" s="39" t="s">
        <v>88</v>
      </c>
      <c r="AG7" s="39" t="s">
        <v>84</v>
      </c>
      <c r="AH7" s="39" t="s">
        <v>84</v>
      </c>
      <c r="AI7" s="39" t="s">
        <v>84</v>
      </c>
      <c r="AJ7" s="39" t="s">
        <v>84</v>
      </c>
      <c r="AK7" s="39" t="s">
        <v>84</v>
      </c>
      <c r="AL7" s="39" t="s">
        <v>84</v>
      </c>
      <c r="AM7" t="str">
        <f>VLOOKUP($R7,武学奇术!$A:$ZZ,25,FALSE)</f>
        <v>双刀</v>
      </c>
      <c r="AN7" s="24">
        <f>VLOOKUP($R7,武学奇术!$A:$ZZ,26,FALSE)</f>
        <v>0.6587</v>
      </c>
      <c r="AO7" s="25">
        <f>VLOOKUP($R7,武学奇术!$A:$ZZ,27,FALSE)*(1+IF(OR($AM7=$F$4,$AM7=$F$5),$B$22,0))</f>
        <v>292.8</v>
      </c>
      <c r="AP7" s="24">
        <f>VLOOKUP($R7,武学奇术!$A:$ZZ,28,FALSE)</f>
        <v>0.9881</v>
      </c>
      <c r="AQ7" s="25">
        <f>VLOOKUP($R7,武学奇术!$A:$ZZ,29,FALSE)*(1+IF(OR($AM7=$F$4,$AM7=$F$5),$B$22,0))</f>
        <v>160</v>
      </c>
      <c r="AR7" s="24" cm="1">
        <f t="array" ref="AR7">$G$3+IFERROR(VLOOKUP($AM7,$F$4:$G$7,2,FALSE),0)+VLOOKUP($R7,武学奇术!$A:$ZZ,2,FALSE)+SUM(_xlfn.XLOOKUP($S7:$AL7,增益!$A:$A,增益!$B:$B,0))</f>
        <v>0.3543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4342.95</v>
      </c>
      <c r="AU7" cm="1">
        <f t="array" ref="AU7">$E$10*(1+$AS7)+VLOOKUP($R7,武学奇术!$A:$ZZ,4,FALSE)+SUM(_xlfn.XLOOKUP($S7:$AL7,增益!$A:$A,增益!$D:$D,0))-$I$2</f>
        <v>4342.95</v>
      </c>
      <c r="AV7" s="31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0.2534</v>
      </c>
      <c r="AW7" s="31" cm="1">
        <f t="array" ref="AW7">$G$10+VLOOKUP($R7,武学奇术!$A:$ZZ,7,FALSE)+SUM(_xlfn.XLOOKUP($S7:$AL7,增益!$A:$A,增益!$G:$G,0))</f>
        <v>0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1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1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1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1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1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1" cm="1">
        <f t="array" ref="BJ7">$G$13+VLOOKUP($R7,武学奇术!$A:$ZZ,14,FALSE)+SUM(_xlfn.XLOOKUP($S7:$AL7,增益!$A:$A,增益!$N:$N,0))</f>
        <v>0</v>
      </c>
      <c r="BK7">
        <f t="shared" si="7"/>
        <v>649.11</v>
      </c>
      <c r="BL7">
        <f t="shared" si="8"/>
        <v>1812.09</v>
      </c>
      <c r="BM7" s="31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1" cm="1">
        <f t="array" ref="BN7">$G$14+VLOOKUP($R7,武学奇术!$A:$ZZ,16,FALSE)+SUM(_xlfn.XLOOKUP($S7:$AL7,增益!$A:$A,增益!$P:$P,0))</f>
        <v>0.15</v>
      </c>
      <c r="BO7" s="24">
        <f>MIN(IF(VLOOKUP($R7,武学奇术!$A:$ZZ,23,FALSE)=1,100%,$B$8),100%)</f>
        <v>0.9943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0.8985</v>
      </c>
      <c r="BQ7" s="24" cm="1">
        <f t="array" ref="BQ7">1+$B$13+VLOOKUP($R7,武学奇术!$A:$ZZ,18,FALSE)+SUM(_xlfn.XLOOKUP($S7:$AL7,增益!$A:$A,增益!$R:$R,0))</f>
        <v>1.54</v>
      </c>
      <c r="BR7" s="24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0.89337855</v>
      </c>
      <c r="BU7" s="24">
        <f t="shared" si="10"/>
        <v>0.01014186</v>
      </c>
      <c r="BV7" s="24">
        <f>IF(VLOOKUP($R7,武学奇术!$A:$ZZ,22,FALSE)=1,0,(1-$BO7))*(1-$BR7)</f>
        <v>0.00517959000000003</v>
      </c>
      <c r="BW7" s="24" cm="1">
        <f t="array" ref="BW7">SUM(_xlfn.XLOOKUP($S7:$AL7,增益!$A:$A,增益!$W:$W,0))+$I$5</f>
        <v>0.11</v>
      </c>
      <c r="BX7" s="24">
        <f>VLOOKUP($R7,武学奇术!$A:$ZZ,32,FALSE)</f>
        <v>0</v>
      </c>
      <c r="BY7" s="24" cm="1">
        <f t="array" ref="BY7">SUM(_xlfn.XLOOKUP($S7:$AL7,增益!$A:$A,增益!$X:$X,0))</f>
        <v>0</v>
      </c>
    </row>
    <row r="8" spans="1:77">
      <c r="A8" s="63" t="s">
        <v>112</v>
      </c>
      <c r="B8" s="64">
        <v>0.9943</v>
      </c>
      <c r="C8" s="35" t="s">
        <v>113</v>
      </c>
      <c r="D8" s="65"/>
      <c r="E8" s="65"/>
      <c r="F8" s="65"/>
      <c r="G8" s="36"/>
      <c r="H8" s="66" t="s">
        <v>114</v>
      </c>
      <c r="I8" s="18">
        <v>88.6</v>
      </c>
      <c r="J8" s="67"/>
      <c r="K8" s="37">
        <f>$L8*VLOOKUP($R8,武学奇术!$A:$ZZ,31,FALSE)</f>
        <v>31975.6136541891</v>
      </c>
      <c r="L8" s="37">
        <f t="shared" si="0"/>
        <v>31975.6136541891</v>
      </c>
      <c r="M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*(1+$BX8)</f>
        <v>32331.2225055305</v>
      </c>
      <c r="N8" s="37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*(1+$BX8)</f>
        <v>30610.8869570098</v>
      </c>
      <c r="O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*(1+$BX8)</f>
        <v>20207.0140659566</v>
      </c>
      <c r="P8" s="37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*(1+$BX8)</f>
        <v>17739.2970526466</v>
      </c>
      <c r="Q8" s="38">
        <v>1</v>
      </c>
      <c r="R8" s="39" t="s">
        <v>115</v>
      </c>
      <c r="S8" s="39" t="s">
        <v>116</v>
      </c>
      <c r="T8" s="39" t="s">
        <v>117</v>
      </c>
      <c r="U8" s="39" t="s">
        <v>81</v>
      </c>
      <c r="V8" s="39" t="s">
        <v>82</v>
      </c>
      <c r="W8" s="39" t="s">
        <v>83</v>
      </c>
      <c r="X8" s="39" t="s">
        <v>84</v>
      </c>
      <c r="Y8" s="39" t="s">
        <v>85</v>
      </c>
      <c r="Z8" s="39" t="s">
        <v>84</v>
      </c>
      <c r="AA8" s="39" t="s">
        <v>84</v>
      </c>
      <c r="AB8" s="39" t="s">
        <v>86</v>
      </c>
      <c r="AC8" s="39" t="s">
        <v>92</v>
      </c>
      <c r="AD8" s="39" t="s">
        <v>84</v>
      </c>
      <c r="AE8" s="39" t="s">
        <v>87</v>
      </c>
      <c r="AF8" s="39" t="s">
        <v>88</v>
      </c>
      <c r="AG8" s="39" t="s">
        <v>84</v>
      </c>
      <c r="AH8" s="39" t="s">
        <v>84</v>
      </c>
      <c r="AI8" s="39" t="s">
        <v>84</v>
      </c>
      <c r="AJ8" s="39" t="s">
        <v>84</v>
      </c>
      <c r="AK8" s="39" t="s">
        <v>84</v>
      </c>
      <c r="AL8" s="39" t="s">
        <v>84</v>
      </c>
      <c r="AM8" t="str">
        <f>VLOOKUP($R8,武学奇术!$A:$ZZ,25,FALSE)</f>
        <v>双刀</v>
      </c>
      <c r="AN8" s="24">
        <f>VLOOKUP($R8,武学奇术!$A:$ZZ,26,FALSE)</f>
        <v>1.3728</v>
      </c>
      <c r="AO8" s="25">
        <f>VLOOKUP($R8,武学奇术!$A:$ZZ,27,FALSE)*(1+IF(OR($AM8=$F$4,$AM8=$F$5),$B$22,0))</f>
        <v>609.44</v>
      </c>
      <c r="AP8" s="24">
        <f>VLOOKUP($R8,武学奇术!$A:$ZZ,28,FALSE)</f>
        <v>2.05933</v>
      </c>
      <c r="AQ8" s="25">
        <f>VLOOKUP($R8,武学奇术!$A:$ZZ,29,FALSE)*(1+IF(OR($AM8=$F$4,$AM8=$F$5),$B$22,0))</f>
        <v>332.8</v>
      </c>
      <c r="AR8" s="24" cm="1">
        <f t="array" ref="AR8">$G$3+IFERROR(VLOOKUP($AM8,$F$4:$G$7,2,FALSE),0)+VLOOKUP($R8,武学奇术!$A:$ZZ,2,FALSE)+SUM(_xlfn.XLOOKUP($S8:$AL8,增益!$A:$A,增益!$B:$B,0))</f>
        <v>0.3643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4342.95</v>
      </c>
      <c r="AU8" cm="1">
        <f t="array" ref="AU8">$E$10*(1+$AS8)+VLOOKUP($R8,武学奇术!$A:$ZZ,4,FALSE)+SUM(_xlfn.XLOOKUP($S8:$AL8,增益!$A:$A,增益!$D:$D,0))-$I$2</f>
        <v>4342.95</v>
      </c>
      <c r="AV8" s="31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0.2634</v>
      </c>
      <c r="AW8" s="31" cm="1">
        <f t="array" ref="AW8">$G$10+VLOOKUP($R8,武学奇术!$A:$ZZ,7,FALSE)+SUM(_xlfn.XLOOKUP($S8:$AL8,增益!$A:$A,增益!$G:$G,0))</f>
        <v>0.11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1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-0.14</v>
      </c>
      <c r="BB8" s="31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1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-0.14</v>
      </c>
      <c r="BF8" s="31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1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-0.14</v>
      </c>
      <c r="BJ8" s="31" cm="1">
        <f t="array" ref="BJ8">$G$13+VLOOKUP($R8,武学奇术!$A:$ZZ,14,FALSE)+SUM(_xlfn.XLOOKUP($S8:$AL8,增益!$A:$A,增益!$N:$N,0))</f>
        <v>0.02</v>
      </c>
      <c r="BK8">
        <f t="shared" si="7"/>
        <v>649.11</v>
      </c>
      <c r="BL8">
        <f t="shared" si="8"/>
        <v>1812.09</v>
      </c>
      <c r="BM8" s="31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0.08</v>
      </c>
      <c r="BN8" s="31" cm="1">
        <f t="array" ref="BN8">$G$14+VLOOKUP($R8,武学奇术!$A:$ZZ,16,FALSE)+SUM(_xlfn.XLOOKUP($S8:$AL8,增益!$A:$A,增益!$P:$P,0))</f>
        <v>0.26</v>
      </c>
      <c r="BO8" s="24">
        <f>MIN(IF(VLOOKUP($R8,武学奇术!$A:$ZZ,23,FALSE)=1,100%,$B$8),100%)</f>
        <v>0.9943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0.8985</v>
      </c>
      <c r="BQ8" s="24" cm="1">
        <f t="array" ref="BQ8">1+$B$13+VLOOKUP($R8,武学奇术!$A:$ZZ,18,FALSE)+SUM(_xlfn.XLOOKUP($S8:$AL8,增益!$A:$A,增益!$R:$R,0))</f>
        <v>1.6</v>
      </c>
      <c r="BR8" s="24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0.89337855</v>
      </c>
      <c r="BU8" s="24">
        <f t="shared" si="10"/>
        <v>0.01014186</v>
      </c>
      <c r="BV8" s="24">
        <f>IF(VLOOKUP($R8,武学奇术!$A:$ZZ,22,FALSE)=1,0,(1-$BO8))*(1-$BR8)</f>
        <v>0.00517959000000003</v>
      </c>
      <c r="BW8" s="24" cm="1">
        <f t="array" ref="BW8">SUM(_xlfn.XLOOKUP($S8:$AL8,增益!$A:$A,增益!$W:$W,0))+$I$5</f>
        <v>0.11</v>
      </c>
      <c r="BX8" s="24">
        <f>VLOOKUP($R8,武学奇术!$A:$ZZ,32,FALSE)</f>
        <v>0</v>
      </c>
      <c r="BY8" s="24" cm="1">
        <f t="array" ref="BY8">SUM(_xlfn.XLOOKUP($S8:$AL8,增益!$A:$A,增益!$X:$X,0))</f>
        <v>0</v>
      </c>
    </row>
    <row r="9" ht="14.25" spans="1:77">
      <c r="A9" s="40" t="s">
        <v>118</v>
      </c>
      <c r="B9" s="68">
        <v>0.7655</v>
      </c>
      <c r="C9" s="44"/>
      <c r="D9" t="s">
        <v>0</v>
      </c>
      <c r="E9" t="s">
        <v>1</v>
      </c>
      <c r="F9" s="38" t="s">
        <v>2</v>
      </c>
      <c r="G9" s="43" t="s">
        <v>3</v>
      </c>
      <c r="H9" s="69"/>
      <c r="I9" s="22"/>
      <c r="J9" s="70"/>
      <c r="K9" s="37">
        <f>$L9*VLOOKUP($R9,武学奇术!$A:$ZZ,31,FALSE)</f>
        <v>121958.484620843</v>
      </c>
      <c r="L9" s="37">
        <f t="shared" si="0"/>
        <v>121958.484620843</v>
      </c>
      <c r="M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*(1+$BX9)</f>
        <v>125231.097528527</v>
      </c>
      <c r="N9" s="37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*(1+$BX9)</f>
        <v>99795.747972545</v>
      </c>
      <c r="O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*(1+$BX9)</f>
        <v>65911.1039623825</v>
      </c>
      <c r="P9" s="37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*(1+$BX9)</f>
        <v>57899.4316488057</v>
      </c>
      <c r="Q9" s="38">
        <v>1</v>
      </c>
      <c r="R9" s="39" t="s">
        <v>119</v>
      </c>
      <c r="S9" s="39" t="s">
        <v>79</v>
      </c>
      <c r="T9" s="39" t="s">
        <v>117</v>
      </c>
      <c r="U9" s="39" t="s">
        <v>81</v>
      </c>
      <c r="V9" s="39" t="s">
        <v>82</v>
      </c>
      <c r="W9" s="39" t="s">
        <v>83</v>
      </c>
      <c r="X9" s="39" t="s">
        <v>84</v>
      </c>
      <c r="Y9" s="39" t="s">
        <v>85</v>
      </c>
      <c r="Z9" s="39" t="s">
        <v>84</v>
      </c>
      <c r="AA9" s="39" t="s">
        <v>84</v>
      </c>
      <c r="AB9" s="39" t="s">
        <v>86</v>
      </c>
      <c r="AC9" s="39" t="s">
        <v>92</v>
      </c>
      <c r="AD9" s="39" t="s">
        <v>84</v>
      </c>
      <c r="AE9" s="39" t="s">
        <v>87</v>
      </c>
      <c r="AF9" s="39" t="s">
        <v>88</v>
      </c>
      <c r="AG9" s="39" t="s">
        <v>84</v>
      </c>
      <c r="AH9" s="39" t="s">
        <v>84</v>
      </c>
      <c r="AI9" s="39" t="s">
        <v>84</v>
      </c>
      <c r="AJ9" s="39" t="s">
        <v>84</v>
      </c>
      <c r="AK9" s="39" t="s">
        <v>84</v>
      </c>
      <c r="AL9" s="39" t="s">
        <v>84</v>
      </c>
      <c r="AM9" t="str">
        <f>VLOOKUP($R9,武学奇术!$A:$ZZ,25,FALSE)</f>
        <v>拳甲</v>
      </c>
      <c r="AN9" s="24">
        <f>VLOOKUP($R9,武学奇术!$A:$ZZ,26,FALSE)</f>
        <v>3.0496</v>
      </c>
      <c r="AO9" s="25">
        <f>VLOOKUP($R9,武学奇术!$A:$ZZ,27,FALSE)*(1+IF(OR($AM9=$F$4,$AM9=$F$5),$B$22,0))</f>
        <v>1350.4</v>
      </c>
      <c r="AP9" s="24">
        <f>VLOOKUP($R9,武学奇术!$A:$ZZ,28,FALSE)</f>
        <v>4.5744</v>
      </c>
      <c r="AQ9" s="25">
        <f>VLOOKUP($R9,武学奇术!$A:$ZZ,29,FALSE)*(1+IF(OR($AM9=$F$4,$AM9=$F$5),$B$22,0))</f>
        <v>729.6</v>
      </c>
      <c r="AR9" s="24" cm="1">
        <f t="array" ref="AR9">$G$3+IFERROR(VLOOKUP($AM9,$F$4:$G$7,2,FALSE),0)+VLOOKUP($R9,武学奇术!$A:$ZZ,2,FALSE)+SUM(_xlfn.XLOOKUP($S9:$AL9,增益!$A:$A,增益!$B:$B,0))</f>
        <v>0.4243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4342.95</v>
      </c>
      <c r="AU9" cm="1">
        <f t="array" ref="AU9">$E$10*(1+$AS9)+VLOOKUP($R9,武学奇术!$A:$ZZ,4,FALSE)+SUM(_xlfn.XLOOKUP($S9:$AL9,增益!$A:$A,增益!$D:$D,0))-$I$2</f>
        <v>4342.95</v>
      </c>
      <c r="AV9" s="31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0.2734</v>
      </c>
      <c r="AW9" s="31" cm="1">
        <f t="array" ref="AW9">$G$10+VLOOKUP($R9,武学奇术!$A:$ZZ,7,FALSE)+SUM(_xlfn.XLOOKUP($S9:$AL9,增益!$A:$A,增益!$G:$G,0))</f>
        <v>0.11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1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1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1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-0.14</v>
      </c>
      <c r="BF9" s="31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1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1" cm="1">
        <f t="array" ref="BJ9">$G$13+VLOOKUP($R9,武学奇术!$A:$ZZ,14,FALSE)+SUM(_xlfn.XLOOKUP($S9:$AL9,增益!$A:$A,增益!$N:$N,0))</f>
        <v>0.02</v>
      </c>
      <c r="BK9">
        <f t="shared" si="7"/>
        <v>649.11</v>
      </c>
      <c r="BL9">
        <f t="shared" si="8"/>
        <v>1812.09</v>
      </c>
      <c r="BM9" s="31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0.08</v>
      </c>
      <c r="BN9" s="31" cm="1">
        <f t="array" ref="BN9">$G$14+VLOOKUP($R9,武学奇术!$A:$ZZ,16,FALSE)+SUM(_xlfn.XLOOKUP($S9:$AL9,增益!$A:$A,增益!$P:$P,0))</f>
        <v>0.26</v>
      </c>
      <c r="BO9" s="24">
        <f>MIN(IF(VLOOKUP($R9,武学奇术!$A:$ZZ,23,FALSE)=1,100%,$B$8),100%)</f>
        <v>0.9943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0.8985</v>
      </c>
      <c r="BQ9" s="24" cm="1">
        <f t="array" ref="BQ9">1+$B$13+VLOOKUP($R9,武学奇术!$A:$ZZ,18,FALSE)+SUM(_xlfn.XLOOKUP($S9:$AL9,增益!$A:$A,增益!$R:$R,0))</f>
        <v>1.9</v>
      </c>
      <c r="BR9" s="24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0.89337855</v>
      </c>
      <c r="BU9" s="24">
        <f t="shared" si="10"/>
        <v>0.01014186</v>
      </c>
      <c r="BV9" s="24">
        <f>IF(VLOOKUP($R9,武学奇术!$A:$ZZ,22,FALSE)=1,0,(1-$BO9))*(1-$BR9)</f>
        <v>0.00517959000000003</v>
      </c>
      <c r="BW9" s="24" cm="1">
        <f t="array" ref="BW9">SUM(_xlfn.XLOOKUP($S9:$AL9,增益!$A:$A,增益!$W:$W,0))+$I$5</f>
        <v>0.11</v>
      </c>
      <c r="BX9" s="24">
        <f>VLOOKUP($R9,武学奇术!$A:$ZZ,32,FALSE)</f>
        <v>0.4</v>
      </c>
      <c r="BY9" s="24" cm="1">
        <f t="array" ref="BY9">SUM(_xlfn.XLOOKUP($S9:$AL9,增益!$A:$A,增益!$X:$X,0))</f>
        <v>0</v>
      </c>
    </row>
    <row r="10" spans="1:77">
      <c r="A10" s="40" t="s">
        <v>120</v>
      </c>
      <c r="B10" s="68">
        <v>0.0913</v>
      </c>
      <c r="C10" s="44" t="s">
        <v>74</v>
      </c>
      <c r="D10" s="25">
        <f>(B2+B23)*IF($G$2="倾觞",1.05,1)</f>
        <v>4961.25</v>
      </c>
      <c r="E10" s="25">
        <f>MAX(B2+B23,C2+B24)*IF($G$2="倾觞",1.05,1)</f>
        <v>4961.25</v>
      </c>
      <c r="F10">
        <f>D2</f>
        <v>58.68</v>
      </c>
      <c r="G10" s="92">
        <f>E2</f>
        <v>0</v>
      </c>
      <c r="H10" s="66" t="s">
        <v>121</v>
      </c>
      <c r="I10" s="71">
        <f>SUM(L:L)</f>
        <v>16262716.7484719</v>
      </c>
      <c r="J10" s="72"/>
      <c r="K10" s="37">
        <f>$L10*VLOOKUP($R10,武学奇术!$A:$ZZ,31,FALSE)</f>
        <v>62658.2521783113</v>
      </c>
      <c r="L10" s="37">
        <f t="shared" si="0"/>
        <v>39161.4076114446</v>
      </c>
      <c r="M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*(1+$BX10)</f>
        <v>39576.4196032984</v>
      </c>
      <c r="N10" s="37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*(1+$BX10)</f>
        <v>37738.5210702039</v>
      </c>
      <c r="O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*(1+$BX10)</f>
        <v>24581.627082794</v>
      </c>
      <c r="P10" s="37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*(1+$BX10)</f>
        <v>21208.7941135852</v>
      </c>
      <c r="Q10" s="38">
        <v>1</v>
      </c>
      <c r="R10" s="39" t="s">
        <v>122</v>
      </c>
      <c r="S10" s="39" t="s">
        <v>79</v>
      </c>
      <c r="T10" s="39" t="s">
        <v>80</v>
      </c>
      <c r="U10" s="39" t="s">
        <v>81</v>
      </c>
      <c r="V10" s="39" t="s">
        <v>82</v>
      </c>
      <c r="W10" s="39" t="s">
        <v>83</v>
      </c>
      <c r="X10" s="39" t="s">
        <v>84</v>
      </c>
      <c r="Y10" s="39" t="s">
        <v>85</v>
      </c>
      <c r="Z10" s="39" t="s">
        <v>84</v>
      </c>
      <c r="AA10" s="39" t="s">
        <v>84</v>
      </c>
      <c r="AB10" s="39" t="s">
        <v>86</v>
      </c>
      <c r="AC10" s="39" t="s">
        <v>100</v>
      </c>
      <c r="AD10" s="39" t="s">
        <v>84</v>
      </c>
      <c r="AE10" s="39" t="s">
        <v>87</v>
      </c>
      <c r="AF10" s="39" t="s">
        <v>88</v>
      </c>
      <c r="AG10" s="39" t="s">
        <v>84</v>
      </c>
      <c r="AH10" s="39" t="s">
        <v>84</v>
      </c>
      <c r="AI10" s="39" t="s">
        <v>84</v>
      </c>
      <c r="AJ10" s="39" t="s">
        <v>84</v>
      </c>
      <c r="AK10" s="39" t="s">
        <v>84</v>
      </c>
      <c r="AL10" s="39" t="s">
        <v>84</v>
      </c>
      <c r="AM10" t="str">
        <f>VLOOKUP($R10,武学奇术!$A:$ZZ,25,FALSE)</f>
        <v>拳甲</v>
      </c>
      <c r="AN10" s="24">
        <f>VLOOKUP($R10,武学奇术!$A:$ZZ,26,FALSE)</f>
        <v>1.862784</v>
      </c>
      <c r="AO10" s="25">
        <f>VLOOKUP($R10,武学奇术!$A:$ZZ,27,FALSE)*(1+IF(OR($AM10=$F$4,$AM10=$F$5),$B$22,0))</f>
        <v>0</v>
      </c>
      <c r="AP10" s="24">
        <f>VLOOKUP($R10,武学奇术!$A:$ZZ,28,FALSE)</f>
        <v>2.794176</v>
      </c>
      <c r="AQ10" s="25">
        <f>VLOOKUP($R10,武学奇术!$A:$ZZ,29,FALSE)*(1+IF(OR($AM10=$F$4,$AM10=$F$5),$B$22,0))</f>
        <v>0</v>
      </c>
      <c r="AR10" s="24" cm="1">
        <f t="array" ref="AR10">$G$3+IFERROR(VLOOKUP($AM10,$F$4:$G$7,2,FALSE),0)+VLOOKUP($R10,武学奇术!$A:$ZZ,2,FALSE)+SUM(_xlfn.XLOOKUP($S10:$AL10,增益!$A:$A,增益!$B:$B,0))</f>
        <v>0.3743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4342.95</v>
      </c>
      <c r="AU10" cm="1">
        <f t="array" ref="AU10">$E$10*(1+$AS10)+VLOOKUP($R10,武学奇术!$A:$ZZ,4,FALSE)+SUM(_xlfn.XLOOKUP($S10:$AL10,增益!$A:$A,增益!$D:$D,0))-$I$2</f>
        <v>4342.95</v>
      </c>
      <c r="AV10" s="31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0.2734</v>
      </c>
      <c r="AW10" s="31" cm="1">
        <f t="array" ref="AW10">$G$10+VLOOKUP($R10,武学奇术!$A:$ZZ,7,FALSE)+SUM(_xlfn.XLOOKUP($S10:$AL10,增益!$A:$A,增益!$G:$G,0))</f>
        <v>0.11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1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1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1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-0.14</v>
      </c>
      <c r="BF10" s="31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1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-0.14</v>
      </c>
      <c r="BJ10" s="31" cm="1">
        <f t="array" ref="BJ10">$G$13+VLOOKUP($R10,武学奇术!$A:$ZZ,14,FALSE)+SUM(_xlfn.XLOOKUP($S10:$AL10,增益!$A:$A,增益!$N:$N,0))</f>
        <v>0.02</v>
      </c>
      <c r="BK10">
        <f t="shared" si="7"/>
        <v>649.11</v>
      </c>
      <c r="BL10">
        <f t="shared" si="8"/>
        <v>1812.09</v>
      </c>
      <c r="BM10" s="31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0.08</v>
      </c>
      <c r="BN10" s="31" cm="1">
        <f t="array" ref="BN10">$G$14+VLOOKUP($R10,武学奇术!$A:$ZZ,16,FALSE)+SUM(_xlfn.XLOOKUP($S10:$AL10,增益!$A:$A,增益!$P:$P,0))</f>
        <v>0.26</v>
      </c>
      <c r="BO10" s="24">
        <f>MIN(IF(VLOOKUP($R10,武学奇术!$A:$ZZ,23,FALSE)=1,100%,$B$8),100%)</f>
        <v>0.9943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0.8985</v>
      </c>
      <c r="BQ10" s="24" cm="1">
        <f t="array" ref="BQ10">1+$B$13+VLOOKUP($R10,武学奇术!$A:$ZZ,18,FALSE)+SUM(_xlfn.XLOOKUP($S10:$AL10,增益!$A:$A,增益!$R:$R,0))</f>
        <v>1.61</v>
      </c>
      <c r="BR10" s="24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0.89337855</v>
      </c>
      <c r="BU10" s="24">
        <f t="shared" si="10"/>
        <v>0.01014186</v>
      </c>
      <c r="BV10" s="24">
        <f>IF(VLOOKUP($R10,武学奇术!$A:$ZZ,22,FALSE)=1,0,(1-$BO10))*(1-$BR10)</f>
        <v>0.00517959000000003</v>
      </c>
      <c r="BW10" s="24" cm="1">
        <f t="array" ref="BW10">SUM(_xlfn.XLOOKUP($S10:$AL10,增益!$A:$A,增益!$W:$W,0))+$I$5</f>
        <v>0.11</v>
      </c>
      <c r="BX10" s="24">
        <f>VLOOKUP($R10,武学奇术!$A:$ZZ,32,FALSE)</f>
        <v>0</v>
      </c>
      <c r="BY10" s="24" cm="1">
        <f t="array" ref="BY10">SUM(_xlfn.XLOOKUP($S10:$AL10,增益!$A:$A,增益!$X:$X,0))</f>
        <v>0</v>
      </c>
    </row>
    <row r="11" ht="14.25" spans="1:77">
      <c r="A11" s="40" t="s">
        <v>123</v>
      </c>
      <c r="B11" s="68">
        <f>4.6%+IF($E$24="易水歌",4.6%,0)+IF($E$22="断石之构",4.1%,0)</f>
        <v>0.133</v>
      </c>
      <c r="C11" s="44" t="s">
        <v>89</v>
      </c>
      <c r="D11">
        <f>(B3+IF($G$1=$C11,$B$7,0))*IF($G$2="倾觞",1.05,1)</f>
        <v>0</v>
      </c>
      <c r="E11">
        <f>(MAX(B3,C3)+IF($G$1=$C11,$C$7,0))*IF($G$2="倾觞",1.05,1)</f>
        <v>0</v>
      </c>
      <c r="F11">
        <f>D3</f>
        <v>0</v>
      </c>
      <c r="G11" s="92">
        <f>E3</f>
        <v>0</v>
      </c>
      <c r="H11" s="69"/>
      <c r="I11" s="73"/>
      <c r="J11" s="74"/>
      <c r="K11" s="37">
        <f>$L11*VLOOKUP($R11,武学奇术!$A:$ZZ,31,FALSE)</f>
        <v>45564.7679285303</v>
      </c>
      <c r="L11" s="37">
        <f t="shared" si="0"/>
        <v>45564.7679285303</v>
      </c>
      <c r="M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*(1+$BX11)</f>
        <v>46807.8973733601</v>
      </c>
      <c r="N11" s="37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*(1+$BX11)</f>
        <v>37103.3766965101</v>
      </c>
      <c r="O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*(1+$BX11)</f>
        <v>24506.7525514975</v>
      </c>
      <c r="P11" s="37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*(1+$BX11)</f>
        <v>21529.5223648393</v>
      </c>
      <c r="Q11" s="38">
        <v>1</v>
      </c>
      <c r="R11" s="39" t="s">
        <v>124</v>
      </c>
      <c r="S11" s="39" t="s">
        <v>79</v>
      </c>
      <c r="T11" s="39" t="s">
        <v>80</v>
      </c>
      <c r="U11" s="39" t="s">
        <v>81</v>
      </c>
      <c r="V11" s="39" t="s">
        <v>82</v>
      </c>
      <c r="W11" s="39" t="s">
        <v>83</v>
      </c>
      <c r="X11" s="39" t="s">
        <v>84</v>
      </c>
      <c r="Y11" s="39" t="s">
        <v>85</v>
      </c>
      <c r="Z11" s="39" t="s">
        <v>84</v>
      </c>
      <c r="AA11" s="39" t="s">
        <v>84</v>
      </c>
      <c r="AB11" s="39" t="s">
        <v>86</v>
      </c>
      <c r="AC11" s="39" t="s">
        <v>100</v>
      </c>
      <c r="AD11" s="39" t="s">
        <v>84</v>
      </c>
      <c r="AE11" s="39" t="s">
        <v>87</v>
      </c>
      <c r="AF11" s="39" t="s">
        <v>88</v>
      </c>
      <c r="AG11" s="39" t="s">
        <v>84</v>
      </c>
      <c r="AH11" s="39" t="s">
        <v>84</v>
      </c>
      <c r="AI11" s="39" t="s">
        <v>84</v>
      </c>
      <c r="AJ11" s="39" t="s">
        <v>84</v>
      </c>
      <c r="AK11" s="39" t="s">
        <v>84</v>
      </c>
      <c r="AL11" s="39" t="s">
        <v>84</v>
      </c>
      <c r="AM11" t="str">
        <f>VLOOKUP($R11,武学奇术!$A:$ZZ,25,FALSE)</f>
        <v>拳甲</v>
      </c>
      <c r="AN11" s="24">
        <f>VLOOKUP($R11,武学奇术!$A:$ZZ,26,FALSE)</f>
        <v>1.1333</v>
      </c>
      <c r="AO11" s="25">
        <f>VLOOKUP($R11,武学奇术!$A:$ZZ,27,FALSE)*(1+IF(OR($AM11=$F$4,$AM11=$F$5),$B$22,0))</f>
        <v>502.4</v>
      </c>
      <c r="AP11" s="24">
        <f>VLOOKUP($R11,武学奇术!$A:$ZZ,28,FALSE)</f>
        <v>1.6999</v>
      </c>
      <c r="AQ11" s="25">
        <f>VLOOKUP($R11,武学奇术!$A:$ZZ,29,FALSE)*(1+IF(OR($AM11=$F$4,$AM11=$F$5),$B$22,0))</f>
        <v>273.6</v>
      </c>
      <c r="AR11" s="24" cm="1">
        <f t="array" ref="AR11">$G$3+IFERROR(VLOOKUP($AM11,$F$4:$G$7,2,FALSE),0)+VLOOKUP($R11,武学奇术!$A:$ZZ,2,FALSE)+SUM(_xlfn.XLOOKUP($S11:$AL11,增益!$A:$A,增益!$B:$B,0))</f>
        <v>0.4243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4342.95</v>
      </c>
      <c r="AU11" cm="1">
        <f t="array" ref="AU11">$E$10*(1+$AS11)+VLOOKUP($R11,武学奇术!$A:$ZZ,4,FALSE)+SUM(_xlfn.XLOOKUP($S11:$AL11,增益!$A:$A,增益!$D:$D,0))-$I$2</f>
        <v>4342.95</v>
      </c>
      <c r="AV11" s="31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0.2734</v>
      </c>
      <c r="AW11" s="31" cm="1">
        <f t="array" ref="AW11">$G$10+VLOOKUP($R11,武学奇术!$A:$ZZ,7,FALSE)+SUM(_xlfn.XLOOKUP($S11:$AL11,增益!$A:$A,增益!$G:$G,0))</f>
        <v>0.11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1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1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1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-0.14</v>
      </c>
      <c r="BF11" s="31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1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-0.14</v>
      </c>
      <c r="BJ11" s="31" cm="1">
        <f t="array" ref="BJ11">$G$13+VLOOKUP($R11,武学奇术!$A:$ZZ,14,FALSE)+SUM(_xlfn.XLOOKUP($S11:$AL11,增益!$A:$A,增益!$N:$N,0))</f>
        <v>0.02</v>
      </c>
      <c r="BK11">
        <f t="shared" si="7"/>
        <v>649.11</v>
      </c>
      <c r="BL11">
        <f t="shared" si="8"/>
        <v>1812.09</v>
      </c>
      <c r="BM11" s="31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0.08</v>
      </c>
      <c r="BN11" s="31" cm="1">
        <f t="array" ref="BN11">$G$14+VLOOKUP($R11,武学奇术!$A:$ZZ,16,FALSE)+SUM(_xlfn.XLOOKUP($S11:$AL11,增益!$A:$A,增益!$P:$P,0))</f>
        <v>0.26</v>
      </c>
      <c r="BO11" s="24">
        <f>MIN(IF(VLOOKUP($R11,武学奇术!$A:$ZZ,23,FALSE)=1,100%,$B$8),100%)</f>
        <v>0.9943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0.8985</v>
      </c>
      <c r="BQ11" s="24" cm="1">
        <f t="array" ref="BQ11">1+$B$13+VLOOKUP($R11,武学奇术!$A:$ZZ,18,FALSE)+SUM(_xlfn.XLOOKUP($S11:$AL11,增益!$A:$A,增益!$R:$R,0))</f>
        <v>1.91</v>
      </c>
      <c r="BR11" s="24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0.89337855</v>
      </c>
      <c r="BU11" s="24">
        <f t="shared" si="10"/>
        <v>0.01014186</v>
      </c>
      <c r="BV11" s="24">
        <f>IF(VLOOKUP($R11,武学奇术!$A:$ZZ,22,FALSE)=1,0,(1-$BO11))*(1-$BR11)</f>
        <v>0.00517959000000003</v>
      </c>
      <c r="BW11" s="24" cm="1">
        <f t="array" ref="BW11">SUM(_xlfn.XLOOKUP($S11:$AL11,增益!$A:$A,增益!$W:$W,0))+$I$5</f>
        <v>0.11</v>
      </c>
      <c r="BX11" s="24">
        <f>VLOOKUP($R11,武学奇术!$A:$ZZ,32,FALSE)</f>
        <v>0.4</v>
      </c>
      <c r="BY11" s="24" cm="1">
        <f t="array" ref="BY11">SUM(_xlfn.XLOOKUP($S11:$AL11,增益!$A:$A,增益!$X:$X,0))</f>
        <v>0</v>
      </c>
    </row>
    <row r="12" spans="1:77">
      <c r="A12" s="40" t="s">
        <v>125</v>
      </c>
      <c r="B12" s="68">
        <v>0</v>
      </c>
      <c r="C12" s="44" t="s">
        <v>95</v>
      </c>
      <c r="D12">
        <f>(B4+IF($G$1=$C12,$B$7,0))*IF($G$2="倾觞",1.05,1)</f>
        <v>0</v>
      </c>
      <c r="E12">
        <f>(MAX(B4,C4)+IF($G$1=$C12,$C$7,0))*IF($G$2="倾觞",1.05,1)</f>
        <v>0</v>
      </c>
      <c r="F12">
        <f>D4</f>
        <v>0</v>
      </c>
      <c r="G12" s="92">
        <f>E4</f>
        <v>0</v>
      </c>
      <c r="H12" s="66" t="s">
        <v>126</v>
      </c>
      <c r="I12" s="37">
        <f>I10/I8</f>
        <v>183552.107770563</v>
      </c>
      <c r="J12" s="75"/>
      <c r="K12" s="37">
        <f>$L12*VLOOKUP($R12,武学奇术!$A:$ZZ,31,FALSE)</f>
        <v>31553.0598546296</v>
      </c>
      <c r="L12" s="37">
        <f t="shared" si="0"/>
        <v>31553.0598546296</v>
      </c>
      <c r="M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*(1+$BX12)</f>
        <v>32415.3681980174</v>
      </c>
      <c r="N12" s="37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*(1+$BX12)</f>
        <v>25678.5964414979</v>
      </c>
      <c r="O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*(1+$BX12)</f>
        <v>16971.3969623128</v>
      </c>
      <c r="P12" s="37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*(1+$BX12)</f>
        <v>14921.6113753679</v>
      </c>
      <c r="Q12" s="38">
        <v>1</v>
      </c>
      <c r="R12" s="39" t="s">
        <v>127</v>
      </c>
      <c r="S12" s="39" t="s">
        <v>91</v>
      </c>
      <c r="T12" s="39" t="s">
        <v>80</v>
      </c>
      <c r="U12" s="39" t="s">
        <v>81</v>
      </c>
      <c r="V12" s="39" t="s">
        <v>82</v>
      </c>
      <c r="W12" s="39" t="s">
        <v>83</v>
      </c>
      <c r="X12" s="39" t="s">
        <v>84</v>
      </c>
      <c r="Y12" s="39" t="s">
        <v>85</v>
      </c>
      <c r="Z12" s="39" t="s">
        <v>84</v>
      </c>
      <c r="AA12" s="39" t="s">
        <v>84</v>
      </c>
      <c r="AB12" s="39" t="s">
        <v>86</v>
      </c>
      <c r="AC12" s="39" t="s">
        <v>100</v>
      </c>
      <c r="AD12" s="39" t="s">
        <v>84</v>
      </c>
      <c r="AE12" s="39" t="s">
        <v>87</v>
      </c>
      <c r="AF12" s="39" t="s">
        <v>88</v>
      </c>
      <c r="AG12" s="39" t="s">
        <v>84</v>
      </c>
      <c r="AH12" s="39" t="s">
        <v>84</v>
      </c>
      <c r="AI12" s="39" t="s">
        <v>84</v>
      </c>
      <c r="AJ12" s="39" t="s">
        <v>84</v>
      </c>
      <c r="AK12" s="39" t="s">
        <v>84</v>
      </c>
      <c r="AL12" s="39" t="s">
        <v>84</v>
      </c>
      <c r="AM12" t="str">
        <f>VLOOKUP($R12,武学奇术!$A:$ZZ,25,FALSE)</f>
        <v>拳甲</v>
      </c>
      <c r="AN12" s="24">
        <f>VLOOKUP($R12,武学奇术!$A:$ZZ,26,FALSE)</f>
        <v>0.7748</v>
      </c>
      <c r="AO12" s="25">
        <f>VLOOKUP($R12,武学奇术!$A:$ZZ,27,FALSE)*(1+IF(OR($AM12=$F$4,$AM12=$F$5),$B$22,0))</f>
        <v>345.6</v>
      </c>
      <c r="AP12" s="24">
        <f>VLOOKUP($R12,武学奇术!$A:$ZZ,28,FALSE)</f>
        <v>1.1622</v>
      </c>
      <c r="AQ12" s="25">
        <f>VLOOKUP($R12,武学奇术!$A:$ZZ,29,FALSE)*(1+IF(OR($AM12=$F$4,$AM12=$F$5),$B$22,0))</f>
        <v>187.2</v>
      </c>
      <c r="AR12" s="24" cm="1">
        <f t="array" ref="AR12">$G$3+IFERROR(VLOOKUP($AM12,$F$4:$G$7,2,FALSE),0)+VLOOKUP($R12,武学奇术!$A:$ZZ,2,FALSE)+SUM(_xlfn.XLOOKUP($S12:$AL12,增益!$A:$A,增益!$B:$B,0))</f>
        <v>0.4343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4342.95</v>
      </c>
      <c r="AU12" cm="1">
        <f t="array" ref="AU12">$E$10*(1+$AS12)+VLOOKUP($R12,武学奇术!$A:$ZZ,4,FALSE)+SUM(_xlfn.XLOOKUP($S12:$AL12,增益!$A:$A,增益!$D:$D,0))-$I$2</f>
        <v>4342.95</v>
      </c>
      <c r="AV12" s="31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0.2834</v>
      </c>
      <c r="AW12" s="31" cm="1">
        <f t="array" ref="AW12">$G$10+VLOOKUP($R12,武学奇术!$A:$ZZ,7,FALSE)+SUM(_xlfn.XLOOKUP($S12:$AL12,增益!$A:$A,增益!$G:$G,0))</f>
        <v>0.11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1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1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1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1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1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1" cm="1">
        <f t="array" ref="BJ12">$G$13+VLOOKUP($R12,武学奇术!$A:$ZZ,14,FALSE)+SUM(_xlfn.XLOOKUP($S12:$AL12,增益!$A:$A,增益!$N:$N,0))</f>
        <v>0.02</v>
      </c>
      <c r="BK12">
        <f t="shared" si="7"/>
        <v>649.11</v>
      </c>
      <c r="BL12">
        <f t="shared" si="8"/>
        <v>1812.09</v>
      </c>
      <c r="BM12" s="31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0.08</v>
      </c>
      <c r="BN12" s="31" cm="1">
        <f t="array" ref="BN12">$G$14+VLOOKUP($R12,武学奇术!$A:$ZZ,16,FALSE)+SUM(_xlfn.XLOOKUP($S12:$AL12,增益!$A:$A,增益!$P:$P,0))</f>
        <v>0.26</v>
      </c>
      <c r="BO12" s="24">
        <f>MIN(IF(VLOOKUP($R12,武学奇术!$A:$ZZ,23,FALSE)=1,100%,$B$8),100%)</f>
        <v>0.9943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0.8985</v>
      </c>
      <c r="BQ12" s="24" cm="1">
        <f t="array" ref="BQ12">1+$B$13+VLOOKUP($R12,武学奇术!$A:$ZZ,18,FALSE)+SUM(_xlfn.XLOOKUP($S12:$AL12,增益!$A:$A,增益!$R:$R,0))</f>
        <v>1.91</v>
      </c>
      <c r="BR12" s="24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0.89337855</v>
      </c>
      <c r="BU12" s="24">
        <f t="shared" si="10"/>
        <v>0.01014186</v>
      </c>
      <c r="BV12" s="24">
        <f>IF(VLOOKUP($R12,武学奇术!$A:$ZZ,22,FALSE)=1,0,(1-$BO12))*(1-$BR12)</f>
        <v>0.00517959000000003</v>
      </c>
      <c r="BW12" s="24" cm="1">
        <f t="array" ref="BW12">SUM(_xlfn.XLOOKUP($S12:$AL12,增益!$A:$A,增益!$W:$W,0))+$I$5</f>
        <v>0.11</v>
      </c>
      <c r="BX12" s="24">
        <f>VLOOKUP($R12,武学奇术!$A:$ZZ,32,FALSE)</f>
        <v>0.4</v>
      </c>
      <c r="BY12" s="24" cm="1">
        <f t="array" ref="BY12">SUM(_xlfn.XLOOKUP($S12:$AL12,增益!$A:$A,增益!$X:$X,0))</f>
        <v>0</v>
      </c>
    </row>
    <row r="13" ht="14.25" spans="1:77">
      <c r="A13" s="40" t="s">
        <v>128</v>
      </c>
      <c r="B13" s="68">
        <v>0.54</v>
      </c>
      <c r="C13" s="44" t="s">
        <v>101</v>
      </c>
      <c r="D13">
        <f>(B5+IF($G$1=$C13,$B$7,0))*IF($G$2="倾觞",1.05,1)</f>
        <v>0</v>
      </c>
      <c r="E13">
        <f>(MAX(B5,C5)+IF($G$1=$C13,$C$7,0))*IF($G$2="倾觞",1.05,1)</f>
        <v>0</v>
      </c>
      <c r="F13">
        <f>D5</f>
        <v>0</v>
      </c>
      <c r="G13" s="92">
        <f>E5</f>
        <v>0</v>
      </c>
      <c r="H13" s="69"/>
      <c r="I13" s="76"/>
      <c r="J13" s="74"/>
      <c r="K13" s="37">
        <f>$L13*VLOOKUP($R13,武学奇术!$A:$ZZ,31,FALSE)</f>
        <v>103649.812738726</v>
      </c>
      <c r="L13" s="37">
        <f t="shared" ref="L13:L21" si="11">($M13*$BT13+$N13*$BR13+$O13*$BU13+$P13*$BV13)</f>
        <v>64781.1329617039</v>
      </c>
      <c r="M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*(1+$BX13)</f>
        <v>66525.4471528684</v>
      </c>
      <c r="N13" s="37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*(1+$BX13)</f>
        <v>52989.9330328752</v>
      </c>
      <c r="O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*(1+$BX13)</f>
        <v>34830.0770433866</v>
      </c>
      <c r="P13" s="37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*(1+$BX13)</f>
        <v>30408.351840199</v>
      </c>
      <c r="Q13" s="38">
        <v>1</v>
      </c>
      <c r="R13" s="39" t="s">
        <v>129</v>
      </c>
      <c r="S13" s="39" t="s">
        <v>98</v>
      </c>
      <c r="T13" s="39" t="s">
        <v>80</v>
      </c>
      <c r="U13" s="39" t="s">
        <v>81</v>
      </c>
      <c r="V13" s="39" t="s">
        <v>130</v>
      </c>
      <c r="W13" s="39" t="s">
        <v>83</v>
      </c>
      <c r="X13" s="39" t="s">
        <v>84</v>
      </c>
      <c r="Y13" s="39" t="s">
        <v>85</v>
      </c>
      <c r="Z13" s="39" t="s">
        <v>84</v>
      </c>
      <c r="AA13" s="39" t="s">
        <v>84</v>
      </c>
      <c r="AB13" s="39" t="s">
        <v>86</v>
      </c>
      <c r="AC13" s="39" t="s">
        <v>100</v>
      </c>
      <c r="AD13" s="39" t="s">
        <v>93</v>
      </c>
      <c r="AE13" s="39" t="s">
        <v>87</v>
      </c>
      <c r="AF13" s="39" t="s">
        <v>88</v>
      </c>
      <c r="AG13" s="39" t="s">
        <v>94</v>
      </c>
      <c r="AH13" s="39" t="s">
        <v>84</v>
      </c>
      <c r="AI13" s="39" t="s">
        <v>84</v>
      </c>
      <c r="AJ13" s="39" t="s">
        <v>84</v>
      </c>
      <c r="AK13" s="39" t="s">
        <v>84</v>
      </c>
      <c r="AL13" s="39" t="s">
        <v>84</v>
      </c>
      <c r="AM13" t="str">
        <f>VLOOKUP($R13,武学奇术!$A:$ZZ,25,FALSE)</f>
        <v>拳甲</v>
      </c>
      <c r="AN13" s="24">
        <f>VLOOKUP($R13,武学奇术!$A:$ZZ,26,FALSE)</f>
        <v>2.173248</v>
      </c>
      <c r="AO13" s="25">
        <f>VLOOKUP($R13,武学奇术!$A:$ZZ,27,FALSE)*(1+IF(OR($AM13=$F$4,$AM13=$F$5),$B$22,0))</f>
        <v>0</v>
      </c>
      <c r="AP13" s="24">
        <f>VLOOKUP($R13,武学奇术!$A:$ZZ,28,FALSE)</f>
        <v>3.259872</v>
      </c>
      <c r="AQ13" s="25">
        <f>VLOOKUP($R13,武学奇术!$A:$ZZ,29,FALSE)*(1+IF(OR($AM13=$F$4,$AM13=$F$5),$B$22,0))</f>
        <v>0</v>
      </c>
      <c r="AR13" s="24" cm="1">
        <f t="array" ref="AR13">$G$3+IFERROR(VLOOKUP($AM13,$F$4:$G$7,2,FALSE),0)+VLOOKUP($R13,武学奇术!$A:$ZZ,2,FALSE)+SUM(_xlfn.XLOOKUP($S13:$AL13,增益!$A:$A,增益!$B:$B,0))</f>
        <v>0.5443</v>
      </c>
      <c r="AS13" s="24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4342.95</v>
      </c>
      <c r="AU13" cm="1">
        <f t="array" ref="AU13">$E$10*(1+$AS13)+VLOOKUP($R13,武学奇术!$A:$ZZ,4,FALSE)+SUM(_xlfn.XLOOKUP($S13:$AL13,增益!$A:$A,增益!$D:$D,0))-$I$2</f>
        <v>4342.95</v>
      </c>
      <c r="AV13" s="31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0.4184</v>
      </c>
      <c r="AW13" s="31" cm="1">
        <f t="array" ref="AW13">$G$10+VLOOKUP($R13,武学奇术!$A:$ZZ,7,FALSE)+SUM(_xlfn.XLOOKUP($S13:$AL13,增益!$A:$A,增益!$G:$G,0))</f>
        <v>0.11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1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1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1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-0.14</v>
      </c>
      <c r="BF13" s="31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1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-0.14</v>
      </c>
      <c r="BJ13" s="31" cm="1">
        <f t="array" ref="BJ13">$G$13+VLOOKUP($R13,武学奇术!$A:$ZZ,14,FALSE)+SUM(_xlfn.XLOOKUP($S13:$AL13,增益!$A:$A,增益!$N:$N,0))</f>
        <v>0.02</v>
      </c>
      <c r="BK13">
        <f t="shared" si="7"/>
        <v>649.11</v>
      </c>
      <c r="BL13">
        <f t="shared" si="8"/>
        <v>1812.09</v>
      </c>
      <c r="BM13" s="31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0.08</v>
      </c>
      <c r="BN13" s="31" cm="1">
        <f t="array" ref="BN13">$G$14+VLOOKUP($R13,武学奇术!$A:$ZZ,16,FALSE)+SUM(_xlfn.XLOOKUP($S13:$AL13,增益!$A:$A,增益!$P:$P,0))</f>
        <v>0.26</v>
      </c>
      <c r="BO13" s="24">
        <f>MIN(IF(VLOOKUP($R13,武学奇术!$A:$ZZ,23,FALSE)=1,100%,$B$8),100%)</f>
        <v>0.9943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0.8985</v>
      </c>
      <c r="BQ13" s="24" cm="1">
        <f t="array" ref="BQ13">1+$B$13+VLOOKUP($R13,武学奇术!$A:$ZZ,18,FALSE)+SUM(_xlfn.XLOOKUP($S13:$AL13,增益!$A:$A,增益!$R:$R,0))</f>
        <v>1.91</v>
      </c>
      <c r="BR13" s="24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0.89337855</v>
      </c>
      <c r="BU13" s="24">
        <f t="shared" si="10"/>
        <v>0.01014186</v>
      </c>
      <c r="BV13" s="24">
        <f>IF(VLOOKUP($R13,武学奇术!$A:$ZZ,22,FALSE)=1,0,(1-$BO13))*(1-$BR13)</f>
        <v>0.00517959000000003</v>
      </c>
      <c r="BW13" s="24" cm="1">
        <f t="array" ref="BW13">SUM(_xlfn.XLOOKUP($S13:$AL13,增益!$A:$A,增益!$W:$W,0))+$I$5</f>
        <v>0.11</v>
      </c>
      <c r="BX13" s="24">
        <f>VLOOKUP($R13,武学奇术!$A:$ZZ,32,FALSE)</f>
        <v>0</v>
      </c>
      <c r="BY13" s="24" cm="1">
        <f t="array" ref="BY13">SUM(_xlfn.XLOOKUP($S13:$AL13,增益!$A:$A,增益!$X:$X,0))</f>
        <v>0</v>
      </c>
    </row>
    <row r="14" ht="14.25" spans="1:77">
      <c r="A14" s="40" t="s">
        <v>131</v>
      </c>
      <c r="B14" s="68">
        <v>0.35</v>
      </c>
      <c r="C14" s="52" t="s">
        <v>5</v>
      </c>
      <c r="D14" s="13">
        <f>(B6+IF($G$1=$C14,B7,0))*IF($G$2="倾觞",1.05,1)</f>
        <v>649.11</v>
      </c>
      <c r="E14" s="13">
        <f>(MAX(B6,C6)+IF($G$1=$C14,$C$7,0))*IF($G$2="倾觞",1.05,1)</f>
        <v>1812.09</v>
      </c>
      <c r="F14" s="13">
        <f>D6</f>
        <v>30</v>
      </c>
      <c r="G14" s="93">
        <f>E6</f>
        <v>0.15</v>
      </c>
      <c r="H14" s="35" t="s">
        <v>132</v>
      </c>
      <c r="I14" s="71">
        <f>RD!I14</f>
        <v>169235.885858103</v>
      </c>
      <c r="J14" s="72"/>
      <c r="K14" s="37">
        <f>$L14*VLOOKUP($R14,武学奇术!$A:$ZZ,31,FALSE)</f>
        <v>410197.484477447</v>
      </c>
      <c r="L14" s="37">
        <f t="shared" si="11"/>
        <v>410197.484477447</v>
      </c>
      <c r="M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*(1+$BX14)</f>
        <v>426377.504089204</v>
      </c>
      <c r="N14" s="37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*(1+$BX14)</f>
        <v>288480.840413042</v>
      </c>
      <c r="O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*(1+$BX14)</f>
        <v>192061.938778921</v>
      </c>
      <c r="P14" s="37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*(1+$BX14)</f>
        <v>170434.366140773</v>
      </c>
      <c r="Q14" s="38">
        <v>1</v>
      </c>
      <c r="R14" s="39" t="s">
        <v>133</v>
      </c>
      <c r="S14" s="39" t="s">
        <v>98</v>
      </c>
      <c r="T14" s="39" t="s">
        <v>99</v>
      </c>
      <c r="U14" s="39" t="s">
        <v>81</v>
      </c>
      <c r="V14" s="39" t="s">
        <v>130</v>
      </c>
      <c r="W14" s="39" t="s">
        <v>83</v>
      </c>
      <c r="X14" s="39" t="s">
        <v>84</v>
      </c>
      <c r="Y14" s="39" t="s">
        <v>85</v>
      </c>
      <c r="Z14" s="39" t="s">
        <v>84</v>
      </c>
      <c r="AA14" s="39" t="s">
        <v>84</v>
      </c>
      <c r="AB14" s="39" t="s">
        <v>86</v>
      </c>
      <c r="AC14" s="39" t="s">
        <v>100</v>
      </c>
      <c r="AD14" s="39" t="s">
        <v>93</v>
      </c>
      <c r="AE14" s="39" t="s">
        <v>87</v>
      </c>
      <c r="AF14" s="39" t="s">
        <v>88</v>
      </c>
      <c r="AG14" s="39" t="s">
        <v>94</v>
      </c>
      <c r="AH14" s="39" t="s">
        <v>84</v>
      </c>
      <c r="AI14" s="39" t="s">
        <v>84</v>
      </c>
      <c r="AJ14" s="39" t="s">
        <v>84</v>
      </c>
      <c r="AK14" s="39" t="s">
        <v>84</v>
      </c>
      <c r="AL14" s="39" t="s">
        <v>84</v>
      </c>
      <c r="AM14" t="str">
        <f>VLOOKUP($R14,武学奇术!$A:$ZZ,25,FALSE)</f>
        <v>拳甲</v>
      </c>
      <c r="AN14" s="24">
        <f>VLOOKUP($R14,武学奇术!$A:$ZZ,26,FALSE)</f>
        <v>5.5691</v>
      </c>
      <c r="AO14" s="25">
        <f>VLOOKUP($R14,武学奇术!$A:$ZZ,27,FALSE)*(1+IF(OR($AM14=$F$4,$AM14=$F$5),$B$22,0))</f>
        <v>2470.4</v>
      </c>
      <c r="AP14" s="24">
        <f>VLOOKUP($R14,武学奇术!$A:$ZZ,28,FALSE)</f>
        <v>8.3537</v>
      </c>
      <c r="AQ14" s="25">
        <f>VLOOKUP($R14,武学奇术!$A:$ZZ,29,FALSE)*(1+IF(OR($AM14=$F$4,$AM14=$F$5),$B$22,0))</f>
        <v>1344</v>
      </c>
      <c r="AR14" s="24" cm="1">
        <f t="array" ref="AR14">$G$3+IFERROR(VLOOKUP($AM14,$F$4:$G$7,2,FALSE),0)+VLOOKUP($R14,武学奇术!$A:$ZZ,2,FALSE)+SUM(_xlfn.XLOOKUP($S14:$AL14,增益!$A:$A,增益!$B:$B,0))</f>
        <v>0.5943</v>
      </c>
      <c r="AS14" s="24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4342.95</v>
      </c>
      <c r="AU14" cm="1">
        <f t="array" ref="AU14">$E$10*(1+$AS14)+VLOOKUP($R14,武学奇术!$A:$ZZ,4,FALSE)+SUM(_xlfn.XLOOKUP($S14:$AL14,增益!$A:$A,增益!$D:$D,0))-$I$2</f>
        <v>4342.95</v>
      </c>
      <c r="AV14" s="31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0.4184</v>
      </c>
      <c r="AW14" s="31" cm="1">
        <f t="array" ref="AW14">$G$10+VLOOKUP($R14,武学奇术!$A:$ZZ,7,FALSE)+SUM(_xlfn.XLOOKUP($S14:$AL14,增益!$A:$A,增益!$G:$G,0))</f>
        <v>0.11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1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1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1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1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1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1" cm="1">
        <f t="array" ref="BJ14">$G$13+VLOOKUP($R14,武学奇术!$A:$ZZ,14,FALSE)+SUM(_xlfn.XLOOKUP($S14:$AL14,增益!$A:$A,增益!$N:$N,0))</f>
        <v>0.02</v>
      </c>
      <c r="BK14">
        <f t="shared" si="7"/>
        <v>649.11</v>
      </c>
      <c r="BL14">
        <f t="shared" si="8"/>
        <v>1812.09</v>
      </c>
      <c r="BM14" s="31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0.08</v>
      </c>
      <c r="BN14" s="31" cm="1">
        <f t="array" ref="BN14">$G$14+VLOOKUP($R14,武学奇术!$A:$ZZ,16,FALSE)+SUM(_xlfn.XLOOKUP($S14:$AL14,增益!$A:$A,增益!$P:$P,0))</f>
        <v>0.26</v>
      </c>
      <c r="BO14" s="24">
        <f>MIN(IF(VLOOKUP($R14,武学奇术!$A:$ZZ,23,FALSE)=1,100%,$B$8),100%)</f>
        <v>0.9943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0.8985</v>
      </c>
      <c r="BQ14" s="24" cm="1">
        <f t="array" ref="BQ14">1+$B$13+VLOOKUP($R14,武学奇术!$A:$ZZ,18,FALSE)+SUM(_xlfn.XLOOKUP($S14:$AL14,增益!$A:$A,增益!$R:$R,0))</f>
        <v>2.22</v>
      </c>
      <c r="BR14" s="24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0.89337855</v>
      </c>
      <c r="BU14" s="24">
        <f t="shared" si="10"/>
        <v>0.0153214500000001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0.11</v>
      </c>
      <c r="BX14" s="24">
        <f>VLOOKUP($R14,武学奇术!$A:$ZZ,32,FALSE)</f>
        <v>0.4</v>
      </c>
      <c r="BY14" s="24" cm="1">
        <f t="array" ref="BY14">SUM(_xlfn.XLOOKUP($S14:$AL14,增益!$A:$A,增益!$X:$X,0))</f>
        <v>0</v>
      </c>
    </row>
    <row r="15" spans="1:77">
      <c r="A15" s="40" t="s">
        <v>134</v>
      </c>
      <c r="B15" s="68">
        <v>0.0847</v>
      </c>
      <c r="C15" s="38" t="s">
        <v>135</v>
      </c>
      <c r="D15" s="38"/>
      <c r="F15" s="78"/>
      <c r="H15" s="79"/>
      <c r="I15" s="73"/>
      <c r="J15" s="74"/>
      <c r="K15" s="37">
        <f>$L15*VLOOKUP($R15,武学奇术!$A:$ZZ,31,FALSE)</f>
        <v>71753.9008319325</v>
      </c>
      <c r="L15" s="37">
        <f t="shared" si="11"/>
        <v>71753.9008319325</v>
      </c>
      <c r="M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*(1+$BX15)</f>
        <v>74586.5683464288</v>
      </c>
      <c r="N15" s="37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*(1+$BX15)</f>
        <v>50439.1820369632</v>
      </c>
      <c r="O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*(1+$BX15)</f>
        <v>33597.5533092022</v>
      </c>
      <c r="P15" s="37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*(1+$BX15)</f>
        <v>29832.7495539872</v>
      </c>
      <c r="Q15" s="38">
        <v>1</v>
      </c>
      <c r="R15" s="39" t="s">
        <v>136</v>
      </c>
      <c r="S15" s="39" t="s">
        <v>104</v>
      </c>
      <c r="T15" s="39" t="s">
        <v>99</v>
      </c>
      <c r="U15" s="39" t="s">
        <v>81</v>
      </c>
      <c r="V15" s="39" t="s">
        <v>130</v>
      </c>
      <c r="W15" s="39" t="s">
        <v>83</v>
      </c>
      <c r="X15" s="39" t="s">
        <v>84</v>
      </c>
      <c r="Y15" s="39" t="s">
        <v>85</v>
      </c>
      <c r="Z15" s="39" t="s">
        <v>84</v>
      </c>
      <c r="AA15" s="39" t="s">
        <v>84</v>
      </c>
      <c r="AB15" s="39" t="s">
        <v>86</v>
      </c>
      <c r="AC15" s="39" t="s">
        <v>100</v>
      </c>
      <c r="AD15" s="39" t="s">
        <v>93</v>
      </c>
      <c r="AE15" s="39" t="s">
        <v>87</v>
      </c>
      <c r="AF15" s="39" t="s">
        <v>88</v>
      </c>
      <c r="AG15" s="39" t="s">
        <v>94</v>
      </c>
      <c r="AH15" s="39" t="s">
        <v>84</v>
      </c>
      <c r="AI15" s="39" t="s">
        <v>84</v>
      </c>
      <c r="AJ15" s="39" t="s">
        <v>84</v>
      </c>
      <c r="AK15" s="39" t="s">
        <v>84</v>
      </c>
      <c r="AL15" s="39" t="s">
        <v>84</v>
      </c>
      <c r="AM15" t="str">
        <f>VLOOKUP($R15,武学奇术!$A:$ZZ,25,FALSE)</f>
        <v>拳甲</v>
      </c>
      <c r="AN15" s="24">
        <f>VLOOKUP($R15,武学奇术!$A:$ZZ,26,FALSE)</f>
        <v>0.9634</v>
      </c>
      <c r="AO15" s="25">
        <f>VLOOKUP($R15,武学奇术!$A:$ZZ,27,FALSE)*(1+IF(OR($AM15=$F$4,$AM15=$F$5),$B$22,0))</f>
        <v>427.2</v>
      </c>
      <c r="AP15" s="24">
        <f>VLOOKUP($R15,武学奇术!$A:$ZZ,28,FALSE)</f>
        <v>1.4451</v>
      </c>
      <c r="AQ15" s="25">
        <f>VLOOKUP($R15,武学奇术!$A:$ZZ,29,FALSE)*(1+IF(OR($AM15=$F$4,$AM15=$F$5),$B$22,0))</f>
        <v>232</v>
      </c>
      <c r="AR15" s="24" cm="1">
        <f t="array" ref="AR15">$G$3+IFERROR(VLOOKUP($AM15,$F$4:$G$7,2,FALSE),0)+VLOOKUP($R15,武学奇术!$A:$ZZ,2,FALSE)+SUM(_xlfn.XLOOKUP($S15:$AL15,增益!$A:$A,增益!$B:$B,0))</f>
        <v>0.6043</v>
      </c>
      <c r="AS15" s="24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4342.95</v>
      </c>
      <c r="AU15" cm="1">
        <f t="array" ref="AU15">$E$10*(1+$AS15)+VLOOKUP($R15,武学奇术!$A:$ZZ,4,FALSE)+SUM(_xlfn.XLOOKUP($S15:$AL15,增益!$A:$A,增益!$D:$D,0))-$I$2</f>
        <v>4342.95</v>
      </c>
      <c r="AV15" s="31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0.4284</v>
      </c>
      <c r="AW15" s="31" cm="1">
        <f t="array" ref="AW15">$G$10+VLOOKUP($R15,武学奇术!$A:$ZZ,7,FALSE)+SUM(_xlfn.XLOOKUP($S15:$AL15,增益!$A:$A,增益!$G:$G,0))</f>
        <v>0.11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1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1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1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1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1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1" cm="1">
        <f t="array" ref="BJ15">$G$13+VLOOKUP($R15,武学奇术!$A:$ZZ,14,FALSE)+SUM(_xlfn.XLOOKUP($S15:$AL15,增益!$A:$A,增益!$N:$N,0))</f>
        <v>0.02</v>
      </c>
      <c r="BK15">
        <f t="shared" si="7"/>
        <v>649.11</v>
      </c>
      <c r="BL15">
        <f t="shared" si="8"/>
        <v>1812.09</v>
      </c>
      <c r="BM15" s="31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0.08</v>
      </c>
      <c r="BN15" s="31" cm="1">
        <f t="array" ref="BN15">$G$14+VLOOKUP($R15,武学奇术!$A:$ZZ,16,FALSE)+SUM(_xlfn.XLOOKUP($S15:$AL15,增益!$A:$A,增益!$P:$P,0))</f>
        <v>0.26</v>
      </c>
      <c r="BO15" s="24">
        <f>MIN(IF(VLOOKUP($R15,武学奇术!$A:$ZZ,23,FALSE)=1,100%,$B$8),100%)</f>
        <v>0.9943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0.8985</v>
      </c>
      <c r="BQ15" s="24" cm="1">
        <f t="array" ref="BQ15">1+$B$13+VLOOKUP($R15,武学奇术!$A:$ZZ,18,FALSE)+SUM(_xlfn.XLOOKUP($S15:$AL15,增益!$A:$A,增益!$R:$R,0))</f>
        <v>2.22</v>
      </c>
      <c r="BR15" s="24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0.89337855</v>
      </c>
      <c r="BU15" s="24">
        <f t="shared" si="10"/>
        <v>0.0153214500000001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0.11</v>
      </c>
      <c r="BX15" s="24">
        <f>VLOOKUP($R15,武学奇术!$A:$ZZ,32,FALSE)</f>
        <v>0.4</v>
      </c>
      <c r="BY15" s="24" cm="1">
        <f t="array" ref="BY15">SUM(_xlfn.XLOOKUP($S15:$AL15,增益!$A:$A,增益!$X:$X,0))</f>
        <v>0</v>
      </c>
    </row>
    <row r="16" spans="1:77">
      <c r="A16" s="40" t="s">
        <v>137</v>
      </c>
      <c r="B16" s="68">
        <v>0.0892</v>
      </c>
      <c r="C16" s="38" t="s">
        <v>138</v>
      </c>
      <c r="D16" s="78" t="s">
        <v>139</v>
      </c>
      <c r="E16" s="38" t="s">
        <v>140</v>
      </c>
      <c r="F16" s="78" t="s">
        <v>139</v>
      </c>
      <c r="H16" s="66" t="s">
        <v>141</v>
      </c>
      <c r="I16" s="80">
        <f>I12/183552.11</f>
        <v>0.999999987853928</v>
      </c>
      <c r="J16" s="81"/>
      <c r="K16" s="37">
        <f>$L16*VLOOKUP($R16,武学奇术!$A:$ZZ,31,FALSE)</f>
        <v>69277.7658770561</v>
      </c>
      <c r="L16" s="37">
        <f t="shared" si="11"/>
        <v>69277.7658770561</v>
      </c>
      <c r="M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*(1+$BX16)</f>
        <v>72035.8718020134</v>
      </c>
      <c r="N16" s="37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*(1+$BX16)</f>
        <v>48494.3387748919</v>
      </c>
      <c r="O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*(1+$BX16)</f>
        <v>32303.0815255665</v>
      </c>
      <c r="P16" s="37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*(1+$BX16)</f>
        <v>28684.4306252873</v>
      </c>
      <c r="Q16" s="38">
        <v>1</v>
      </c>
      <c r="R16" s="39" t="s">
        <v>142</v>
      </c>
      <c r="S16" s="39" t="s">
        <v>104</v>
      </c>
      <c r="T16" s="39" t="s">
        <v>106</v>
      </c>
      <c r="U16" s="39" t="s">
        <v>81</v>
      </c>
      <c r="V16" s="39" t="s">
        <v>130</v>
      </c>
      <c r="W16" s="39" t="s">
        <v>83</v>
      </c>
      <c r="X16" s="39" t="s">
        <v>84</v>
      </c>
      <c r="Y16" s="39" t="s">
        <v>85</v>
      </c>
      <c r="Z16" s="39" t="s">
        <v>84</v>
      </c>
      <c r="AA16" s="39" t="s">
        <v>84</v>
      </c>
      <c r="AB16" s="39" t="s">
        <v>86</v>
      </c>
      <c r="AC16" s="39" t="s">
        <v>100</v>
      </c>
      <c r="AD16" s="39" t="s">
        <v>93</v>
      </c>
      <c r="AE16" s="39" t="s">
        <v>87</v>
      </c>
      <c r="AF16" s="39" t="s">
        <v>88</v>
      </c>
      <c r="AG16" s="39" t="s">
        <v>94</v>
      </c>
      <c r="AH16" s="39" t="s">
        <v>84</v>
      </c>
      <c r="AI16" s="39" t="s">
        <v>84</v>
      </c>
      <c r="AJ16" s="39" t="s">
        <v>84</v>
      </c>
      <c r="AK16" s="39" t="s">
        <v>84</v>
      </c>
      <c r="AL16" s="39" t="s">
        <v>84</v>
      </c>
      <c r="AM16" t="str">
        <f>VLOOKUP($R16,武学奇术!$A:$ZZ,25,FALSE)</f>
        <v>拳甲</v>
      </c>
      <c r="AN16" s="24">
        <f>VLOOKUP($R16,武学奇术!$A:$ZZ,26,FALSE)</f>
        <v>0.926</v>
      </c>
      <c r="AO16" s="25">
        <f>VLOOKUP($R16,武学奇术!$A:$ZZ,27,FALSE)*(1+IF(OR($AM16=$F$4,$AM16=$F$5),$B$22,0))</f>
        <v>411.2</v>
      </c>
      <c r="AP16" s="24">
        <f>VLOOKUP($R16,武学奇术!$A:$ZZ,28,FALSE)</f>
        <v>1.389</v>
      </c>
      <c r="AQ16" s="25">
        <f>VLOOKUP($R16,武学奇术!$A:$ZZ,29,FALSE)*(1+IF(OR($AM16=$F$4,$AM16=$F$5),$B$22,0))</f>
        <v>224</v>
      </c>
      <c r="AR16" s="24" cm="1">
        <f t="array" ref="AR16">$G$3+IFERROR(VLOOKUP($AM16,$F$4:$G$7,2,FALSE),0)+VLOOKUP($R16,武学奇术!$A:$ZZ,2,FALSE)+SUM(_xlfn.XLOOKUP($S16:$AL16,增益!$A:$A,增益!$B:$B,0))</f>
        <v>0.6043</v>
      </c>
      <c r="AS16" s="24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4342.95</v>
      </c>
      <c r="AU16" cm="1">
        <f t="array" ref="AU16">$E$10*(1+$AS16)+VLOOKUP($R16,武学奇术!$A:$ZZ,4,FALSE)+SUM(_xlfn.XLOOKUP($S16:$AL16,增益!$A:$A,增益!$D:$D,0))-$I$2</f>
        <v>4342.95</v>
      </c>
      <c r="AV16" s="31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0.4284</v>
      </c>
      <c r="AW16" s="31" cm="1">
        <f t="array" ref="AW16">$G$10+VLOOKUP($R16,武学奇术!$A:$ZZ,7,FALSE)+SUM(_xlfn.XLOOKUP($S16:$AL16,增益!$A:$A,增益!$G:$G,0))</f>
        <v>0.11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1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1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1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-0.14</v>
      </c>
      <c r="BF16" s="31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1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-0.14</v>
      </c>
      <c r="BJ16" s="31" cm="1">
        <f t="array" ref="BJ16">$G$13+VLOOKUP($R16,武学奇术!$A:$ZZ,14,FALSE)+SUM(_xlfn.XLOOKUP($S16:$AL16,增益!$A:$A,增益!$N:$N,0))</f>
        <v>0.02</v>
      </c>
      <c r="BK16">
        <f t="shared" si="7"/>
        <v>649.11</v>
      </c>
      <c r="BL16">
        <f t="shared" si="8"/>
        <v>1812.09</v>
      </c>
      <c r="BM16" s="31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0.08</v>
      </c>
      <c r="BN16" s="31" cm="1">
        <f t="array" ref="BN16">$G$14+VLOOKUP($R16,武学奇术!$A:$ZZ,16,FALSE)+SUM(_xlfn.XLOOKUP($S16:$AL16,增益!$A:$A,增益!$P:$P,0))</f>
        <v>0.26</v>
      </c>
      <c r="BO16" s="24">
        <f>MIN(IF(VLOOKUP($R16,武学奇术!$A:$ZZ,23,FALSE)=1,100%,$B$8),100%)</f>
        <v>0.9943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0.8985</v>
      </c>
      <c r="BQ16" s="24" cm="1">
        <f t="array" ref="BQ16">1+$B$13+VLOOKUP($R16,武学奇术!$A:$ZZ,18,FALSE)+SUM(_xlfn.XLOOKUP($S16:$AL16,增益!$A:$A,增益!$R:$R,0))</f>
        <v>2.23</v>
      </c>
      <c r="BR16" s="24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0.89337855</v>
      </c>
      <c r="BU16" s="24">
        <f t="shared" si="10"/>
        <v>0.0153214500000001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0.11</v>
      </c>
      <c r="BX16" s="24">
        <f>VLOOKUP($R16,武学奇术!$A:$ZZ,32,FALSE)</f>
        <v>0.4</v>
      </c>
      <c r="BY16" s="24" cm="1">
        <f t="array" ref="BY16">SUM(_xlfn.XLOOKUP($S16:$AL16,增益!$A:$A,增益!$X:$X,0))</f>
        <v>0</v>
      </c>
    </row>
    <row r="17" spans="1:77">
      <c r="A17" s="40" t="s">
        <v>143</v>
      </c>
      <c r="B17" s="68">
        <v>0.0854</v>
      </c>
      <c r="C17" s="38" t="s">
        <v>144</v>
      </c>
      <c r="D17" s="78" t="s">
        <v>139</v>
      </c>
      <c r="E17" s="38" t="s">
        <v>145</v>
      </c>
      <c r="F17" s="78" t="s">
        <v>139</v>
      </c>
      <c r="H17" s="69"/>
      <c r="I17" s="82"/>
      <c r="J17" s="83"/>
      <c r="K17" s="37">
        <f>$L17*VLOOKUP($R17,武学奇术!$A:$ZZ,31,FALSE)</f>
        <v>84496.2474725061</v>
      </c>
      <c r="L17" s="37">
        <f t="shared" si="11"/>
        <v>84496.2474725061</v>
      </c>
      <c r="M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*(1+$BX17)</f>
        <v>87860.0430908163</v>
      </c>
      <c r="N17" s="37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*(1+$BX17)</f>
        <v>59149.1554024741</v>
      </c>
      <c r="O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*(1+$BX17)</f>
        <v>39399.1224622495</v>
      </c>
      <c r="P17" s="37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*(1+$BX17)</f>
        <v>34984.0557374811</v>
      </c>
      <c r="Q17" s="38">
        <v>1</v>
      </c>
      <c r="R17" s="39" t="s">
        <v>146</v>
      </c>
      <c r="S17" s="39" t="s">
        <v>104</v>
      </c>
      <c r="T17" s="39" t="s">
        <v>106</v>
      </c>
      <c r="U17" s="39" t="s">
        <v>81</v>
      </c>
      <c r="V17" s="39" t="s">
        <v>130</v>
      </c>
      <c r="W17" s="39" t="s">
        <v>83</v>
      </c>
      <c r="X17" s="39" t="s">
        <v>84</v>
      </c>
      <c r="Y17" s="39" t="s">
        <v>85</v>
      </c>
      <c r="Z17" s="39" t="s">
        <v>84</v>
      </c>
      <c r="AA17" s="39" t="s">
        <v>84</v>
      </c>
      <c r="AB17" s="39" t="s">
        <v>86</v>
      </c>
      <c r="AC17" s="39" t="s">
        <v>92</v>
      </c>
      <c r="AD17" s="39" t="s">
        <v>93</v>
      </c>
      <c r="AE17" s="39" t="s">
        <v>87</v>
      </c>
      <c r="AF17" s="39" t="s">
        <v>88</v>
      </c>
      <c r="AG17" s="39" t="s">
        <v>94</v>
      </c>
      <c r="AH17" s="39" t="s">
        <v>84</v>
      </c>
      <c r="AI17" s="39" t="s">
        <v>84</v>
      </c>
      <c r="AJ17" s="39" t="s">
        <v>84</v>
      </c>
      <c r="AK17" s="39" t="s">
        <v>84</v>
      </c>
      <c r="AL17" s="39" t="s">
        <v>84</v>
      </c>
      <c r="AM17" t="str">
        <f>VLOOKUP($R17,武学奇术!$A:$ZZ,25,FALSE)</f>
        <v>拳甲</v>
      </c>
      <c r="AN17" s="24">
        <f>VLOOKUP($R17,武学奇术!$A:$ZZ,26,FALSE)</f>
        <v>1.1298</v>
      </c>
      <c r="AO17" s="25">
        <f>VLOOKUP($R17,武学奇术!$A:$ZZ,27,FALSE)*(1+IF(OR($AM17=$F$4,$AM17=$F$5),$B$22,0))</f>
        <v>500.8</v>
      </c>
      <c r="AP17" s="24">
        <f>VLOOKUP($R17,武学奇术!$A:$ZZ,28,FALSE)</f>
        <v>1.6947</v>
      </c>
      <c r="AQ17" s="25">
        <f>VLOOKUP($R17,武学奇术!$A:$ZZ,29,FALSE)*(1+IF(OR($AM17=$F$4,$AM17=$F$5),$B$22,0))</f>
        <v>272</v>
      </c>
      <c r="AR17" s="24" cm="1">
        <f t="array" ref="AR17">$G$3+IFERROR(VLOOKUP($AM17,$F$4:$G$7,2,FALSE),0)+VLOOKUP($R17,武学奇术!$A:$ZZ,2,FALSE)+SUM(_xlfn.XLOOKUP($S17:$AL17,增益!$A:$A,增益!$B:$B,0))</f>
        <v>0.6043</v>
      </c>
      <c r="AS17" s="24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4342.95</v>
      </c>
      <c r="AU17" cm="1">
        <f t="array" ref="AU17">$E$10*(1+$AS17)+VLOOKUP($R17,武学奇术!$A:$ZZ,4,FALSE)+SUM(_xlfn.XLOOKUP($S17:$AL17,增益!$A:$A,增益!$D:$D,0))-$I$2</f>
        <v>4342.95</v>
      </c>
      <c r="AV17" s="31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0.4284</v>
      </c>
      <c r="AW17" s="31" cm="1">
        <f t="array" ref="AW17">$G$10+VLOOKUP($R17,武学奇术!$A:$ZZ,7,FALSE)+SUM(_xlfn.XLOOKUP($S17:$AL17,增益!$A:$A,增益!$G:$G,0))</f>
        <v>0.11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1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1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1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-0.14</v>
      </c>
      <c r="BF17" s="31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1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-0.14</v>
      </c>
      <c r="BJ17" s="31" cm="1">
        <f t="array" ref="BJ17">$G$13+VLOOKUP($R17,武学奇术!$A:$ZZ,14,FALSE)+SUM(_xlfn.XLOOKUP($S17:$AL17,增益!$A:$A,增益!$N:$N,0))</f>
        <v>0.02</v>
      </c>
      <c r="BK17">
        <f t="shared" si="7"/>
        <v>649.11</v>
      </c>
      <c r="BL17">
        <f t="shared" si="8"/>
        <v>1812.09</v>
      </c>
      <c r="BM17" s="31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0.08</v>
      </c>
      <c r="BN17" s="31" cm="1">
        <f t="array" ref="BN17">$G$14+VLOOKUP($R17,武学奇术!$A:$ZZ,16,FALSE)+SUM(_xlfn.XLOOKUP($S17:$AL17,增益!$A:$A,增益!$P:$P,0))</f>
        <v>0.26</v>
      </c>
      <c r="BO17" s="24">
        <f>MIN(IF(VLOOKUP($R17,武学奇术!$A:$ZZ,23,FALSE)=1,100%,$B$8),100%)</f>
        <v>0.9943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0.8985</v>
      </c>
      <c r="BQ17" s="24" cm="1">
        <f t="array" ref="BQ17">1+$B$13+VLOOKUP($R17,武学奇术!$A:$ZZ,18,FALSE)+SUM(_xlfn.XLOOKUP($S17:$AL17,增益!$A:$A,增益!$R:$R,0))</f>
        <v>2.23</v>
      </c>
      <c r="BR17" s="24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0.89337855</v>
      </c>
      <c r="BU17" s="24">
        <f t="shared" si="10"/>
        <v>0.0153214500000001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0.11</v>
      </c>
      <c r="BX17" s="24">
        <f>VLOOKUP($R17,武学奇术!$A:$ZZ,32,FALSE)</f>
        <v>0.4</v>
      </c>
      <c r="BY17" s="24" cm="1">
        <f t="array" ref="BY17">SUM(_xlfn.XLOOKUP($S17:$AL17,增益!$A:$A,增益!$X:$X,0))</f>
        <v>0</v>
      </c>
    </row>
    <row r="18" spans="1:77">
      <c r="A18" s="40" t="s">
        <v>147</v>
      </c>
      <c r="B18" s="68">
        <v>0.0854</v>
      </c>
      <c r="C18" s="38" t="s">
        <v>148</v>
      </c>
      <c r="D18" s="78" t="s">
        <v>139</v>
      </c>
      <c r="E18" s="38" t="s">
        <v>149</v>
      </c>
      <c r="F18" s="84">
        <v>0.5</v>
      </c>
      <c r="H18" s="66" t="s">
        <v>150</v>
      </c>
      <c r="I18" s="35"/>
      <c r="J18" s="36"/>
      <c r="K18" s="37">
        <f>$L18*VLOOKUP($R18,武学奇术!$A:$ZZ,31,FALSE)</f>
        <v>190744.705222345</v>
      </c>
      <c r="L18" s="37">
        <f t="shared" si="11"/>
        <v>190744.705222345</v>
      </c>
      <c r="M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*(1+$BX18)</f>
        <v>198338.511878095</v>
      </c>
      <c r="N18" s="37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*(1+$BX18)</f>
        <v>133522.753828397</v>
      </c>
      <c r="O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*(1+$BX18)</f>
        <v>88941.0367166347</v>
      </c>
      <c r="P18" s="37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*(1+$BX18)</f>
        <v>78976.3298566792</v>
      </c>
      <c r="Q18" s="38">
        <v>1</v>
      </c>
      <c r="R18" s="39" t="s">
        <v>151</v>
      </c>
      <c r="S18" s="39" t="s">
        <v>104</v>
      </c>
      <c r="T18" s="39" t="s">
        <v>106</v>
      </c>
      <c r="U18" s="39" t="s">
        <v>81</v>
      </c>
      <c r="V18" s="39" t="s">
        <v>130</v>
      </c>
      <c r="W18" s="39" t="s">
        <v>83</v>
      </c>
      <c r="X18" s="39" t="s">
        <v>84</v>
      </c>
      <c r="Y18" s="39" t="s">
        <v>85</v>
      </c>
      <c r="Z18" s="39" t="s">
        <v>84</v>
      </c>
      <c r="AA18" s="39" t="s">
        <v>84</v>
      </c>
      <c r="AB18" s="39" t="s">
        <v>86</v>
      </c>
      <c r="AC18" s="39" t="s">
        <v>92</v>
      </c>
      <c r="AD18" s="39" t="s">
        <v>93</v>
      </c>
      <c r="AE18" s="39" t="s">
        <v>87</v>
      </c>
      <c r="AF18" s="39" t="s">
        <v>88</v>
      </c>
      <c r="AG18" s="39" t="s">
        <v>94</v>
      </c>
      <c r="AH18" s="39" t="s">
        <v>84</v>
      </c>
      <c r="AI18" s="39" t="s">
        <v>84</v>
      </c>
      <c r="AJ18" s="39" t="s">
        <v>84</v>
      </c>
      <c r="AK18" s="39" t="s">
        <v>84</v>
      </c>
      <c r="AL18" s="39" t="s">
        <v>84</v>
      </c>
      <c r="AM18" t="str">
        <f>VLOOKUP($R18,武学奇术!$A:$ZZ,25,FALSE)</f>
        <v>拳甲</v>
      </c>
      <c r="AN18" s="24">
        <f>VLOOKUP($R18,武学奇术!$A:$ZZ,26,FALSE)</f>
        <v>2.5499</v>
      </c>
      <c r="AO18" s="25">
        <f>VLOOKUP($R18,武学奇术!$A:$ZZ,27,FALSE)*(1+IF(OR($AM18=$F$4,$AM18=$F$5),$B$22,0))</f>
        <v>1131.2</v>
      </c>
      <c r="AP18" s="24">
        <f>VLOOKUP($R18,武学奇术!$A:$ZZ,28,FALSE)</f>
        <v>3.8249</v>
      </c>
      <c r="AQ18" s="25">
        <f>VLOOKUP($R18,武学奇术!$A:$ZZ,29,FALSE)*(1+IF(OR($AM18=$F$4,$AM18=$F$5),$B$22,0))</f>
        <v>616</v>
      </c>
      <c r="AR18" s="24" cm="1">
        <f t="array" ref="AR18">$G$3+IFERROR(VLOOKUP($AM18,$F$4:$G$7,2,FALSE),0)+VLOOKUP($R18,武学奇术!$A:$ZZ,2,FALSE)+SUM(_xlfn.XLOOKUP($S18:$AL18,增益!$A:$A,增益!$B:$B,0))</f>
        <v>0.6043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4342.95</v>
      </c>
      <c r="AU18" cm="1">
        <f t="array" ref="AU18">$E$10*(1+$AS18)+VLOOKUP($R18,武学奇术!$A:$ZZ,4,FALSE)+SUM(_xlfn.XLOOKUP($S18:$AL18,增益!$A:$A,增益!$D:$D,0))-$I$2</f>
        <v>4342.95</v>
      </c>
      <c r="AV18" s="31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0.4284</v>
      </c>
      <c r="AW18" s="31" cm="1">
        <f t="array" ref="AW18">$G$10+VLOOKUP($R18,武学奇术!$A:$ZZ,7,FALSE)+SUM(_xlfn.XLOOKUP($S18:$AL18,增益!$A:$A,增益!$G:$G,0))</f>
        <v>0.11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1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1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1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-0.14</v>
      </c>
      <c r="BF18" s="31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1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1" cm="1">
        <f t="array" ref="BJ18">$G$13+VLOOKUP($R18,武学奇术!$A:$ZZ,14,FALSE)+SUM(_xlfn.XLOOKUP($S18:$AL18,增益!$A:$A,增益!$N:$N,0))</f>
        <v>0.02</v>
      </c>
      <c r="BK18">
        <f t="shared" si="7"/>
        <v>649.11</v>
      </c>
      <c r="BL18">
        <f t="shared" si="8"/>
        <v>1812.09</v>
      </c>
      <c r="BM18" s="31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0.08</v>
      </c>
      <c r="BN18" s="31" cm="1">
        <f t="array" ref="BN18">$G$14+VLOOKUP($R18,武学奇术!$A:$ZZ,16,FALSE)+SUM(_xlfn.XLOOKUP($S18:$AL18,增益!$A:$A,增益!$P:$P,0))</f>
        <v>0.26</v>
      </c>
      <c r="BO18" s="24">
        <f>MIN(IF(VLOOKUP($R18,武学奇术!$A:$ZZ,23,FALSE)=1,100%,$B$8),100%)</f>
        <v>0.9943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0.8985</v>
      </c>
      <c r="BQ18" s="24" cm="1">
        <f t="array" ref="BQ18">1+$B$13+VLOOKUP($R18,武学奇术!$A:$ZZ,18,FALSE)+SUM(_xlfn.XLOOKUP($S18:$AL18,增益!$A:$A,增益!$R:$R,0))</f>
        <v>2.23</v>
      </c>
      <c r="BR18" s="24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0.89337855</v>
      </c>
      <c r="BU18" s="24">
        <f t="shared" si="10"/>
        <v>0.0153214500000001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0.11</v>
      </c>
      <c r="BX18" s="24">
        <f>VLOOKUP($R18,武学奇术!$A:$ZZ,32,FALSE)</f>
        <v>0.4</v>
      </c>
      <c r="BY18" s="24" cm="1">
        <f t="array" ref="BY18">SUM(_xlfn.XLOOKUP($S18:$AL18,增益!$A:$A,增益!$X:$X,0))</f>
        <v>0</v>
      </c>
    </row>
    <row r="19" ht="14.25" spans="1:77">
      <c r="A19" s="40" t="s">
        <v>152</v>
      </c>
      <c r="B19" s="68">
        <v>0</v>
      </c>
      <c r="C19" s="38" t="s">
        <v>153</v>
      </c>
      <c r="D19" s="78" t="s">
        <v>139</v>
      </c>
      <c r="H19" s="69"/>
      <c r="I19" s="79"/>
      <c r="J19" s="94"/>
      <c r="K19" s="37">
        <f>$L19*VLOOKUP($R19,武学奇术!$A:$ZZ,31,FALSE)</f>
        <v>349962.527582066</v>
      </c>
      <c r="L19" s="37">
        <f t="shared" si="11"/>
        <v>349962.527582066</v>
      </c>
      <c r="M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*(1+$BX19)</f>
        <v>360485.90502957</v>
      </c>
      <c r="N19" s="37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*(1+$BX19)</f>
        <v>275166.202462638</v>
      </c>
      <c r="O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*(1+$BX19)</f>
        <v>182063.588398773</v>
      </c>
      <c r="P19" s="37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*(1+$BX19)</f>
        <v>160300.360158554</v>
      </c>
      <c r="Q19" s="38">
        <v>1</v>
      </c>
      <c r="R19" s="39" t="s">
        <v>133</v>
      </c>
      <c r="S19" s="39" t="s">
        <v>104</v>
      </c>
      <c r="T19" s="39" t="s">
        <v>106</v>
      </c>
      <c r="U19" s="39" t="s">
        <v>81</v>
      </c>
      <c r="V19" s="39" t="s">
        <v>130</v>
      </c>
      <c r="W19" s="39" t="s">
        <v>83</v>
      </c>
      <c r="X19" s="39" t="s">
        <v>84</v>
      </c>
      <c r="Y19" s="39" t="s">
        <v>85</v>
      </c>
      <c r="Z19" s="39" t="s">
        <v>84</v>
      </c>
      <c r="AA19" s="39" t="s">
        <v>84</v>
      </c>
      <c r="AB19" s="39" t="s">
        <v>107</v>
      </c>
      <c r="AC19" s="39" t="s">
        <v>92</v>
      </c>
      <c r="AD19" s="39" t="s">
        <v>84</v>
      </c>
      <c r="AE19" s="39" t="s">
        <v>87</v>
      </c>
      <c r="AF19" s="39" t="s">
        <v>88</v>
      </c>
      <c r="AG19" s="39" t="s">
        <v>94</v>
      </c>
      <c r="AH19" s="39" t="s">
        <v>84</v>
      </c>
      <c r="AI19" s="39" t="s">
        <v>84</v>
      </c>
      <c r="AJ19" s="39" t="s">
        <v>84</v>
      </c>
      <c r="AK19" s="39" t="s">
        <v>84</v>
      </c>
      <c r="AL19" s="39" t="s">
        <v>84</v>
      </c>
      <c r="AM19" t="str">
        <f>VLOOKUP($R19,武学奇术!$A:$ZZ,25,FALSE)</f>
        <v>拳甲</v>
      </c>
      <c r="AN19" s="24">
        <f>VLOOKUP($R19,武学奇术!$A:$ZZ,26,FALSE)</f>
        <v>5.5691</v>
      </c>
      <c r="AO19" s="25">
        <f>VLOOKUP($R19,武学奇术!$A:$ZZ,27,FALSE)*(1+IF(OR($AM19=$F$4,$AM19=$F$5),$B$22,0))</f>
        <v>2470.4</v>
      </c>
      <c r="AP19" s="24">
        <f>VLOOKUP($R19,武学奇术!$A:$ZZ,28,FALSE)</f>
        <v>8.3537</v>
      </c>
      <c r="AQ19" s="25">
        <f>VLOOKUP($R19,武学奇术!$A:$ZZ,29,FALSE)*(1+IF(OR($AM19=$F$4,$AM19=$F$5),$B$22,0))</f>
        <v>1344</v>
      </c>
      <c r="AR19" s="24" cm="1">
        <f t="array" ref="AR19">$G$3+IFERROR(VLOOKUP($AM19,$F$4:$G$7,2,FALSE),0)+VLOOKUP($R19,武学奇术!$A:$ZZ,2,FALSE)+SUM(_xlfn.XLOOKUP($S19:$AL19,增益!$A:$A,增益!$B:$B,0))</f>
        <v>0.6043</v>
      </c>
      <c r="AS19" s="24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4342.95</v>
      </c>
      <c r="AU19" cm="1">
        <f t="array" ref="AU19">$E$10*(1+$AS19)+VLOOKUP($R19,武学奇术!$A:$ZZ,4,FALSE)+SUM(_xlfn.XLOOKUP($S19:$AL19,增益!$A:$A,增益!$D:$D,0))-$I$2</f>
        <v>4342.95</v>
      </c>
      <c r="AV19" s="31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0.3034</v>
      </c>
      <c r="AW19" s="31" cm="1">
        <f t="array" ref="AW19">$G$10+VLOOKUP($R19,武学奇术!$A:$ZZ,7,FALSE)+SUM(_xlfn.XLOOKUP($S19:$AL19,增益!$A:$A,增益!$G:$G,0))</f>
        <v>0.11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1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1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1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1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1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1" cm="1">
        <f t="array" ref="BJ19">$G$13+VLOOKUP($R19,武学奇术!$A:$ZZ,14,FALSE)+SUM(_xlfn.XLOOKUP($S19:$AL19,增益!$A:$A,增益!$N:$N,0))</f>
        <v>0.02</v>
      </c>
      <c r="BK19">
        <f t="shared" si="7"/>
        <v>649.11</v>
      </c>
      <c r="BL19">
        <f t="shared" si="8"/>
        <v>1812.09</v>
      </c>
      <c r="BM19" s="31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0.08</v>
      </c>
      <c r="BN19" s="31" cm="1">
        <f t="array" ref="BN19">$G$14+VLOOKUP($R19,武学奇术!$A:$ZZ,16,FALSE)+SUM(_xlfn.XLOOKUP($S19:$AL19,增益!$A:$A,增益!$P:$P,0))</f>
        <v>0.26</v>
      </c>
      <c r="BO19" s="24">
        <f>MIN(IF(VLOOKUP($R19,武学奇术!$A:$ZZ,23,FALSE)=1,100%,$B$8),100%)</f>
        <v>0.9943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0.8985</v>
      </c>
      <c r="BQ19" s="24" cm="1">
        <f t="array" ref="BQ19">1+$B$13+VLOOKUP($R19,武学奇术!$A:$ZZ,18,FALSE)+SUM(_xlfn.XLOOKUP($S19:$AL19,增益!$A:$A,增益!$R:$R,0))</f>
        <v>1.98</v>
      </c>
      <c r="BR19" s="24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0.0913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0.89337855</v>
      </c>
      <c r="BU19" s="24">
        <f t="shared" si="10"/>
        <v>0.0153214500000001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0.11</v>
      </c>
      <c r="BX19" s="24">
        <f>VLOOKUP($R19,武学奇术!$A:$ZZ,32,FALSE)</f>
        <v>0.4</v>
      </c>
      <c r="BY19" s="24" cm="1">
        <f t="array" ref="BY19">SUM(_xlfn.XLOOKUP($S19:$AL19,增益!$A:$A,增益!$X:$X,0))</f>
        <v>0</v>
      </c>
    </row>
    <row r="20" spans="1:77">
      <c r="A20" s="40" t="s">
        <v>154</v>
      </c>
      <c r="B20" s="68">
        <v>0</v>
      </c>
      <c r="C20" s="38" t="s">
        <v>155</v>
      </c>
      <c r="D20" s="78" t="s">
        <v>139</v>
      </c>
      <c r="H20" s="66" t="s">
        <v>156</v>
      </c>
      <c r="I20" s="80">
        <f>SUM(K:K)/SUM(L:L)</f>
        <v>0.932696674678081</v>
      </c>
      <c r="J20" s="81"/>
      <c r="K20" s="37">
        <f>$L20*VLOOKUP($R20,武学奇术!$A:$ZZ,31,FALSE)</f>
        <v>193077.447315772</v>
      </c>
      <c r="L20" s="37">
        <f t="shared" si="11"/>
        <v>193077.447315772</v>
      </c>
      <c r="M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*(1+$BX20)</f>
        <v>198962.64429135</v>
      </c>
      <c r="N20" s="37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*(1+$BX20)</f>
        <v>151113.157332534</v>
      </c>
      <c r="O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*(1+$BX20)</f>
        <v>99981.2282871107</v>
      </c>
      <c r="P20" s="37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*(1+$BX20)</f>
        <v>88026.7844760477</v>
      </c>
      <c r="Q20" s="38">
        <v>1</v>
      </c>
      <c r="R20" s="39" t="s">
        <v>157</v>
      </c>
      <c r="S20" s="39" t="s">
        <v>104</v>
      </c>
      <c r="T20" s="39" t="s">
        <v>158</v>
      </c>
      <c r="U20" s="39" t="s">
        <v>81</v>
      </c>
      <c r="V20" s="39" t="s">
        <v>130</v>
      </c>
      <c r="W20" s="39" t="s">
        <v>83</v>
      </c>
      <c r="X20" s="39" t="s">
        <v>84</v>
      </c>
      <c r="Y20" s="39" t="s">
        <v>85</v>
      </c>
      <c r="Z20" s="39" t="s">
        <v>84</v>
      </c>
      <c r="AA20" s="39" t="s">
        <v>84</v>
      </c>
      <c r="AB20" s="39" t="s">
        <v>107</v>
      </c>
      <c r="AC20" s="39" t="s">
        <v>92</v>
      </c>
      <c r="AD20" s="39" t="s">
        <v>84</v>
      </c>
      <c r="AE20" s="39" t="s">
        <v>87</v>
      </c>
      <c r="AF20" s="39" t="s">
        <v>88</v>
      </c>
      <c r="AG20" s="39" t="s">
        <v>94</v>
      </c>
      <c r="AH20" s="39" t="s">
        <v>84</v>
      </c>
      <c r="AI20" s="39" t="s">
        <v>84</v>
      </c>
      <c r="AJ20" s="39" t="s">
        <v>84</v>
      </c>
      <c r="AK20" s="39" t="s">
        <v>84</v>
      </c>
      <c r="AL20" s="39" t="s">
        <v>84</v>
      </c>
      <c r="AM20" t="str">
        <f>VLOOKUP($R20,武学奇术!$A:$ZZ,25,FALSE)</f>
        <v>双刀</v>
      </c>
      <c r="AN20" s="24">
        <f>VLOOKUP($R20,武学奇术!$A:$ZZ,26,FALSE)</f>
        <v>2.85516</v>
      </c>
      <c r="AO20" s="25">
        <f>VLOOKUP($R20,武学奇术!$A:$ZZ,27,FALSE)*(1+IF(OR($AM20=$F$4,$AM20=$F$5),$B$22,0))</f>
        <v>1263.36</v>
      </c>
      <c r="AP20" s="24">
        <f>VLOOKUP($R20,武学奇术!$A:$ZZ,28,FALSE)</f>
        <v>4.28274</v>
      </c>
      <c r="AQ20" s="25">
        <f>VLOOKUP($R20,武学奇术!$A:$ZZ,29,FALSE)*(1+IF(OR($AM20=$F$4,$AM20=$F$5),$B$22,0))</f>
        <v>687.68</v>
      </c>
      <c r="AR20" s="24" cm="1">
        <f t="array" ref="AR20">$G$3+IFERROR(VLOOKUP($AM20,$F$4:$G$7,2,FALSE),0)+VLOOKUP($R20,武学奇术!$A:$ZZ,2,FALSE)+SUM(_xlfn.XLOOKUP($S20:$AL20,增益!$A:$A,增益!$B:$B,0))</f>
        <v>0.6043</v>
      </c>
      <c r="AS20" s="24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4342.95</v>
      </c>
      <c r="AU20" cm="1">
        <f t="array" ref="AU20">$E$10*(1+$AS20)+VLOOKUP($R20,武学奇术!$A:$ZZ,4,FALSE)+SUM(_xlfn.XLOOKUP($S20:$AL20,增益!$A:$A,增益!$D:$D,0))-$I$2</f>
        <v>4342.95</v>
      </c>
      <c r="AV20" s="31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0.3034</v>
      </c>
      <c r="AW20" s="31" cm="1">
        <f t="array" ref="AW20">$G$10+VLOOKUP($R20,武学奇术!$A:$ZZ,7,FALSE)+SUM(_xlfn.XLOOKUP($S20:$AL20,增益!$A:$A,增益!$G:$G,0))</f>
        <v>0.11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1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1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1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1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1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1" cm="1">
        <f t="array" ref="BJ20">$G$13+VLOOKUP($R20,武学奇术!$A:$ZZ,14,FALSE)+SUM(_xlfn.XLOOKUP($S20:$AL20,增益!$A:$A,增益!$N:$N,0))</f>
        <v>0.02</v>
      </c>
      <c r="BK20">
        <f t="shared" si="7"/>
        <v>649.11</v>
      </c>
      <c r="BL20">
        <f t="shared" si="8"/>
        <v>1812.09</v>
      </c>
      <c r="BM20" s="31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0.08</v>
      </c>
      <c r="BN20" s="31" cm="1">
        <f t="array" ref="BN20">$G$14+VLOOKUP($R20,武学奇术!$A:$ZZ,16,FALSE)+SUM(_xlfn.XLOOKUP($S20:$AL20,增益!$A:$A,增益!$P:$P,0))</f>
        <v>0.26</v>
      </c>
      <c r="BO20" s="24">
        <f>MIN(IF(VLOOKUP($R20,武学奇术!$A:$ZZ,23,FALSE)=1,100%,$B$8),100%)</f>
        <v>0.9943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0.8985</v>
      </c>
      <c r="BQ20" s="24" cm="1">
        <f t="array" ref="BQ20">1+$B$13+VLOOKUP($R20,武学奇术!$A:$ZZ,18,FALSE)+SUM(_xlfn.XLOOKUP($S20:$AL20,增益!$A:$A,增益!$R:$R,0))</f>
        <v>1.99</v>
      </c>
      <c r="BR20" s="24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0.0913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0.89337855</v>
      </c>
      <c r="BU20" s="24">
        <f t="shared" si="10"/>
        <v>0.0153214500000001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0.11</v>
      </c>
      <c r="BX20" s="24">
        <f>VLOOKUP($R20,武学奇术!$A:$ZZ,32,FALSE)</f>
        <v>0.5</v>
      </c>
      <c r="BY20" s="24" cm="1">
        <f t="array" ref="BY20">SUM(_xlfn.XLOOKUP($S20:$AL20,增益!$A:$A,增益!$X:$X,0))</f>
        <v>0</v>
      </c>
    </row>
    <row r="21" ht="14.25" spans="1:77">
      <c r="A21" s="85" t="s">
        <v>159</v>
      </c>
      <c r="B21" s="86">
        <v>0.3206</v>
      </c>
      <c r="C21" s="38" t="s">
        <v>160</v>
      </c>
      <c r="D21" s="78" t="s">
        <v>161</v>
      </c>
      <c r="E21" s="38" t="s">
        <v>162</v>
      </c>
      <c r="F21" s="38"/>
      <c r="H21" s="69"/>
      <c r="I21" s="82"/>
      <c r="J21" s="83"/>
      <c r="K21" s="37">
        <f>$L21*VLOOKUP($R21,武学奇术!$A:$ZZ,31,FALSE)</f>
        <v>233323.322944502</v>
      </c>
      <c r="L21" s="37">
        <f t="shared" si="11"/>
        <v>233323.322944502</v>
      </c>
      <c r="M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*(1+$BX21)</f>
        <v>240435.093525698</v>
      </c>
      <c r="N21" s="37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*(1+$BX21)</f>
        <v>182613.414839176</v>
      </c>
      <c r="O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*(1+$BX21)</f>
        <v>120821.655038039</v>
      </c>
      <c r="P21" s="37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*(1+$BX21)</f>
        <v>106374.113898911</v>
      </c>
      <c r="Q21" s="38">
        <v>1</v>
      </c>
      <c r="R21" s="39" t="s">
        <v>163</v>
      </c>
      <c r="S21" s="39" t="s">
        <v>104</v>
      </c>
      <c r="T21" s="39" t="s">
        <v>158</v>
      </c>
      <c r="U21" s="39" t="s">
        <v>81</v>
      </c>
      <c r="V21" s="39" t="s">
        <v>130</v>
      </c>
      <c r="W21" s="39" t="s">
        <v>83</v>
      </c>
      <c r="X21" s="39" t="s">
        <v>84</v>
      </c>
      <c r="Y21" s="39" t="s">
        <v>85</v>
      </c>
      <c r="Z21" s="39" t="s">
        <v>84</v>
      </c>
      <c r="AA21" s="39" t="s">
        <v>84</v>
      </c>
      <c r="AB21" s="39" t="s">
        <v>107</v>
      </c>
      <c r="AC21" s="39" t="s">
        <v>92</v>
      </c>
      <c r="AD21" s="39" t="s">
        <v>84</v>
      </c>
      <c r="AE21" s="39" t="s">
        <v>87</v>
      </c>
      <c r="AF21" s="39" t="s">
        <v>88</v>
      </c>
      <c r="AG21" s="39" t="s">
        <v>84</v>
      </c>
      <c r="AH21" s="39" t="s">
        <v>84</v>
      </c>
      <c r="AI21" s="39" t="s">
        <v>84</v>
      </c>
      <c r="AJ21" s="39" t="s">
        <v>84</v>
      </c>
      <c r="AK21" s="39" t="s">
        <v>84</v>
      </c>
      <c r="AL21" s="39" t="s">
        <v>84</v>
      </c>
      <c r="AM21" t="str">
        <f>VLOOKUP($R21,武学奇术!$A:$ZZ,25,FALSE)</f>
        <v>双刀</v>
      </c>
      <c r="AN21" s="24">
        <f>VLOOKUP($R21,武学奇术!$A:$ZZ,26,FALSE)</f>
        <v>3.80688</v>
      </c>
      <c r="AO21" s="25">
        <f>VLOOKUP($R21,武学奇术!$A:$ZZ,27,FALSE)*(1+IF(OR($AM21=$F$4,$AM21=$F$5),$B$22,0))</f>
        <v>1684.48</v>
      </c>
      <c r="AP21" s="24">
        <f>VLOOKUP($R21,武学奇术!$A:$ZZ,28,FALSE)</f>
        <v>5.70976</v>
      </c>
      <c r="AQ21" s="25">
        <f>VLOOKUP($R21,武学奇术!$A:$ZZ,29,FALSE)*(1+IF(OR($AM21=$F$4,$AM21=$F$5),$B$22,0))</f>
        <v>913.92</v>
      </c>
      <c r="AR21" s="24" cm="1">
        <f t="array" ref="AR21">$G$3+IFERROR(VLOOKUP($AM21,$F$4:$G$7,2,FALSE),0)+VLOOKUP($R21,武学奇术!$A:$ZZ,2,FALSE)+SUM(_xlfn.XLOOKUP($S21:$AL21,增益!$A:$A,增益!$B:$B,0))</f>
        <v>0.4543</v>
      </c>
      <c r="AS21" s="24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4342.95</v>
      </c>
      <c r="AU21" cm="1">
        <f t="array" ref="AU21">$E$10*(1+$AS21)+VLOOKUP($R21,武学奇术!$A:$ZZ,4,FALSE)+SUM(_xlfn.XLOOKUP($S21:$AL21,增益!$A:$A,增益!$D:$D,0))-$I$2</f>
        <v>4342.95</v>
      </c>
      <c r="AV21" s="31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0.3034</v>
      </c>
      <c r="AW21" s="31" cm="1">
        <f t="array" ref="AW21">$G$10+VLOOKUP($R21,武学奇术!$A:$ZZ,7,FALSE)+SUM(_xlfn.XLOOKUP($S21:$AL21,增益!$A:$A,增益!$G:$G,0))</f>
        <v>0.11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1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1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1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-0.14</v>
      </c>
      <c r="BF21" s="31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1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-0.14</v>
      </c>
      <c r="BJ21" s="31" cm="1">
        <f t="array" ref="BJ21">$G$13+VLOOKUP($R21,武学奇术!$A:$ZZ,14,FALSE)+SUM(_xlfn.XLOOKUP($S21:$AL21,增益!$A:$A,增益!$N:$N,0))</f>
        <v>0.02</v>
      </c>
      <c r="BK21">
        <f t="shared" si="7"/>
        <v>649.11</v>
      </c>
      <c r="BL21">
        <f t="shared" si="8"/>
        <v>1812.09</v>
      </c>
      <c r="BM21" s="31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0.08</v>
      </c>
      <c r="BN21" s="31" cm="1">
        <f t="array" ref="BN21">$G$14+VLOOKUP($R21,武学奇术!$A:$ZZ,16,FALSE)+SUM(_xlfn.XLOOKUP($S21:$AL21,增益!$A:$A,增益!$P:$P,0))</f>
        <v>0.26</v>
      </c>
      <c r="BO21" s="24">
        <f>MIN(IF(VLOOKUP($R21,武学奇术!$A:$ZZ,23,FALSE)=1,100%,$B$8),100%)</f>
        <v>0.9943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0.8985</v>
      </c>
      <c r="BQ21" s="24" cm="1">
        <f t="array" ref="BQ21">1+$B$13+VLOOKUP($R21,武学奇术!$A:$ZZ,18,FALSE)+SUM(_xlfn.XLOOKUP($S21:$AL21,增益!$A:$A,增益!$R:$R,0))</f>
        <v>1.99</v>
      </c>
      <c r="BR21" s="24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0.89337855</v>
      </c>
      <c r="BU21" s="24">
        <f t="shared" si="10"/>
        <v>0.0153214500000001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0.11</v>
      </c>
      <c r="BX21" s="24">
        <f>VLOOKUP($R21,武学奇术!$A:$ZZ,32,FALSE)</f>
        <v>0.5</v>
      </c>
      <c r="BY21" s="24" cm="1">
        <f t="array" ref="BY21">SUM(_xlfn.XLOOKUP($S21:$AL21,增益!$A:$A,增益!$X:$X,0))</f>
        <v>0</v>
      </c>
    </row>
    <row r="22" spans="1:77">
      <c r="A22" t="s">
        <v>164</v>
      </c>
      <c r="B22" s="27">
        <v>0.6</v>
      </c>
      <c r="E22" s="88" t="s">
        <v>165</v>
      </c>
      <c r="F22" s="88"/>
      <c r="K22" s="37">
        <f>$L22*VLOOKUP($R22,武学奇术!$A:$ZZ,31,FALSE)</f>
        <v>175024.952709174</v>
      </c>
      <c r="L22" s="37">
        <f t="shared" si="0"/>
        <v>175024.952709174</v>
      </c>
      <c r="M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*(1+$BX22)</f>
        <v>180359.891287733</v>
      </c>
      <c r="N22" s="37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*(1+$BX22)</f>
        <v>136984.270216733</v>
      </c>
      <c r="O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*(1+$BX22)</f>
        <v>90633.111199866</v>
      </c>
      <c r="P22" s="37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*(1+$BX22)</f>
        <v>79796.3926095594</v>
      </c>
      <c r="Q22" s="38">
        <v>1</v>
      </c>
      <c r="R22" s="39" t="s">
        <v>166</v>
      </c>
      <c r="S22" s="39" t="s">
        <v>104</v>
      </c>
      <c r="T22" s="39" t="s">
        <v>158</v>
      </c>
      <c r="U22" s="39" t="s">
        <v>81</v>
      </c>
      <c r="V22" s="39" t="s">
        <v>130</v>
      </c>
      <c r="W22" s="39" t="s">
        <v>83</v>
      </c>
      <c r="X22" s="39" t="s">
        <v>84</v>
      </c>
      <c r="Y22" s="39" t="s">
        <v>85</v>
      </c>
      <c r="Z22" s="39" t="s">
        <v>84</v>
      </c>
      <c r="AA22" s="39" t="s">
        <v>84</v>
      </c>
      <c r="AB22" s="39" t="s">
        <v>107</v>
      </c>
      <c r="AC22" s="39" t="s">
        <v>92</v>
      </c>
      <c r="AD22" s="39" t="s">
        <v>84</v>
      </c>
      <c r="AE22" s="39" t="s">
        <v>87</v>
      </c>
      <c r="AF22" s="39" t="s">
        <v>88</v>
      </c>
      <c r="AG22" s="39" t="s">
        <v>84</v>
      </c>
      <c r="AH22" s="39" t="s">
        <v>84</v>
      </c>
      <c r="AI22" s="39" t="s">
        <v>84</v>
      </c>
      <c r="AJ22" s="39" t="s">
        <v>84</v>
      </c>
      <c r="AK22" s="39" t="s">
        <v>84</v>
      </c>
      <c r="AL22" s="39" t="s">
        <v>84</v>
      </c>
      <c r="AM22" t="str">
        <f>VLOOKUP($R22,武学奇术!$A:$ZZ,25,FALSE)</f>
        <v>双刀</v>
      </c>
      <c r="AN22" s="24">
        <f>VLOOKUP($R22,武学奇术!$A:$ZZ,26,FALSE)</f>
        <v>2.85516</v>
      </c>
      <c r="AO22" s="25">
        <f>VLOOKUP($R22,武学奇术!$A:$ZZ,27,FALSE)*(1+IF(OR($AM22=$F$4,$AM22=$F$5),$B$22,0))</f>
        <v>1263.36</v>
      </c>
      <c r="AP22" s="24">
        <f>VLOOKUP($R22,武学奇术!$A:$ZZ,28,FALSE)</f>
        <v>4.28274</v>
      </c>
      <c r="AQ22" s="25">
        <f>VLOOKUP($R22,武学奇术!$A:$ZZ,29,FALSE)*(1+IF(OR($AM22=$F$4,$AM22=$F$5),$B$22,0))</f>
        <v>687.68</v>
      </c>
      <c r="AR22" s="24" cm="1">
        <f t="array" ref="AR22">$G$3+IFERROR(VLOOKUP($AM22,$F$4:$G$7,2,FALSE),0)+VLOOKUP($R22,武学奇术!$A:$ZZ,2,FALSE)+SUM(_xlfn.XLOOKUP($S22:$AL22,增益!$A:$A,增益!$B:$B,0))</f>
        <v>0.4543</v>
      </c>
      <c r="AS22" s="24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4342.95</v>
      </c>
      <c r="AU22" cm="1">
        <f t="array" ref="AU22">$E$10*(1+$AS22)+VLOOKUP($R22,武学奇术!$A:$ZZ,4,FALSE)+SUM(_xlfn.XLOOKUP($S22:$AL22,增益!$A:$A,增益!$D:$D,0))-$I$2</f>
        <v>4342.95</v>
      </c>
      <c r="AV22" s="31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0.3034</v>
      </c>
      <c r="AW22" s="31" cm="1">
        <f t="array" ref="AW22">$G$10+VLOOKUP($R22,武学奇术!$A:$ZZ,7,FALSE)+SUM(_xlfn.XLOOKUP($S22:$AL22,增益!$A:$A,增益!$G:$G,0))</f>
        <v>0.11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1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1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1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1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1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1" cm="1">
        <f t="array" ref="BJ22">$G$13+VLOOKUP($R22,武学奇术!$A:$ZZ,14,FALSE)+SUM(_xlfn.XLOOKUP($S22:$AL22,增益!$A:$A,增益!$N:$N,0))</f>
        <v>0.02</v>
      </c>
      <c r="BK22">
        <f t="shared" si="7"/>
        <v>649.11</v>
      </c>
      <c r="BL22">
        <f t="shared" si="8"/>
        <v>1812.09</v>
      </c>
      <c r="BM22" s="31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0.08</v>
      </c>
      <c r="BN22" s="31" cm="1">
        <f t="array" ref="BN22">$G$14+VLOOKUP($R22,武学奇术!$A:$ZZ,16,FALSE)+SUM(_xlfn.XLOOKUP($S22:$AL22,增益!$A:$A,增益!$P:$P,0))</f>
        <v>0.26</v>
      </c>
      <c r="BO22" s="24">
        <f>MIN(IF(VLOOKUP($R22,武学奇术!$A:$ZZ,23,FALSE)=1,100%,$B$8),100%)</f>
        <v>0.9943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0.8985</v>
      </c>
      <c r="BQ22" s="24" cm="1">
        <f t="array" ref="BQ22">1+$B$13+VLOOKUP($R22,武学奇术!$A:$ZZ,18,FALSE)+SUM(_xlfn.XLOOKUP($S22:$AL22,增益!$A:$A,增益!$R:$R,0))</f>
        <v>1.99</v>
      </c>
      <c r="BR22" s="24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0.89337855</v>
      </c>
      <c r="BU22" s="24">
        <f t="shared" si="10"/>
        <v>0.0153214500000001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0.11</v>
      </c>
      <c r="BX22" s="24">
        <f>VLOOKUP($R22,武学奇术!$A:$ZZ,32,FALSE)</f>
        <v>0.5</v>
      </c>
      <c r="BY22" s="24" cm="1">
        <f t="array" ref="BY22">SUM(_xlfn.XLOOKUP($S22:$AL22,增益!$A:$A,增益!$X:$X,0))</f>
        <v>0</v>
      </c>
    </row>
    <row r="23" spans="1:77">
      <c r="A23" t="s">
        <v>167</v>
      </c>
      <c r="B23">
        <v>240</v>
      </c>
      <c r="E23" s="38" t="s">
        <v>168</v>
      </c>
      <c r="F23" s="38"/>
      <c r="K23" s="37">
        <f>$L23*VLOOKUP($R23,武学奇术!$A:$ZZ,31,FALSE)</f>
        <v>29059.3046075132</v>
      </c>
      <c r="L23" s="37">
        <f t="shared" si="0"/>
        <v>29059.3046075132</v>
      </c>
      <c r="M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*(1+$BX23)</f>
        <v>29386.2704682462</v>
      </c>
      <c r="N23" s="37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*(1+$BX23)</f>
        <v>27779.7789613008</v>
      </c>
      <c r="O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*(1+$BX23)</f>
        <v>18366.4190426539</v>
      </c>
      <c r="P23" s="37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*(1+$BX23)</f>
        <v>16155.2240398998</v>
      </c>
      <c r="Q23" s="38">
        <v>1</v>
      </c>
      <c r="R23" s="39" t="s">
        <v>169</v>
      </c>
      <c r="S23" s="39" t="s">
        <v>104</v>
      </c>
      <c r="T23" s="39" t="s">
        <v>170</v>
      </c>
      <c r="U23" s="39" t="s">
        <v>81</v>
      </c>
      <c r="V23" s="39" t="s">
        <v>84</v>
      </c>
      <c r="W23" s="39" t="s">
        <v>84</v>
      </c>
      <c r="X23" s="39" t="s">
        <v>84</v>
      </c>
      <c r="Y23" s="39" t="s">
        <v>85</v>
      </c>
      <c r="Z23" s="39" t="s">
        <v>84</v>
      </c>
      <c r="AA23" s="39" t="s">
        <v>84</v>
      </c>
      <c r="AB23" s="39" t="s">
        <v>171</v>
      </c>
      <c r="AC23" s="39" t="s">
        <v>92</v>
      </c>
      <c r="AD23" s="39" t="s">
        <v>84</v>
      </c>
      <c r="AE23" s="39" t="s">
        <v>87</v>
      </c>
      <c r="AF23" s="39" t="s">
        <v>88</v>
      </c>
      <c r="AG23" s="39" t="s">
        <v>84</v>
      </c>
      <c r="AH23" s="39" t="s">
        <v>84</v>
      </c>
      <c r="AI23" s="39" t="s">
        <v>84</v>
      </c>
      <c r="AJ23" s="39" t="s">
        <v>84</v>
      </c>
      <c r="AK23" s="39" t="s">
        <v>84</v>
      </c>
      <c r="AL23" s="39" t="s">
        <v>84</v>
      </c>
      <c r="AM23" t="str">
        <f>VLOOKUP($R23,武学奇术!$A:$ZZ,25,FALSE)</f>
        <v>拳甲</v>
      </c>
      <c r="AN23" s="24">
        <f>VLOOKUP($R23,武学奇术!$A:$ZZ,26,FALSE)</f>
        <v>0.9193</v>
      </c>
      <c r="AO23" s="25">
        <f>VLOOKUP($R23,武学奇术!$A:$ZZ,27,FALSE)*(1+IF(OR($AM23=$F$4,$AM23=$F$5),$B$22,0))</f>
        <v>408</v>
      </c>
      <c r="AP23" s="24">
        <f>VLOOKUP($R23,武学奇术!$A:$ZZ,28,FALSE)</f>
        <v>1.379</v>
      </c>
      <c r="AQ23" s="25">
        <f>VLOOKUP($R23,武学奇术!$A:$ZZ,29,FALSE)*(1+IF(OR($AM23=$F$4,$AM23=$F$5),$B$22,0))</f>
        <v>222.4</v>
      </c>
      <c r="AR23" s="24" cm="1">
        <f t="array" ref="AR23">$G$3+IFERROR(VLOOKUP($AM23,$F$4:$G$7,2,FALSE),0)+VLOOKUP($R23,武学奇术!$A:$ZZ,2,FALSE)+SUM(_xlfn.XLOOKUP($S23:$AL23,增益!$A:$A,增益!$B:$B,0))</f>
        <v>0.4043</v>
      </c>
      <c r="AS23" s="24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4342.95</v>
      </c>
      <c r="AU23" cm="1">
        <f t="array" ref="AU23">$E$10*(1+$AS23)+VLOOKUP($R23,武学奇术!$A:$ZZ,4,FALSE)+SUM(_xlfn.XLOOKUP($S23:$AL23,增益!$A:$A,增益!$D:$D,0))-$I$2</f>
        <v>4342.95</v>
      </c>
      <c r="AV23" s="31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0.3034</v>
      </c>
      <c r="AW23" s="31" cm="1">
        <f t="array" ref="AW23">$G$10+VLOOKUP($R23,武学奇术!$A:$ZZ,7,FALSE)+SUM(_xlfn.XLOOKUP($S23:$AL23,增益!$A:$A,增益!$G:$G,0))</f>
        <v>0.02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1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1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31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-0.14</v>
      </c>
      <c r="BF23" s="31" cm="1">
        <f t="array" ref="BF23">$G$12+VLOOKUP($R23,武学奇术!$A:$ZZ,12,FALSE)+SUM(_xlfn.XLOOKUP($S23:$AL23,增益!$A:$A,增益!$L:$L,0))</f>
        <v>0.02</v>
      </c>
      <c r="BG23">
        <f t="shared" si="5"/>
        <v>0</v>
      </c>
      <c r="BH23">
        <f t="shared" si="6"/>
        <v>0</v>
      </c>
      <c r="BI23" s="31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-0.14</v>
      </c>
      <c r="BJ23" s="31" cm="1">
        <f t="array" ref="BJ23">$G$13+VLOOKUP($R23,武学奇术!$A:$ZZ,14,FALSE)+SUM(_xlfn.XLOOKUP($S23:$AL23,增益!$A:$A,增益!$N:$N,0))</f>
        <v>0.02</v>
      </c>
      <c r="BK23">
        <f t="shared" si="7"/>
        <v>649.11</v>
      </c>
      <c r="BL23">
        <f t="shared" si="8"/>
        <v>1812.09</v>
      </c>
      <c r="BM23" s="31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0.08</v>
      </c>
      <c r="BN23" s="31" cm="1">
        <f t="array" ref="BN23">$G$14+VLOOKUP($R23,武学奇术!$A:$ZZ,16,FALSE)+SUM(_xlfn.XLOOKUP($S23:$AL23,增益!$A:$A,增益!$P:$P,0))</f>
        <v>0.17</v>
      </c>
      <c r="BO23" s="24">
        <f>MIN(IF(VLOOKUP($R23,武学奇术!$A:$ZZ,23,FALSE)=1,100%,$B$8),100%)</f>
        <v>0.9943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0.8985</v>
      </c>
      <c r="BQ23" s="24" cm="1">
        <f t="array" ref="BQ23">1+$B$13+VLOOKUP($R23,武学奇术!$A:$ZZ,18,FALSE)+SUM(_xlfn.XLOOKUP($S23:$AL23,增益!$A:$A,增益!$R:$R,0))</f>
        <v>1.6</v>
      </c>
      <c r="BR23" s="24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0.89337855</v>
      </c>
      <c r="BU23" s="24">
        <f t="shared" si="10"/>
        <v>0.01014186</v>
      </c>
      <c r="BV23" s="24">
        <f>IF(VLOOKUP($R23,武学奇术!$A:$ZZ,22,FALSE)=1,0,(1-$BO23))*(1-$BR23)</f>
        <v>0.00517959000000003</v>
      </c>
      <c r="BW23" s="24" cm="1">
        <f t="array" ref="BW23">SUM(_xlfn.XLOOKUP($S23:$AL23,增益!$A:$A,增益!$W:$W,0))+$I$5</f>
        <v>0.11</v>
      </c>
      <c r="BX23" s="24">
        <f>VLOOKUP($R23,武学奇术!$A:$ZZ,32,FALSE)</f>
        <v>0.4</v>
      </c>
      <c r="BY23" s="24" cm="1">
        <f t="array" ref="BY23">SUM(_xlfn.XLOOKUP($S23:$AL23,增益!$A:$A,增益!$X:$X,0))</f>
        <v>0</v>
      </c>
    </row>
    <row r="24" spans="1:77">
      <c r="B24">
        <v>480</v>
      </c>
      <c r="E24" s="88" t="s">
        <v>172</v>
      </c>
      <c r="F24" s="88"/>
      <c r="K24" s="37">
        <f>$L24*VLOOKUP($R24,武学奇术!$A:$ZZ,31,FALSE)</f>
        <v>38055.1442741212</v>
      </c>
      <c r="L24" s="37">
        <f t="shared" si="0"/>
        <v>38055.1442741212</v>
      </c>
      <c r="M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*(1+$BX24)</f>
        <v>38501.5687821</v>
      </c>
      <c r="N24" s="37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*(1+$BX24)</f>
        <v>36190.5326365927</v>
      </c>
      <c r="O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*(1+$BX24)</f>
        <v>24063.4804888125</v>
      </c>
      <c r="P24" s="37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*(1+$BX24)</f>
        <v>21319.1590245935</v>
      </c>
      <c r="Q24" s="38">
        <v>1</v>
      </c>
      <c r="R24" s="39" t="s">
        <v>173</v>
      </c>
      <c r="S24" s="39" t="s">
        <v>104</v>
      </c>
      <c r="T24" s="39" t="s">
        <v>170</v>
      </c>
      <c r="U24" s="39" t="s">
        <v>81</v>
      </c>
      <c r="V24" s="39" t="s">
        <v>84</v>
      </c>
      <c r="W24" s="39" t="s">
        <v>84</v>
      </c>
      <c r="X24" s="39" t="s">
        <v>84</v>
      </c>
      <c r="Y24" s="39" t="s">
        <v>84</v>
      </c>
      <c r="Z24" s="39" t="s">
        <v>84</v>
      </c>
      <c r="AA24" s="39" t="s">
        <v>84</v>
      </c>
      <c r="AB24" s="39" t="s">
        <v>171</v>
      </c>
      <c r="AC24" s="39" t="s">
        <v>92</v>
      </c>
      <c r="AD24" s="39" t="s">
        <v>84</v>
      </c>
      <c r="AE24" s="39" t="s">
        <v>87</v>
      </c>
      <c r="AF24" s="39" t="s">
        <v>88</v>
      </c>
      <c r="AG24" s="39" t="s">
        <v>84</v>
      </c>
      <c r="AH24" s="39" t="s">
        <v>84</v>
      </c>
      <c r="AI24" s="39" t="s">
        <v>84</v>
      </c>
      <c r="AJ24" s="39" t="s">
        <v>84</v>
      </c>
      <c r="AK24" s="39" t="s">
        <v>84</v>
      </c>
      <c r="AL24" s="39" t="s">
        <v>84</v>
      </c>
      <c r="AM24" t="str">
        <f>VLOOKUP($R24,武学奇术!$A:$ZZ,25,FALSE)</f>
        <v>拳甲</v>
      </c>
      <c r="AN24" s="24">
        <f>VLOOKUP($R24,武学奇术!$A:$ZZ,26,FALSE)</f>
        <v>1.2324</v>
      </c>
      <c r="AO24" s="25">
        <f>VLOOKUP($R24,武学奇术!$A:$ZZ,27,FALSE)*(1+IF(OR($AM24=$F$4,$AM24=$F$5),$B$22,0))</f>
        <v>547.2</v>
      </c>
      <c r="AP24" s="24">
        <f>VLOOKUP($R24,武学奇术!$A:$ZZ,28,FALSE)</f>
        <v>1.8484</v>
      </c>
      <c r="AQ24" s="25">
        <f>VLOOKUP($R24,武学奇术!$A:$ZZ,29,FALSE)*(1+IF(OR($AM24=$F$4,$AM24=$F$5),$B$22,0))</f>
        <v>297.6</v>
      </c>
      <c r="AR24" s="24" cm="1">
        <f t="array" ref="AR24">$G$3+IFERROR(VLOOKUP($AM24,$F$4:$G$7,2,FALSE),0)+VLOOKUP($R24,武学奇术!$A:$ZZ,2,FALSE)+SUM(_xlfn.XLOOKUP($S24:$AL24,增益!$A:$A,增益!$B:$B,0))</f>
        <v>0.4043</v>
      </c>
      <c r="AS24" s="24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4342.95</v>
      </c>
      <c r="AU24" cm="1">
        <f t="array" ref="AU24">$E$10*(1+$AS24)+VLOOKUP($R24,武学奇术!$A:$ZZ,4,FALSE)+SUM(_xlfn.XLOOKUP($S24:$AL24,增益!$A:$A,增益!$D:$D,0))-$I$2</f>
        <v>4342.95</v>
      </c>
      <c r="AV24" s="31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0.3034</v>
      </c>
      <c r="AW24" s="31" cm="1">
        <f t="array" ref="AW24">$G$10+VLOOKUP($R24,武学奇术!$A:$ZZ,7,FALSE)+SUM(_xlfn.XLOOKUP($S24:$AL24,增益!$A:$A,增益!$G:$G,0))</f>
        <v>0.02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1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1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1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1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1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1" cm="1">
        <f t="array" ref="BJ24">$G$13+VLOOKUP($R24,武学奇术!$A:$ZZ,14,FALSE)+SUM(_xlfn.XLOOKUP($S24:$AL24,增益!$A:$A,增益!$N:$N,0))</f>
        <v>0.02</v>
      </c>
      <c r="BK24">
        <f t="shared" si="7"/>
        <v>649.11</v>
      </c>
      <c r="BL24">
        <f t="shared" si="8"/>
        <v>1812.09</v>
      </c>
      <c r="BM24" s="31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1" cm="1">
        <f t="array" ref="BN24">$G$14+VLOOKUP($R24,武学奇术!$A:$ZZ,16,FALSE)+SUM(_xlfn.XLOOKUP($S24:$AL24,增益!$A:$A,增益!$P:$P,0))</f>
        <v>0.17</v>
      </c>
      <c r="BO24" s="24">
        <f>MIN(IF(VLOOKUP($R24,武学奇术!$A:$ZZ,23,FALSE)=1,100%,$B$8),100%)</f>
        <v>0.9943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0.8985</v>
      </c>
      <c r="BQ24" s="24" cm="1">
        <f t="array" ref="BQ24">1+$B$13+VLOOKUP($R24,武学奇术!$A:$ZZ,18,FALSE)+SUM(_xlfn.XLOOKUP($S24:$AL24,增益!$A:$A,增益!$R:$R,0))</f>
        <v>1.6</v>
      </c>
      <c r="BR24" s="24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0.89337855</v>
      </c>
      <c r="BU24" s="24">
        <f t="shared" si="10"/>
        <v>0.01014186</v>
      </c>
      <c r="BV24" s="24">
        <f>IF(VLOOKUP($R24,武学奇术!$A:$ZZ,22,FALSE)=1,0,(1-$BO24))*(1-$BR24)</f>
        <v>0.00517959000000003</v>
      </c>
      <c r="BW24" s="24" cm="1">
        <f t="array" ref="BW24">SUM(_xlfn.XLOOKUP($S24:$AL24,增益!$A:$A,增益!$W:$W,0))+$I$5</f>
        <v>0.11</v>
      </c>
      <c r="BX24" s="24">
        <f>VLOOKUP($R24,武学奇术!$A:$ZZ,32,FALSE)</f>
        <v>0.4</v>
      </c>
      <c r="BY24" s="24" cm="1">
        <f t="array" ref="BY24">SUM(_xlfn.XLOOKUP($S24:$AL24,增益!$A:$A,增益!$X:$X,0))</f>
        <v>0</v>
      </c>
    </row>
    <row r="25" spans="1:77">
      <c r="K25" s="37">
        <f>$L25*VLOOKUP($R25,武学奇术!$A:$ZZ,31,FALSE)</f>
        <v>65103.4501205268</v>
      </c>
      <c r="L25" s="37">
        <f t="shared" si="0"/>
        <v>40689.6563253293</v>
      </c>
      <c r="M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*(1+$BX25)</f>
        <v>41246.5024567256</v>
      </c>
      <c r="N25" s="37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*(1+$BX25)</f>
        <v>38055.2127921704</v>
      </c>
      <c r="O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*(1+$BX25)</f>
        <v>24997.8802768034</v>
      </c>
      <c r="P25" s="37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*(1+$BX25)</f>
        <v>21806.714040888</v>
      </c>
      <c r="Q25" s="38">
        <v>1</v>
      </c>
      <c r="R25" s="39" t="s">
        <v>122</v>
      </c>
      <c r="S25" s="39" t="s">
        <v>104</v>
      </c>
      <c r="T25" s="39" t="s">
        <v>170</v>
      </c>
      <c r="U25" s="39" t="s">
        <v>81</v>
      </c>
      <c r="V25" s="39" t="s">
        <v>82</v>
      </c>
      <c r="W25" s="39" t="s">
        <v>83</v>
      </c>
      <c r="X25" s="39" t="s">
        <v>84</v>
      </c>
      <c r="Y25" s="39" t="s">
        <v>84</v>
      </c>
      <c r="Z25" s="39" t="s">
        <v>84</v>
      </c>
      <c r="AA25" s="39" t="s">
        <v>84</v>
      </c>
      <c r="AB25" s="39" t="s">
        <v>107</v>
      </c>
      <c r="AC25" s="39" t="s">
        <v>92</v>
      </c>
      <c r="AD25" s="39" t="s">
        <v>84</v>
      </c>
      <c r="AE25" s="39" t="s">
        <v>87</v>
      </c>
      <c r="AF25" s="39" t="s">
        <v>88</v>
      </c>
      <c r="AG25" s="39" t="s">
        <v>84</v>
      </c>
      <c r="AH25" s="39" t="s">
        <v>84</v>
      </c>
      <c r="AI25" s="39" t="s">
        <v>84</v>
      </c>
      <c r="AJ25" s="39" t="s">
        <v>84</v>
      </c>
      <c r="AK25" s="39" t="s">
        <v>84</v>
      </c>
      <c r="AL25" s="39" t="s">
        <v>84</v>
      </c>
      <c r="AM25" t="str">
        <f>VLOOKUP($R25,武学奇术!$A:$ZZ,25,FALSE)</f>
        <v>拳甲</v>
      </c>
      <c r="AN25" s="24">
        <f>VLOOKUP($R25,武学奇术!$A:$ZZ,26,FALSE)</f>
        <v>1.862784</v>
      </c>
      <c r="AO25" s="25">
        <f>VLOOKUP($R25,武学奇术!$A:$ZZ,27,FALSE)*(1+IF(OR($AM25=$F$4,$AM25=$F$5),$B$22,0))</f>
        <v>0</v>
      </c>
      <c r="AP25" s="24">
        <f>VLOOKUP($R25,武学奇术!$A:$ZZ,28,FALSE)</f>
        <v>2.794176</v>
      </c>
      <c r="AQ25" s="25">
        <f>VLOOKUP($R25,武学奇术!$A:$ZZ,29,FALSE)*(1+IF(OR($AM25=$F$4,$AM25=$F$5),$B$22,0))</f>
        <v>0</v>
      </c>
      <c r="AR25" s="24" cm="1">
        <f t="array" ref="AR25">$G$3+IFERROR(VLOOKUP($AM25,$F$4:$G$7,2,FALSE),0)+VLOOKUP($R25,武学奇术!$A:$ZZ,2,FALSE)+SUM(_xlfn.XLOOKUP($S25:$AL25,增益!$A:$A,增益!$B:$B,0))</f>
        <v>0.4043</v>
      </c>
      <c r="AS25" s="24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4342.95</v>
      </c>
      <c r="AU25" cm="1">
        <f t="array" ref="AU25">$E$10*(1+$AS25)+VLOOKUP($R25,武学奇术!$A:$ZZ,4,FALSE)+SUM(_xlfn.XLOOKUP($S25:$AL25,增益!$A:$A,增益!$D:$D,0))-$I$2</f>
        <v>4342.95</v>
      </c>
      <c r="AV25" s="31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0.3034</v>
      </c>
      <c r="AW25" s="31" cm="1">
        <f t="array" ref="AW25">$G$10+VLOOKUP($R25,武学奇术!$A:$ZZ,7,FALSE)+SUM(_xlfn.XLOOKUP($S25:$AL25,增益!$A:$A,增益!$G:$G,0))</f>
        <v>0.11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1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1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1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1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1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1" cm="1">
        <f t="array" ref="BJ25">$G$13+VLOOKUP($R25,武学奇术!$A:$ZZ,14,FALSE)+SUM(_xlfn.XLOOKUP($S25:$AL25,增益!$A:$A,增益!$N:$N,0))</f>
        <v>0.02</v>
      </c>
      <c r="BK25">
        <f t="shared" si="7"/>
        <v>649.11</v>
      </c>
      <c r="BL25">
        <f t="shared" si="8"/>
        <v>1812.09</v>
      </c>
      <c r="BM25" s="31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</v>
      </c>
      <c r="BN25" s="31" cm="1">
        <f t="array" ref="BN25">$G$14+VLOOKUP($R25,武学奇术!$A:$ZZ,16,FALSE)+SUM(_xlfn.XLOOKUP($S25:$AL25,增益!$A:$A,增益!$P:$P,0))</f>
        <v>0.26</v>
      </c>
      <c r="BO25" s="24">
        <f>MIN(IF(VLOOKUP($R25,武学奇术!$A:$ZZ,23,FALSE)=1,100%,$B$8),100%)</f>
        <v>0.9943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0.8985</v>
      </c>
      <c r="BQ25" s="24" cm="1">
        <f t="array" ref="BQ25">1+$B$13+VLOOKUP($R25,武学奇术!$A:$ZZ,18,FALSE)+SUM(_xlfn.XLOOKUP($S25:$AL25,增益!$A:$A,增益!$R:$R,0))</f>
        <v>1.65</v>
      </c>
      <c r="BR25" s="24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0.89337855</v>
      </c>
      <c r="BU25" s="24">
        <f t="shared" si="10"/>
        <v>0.01014186</v>
      </c>
      <c r="BV25" s="24">
        <f>IF(VLOOKUP($R25,武学奇术!$A:$ZZ,22,FALSE)=1,0,(1-$BO25))*(1-$BR25)</f>
        <v>0.00517959000000003</v>
      </c>
      <c r="BW25" s="24" cm="1">
        <f t="array" ref="BW25">SUM(_xlfn.XLOOKUP($S25:$AL25,增益!$A:$A,增益!$W:$W,0))+$I$5</f>
        <v>0.11</v>
      </c>
      <c r="BX25" s="24">
        <f>VLOOKUP($R25,武学奇术!$A:$ZZ,32,FALSE)</f>
        <v>0</v>
      </c>
      <c r="BY25" s="24" cm="1">
        <f t="array" ref="BY25">SUM(_xlfn.XLOOKUP($S25:$AL25,增益!$A:$A,增益!$X:$X,0))</f>
        <v>0</v>
      </c>
    </row>
    <row r="26" spans="1:77">
      <c r="A26" t="s">
        <v>174</v>
      </c>
      <c r="B26">
        <v>4</v>
      </c>
      <c r="K26" s="37">
        <f>$L26*VLOOKUP($R26,武学奇术!$A:$ZZ,31,FALSE)</f>
        <v>47309.8773438884</v>
      </c>
      <c r="L26" s="37">
        <f t="shared" si="0"/>
        <v>47309.8773438884</v>
      </c>
      <c r="M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*(1+$BX26)</f>
        <v>48727.7856256142</v>
      </c>
      <c r="N26" s="37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*(1+$BX26)</f>
        <v>37362.4298072589</v>
      </c>
      <c r="O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*(1+$BX26)</f>
        <v>24861.1151151093</v>
      </c>
      <c r="P26" s="37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*(1+$BX26)</f>
        <v>22046.3562989156</v>
      </c>
      <c r="Q26" s="38">
        <v>1</v>
      </c>
      <c r="R26" s="39" t="s">
        <v>124</v>
      </c>
      <c r="S26" s="39" t="s">
        <v>104</v>
      </c>
      <c r="T26" s="39" t="s">
        <v>175</v>
      </c>
      <c r="U26" s="39" t="s">
        <v>81</v>
      </c>
      <c r="V26" s="39" t="s">
        <v>82</v>
      </c>
      <c r="W26" s="39" t="s">
        <v>83</v>
      </c>
      <c r="X26" s="39" t="s">
        <v>84</v>
      </c>
      <c r="Y26" s="39" t="s">
        <v>84</v>
      </c>
      <c r="Z26" s="39" t="s">
        <v>84</v>
      </c>
      <c r="AA26" s="39" t="s">
        <v>84</v>
      </c>
      <c r="AB26" s="39" t="s">
        <v>107</v>
      </c>
      <c r="AC26" s="39" t="s">
        <v>92</v>
      </c>
      <c r="AD26" s="39" t="s">
        <v>84</v>
      </c>
      <c r="AE26" s="39" t="s">
        <v>87</v>
      </c>
      <c r="AF26" s="39" t="s">
        <v>88</v>
      </c>
      <c r="AG26" s="39" t="s">
        <v>84</v>
      </c>
      <c r="AH26" s="39" t="s">
        <v>84</v>
      </c>
      <c r="AI26" s="39" t="s">
        <v>84</v>
      </c>
      <c r="AJ26" s="39" t="s">
        <v>84</v>
      </c>
      <c r="AK26" s="39" t="s">
        <v>84</v>
      </c>
      <c r="AL26" s="39" t="s">
        <v>84</v>
      </c>
      <c r="AM26" t="str">
        <f>VLOOKUP($R26,武学奇术!$A:$ZZ,25,FALSE)</f>
        <v>拳甲</v>
      </c>
      <c r="AN26" s="24">
        <f>VLOOKUP($R26,武学奇术!$A:$ZZ,26,FALSE)</f>
        <v>1.1333</v>
      </c>
      <c r="AO26" s="25">
        <f>VLOOKUP($R26,武学奇术!$A:$ZZ,27,FALSE)*(1+IF(OR($AM26=$F$4,$AM26=$F$5),$B$22,0))</f>
        <v>502.4</v>
      </c>
      <c r="AP26" s="24">
        <f>VLOOKUP($R26,武学奇术!$A:$ZZ,28,FALSE)</f>
        <v>1.6999</v>
      </c>
      <c r="AQ26" s="25">
        <f>VLOOKUP($R26,武学奇术!$A:$ZZ,29,FALSE)*(1+IF(OR($AM26=$F$4,$AM26=$F$5),$B$22,0))</f>
        <v>273.6</v>
      </c>
      <c r="AR26" s="24" cm="1">
        <f t="array" ref="AR26">$G$3+IFERROR(VLOOKUP($AM26,$F$4:$G$7,2,FALSE),0)+VLOOKUP($R26,武学奇术!$A:$ZZ,2,FALSE)+SUM(_xlfn.XLOOKUP($S26:$AL26,增益!$A:$A,增益!$B:$B,0))</f>
        <v>0.4543</v>
      </c>
      <c r="AS26" s="24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4342.95</v>
      </c>
      <c r="AU26" cm="1">
        <f t="array" ref="AU26">$E$10*(1+$AS26)+VLOOKUP($R26,武学奇术!$A:$ZZ,4,FALSE)+SUM(_xlfn.XLOOKUP($S26:$AL26,增益!$A:$A,增益!$D:$D,0))-$I$2</f>
        <v>4342.95</v>
      </c>
      <c r="AV26" s="31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0.3034</v>
      </c>
      <c r="AW26" s="31" cm="1">
        <f t="array" ref="AW26">$G$10+VLOOKUP($R26,武学奇术!$A:$ZZ,7,FALSE)+SUM(_xlfn.XLOOKUP($S26:$AL26,增益!$A:$A,增益!$G:$G,0))</f>
        <v>0.11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1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1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1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1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1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1" cm="1">
        <f t="array" ref="BJ26">$G$13+VLOOKUP($R26,武学奇术!$A:$ZZ,14,FALSE)+SUM(_xlfn.XLOOKUP($S26:$AL26,增益!$A:$A,增益!$N:$N,0))</f>
        <v>0.02</v>
      </c>
      <c r="BK26">
        <f t="shared" si="7"/>
        <v>649.11</v>
      </c>
      <c r="BL26">
        <f t="shared" si="8"/>
        <v>1812.09</v>
      </c>
      <c r="BM26" s="31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1" cm="1">
        <f t="array" ref="BN26">$G$14+VLOOKUP($R26,武学奇术!$A:$ZZ,16,FALSE)+SUM(_xlfn.XLOOKUP($S26:$AL26,增益!$A:$A,增益!$P:$P,0))</f>
        <v>0.26</v>
      </c>
      <c r="BO26" s="24">
        <f>MIN(IF(VLOOKUP($R26,武学奇术!$A:$ZZ,23,FALSE)=1,100%,$B$8),100%)</f>
        <v>0.9943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0.8985</v>
      </c>
      <c r="BQ26" s="24" cm="1">
        <f t="array" ref="BQ26">1+$B$13+VLOOKUP($R26,武学奇术!$A:$ZZ,18,FALSE)+SUM(_xlfn.XLOOKUP($S26:$AL26,增益!$A:$A,增益!$R:$R,0))</f>
        <v>1.96</v>
      </c>
      <c r="BR26" s="24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0.89337855</v>
      </c>
      <c r="BU26" s="24">
        <f t="shared" si="10"/>
        <v>0.01014186</v>
      </c>
      <c r="BV26" s="24">
        <f>IF(VLOOKUP($R26,武学奇术!$A:$ZZ,22,FALSE)=1,0,(1-$BO26))*(1-$BR26)</f>
        <v>0.00517959000000003</v>
      </c>
      <c r="BW26" s="24" cm="1">
        <f t="array" ref="BW26">SUM(_xlfn.XLOOKUP($S26:$AL26,增益!$A:$A,增益!$W:$W,0))+$I$5</f>
        <v>0.11</v>
      </c>
      <c r="BX26" s="24">
        <f>VLOOKUP($R26,武学奇术!$A:$ZZ,32,FALSE)</f>
        <v>0.4</v>
      </c>
      <c r="BY26" s="24" cm="1">
        <f t="array" ref="BY26">SUM(_xlfn.XLOOKUP($S26:$AL26,增益!$A:$A,增益!$X:$X,0))</f>
        <v>0</v>
      </c>
    </row>
    <row r="27" spans="1:77">
      <c r="A27" t="s">
        <v>176</v>
      </c>
      <c r="B27">
        <v>0.8</v>
      </c>
      <c r="H27">
        <v>3</v>
      </c>
      <c r="K27" s="37">
        <f>$L27*VLOOKUP($R27,武学奇术!$A:$ZZ,31,FALSE)</f>
        <v>32358.7755951369</v>
      </c>
      <c r="L27" s="37">
        <f t="shared" si="0"/>
        <v>32358.7755951369</v>
      </c>
      <c r="M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*(1+$BX27)</f>
        <v>33328.6886845908</v>
      </c>
      <c r="N27" s="37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*(1+$BX27)</f>
        <v>25553.9445154206</v>
      </c>
      <c r="O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*(1+$BX27)</f>
        <v>17004.4330023422</v>
      </c>
      <c r="P27" s="37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*(1+$BX27)</f>
        <v>15080.018215484</v>
      </c>
      <c r="Q27" s="38">
        <v>1</v>
      </c>
      <c r="R27" s="39" t="s">
        <v>127</v>
      </c>
      <c r="S27" s="39" t="s">
        <v>104</v>
      </c>
      <c r="T27" s="39" t="s">
        <v>175</v>
      </c>
      <c r="U27" s="39" t="s">
        <v>81</v>
      </c>
      <c r="V27" s="39" t="s">
        <v>82</v>
      </c>
      <c r="W27" s="39" t="s">
        <v>83</v>
      </c>
      <c r="X27" s="39" t="s">
        <v>84</v>
      </c>
      <c r="Y27" s="39" t="s">
        <v>84</v>
      </c>
      <c r="Z27" s="39" t="s">
        <v>84</v>
      </c>
      <c r="AA27" s="39" t="s">
        <v>84</v>
      </c>
      <c r="AB27" s="39" t="s">
        <v>107</v>
      </c>
      <c r="AC27" s="39" t="s">
        <v>92</v>
      </c>
      <c r="AD27" s="39" t="s">
        <v>84</v>
      </c>
      <c r="AE27" s="39" t="s">
        <v>87</v>
      </c>
      <c r="AF27" s="39" t="s">
        <v>88</v>
      </c>
      <c r="AG27" s="39" t="s">
        <v>84</v>
      </c>
      <c r="AH27" s="39" t="s">
        <v>84</v>
      </c>
      <c r="AI27" s="39" t="s">
        <v>84</v>
      </c>
      <c r="AJ27" s="39" t="s">
        <v>84</v>
      </c>
      <c r="AK27" s="39" t="s">
        <v>84</v>
      </c>
      <c r="AL27" s="39" t="s">
        <v>84</v>
      </c>
      <c r="AM27" t="str">
        <f>VLOOKUP($R27,武学奇术!$A:$ZZ,25,FALSE)</f>
        <v>拳甲</v>
      </c>
      <c r="AN27" s="24">
        <f>VLOOKUP($R27,武学奇术!$A:$ZZ,26,FALSE)</f>
        <v>0.7748</v>
      </c>
      <c r="AO27" s="25">
        <f>VLOOKUP($R27,武学奇术!$A:$ZZ,27,FALSE)*(1+IF(OR($AM27=$F$4,$AM27=$F$5),$B$22,0))</f>
        <v>345.6</v>
      </c>
      <c r="AP27" s="24">
        <f>VLOOKUP($R27,武学奇术!$A:$ZZ,28,FALSE)</f>
        <v>1.1622</v>
      </c>
      <c r="AQ27" s="25">
        <f>VLOOKUP($R27,武学奇术!$A:$ZZ,29,FALSE)*(1+IF(OR($AM27=$F$4,$AM27=$F$5),$B$22,0))</f>
        <v>187.2</v>
      </c>
      <c r="AR27" s="24" cm="1">
        <f t="array" ref="AR27">$G$3+IFERROR(VLOOKUP($AM27,$F$4:$G$7,2,FALSE),0)+VLOOKUP($R27,武学奇术!$A:$ZZ,2,FALSE)+SUM(_xlfn.XLOOKUP($S27:$AL27,增益!$A:$A,增益!$B:$B,0))</f>
        <v>0.4543</v>
      </c>
      <c r="AS27" s="24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4342.95</v>
      </c>
      <c r="AU27" cm="1">
        <f t="array" ref="AU27">$E$10*(1+$AS27)+VLOOKUP($R27,武学奇术!$A:$ZZ,4,FALSE)+SUM(_xlfn.XLOOKUP($S27:$AL27,增益!$A:$A,增益!$D:$D,0))-$I$2</f>
        <v>4342.95</v>
      </c>
      <c r="AV27" s="31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0.3034</v>
      </c>
      <c r="AW27" s="31" cm="1">
        <f t="array" ref="AW27">$G$10+VLOOKUP($R27,武学奇术!$A:$ZZ,7,FALSE)+SUM(_xlfn.XLOOKUP($S27:$AL27,增益!$A:$A,增益!$G:$G,0))</f>
        <v>0.11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1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1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1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1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1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1" cm="1">
        <f t="array" ref="BJ27">$G$13+VLOOKUP($R27,武学奇术!$A:$ZZ,14,FALSE)+SUM(_xlfn.XLOOKUP($S27:$AL27,增益!$A:$A,增益!$N:$N,0))</f>
        <v>0.02</v>
      </c>
      <c r="BK27">
        <f t="shared" si="7"/>
        <v>649.11</v>
      </c>
      <c r="BL27">
        <f t="shared" si="8"/>
        <v>1812.09</v>
      </c>
      <c r="BM27" s="31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</v>
      </c>
      <c r="BN27" s="31" cm="1">
        <f t="array" ref="BN27">$G$14+VLOOKUP($R27,武学奇术!$A:$ZZ,16,FALSE)+SUM(_xlfn.XLOOKUP($S27:$AL27,增益!$A:$A,增益!$P:$P,0))</f>
        <v>0.26</v>
      </c>
      <c r="BO27" s="24">
        <f>MIN(IF(VLOOKUP($R27,武学奇术!$A:$ZZ,23,FALSE)=1,100%,$B$8),100%)</f>
        <v>0.9943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0.8985</v>
      </c>
      <c r="BQ27" s="24" cm="1">
        <f t="array" ref="BQ27">1+$B$13+VLOOKUP($R27,武学奇术!$A:$ZZ,18,FALSE)+SUM(_xlfn.XLOOKUP($S27:$AL27,增益!$A:$A,增益!$R:$R,0))</f>
        <v>1.96</v>
      </c>
      <c r="BR27" s="24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0.89337855</v>
      </c>
      <c r="BU27" s="24">
        <f t="shared" si="10"/>
        <v>0.01014186</v>
      </c>
      <c r="BV27" s="24">
        <f>IF(VLOOKUP($R27,武学奇术!$A:$ZZ,22,FALSE)=1,0,(1-$BO27))*(1-$BR27)</f>
        <v>0.00517959000000003</v>
      </c>
      <c r="BW27" s="24" cm="1">
        <f t="array" ref="BW27">SUM(_xlfn.XLOOKUP($S27:$AL27,增益!$A:$A,增益!$W:$W,0))+$I$5</f>
        <v>0.11</v>
      </c>
      <c r="BX27" s="24">
        <f>VLOOKUP($R27,武学奇术!$A:$ZZ,32,FALSE)</f>
        <v>0.4</v>
      </c>
      <c r="BY27" s="24" cm="1">
        <f t="array" ref="BY27">SUM(_xlfn.XLOOKUP($S27:$AL27,增益!$A:$A,增益!$X:$X,0))</f>
        <v>0</v>
      </c>
    </row>
    <row r="28" spans="1:77">
      <c r="A28" t="s">
        <v>177</v>
      </c>
      <c r="B28">
        <v>0.7</v>
      </c>
      <c r="H28">
        <v>23</v>
      </c>
      <c r="K28" s="37">
        <f>$L28*VLOOKUP($R28,武学奇术!$A:$ZZ,31,FALSE)</f>
        <v>65460.7712410831</v>
      </c>
      <c r="L28" s="37">
        <f t="shared" si="0"/>
        <v>40912.9820256769</v>
      </c>
      <c r="M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*(1+$BX28)</f>
        <v>41496.4812594936</v>
      </c>
      <c r="N28" s="37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*(1+$BX28)</f>
        <v>38055.2127921704</v>
      </c>
      <c r="O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*(1+$BX28)</f>
        <v>24997.8802768034</v>
      </c>
      <c r="P28" s="37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*(1+$BX28)</f>
        <v>21806.714040888</v>
      </c>
      <c r="Q28" s="38">
        <v>1</v>
      </c>
      <c r="R28" s="39" t="s">
        <v>122</v>
      </c>
      <c r="S28" s="39" t="s">
        <v>104</v>
      </c>
      <c r="T28" s="39" t="s">
        <v>175</v>
      </c>
      <c r="U28" s="39" t="s">
        <v>81</v>
      </c>
      <c r="V28" s="39" t="s">
        <v>82</v>
      </c>
      <c r="W28" s="39" t="s">
        <v>83</v>
      </c>
      <c r="X28" s="39" t="s">
        <v>84</v>
      </c>
      <c r="Y28" s="39" t="s">
        <v>84</v>
      </c>
      <c r="Z28" s="39" t="s">
        <v>84</v>
      </c>
      <c r="AA28" s="39" t="s">
        <v>84</v>
      </c>
      <c r="AB28" s="39" t="s">
        <v>107</v>
      </c>
      <c r="AC28" s="39" t="s">
        <v>92</v>
      </c>
      <c r="AD28" s="39" t="s">
        <v>84</v>
      </c>
      <c r="AE28" s="39" t="s">
        <v>87</v>
      </c>
      <c r="AF28" s="39" t="s">
        <v>88</v>
      </c>
      <c r="AG28" s="39" t="s">
        <v>84</v>
      </c>
      <c r="AH28" s="39" t="s">
        <v>84</v>
      </c>
      <c r="AI28" s="39" t="s">
        <v>84</v>
      </c>
      <c r="AJ28" s="39" t="s">
        <v>84</v>
      </c>
      <c r="AK28" s="39" t="s">
        <v>84</v>
      </c>
      <c r="AL28" s="39" t="s">
        <v>84</v>
      </c>
      <c r="AM28" t="str">
        <f>VLOOKUP($R28,武学奇术!$A:$ZZ,25,FALSE)</f>
        <v>拳甲</v>
      </c>
      <c r="AN28" s="24">
        <f>VLOOKUP($R28,武学奇术!$A:$ZZ,26,FALSE)</f>
        <v>1.862784</v>
      </c>
      <c r="AO28" s="25">
        <f>VLOOKUP($R28,武学奇术!$A:$ZZ,27,FALSE)*(1+IF(OR($AM28=$F$4,$AM28=$F$5),$B$22,0))</f>
        <v>0</v>
      </c>
      <c r="AP28" s="24">
        <f>VLOOKUP($R28,武学奇术!$A:$ZZ,28,FALSE)</f>
        <v>2.794176</v>
      </c>
      <c r="AQ28" s="25">
        <f>VLOOKUP($R28,武学奇术!$A:$ZZ,29,FALSE)*(1+IF(OR($AM28=$F$4,$AM28=$F$5),$B$22,0))</f>
        <v>0</v>
      </c>
      <c r="AR28" s="24" cm="1">
        <f t="array" ref="AR28">$G$3+IFERROR(VLOOKUP($AM28,$F$4:$G$7,2,FALSE),0)+VLOOKUP($R28,武学奇术!$A:$ZZ,2,FALSE)+SUM(_xlfn.XLOOKUP($S28:$AL28,增益!$A:$A,增益!$B:$B,0))</f>
        <v>0.4043</v>
      </c>
      <c r="AS28" s="24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4342.95</v>
      </c>
      <c r="AU28" cm="1">
        <f t="array" ref="AU28">$E$10*(1+$AS28)+VLOOKUP($R28,武学奇术!$A:$ZZ,4,FALSE)+SUM(_xlfn.XLOOKUP($S28:$AL28,增益!$A:$A,增益!$D:$D,0))-$I$2</f>
        <v>4342.95</v>
      </c>
      <c r="AV28" s="31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0.3034</v>
      </c>
      <c r="AW28" s="31" cm="1">
        <f t="array" ref="AW28">$G$10+VLOOKUP($R28,武学奇术!$A:$ZZ,7,FALSE)+SUM(_xlfn.XLOOKUP($S28:$AL28,增益!$A:$A,增益!$G:$G,0))</f>
        <v>0.11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1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1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1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1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1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1" cm="1">
        <f t="array" ref="BJ28">$G$13+VLOOKUP($R28,武学奇术!$A:$ZZ,14,FALSE)+SUM(_xlfn.XLOOKUP($S28:$AL28,增益!$A:$A,增益!$N:$N,0))</f>
        <v>0.02</v>
      </c>
      <c r="BK28">
        <f t="shared" si="7"/>
        <v>649.11</v>
      </c>
      <c r="BL28">
        <f t="shared" si="8"/>
        <v>1812.09</v>
      </c>
      <c r="BM28" s="31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1" cm="1">
        <f t="array" ref="BN28">$G$14+VLOOKUP($R28,武学奇术!$A:$ZZ,16,FALSE)+SUM(_xlfn.XLOOKUP($S28:$AL28,增益!$A:$A,增益!$P:$P,0))</f>
        <v>0.26</v>
      </c>
      <c r="BO28" s="24">
        <f>MIN(IF(VLOOKUP($R28,武学奇术!$A:$ZZ,23,FALSE)=1,100%,$B$8),100%)</f>
        <v>0.9943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0.8985</v>
      </c>
      <c r="BQ28" s="24" cm="1">
        <f t="array" ref="BQ28">1+$B$13+VLOOKUP($R28,武学奇术!$A:$ZZ,18,FALSE)+SUM(_xlfn.XLOOKUP($S28:$AL28,增益!$A:$A,增益!$R:$R,0))</f>
        <v>1.66</v>
      </c>
      <c r="BR28" s="24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0.89337855</v>
      </c>
      <c r="BU28" s="24">
        <f t="shared" si="10"/>
        <v>0.01014186</v>
      </c>
      <c r="BV28" s="24">
        <f>IF(VLOOKUP($R28,武学奇术!$A:$ZZ,22,FALSE)=1,0,(1-$BO28))*(1-$BR28)</f>
        <v>0.00517959000000003</v>
      </c>
      <c r="BW28" s="24" cm="1">
        <f t="array" ref="BW28">SUM(_xlfn.XLOOKUP($S28:$AL28,增益!$A:$A,增益!$W:$W,0))+$I$5</f>
        <v>0.11</v>
      </c>
      <c r="BX28" s="24">
        <f>VLOOKUP($R28,武学奇术!$A:$ZZ,32,FALSE)</f>
        <v>0</v>
      </c>
      <c r="BY28" s="24" cm="1">
        <f t="array" ref="BY28">SUM(_xlfn.XLOOKUP($S28:$AL28,增益!$A:$A,增益!$X:$X,0))</f>
        <v>0</v>
      </c>
    </row>
    <row r="29" spans="1:77">
      <c r="A29" t="s">
        <v>178</v>
      </c>
      <c r="B29">
        <v>0.1</v>
      </c>
      <c r="H29">
        <v>43</v>
      </c>
      <c r="K29" s="37">
        <f>$L29*VLOOKUP($R29,武学奇术!$A:$ZZ,31,FALSE)</f>
        <v>33970.4231126885</v>
      </c>
      <c r="L29" s="37">
        <f t="shared" si="0"/>
        <v>33970.4231126885</v>
      </c>
      <c r="M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*(1+$BX29)</f>
        <v>34490.8964152882</v>
      </c>
      <c r="N29" s="37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*(1+$BX29)</f>
        <v>31224.9106081483</v>
      </c>
      <c r="O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*(1+$BX29)</f>
        <v>20777.6484429447</v>
      </c>
      <c r="P29" s="37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*(1+$BX29)</f>
        <v>18425.7334724462</v>
      </c>
      <c r="Q29" s="38">
        <v>1</v>
      </c>
      <c r="R29" s="39" t="s">
        <v>115</v>
      </c>
      <c r="S29" s="39" t="s">
        <v>104</v>
      </c>
      <c r="T29" s="39" t="s">
        <v>175</v>
      </c>
      <c r="U29" s="39" t="s">
        <v>81</v>
      </c>
      <c r="V29" s="39" t="s">
        <v>82</v>
      </c>
      <c r="W29" s="39" t="s">
        <v>83</v>
      </c>
      <c r="X29" s="39" t="s">
        <v>84</v>
      </c>
      <c r="Y29" s="39" t="s">
        <v>84</v>
      </c>
      <c r="Z29" s="39" t="s">
        <v>84</v>
      </c>
      <c r="AA29" s="39" t="s">
        <v>84</v>
      </c>
      <c r="AB29" s="39" t="s">
        <v>107</v>
      </c>
      <c r="AC29" s="39" t="s">
        <v>92</v>
      </c>
      <c r="AD29" s="39" t="s">
        <v>84</v>
      </c>
      <c r="AE29" s="39" t="s">
        <v>87</v>
      </c>
      <c r="AF29" s="39" t="s">
        <v>88</v>
      </c>
      <c r="AG29" s="39" t="s">
        <v>84</v>
      </c>
      <c r="AH29" s="39" t="s">
        <v>84</v>
      </c>
      <c r="AI29" s="39" t="s">
        <v>84</v>
      </c>
      <c r="AJ29" s="39" t="s">
        <v>84</v>
      </c>
      <c r="AK29" s="39" t="s">
        <v>84</v>
      </c>
      <c r="AL29" s="39" t="s">
        <v>84</v>
      </c>
      <c r="AM29" t="str">
        <f>VLOOKUP($R29,武学奇术!$A:$ZZ,25,FALSE)</f>
        <v>双刀</v>
      </c>
      <c r="AN29" s="24">
        <f>VLOOKUP($R29,武学奇术!$A:$ZZ,26,FALSE)</f>
        <v>1.3728</v>
      </c>
      <c r="AO29" s="25">
        <f>VLOOKUP($R29,武学奇术!$A:$ZZ,27,FALSE)*(1+IF(OR($AM29=$F$4,$AM29=$F$5),$B$22,0))</f>
        <v>609.44</v>
      </c>
      <c r="AP29" s="24">
        <f>VLOOKUP($R29,武学奇术!$A:$ZZ,28,FALSE)</f>
        <v>2.05933</v>
      </c>
      <c r="AQ29" s="25">
        <f>VLOOKUP($R29,武学奇术!$A:$ZZ,29,FALSE)*(1+IF(OR($AM29=$F$4,$AM29=$F$5),$B$22,0))</f>
        <v>332.8</v>
      </c>
      <c r="AR29" s="24" cm="1">
        <f t="array" ref="AR29">$G$3+IFERROR(VLOOKUP($AM29,$F$4:$G$7,2,FALSE),0)+VLOOKUP($R29,武学奇术!$A:$ZZ,2,FALSE)+SUM(_xlfn.XLOOKUP($S29:$AL29,增益!$A:$A,增益!$B:$B,0))</f>
        <v>0.4043</v>
      </c>
      <c r="AS29" s="24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4342.95</v>
      </c>
      <c r="AU29" cm="1">
        <f t="array" ref="AU29">$E$10*(1+$AS29)+VLOOKUP($R29,武学奇术!$A:$ZZ,4,FALSE)+SUM(_xlfn.XLOOKUP($S29:$AL29,增益!$A:$A,增益!$D:$D,0))-$I$2</f>
        <v>4342.95</v>
      </c>
      <c r="AV29" s="31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0.3034</v>
      </c>
      <c r="AW29" s="31" cm="1">
        <f t="array" ref="AW29">$G$10+VLOOKUP($R29,武学奇术!$A:$ZZ,7,FALSE)+SUM(_xlfn.XLOOKUP($S29:$AL29,增益!$A:$A,增益!$G:$G,0))</f>
        <v>0.11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1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1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1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1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1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1" cm="1">
        <f t="array" ref="BJ29">$G$13+VLOOKUP($R29,武学奇术!$A:$ZZ,14,FALSE)+SUM(_xlfn.XLOOKUP($S29:$AL29,增益!$A:$A,增益!$N:$N,0))</f>
        <v>0.02</v>
      </c>
      <c r="BK29">
        <f t="shared" si="7"/>
        <v>649.11</v>
      </c>
      <c r="BL29">
        <f t="shared" si="8"/>
        <v>1812.09</v>
      </c>
      <c r="BM29" s="31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</v>
      </c>
      <c r="BN29" s="31" cm="1">
        <f t="array" ref="BN29">$G$14+VLOOKUP($R29,武学奇术!$A:$ZZ,16,FALSE)+SUM(_xlfn.XLOOKUP($S29:$AL29,增益!$A:$A,增益!$P:$P,0))</f>
        <v>0.26</v>
      </c>
      <c r="BO29" s="24">
        <f>MIN(IF(VLOOKUP($R29,武学奇术!$A:$ZZ,23,FALSE)=1,100%,$B$8),100%)</f>
        <v>0.9943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0.8985</v>
      </c>
      <c r="BQ29" s="24" cm="1">
        <f t="array" ref="BQ29">1+$B$13+VLOOKUP($R29,武学奇术!$A:$ZZ,18,FALSE)+SUM(_xlfn.XLOOKUP($S29:$AL29,增益!$A:$A,增益!$R:$R,0))</f>
        <v>1.66</v>
      </c>
      <c r="BR29" s="24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0.89337855</v>
      </c>
      <c r="BU29" s="24">
        <f t="shared" si="10"/>
        <v>0.01014186</v>
      </c>
      <c r="BV29" s="24">
        <f>IF(VLOOKUP($R29,武学奇术!$A:$ZZ,22,FALSE)=1,0,(1-$BO29))*(1-$BR29)</f>
        <v>0.00517959000000003</v>
      </c>
      <c r="BW29" s="24" cm="1">
        <f t="array" ref="BW29">SUM(_xlfn.XLOOKUP($S29:$AL29,增益!$A:$A,增益!$W:$W,0))+$I$5</f>
        <v>0.11</v>
      </c>
      <c r="BX29" s="24">
        <f>VLOOKUP($R29,武学奇术!$A:$ZZ,32,FALSE)</f>
        <v>0</v>
      </c>
      <c r="BY29" s="24" cm="1">
        <f t="array" ref="BY29">SUM(_xlfn.XLOOKUP($S29:$AL29,增益!$A:$A,增益!$X:$X,0))</f>
        <v>0</v>
      </c>
    </row>
    <row r="30" spans="1:77">
      <c r="A30" t="s">
        <v>179</v>
      </c>
      <c r="B30">
        <v>1.5</v>
      </c>
      <c r="H30">
        <v>63</v>
      </c>
      <c r="K30" s="37">
        <f>$L30*VLOOKUP($R30,武学奇术!$A:$ZZ,31,FALSE)</f>
        <v>246792.3983731</v>
      </c>
      <c r="L30" s="89">
        <f>SUM(L9,L11:L12,L14:L22,L26:L27)*0.2*(1+BY30)</f>
        <v>493584.796746199</v>
      </c>
      <c r="M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*(1+$BX30)</f>
        <v>0</v>
      </c>
      <c r="N30" s="37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*(1+$BX30)</f>
        <v>0</v>
      </c>
      <c r="O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*(1+$BX30)</f>
        <v>0</v>
      </c>
      <c r="P30" s="37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*(1+$BX30)</f>
        <v>0</v>
      </c>
      <c r="Q30" s="38">
        <v>1</v>
      </c>
      <c r="R30" s="39" t="s">
        <v>180</v>
      </c>
      <c r="S30" s="39" t="s">
        <v>181</v>
      </c>
      <c r="T30" s="39" t="s">
        <v>84</v>
      </c>
      <c r="U30" s="39" t="s">
        <v>84</v>
      </c>
      <c r="V30" s="39" t="s">
        <v>84</v>
      </c>
      <c r="W30" s="39" t="s">
        <v>84</v>
      </c>
      <c r="X30" s="39" t="s">
        <v>84</v>
      </c>
      <c r="Y30" s="39" t="s">
        <v>84</v>
      </c>
      <c r="Z30" s="39" t="s">
        <v>84</v>
      </c>
      <c r="AA30" s="39" t="s">
        <v>84</v>
      </c>
      <c r="AB30" s="39" t="s">
        <v>84</v>
      </c>
      <c r="AC30" s="39" t="s">
        <v>84</v>
      </c>
      <c r="AD30" s="39" t="s">
        <v>84</v>
      </c>
      <c r="AE30" s="39" t="s">
        <v>87</v>
      </c>
      <c r="AF30" s="39" t="s">
        <v>88</v>
      </c>
      <c r="AG30" s="39" t="s">
        <v>84</v>
      </c>
      <c r="AH30" s="39" t="s">
        <v>84</v>
      </c>
      <c r="AI30" s="39" t="s">
        <v>84</v>
      </c>
      <c r="AJ30" s="39" t="s">
        <v>84</v>
      </c>
      <c r="AK30" s="39" t="s">
        <v>84</v>
      </c>
      <c r="AL30" s="39" t="s">
        <v>84</v>
      </c>
      <c r="AM30" t="str">
        <f>VLOOKUP($R30,武学奇术!$A:$ZZ,25,FALSE)</f>
        <v>心法</v>
      </c>
      <c r="AN30" s="24">
        <f>VLOOKUP($R30,武学奇术!$A:$ZZ,26,FALSE)</f>
        <v>0</v>
      </c>
      <c r="AO30" s="25">
        <f>VLOOKUP($R30,武学奇术!$A:$ZZ,27,FALSE)*(1+IF(OR($AM30=$F$4,$AM30=$F$5),$B$22,0))</f>
        <v>0</v>
      </c>
      <c r="AP30" s="24">
        <f>VLOOKUP($R30,武学奇术!$A:$ZZ,28,FALSE)</f>
        <v>0</v>
      </c>
      <c r="AQ30" s="25">
        <f>VLOOKUP($R30,武学奇术!$A:$ZZ,29,FALSE)*(1+IF(OR($AM30=$F$4,$AM30=$F$5),$B$22,0))</f>
        <v>0</v>
      </c>
      <c r="AR30" s="24" cm="1">
        <f t="array" ref="AR30">$G$3+IFERROR(VLOOKUP($AM30,$F$4:$G$7,2,FALSE),0)+VLOOKUP($R30,武学奇术!$A:$ZZ,2,FALSE)+SUM(_xlfn.XLOOKUP($S30:$AL30,增益!$A:$A,增益!$B:$B,0))</f>
        <v>0.1842</v>
      </c>
      <c r="AS30" s="24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4342.95</v>
      </c>
      <c r="AU30" cm="1">
        <f t="array" ref="AU30">$E$10*(1+$AS30)+VLOOKUP($R30,武学奇术!$A:$ZZ,4,FALSE)+SUM(_xlfn.XLOOKUP($S30:$AL30,增益!$A:$A,增益!$D:$D,0))-$I$2</f>
        <v>4342.95</v>
      </c>
      <c r="AV30" s="31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0.2534</v>
      </c>
      <c r="AW30" s="31" cm="1">
        <f t="array" ref="AW30">$G$10+VLOOKUP($R30,武学奇术!$A:$ZZ,7,FALSE)+SUM(_xlfn.XLOOKUP($S30:$AL30,增益!$A:$A,增益!$G:$G,0))</f>
        <v>0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1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1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1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1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1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1" cm="1">
        <f t="array" ref="BJ30">$G$13+VLOOKUP($R30,武学奇术!$A:$ZZ,14,FALSE)+SUM(_xlfn.XLOOKUP($S30:$AL30,增益!$A:$A,增益!$N:$N,0))</f>
        <v>0</v>
      </c>
      <c r="BK30">
        <f t="shared" si="7"/>
        <v>649.11</v>
      </c>
      <c r="BL30">
        <f t="shared" si="8"/>
        <v>1812.09</v>
      </c>
      <c r="BM30" s="31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1" cm="1">
        <f t="array" ref="BN30">$G$14+VLOOKUP($R30,武学奇术!$A:$ZZ,16,FALSE)+SUM(_xlfn.XLOOKUP($S30:$AL30,增益!$A:$A,增益!$P:$P,0))</f>
        <v>0.15</v>
      </c>
      <c r="BO30" s="24">
        <f>MIN(IF(VLOOKUP($R30,武学奇术!$A:$ZZ,23,FALSE)=1,100%,$B$8),100%)</f>
        <v>0.9943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0.8985</v>
      </c>
      <c r="BQ30" s="24" cm="1">
        <f t="array" ref="BQ30">1+$B$13+VLOOKUP($R30,武学奇术!$A:$ZZ,18,FALSE)+SUM(_xlfn.XLOOKUP($S30:$AL30,增益!$A:$A,增益!$R:$R,0))</f>
        <v>1.54</v>
      </c>
      <c r="BR30" s="24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0.89337855</v>
      </c>
      <c r="BU30" s="24">
        <f t="shared" si="10"/>
        <v>0.01014186</v>
      </c>
      <c r="BV30" s="24">
        <f>IF(VLOOKUP($R30,武学奇术!$A:$ZZ,22,FALSE)=1,0,(1-$BO30))*(1-$BR30)</f>
        <v>0.00517959000000003</v>
      </c>
      <c r="BW30" s="24" cm="1">
        <f t="array" ref="BW30">SUM(_xlfn.XLOOKUP($S30:$AL30,增益!$A:$A,增益!$W:$W,0))+$I$5</f>
        <v>0.11</v>
      </c>
      <c r="BX30" s="24">
        <f>VLOOKUP($R30,武学奇术!$A:$ZZ,32,FALSE)</f>
        <v>0</v>
      </c>
      <c r="BY30" s="24" cm="1">
        <f t="array" ref="BY30">SUM(_xlfn.XLOOKUP($S30:$AL30,增益!$A:$A,增益!$X:$X,0))</f>
        <v>0.2</v>
      </c>
    </row>
    <row r="31" spans="1:77">
      <c r="A31" t="s">
        <v>182</v>
      </c>
      <c r="B31">
        <v>0.7</v>
      </c>
      <c r="D31" s="38" t="s">
        <v>183</v>
      </c>
      <c r="E31" s="38" t="s">
        <v>184</v>
      </c>
      <c r="H31">
        <v>83</v>
      </c>
      <c r="K31" s="37">
        <f>$L31*VLOOKUP($R31,武学奇术!$A:$ZZ,31,FALSE)</f>
        <v>20204.5079408561</v>
      </c>
      <c r="L31" s="37">
        <f t="shared" si="0"/>
        <v>20204.5079408561</v>
      </c>
      <c r="M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*(1+$BX31)</f>
        <v>20580.8195138801</v>
      </c>
      <c r="N31" s="37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*(1+$BX31)</f>
        <v>17981.6991781108</v>
      </c>
      <c r="O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*(1+$BX31)</f>
        <v>11965.592740628</v>
      </c>
      <c r="P31" s="37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*(1+$BX31)</f>
        <v>10611.408312285</v>
      </c>
      <c r="Q31" s="38">
        <v>1</v>
      </c>
      <c r="R31" s="39" t="s">
        <v>185</v>
      </c>
      <c r="S31" s="39" t="s">
        <v>104</v>
      </c>
      <c r="T31" s="39" t="s">
        <v>186</v>
      </c>
      <c r="U31" s="39" t="s">
        <v>81</v>
      </c>
      <c r="V31" s="39" t="s">
        <v>130</v>
      </c>
      <c r="W31" s="39" t="s">
        <v>83</v>
      </c>
      <c r="X31" s="39" t="s">
        <v>84</v>
      </c>
      <c r="Y31" s="39" t="s">
        <v>84</v>
      </c>
      <c r="Z31" s="39" t="s">
        <v>84</v>
      </c>
      <c r="AA31" s="39" t="s">
        <v>84</v>
      </c>
      <c r="AB31" s="39" t="s">
        <v>187</v>
      </c>
      <c r="AC31" s="39" t="s">
        <v>92</v>
      </c>
      <c r="AD31" s="39" t="s">
        <v>84</v>
      </c>
      <c r="AE31" s="39" t="s">
        <v>87</v>
      </c>
      <c r="AF31" s="39" t="s">
        <v>88</v>
      </c>
      <c r="AG31" s="39" t="s">
        <v>84</v>
      </c>
      <c r="AH31" s="39" t="s">
        <v>84</v>
      </c>
      <c r="AI31" s="39" t="s">
        <v>84</v>
      </c>
      <c r="AJ31" s="39" t="s">
        <v>84</v>
      </c>
      <c r="AK31" s="39" t="s">
        <v>84</v>
      </c>
      <c r="AL31" s="39" t="s">
        <v>84</v>
      </c>
      <c r="AM31" t="str">
        <f>VLOOKUP($R31,武学奇术!$A:$ZZ,25,FALSE)</f>
        <v>双刀</v>
      </c>
      <c r="AN31" s="24">
        <f>VLOOKUP($R31,武学奇术!$A:$ZZ,26,FALSE)</f>
        <v>0.79044</v>
      </c>
      <c r="AO31" s="25">
        <f>VLOOKUP($R31,武学奇术!$A:$ZZ,27,FALSE)*(1+IF(OR($AM31=$F$4,$AM31=$F$5),$B$22,0))</f>
        <v>351.36</v>
      </c>
      <c r="AP31" s="24">
        <f>VLOOKUP($R31,武学奇术!$A:$ZZ,28,FALSE)</f>
        <v>1.18572</v>
      </c>
      <c r="AQ31" s="25">
        <f>VLOOKUP($R31,武学奇术!$A:$ZZ,29,FALSE)*(1+IF(OR($AM31=$F$4,$AM31=$F$5),$B$22,0))</f>
        <v>192</v>
      </c>
      <c r="AR31" s="24" cm="1">
        <f t="array" ref="AR31">$G$3+IFERROR(VLOOKUP($AM31,$F$4:$G$7,2,FALSE),0)+VLOOKUP($R31,武学奇术!$A:$ZZ,2,FALSE)+SUM(_xlfn.XLOOKUP($S31:$AL31,增益!$A:$A,增益!$B:$B,0))</f>
        <v>0.4043</v>
      </c>
      <c r="AS31" s="24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4342.95</v>
      </c>
      <c r="AU31" cm="1">
        <f t="array" ref="AU31">$E$10*(1+$AS31)+VLOOKUP($R31,武学奇术!$A:$ZZ,4,FALSE)+SUM(_xlfn.XLOOKUP($S31:$AL31,增益!$A:$A,增益!$D:$D,0))-$I$2</f>
        <v>4342.95</v>
      </c>
      <c r="AV31" s="31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0.3034</v>
      </c>
      <c r="AW31" s="31" cm="1">
        <f t="array" ref="AW31">$G$10+VLOOKUP($R31,武学奇术!$A:$ZZ,7,FALSE)+SUM(_xlfn.XLOOKUP($S31:$AL31,增益!$A:$A,增益!$G:$G,0))</f>
        <v>0.11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1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1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1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1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1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1" cm="1">
        <f t="array" ref="BJ31">$G$13+VLOOKUP($R31,武学奇术!$A:$ZZ,14,FALSE)+SUM(_xlfn.XLOOKUP($S31:$AL31,增益!$A:$A,增益!$N:$N,0))</f>
        <v>0.02</v>
      </c>
      <c r="BK31">
        <f t="shared" si="7"/>
        <v>649.11</v>
      </c>
      <c r="BL31">
        <f t="shared" si="8"/>
        <v>1812.09</v>
      </c>
      <c r="BM31" s="31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1" cm="1">
        <f t="array" ref="BN31">$G$14+VLOOKUP($R31,武学奇术!$A:$ZZ,16,FALSE)+SUM(_xlfn.XLOOKUP($S31:$AL31,增益!$A:$A,增益!$P:$P,0))</f>
        <v>0.26</v>
      </c>
      <c r="BO31" s="24">
        <f>MIN(IF(VLOOKUP($R31,武学奇术!$A:$ZZ,23,FALSE)=1,100%,$B$8),100%)</f>
        <v>0.9943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0.8985</v>
      </c>
      <c r="BQ31" s="24" cm="1">
        <f t="array" ref="BQ31">1+$B$13+VLOOKUP($R31,武学奇术!$A:$ZZ,18,FALSE)+SUM(_xlfn.XLOOKUP($S31:$AL31,增益!$A:$A,增益!$R:$R,0))</f>
        <v>1.72</v>
      </c>
      <c r="BR31" s="24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0.89337855</v>
      </c>
      <c r="BU31" s="24">
        <f t="shared" si="10"/>
        <v>0.01014186</v>
      </c>
      <c r="BV31" s="24">
        <f>IF(VLOOKUP($R31,武学奇术!$A:$ZZ,22,FALSE)=1,0,(1-$BO31))*(1-$BR31)</f>
        <v>0.00517959000000003</v>
      </c>
      <c r="BW31" s="24" cm="1">
        <f t="array" ref="BW31">SUM(_xlfn.XLOOKUP($S31:$AL31,增益!$A:$A,增益!$W:$W,0))+$I$5</f>
        <v>0.11</v>
      </c>
      <c r="BX31" s="24">
        <f>VLOOKUP($R31,武学奇术!$A:$ZZ,32,FALSE)</f>
        <v>0</v>
      </c>
      <c r="BY31" s="24" cm="1">
        <f t="array" ref="BY31">SUM(_xlfn.XLOOKUP($S31:$AL31,增益!$A:$A,增益!$X:$X,0))</f>
        <v>0</v>
      </c>
    </row>
    <row r="32" spans="1:77">
      <c r="A32" t="s">
        <v>188</v>
      </c>
      <c r="B32">
        <v>0.9</v>
      </c>
      <c r="D32" s="38"/>
      <c r="E32" s="38"/>
      <c r="K32" s="37">
        <f>$L32*VLOOKUP($R32,武学奇术!$A:$ZZ,31,FALSE)</f>
        <v>173407.927175451</v>
      </c>
      <c r="L32" s="37">
        <f t="shared" si="0"/>
        <v>173407.927175451</v>
      </c>
      <c r="M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*(1+$BX32)</f>
        <v>178975.708333791</v>
      </c>
      <c r="N32" s="37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*(1+$BX32)</f>
        <v>133158.376579773</v>
      </c>
      <c r="O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*(1+$BX32)</f>
        <v>88601.8358088072</v>
      </c>
      <c r="P32" s="37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*(1+$BX32)</f>
        <v>78567.8371140789</v>
      </c>
      <c r="Q32" s="38">
        <v>1</v>
      </c>
      <c r="R32" s="39" t="s">
        <v>157</v>
      </c>
      <c r="S32" s="39" t="s">
        <v>104</v>
      </c>
      <c r="T32" s="39" t="s">
        <v>186</v>
      </c>
      <c r="U32" s="39" t="s">
        <v>81</v>
      </c>
      <c r="V32" s="39" t="s">
        <v>130</v>
      </c>
      <c r="W32" s="39" t="s">
        <v>83</v>
      </c>
      <c r="X32" s="39" t="s">
        <v>84</v>
      </c>
      <c r="Y32" s="39" t="s">
        <v>84</v>
      </c>
      <c r="Z32" s="39" t="s">
        <v>84</v>
      </c>
      <c r="AA32" s="39" t="s">
        <v>84</v>
      </c>
      <c r="AB32" s="39" t="s">
        <v>187</v>
      </c>
      <c r="AC32" s="39" t="s">
        <v>92</v>
      </c>
      <c r="AD32" s="39" t="s">
        <v>84</v>
      </c>
      <c r="AE32" s="39" t="s">
        <v>87</v>
      </c>
      <c r="AF32" s="39" t="s">
        <v>88</v>
      </c>
      <c r="AG32" s="39" t="s">
        <v>84</v>
      </c>
      <c r="AH32" s="39" t="s">
        <v>84</v>
      </c>
      <c r="AI32" s="39" t="s">
        <v>84</v>
      </c>
      <c r="AJ32" s="39" t="s">
        <v>84</v>
      </c>
      <c r="AK32" s="39" t="s">
        <v>84</v>
      </c>
      <c r="AL32" s="39" t="s">
        <v>84</v>
      </c>
      <c r="AM32" t="str">
        <f>VLOOKUP($R32,武学奇术!$A:$ZZ,25,FALSE)</f>
        <v>双刀</v>
      </c>
      <c r="AN32" s="24">
        <f>VLOOKUP($R32,武学奇术!$A:$ZZ,26,FALSE)</f>
        <v>2.85516</v>
      </c>
      <c r="AO32" s="25">
        <f>VLOOKUP($R32,武学奇术!$A:$ZZ,27,FALSE)*(1+IF(OR($AM32=$F$4,$AM32=$F$5),$B$22,0))</f>
        <v>1263.36</v>
      </c>
      <c r="AP32" s="24">
        <f>VLOOKUP($R32,武学奇术!$A:$ZZ,28,FALSE)</f>
        <v>4.28274</v>
      </c>
      <c r="AQ32" s="25">
        <f>VLOOKUP($R32,武学奇术!$A:$ZZ,29,FALSE)*(1+IF(OR($AM32=$F$4,$AM32=$F$5),$B$22,0))</f>
        <v>687.68</v>
      </c>
      <c r="AR32" s="24" cm="1">
        <f t="array" ref="AR32">$G$3+IFERROR(VLOOKUP($AM32,$F$4:$G$7,2,FALSE),0)+VLOOKUP($R32,武学奇术!$A:$ZZ,2,FALSE)+SUM(_xlfn.XLOOKUP($S32:$AL32,增益!$A:$A,增益!$B:$B,0))</f>
        <v>0.4543</v>
      </c>
      <c r="AS32" s="24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4342.95</v>
      </c>
      <c r="AU32" cm="1">
        <f t="array" ref="AU32">$E$10*(1+$AS32)+VLOOKUP($R32,武学奇术!$A:$ZZ,4,FALSE)+SUM(_xlfn.XLOOKUP($S32:$AL32,增益!$A:$A,增益!$D:$D,0))-$I$2</f>
        <v>4342.95</v>
      </c>
      <c r="AV32" s="31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0.3034</v>
      </c>
      <c r="AW32" s="31" cm="1">
        <f t="array" ref="AW32">$G$10+VLOOKUP($R32,武学奇术!$A:$ZZ,7,FALSE)+SUM(_xlfn.XLOOKUP($S32:$AL32,增益!$A:$A,增益!$G:$G,0))</f>
        <v>0.11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1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1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1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1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1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-0.3</v>
      </c>
      <c r="BJ32" s="31" cm="1">
        <f t="array" ref="BJ32">$G$13+VLOOKUP($R32,武学奇术!$A:$ZZ,14,FALSE)+SUM(_xlfn.XLOOKUP($S32:$AL32,增益!$A:$A,增益!$N:$N,0))</f>
        <v>0.02</v>
      </c>
      <c r="BK32">
        <f t="shared" si="7"/>
        <v>649.11</v>
      </c>
      <c r="BL32">
        <f t="shared" si="8"/>
        <v>1812.09</v>
      </c>
      <c r="BM32" s="31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</v>
      </c>
      <c r="BN32" s="31" cm="1">
        <f t="array" ref="BN32">$G$14+VLOOKUP($R32,武学奇术!$A:$ZZ,16,FALSE)+SUM(_xlfn.XLOOKUP($S32:$AL32,增益!$A:$A,增益!$P:$P,0))</f>
        <v>0.26</v>
      </c>
      <c r="BO32" s="24">
        <f>MIN(IF(VLOOKUP($R32,武学奇术!$A:$ZZ,23,FALSE)=1,100%,$B$8),100%)</f>
        <v>0.9943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0.8985</v>
      </c>
      <c r="BQ32" s="24" cm="1">
        <f t="array" ref="BQ32">1+$B$13+VLOOKUP($R32,武学奇术!$A:$ZZ,18,FALSE)+SUM(_xlfn.XLOOKUP($S32:$AL32,增益!$A:$A,增益!$R:$R,0))</f>
        <v>2.02</v>
      </c>
      <c r="BR32" s="24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0.89337855</v>
      </c>
      <c r="BU32" s="24">
        <f t="shared" si="10"/>
        <v>0.0153214500000001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0.11</v>
      </c>
      <c r="BX32" s="24">
        <f>VLOOKUP($R32,武学奇术!$A:$ZZ,32,FALSE)</f>
        <v>0.5</v>
      </c>
      <c r="BY32" s="24" cm="1">
        <f t="array" ref="BY32">SUM(_xlfn.XLOOKUP($S32:$AL32,增益!$A:$A,增益!$X:$X,0))</f>
        <v>0</v>
      </c>
    </row>
    <row r="33" spans="1:77">
      <c r="A33" t="s">
        <v>189</v>
      </c>
      <c r="B33">
        <v>0.6</v>
      </c>
      <c r="D33" s="38"/>
      <c r="E33" s="38"/>
      <c r="K33" s="37">
        <f>$L33*VLOOKUP($R33,武学奇术!$A:$ZZ,31,FALSE)</f>
        <v>236561.507194097</v>
      </c>
      <c r="L33" s="37">
        <f t="shared" si="0"/>
        <v>236561.507194097</v>
      </c>
      <c r="M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*(1+$BX33)</f>
        <v>244059.743176839</v>
      </c>
      <c r="N33" s="37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*(1+$BX33)</f>
        <v>182613.414839176</v>
      </c>
      <c r="O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*(1+$BX33)</f>
        <v>120821.655038039</v>
      </c>
      <c r="P33" s="37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*(1+$BX33)</f>
        <v>106374.113898911</v>
      </c>
      <c r="Q33" s="38">
        <v>1</v>
      </c>
      <c r="R33" s="39" t="s">
        <v>163</v>
      </c>
      <c r="S33" s="39" t="s">
        <v>104</v>
      </c>
      <c r="T33" s="39" t="s">
        <v>186</v>
      </c>
      <c r="U33" s="39" t="s">
        <v>81</v>
      </c>
      <c r="V33" s="39" t="s">
        <v>130</v>
      </c>
      <c r="W33" s="39" t="s">
        <v>83</v>
      </c>
      <c r="X33" s="39" t="s">
        <v>84</v>
      </c>
      <c r="Y33" s="39" t="s">
        <v>85</v>
      </c>
      <c r="Z33" s="39" t="s">
        <v>84</v>
      </c>
      <c r="AA33" s="39" t="s">
        <v>84</v>
      </c>
      <c r="AB33" s="39" t="s">
        <v>187</v>
      </c>
      <c r="AC33" s="39" t="s">
        <v>100</v>
      </c>
      <c r="AD33" s="39" t="s">
        <v>84</v>
      </c>
      <c r="AE33" s="39" t="s">
        <v>87</v>
      </c>
      <c r="AF33" s="39" t="s">
        <v>88</v>
      </c>
      <c r="AG33" s="39" t="s">
        <v>84</v>
      </c>
      <c r="AH33" s="39" t="s">
        <v>84</v>
      </c>
      <c r="AI33" s="39" t="s">
        <v>84</v>
      </c>
      <c r="AJ33" s="39" t="s">
        <v>84</v>
      </c>
      <c r="AK33" s="39" t="s">
        <v>84</v>
      </c>
      <c r="AL33" s="39" t="s">
        <v>84</v>
      </c>
      <c r="AM33" t="str">
        <f>VLOOKUP($R33,武学奇术!$A:$ZZ,25,FALSE)</f>
        <v>双刀</v>
      </c>
      <c r="AN33" s="24">
        <f>VLOOKUP($R33,武学奇术!$A:$ZZ,26,FALSE)</f>
        <v>3.80688</v>
      </c>
      <c r="AO33" s="25">
        <f>VLOOKUP($R33,武学奇术!$A:$ZZ,27,FALSE)*(1+IF(OR($AM33=$F$4,$AM33=$F$5),$B$22,0))</f>
        <v>1684.48</v>
      </c>
      <c r="AP33" s="24">
        <f>VLOOKUP($R33,武学奇术!$A:$ZZ,28,FALSE)</f>
        <v>5.70976</v>
      </c>
      <c r="AQ33" s="25">
        <f>VLOOKUP($R33,武学奇术!$A:$ZZ,29,FALSE)*(1+IF(OR($AM33=$F$4,$AM33=$F$5),$B$22,0))</f>
        <v>913.92</v>
      </c>
      <c r="AR33" s="24" cm="1">
        <f t="array" ref="AR33">$G$3+IFERROR(VLOOKUP($AM33,$F$4:$G$7,2,FALSE),0)+VLOOKUP($R33,武学奇术!$A:$ZZ,2,FALSE)+SUM(_xlfn.XLOOKUP($S33:$AL33,增益!$A:$A,增益!$B:$B,0))</f>
        <v>0.4543</v>
      </c>
      <c r="AS33" s="24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4342.95</v>
      </c>
      <c r="AU33" cm="1">
        <f t="array" ref="AU33">$E$10*(1+$AS33)+VLOOKUP($R33,武学奇术!$A:$ZZ,4,FALSE)+SUM(_xlfn.XLOOKUP($S33:$AL33,增益!$A:$A,增益!$D:$D,0))-$I$2</f>
        <v>4342.95</v>
      </c>
      <c r="AV33" s="31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0.3034</v>
      </c>
      <c r="AW33" s="31" cm="1">
        <f t="array" ref="AW33">$G$10+VLOOKUP($R33,武学奇术!$A:$ZZ,7,FALSE)+SUM(_xlfn.XLOOKUP($S33:$AL33,增益!$A:$A,增益!$G:$G,0))</f>
        <v>0.11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1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1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1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-0.14</v>
      </c>
      <c r="BF33" s="31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1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31" cm="1">
        <f t="array" ref="BJ33">$G$13+VLOOKUP($R33,武学奇术!$A:$ZZ,14,FALSE)+SUM(_xlfn.XLOOKUP($S33:$AL33,增益!$A:$A,增益!$N:$N,0))</f>
        <v>0.02</v>
      </c>
      <c r="BK33">
        <f t="shared" si="7"/>
        <v>649.11</v>
      </c>
      <c r="BL33">
        <f t="shared" si="8"/>
        <v>1812.09</v>
      </c>
      <c r="BM33" s="31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0.08</v>
      </c>
      <c r="BN33" s="31" cm="1">
        <f t="array" ref="BN33">$G$14+VLOOKUP($R33,武学奇术!$A:$ZZ,16,FALSE)+SUM(_xlfn.XLOOKUP($S33:$AL33,增益!$A:$A,增益!$P:$P,0))</f>
        <v>0.26</v>
      </c>
      <c r="BO33" s="24">
        <f>MIN(IF(VLOOKUP($R33,武学奇术!$A:$ZZ,23,FALSE)=1,100%,$B$8),100%)</f>
        <v>0.9943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0.8985</v>
      </c>
      <c r="BQ33" s="24" cm="1">
        <f t="array" ref="BQ33">1+$B$13+VLOOKUP($R33,武学奇术!$A:$ZZ,18,FALSE)+SUM(_xlfn.XLOOKUP($S33:$AL33,增益!$A:$A,增益!$R:$R,0))</f>
        <v>2.02</v>
      </c>
      <c r="BR33" s="24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0.89337855</v>
      </c>
      <c r="BU33" s="24">
        <f t="shared" si="10"/>
        <v>0.0153214500000001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0.11</v>
      </c>
      <c r="BX33" s="24">
        <f>VLOOKUP($R33,武学奇术!$A:$ZZ,32,FALSE)</f>
        <v>0.5</v>
      </c>
      <c r="BY33" s="24" cm="1">
        <f t="array" ref="BY33">SUM(_xlfn.XLOOKUP($S33:$AL33,增益!$A:$A,增益!$X:$X,0))</f>
        <v>0</v>
      </c>
    </row>
    <row r="34" spans="1:77">
      <c r="A34" t="s">
        <v>182</v>
      </c>
      <c r="B34">
        <v>0.7</v>
      </c>
      <c r="D34" s="38"/>
      <c r="E34" s="38"/>
      <c r="F34" s="38" t="s">
        <v>190</v>
      </c>
      <c r="G34" s="38" t="s">
        <v>94</v>
      </c>
      <c r="K34" s="37">
        <f>$L34*VLOOKUP($R34,武学奇术!$A:$ZZ,31,FALSE)</f>
        <v>177454.043033145</v>
      </c>
      <c r="L34" s="37">
        <f t="shared" si="0"/>
        <v>177454.043033145</v>
      </c>
      <c r="M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*(1+$BX34)</f>
        <v>183078.884623729</v>
      </c>
      <c r="N34" s="37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*(1+$BX34)</f>
        <v>136984.270216733</v>
      </c>
      <c r="O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*(1+$BX34)</f>
        <v>90633.111199866</v>
      </c>
      <c r="P34" s="37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*(1+$BX34)</f>
        <v>79796.3926095594</v>
      </c>
      <c r="Q34" s="38">
        <v>1</v>
      </c>
      <c r="R34" s="39" t="s">
        <v>166</v>
      </c>
      <c r="S34" s="39" t="s">
        <v>104</v>
      </c>
      <c r="T34" s="39" t="s">
        <v>186</v>
      </c>
      <c r="U34" s="39" t="s">
        <v>81</v>
      </c>
      <c r="V34" s="39" t="s">
        <v>130</v>
      </c>
      <c r="W34" s="39" t="s">
        <v>83</v>
      </c>
      <c r="X34" s="39" t="s">
        <v>84</v>
      </c>
      <c r="Y34" s="39" t="s">
        <v>85</v>
      </c>
      <c r="Z34" s="39" t="s">
        <v>84</v>
      </c>
      <c r="AA34" s="39" t="s">
        <v>84</v>
      </c>
      <c r="AB34" s="39" t="s">
        <v>187</v>
      </c>
      <c r="AC34" s="39" t="s">
        <v>100</v>
      </c>
      <c r="AD34" s="39" t="s">
        <v>84</v>
      </c>
      <c r="AE34" s="39" t="s">
        <v>87</v>
      </c>
      <c r="AF34" s="39" t="s">
        <v>88</v>
      </c>
      <c r="AG34" s="39" t="s">
        <v>84</v>
      </c>
      <c r="AH34" s="39" t="s">
        <v>84</v>
      </c>
      <c r="AI34" s="39" t="s">
        <v>84</v>
      </c>
      <c r="AJ34" s="39" t="s">
        <v>84</v>
      </c>
      <c r="AK34" s="39" t="s">
        <v>84</v>
      </c>
      <c r="AL34" s="39" t="s">
        <v>84</v>
      </c>
      <c r="AM34" t="str">
        <f>VLOOKUP($R34,武学奇术!$A:$ZZ,25,FALSE)</f>
        <v>双刀</v>
      </c>
      <c r="AN34" s="24">
        <f>VLOOKUP($R34,武学奇术!$A:$ZZ,26,FALSE)</f>
        <v>2.85516</v>
      </c>
      <c r="AO34" s="25">
        <f>VLOOKUP($R34,武学奇术!$A:$ZZ,27,FALSE)*(1+IF(OR($AM34=$F$4,$AM34=$F$5),$B$22,0))</f>
        <v>1263.36</v>
      </c>
      <c r="AP34" s="24">
        <f>VLOOKUP($R34,武学奇术!$A:$ZZ,28,FALSE)</f>
        <v>4.28274</v>
      </c>
      <c r="AQ34" s="25">
        <f>VLOOKUP($R34,武学奇术!$A:$ZZ,29,FALSE)*(1+IF(OR($AM34=$F$4,$AM34=$F$5),$B$22,0))</f>
        <v>687.68</v>
      </c>
      <c r="AR34" s="24" cm="1">
        <f t="array" ref="AR34">$G$3+IFERROR(VLOOKUP($AM34,$F$4:$G$7,2,FALSE),0)+VLOOKUP($R34,武学奇术!$A:$ZZ,2,FALSE)+SUM(_xlfn.XLOOKUP($S34:$AL34,增益!$A:$A,增益!$B:$B,0))</f>
        <v>0.4543</v>
      </c>
      <c r="AS34" s="24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4342.95</v>
      </c>
      <c r="AU34" cm="1">
        <f t="array" ref="AU34">$E$10*(1+$AS34)+VLOOKUP($R34,武学奇术!$A:$ZZ,4,FALSE)+SUM(_xlfn.XLOOKUP($S34:$AL34,增益!$A:$A,增益!$D:$D,0))-$I$2</f>
        <v>4342.95</v>
      </c>
      <c r="AV34" s="31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0.3034</v>
      </c>
      <c r="AW34" s="31" cm="1">
        <f t="array" ref="AW34">$G$10+VLOOKUP($R34,武学奇术!$A:$ZZ,7,FALSE)+SUM(_xlfn.XLOOKUP($S34:$AL34,增益!$A:$A,增益!$G:$G,0))</f>
        <v>0.11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1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1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1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-0.14</v>
      </c>
      <c r="BF34" s="31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1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1" cm="1">
        <f t="array" ref="BJ34">$G$13+VLOOKUP($R34,武学奇术!$A:$ZZ,14,FALSE)+SUM(_xlfn.XLOOKUP($S34:$AL34,增益!$A:$A,增益!$N:$N,0))</f>
        <v>0.02</v>
      </c>
      <c r="BK34">
        <f t="shared" si="7"/>
        <v>649.11</v>
      </c>
      <c r="BL34">
        <f t="shared" si="8"/>
        <v>1812.09</v>
      </c>
      <c r="BM34" s="31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0.08</v>
      </c>
      <c r="BN34" s="31" cm="1">
        <f t="array" ref="BN34">$G$14+VLOOKUP($R34,武学奇术!$A:$ZZ,16,FALSE)+SUM(_xlfn.XLOOKUP($S34:$AL34,增益!$A:$A,增益!$P:$P,0))</f>
        <v>0.26</v>
      </c>
      <c r="BO34" s="24">
        <f>MIN(IF(VLOOKUP($R34,武学奇术!$A:$ZZ,23,FALSE)=1,100%,$B$8),100%)</f>
        <v>0.9943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0.8985</v>
      </c>
      <c r="BQ34" s="24" cm="1">
        <f t="array" ref="BQ34">1+$B$13+VLOOKUP($R34,武学奇术!$A:$ZZ,18,FALSE)+SUM(_xlfn.XLOOKUP($S34:$AL34,增益!$A:$A,增益!$R:$R,0))</f>
        <v>2.02</v>
      </c>
      <c r="BR34" s="24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0.89337855</v>
      </c>
      <c r="BU34" s="24">
        <f t="shared" si="10"/>
        <v>0.0153214500000001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0.11</v>
      </c>
      <c r="BX34" s="24">
        <f>VLOOKUP($R34,武学奇术!$A:$ZZ,32,FALSE)</f>
        <v>0.5</v>
      </c>
      <c r="BY34" s="24" cm="1">
        <f t="array" ref="BY34">SUM(_xlfn.XLOOKUP($S34:$AL34,增益!$A:$A,增益!$X:$X,0))</f>
        <v>0</v>
      </c>
    </row>
    <row r="35" spans="1:77">
      <c r="A35" t="s">
        <v>191</v>
      </c>
      <c r="B35">
        <v>2.4</v>
      </c>
      <c r="D35" s="38"/>
      <c r="E35" s="38"/>
      <c r="F35" s="38"/>
      <c r="G35" s="38"/>
      <c r="K35" s="37">
        <f>$L35*VLOOKUP($R35,武学奇术!$A:$ZZ,31,FALSE)</f>
        <v>324613.677344277</v>
      </c>
      <c r="L35" s="37">
        <f t="shared" ref="L35:L60" si="12">($M35*$BT35+$N35*$BR35+$O35*$BU35+$P35*$BV35)</f>
        <v>324613.677344277</v>
      </c>
      <c r="M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*(1+$BX35)</f>
        <v>335032.977320277</v>
      </c>
      <c r="N35" s="37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*(1+$BX35)</f>
        <v>249438.514144121</v>
      </c>
      <c r="O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*(1+$BX35)</f>
        <v>165040.87552723</v>
      </c>
      <c r="P35" s="37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*(1+$BX35)</f>
        <v>145312.481318074</v>
      </c>
      <c r="Q35" s="38">
        <v>1</v>
      </c>
      <c r="R35" s="39" t="s">
        <v>133</v>
      </c>
      <c r="S35" s="39" t="s">
        <v>104</v>
      </c>
      <c r="T35" s="39" t="s">
        <v>192</v>
      </c>
      <c r="U35" s="39" t="s">
        <v>81</v>
      </c>
      <c r="V35" s="39" t="s">
        <v>130</v>
      </c>
      <c r="W35" s="39" t="s">
        <v>83</v>
      </c>
      <c r="X35" s="39" t="s">
        <v>84</v>
      </c>
      <c r="Y35" s="39" t="s">
        <v>85</v>
      </c>
      <c r="Z35" s="39" t="s">
        <v>84</v>
      </c>
      <c r="AA35" s="39" t="s">
        <v>84</v>
      </c>
      <c r="AB35" s="39" t="s">
        <v>187</v>
      </c>
      <c r="AC35" s="39" t="s">
        <v>100</v>
      </c>
      <c r="AD35" s="39" t="s">
        <v>84</v>
      </c>
      <c r="AE35" s="39" t="s">
        <v>87</v>
      </c>
      <c r="AF35" s="39" t="s">
        <v>88</v>
      </c>
      <c r="AG35" s="39" t="s">
        <v>84</v>
      </c>
      <c r="AH35" s="39" t="s">
        <v>84</v>
      </c>
      <c r="AI35" s="39" t="s">
        <v>84</v>
      </c>
      <c r="AJ35" s="39" t="s">
        <v>84</v>
      </c>
      <c r="AK35" s="39" t="s">
        <v>84</v>
      </c>
      <c r="AL35" s="39" t="s">
        <v>84</v>
      </c>
      <c r="AM35" t="str">
        <f>VLOOKUP($R35,武学奇术!$A:$ZZ,25,FALSE)</f>
        <v>拳甲</v>
      </c>
      <c r="AN35" s="24">
        <f>VLOOKUP($R35,武学奇术!$A:$ZZ,26,FALSE)</f>
        <v>5.5691</v>
      </c>
      <c r="AO35" s="25">
        <f>VLOOKUP($R35,武学奇术!$A:$ZZ,27,FALSE)*(1+IF(OR($AM35=$F$4,$AM35=$F$5),$B$22,0))</f>
        <v>2470.4</v>
      </c>
      <c r="AP35" s="24">
        <f>VLOOKUP($R35,武学奇术!$A:$ZZ,28,FALSE)</f>
        <v>8.3537</v>
      </c>
      <c r="AQ35" s="25">
        <f>VLOOKUP($R35,武学奇术!$A:$ZZ,29,FALSE)*(1+IF(OR($AM35=$F$4,$AM35=$F$5),$B$22,0))</f>
        <v>1344</v>
      </c>
      <c r="AR35" s="24" cm="1">
        <f t="array" ref="AR35">$G$3+IFERROR(VLOOKUP($AM35,$F$4:$G$7,2,FALSE),0)+VLOOKUP($R35,武学奇术!$A:$ZZ,2,FALSE)+SUM(_xlfn.XLOOKUP($S35:$AL35,增益!$A:$A,增益!$B:$B,0))</f>
        <v>0.4543</v>
      </c>
      <c r="AS35" s="24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4342.95</v>
      </c>
      <c r="AU35" cm="1">
        <f t="array" ref="AU35">$E$10*(1+$AS35)+VLOOKUP($R35,武学奇术!$A:$ZZ,4,FALSE)+SUM(_xlfn.XLOOKUP($S35:$AL35,增益!$A:$A,增益!$D:$D,0))-$I$2</f>
        <v>4342.95</v>
      </c>
      <c r="AV35" s="31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0.3034</v>
      </c>
      <c r="AW35" s="31" cm="1">
        <f t="array" ref="AW35">$G$10+VLOOKUP($R35,武学奇术!$A:$ZZ,7,FALSE)+SUM(_xlfn.XLOOKUP($S35:$AL35,增益!$A:$A,增益!$G:$G,0))</f>
        <v>0.11</v>
      </c>
      <c r="AX35" s="24" cm="1">
        <f t="array" ref="AX35">VLOOKUP($R35,武学奇术!$A:$ZZ,8,FALSE)+SUM(_xlfn.XLOOKUP($S35:$AL35,增益!$A:$A,增益!$H:$H,0))</f>
        <v>0</v>
      </c>
      <c r="AY35">
        <f t="shared" ref="AY35:AY66" si="13">$D$11*(1+$AX35)</f>
        <v>0</v>
      </c>
      <c r="AZ35">
        <f t="shared" ref="AZ35:AZ66" si="14">$E$11*(1+$AX35)</f>
        <v>0</v>
      </c>
      <c r="BA35" s="31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-0.14</v>
      </c>
      <c r="BB35" s="31" cm="1">
        <f t="array" ref="BB35">$G$11+VLOOKUP($R35,武学奇术!$A:$ZZ,10,FALSE)+SUM(_xlfn.XLOOKUP($S35:$AL35,增益!$A:$A,增益!$J:$J,0))</f>
        <v>0.02</v>
      </c>
      <c r="BC35">
        <f t="shared" ref="BC35:BC66" si="15">$D$12*(1+$AX35)</f>
        <v>0</v>
      </c>
      <c r="BD35">
        <f t="shared" ref="BD35:BD66" si="16">$E$12*(1+$AX35)</f>
        <v>0</v>
      </c>
      <c r="BE35" s="31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-0.14</v>
      </c>
      <c r="BF35" s="31" cm="1">
        <f t="array" ref="BF35">$G$12+VLOOKUP($R35,武学奇术!$A:$ZZ,12,FALSE)+SUM(_xlfn.XLOOKUP($S35:$AL35,增益!$A:$A,增益!$L:$L,0))</f>
        <v>0.02</v>
      </c>
      <c r="BG35">
        <f t="shared" ref="BG35:BG66" si="17">$D$13*(1+$AX35)</f>
        <v>0</v>
      </c>
      <c r="BH35">
        <f t="shared" ref="BH35:BH66" si="18">$E$13*(1+$AX35)</f>
        <v>0</v>
      </c>
      <c r="BI35" s="31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-0.14</v>
      </c>
      <c r="BJ35" s="31" cm="1">
        <f t="array" ref="BJ35">$G$13+VLOOKUP($R35,武学奇术!$A:$ZZ,14,FALSE)+SUM(_xlfn.XLOOKUP($S35:$AL35,增益!$A:$A,增益!$N:$N,0))</f>
        <v>0.02</v>
      </c>
      <c r="BK35">
        <f t="shared" ref="BK35:BK66" si="19">$D$14*(1+$AX35)</f>
        <v>649.11</v>
      </c>
      <c r="BL35">
        <f t="shared" ref="BL35:BL66" si="20">$E$14*(1+$AX35)</f>
        <v>1812.09</v>
      </c>
      <c r="BM35" s="31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0.08</v>
      </c>
      <c r="BN35" s="31" cm="1">
        <f t="array" ref="BN35">$G$14+VLOOKUP($R35,武学奇术!$A:$ZZ,16,FALSE)+SUM(_xlfn.XLOOKUP($S35:$AL35,增益!$A:$A,增益!$P:$P,0))</f>
        <v>0.26</v>
      </c>
      <c r="BO35" s="24">
        <f>MIN(IF(VLOOKUP($R35,武学奇术!$A:$ZZ,23,FALSE)=1,100%,$B$8),100%)</f>
        <v>0.9943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0.8985</v>
      </c>
      <c r="BQ35" s="24" cm="1">
        <f t="array" ref="BQ35">1+$B$13+VLOOKUP($R35,武学奇术!$A:$ZZ,18,FALSE)+SUM(_xlfn.XLOOKUP($S35:$AL35,增益!$A:$A,增益!$R:$R,0))</f>
        <v>2.03</v>
      </c>
      <c r="BR35" s="24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4" cm="1">
        <f t="array" ref="BS35">1+$B$14+VLOOKUP($R35,武学奇术!$A:$ZZ,20,FALSE)+SUM(_xlfn.XLOOKUP($S35:$AL35,增益!$A:$A,增益!$T:$T,0))</f>
        <v>1.35</v>
      </c>
      <c r="BT35" s="24">
        <f t="shared" ref="BT35:BT66" si="21">MIN((1-BR35)*BO35,BO35*BP35)</f>
        <v>0.89337855</v>
      </c>
      <c r="BU35" s="24">
        <f t="shared" ref="BU35:BU66" si="22">1-BR35-BT35-BV35</f>
        <v>0.0153214500000001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0.11</v>
      </c>
      <c r="BX35" s="24">
        <f>VLOOKUP($R35,武学奇术!$A:$ZZ,32,FALSE)</f>
        <v>0.4</v>
      </c>
      <c r="BY35" s="24" cm="1">
        <f t="array" ref="BY35">SUM(_xlfn.XLOOKUP($S35:$AL35,增益!$A:$A,增益!$X:$X,0))</f>
        <v>0</v>
      </c>
    </row>
    <row r="36" spans="1:77">
      <c r="A36" t="s">
        <v>193</v>
      </c>
      <c r="D36" s="38"/>
      <c r="E36" s="38"/>
      <c r="F36" s="38"/>
      <c r="G36" s="38"/>
      <c r="K36" s="37">
        <f>$L36*VLOOKUP($R36,武学奇术!$A:$ZZ,31,FALSE)</f>
        <v>326088.117124969</v>
      </c>
      <c r="L36" s="37">
        <f t="shared" si="12"/>
        <v>326088.117124969</v>
      </c>
      <c r="M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*(1+$BX36)</f>
        <v>336683.386075549</v>
      </c>
      <c r="N36" s="37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*(1+$BX36)</f>
        <v>249438.514144121</v>
      </c>
      <c r="O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*(1+$BX36)</f>
        <v>165040.87552723</v>
      </c>
      <c r="P36" s="37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*(1+$BX36)</f>
        <v>145312.481318074</v>
      </c>
      <c r="Q36" s="38">
        <v>1</v>
      </c>
      <c r="R36" s="39" t="s">
        <v>133</v>
      </c>
      <c r="S36" s="39" t="s">
        <v>104</v>
      </c>
      <c r="T36" s="39" t="s">
        <v>194</v>
      </c>
      <c r="U36" s="39" t="s">
        <v>81</v>
      </c>
      <c r="V36" s="39" t="s">
        <v>130</v>
      </c>
      <c r="W36" s="39" t="s">
        <v>83</v>
      </c>
      <c r="X36" s="39" t="s">
        <v>84</v>
      </c>
      <c r="Y36" s="39" t="s">
        <v>85</v>
      </c>
      <c r="Z36" s="39" t="s">
        <v>84</v>
      </c>
      <c r="AA36" s="39" t="s">
        <v>84</v>
      </c>
      <c r="AB36" s="39" t="s">
        <v>187</v>
      </c>
      <c r="AC36" s="39" t="s">
        <v>100</v>
      </c>
      <c r="AD36" s="39" t="s">
        <v>84</v>
      </c>
      <c r="AE36" s="39" t="s">
        <v>87</v>
      </c>
      <c r="AF36" s="39" t="s">
        <v>88</v>
      </c>
      <c r="AG36" s="39" t="s">
        <v>84</v>
      </c>
      <c r="AH36" s="39" t="s">
        <v>84</v>
      </c>
      <c r="AI36" s="39" t="s">
        <v>84</v>
      </c>
      <c r="AJ36" s="39" t="s">
        <v>84</v>
      </c>
      <c r="AK36" s="39" t="s">
        <v>84</v>
      </c>
      <c r="AL36" s="39" t="s">
        <v>84</v>
      </c>
      <c r="AM36" t="str">
        <f>VLOOKUP($R36,武学奇术!$A:$ZZ,25,FALSE)</f>
        <v>拳甲</v>
      </c>
      <c r="AN36" s="24">
        <f>VLOOKUP($R36,武学奇术!$A:$ZZ,26,FALSE)</f>
        <v>5.5691</v>
      </c>
      <c r="AO36" s="25">
        <f>VLOOKUP($R36,武学奇术!$A:$ZZ,27,FALSE)*(1+IF(OR($AM36=$F$4,$AM36=$F$5),$B$22,0))</f>
        <v>2470.4</v>
      </c>
      <c r="AP36" s="24">
        <f>VLOOKUP($R36,武学奇术!$A:$ZZ,28,FALSE)</f>
        <v>8.3537</v>
      </c>
      <c r="AQ36" s="25">
        <f>VLOOKUP($R36,武学奇术!$A:$ZZ,29,FALSE)*(1+IF(OR($AM36=$F$4,$AM36=$F$5),$B$22,0))</f>
        <v>1344</v>
      </c>
      <c r="AR36" s="24" cm="1">
        <f t="array" ref="AR36">$G$3+IFERROR(VLOOKUP($AM36,$F$4:$G$7,2,FALSE),0)+VLOOKUP($R36,武学奇术!$A:$ZZ,2,FALSE)+SUM(_xlfn.XLOOKUP($S36:$AL36,增益!$A:$A,增益!$B:$B,0))</f>
        <v>0.4543</v>
      </c>
      <c r="AS36" s="24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4342.95</v>
      </c>
      <c r="AU36" cm="1">
        <f t="array" ref="AU36">$E$10*(1+$AS36)+VLOOKUP($R36,武学奇术!$A:$ZZ,4,FALSE)+SUM(_xlfn.XLOOKUP($S36:$AL36,增益!$A:$A,增益!$D:$D,0))-$I$2</f>
        <v>4342.95</v>
      </c>
      <c r="AV36" s="31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0.3034</v>
      </c>
      <c r="AW36" s="31" cm="1">
        <f t="array" ref="AW36">$G$10+VLOOKUP($R36,武学奇术!$A:$ZZ,7,FALSE)+SUM(_xlfn.XLOOKUP($S36:$AL36,增益!$A:$A,增益!$G:$G,0))</f>
        <v>0.11</v>
      </c>
      <c r="AX36" s="24" cm="1">
        <f t="array" ref="AX36">VLOOKUP($R36,武学奇术!$A:$ZZ,8,FALSE)+SUM(_xlfn.XLOOKUP($S36:$AL36,增益!$A:$A,增益!$H:$H,0))</f>
        <v>0</v>
      </c>
      <c r="AY36">
        <f t="shared" si="13"/>
        <v>0</v>
      </c>
      <c r="AZ36">
        <f t="shared" si="14"/>
        <v>0</v>
      </c>
      <c r="BA36" s="31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1" cm="1">
        <f t="array" ref="BB36">$G$11+VLOOKUP($R36,武学奇术!$A:$ZZ,10,FALSE)+SUM(_xlfn.XLOOKUP($S36:$AL36,增益!$A:$A,增益!$J:$J,0))</f>
        <v>0.02</v>
      </c>
      <c r="BC36">
        <f t="shared" si="15"/>
        <v>0</v>
      </c>
      <c r="BD36">
        <f t="shared" si="16"/>
        <v>0</v>
      </c>
      <c r="BE36" s="31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-0.14</v>
      </c>
      <c r="BF36" s="31" cm="1">
        <f t="array" ref="BF36">$G$12+VLOOKUP($R36,武学奇术!$A:$ZZ,12,FALSE)+SUM(_xlfn.XLOOKUP($S36:$AL36,增益!$A:$A,增益!$L:$L,0))</f>
        <v>0.02</v>
      </c>
      <c r="BG36">
        <f t="shared" si="17"/>
        <v>0</v>
      </c>
      <c r="BH36">
        <f t="shared" si="18"/>
        <v>0</v>
      </c>
      <c r="BI36" s="31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-0.14</v>
      </c>
      <c r="BJ36" s="31" cm="1">
        <f t="array" ref="BJ36">$G$13+VLOOKUP($R36,武学奇术!$A:$ZZ,14,FALSE)+SUM(_xlfn.XLOOKUP($S36:$AL36,增益!$A:$A,增益!$N:$N,0))</f>
        <v>0.02</v>
      </c>
      <c r="BK36">
        <f t="shared" si="19"/>
        <v>649.11</v>
      </c>
      <c r="BL36">
        <f t="shared" si="20"/>
        <v>1812.09</v>
      </c>
      <c r="BM36" s="31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0.08</v>
      </c>
      <c r="BN36" s="31" cm="1">
        <f t="array" ref="BN36">$G$14+VLOOKUP($R36,武学奇术!$A:$ZZ,16,FALSE)+SUM(_xlfn.XLOOKUP($S36:$AL36,增益!$A:$A,增益!$P:$P,0))</f>
        <v>0.26</v>
      </c>
      <c r="BO36" s="24">
        <f>MIN(IF(VLOOKUP($R36,武学奇术!$A:$ZZ,23,FALSE)=1,100%,$B$8),100%)</f>
        <v>0.9943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0.8985</v>
      </c>
      <c r="BQ36" s="24" cm="1">
        <f t="array" ref="BQ36">1+$B$13+VLOOKUP($R36,武学奇术!$A:$ZZ,18,FALSE)+SUM(_xlfn.XLOOKUP($S36:$AL36,增益!$A:$A,增益!$R:$R,0))</f>
        <v>2.04</v>
      </c>
      <c r="BR36" s="24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4" cm="1">
        <f t="array" ref="BS36">1+$B$14+VLOOKUP($R36,武学奇术!$A:$ZZ,20,FALSE)+SUM(_xlfn.XLOOKUP($S36:$AL36,增益!$A:$A,增益!$T:$T,0))</f>
        <v>1.35</v>
      </c>
      <c r="BT36" s="24">
        <f t="shared" si="21"/>
        <v>0.89337855</v>
      </c>
      <c r="BU36" s="24">
        <f t="shared" si="22"/>
        <v>0.0153214500000001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0.11</v>
      </c>
      <c r="BX36" s="24">
        <f>VLOOKUP($R36,武学奇术!$A:$ZZ,32,FALSE)</f>
        <v>0.4</v>
      </c>
      <c r="BY36" s="24" cm="1">
        <f t="array" ref="BY36">SUM(_xlfn.XLOOKUP($S36:$AL36,增益!$A:$A,增益!$X:$X,0))</f>
        <v>0</v>
      </c>
    </row>
    <row r="37" spans="1:77">
      <c r="A37" t="s">
        <v>193</v>
      </c>
      <c r="B37">
        <v>2.1</v>
      </c>
      <c r="D37" s="38"/>
      <c r="F37" s="38"/>
      <c r="G37" s="38"/>
      <c r="K37" s="37">
        <f>$L37*VLOOKUP($R37,武学奇术!$A:$ZZ,31,FALSE)</f>
        <v>66565.3531594133</v>
      </c>
      <c r="L37" s="37">
        <f t="shared" si="12"/>
        <v>66565.3531594133</v>
      </c>
      <c r="M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*(1+$BX37)</f>
        <v>68728.1331440138</v>
      </c>
      <c r="N37" s="37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*(1+$BX37)</f>
        <v>50919.2724241113</v>
      </c>
      <c r="O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*(1+$BX37)</f>
        <v>33690.2613451048</v>
      </c>
      <c r="P37" s="37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*(1+$BX37)</f>
        <v>29662.5431167939</v>
      </c>
      <c r="Q37" s="38">
        <v>1</v>
      </c>
      <c r="R37" s="39" t="s">
        <v>136</v>
      </c>
      <c r="S37" s="39" t="s">
        <v>104</v>
      </c>
      <c r="T37" s="39" t="s">
        <v>194</v>
      </c>
      <c r="U37" s="39" t="s">
        <v>81</v>
      </c>
      <c r="V37" s="39" t="s">
        <v>130</v>
      </c>
      <c r="W37" s="39" t="s">
        <v>83</v>
      </c>
      <c r="X37" s="39" t="s">
        <v>84</v>
      </c>
      <c r="Y37" s="39" t="s">
        <v>85</v>
      </c>
      <c r="Z37" s="39" t="s">
        <v>195</v>
      </c>
      <c r="AA37" s="39" t="s">
        <v>196</v>
      </c>
      <c r="AB37" s="39" t="s">
        <v>197</v>
      </c>
      <c r="AC37" s="39" t="s">
        <v>92</v>
      </c>
      <c r="AD37" s="39" t="s">
        <v>84</v>
      </c>
      <c r="AE37" s="39" t="s">
        <v>87</v>
      </c>
      <c r="AF37" s="39" t="s">
        <v>88</v>
      </c>
      <c r="AG37" s="39" t="s">
        <v>84</v>
      </c>
      <c r="AH37" s="39" t="s">
        <v>84</v>
      </c>
      <c r="AI37" s="39" t="s">
        <v>84</v>
      </c>
      <c r="AJ37" s="39" t="s">
        <v>84</v>
      </c>
      <c r="AK37" s="39" t="s">
        <v>84</v>
      </c>
      <c r="AL37" s="39" t="s">
        <v>84</v>
      </c>
      <c r="AM37" t="str">
        <f>VLOOKUP($R37,武学奇术!$A:$ZZ,25,FALSE)</f>
        <v>拳甲</v>
      </c>
      <c r="AN37" s="24">
        <f>VLOOKUP($R37,武学奇术!$A:$ZZ,26,FALSE)</f>
        <v>0.9634</v>
      </c>
      <c r="AO37" s="25">
        <f>VLOOKUP($R37,武学奇术!$A:$ZZ,27,FALSE)*(1+IF(OR($AM37=$F$4,$AM37=$F$5),$B$22,0))</f>
        <v>427.2</v>
      </c>
      <c r="AP37" s="24">
        <f>VLOOKUP($R37,武学奇术!$A:$ZZ,28,FALSE)</f>
        <v>1.4451</v>
      </c>
      <c r="AQ37" s="25">
        <f>VLOOKUP($R37,武学奇术!$A:$ZZ,29,FALSE)*(1+IF(OR($AM37=$F$4,$AM37=$F$5),$B$22,0))</f>
        <v>232</v>
      </c>
      <c r="AR37" s="24" cm="1">
        <f t="array" ref="AR37">$G$3+IFERROR(VLOOKUP($AM37,$F$4:$G$7,2,FALSE),0)+VLOOKUP($R37,武学奇术!$A:$ZZ,2,FALSE)+SUM(_xlfn.XLOOKUP($S37:$AL37,增益!$A:$A,增益!$B:$B,0))</f>
        <v>0.4543</v>
      </c>
      <c r="AS37" s="24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4342.95</v>
      </c>
      <c r="AU37" cm="1">
        <f t="array" ref="AU37">$E$10*(1+$AS37)+VLOOKUP($R37,武学奇术!$A:$ZZ,4,FALSE)+SUM(_xlfn.XLOOKUP($S37:$AL37,增益!$A:$A,增益!$D:$D,0))-$I$2</f>
        <v>4342.95</v>
      </c>
      <c r="AV37" s="31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0.3034</v>
      </c>
      <c r="AW37" s="31" cm="1">
        <f t="array" ref="AW37">$G$10+VLOOKUP($R37,武学奇术!$A:$ZZ,7,FALSE)+SUM(_xlfn.XLOOKUP($S37:$AL37,增益!$A:$A,增益!$G:$G,0))</f>
        <v>0.11</v>
      </c>
      <c r="AX37" s="24" cm="1">
        <f t="array" ref="AX37">VLOOKUP($R37,武学奇术!$A:$ZZ,8,FALSE)+SUM(_xlfn.XLOOKUP($S37:$AL37,增益!$A:$A,增益!$H:$H,0))</f>
        <v>0</v>
      </c>
      <c r="AY37">
        <f t="shared" si="13"/>
        <v>0</v>
      </c>
      <c r="AZ37">
        <f t="shared" si="14"/>
        <v>0</v>
      </c>
      <c r="BA37" s="31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-0.14</v>
      </c>
      <c r="BB37" s="31" cm="1">
        <f t="array" ref="BB37">$G$11+VLOOKUP($R37,武学奇术!$A:$ZZ,10,FALSE)+SUM(_xlfn.XLOOKUP($S37:$AL37,增益!$A:$A,增益!$J:$J,0))</f>
        <v>0.12</v>
      </c>
      <c r="BC37">
        <f t="shared" si="15"/>
        <v>0</v>
      </c>
      <c r="BD37">
        <f t="shared" si="16"/>
        <v>0</v>
      </c>
      <c r="BE37" s="31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-0.14</v>
      </c>
      <c r="BF37" s="31" cm="1">
        <f t="array" ref="BF37">$G$12+VLOOKUP($R37,武学奇术!$A:$ZZ,12,FALSE)+SUM(_xlfn.XLOOKUP($S37:$AL37,增益!$A:$A,增益!$L:$L,0))</f>
        <v>0.02</v>
      </c>
      <c r="BG37">
        <f t="shared" si="17"/>
        <v>0</v>
      </c>
      <c r="BH37">
        <f t="shared" si="18"/>
        <v>0</v>
      </c>
      <c r="BI37" s="31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-0.14</v>
      </c>
      <c r="BJ37" s="31" cm="1">
        <f t="array" ref="BJ37">$G$13+VLOOKUP($R37,武学奇术!$A:$ZZ,14,FALSE)+SUM(_xlfn.XLOOKUP($S37:$AL37,增益!$A:$A,增益!$N:$N,0))</f>
        <v>0.02</v>
      </c>
      <c r="BK37">
        <f t="shared" si="19"/>
        <v>649.11</v>
      </c>
      <c r="BL37">
        <f t="shared" si="20"/>
        <v>1812.09</v>
      </c>
      <c r="BM37" s="31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0.08</v>
      </c>
      <c r="BN37" s="31" cm="1">
        <f t="array" ref="BN37">$G$14+VLOOKUP($R37,武学奇术!$A:$ZZ,16,FALSE)+SUM(_xlfn.XLOOKUP($S37:$AL37,增益!$A:$A,增益!$P:$P,0))</f>
        <v>0.26</v>
      </c>
      <c r="BO37" s="24">
        <f>MIN(IF(VLOOKUP($R37,武学奇术!$A:$ZZ,23,FALSE)=1,100%,$B$8),100%)</f>
        <v>0.9943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0.8985</v>
      </c>
      <c r="BQ37" s="24" cm="1">
        <f t="array" ref="BQ37">1+$B$13+VLOOKUP($R37,武学奇术!$A:$ZZ,18,FALSE)+SUM(_xlfn.XLOOKUP($S37:$AL37,增益!$A:$A,增益!$R:$R,0))</f>
        <v>2.04</v>
      </c>
      <c r="BR37" s="24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4" cm="1">
        <f t="array" ref="BS37">1+$B$14+VLOOKUP($R37,武学奇术!$A:$ZZ,20,FALSE)+SUM(_xlfn.XLOOKUP($S37:$AL37,增益!$A:$A,增益!$T:$T,0))</f>
        <v>1.35</v>
      </c>
      <c r="BT37" s="24">
        <f t="shared" si="21"/>
        <v>0.89337855</v>
      </c>
      <c r="BU37" s="24">
        <f t="shared" si="22"/>
        <v>0.0153214500000001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0.31</v>
      </c>
      <c r="BX37" s="24">
        <f>VLOOKUP($R37,武学奇术!$A:$ZZ,32,FALSE)</f>
        <v>0.4</v>
      </c>
      <c r="BY37" s="24" cm="1">
        <f t="array" ref="BY37">SUM(_xlfn.XLOOKUP($S37:$AL37,增益!$A:$A,增益!$X:$X,0))</f>
        <v>0</v>
      </c>
    </row>
    <row r="38" spans="1:77">
      <c r="A38" t="s">
        <v>191</v>
      </c>
      <c r="B38">
        <v>1.83</v>
      </c>
      <c r="D38" s="38"/>
      <c r="G38" s="38"/>
      <c r="K38" s="37">
        <f>$L38*VLOOKUP($R38,武学奇术!$A:$ZZ,31,FALSE)</f>
        <v>66317.236044518</v>
      </c>
      <c r="L38" s="37">
        <f t="shared" si="12"/>
        <v>66317.236044518</v>
      </c>
      <c r="M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*(1+$BX38)</f>
        <v>68606.0572154414</v>
      </c>
      <c r="N38" s="37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*(1+$BX38)</f>
        <v>49541.2517362268</v>
      </c>
      <c r="O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*(1+$BX38)</f>
        <v>32825.8646963835</v>
      </c>
      <c r="P38" s="37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*(1+$BX38)</f>
        <v>28954.5058844508</v>
      </c>
      <c r="Q38" s="38">
        <v>1</v>
      </c>
      <c r="R38" s="39" t="s">
        <v>142</v>
      </c>
      <c r="S38" s="39" t="s">
        <v>104</v>
      </c>
      <c r="T38" s="39" t="s">
        <v>194</v>
      </c>
      <c r="U38" s="39" t="s">
        <v>81</v>
      </c>
      <c r="V38" s="39" t="s">
        <v>130</v>
      </c>
      <c r="W38" s="39" t="s">
        <v>83</v>
      </c>
      <c r="X38" s="39" t="s">
        <v>84</v>
      </c>
      <c r="Y38" s="39" t="s">
        <v>85</v>
      </c>
      <c r="Z38" s="39" t="s">
        <v>195</v>
      </c>
      <c r="AA38" s="39" t="s">
        <v>196</v>
      </c>
      <c r="AB38" s="39" t="s">
        <v>197</v>
      </c>
      <c r="AC38" s="39" t="s">
        <v>92</v>
      </c>
      <c r="AD38" s="39" t="s">
        <v>198</v>
      </c>
      <c r="AE38" s="39" t="s">
        <v>87</v>
      </c>
      <c r="AF38" s="39" t="s">
        <v>88</v>
      </c>
      <c r="AG38" s="39" t="s">
        <v>84</v>
      </c>
      <c r="AH38" s="39" t="s">
        <v>84</v>
      </c>
      <c r="AI38" s="39" t="s">
        <v>84</v>
      </c>
      <c r="AJ38" s="39" t="s">
        <v>84</v>
      </c>
      <c r="AK38" s="39" t="s">
        <v>84</v>
      </c>
      <c r="AL38" s="39" t="s">
        <v>84</v>
      </c>
      <c r="AM38" t="str">
        <f>VLOOKUP($R38,武学奇术!$A:$ZZ,25,FALSE)</f>
        <v>拳甲</v>
      </c>
      <c r="AN38" s="24">
        <f>VLOOKUP($R38,武学奇术!$A:$ZZ,26,FALSE)</f>
        <v>0.926</v>
      </c>
      <c r="AO38" s="25">
        <f>VLOOKUP($R38,武学奇术!$A:$ZZ,27,FALSE)*(1+IF(OR($AM38=$F$4,$AM38=$F$5),$B$22,0))</f>
        <v>411.2</v>
      </c>
      <c r="AP38" s="24">
        <f>VLOOKUP($R38,武学奇术!$A:$ZZ,28,FALSE)</f>
        <v>1.389</v>
      </c>
      <c r="AQ38" s="25">
        <f>VLOOKUP($R38,武学奇术!$A:$ZZ,29,FALSE)*(1+IF(OR($AM38=$F$4,$AM38=$F$5),$B$22,0))</f>
        <v>224</v>
      </c>
      <c r="AR38" s="24" cm="1">
        <f t="array" ref="AR38">$G$3+IFERROR(VLOOKUP($AM38,$F$4:$G$7,2,FALSE),0)+VLOOKUP($R38,武学奇术!$A:$ZZ,2,FALSE)+SUM(_xlfn.XLOOKUP($S38:$AL38,增益!$A:$A,增益!$B:$B,0))</f>
        <v>0.4543</v>
      </c>
      <c r="AS38" s="24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4342.95</v>
      </c>
      <c r="AU38" cm="1">
        <f t="array" ref="AU38">$E$10*(1+$AS38)+VLOOKUP($R38,武学奇术!$A:$ZZ,4,FALSE)+SUM(_xlfn.XLOOKUP($S38:$AL38,增益!$A:$A,增益!$D:$D,0))-$I$2</f>
        <v>4342.95</v>
      </c>
      <c r="AV38" s="31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0.3284</v>
      </c>
      <c r="AW38" s="31" cm="1">
        <f t="array" ref="AW38">$G$10+VLOOKUP($R38,武学奇术!$A:$ZZ,7,FALSE)+SUM(_xlfn.XLOOKUP($S38:$AL38,增益!$A:$A,增益!$G:$G,0))</f>
        <v>0.11</v>
      </c>
      <c r="AX38" s="24" cm="1">
        <f t="array" ref="AX38">VLOOKUP($R38,武学奇术!$A:$ZZ,8,FALSE)+SUM(_xlfn.XLOOKUP($S38:$AL38,增益!$A:$A,增益!$H:$H,0))</f>
        <v>0</v>
      </c>
      <c r="AY38">
        <f t="shared" si="13"/>
        <v>0</v>
      </c>
      <c r="AZ38">
        <f t="shared" si="14"/>
        <v>0</v>
      </c>
      <c r="BA38" s="31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-0.14</v>
      </c>
      <c r="BB38" s="31" cm="1">
        <f t="array" ref="BB38">$G$11+VLOOKUP($R38,武学奇术!$A:$ZZ,10,FALSE)+SUM(_xlfn.XLOOKUP($S38:$AL38,增益!$A:$A,增益!$J:$J,0))</f>
        <v>0.12</v>
      </c>
      <c r="BC38">
        <f t="shared" si="15"/>
        <v>0</v>
      </c>
      <c r="BD38">
        <f t="shared" si="16"/>
        <v>0</v>
      </c>
      <c r="BE38" s="31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-0.14</v>
      </c>
      <c r="BF38" s="31" cm="1">
        <f t="array" ref="BF38">$G$12+VLOOKUP($R38,武学奇术!$A:$ZZ,12,FALSE)+SUM(_xlfn.XLOOKUP($S38:$AL38,增益!$A:$A,增益!$L:$L,0))</f>
        <v>0.02</v>
      </c>
      <c r="BG38">
        <f t="shared" si="17"/>
        <v>0</v>
      </c>
      <c r="BH38">
        <f t="shared" si="18"/>
        <v>0</v>
      </c>
      <c r="BI38" s="31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-0.14</v>
      </c>
      <c r="BJ38" s="31" cm="1">
        <f t="array" ref="BJ38">$G$13+VLOOKUP($R38,武学奇术!$A:$ZZ,14,FALSE)+SUM(_xlfn.XLOOKUP($S38:$AL38,增益!$A:$A,增益!$N:$N,0))</f>
        <v>0.02</v>
      </c>
      <c r="BK38">
        <f t="shared" si="19"/>
        <v>649.11</v>
      </c>
      <c r="BL38">
        <f t="shared" si="20"/>
        <v>1812.09</v>
      </c>
      <c r="BM38" s="31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0.08</v>
      </c>
      <c r="BN38" s="31" cm="1">
        <f t="array" ref="BN38">$G$14+VLOOKUP($R38,武学奇术!$A:$ZZ,16,FALSE)+SUM(_xlfn.XLOOKUP($S38:$AL38,增益!$A:$A,增益!$P:$P,0))</f>
        <v>0.26</v>
      </c>
      <c r="BO38" s="24">
        <f>MIN(IF(VLOOKUP($R38,武学奇术!$A:$ZZ,23,FALSE)=1,100%,$B$8),100%)</f>
        <v>0.9943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0.8985</v>
      </c>
      <c r="BQ38" s="24" cm="1">
        <f t="array" ref="BQ38">1+$B$13+VLOOKUP($R38,武学奇术!$A:$ZZ,18,FALSE)+SUM(_xlfn.XLOOKUP($S38:$AL38,增益!$A:$A,增益!$R:$R,0))</f>
        <v>2.09</v>
      </c>
      <c r="BR38" s="24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4" cm="1">
        <f t="array" ref="BS38">1+$B$14+VLOOKUP($R38,武学奇术!$A:$ZZ,20,FALSE)+SUM(_xlfn.XLOOKUP($S38:$AL38,增益!$A:$A,增益!$T:$T,0))</f>
        <v>1.35</v>
      </c>
      <c r="BT38" s="24">
        <f t="shared" si="21"/>
        <v>0.89337855</v>
      </c>
      <c r="BU38" s="24">
        <f t="shared" si="22"/>
        <v>0.0153214500000001</v>
      </c>
      <c r="BV38" s="24">
        <f>IF(VLOOKUP($R38,武学奇术!$A:$ZZ,22,FALSE)=1,0,(1-$BO38))*(1-$BR38)</f>
        <v>0</v>
      </c>
      <c r="BW38" s="24" cm="1">
        <f t="array" ref="BW38">SUM(_xlfn.XLOOKUP($S38:$AL38,增益!$A:$A,增益!$W:$W,0))+$I$5</f>
        <v>0.31</v>
      </c>
      <c r="BX38" s="24">
        <f>VLOOKUP($R38,武学奇术!$A:$ZZ,32,FALSE)</f>
        <v>0.4</v>
      </c>
      <c r="BY38" s="24" cm="1">
        <f t="array" ref="BY38">SUM(_xlfn.XLOOKUP($S38:$AL38,增益!$A:$A,增益!$X:$X,0))</f>
        <v>0</v>
      </c>
    </row>
    <row r="39" spans="1:77">
      <c r="A39" t="s">
        <v>178</v>
      </c>
      <c r="B39" s="95">
        <v>0.1</v>
      </c>
      <c r="D39" s="38"/>
      <c r="K39" s="37">
        <f>$L39*VLOOKUP($R39,武学奇术!$A:$ZZ,31,FALSE)</f>
        <v>83756.7618734907</v>
      </c>
      <c r="L39" s="37">
        <f t="shared" si="12"/>
        <v>83756.7618734907</v>
      </c>
      <c r="M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*(1+$BX39)</f>
        <v>86808.9315347057</v>
      </c>
      <c r="N39" s="37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*(1+$BX39)</f>
        <v>61139.2232075882</v>
      </c>
      <c r="O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*(1+$BX39)</f>
        <v>40564.9212778998</v>
      </c>
      <c r="P39" s="37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*(1+$BX39)</f>
        <v>35841.5290686973</v>
      </c>
      <c r="Q39" s="38">
        <v>1</v>
      </c>
      <c r="R39" s="39" t="s">
        <v>146</v>
      </c>
      <c r="S39" s="39" t="s">
        <v>104</v>
      </c>
      <c r="T39" s="39" t="s">
        <v>194</v>
      </c>
      <c r="U39" s="39" t="s">
        <v>81</v>
      </c>
      <c r="V39" s="39" t="s">
        <v>130</v>
      </c>
      <c r="W39" s="39" t="s">
        <v>83</v>
      </c>
      <c r="X39" s="39" t="s">
        <v>84</v>
      </c>
      <c r="Y39" s="39" t="s">
        <v>85</v>
      </c>
      <c r="Z39" s="39" t="s">
        <v>195</v>
      </c>
      <c r="AA39" s="39" t="s">
        <v>196</v>
      </c>
      <c r="AB39" s="39" t="s">
        <v>197</v>
      </c>
      <c r="AC39" s="39" t="s">
        <v>92</v>
      </c>
      <c r="AD39" s="39" t="s">
        <v>199</v>
      </c>
      <c r="AE39" s="39" t="s">
        <v>87</v>
      </c>
      <c r="AF39" s="39" t="s">
        <v>88</v>
      </c>
      <c r="AG39" s="39" t="s">
        <v>84</v>
      </c>
      <c r="AH39" s="39" t="s">
        <v>84</v>
      </c>
      <c r="AI39" s="39" t="s">
        <v>84</v>
      </c>
      <c r="AJ39" s="39" t="s">
        <v>84</v>
      </c>
      <c r="AK39" s="39" t="s">
        <v>84</v>
      </c>
      <c r="AL39" s="39" t="s">
        <v>84</v>
      </c>
      <c r="AM39" t="str">
        <f>VLOOKUP($R39,武学奇术!$A:$ZZ,25,FALSE)</f>
        <v>拳甲</v>
      </c>
      <c r="AN39" s="24">
        <f>VLOOKUP($R39,武学奇术!$A:$ZZ,26,FALSE)</f>
        <v>1.1298</v>
      </c>
      <c r="AO39" s="25">
        <f>VLOOKUP($R39,武学奇术!$A:$ZZ,27,FALSE)*(1+IF(OR($AM39=$F$4,$AM39=$F$5),$B$22,0))</f>
        <v>500.8</v>
      </c>
      <c r="AP39" s="24">
        <f>VLOOKUP($R39,武学奇术!$A:$ZZ,28,FALSE)</f>
        <v>1.6947</v>
      </c>
      <c r="AQ39" s="25">
        <f>VLOOKUP($R39,武学奇术!$A:$ZZ,29,FALSE)*(1+IF(OR($AM39=$F$4,$AM39=$F$5),$B$22,0))</f>
        <v>272</v>
      </c>
      <c r="AR39" s="24" cm="1">
        <f t="array" ref="AR39">$G$3+IFERROR(VLOOKUP($AM39,$F$4:$G$7,2,FALSE),0)+VLOOKUP($R39,武学奇术!$A:$ZZ,2,FALSE)+SUM(_xlfn.XLOOKUP($S39:$AL39,增益!$A:$A,增益!$B:$B,0))</f>
        <v>0.4543</v>
      </c>
      <c r="AS39" s="24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4342.95</v>
      </c>
      <c r="AU39" cm="1">
        <f t="array" ref="AU39">$E$10*(1+$AS39)+VLOOKUP($R39,武学奇术!$A:$ZZ,4,FALSE)+SUM(_xlfn.XLOOKUP($S39:$AL39,增益!$A:$A,增益!$D:$D,0))-$I$2</f>
        <v>4342.95</v>
      </c>
      <c r="AV39" s="31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0.3534</v>
      </c>
      <c r="AW39" s="31" cm="1">
        <f t="array" ref="AW39">$G$10+VLOOKUP($R39,武学奇术!$A:$ZZ,7,FALSE)+SUM(_xlfn.XLOOKUP($S39:$AL39,增益!$A:$A,增益!$G:$G,0))</f>
        <v>0.11</v>
      </c>
      <c r="AX39" s="24" cm="1">
        <f t="array" ref="AX39">VLOOKUP($R39,武学奇术!$A:$ZZ,8,FALSE)+SUM(_xlfn.XLOOKUP($S39:$AL39,增益!$A:$A,增益!$H:$H,0))</f>
        <v>0</v>
      </c>
      <c r="AY39">
        <f t="shared" si="13"/>
        <v>0</v>
      </c>
      <c r="AZ39">
        <f t="shared" si="14"/>
        <v>0</v>
      </c>
      <c r="BA39" s="31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1" cm="1">
        <f t="array" ref="BB39">$G$11+VLOOKUP($R39,武学奇术!$A:$ZZ,10,FALSE)+SUM(_xlfn.XLOOKUP($S39:$AL39,增益!$A:$A,增益!$J:$J,0))</f>
        <v>0.12</v>
      </c>
      <c r="BC39">
        <f t="shared" si="15"/>
        <v>0</v>
      </c>
      <c r="BD39">
        <f t="shared" si="16"/>
        <v>0</v>
      </c>
      <c r="BE39" s="31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-0.14</v>
      </c>
      <c r="BF39" s="31" cm="1">
        <f t="array" ref="BF39">$G$12+VLOOKUP($R39,武学奇术!$A:$ZZ,12,FALSE)+SUM(_xlfn.XLOOKUP($S39:$AL39,增益!$A:$A,增益!$L:$L,0))</f>
        <v>0.02</v>
      </c>
      <c r="BG39">
        <f t="shared" si="17"/>
        <v>0</v>
      </c>
      <c r="BH39">
        <f t="shared" si="18"/>
        <v>0</v>
      </c>
      <c r="BI39" s="31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-0.14</v>
      </c>
      <c r="BJ39" s="31" cm="1">
        <f t="array" ref="BJ39">$G$13+VLOOKUP($R39,武学奇术!$A:$ZZ,14,FALSE)+SUM(_xlfn.XLOOKUP($S39:$AL39,增益!$A:$A,增益!$N:$N,0))</f>
        <v>0.02</v>
      </c>
      <c r="BK39">
        <f t="shared" si="19"/>
        <v>649.11</v>
      </c>
      <c r="BL39">
        <f t="shared" si="20"/>
        <v>1812.09</v>
      </c>
      <c r="BM39" s="31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0.08</v>
      </c>
      <c r="BN39" s="31" cm="1">
        <f t="array" ref="BN39">$G$14+VLOOKUP($R39,武学奇术!$A:$ZZ,16,FALSE)+SUM(_xlfn.XLOOKUP($S39:$AL39,增益!$A:$A,增益!$P:$P,0))</f>
        <v>0.26</v>
      </c>
      <c r="BO39" s="24">
        <f>MIN(IF(VLOOKUP($R39,武学奇术!$A:$ZZ,23,FALSE)=1,100%,$B$8),100%)</f>
        <v>0.9943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0.8985</v>
      </c>
      <c r="BQ39" s="24" cm="1">
        <f t="array" ref="BQ39">1+$B$13+VLOOKUP($R39,武学奇术!$A:$ZZ,18,FALSE)+SUM(_xlfn.XLOOKUP($S39:$AL39,增益!$A:$A,增益!$R:$R,0))</f>
        <v>2.14</v>
      </c>
      <c r="BR39" s="24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4" cm="1">
        <f t="array" ref="BS39">1+$B$14+VLOOKUP($R39,武学奇术!$A:$ZZ,20,FALSE)+SUM(_xlfn.XLOOKUP($S39:$AL39,增益!$A:$A,增益!$T:$T,0))</f>
        <v>1.35</v>
      </c>
      <c r="BT39" s="24">
        <f t="shared" si="21"/>
        <v>0.89337855</v>
      </c>
      <c r="BU39" s="24">
        <f t="shared" si="22"/>
        <v>0.0153214500000001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0.31</v>
      </c>
      <c r="BX39" s="24">
        <f>VLOOKUP($R39,武学奇术!$A:$ZZ,32,FALSE)</f>
        <v>0.4</v>
      </c>
      <c r="BY39" s="24" cm="1">
        <f t="array" ref="BY39">SUM(_xlfn.XLOOKUP($S39:$AL39,增益!$A:$A,增益!$X:$X,0))</f>
        <v>0</v>
      </c>
    </row>
    <row r="40" spans="1:77">
      <c r="A40" t="s">
        <v>200</v>
      </c>
      <c r="B40">
        <v>2.8</v>
      </c>
      <c r="D40" s="38"/>
      <c r="K40" s="37">
        <f>$L40*VLOOKUP($R40,武学奇术!$A:$ZZ,31,FALSE)</f>
        <v>202362.71405598</v>
      </c>
      <c r="L40" s="37">
        <f t="shared" si="12"/>
        <v>202362.71405598</v>
      </c>
      <c r="M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*(1+$BX40)</f>
        <v>210468.68206207</v>
      </c>
      <c r="N40" s="37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*(1+$BX40)</f>
        <v>141236.761922647</v>
      </c>
      <c r="O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*(1+$BX40)</f>
        <v>93959.233063424</v>
      </c>
      <c r="P40" s="37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*(1+$BX40)</f>
        <v>83298.6424804425</v>
      </c>
      <c r="Q40" s="38">
        <v>1</v>
      </c>
      <c r="R40" s="39" t="s">
        <v>151</v>
      </c>
      <c r="S40" s="39" t="s">
        <v>104</v>
      </c>
      <c r="T40" s="39" t="s">
        <v>194</v>
      </c>
      <c r="U40" s="39" t="s">
        <v>81</v>
      </c>
      <c r="V40" s="39" t="s">
        <v>130</v>
      </c>
      <c r="W40" s="39" t="s">
        <v>83</v>
      </c>
      <c r="X40" s="39" t="s">
        <v>84</v>
      </c>
      <c r="Y40" s="39" t="s">
        <v>85</v>
      </c>
      <c r="Z40" s="39" t="s">
        <v>195</v>
      </c>
      <c r="AA40" s="39" t="s">
        <v>196</v>
      </c>
      <c r="AB40" s="39" t="s">
        <v>197</v>
      </c>
      <c r="AC40" s="39" t="s">
        <v>92</v>
      </c>
      <c r="AD40" s="39" t="s">
        <v>201</v>
      </c>
      <c r="AE40" s="39" t="s">
        <v>87</v>
      </c>
      <c r="AF40" s="39" t="s">
        <v>88</v>
      </c>
      <c r="AG40" s="39" t="s">
        <v>84</v>
      </c>
      <c r="AH40" s="39" t="s">
        <v>84</v>
      </c>
      <c r="AI40" s="39" t="s">
        <v>84</v>
      </c>
      <c r="AJ40" s="39" t="s">
        <v>84</v>
      </c>
      <c r="AK40" s="39" t="s">
        <v>84</v>
      </c>
      <c r="AL40" s="39" t="s">
        <v>84</v>
      </c>
      <c r="AM40" t="str">
        <f>VLOOKUP($R40,武学奇术!$A:$ZZ,25,FALSE)</f>
        <v>拳甲</v>
      </c>
      <c r="AN40" s="24">
        <f>VLOOKUP($R40,武学奇术!$A:$ZZ,26,FALSE)</f>
        <v>2.5499</v>
      </c>
      <c r="AO40" s="25">
        <f>VLOOKUP($R40,武学奇术!$A:$ZZ,27,FALSE)*(1+IF(OR($AM40=$F$4,$AM40=$F$5),$B$22,0))</f>
        <v>1131.2</v>
      </c>
      <c r="AP40" s="24">
        <f>VLOOKUP($R40,武学奇术!$A:$ZZ,28,FALSE)</f>
        <v>3.8249</v>
      </c>
      <c r="AQ40" s="25">
        <f>VLOOKUP($R40,武学奇术!$A:$ZZ,29,FALSE)*(1+IF(OR($AM40=$F$4,$AM40=$F$5),$B$22,0))</f>
        <v>616</v>
      </c>
      <c r="AR40" s="24" cm="1">
        <f t="array" ref="AR40">$G$3+IFERROR(VLOOKUP($AM40,$F$4:$G$7,2,FALSE),0)+VLOOKUP($R40,武学奇术!$A:$ZZ,2,FALSE)+SUM(_xlfn.XLOOKUP($S40:$AL40,增益!$A:$A,增益!$B:$B,0))</f>
        <v>0.4543</v>
      </c>
      <c r="AS40" s="24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4342.95</v>
      </c>
      <c r="AU40" cm="1">
        <f t="array" ref="AU40">$E$10*(1+$AS40)+VLOOKUP($R40,武学奇术!$A:$ZZ,4,FALSE)+SUM(_xlfn.XLOOKUP($S40:$AL40,增益!$A:$A,增益!$D:$D,0))-$I$2</f>
        <v>4342.95</v>
      </c>
      <c r="AV40" s="31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0.4034</v>
      </c>
      <c r="AW40" s="31" cm="1">
        <f t="array" ref="AW40">$G$10+VLOOKUP($R40,武学奇术!$A:$ZZ,7,FALSE)+SUM(_xlfn.XLOOKUP($S40:$AL40,增益!$A:$A,增益!$G:$G,0))</f>
        <v>0.11</v>
      </c>
      <c r="AX40" s="24" cm="1">
        <f t="array" ref="AX40">VLOOKUP($R40,武学奇术!$A:$ZZ,8,FALSE)+SUM(_xlfn.XLOOKUP($S40:$AL40,增益!$A:$A,增益!$H:$H,0))</f>
        <v>0</v>
      </c>
      <c r="AY40">
        <f t="shared" si="13"/>
        <v>0</v>
      </c>
      <c r="AZ40">
        <f t="shared" si="14"/>
        <v>0</v>
      </c>
      <c r="BA40" s="31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1" cm="1">
        <f t="array" ref="BB40">$G$11+VLOOKUP($R40,武学奇术!$A:$ZZ,10,FALSE)+SUM(_xlfn.XLOOKUP($S40:$AL40,增益!$A:$A,增益!$J:$J,0))</f>
        <v>0.12</v>
      </c>
      <c r="BC40">
        <f t="shared" si="15"/>
        <v>0</v>
      </c>
      <c r="BD40">
        <f t="shared" si="16"/>
        <v>0</v>
      </c>
      <c r="BE40" s="31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-0.14</v>
      </c>
      <c r="BF40" s="31" cm="1">
        <f t="array" ref="BF40">$G$12+VLOOKUP($R40,武学奇术!$A:$ZZ,12,FALSE)+SUM(_xlfn.XLOOKUP($S40:$AL40,增益!$A:$A,增益!$L:$L,0))</f>
        <v>0.02</v>
      </c>
      <c r="BG40">
        <f t="shared" si="17"/>
        <v>0</v>
      </c>
      <c r="BH40">
        <f t="shared" si="18"/>
        <v>0</v>
      </c>
      <c r="BI40" s="31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1" cm="1">
        <f t="array" ref="BJ40">$G$13+VLOOKUP($R40,武学奇术!$A:$ZZ,14,FALSE)+SUM(_xlfn.XLOOKUP($S40:$AL40,增益!$A:$A,增益!$N:$N,0))</f>
        <v>0.02</v>
      </c>
      <c r="BK40">
        <f t="shared" si="19"/>
        <v>649.11</v>
      </c>
      <c r="BL40">
        <f t="shared" si="20"/>
        <v>1812.09</v>
      </c>
      <c r="BM40" s="31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0.08</v>
      </c>
      <c r="BN40" s="31" cm="1">
        <f t="array" ref="BN40">$G$14+VLOOKUP($R40,武学奇术!$A:$ZZ,16,FALSE)+SUM(_xlfn.XLOOKUP($S40:$AL40,增益!$A:$A,增益!$P:$P,0))</f>
        <v>0.26</v>
      </c>
      <c r="BO40" s="24">
        <f>MIN(IF(VLOOKUP($R40,武学奇术!$A:$ZZ,23,FALSE)=1,100%,$B$8),100%)</f>
        <v>0.9943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0.8985</v>
      </c>
      <c r="BQ40" s="24" cm="1">
        <f t="array" ref="BQ40">1+$B$13+VLOOKUP($R40,武学奇术!$A:$ZZ,18,FALSE)+SUM(_xlfn.XLOOKUP($S40:$AL40,增益!$A:$A,增益!$R:$R,0))</f>
        <v>2.24</v>
      </c>
      <c r="BR40" s="24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4" cm="1">
        <f t="array" ref="BS40">1+$B$14+VLOOKUP($R40,武学奇术!$A:$ZZ,20,FALSE)+SUM(_xlfn.XLOOKUP($S40:$AL40,增益!$A:$A,增益!$T:$T,0))</f>
        <v>1.35</v>
      </c>
      <c r="BT40" s="24">
        <f t="shared" si="21"/>
        <v>0.89337855</v>
      </c>
      <c r="BU40" s="24">
        <f t="shared" si="22"/>
        <v>0.0153214500000001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0.31</v>
      </c>
      <c r="BX40" s="24">
        <f>VLOOKUP($R40,武学奇术!$A:$ZZ,32,FALSE)</f>
        <v>0.4</v>
      </c>
      <c r="BY40" s="24" cm="1">
        <f t="array" ref="BY40">SUM(_xlfn.XLOOKUP($S40:$AL40,增益!$A:$A,增益!$X:$X,0))</f>
        <v>0</v>
      </c>
    </row>
    <row r="41" spans="1:77">
      <c r="A41" t="s">
        <v>178</v>
      </c>
      <c r="B41">
        <v>0.1</v>
      </c>
      <c r="D41" s="38"/>
      <c r="K41" s="37">
        <f>$L41*VLOOKUP($R41,武学奇术!$A:$ZZ,31,FALSE)</f>
        <v>42551.0573565118</v>
      </c>
      <c r="L41" s="37">
        <f t="shared" si="12"/>
        <v>42551.0573565118</v>
      </c>
      <c r="M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*(1+$BX41)</f>
        <v>43698.0986594235</v>
      </c>
      <c r="N41" s="37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*(1+$BX41)</f>
        <v>34735.8991115052</v>
      </c>
      <c r="O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*(1+$BX41)</f>
        <v>23120.6871213881</v>
      </c>
      <c r="P41" s="37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*(1+$BX41)</f>
        <v>20511.0786046242</v>
      </c>
      <c r="Q41" s="38">
        <v>1</v>
      </c>
      <c r="R41" s="39" t="s">
        <v>169</v>
      </c>
      <c r="S41" s="39" t="s">
        <v>104</v>
      </c>
      <c r="T41" s="39" t="s">
        <v>194</v>
      </c>
      <c r="U41" s="39" t="s">
        <v>81</v>
      </c>
      <c r="V41" s="39" t="s">
        <v>84</v>
      </c>
      <c r="W41" s="39" t="s">
        <v>84</v>
      </c>
      <c r="X41" s="39" t="s">
        <v>84</v>
      </c>
      <c r="Y41" s="39" t="s">
        <v>85</v>
      </c>
      <c r="Z41" s="39" t="s">
        <v>195</v>
      </c>
      <c r="AA41" s="39" t="s">
        <v>196</v>
      </c>
      <c r="AB41" s="39" t="s">
        <v>197</v>
      </c>
      <c r="AC41" s="39" t="s">
        <v>100</v>
      </c>
      <c r="AD41" s="39" t="s">
        <v>93</v>
      </c>
      <c r="AE41" s="39" t="s">
        <v>87</v>
      </c>
      <c r="AF41" s="39" t="s">
        <v>88</v>
      </c>
      <c r="AG41" s="39" t="s">
        <v>84</v>
      </c>
      <c r="AH41" s="39" t="s">
        <v>84</v>
      </c>
      <c r="AI41" s="39" t="s">
        <v>84</v>
      </c>
      <c r="AJ41" s="39" t="s">
        <v>84</v>
      </c>
      <c r="AK41" s="39" t="s">
        <v>84</v>
      </c>
      <c r="AL41" s="39" t="s">
        <v>84</v>
      </c>
      <c r="AM41" t="str">
        <f>VLOOKUP($R41,武学奇术!$A:$ZZ,25,FALSE)</f>
        <v>拳甲</v>
      </c>
      <c r="AN41" s="24">
        <f>VLOOKUP($R41,武学奇术!$A:$ZZ,26,FALSE)</f>
        <v>0.9193</v>
      </c>
      <c r="AO41" s="25">
        <f>VLOOKUP($R41,武学奇术!$A:$ZZ,27,FALSE)*(1+IF(OR($AM41=$F$4,$AM41=$F$5),$B$22,0))</f>
        <v>408</v>
      </c>
      <c r="AP41" s="24">
        <f>VLOOKUP($R41,武学奇术!$A:$ZZ,28,FALSE)</f>
        <v>1.379</v>
      </c>
      <c r="AQ41" s="25">
        <f>VLOOKUP($R41,武学奇术!$A:$ZZ,29,FALSE)*(1+IF(OR($AM41=$F$4,$AM41=$F$5),$B$22,0))</f>
        <v>222.4</v>
      </c>
      <c r="AR41" s="24" cm="1">
        <f t="array" ref="AR41">$G$3+IFERROR(VLOOKUP($AM41,$F$4:$G$7,2,FALSE),0)+VLOOKUP($R41,武学奇术!$A:$ZZ,2,FALSE)+SUM(_xlfn.XLOOKUP($S41:$AL41,增益!$A:$A,增益!$B:$B,0))</f>
        <v>0.4043</v>
      </c>
      <c r="AS41" s="24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4342.95</v>
      </c>
      <c r="AU41" cm="1">
        <f t="array" ref="AU41">$E$10*(1+$AS41)+VLOOKUP($R41,武学奇术!$A:$ZZ,4,FALSE)+SUM(_xlfn.XLOOKUP($S41:$AL41,增益!$A:$A,增益!$D:$D,0))-$I$2</f>
        <v>4342.95</v>
      </c>
      <c r="AV41" s="31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0.4284</v>
      </c>
      <c r="AW41" s="31" cm="1">
        <f t="array" ref="AW41">$G$10+VLOOKUP($R41,武学奇术!$A:$ZZ,7,FALSE)+SUM(_xlfn.XLOOKUP($S41:$AL41,增益!$A:$A,增益!$G:$G,0))</f>
        <v>0.02</v>
      </c>
      <c r="AX41" s="24" cm="1">
        <f t="array" ref="AX41">VLOOKUP($R41,武学奇术!$A:$ZZ,8,FALSE)+SUM(_xlfn.XLOOKUP($S41:$AL41,增益!$A:$A,增益!$H:$H,0))</f>
        <v>0</v>
      </c>
      <c r="AY41">
        <f t="shared" si="13"/>
        <v>0</v>
      </c>
      <c r="AZ41">
        <f t="shared" si="14"/>
        <v>0</v>
      </c>
      <c r="BA41" s="31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1" cm="1">
        <f t="array" ref="BB41">$G$11+VLOOKUP($R41,武学奇术!$A:$ZZ,10,FALSE)+SUM(_xlfn.XLOOKUP($S41:$AL41,增益!$A:$A,增益!$J:$J,0))</f>
        <v>0.12</v>
      </c>
      <c r="BC41">
        <f t="shared" si="15"/>
        <v>0</v>
      </c>
      <c r="BD41">
        <f t="shared" si="16"/>
        <v>0</v>
      </c>
      <c r="BE41" s="31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-0.14</v>
      </c>
      <c r="BF41" s="31" cm="1">
        <f t="array" ref="BF41">$G$12+VLOOKUP($R41,武学奇术!$A:$ZZ,12,FALSE)+SUM(_xlfn.XLOOKUP($S41:$AL41,增益!$A:$A,增益!$L:$L,0))</f>
        <v>0.02</v>
      </c>
      <c r="BG41">
        <f t="shared" si="17"/>
        <v>0</v>
      </c>
      <c r="BH41">
        <f t="shared" si="18"/>
        <v>0</v>
      </c>
      <c r="BI41" s="31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1" cm="1">
        <f t="array" ref="BJ41">$G$13+VLOOKUP($R41,武学奇术!$A:$ZZ,14,FALSE)+SUM(_xlfn.XLOOKUP($S41:$AL41,增益!$A:$A,增益!$N:$N,0))</f>
        <v>0.02</v>
      </c>
      <c r="BK41">
        <f t="shared" si="19"/>
        <v>649.11</v>
      </c>
      <c r="BL41">
        <f t="shared" si="20"/>
        <v>1812.09</v>
      </c>
      <c r="BM41" s="31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0.08</v>
      </c>
      <c r="BN41" s="31" cm="1">
        <f t="array" ref="BN41">$G$14+VLOOKUP($R41,武学奇术!$A:$ZZ,16,FALSE)+SUM(_xlfn.XLOOKUP($S41:$AL41,增益!$A:$A,增益!$P:$P,0))</f>
        <v>0.17</v>
      </c>
      <c r="BO41" s="24">
        <f>MIN(IF(VLOOKUP($R41,武学奇术!$A:$ZZ,23,FALSE)=1,100%,$B$8),100%)</f>
        <v>0.9943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0.8985</v>
      </c>
      <c r="BQ41" s="24" cm="1">
        <f t="array" ref="BQ41">1+$B$13+VLOOKUP($R41,武学奇术!$A:$ZZ,18,FALSE)+SUM(_xlfn.XLOOKUP($S41:$AL41,增益!$A:$A,增益!$R:$R,0))</f>
        <v>1.89</v>
      </c>
      <c r="BR41" s="24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4" cm="1">
        <f t="array" ref="BS41">1+$B$14+VLOOKUP($R41,武学奇术!$A:$ZZ,20,FALSE)+SUM(_xlfn.XLOOKUP($S41:$AL41,增益!$A:$A,增益!$T:$T,0))</f>
        <v>1.35</v>
      </c>
      <c r="BT41" s="24">
        <f t="shared" si="21"/>
        <v>0.89337855</v>
      </c>
      <c r="BU41" s="24">
        <f t="shared" si="22"/>
        <v>0.01014186</v>
      </c>
      <c r="BV41" s="24">
        <f>IF(VLOOKUP($R41,武学奇术!$A:$ZZ,22,FALSE)=1,0,(1-$BO41))*(1-$BR41)</f>
        <v>0.00517959000000003</v>
      </c>
      <c r="BW41" s="24" cm="1">
        <f t="array" ref="BW41">SUM(_xlfn.XLOOKUP($S41:$AL41,增益!$A:$A,增益!$W:$W,0))+$I$5</f>
        <v>0.31</v>
      </c>
      <c r="BX41" s="24">
        <f>VLOOKUP($R41,武学奇术!$A:$ZZ,32,FALSE)</f>
        <v>0.4</v>
      </c>
      <c r="BY41" s="24" cm="1">
        <f t="array" ref="BY41">SUM(_xlfn.XLOOKUP($S41:$AL41,增益!$A:$A,增益!$X:$X,0))</f>
        <v>0</v>
      </c>
    </row>
    <row r="42" spans="1:77">
      <c r="A42" t="s">
        <v>202</v>
      </c>
      <c r="B42">
        <v>0.7</v>
      </c>
      <c r="D42" s="38"/>
      <c r="K42" s="37">
        <f>$L42*VLOOKUP($R42,武学奇术!$A:$ZZ,31,FALSE)</f>
        <v>456803.008526289</v>
      </c>
      <c r="L42" s="37">
        <f t="shared" si="12"/>
        <v>456803.008526289</v>
      </c>
      <c r="M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*(1+$BX42)</f>
        <v>475874.753134449</v>
      </c>
      <c r="N42" s="37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*(1+$BX42)</f>
        <v>311969.648997143</v>
      </c>
      <c r="O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*(1+$BX42)</f>
        <v>207805.569054345</v>
      </c>
      <c r="P42" s="37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*(1+$BX42)</f>
        <v>184522.509221917</v>
      </c>
      <c r="Q42" s="38">
        <v>1</v>
      </c>
      <c r="R42" s="39" t="s">
        <v>133</v>
      </c>
      <c r="S42" s="39" t="s">
        <v>104</v>
      </c>
      <c r="T42" s="39" t="s">
        <v>194</v>
      </c>
      <c r="U42" s="39" t="s">
        <v>81</v>
      </c>
      <c r="V42" s="39" t="s">
        <v>130</v>
      </c>
      <c r="W42" s="39" t="s">
        <v>83</v>
      </c>
      <c r="X42" s="39" t="s">
        <v>84</v>
      </c>
      <c r="Y42" s="39" t="s">
        <v>85</v>
      </c>
      <c r="Z42" s="39" t="s">
        <v>195</v>
      </c>
      <c r="AA42" s="39" t="s">
        <v>196</v>
      </c>
      <c r="AB42" s="39" t="s">
        <v>197</v>
      </c>
      <c r="AC42" s="39" t="s">
        <v>100</v>
      </c>
      <c r="AD42" s="39" t="s">
        <v>93</v>
      </c>
      <c r="AE42" s="39" t="s">
        <v>87</v>
      </c>
      <c r="AF42" s="39" t="s">
        <v>88</v>
      </c>
      <c r="AG42" s="39" t="s">
        <v>84</v>
      </c>
      <c r="AH42" s="39" t="s">
        <v>84</v>
      </c>
      <c r="AI42" s="39" t="s">
        <v>84</v>
      </c>
      <c r="AJ42" s="39" t="s">
        <v>84</v>
      </c>
      <c r="AK42" s="39" t="s">
        <v>84</v>
      </c>
      <c r="AL42" s="39" t="s">
        <v>84</v>
      </c>
      <c r="AM42" t="str">
        <f>VLOOKUP($R42,武学奇术!$A:$ZZ,25,FALSE)</f>
        <v>拳甲</v>
      </c>
      <c r="AN42" s="24">
        <f>VLOOKUP($R42,武学奇术!$A:$ZZ,26,FALSE)</f>
        <v>5.5691</v>
      </c>
      <c r="AO42" s="25">
        <f>VLOOKUP($R42,武学奇术!$A:$ZZ,27,FALSE)*(1+IF(OR($AM42=$F$4,$AM42=$F$5),$B$22,0))</f>
        <v>2470.4</v>
      </c>
      <c r="AP42" s="24">
        <f>VLOOKUP($R42,武学奇术!$A:$ZZ,28,FALSE)</f>
        <v>8.3537</v>
      </c>
      <c r="AQ42" s="25">
        <f>VLOOKUP($R42,武学奇术!$A:$ZZ,29,FALSE)*(1+IF(OR($AM42=$F$4,$AM42=$F$5),$B$22,0))</f>
        <v>1344</v>
      </c>
      <c r="AR42" s="24" cm="1">
        <f t="array" ref="AR42">$G$3+IFERROR(VLOOKUP($AM42,$F$4:$G$7,2,FALSE),0)+VLOOKUP($R42,武学奇术!$A:$ZZ,2,FALSE)+SUM(_xlfn.XLOOKUP($S42:$AL42,增益!$A:$A,增益!$B:$B,0))</f>
        <v>0.4543</v>
      </c>
      <c r="AS42" s="24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4342.95</v>
      </c>
      <c r="AU42" cm="1">
        <f t="array" ref="AU42">$E$10*(1+$AS42)+VLOOKUP($R42,武学奇术!$A:$ZZ,4,FALSE)+SUM(_xlfn.XLOOKUP($S42:$AL42,增益!$A:$A,增益!$D:$D,0))-$I$2</f>
        <v>4342.95</v>
      </c>
      <c r="AV42" s="31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0.4284</v>
      </c>
      <c r="AW42" s="31" cm="1">
        <f t="array" ref="AW42">$G$10+VLOOKUP($R42,武学奇术!$A:$ZZ,7,FALSE)+SUM(_xlfn.XLOOKUP($S42:$AL42,增益!$A:$A,增益!$G:$G,0))</f>
        <v>0.11</v>
      </c>
      <c r="AX42" s="24" cm="1">
        <f t="array" ref="AX42">VLOOKUP($R42,武学奇术!$A:$ZZ,8,FALSE)+SUM(_xlfn.XLOOKUP($S42:$AL42,增益!$A:$A,增益!$H:$H,0))</f>
        <v>0</v>
      </c>
      <c r="AY42">
        <f t="shared" si="13"/>
        <v>0</v>
      </c>
      <c r="AZ42">
        <f t="shared" si="14"/>
        <v>0</v>
      </c>
      <c r="BA42" s="31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1" cm="1">
        <f t="array" ref="BB42">$G$11+VLOOKUP($R42,武学奇术!$A:$ZZ,10,FALSE)+SUM(_xlfn.XLOOKUP($S42:$AL42,增益!$A:$A,增益!$J:$J,0))</f>
        <v>0.12</v>
      </c>
      <c r="BC42">
        <f t="shared" si="15"/>
        <v>0</v>
      </c>
      <c r="BD42">
        <f t="shared" si="16"/>
        <v>0</v>
      </c>
      <c r="BE42" s="31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1" cm="1">
        <f t="array" ref="BF42">$G$12+VLOOKUP($R42,武学奇术!$A:$ZZ,12,FALSE)+SUM(_xlfn.XLOOKUP($S42:$AL42,增益!$A:$A,增益!$L:$L,0))</f>
        <v>0.02</v>
      </c>
      <c r="BG42">
        <f t="shared" si="17"/>
        <v>0</v>
      </c>
      <c r="BH42">
        <f t="shared" si="18"/>
        <v>0</v>
      </c>
      <c r="BI42" s="31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1" cm="1">
        <f t="array" ref="BJ42">$G$13+VLOOKUP($R42,武学奇术!$A:$ZZ,14,FALSE)+SUM(_xlfn.XLOOKUP($S42:$AL42,增益!$A:$A,增益!$N:$N,0))</f>
        <v>0.02</v>
      </c>
      <c r="BK42">
        <f t="shared" si="19"/>
        <v>649.11</v>
      </c>
      <c r="BL42">
        <f t="shared" si="20"/>
        <v>1812.09</v>
      </c>
      <c r="BM42" s="31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0.08</v>
      </c>
      <c r="BN42" s="31" cm="1">
        <f t="array" ref="BN42">$G$14+VLOOKUP($R42,武学奇术!$A:$ZZ,16,FALSE)+SUM(_xlfn.XLOOKUP($S42:$AL42,增益!$A:$A,增益!$P:$P,0))</f>
        <v>0.26</v>
      </c>
      <c r="BO42" s="24">
        <f>MIN(IF(VLOOKUP($R42,武学奇术!$A:$ZZ,23,FALSE)=1,100%,$B$8),100%)</f>
        <v>0.9943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0.8985</v>
      </c>
      <c r="BQ42" s="24" cm="1">
        <f t="array" ref="BQ42">1+$B$13+VLOOKUP($R42,武学奇术!$A:$ZZ,18,FALSE)+SUM(_xlfn.XLOOKUP($S42:$AL42,增益!$A:$A,增益!$R:$R,0))</f>
        <v>2.29</v>
      </c>
      <c r="BR42" s="24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4" cm="1">
        <f t="array" ref="BS42">1+$B$14+VLOOKUP($R42,武学奇术!$A:$ZZ,20,FALSE)+SUM(_xlfn.XLOOKUP($S42:$AL42,增益!$A:$A,增益!$T:$T,0))</f>
        <v>1.35</v>
      </c>
      <c r="BT42" s="24">
        <f t="shared" si="21"/>
        <v>0.89337855</v>
      </c>
      <c r="BU42" s="24">
        <f t="shared" si="22"/>
        <v>0.0153214500000001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0.31</v>
      </c>
      <c r="BX42" s="24">
        <f>VLOOKUP($R42,武学奇术!$A:$ZZ,32,FALSE)</f>
        <v>0.4</v>
      </c>
      <c r="BY42" s="24" cm="1">
        <f t="array" ref="BY42">SUM(_xlfn.XLOOKUP($S42:$AL42,增益!$A:$A,增益!$X:$X,0))</f>
        <v>0</v>
      </c>
    </row>
    <row r="43" spans="1:77">
      <c r="A43" t="s">
        <v>203</v>
      </c>
      <c r="B43">
        <v>0.8</v>
      </c>
      <c r="D43" s="38"/>
      <c r="K43" s="37">
        <f>$L43*VLOOKUP($R43,武学奇术!$A:$ZZ,31,FALSE)</f>
        <v>456803.008526289</v>
      </c>
      <c r="L43" s="37">
        <f t="shared" si="12"/>
        <v>456803.008526289</v>
      </c>
      <c r="M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*(1+$BX43)</f>
        <v>475874.753134449</v>
      </c>
      <c r="N43" s="37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*(1+$BX43)</f>
        <v>311969.648997143</v>
      </c>
      <c r="O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*(1+$BX43)</f>
        <v>207805.569054345</v>
      </c>
      <c r="P43" s="37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*(1+$BX43)</f>
        <v>184522.509221917</v>
      </c>
      <c r="Q43" s="38">
        <v>1</v>
      </c>
      <c r="R43" s="39" t="s">
        <v>133</v>
      </c>
      <c r="S43" s="39" t="s">
        <v>104</v>
      </c>
      <c r="T43" s="39" t="s">
        <v>194</v>
      </c>
      <c r="U43" s="39" t="s">
        <v>81</v>
      </c>
      <c r="V43" s="39" t="s">
        <v>130</v>
      </c>
      <c r="W43" s="39" t="s">
        <v>83</v>
      </c>
      <c r="X43" s="39" t="s">
        <v>84</v>
      </c>
      <c r="Y43" s="39" t="s">
        <v>85</v>
      </c>
      <c r="Z43" s="39" t="s">
        <v>195</v>
      </c>
      <c r="AA43" s="39" t="s">
        <v>196</v>
      </c>
      <c r="AB43" s="39" t="s">
        <v>197</v>
      </c>
      <c r="AC43" s="39" t="s">
        <v>100</v>
      </c>
      <c r="AD43" s="39" t="s">
        <v>93</v>
      </c>
      <c r="AE43" s="39" t="s">
        <v>87</v>
      </c>
      <c r="AF43" s="39" t="s">
        <v>88</v>
      </c>
      <c r="AG43" s="39" t="s">
        <v>84</v>
      </c>
      <c r="AH43" s="39" t="s">
        <v>84</v>
      </c>
      <c r="AI43" s="39" t="s">
        <v>84</v>
      </c>
      <c r="AJ43" s="39" t="s">
        <v>84</v>
      </c>
      <c r="AK43" s="39" t="s">
        <v>84</v>
      </c>
      <c r="AL43" s="39" t="s">
        <v>84</v>
      </c>
      <c r="AM43" t="str">
        <f>VLOOKUP($R43,武学奇术!$A:$ZZ,25,FALSE)</f>
        <v>拳甲</v>
      </c>
      <c r="AN43" s="24">
        <f>VLOOKUP($R43,武学奇术!$A:$ZZ,26,FALSE)</f>
        <v>5.5691</v>
      </c>
      <c r="AO43" s="25">
        <f>VLOOKUP($R43,武学奇术!$A:$ZZ,27,FALSE)*(1+IF(OR($AM43=$F$4,$AM43=$F$5),$B$22,0))</f>
        <v>2470.4</v>
      </c>
      <c r="AP43" s="24">
        <f>VLOOKUP($R43,武学奇术!$A:$ZZ,28,FALSE)</f>
        <v>8.3537</v>
      </c>
      <c r="AQ43" s="25">
        <f>VLOOKUP($R43,武学奇术!$A:$ZZ,29,FALSE)*(1+IF(OR($AM43=$F$4,$AM43=$F$5),$B$22,0))</f>
        <v>1344</v>
      </c>
      <c r="AR43" s="24" cm="1">
        <f t="array" ref="AR43">$G$3+IFERROR(VLOOKUP($AM43,$F$4:$G$7,2,FALSE),0)+VLOOKUP($R43,武学奇术!$A:$ZZ,2,FALSE)+SUM(_xlfn.XLOOKUP($S43:$AL43,增益!$A:$A,增益!$B:$B,0))</f>
        <v>0.4543</v>
      </c>
      <c r="AS43" s="24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4342.95</v>
      </c>
      <c r="AU43" cm="1">
        <f t="array" ref="AU43">$E$10*(1+$AS43)+VLOOKUP($R43,武学奇术!$A:$ZZ,4,FALSE)+SUM(_xlfn.XLOOKUP($S43:$AL43,增益!$A:$A,增益!$D:$D,0))-$I$2</f>
        <v>4342.95</v>
      </c>
      <c r="AV43" s="31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0.4284</v>
      </c>
      <c r="AW43" s="31" cm="1">
        <f t="array" ref="AW43">$G$10+VLOOKUP($R43,武学奇术!$A:$ZZ,7,FALSE)+SUM(_xlfn.XLOOKUP($S43:$AL43,增益!$A:$A,增益!$G:$G,0))</f>
        <v>0.11</v>
      </c>
      <c r="AX43" s="24" cm="1">
        <f t="array" ref="AX43">VLOOKUP($R43,武学奇术!$A:$ZZ,8,FALSE)+SUM(_xlfn.XLOOKUP($S43:$AL43,增益!$A:$A,增益!$H:$H,0))</f>
        <v>0</v>
      </c>
      <c r="AY43">
        <f t="shared" si="13"/>
        <v>0</v>
      </c>
      <c r="AZ43">
        <f t="shared" si="14"/>
        <v>0</v>
      </c>
      <c r="BA43" s="31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1" cm="1">
        <f t="array" ref="BB43">$G$11+VLOOKUP($R43,武学奇术!$A:$ZZ,10,FALSE)+SUM(_xlfn.XLOOKUP($S43:$AL43,增益!$A:$A,增益!$J:$J,0))</f>
        <v>0.12</v>
      </c>
      <c r="BC43">
        <f t="shared" si="15"/>
        <v>0</v>
      </c>
      <c r="BD43">
        <f t="shared" si="16"/>
        <v>0</v>
      </c>
      <c r="BE43" s="31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-0.14</v>
      </c>
      <c r="BF43" s="31" cm="1">
        <f t="array" ref="BF43">$G$12+VLOOKUP($R43,武学奇术!$A:$ZZ,12,FALSE)+SUM(_xlfn.XLOOKUP($S43:$AL43,增益!$A:$A,增益!$L:$L,0))</f>
        <v>0.02</v>
      </c>
      <c r="BG43">
        <f t="shared" si="17"/>
        <v>0</v>
      </c>
      <c r="BH43">
        <f t="shared" si="18"/>
        <v>0</v>
      </c>
      <c r="BI43" s="31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-0.14</v>
      </c>
      <c r="BJ43" s="31" cm="1">
        <f t="array" ref="BJ43">$G$13+VLOOKUP($R43,武学奇术!$A:$ZZ,14,FALSE)+SUM(_xlfn.XLOOKUP($S43:$AL43,增益!$A:$A,增益!$N:$N,0))</f>
        <v>0.02</v>
      </c>
      <c r="BK43">
        <f t="shared" si="19"/>
        <v>649.11</v>
      </c>
      <c r="BL43">
        <f t="shared" si="20"/>
        <v>1812.09</v>
      </c>
      <c r="BM43" s="31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0.08</v>
      </c>
      <c r="BN43" s="31" cm="1">
        <f t="array" ref="BN43">$G$14+VLOOKUP($R43,武学奇术!$A:$ZZ,16,FALSE)+SUM(_xlfn.XLOOKUP($S43:$AL43,增益!$A:$A,增益!$P:$P,0))</f>
        <v>0.26</v>
      </c>
      <c r="BO43" s="24">
        <f>MIN(IF(VLOOKUP($R43,武学奇术!$A:$ZZ,23,FALSE)=1,100%,$B$8),100%)</f>
        <v>0.9943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0.8985</v>
      </c>
      <c r="BQ43" s="24" cm="1">
        <f t="array" ref="BQ43">1+$B$13+VLOOKUP($R43,武学奇术!$A:$ZZ,18,FALSE)+SUM(_xlfn.XLOOKUP($S43:$AL43,增益!$A:$A,增益!$R:$R,0))</f>
        <v>2.29</v>
      </c>
      <c r="BR43" s="24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4" cm="1">
        <f t="array" ref="BS43">1+$B$14+VLOOKUP($R43,武学奇术!$A:$ZZ,20,FALSE)+SUM(_xlfn.XLOOKUP($S43:$AL43,增益!$A:$A,增益!$T:$T,0))</f>
        <v>1.35</v>
      </c>
      <c r="BT43" s="24">
        <f t="shared" si="21"/>
        <v>0.89337855</v>
      </c>
      <c r="BU43" s="24">
        <f t="shared" si="22"/>
        <v>0.0153214500000001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0.31</v>
      </c>
      <c r="BX43" s="24">
        <f>VLOOKUP($R43,武学奇术!$A:$ZZ,32,FALSE)</f>
        <v>0.4</v>
      </c>
      <c r="BY43" s="24" cm="1">
        <f t="array" ref="BY43">SUM(_xlfn.XLOOKUP($S43:$AL43,增益!$A:$A,增益!$X:$X,0))</f>
        <v>0</v>
      </c>
    </row>
    <row r="44" spans="1:77">
      <c r="A44" t="s">
        <v>182</v>
      </c>
      <c r="B44">
        <v>0.7</v>
      </c>
      <c r="D44" s="38"/>
      <c r="K44" s="37">
        <f>$L44*VLOOKUP($R44,武学奇术!$A:$ZZ,31,FALSE)</f>
        <v>79012.6245810915</v>
      </c>
      <c r="L44" s="37">
        <f t="shared" si="12"/>
        <v>79012.6245810915</v>
      </c>
      <c r="M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*(1+$BX44)</f>
        <v>82311.3778345362</v>
      </c>
      <c r="N44" s="37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*(1+$BX44)</f>
        <v>53961.594314169</v>
      </c>
      <c r="O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*(1+$BX44)</f>
        <v>35943.833115518</v>
      </c>
      <c r="P44" s="37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*(1+$BX44)</f>
        <v>31916.114887207</v>
      </c>
      <c r="Q44" s="38">
        <v>1</v>
      </c>
      <c r="R44" s="39" t="s">
        <v>136</v>
      </c>
      <c r="S44" s="39" t="s">
        <v>104</v>
      </c>
      <c r="T44" s="39" t="s">
        <v>194</v>
      </c>
      <c r="U44" s="39" t="s">
        <v>81</v>
      </c>
      <c r="V44" s="39" t="s">
        <v>130</v>
      </c>
      <c r="W44" s="39" t="s">
        <v>83</v>
      </c>
      <c r="X44" s="39" t="s">
        <v>84</v>
      </c>
      <c r="Y44" s="39" t="s">
        <v>85</v>
      </c>
      <c r="Z44" s="39" t="s">
        <v>195</v>
      </c>
      <c r="AA44" s="39" t="s">
        <v>196</v>
      </c>
      <c r="AB44" s="39" t="s">
        <v>197</v>
      </c>
      <c r="AC44" s="39" t="s">
        <v>100</v>
      </c>
      <c r="AD44" s="39" t="s">
        <v>93</v>
      </c>
      <c r="AE44" s="39" t="s">
        <v>87</v>
      </c>
      <c r="AF44" s="39" t="s">
        <v>88</v>
      </c>
      <c r="AG44" s="39" t="s">
        <v>84</v>
      </c>
      <c r="AH44" s="39" t="s">
        <v>84</v>
      </c>
      <c r="AI44" s="39" t="s">
        <v>84</v>
      </c>
      <c r="AJ44" s="39" t="s">
        <v>84</v>
      </c>
      <c r="AK44" s="39" t="s">
        <v>84</v>
      </c>
      <c r="AL44" s="39" t="s">
        <v>84</v>
      </c>
      <c r="AM44" t="str">
        <f>VLOOKUP($R44,武学奇术!$A:$ZZ,25,FALSE)</f>
        <v>拳甲</v>
      </c>
      <c r="AN44" s="24">
        <f>VLOOKUP($R44,武学奇术!$A:$ZZ,26,FALSE)</f>
        <v>0.9634</v>
      </c>
      <c r="AO44" s="25">
        <f>VLOOKUP($R44,武学奇术!$A:$ZZ,27,FALSE)*(1+IF(OR($AM44=$F$4,$AM44=$F$5),$B$22,0))</f>
        <v>427.2</v>
      </c>
      <c r="AP44" s="24">
        <f>VLOOKUP($R44,武学奇术!$A:$ZZ,28,FALSE)</f>
        <v>1.4451</v>
      </c>
      <c r="AQ44" s="25">
        <f>VLOOKUP($R44,武学奇术!$A:$ZZ,29,FALSE)*(1+IF(OR($AM44=$F$4,$AM44=$F$5),$B$22,0))</f>
        <v>232</v>
      </c>
      <c r="AR44" s="24" cm="1">
        <f t="array" ref="AR44">$G$3+IFERROR(VLOOKUP($AM44,$F$4:$G$7,2,FALSE),0)+VLOOKUP($R44,武学奇术!$A:$ZZ,2,FALSE)+SUM(_xlfn.XLOOKUP($S44:$AL44,增益!$A:$A,增益!$B:$B,0))</f>
        <v>0.4543</v>
      </c>
      <c r="AS44" s="24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4342.95</v>
      </c>
      <c r="AU44" cm="1">
        <f t="array" ref="AU44">$E$10*(1+$AS44)+VLOOKUP($R44,武学奇术!$A:$ZZ,4,FALSE)+SUM(_xlfn.XLOOKUP($S44:$AL44,增益!$A:$A,增益!$D:$D,0))-$I$2</f>
        <v>4342.95</v>
      </c>
      <c r="AV44" s="31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0.4284</v>
      </c>
      <c r="AW44" s="31" cm="1">
        <f t="array" ref="AW44">$G$10+VLOOKUP($R44,武学奇术!$A:$ZZ,7,FALSE)+SUM(_xlfn.XLOOKUP($S44:$AL44,增益!$A:$A,增益!$G:$G,0))</f>
        <v>0.11</v>
      </c>
      <c r="AX44" s="24" cm="1">
        <f t="array" ref="AX44">VLOOKUP($R44,武学奇术!$A:$ZZ,8,FALSE)+SUM(_xlfn.XLOOKUP($S44:$AL44,增益!$A:$A,增益!$H:$H,0))</f>
        <v>0</v>
      </c>
      <c r="AY44">
        <f t="shared" si="13"/>
        <v>0</v>
      </c>
      <c r="AZ44">
        <f t="shared" si="14"/>
        <v>0</v>
      </c>
      <c r="BA44" s="31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-0.14</v>
      </c>
      <c r="BB44" s="31" cm="1">
        <f t="array" ref="BB44">$G$11+VLOOKUP($R44,武学奇术!$A:$ZZ,10,FALSE)+SUM(_xlfn.XLOOKUP($S44:$AL44,增益!$A:$A,增益!$J:$J,0))</f>
        <v>0.12</v>
      </c>
      <c r="BC44">
        <f t="shared" si="15"/>
        <v>0</v>
      </c>
      <c r="BD44">
        <f t="shared" si="16"/>
        <v>0</v>
      </c>
      <c r="BE44" s="31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-0.14</v>
      </c>
      <c r="BF44" s="31" cm="1">
        <f t="array" ref="BF44">$G$12+VLOOKUP($R44,武学奇术!$A:$ZZ,12,FALSE)+SUM(_xlfn.XLOOKUP($S44:$AL44,增益!$A:$A,增益!$L:$L,0))</f>
        <v>0.02</v>
      </c>
      <c r="BG44">
        <f t="shared" si="17"/>
        <v>0</v>
      </c>
      <c r="BH44">
        <f t="shared" si="18"/>
        <v>0</v>
      </c>
      <c r="BI44" s="31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-0.14</v>
      </c>
      <c r="BJ44" s="31" cm="1">
        <f t="array" ref="BJ44">$G$13+VLOOKUP($R44,武学奇术!$A:$ZZ,14,FALSE)+SUM(_xlfn.XLOOKUP($S44:$AL44,增益!$A:$A,增益!$N:$N,0))</f>
        <v>0.02</v>
      </c>
      <c r="BK44">
        <f t="shared" si="19"/>
        <v>649.11</v>
      </c>
      <c r="BL44">
        <f t="shared" si="20"/>
        <v>1812.09</v>
      </c>
      <c r="BM44" s="31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0.08</v>
      </c>
      <c r="BN44" s="31" cm="1">
        <f t="array" ref="BN44">$G$14+VLOOKUP($R44,武学奇术!$A:$ZZ,16,FALSE)+SUM(_xlfn.XLOOKUP($S44:$AL44,增益!$A:$A,增益!$P:$P,0))</f>
        <v>0.26</v>
      </c>
      <c r="BO44" s="24">
        <f>MIN(IF(VLOOKUP($R44,武学奇术!$A:$ZZ,23,FALSE)=1,100%,$B$8),100%)</f>
        <v>0.9943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0.8985</v>
      </c>
      <c r="BQ44" s="24" cm="1">
        <f t="array" ref="BQ44">1+$B$13+VLOOKUP($R44,武学奇术!$A:$ZZ,18,FALSE)+SUM(_xlfn.XLOOKUP($S44:$AL44,增益!$A:$A,增益!$R:$R,0))</f>
        <v>2.29</v>
      </c>
      <c r="BR44" s="24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4" cm="1">
        <f t="array" ref="BS44">1+$B$14+VLOOKUP($R44,武学奇术!$A:$ZZ,20,FALSE)+SUM(_xlfn.XLOOKUP($S44:$AL44,增益!$A:$A,增益!$T:$T,0))</f>
        <v>1.35</v>
      </c>
      <c r="BT44" s="24">
        <f t="shared" si="21"/>
        <v>0.89337855</v>
      </c>
      <c r="BU44" s="24">
        <f t="shared" si="22"/>
        <v>0.0153214500000001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0.31</v>
      </c>
      <c r="BX44" s="24">
        <f>VLOOKUP($R44,武学奇术!$A:$ZZ,32,FALSE)</f>
        <v>0.4</v>
      </c>
      <c r="BY44" s="24" cm="1">
        <f t="array" ref="BY44">SUM(_xlfn.XLOOKUP($S44:$AL44,增益!$A:$A,增益!$X:$X,0))</f>
        <v>0</v>
      </c>
    </row>
    <row r="45" spans="1:77">
      <c r="A45" t="s">
        <v>188</v>
      </c>
      <c r="B45">
        <v>0.9</v>
      </c>
      <c r="K45" s="37">
        <f>$L45*VLOOKUP($R45,武学奇术!$A:$ZZ,31,FALSE)</f>
        <v>75968.2217957119</v>
      </c>
      <c r="L45" s="37">
        <f t="shared" si="12"/>
        <v>75968.2217957119</v>
      </c>
      <c r="M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*(1+$BX45)</f>
        <v>79140.0232094422</v>
      </c>
      <c r="N45" s="37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*(1+$BX45)</f>
        <v>51880.9332313698</v>
      </c>
      <c r="O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*(1+$BX45)</f>
        <v>34558.9621001931</v>
      </c>
      <c r="P45" s="37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*(1+$BX45)</f>
        <v>30687.6032882604</v>
      </c>
      <c r="Q45" s="38">
        <v>1</v>
      </c>
      <c r="R45" s="39" t="s">
        <v>142</v>
      </c>
      <c r="S45" s="39" t="s">
        <v>104</v>
      </c>
      <c r="T45" s="39" t="s">
        <v>194</v>
      </c>
      <c r="U45" s="39" t="s">
        <v>81</v>
      </c>
      <c r="V45" s="39" t="s">
        <v>130</v>
      </c>
      <c r="W45" s="39" t="s">
        <v>83</v>
      </c>
      <c r="X45" s="39" t="s">
        <v>84</v>
      </c>
      <c r="Y45" s="39" t="s">
        <v>85</v>
      </c>
      <c r="Z45" s="39" t="s">
        <v>195</v>
      </c>
      <c r="AA45" s="39" t="s">
        <v>196</v>
      </c>
      <c r="AB45" s="39" t="s">
        <v>197</v>
      </c>
      <c r="AC45" s="39" t="s">
        <v>100</v>
      </c>
      <c r="AD45" s="39" t="s">
        <v>93</v>
      </c>
      <c r="AE45" s="39" t="s">
        <v>87</v>
      </c>
      <c r="AF45" s="39" t="s">
        <v>88</v>
      </c>
      <c r="AG45" s="39" t="s">
        <v>84</v>
      </c>
      <c r="AH45" s="39" t="s">
        <v>84</v>
      </c>
      <c r="AI45" s="39" t="s">
        <v>84</v>
      </c>
      <c r="AJ45" s="39" t="s">
        <v>84</v>
      </c>
      <c r="AK45" s="39" t="s">
        <v>84</v>
      </c>
      <c r="AL45" s="39" t="s">
        <v>84</v>
      </c>
      <c r="AM45" t="str">
        <f>VLOOKUP($R45,武学奇术!$A:$ZZ,25,FALSE)</f>
        <v>拳甲</v>
      </c>
      <c r="AN45" s="24">
        <f>VLOOKUP($R45,武学奇术!$A:$ZZ,26,FALSE)</f>
        <v>0.926</v>
      </c>
      <c r="AO45" s="25">
        <f>VLOOKUP($R45,武学奇术!$A:$ZZ,27,FALSE)*(1+IF(OR($AM45=$F$4,$AM45=$F$5),$B$22,0))</f>
        <v>411.2</v>
      </c>
      <c r="AP45" s="24">
        <f>VLOOKUP($R45,武学奇术!$A:$ZZ,28,FALSE)</f>
        <v>1.389</v>
      </c>
      <c r="AQ45" s="25">
        <f>VLOOKUP($R45,武学奇术!$A:$ZZ,29,FALSE)*(1+IF(OR($AM45=$F$4,$AM45=$F$5),$B$22,0))</f>
        <v>224</v>
      </c>
      <c r="AR45" s="24" cm="1">
        <f t="array" ref="AR45">$G$3+IFERROR(VLOOKUP($AM45,$F$4:$G$7,2,FALSE),0)+VLOOKUP($R45,武学奇术!$A:$ZZ,2,FALSE)+SUM(_xlfn.XLOOKUP($S45:$AL45,增益!$A:$A,增益!$B:$B,0))</f>
        <v>0.4543</v>
      </c>
      <c r="AS45" s="24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4342.95</v>
      </c>
      <c r="AU45" cm="1">
        <f t="array" ref="AU45">$E$10*(1+$AS45)+VLOOKUP($R45,武学奇术!$A:$ZZ,4,FALSE)+SUM(_xlfn.XLOOKUP($S45:$AL45,增益!$A:$A,增益!$D:$D,0))-$I$2</f>
        <v>4342.95</v>
      </c>
      <c r="AV45" s="31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0.4284</v>
      </c>
      <c r="AW45" s="31" cm="1">
        <f t="array" ref="AW45">$G$10+VLOOKUP($R45,武学奇术!$A:$ZZ,7,FALSE)+SUM(_xlfn.XLOOKUP($S45:$AL45,增益!$A:$A,增益!$G:$G,0))</f>
        <v>0.11</v>
      </c>
      <c r="AX45" s="24" cm="1">
        <f t="array" ref="AX45">VLOOKUP($R45,武学奇术!$A:$ZZ,8,FALSE)+SUM(_xlfn.XLOOKUP($S45:$AL45,增益!$A:$A,增益!$H:$H,0))</f>
        <v>0</v>
      </c>
      <c r="AY45">
        <f t="shared" si="13"/>
        <v>0</v>
      </c>
      <c r="AZ45">
        <f t="shared" si="14"/>
        <v>0</v>
      </c>
      <c r="BA45" s="31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-0.14</v>
      </c>
      <c r="BB45" s="31" cm="1">
        <f t="array" ref="BB45">$G$11+VLOOKUP($R45,武学奇术!$A:$ZZ,10,FALSE)+SUM(_xlfn.XLOOKUP($S45:$AL45,增益!$A:$A,增益!$J:$J,0))</f>
        <v>0.12</v>
      </c>
      <c r="BC45">
        <f t="shared" si="15"/>
        <v>0</v>
      </c>
      <c r="BD45">
        <f t="shared" si="16"/>
        <v>0</v>
      </c>
      <c r="BE45" s="31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-0.14</v>
      </c>
      <c r="BF45" s="31" cm="1">
        <f t="array" ref="BF45">$G$12+VLOOKUP($R45,武学奇术!$A:$ZZ,12,FALSE)+SUM(_xlfn.XLOOKUP($S45:$AL45,增益!$A:$A,增益!$L:$L,0))</f>
        <v>0.02</v>
      </c>
      <c r="BG45">
        <f t="shared" si="17"/>
        <v>0</v>
      </c>
      <c r="BH45">
        <f t="shared" si="18"/>
        <v>0</v>
      </c>
      <c r="BI45" s="31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-0.14</v>
      </c>
      <c r="BJ45" s="31" cm="1">
        <f t="array" ref="BJ45">$G$13+VLOOKUP($R45,武学奇术!$A:$ZZ,14,FALSE)+SUM(_xlfn.XLOOKUP($S45:$AL45,增益!$A:$A,增益!$N:$N,0))</f>
        <v>0.02</v>
      </c>
      <c r="BK45">
        <f t="shared" si="19"/>
        <v>649.11</v>
      </c>
      <c r="BL45">
        <f t="shared" si="20"/>
        <v>1812.09</v>
      </c>
      <c r="BM45" s="31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0.08</v>
      </c>
      <c r="BN45" s="31" cm="1">
        <f t="array" ref="BN45">$G$14+VLOOKUP($R45,武学奇术!$A:$ZZ,16,FALSE)+SUM(_xlfn.XLOOKUP($S45:$AL45,增益!$A:$A,增益!$P:$P,0))</f>
        <v>0.26</v>
      </c>
      <c r="BO45" s="24">
        <f>MIN(IF(VLOOKUP($R45,武学奇术!$A:$ZZ,23,FALSE)=1,100%,$B$8),100%)</f>
        <v>0.9943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0.8985</v>
      </c>
      <c r="BQ45" s="24" cm="1">
        <f t="array" ref="BQ45">1+$B$13+VLOOKUP($R45,武学奇术!$A:$ZZ,18,FALSE)+SUM(_xlfn.XLOOKUP($S45:$AL45,增益!$A:$A,增益!$R:$R,0))</f>
        <v>2.29</v>
      </c>
      <c r="BR45" s="24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24" cm="1">
        <f t="array" ref="BS45">1+$B$14+VLOOKUP($R45,武学奇术!$A:$ZZ,20,FALSE)+SUM(_xlfn.XLOOKUP($S45:$AL45,增益!$A:$A,增益!$T:$T,0))</f>
        <v>1.35</v>
      </c>
      <c r="BT45" s="24">
        <f t="shared" si="21"/>
        <v>0.89337855</v>
      </c>
      <c r="BU45" s="24">
        <f t="shared" si="22"/>
        <v>0.0153214500000001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0.31</v>
      </c>
      <c r="BX45" s="24">
        <f>VLOOKUP($R45,武学奇术!$A:$ZZ,32,FALSE)</f>
        <v>0.4</v>
      </c>
      <c r="BY45" s="24" cm="1">
        <f t="array" ref="BY45">SUM(_xlfn.XLOOKUP($S45:$AL45,增益!$A:$A,增益!$X:$X,0))</f>
        <v>0</v>
      </c>
    </row>
    <row r="46" spans="1:77">
      <c r="A46" t="s">
        <v>189</v>
      </c>
      <c r="B46">
        <v>0.6</v>
      </c>
      <c r="K46" s="37">
        <f>$L46*VLOOKUP($R46,武学奇术!$A:$ZZ,31,FALSE)</f>
        <v>90679.4114387402</v>
      </c>
      <c r="L46" s="37">
        <f t="shared" si="12"/>
        <v>90679.4114387402</v>
      </c>
      <c r="M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*(1+$BX46)</f>
        <v>94497.4142786473</v>
      </c>
      <c r="N46" s="37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*(1+$BX46)</f>
        <v>61612.3229148542</v>
      </c>
      <c r="O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*(1+$BX46)</f>
        <v>41265.2464098897</v>
      </c>
      <c r="P46" s="37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*(1+$BX46)</f>
        <v>36891.7351050725</v>
      </c>
      <c r="Q46" s="38">
        <v>1</v>
      </c>
      <c r="R46" s="39" t="s">
        <v>146</v>
      </c>
      <c r="S46" s="39" t="s">
        <v>104</v>
      </c>
      <c r="T46" s="39" t="s">
        <v>194</v>
      </c>
      <c r="U46" s="39" t="s">
        <v>81</v>
      </c>
      <c r="V46" s="39" t="s">
        <v>130</v>
      </c>
      <c r="W46" s="39" t="s">
        <v>83</v>
      </c>
      <c r="X46" s="39" t="s">
        <v>84</v>
      </c>
      <c r="Y46" s="39" t="s">
        <v>84</v>
      </c>
      <c r="Z46" s="39" t="s">
        <v>195</v>
      </c>
      <c r="AA46" s="39" t="s">
        <v>196</v>
      </c>
      <c r="AB46" s="39" t="s">
        <v>197</v>
      </c>
      <c r="AC46" s="39" t="s">
        <v>92</v>
      </c>
      <c r="AD46" s="39" t="s">
        <v>93</v>
      </c>
      <c r="AE46" s="39" t="s">
        <v>87</v>
      </c>
      <c r="AF46" s="39" t="s">
        <v>88</v>
      </c>
      <c r="AG46" s="39" t="s">
        <v>84</v>
      </c>
      <c r="AH46" s="39" t="s">
        <v>84</v>
      </c>
      <c r="AI46" s="39" t="s">
        <v>84</v>
      </c>
      <c r="AJ46" s="39" t="s">
        <v>84</v>
      </c>
      <c r="AK46" s="39" t="s">
        <v>84</v>
      </c>
      <c r="AL46" s="39" t="s">
        <v>84</v>
      </c>
      <c r="AM46" t="str">
        <f>VLOOKUP($R46,武学奇术!$A:$ZZ,25,FALSE)</f>
        <v>拳甲</v>
      </c>
      <c r="AN46" s="24">
        <f>VLOOKUP($R46,武学奇术!$A:$ZZ,26,FALSE)</f>
        <v>1.1298</v>
      </c>
      <c r="AO46" s="25">
        <f>VLOOKUP($R46,武学奇术!$A:$ZZ,27,FALSE)*(1+IF(OR($AM46=$F$4,$AM46=$F$5),$B$22,0))</f>
        <v>500.8</v>
      </c>
      <c r="AP46" s="24">
        <f>VLOOKUP($R46,武学奇术!$A:$ZZ,28,FALSE)</f>
        <v>1.6947</v>
      </c>
      <c r="AQ46" s="25">
        <f>VLOOKUP($R46,武学奇术!$A:$ZZ,29,FALSE)*(1+IF(OR($AM46=$F$4,$AM46=$F$5),$B$22,0))</f>
        <v>272</v>
      </c>
      <c r="AR46" s="24" cm="1">
        <f t="array" ref="AR46">$G$3+IFERROR(VLOOKUP($AM46,$F$4:$G$7,2,FALSE),0)+VLOOKUP($R46,武学奇术!$A:$ZZ,2,FALSE)+SUM(_xlfn.XLOOKUP($S46:$AL46,增益!$A:$A,增益!$B:$B,0))</f>
        <v>0.4543</v>
      </c>
      <c r="AS46" s="24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4342.95</v>
      </c>
      <c r="AU46" cm="1">
        <f t="array" ref="AU46">$E$10*(1+$AS46)+VLOOKUP($R46,武学奇术!$A:$ZZ,4,FALSE)+SUM(_xlfn.XLOOKUP($S46:$AL46,增益!$A:$A,增益!$D:$D,0))-$I$2</f>
        <v>4342.95</v>
      </c>
      <c r="AV46" s="31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0.4284</v>
      </c>
      <c r="AW46" s="31" cm="1">
        <f t="array" ref="AW46">$G$10+VLOOKUP($R46,武学奇术!$A:$ZZ,7,FALSE)+SUM(_xlfn.XLOOKUP($S46:$AL46,增益!$A:$A,增益!$G:$G,0))</f>
        <v>0.11</v>
      </c>
      <c r="AX46" s="24" cm="1">
        <f t="array" ref="AX46">VLOOKUP($R46,武学奇术!$A:$ZZ,8,FALSE)+SUM(_xlfn.XLOOKUP($S46:$AL46,增益!$A:$A,增益!$H:$H,0))</f>
        <v>0</v>
      </c>
      <c r="AY46">
        <f t="shared" si="13"/>
        <v>0</v>
      </c>
      <c r="AZ46">
        <f t="shared" si="14"/>
        <v>0</v>
      </c>
      <c r="BA46" s="31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1" cm="1">
        <f t="array" ref="BB46">$G$11+VLOOKUP($R46,武学奇术!$A:$ZZ,10,FALSE)+SUM(_xlfn.XLOOKUP($S46:$AL46,增益!$A:$A,增益!$J:$J,0))</f>
        <v>0.12</v>
      </c>
      <c r="BC46">
        <f t="shared" si="15"/>
        <v>0</v>
      </c>
      <c r="BD46">
        <f t="shared" si="16"/>
        <v>0</v>
      </c>
      <c r="BE46" s="31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1" cm="1">
        <f t="array" ref="BF46">$G$12+VLOOKUP($R46,武学奇术!$A:$ZZ,12,FALSE)+SUM(_xlfn.XLOOKUP($S46:$AL46,增益!$A:$A,增益!$L:$L,0))</f>
        <v>0.02</v>
      </c>
      <c r="BG46">
        <f t="shared" si="17"/>
        <v>0</v>
      </c>
      <c r="BH46">
        <f t="shared" si="18"/>
        <v>0</v>
      </c>
      <c r="BI46" s="31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1" cm="1">
        <f t="array" ref="BJ46">$G$13+VLOOKUP($R46,武学奇术!$A:$ZZ,14,FALSE)+SUM(_xlfn.XLOOKUP($S46:$AL46,增益!$A:$A,增益!$N:$N,0))</f>
        <v>0.02</v>
      </c>
      <c r="BK46">
        <f t="shared" si="19"/>
        <v>649.11</v>
      </c>
      <c r="BL46">
        <f t="shared" si="20"/>
        <v>1812.09</v>
      </c>
      <c r="BM46" s="31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1" cm="1">
        <f t="array" ref="BN46">$G$14+VLOOKUP($R46,武学奇术!$A:$ZZ,16,FALSE)+SUM(_xlfn.XLOOKUP($S46:$AL46,增益!$A:$A,增益!$P:$P,0))</f>
        <v>0.26</v>
      </c>
      <c r="BO46" s="24">
        <f>MIN(IF(VLOOKUP($R46,武学奇术!$A:$ZZ,23,FALSE)=1,100%,$B$8),100%)</f>
        <v>0.9943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0.8985</v>
      </c>
      <c r="BQ46" s="24" cm="1">
        <f t="array" ref="BQ46">1+$B$13+VLOOKUP($R46,武学奇术!$A:$ZZ,18,FALSE)+SUM(_xlfn.XLOOKUP($S46:$AL46,增益!$A:$A,增益!$R:$R,0))</f>
        <v>2.29</v>
      </c>
      <c r="BR46" s="24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24" cm="1">
        <f t="array" ref="BS46">1+$B$14+VLOOKUP($R46,武学奇术!$A:$ZZ,20,FALSE)+SUM(_xlfn.XLOOKUP($S46:$AL46,增益!$A:$A,增益!$T:$T,0))</f>
        <v>1.35</v>
      </c>
      <c r="BT46" s="24">
        <f t="shared" si="21"/>
        <v>0.89337855</v>
      </c>
      <c r="BU46" s="24">
        <f t="shared" si="22"/>
        <v>0.0153214500000001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0.31</v>
      </c>
      <c r="BX46" s="24">
        <f>VLOOKUP($R46,武学奇术!$A:$ZZ,32,FALSE)</f>
        <v>0.4</v>
      </c>
      <c r="BY46" s="24" cm="1">
        <f t="array" ref="BY46">SUM(_xlfn.XLOOKUP($S46:$AL46,增益!$A:$A,增益!$X:$X,0))</f>
        <v>0</v>
      </c>
    </row>
    <row r="47" spans="1:77">
      <c r="A47" t="s">
        <v>182</v>
      </c>
      <c r="B47">
        <v>0.7</v>
      </c>
      <c r="K47" s="37">
        <f>$L47*VLOOKUP($R47,武学奇术!$A:$ZZ,31,FALSE)</f>
        <v>204701.253560029</v>
      </c>
      <c r="L47" s="37">
        <f t="shared" si="12"/>
        <v>204701.253560029</v>
      </c>
      <c r="M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*(1+$BX47)</f>
        <v>213320.326784253</v>
      </c>
      <c r="N47" s="37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*(1+$BX47)</f>
        <v>139082.262752195</v>
      </c>
      <c r="O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*(1+$BX47)</f>
        <v>93152.9811284947</v>
      </c>
      <c r="P47" s="37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*(1+$BX47)</f>
        <v>83282.0639220304</v>
      </c>
      <c r="Q47" s="38">
        <v>1</v>
      </c>
      <c r="R47" s="39" t="s">
        <v>151</v>
      </c>
      <c r="S47" s="39" t="s">
        <v>104</v>
      </c>
      <c r="T47" s="39" t="s">
        <v>194</v>
      </c>
      <c r="U47" s="39" t="s">
        <v>81</v>
      </c>
      <c r="V47" s="39" t="s">
        <v>130</v>
      </c>
      <c r="W47" s="39" t="s">
        <v>83</v>
      </c>
      <c r="X47" s="39" t="s">
        <v>84</v>
      </c>
      <c r="Y47" s="39" t="s">
        <v>84</v>
      </c>
      <c r="Z47" s="39" t="s">
        <v>195</v>
      </c>
      <c r="AA47" s="39" t="s">
        <v>196</v>
      </c>
      <c r="AB47" s="39" t="s">
        <v>204</v>
      </c>
      <c r="AC47" s="39" t="s">
        <v>92</v>
      </c>
      <c r="AD47" s="39" t="s">
        <v>93</v>
      </c>
      <c r="AE47" s="39" t="s">
        <v>87</v>
      </c>
      <c r="AF47" s="39" t="s">
        <v>88</v>
      </c>
      <c r="AG47" s="39" t="s">
        <v>84</v>
      </c>
      <c r="AH47" s="39" t="s">
        <v>84</v>
      </c>
      <c r="AI47" s="39" t="s">
        <v>84</v>
      </c>
      <c r="AJ47" s="39" t="s">
        <v>84</v>
      </c>
      <c r="AK47" s="39" t="s">
        <v>84</v>
      </c>
      <c r="AL47" s="39" t="s">
        <v>84</v>
      </c>
      <c r="AM47" t="str">
        <f>VLOOKUP($R47,武学奇术!$A:$ZZ,25,FALSE)</f>
        <v>拳甲</v>
      </c>
      <c r="AN47" s="24">
        <f>VLOOKUP($R47,武学奇术!$A:$ZZ,26,FALSE)</f>
        <v>2.5499</v>
      </c>
      <c r="AO47" s="25">
        <f>VLOOKUP($R47,武学奇术!$A:$ZZ,27,FALSE)*(1+IF(OR($AM47=$F$4,$AM47=$F$5),$B$22,0))</f>
        <v>1131.2</v>
      </c>
      <c r="AP47" s="24">
        <f>VLOOKUP($R47,武学奇术!$A:$ZZ,28,FALSE)</f>
        <v>3.8249</v>
      </c>
      <c r="AQ47" s="25">
        <f>VLOOKUP($R47,武学奇术!$A:$ZZ,29,FALSE)*(1+IF(OR($AM47=$F$4,$AM47=$F$5),$B$22,0))</f>
        <v>616</v>
      </c>
      <c r="AR47" s="24" cm="1">
        <f t="array" ref="AR47">$G$3+IFERROR(VLOOKUP($AM47,$F$4:$G$7,2,FALSE),0)+VLOOKUP($R47,武学奇术!$A:$ZZ,2,FALSE)+SUM(_xlfn.XLOOKUP($S47:$AL47,增益!$A:$A,增益!$B:$B,0))</f>
        <v>0.4543</v>
      </c>
      <c r="AS47" s="24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4342.95</v>
      </c>
      <c r="AU47" cm="1">
        <f t="array" ref="AU47">$E$10*(1+$AS47)+VLOOKUP($R47,武学奇术!$A:$ZZ,4,FALSE)+SUM(_xlfn.XLOOKUP($S47:$AL47,增益!$A:$A,增益!$D:$D,0))-$I$2</f>
        <v>4342.95</v>
      </c>
      <c r="AV47" s="31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0.4284</v>
      </c>
      <c r="AW47" s="31" cm="1">
        <f t="array" ref="AW47">$G$10+VLOOKUP($R47,武学奇术!$A:$ZZ,7,FALSE)+SUM(_xlfn.XLOOKUP($S47:$AL47,增益!$A:$A,增益!$G:$G,0))</f>
        <v>0.11</v>
      </c>
      <c r="AX47" s="24" cm="1">
        <f t="array" ref="AX47">VLOOKUP($R47,武学奇术!$A:$ZZ,8,FALSE)+SUM(_xlfn.XLOOKUP($S47:$AL47,增益!$A:$A,增益!$H:$H,0))</f>
        <v>0</v>
      </c>
      <c r="AY47">
        <f t="shared" si="13"/>
        <v>0</v>
      </c>
      <c r="AZ47">
        <f t="shared" si="14"/>
        <v>0</v>
      </c>
      <c r="BA47" s="31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1" cm="1">
        <f t="array" ref="BB47">$G$11+VLOOKUP($R47,武学奇术!$A:$ZZ,10,FALSE)+SUM(_xlfn.XLOOKUP($S47:$AL47,增益!$A:$A,增益!$J:$J,0))</f>
        <v>0.12</v>
      </c>
      <c r="BC47">
        <f t="shared" si="15"/>
        <v>0</v>
      </c>
      <c r="BD47">
        <f t="shared" si="16"/>
        <v>0</v>
      </c>
      <c r="BE47" s="31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1" cm="1">
        <f t="array" ref="BF47">$G$12+VLOOKUP($R47,武学奇术!$A:$ZZ,12,FALSE)+SUM(_xlfn.XLOOKUP($S47:$AL47,增益!$A:$A,增益!$L:$L,0))</f>
        <v>0.02</v>
      </c>
      <c r="BG47">
        <f t="shared" si="17"/>
        <v>0</v>
      </c>
      <c r="BH47">
        <f t="shared" si="18"/>
        <v>0</v>
      </c>
      <c r="BI47" s="31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1" cm="1">
        <f t="array" ref="BJ47">$G$13+VLOOKUP($R47,武学奇术!$A:$ZZ,14,FALSE)+SUM(_xlfn.XLOOKUP($S47:$AL47,增益!$A:$A,增益!$N:$N,0))</f>
        <v>0.02</v>
      </c>
      <c r="BK47">
        <f t="shared" si="19"/>
        <v>649.11</v>
      </c>
      <c r="BL47">
        <f t="shared" si="20"/>
        <v>1812.09</v>
      </c>
      <c r="BM47" s="31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1" cm="1">
        <f t="array" ref="BN47">$G$14+VLOOKUP($R47,武学奇术!$A:$ZZ,16,FALSE)+SUM(_xlfn.XLOOKUP($S47:$AL47,增益!$A:$A,增益!$P:$P,0))</f>
        <v>0.26</v>
      </c>
      <c r="BO47" s="24">
        <f>MIN(IF(VLOOKUP($R47,武学奇术!$A:$ZZ,23,FALSE)=1,100%,$B$8),100%)</f>
        <v>0.9943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0.8985</v>
      </c>
      <c r="BQ47" s="24" cm="1">
        <f t="array" ref="BQ47">1+$B$13+VLOOKUP($R47,武学奇术!$A:$ZZ,18,FALSE)+SUM(_xlfn.XLOOKUP($S47:$AL47,增益!$A:$A,增益!$R:$R,0))</f>
        <v>2.29</v>
      </c>
      <c r="BR47" s="24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4" cm="1">
        <f t="array" ref="BS47">1+$B$14+VLOOKUP($R47,武学奇术!$A:$ZZ,20,FALSE)+SUM(_xlfn.XLOOKUP($S47:$AL47,增益!$A:$A,增益!$T:$T,0))</f>
        <v>1.35</v>
      </c>
      <c r="BT47" s="24">
        <f t="shared" si="21"/>
        <v>0.89337855</v>
      </c>
      <c r="BU47" s="24">
        <f t="shared" si="22"/>
        <v>0.0153214500000001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0.31</v>
      </c>
      <c r="BX47" s="24">
        <f>VLOOKUP($R47,武学奇术!$A:$ZZ,32,FALSE)</f>
        <v>0.4</v>
      </c>
      <c r="BY47" s="24" cm="1">
        <f t="array" ref="BY47">SUM(_xlfn.XLOOKUP($S47:$AL47,增益!$A:$A,增益!$X:$X,0))</f>
        <v>0</v>
      </c>
    </row>
    <row r="48" spans="1:77">
      <c r="A48" t="s">
        <v>178</v>
      </c>
      <c r="B48">
        <v>0.1</v>
      </c>
      <c r="K48" s="37">
        <f>$L48*VLOOKUP($R48,武学奇术!$A:$ZZ,31,FALSE)</f>
        <v>245503.368426572</v>
      </c>
      <c r="L48" s="37">
        <f t="shared" si="12"/>
        <v>245503.368426572</v>
      </c>
      <c r="M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*(1+$BX48)</f>
        <v>255839.989461288</v>
      </c>
      <c r="N48" s="37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*(1+$BX48)</f>
        <v>166809.30183389</v>
      </c>
      <c r="O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*(1+$BX48)</f>
        <v>111720.51941541</v>
      </c>
      <c r="P48" s="37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*(1+$BX48)</f>
        <v>99878.5930279374</v>
      </c>
      <c r="Q48" s="38">
        <v>1</v>
      </c>
      <c r="R48" s="39" t="s">
        <v>157</v>
      </c>
      <c r="S48" s="39" t="s">
        <v>104</v>
      </c>
      <c r="T48" s="39" t="s">
        <v>194</v>
      </c>
      <c r="U48" s="39" t="s">
        <v>81</v>
      </c>
      <c r="V48" s="39" t="s">
        <v>130</v>
      </c>
      <c r="W48" s="39" t="s">
        <v>83</v>
      </c>
      <c r="X48" s="39" t="s">
        <v>84</v>
      </c>
      <c r="Y48" s="39" t="s">
        <v>84</v>
      </c>
      <c r="Z48" s="39" t="s">
        <v>195</v>
      </c>
      <c r="AA48" s="39" t="s">
        <v>196</v>
      </c>
      <c r="AB48" s="39" t="s">
        <v>204</v>
      </c>
      <c r="AC48" s="39" t="s">
        <v>92</v>
      </c>
      <c r="AD48" s="39" t="s">
        <v>93</v>
      </c>
      <c r="AE48" s="39" t="s">
        <v>87</v>
      </c>
      <c r="AF48" s="39" t="s">
        <v>88</v>
      </c>
      <c r="AG48" s="39" t="s">
        <v>84</v>
      </c>
      <c r="AH48" s="39" t="s">
        <v>84</v>
      </c>
      <c r="AI48" s="39" t="s">
        <v>84</v>
      </c>
      <c r="AJ48" s="39" t="s">
        <v>84</v>
      </c>
      <c r="AK48" s="39" t="s">
        <v>84</v>
      </c>
      <c r="AL48" s="39" t="s">
        <v>84</v>
      </c>
      <c r="AM48" t="str">
        <f>VLOOKUP($R48,武学奇术!$A:$ZZ,25,FALSE)</f>
        <v>双刀</v>
      </c>
      <c r="AN48" s="24">
        <f>VLOOKUP($R48,武学奇术!$A:$ZZ,26,FALSE)</f>
        <v>2.85516</v>
      </c>
      <c r="AO48" s="25">
        <f>VLOOKUP($R48,武学奇术!$A:$ZZ,27,FALSE)*(1+IF(OR($AM48=$F$4,$AM48=$F$5),$B$22,0))</f>
        <v>1263.36</v>
      </c>
      <c r="AP48" s="24">
        <f>VLOOKUP($R48,武学奇术!$A:$ZZ,28,FALSE)</f>
        <v>4.28274</v>
      </c>
      <c r="AQ48" s="25">
        <f>VLOOKUP($R48,武学奇术!$A:$ZZ,29,FALSE)*(1+IF(OR($AM48=$F$4,$AM48=$F$5),$B$22,0))</f>
        <v>687.68</v>
      </c>
      <c r="AR48" s="24" cm="1">
        <f t="array" ref="AR48">$G$3+IFERROR(VLOOKUP($AM48,$F$4:$G$7,2,FALSE),0)+VLOOKUP($R48,武学奇术!$A:$ZZ,2,FALSE)+SUM(_xlfn.XLOOKUP($S48:$AL48,增益!$A:$A,增益!$B:$B,0))</f>
        <v>0.4543</v>
      </c>
      <c r="AS48" s="24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4342.95</v>
      </c>
      <c r="AU48" cm="1">
        <f t="array" ref="AU48">$E$10*(1+$AS48)+VLOOKUP($R48,武学奇术!$A:$ZZ,4,FALSE)+SUM(_xlfn.XLOOKUP($S48:$AL48,增益!$A:$A,增益!$D:$D,0))-$I$2</f>
        <v>4342.95</v>
      </c>
      <c r="AV48" s="31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0.4284</v>
      </c>
      <c r="AW48" s="31" cm="1">
        <f t="array" ref="AW48">$G$10+VLOOKUP($R48,武学奇术!$A:$ZZ,7,FALSE)+SUM(_xlfn.XLOOKUP($S48:$AL48,增益!$A:$A,增益!$G:$G,0))</f>
        <v>0.11</v>
      </c>
      <c r="AX48" s="24" cm="1">
        <f t="array" ref="AX48">VLOOKUP($R48,武学奇术!$A:$ZZ,8,FALSE)+SUM(_xlfn.XLOOKUP($S48:$AL48,增益!$A:$A,增益!$H:$H,0))</f>
        <v>0</v>
      </c>
      <c r="AY48">
        <f t="shared" si="13"/>
        <v>0</v>
      </c>
      <c r="AZ48">
        <f t="shared" si="14"/>
        <v>0</v>
      </c>
      <c r="BA48" s="31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1" cm="1">
        <f t="array" ref="BB48">$G$11+VLOOKUP($R48,武学奇术!$A:$ZZ,10,FALSE)+SUM(_xlfn.XLOOKUP($S48:$AL48,增益!$A:$A,增益!$J:$J,0))</f>
        <v>0.12</v>
      </c>
      <c r="BC48">
        <f t="shared" si="15"/>
        <v>0</v>
      </c>
      <c r="BD48">
        <f t="shared" si="16"/>
        <v>0</v>
      </c>
      <c r="BE48" s="31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1" cm="1">
        <f t="array" ref="BF48">$G$12+VLOOKUP($R48,武学奇术!$A:$ZZ,12,FALSE)+SUM(_xlfn.XLOOKUP($S48:$AL48,增益!$A:$A,增益!$L:$L,0))</f>
        <v>0.02</v>
      </c>
      <c r="BG48">
        <f t="shared" si="17"/>
        <v>0</v>
      </c>
      <c r="BH48">
        <f t="shared" si="18"/>
        <v>0</v>
      </c>
      <c r="BI48" s="31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1" cm="1">
        <f t="array" ref="BJ48">$G$13+VLOOKUP($R48,武学奇术!$A:$ZZ,14,FALSE)+SUM(_xlfn.XLOOKUP($S48:$AL48,增益!$A:$A,增益!$N:$N,0))</f>
        <v>0.02</v>
      </c>
      <c r="BK48">
        <f t="shared" si="19"/>
        <v>649.11</v>
      </c>
      <c r="BL48">
        <f t="shared" si="20"/>
        <v>1812.09</v>
      </c>
      <c r="BM48" s="31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</v>
      </c>
      <c r="BN48" s="31" cm="1">
        <f t="array" ref="BN48">$G$14+VLOOKUP($R48,武学奇术!$A:$ZZ,16,FALSE)+SUM(_xlfn.XLOOKUP($S48:$AL48,增益!$A:$A,增益!$P:$P,0))</f>
        <v>0.26</v>
      </c>
      <c r="BO48" s="24">
        <f>MIN(IF(VLOOKUP($R48,武学奇术!$A:$ZZ,23,FALSE)=1,100%,$B$8),100%)</f>
        <v>0.9943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0.8985</v>
      </c>
      <c r="BQ48" s="24" cm="1">
        <f t="array" ref="BQ48">1+$B$13+VLOOKUP($R48,武学奇术!$A:$ZZ,18,FALSE)+SUM(_xlfn.XLOOKUP($S48:$AL48,增益!$A:$A,增益!$R:$R,0))</f>
        <v>2.29</v>
      </c>
      <c r="BR48" s="24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4" cm="1">
        <f t="array" ref="BS48">1+$B$14+VLOOKUP($R48,武学奇术!$A:$ZZ,20,FALSE)+SUM(_xlfn.XLOOKUP($S48:$AL48,增益!$A:$A,增益!$T:$T,0))</f>
        <v>1.35</v>
      </c>
      <c r="BT48" s="24">
        <f t="shared" si="21"/>
        <v>0.89337855</v>
      </c>
      <c r="BU48" s="24">
        <f t="shared" si="22"/>
        <v>0.0153214500000001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0.31</v>
      </c>
      <c r="BX48" s="24">
        <f>VLOOKUP($R48,武学奇术!$A:$ZZ,32,FALSE)</f>
        <v>0.5</v>
      </c>
      <c r="BY48" s="24" cm="1">
        <f t="array" ref="BY48">SUM(_xlfn.XLOOKUP($S48:$AL48,增益!$A:$A,增益!$X:$X,0))</f>
        <v>0</v>
      </c>
    </row>
    <row r="49" spans="1:77">
      <c r="A49" t="s">
        <v>177</v>
      </c>
      <c r="B49">
        <v>0.7</v>
      </c>
      <c r="K49" s="37">
        <f>$L49*VLOOKUP($R49,武学奇术!$A:$ZZ,31,FALSE)</f>
        <v>277316.927548739</v>
      </c>
      <c r="L49" s="37">
        <f t="shared" si="12"/>
        <v>277316.927548739</v>
      </c>
      <c r="M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*(1+$BX49)</f>
        <v>288992.904805555</v>
      </c>
      <c r="N49" s="37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*(1+$BX49)</f>
        <v>188426.422706661</v>
      </c>
      <c r="O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*(1+$BX49)</f>
        <v>126197.77502426</v>
      </c>
      <c r="P49" s="37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*(1+$BX49)</f>
        <v>112820.42211766</v>
      </c>
      <c r="Q49" s="38">
        <v>1</v>
      </c>
      <c r="R49" s="39" t="s">
        <v>163</v>
      </c>
      <c r="S49" s="39" t="s">
        <v>104</v>
      </c>
      <c r="T49" s="39" t="s">
        <v>194</v>
      </c>
      <c r="U49" s="39" t="s">
        <v>81</v>
      </c>
      <c r="V49" s="39" t="s">
        <v>130</v>
      </c>
      <c r="W49" s="39" t="s">
        <v>83</v>
      </c>
      <c r="X49" s="39" t="s">
        <v>84</v>
      </c>
      <c r="Y49" s="39" t="s">
        <v>84</v>
      </c>
      <c r="Z49" s="39" t="s">
        <v>84</v>
      </c>
      <c r="AA49" s="39" t="s">
        <v>84</v>
      </c>
      <c r="AB49" s="39" t="s">
        <v>204</v>
      </c>
      <c r="AC49" s="39" t="s">
        <v>92</v>
      </c>
      <c r="AD49" s="39" t="s">
        <v>93</v>
      </c>
      <c r="AE49" s="39" t="s">
        <v>87</v>
      </c>
      <c r="AF49" s="39" t="s">
        <v>88</v>
      </c>
      <c r="AG49" s="39" t="s">
        <v>84</v>
      </c>
      <c r="AH49" s="39" t="s">
        <v>84</v>
      </c>
      <c r="AI49" s="39" t="s">
        <v>84</v>
      </c>
      <c r="AJ49" s="39" t="s">
        <v>84</v>
      </c>
      <c r="AK49" s="39" t="s">
        <v>84</v>
      </c>
      <c r="AL49" s="39" t="s">
        <v>84</v>
      </c>
      <c r="AM49" t="str">
        <f>VLOOKUP($R49,武学奇术!$A:$ZZ,25,FALSE)</f>
        <v>双刀</v>
      </c>
      <c r="AN49" s="24">
        <f>VLOOKUP($R49,武学奇术!$A:$ZZ,26,FALSE)</f>
        <v>3.80688</v>
      </c>
      <c r="AO49" s="25">
        <f>VLOOKUP($R49,武学奇术!$A:$ZZ,27,FALSE)*(1+IF(OR($AM49=$F$4,$AM49=$F$5),$B$22,0))</f>
        <v>1684.48</v>
      </c>
      <c r="AP49" s="24">
        <f>VLOOKUP($R49,武学奇术!$A:$ZZ,28,FALSE)</f>
        <v>5.70976</v>
      </c>
      <c r="AQ49" s="25">
        <f>VLOOKUP($R49,武学奇术!$A:$ZZ,29,FALSE)*(1+IF(OR($AM49=$F$4,$AM49=$F$5),$B$22,0))</f>
        <v>913.92</v>
      </c>
      <c r="AR49" s="24" cm="1">
        <f t="array" ref="AR49">$G$3+IFERROR(VLOOKUP($AM49,$F$4:$G$7,2,FALSE),0)+VLOOKUP($R49,武学奇术!$A:$ZZ,2,FALSE)+SUM(_xlfn.XLOOKUP($S49:$AL49,增益!$A:$A,增益!$B:$B,0))</f>
        <v>0.4543</v>
      </c>
      <c r="AS49" s="24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4342.95</v>
      </c>
      <c r="AU49" cm="1">
        <f t="array" ref="AU49">$E$10*(1+$AS49)+VLOOKUP($R49,武学奇术!$A:$ZZ,4,FALSE)+SUM(_xlfn.XLOOKUP($S49:$AL49,增益!$A:$A,增益!$D:$D,0))-$I$2</f>
        <v>4342.95</v>
      </c>
      <c r="AV49" s="31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0.4284</v>
      </c>
      <c r="AW49" s="31" cm="1">
        <f t="array" ref="AW49">$G$10+VLOOKUP($R49,武学奇术!$A:$ZZ,7,FALSE)+SUM(_xlfn.XLOOKUP($S49:$AL49,增益!$A:$A,增益!$G:$G,0))</f>
        <v>0.11</v>
      </c>
      <c r="AX49" s="24" cm="1">
        <f t="array" ref="AX49">VLOOKUP($R49,武学奇术!$A:$ZZ,8,FALSE)+SUM(_xlfn.XLOOKUP($S49:$AL49,增益!$A:$A,增益!$H:$H,0))</f>
        <v>0</v>
      </c>
      <c r="AY49">
        <f t="shared" si="13"/>
        <v>0</v>
      </c>
      <c r="AZ49">
        <f t="shared" si="14"/>
        <v>0</v>
      </c>
      <c r="BA49" s="31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1" cm="1">
        <f t="array" ref="BB49">$G$11+VLOOKUP($R49,武学奇术!$A:$ZZ,10,FALSE)+SUM(_xlfn.XLOOKUP($S49:$AL49,增益!$A:$A,增益!$J:$J,0))</f>
        <v>0.02</v>
      </c>
      <c r="BC49">
        <f t="shared" si="15"/>
        <v>0</v>
      </c>
      <c r="BD49">
        <f t="shared" si="16"/>
        <v>0</v>
      </c>
      <c r="BE49" s="31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1" cm="1">
        <f t="array" ref="BF49">$G$12+VLOOKUP($R49,武学奇术!$A:$ZZ,12,FALSE)+SUM(_xlfn.XLOOKUP($S49:$AL49,增益!$A:$A,增益!$L:$L,0))</f>
        <v>0.02</v>
      </c>
      <c r="BG49">
        <f t="shared" si="17"/>
        <v>0</v>
      </c>
      <c r="BH49">
        <f t="shared" si="18"/>
        <v>0</v>
      </c>
      <c r="BI49" s="31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1" cm="1">
        <f t="array" ref="BJ49">$G$13+VLOOKUP($R49,武学奇术!$A:$ZZ,14,FALSE)+SUM(_xlfn.XLOOKUP($S49:$AL49,增益!$A:$A,增益!$N:$N,0))</f>
        <v>0.02</v>
      </c>
      <c r="BK49">
        <f t="shared" si="19"/>
        <v>649.11</v>
      </c>
      <c r="BL49">
        <f t="shared" si="20"/>
        <v>1812.09</v>
      </c>
      <c r="BM49" s="31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1" cm="1">
        <f t="array" ref="BN49">$G$14+VLOOKUP($R49,武学奇术!$A:$ZZ,16,FALSE)+SUM(_xlfn.XLOOKUP($S49:$AL49,增益!$A:$A,增益!$P:$P,0))</f>
        <v>0.26</v>
      </c>
      <c r="BO49" s="24">
        <f>MIN(IF(VLOOKUP($R49,武学奇术!$A:$ZZ,23,FALSE)=1,100%,$B$8),100%)</f>
        <v>0.9943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0.8985</v>
      </c>
      <c r="BQ49" s="24" cm="1">
        <f t="array" ref="BQ49">1+$B$13+VLOOKUP($R49,武学奇术!$A:$ZZ,18,FALSE)+SUM(_xlfn.XLOOKUP($S49:$AL49,增益!$A:$A,增益!$R:$R,0))</f>
        <v>2.29</v>
      </c>
      <c r="BR49" s="24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4" cm="1">
        <f t="array" ref="BS49">1+$B$14+VLOOKUP($R49,武学奇术!$A:$ZZ,20,FALSE)+SUM(_xlfn.XLOOKUP($S49:$AL49,增益!$A:$A,增益!$T:$T,0))</f>
        <v>1.35</v>
      </c>
      <c r="BT49" s="24">
        <f t="shared" si="21"/>
        <v>0.89337855</v>
      </c>
      <c r="BU49" s="24">
        <f t="shared" si="22"/>
        <v>0.0153214500000001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0.11</v>
      </c>
      <c r="BX49" s="24">
        <f>VLOOKUP($R49,武学奇术!$A:$ZZ,32,FALSE)</f>
        <v>0.5</v>
      </c>
      <c r="BY49" s="24" cm="1">
        <f t="array" ref="BY49">SUM(_xlfn.XLOOKUP($S49:$AL49,增益!$A:$A,增益!$X:$X,0))</f>
        <v>0</v>
      </c>
    </row>
    <row r="50" spans="1:77">
      <c r="A50" t="s">
        <v>176</v>
      </c>
      <c r="B50">
        <v>0.8</v>
      </c>
      <c r="K50" s="37">
        <f>$L50*VLOOKUP($R50,武学奇术!$A:$ZZ,31,FALSE)</f>
        <v>208021.938132439</v>
      </c>
      <c r="L50" s="37">
        <f t="shared" si="12"/>
        <v>208021.938132439</v>
      </c>
      <c r="M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*(1+$BX50)</f>
        <v>216780.449085519</v>
      </c>
      <c r="N50" s="37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*(1+$BX50)</f>
        <v>141342.232851617</v>
      </c>
      <c r="O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*(1+$BX50)</f>
        <v>94663.9515657288</v>
      </c>
      <c r="P50" s="37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*(1+$BX50)</f>
        <v>84629.9528710004</v>
      </c>
      <c r="Q50" s="38">
        <v>1</v>
      </c>
      <c r="R50" s="39" t="s">
        <v>166</v>
      </c>
      <c r="S50" s="39" t="s">
        <v>104</v>
      </c>
      <c r="T50" s="39" t="s">
        <v>194</v>
      </c>
      <c r="U50" s="39" t="s">
        <v>81</v>
      </c>
      <c r="V50" s="39" t="s">
        <v>130</v>
      </c>
      <c r="W50" s="39" t="s">
        <v>83</v>
      </c>
      <c r="X50" s="39" t="s">
        <v>84</v>
      </c>
      <c r="Y50" s="39" t="s">
        <v>84</v>
      </c>
      <c r="Z50" s="39" t="s">
        <v>84</v>
      </c>
      <c r="AA50" s="39" t="s">
        <v>84</v>
      </c>
      <c r="AB50" s="39" t="s">
        <v>204</v>
      </c>
      <c r="AC50" s="39" t="s">
        <v>92</v>
      </c>
      <c r="AD50" s="39" t="s">
        <v>93</v>
      </c>
      <c r="AE50" s="39" t="s">
        <v>87</v>
      </c>
      <c r="AF50" s="39" t="s">
        <v>88</v>
      </c>
      <c r="AG50" s="39" t="s">
        <v>84</v>
      </c>
      <c r="AH50" s="39" t="s">
        <v>84</v>
      </c>
      <c r="AI50" s="39" t="s">
        <v>84</v>
      </c>
      <c r="AJ50" s="39" t="s">
        <v>84</v>
      </c>
      <c r="AK50" s="39" t="s">
        <v>84</v>
      </c>
      <c r="AL50" s="39" t="s">
        <v>84</v>
      </c>
      <c r="AM50" t="str">
        <f>VLOOKUP($R50,武学奇术!$A:$ZZ,25,FALSE)</f>
        <v>双刀</v>
      </c>
      <c r="AN50" s="24">
        <f>VLOOKUP($R50,武学奇术!$A:$ZZ,26,FALSE)</f>
        <v>2.85516</v>
      </c>
      <c r="AO50" s="25">
        <f>VLOOKUP($R50,武学奇术!$A:$ZZ,27,FALSE)*(1+IF(OR($AM50=$F$4,$AM50=$F$5),$B$22,0))</f>
        <v>1263.36</v>
      </c>
      <c r="AP50" s="24">
        <f>VLOOKUP($R50,武学奇术!$A:$ZZ,28,FALSE)</f>
        <v>4.28274</v>
      </c>
      <c r="AQ50" s="25">
        <f>VLOOKUP($R50,武学奇术!$A:$ZZ,29,FALSE)*(1+IF(OR($AM50=$F$4,$AM50=$F$5),$B$22,0))</f>
        <v>687.68</v>
      </c>
      <c r="AR50" s="24" cm="1">
        <f t="array" ref="AR50">$G$3+IFERROR(VLOOKUP($AM50,$F$4:$G$7,2,FALSE),0)+VLOOKUP($R50,武学奇术!$A:$ZZ,2,FALSE)+SUM(_xlfn.XLOOKUP($S50:$AL50,增益!$A:$A,增益!$B:$B,0))</f>
        <v>0.4543</v>
      </c>
      <c r="AS50" s="24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4342.95</v>
      </c>
      <c r="AU50" cm="1">
        <f t="array" ref="AU50">$E$10*(1+$AS50)+VLOOKUP($R50,武学奇术!$A:$ZZ,4,FALSE)+SUM(_xlfn.XLOOKUP($S50:$AL50,增益!$A:$A,增益!$D:$D,0))-$I$2</f>
        <v>4342.95</v>
      </c>
      <c r="AV50" s="31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0.4284</v>
      </c>
      <c r="AW50" s="31" cm="1">
        <f t="array" ref="AW50">$G$10+VLOOKUP($R50,武学奇术!$A:$ZZ,7,FALSE)+SUM(_xlfn.XLOOKUP($S50:$AL50,增益!$A:$A,增益!$G:$G,0))</f>
        <v>0.11</v>
      </c>
      <c r="AX50" s="24" cm="1">
        <f t="array" ref="AX50">VLOOKUP($R50,武学奇术!$A:$ZZ,8,FALSE)+SUM(_xlfn.XLOOKUP($S50:$AL50,增益!$A:$A,增益!$H:$H,0))</f>
        <v>0</v>
      </c>
      <c r="AY50">
        <f t="shared" si="13"/>
        <v>0</v>
      </c>
      <c r="AZ50">
        <f t="shared" si="14"/>
        <v>0</v>
      </c>
      <c r="BA50" s="31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1" cm="1">
        <f t="array" ref="BB50">$G$11+VLOOKUP($R50,武学奇术!$A:$ZZ,10,FALSE)+SUM(_xlfn.XLOOKUP($S50:$AL50,增益!$A:$A,增益!$J:$J,0))</f>
        <v>0.02</v>
      </c>
      <c r="BC50">
        <f t="shared" si="15"/>
        <v>0</v>
      </c>
      <c r="BD50">
        <f t="shared" si="16"/>
        <v>0</v>
      </c>
      <c r="BE50" s="31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1" cm="1">
        <f t="array" ref="BF50">$G$12+VLOOKUP($R50,武学奇术!$A:$ZZ,12,FALSE)+SUM(_xlfn.XLOOKUP($S50:$AL50,增益!$A:$A,增益!$L:$L,0))</f>
        <v>0.02</v>
      </c>
      <c r="BG50">
        <f t="shared" si="17"/>
        <v>0</v>
      </c>
      <c r="BH50">
        <f t="shared" si="18"/>
        <v>0</v>
      </c>
      <c r="BI50" s="31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1" cm="1">
        <f t="array" ref="BJ50">$G$13+VLOOKUP($R50,武学奇术!$A:$ZZ,14,FALSE)+SUM(_xlfn.XLOOKUP($S50:$AL50,增益!$A:$A,增益!$N:$N,0))</f>
        <v>0.02</v>
      </c>
      <c r="BK50">
        <f t="shared" si="19"/>
        <v>649.11</v>
      </c>
      <c r="BL50">
        <f t="shared" si="20"/>
        <v>1812.09</v>
      </c>
      <c r="BM50" s="31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1" cm="1">
        <f t="array" ref="BN50">$G$14+VLOOKUP($R50,武学奇术!$A:$ZZ,16,FALSE)+SUM(_xlfn.XLOOKUP($S50:$AL50,增益!$A:$A,增益!$P:$P,0))</f>
        <v>0.26</v>
      </c>
      <c r="BO50" s="24">
        <f>MIN(IF(VLOOKUP($R50,武学奇术!$A:$ZZ,23,FALSE)=1,100%,$B$8),100%)</f>
        <v>0.9943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0.8985</v>
      </c>
      <c r="BQ50" s="24" cm="1">
        <f t="array" ref="BQ50">1+$B$13+VLOOKUP($R50,武学奇术!$A:$ZZ,18,FALSE)+SUM(_xlfn.XLOOKUP($S50:$AL50,增益!$A:$A,增益!$R:$R,0))</f>
        <v>2.29</v>
      </c>
      <c r="BR50" s="24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4" cm="1">
        <f t="array" ref="BS50">1+$B$14+VLOOKUP($R50,武学奇术!$A:$ZZ,20,FALSE)+SUM(_xlfn.XLOOKUP($S50:$AL50,增益!$A:$A,增益!$T:$T,0))</f>
        <v>1.35</v>
      </c>
      <c r="BT50" s="24">
        <f t="shared" si="21"/>
        <v>0.89337855</v>
      </c>
      <c r="BU50" s="24">
        <f t="shared" si="22"/>
        <v>0.0153214500000001</v>
      </c>
      <c r="BV50" s="24">
        <f>IF(VLOOKUP($R50,武学奇术!$A:$ZZ,22,FALSE)=1,0,(1-$BO50))*(1-$BR50)</f>
        <v>0</v>
      </c>
      <c r="BW50" s="24" cm="1">
        <f t="array" ref="BW50">SUM(_xlfn.XLOOKUP($S50:$AL50,增益!$A:$A,增益!$W:$W,0))+$I$5</f>
        <v>0.11</v>
      </c>
      <c r="BX50" s="24">
        <f>VLOOKUP($R50,武学奇术!$A:$ZZ,32,FALSE)</f>
        <v>0.5</v>
      </c>
      <c r="BY50" s="24" cm="1">
        <f t="array" ref="BY50">SUM(_xlfn.XLOOKUP($S50:$AL50,增益!$A:$A,增益!$X:$X,0))</f>
        <v>0</v>
      </c>
    </row>
    <row r="51" spans="1:77">
      <c r="A51" t="s">
        <v>200</v>
      </c>
      <c r="B51">
        <v>2.8</v>
      </c>
      <c r="D51" s="38" t="s">
        <v>183</v>
      </c>
      <c r="E51" t="s">
        <v>184</v>
      </c>
      <c r="K51" s="37">
        <f>$L51*VLOOKUP($R51,武学奇术!$A:$ZZ,31,FALSE)</f>
        <v>35277.5567520964</v>
      </c>
      <c r="L51" s="37">
        <f t="shared" si="12"/>
        <v>35277.5567520964</v>
      </c>
      <c r="M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*(1+$BX51)</f>
        <v>36242.7120521813</v>
      </c>
      <c r="N51" s="37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*(1+$BX51)</f>
        <v>28651.6452192864</v>
      </c>
      <c r="O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*(1+$BX51)</f>
        <v>19176.0381228472</v>
      </c>
      <c r="P51" s="37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*(1+$BX51)</f>
        <v>17128.6353425193</v>
      </c>
      <c r="Q51" s="38">
        <v>1</v>
      </c>
      <c r="R51" s="39" t="s">
        <v>169</v>
      </c>
      <c r="S51" s="39" t="s">
        <v>104</v>
      </c>
      <c r="T51" s="39" t="s">
        <v>194</v>
      </c>
      <c r="U51" s="39" t="s">
        <v>81</v>
      </c>
      <c r="V51" s="39" t="s">
        <v>84</v>
      </c>
      <c r="W51" s="39" t="s">
        <v>84</v>
      </c>
      <c r="X51" s="39" t="s">
        <v>84</v>
      </c>
      <c r="Y51" s="39" t="s">
        <v>84</v>
      </c>
      <c r="Z51" s="39" t="s">
        <v>84</v>
      </c>
      <c r="AA51" s="39" t="s">
        <v>84</v>
      </c>
      <c r="AB51" s="39" t="s">
        <v>205</v>
      </c>
      <c r="AC51" s="39" t="s">
        <v>92</v>
      </c>
      <c r="AD51" s="39" t="s">
        <v>93</v>
      </c>
      <c r="AE51" s="39" t="s">
        <v>87</v>
      </c>
      <c r="AF51" s="39" t="s">
        <v>88</v>
      </c>
      <c r="AG51" s="39" t="s">
        <v>84</v>
      </c>
      <c r="AH51" s="39" t="s">
        <v>84</v>
      </c>
      <c r="AI51" s="39" t="s">
        <v>84</v>
      </c>
      <c r="AJ51" s="39" t="s">
        <v>84</v>
      </c>
      <c r="AK51" s="39" t="s">
        <v>84</v>
      </c>
      <c r="AL51" s="39" t="s">
        <v>84</v>
      </c>
      <c r="AM51" t="str">
        <f>VLOOKUP($R51,武学奇术!$A:$ZZ,25,FALSE)</f>
        <v>拳甲</v>
      </c>
      <c r="AN51" s="24">
        <f>VLOOKUP($R51,武学奇术!$A:$ZZ,26,FALSE)</f>
        <v>0.9193</v>
      </c>
      <c r="AO51" s="25">
        <f>VLOOKUP($R51,武学奇术!$A:$ZZ,27,FALSE)*(1+IF(OR($AM51=$F$4,$AM51=$F$5),$B$22,0))</f>
        <v>408</v>
      </c>
      <c r="AP51" s="24">
        <f>VLOOKUP($R51,武学奇术!$A:$ZZ,28,FALSE)</f>
        <v>1.379</v>
      </c>
      <c r="AQ51" s="25">
        <f>VLOOKUP($R51,武学奇术!$A:$ZZ,29,FALSE)*(1+IF(OR($AM51=$F$4,$AM51=$F$5),$B$22,0))</f>
        <v>222.4</v>
      </c>
      <c r="AR51" s="24" cm="1">
        <f t="array" ref="AR51">$G$3+IFERROR(VLOOKUP($AM51,$F$4:$G$7,2,FALSE),0)+VLOOKUP($R51,武学奇术!$A:$ZZ,2,FALSE)+SUM(_xlfn.XLOOKUP($S51:$AL51,增益!$A:$A,增益!$B:$B,0))</f>
        <v>0.4043</v>
      </c>
      <c r="AS51" s="24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4342.95</v>
      </c>
      <c r="AU51" cm="1">
        <f t="array" ref="AU51">$E$10*(1+$AS51)+VLOOKUP($R51,武学奇术!$A:$ZZ,4,FALSE)+SUM(_xlfn.XLOOKUP($S51:$AL51,增益!$A:$A,增益!$D:$D,0))-$I$2</f>
        <v>4342.95</v>
      </c>
      <c r="AV51" s="31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0.4284</v>
      </c>
      <c r="AW51" s="31" cm="1">
        <f t="array" ref="AW51">$G$10+VLOOKUP($R51,武学奇术!$A:$ZZ,7,FALSE)+SUM(_xlfn.XLOOKUP($S51:$AL51,增益!$A:$A,增益!$G:$G,0))</f>
        <v>0.02</v>
      </c>
      <c r="AX51" s="24" cm="1">
        <f t="array" ref="AX51">VLOOKUP($R51,武学奇术!$A:$ZZ,8,FALSE)+SUM(_xlfn.XLOOKUP($S51:$AL51,增益!$A:$A,增益!$H:$H,0))</f>
        <v>0</v>
      </c>
      <c r="AY51">
        <f t="shared" si="13"/>
        <v>0</v>
      </c>
      <c r="AZ51">
        <f t="shared" si="14"/>
        <v>0</v>
      </c>
      <c r="BA51" s="31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1" cm="1">
        <f t="array" ref="BB51">$G$11+VLOOKUP($R51,武学奇术!$A:$ZZ,10,FALSE)+SUM(_xlfn.XLOOKUP($S51:$AL51,增益!$A:$A,增益!$J:$J,0))</f>
        <v>0.02</v>
      </c>
      <c r="BC51">
        <f t="shared" si="15"/>
        <v>0</v>
      </c>
      <c r="BD51">
        <f t="shared" si="16"/>
        <v>0</v>
      </c>
      <c r="BE51" s="31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1" cm="1">
        <f t="array" ref="BF51">$G$12+VLOOKUP($R51,武学奇术!$A:$ZZ,12,FALSE)+SUM(_xlfn.XLOOKUP($S51:$AL51,增益!$A:$A,增益!$L:$L,0))</f>
        <v>0.02</v>
      </c>
      <c r="BG51">
        <f t="shared" si="17"/>
        <v>0</v>
      </c>
      <c r="BH51">
        <f t="shared" si="18"/>
        <v>0</v>
      </c>
      <c r="BI51" s="31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1" cm="1">
        <f t="array" ref="BJ51">$G$13+VLOOKUP($R51,武学奇术!$A:$ZZ,14,FALSE)+SUM(_xlfn.XLOOKUP($S51:$AL51,增益!$A:$A,增益!$N:$N,0))</f>
        <v>0.02</v>
      </c>
      <c r="BK51">
        <f t="shared" si="19"/>
        <v>649.11</v>
      </c>
      <c r="BL51">
        <f t="shared" si="20"/>
        <v>1812.09</v>
      </c>
      <c r="BM51" s="31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1" cm="1">
        <f t="array" ref="BN51">$G$14+VLOOKUP($R51,武学奇术!$A:$ZZ,16,FALSE)+SUM(_xlfn.XLOOKUP($S51:$AL51,增益!$A:$A,增益!$P:$P,0))</f>
        <v>0.17</v>
      </c>
      <c r="BO51" s="24">
        <f>MIN(IF(VLOOKUP($R51,武学奇术!$A:$ZZ,23,FALSE)=1,100%,$B$8),100%)</f>
        <v>0.9943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0.8985</v>
      </c>
      <c r="BQ51" s="24" cm="1">
        <f t="array" ref="BQ51">1+$B$13+VLOOKUP($R51,武学奇术!$A:$ZZ,18,FALSE)+SUM(_xlfn.XLOOKUP($S51:$AL51,增益!$A:$A,增益!$R:$R,0))</f>
        <v>1.89</v>
      </c>
      <c r="BR51" s="24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24" cm="1">
        <f t="array" ref="BS51">1+$B$14+VLOOKUP($R51,武学奇术!$A:$ZZ,20,FALSE)+SUM(_xlfn.XLOOKUP($S51:$AL51,增益!$A:$A,增益!$T:$T,0))</f>
        <v>1.35</v>
      </c>
      <c r="BT51" s="24">
        <f t="shared" si="21"/>
        <v>0.89337855</v>
      </c>
      <c r="BU51" s="24">
        <f t="shared" si="22"/>
        <v>0.01014186</v>
      </c>
      <c r="BV51" s="24">
        <f>IF(VLOOKUP($R51,武学奇术!$A:$ZZ,22,FALSE)=1,0,(1-$BO51))*(1-$BR51)</f>
        <v>0.00517959000000003</v>
      </c>
      <c r="BW51" s="24" cm="1">
        <f t="array" ref="BW51">SUM(_xlfn.XLOOKUP($S51:$AL51,增益!$A:$A,增益!$W:$W,0))+$I$5</f>
        <v>0.11</v>
      </c>
      <c r="BX51" s="24">
        <f>VLOOKUP($R51,武学奇术!$A:$ZZ,32,FALSE)</f>
        <v>0.4</v>
      </c>
      <c r="BY51" s="24" cm="1">
        <f t="array" ref="BY51">SUM(_xlfn.XLOOKUP($S51:$AL51,增益!$A:$A,增益!$X:$X,0))</f>
        <v>0</v>
      </c>
    </row>
    <row r="52" spans="1:77">
      <c r="A52" t="s">
        <v>178</v>
      </c>
      <c r="B52" s="95">
        <v>0.1</v>
      </c>
      <c r="D52" s="38"/>
      <c r="H52" s="4"/>
      <c r="K52" s="37">
        <f>$L52*VLOOKUP($R52,武学奇术!$A:$ZZ,31,FALSE)</f>
        <v>47288.5713295437</v>
      </c>
      <c r="L52" s="37">
        <f t="shared" si="12"/>
        <v>47288.5713295437</v>
      </c>
      <c r="M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*(1+$BX52)</f>
        <v>48582.3548967952</v>
      </c>
      <c r="N52" s="37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*(1+$BX52)</f>
        <v>38406.5160458351</v>
      </c>
      <c r="O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*(1+$BX52)</f>
        <v>25704.949680844</v>
      </c>
      <c r="P52" s="37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*(1+$BX52)</f>
        <v>22960.6282166249</v>
      </c>
      <c r="Q52" s="38">
        <v>1</v>
      </c>
      <c r="R52" s="39" t="s">
        <v>173</v>
      </c>
      <c r="S52" s="39" t="s">
        <v>104</v>
      </c>
      <c r="T52" s="39" t="s">
        <v>194</v>
      </c>
      <c r="U52" s="39" t="s">
        <v>81</v>
      </c>
      <c r="V52" s="39" t="s">
        <v>84</v>
      </c>
      <c r="W52" s="39" t="s">
        <v>84</v>
      </c>
      <c r="X52" s="39" t="s">
        <v>84</v>
      </c>
      <c r="Y52" s="39" t="s">
        <v>84</v>
      </c>
      <c r="Z52" s="39" t="s">
        <v>84</v>
      </c>
      <c r="AA52" s="39" t="s">
        <v>84</v>
      </c>
      <c r="AB52" s="39" t="s">
        <v>205</v>
      </c>
      <c r="AC52" s="39" t="s">
        <v>92</v>
      </c>
      <c r="AD52" s="39" t="s">
        <v>93</v>
      </c>
      <c r="AE52" s="39" t="s">
        <v>87</v>
      </c>
      <c r="AF52" s="39" t="s">
        <v>88</v>
      </c>
      <c r="AG52" s="39" t="s">
        <v>84</v>
      </c>
      <c r="AH52" s="39" t="s">
        <v>84</v>
      </c>
      <c r="AI52" s="39" t="s">
        <v>84</v>
      </c>
      <c r="AJ52" s="39" t="s">
        <v>84</v>
      </c>
      <c r="AK52" s="39" t="s">
        <v>84</v>
      </c>
      <c r="AL52" s="39" t="s">
        <v>84</v>
      </c>
      <c r="AM52" t="str">
        <f>VLOOKUP($R52,武学奇术!$A:$ZZ,25,FALSE)</f>
        <v>拳甲</v>
      </c>
      <c r="AN52" s="24">
        <f>VLOOKUP($R52,武学奇术!$A:$ZZ,26,FALSE)</f>
        <v>1.2324</v>
      </c>
      <c r="AO52" s="25">
        <f>VLOOKUP($R52,武学奇术!$A:$ZZ,27,FALSE)*(1+IF(OR($AM52=$F$4,$AM52=$F$5),$B$22,0))</f>
        <v>547.2</v>
      </c>
      <c r="AP52" s="24">
        <f>VLOOKUP($R52,武学奇术!$A:$ZZ,28,FALSE)</f>
        <v>1.8484</v>
      </c>
      <c r="AQ52" s="25">
        <f>VLOOKUP($R52,武学奇术!$A:$ZZ,29,FALSE)*(1+IF(OR($AM52=$F$4,$AM52=$F$5),$B$22,0))</f>
        <v>297.6</v>
      </c>
      <c r="AR52" s="24" cm="1">
        <f t="array" ref="AR52">$G$3+IFERROR(VLOOKUP($AM52,$F$4:$G$7,2,FALSE),0)+VLOOKUP($R52,武学奇术!$A:$ZZ,2,FALSE)+SUM(_xlfn.XLOOKUP($S52:$AL52,增益!$A:$A,增益!$B:$B,0))</f>
        <v>0.4043</v>
      </c>
      <c r="AS52" s="24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4342.95</v>
      </c>
      <c r="AU52" cm="1">
        <f t="array" ref="AU52">$E$10*(1+$AS52)+VLOOKUP($R52,武学奇术!$A:$ZZ,4,FALSE)+SUM(_xlfn.XLOOKUP($S52:$AL52,增益!$A:$A,增益!$D:$D,0))-$I$2</f>
        <v>4342.95</v>
      </c>
      <c r="AV52" s="31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0.4284</v>
      </c>
      <c r="AW52" s="31" cm="1">
        <f t="array" ref="AW52">$G$10+VLOOKUP($R52,武学奇术!$A:$ZZ,7,FALSE)+SUM(_xlfn.XLOOKUP($S52:$AL52,增益!$A:$A,增益!$G:$G,0))</f>
        <v>0.02</v>
      </c>
      <c r="AX52" s="24" cm="1">
        <f t="array" ref="AX52">VLOOKUP($R52,武学奇术!$A:$ZZ,8,FALSE)+SUM(_xlfn.XLOOKUP($S52:$AL52,增益!$A:$A,增益!$H:$H,0))</f>
        <v>0</v>
      </c>
      <c r="AY52">
        <f t="shared" si="13"/>
        <v>0</v>
      </c>
      <c r="AZ52">
        <f t="shared" si="14"/>
        <v>0</v>
      </c>
      <c r="BA52" s="31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1" cm="1">
        <f t="array" ref="BB52">$G$11+VLOOKUP($R52,武学奇术!$A:$ZZ,10,FALSE)+SUM(_xlfn.XLOOKUP($S52:$AL52,增益!$A:$A,增益!$J:$J,0))</f>
        <v>0.02</v>
      </c>
      <c r="BC52">
        <f t="shared" si="15"/>
        <v>0</v>
      </c>
      <c r="BD52">
        <f t="shared" si="16"/>
        <v>0</v>
      </c>
      <c r="BE52" s="31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1" cm="1">
        <f t="array" ref="BF52">$G$12+VLOOKUP($R52,武学奇术!$A:$ZZ,12,FALSE)+SUM(_xlfn.XLOOKUP($S52:$AL52,增益!$A:$A,增益!$L:$L,0))</f>
        <v>0.02</v>
      </c>
      <c r="BG52">
        <f t="shared" si="17"/>
        <v>0</v>
      </c>
      <c r="BH52">
        <f t="shared" si="18"/>
        <v>0</v>
      </c>
      <c r="BI52" s="31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1" cm="1">
        <f t="array" ref="BJ52">$G$13+VLOOKUP($R52,武学奇术!$A:$ZZ,14,FALSE)+SUM(_xlfn.XLOOKUP($S52:$AL52,增益!$A:$A,增益!$N:$N,0))</f>
        <v>0.02</v>
      </c>
      <c r="BK52">
        <f t="shared" si="19"/>
        <v>649.11</v>
      </c>
      <c r="BL52">
        <f t="shared" si="20"/>
        <v>1812.09</v>
      </c>
      <c r="BM52" s="31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1" cm="1">
        <f t="array" ref="BN52">$G$14+VLOOKUP($R52,武学奇术!$A:$ZZ,16,FALSE)+SUM(_xlfn.XLOOKUP($S52:$AL52,增益!$A:$A,增益!$P:$P,0))</f>
        <v>0.17</v>
      </c>
      <c r="BO52" s="24">
        <f>MIN(IF(VLOOKUP($R52,武学奇术!$A:$ZZ,23,FALSE)=1,100%,$B$8),100%)</f>
        <v>0.9943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0.8985</v>
      </c>
      <c r="BQ52" s="24" cm="1">
        <f t="array" ref="BQ52">1+$B$13+VLOOKUP($R52,武学奇术!$A:$ZZ,18,FALSE)+SUM(_xlfn.XLOOKUP($S52:$AL52,增益!$A:$A,增益!$R:$R,0))</f>
        <v>1.89</v>
      </c>
      <c r="BR52" s="24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24" cm="1">
        <f t="array" ref="BS52">1+$B$14+VLOOKUP($R52,武学奇术!$A:$ZZ,20,FALSE)+SUM(_xlfn.XLOOKUP($S52:$AL52,增益!$A:$A,增益!$T:$T,0))</f>
        <v>1.35</v>
      </c>
      <c r="BT52" s="24">
        <f t="shared" si="21"/>
        <v>0.89337855</v>
      </c>
      <c r="BU52" s="24">
        <f t="shared" si="22"/>
        <v>0.01014186</v>
      </c>
      <c r="BV52" s="24">
        <f>IF(VLOOKUP($R52,武学奇术!$A:$ZZ,22,FALSE)=1,0,(1-$BO52))*(1-$BR52)</f>
        <v>0.00517959000000003</v>
      </c>
      <c r="BW52" s="24" cm="1">
        <f t="array" ref="BW52">SUM(_xlfn.XLOOKUP($S52:$AL52,增益!$A:$A,增益!$W:$W,0))+$I$5</f>
        <v>0.11</v>
      </c>
      <c r="BX52" s="24">
        <f>VLOOKUP($R52,武学奇术!$A:$ZZ,32,FALSE)</f>
        <v>0.4</v>
      </c>
      <c r="BY52" s="24" cm="1">
        <f t="array" ref="BY52">SUM(_xlfn.XLOOKUP($S52:$AL52,增益!$A:$A,增益!$X:$X,0))</f>
        <v>0</v>
      </c>
    </row>
    <row r="53" spans="1:77">
      <c r="A53" t="s">
        <v>191</v>
      </c>
      <c r="B53">
        <v>2.4</v>
      </c>
      <c r="D53" s="38"/>
      <c r="E53" s="38"/>
      <c r="K53" s="37">
        <f>$L53*VLOOKUP($R53,武学奇术!$A:$ZZ,31,FALSE)</f>
        <v>80705.7057394544</v>
      </c>
      <c r="L53" s="37">
        <f t="shared" si="12"/>
        <v>50441.066087159</v>
      </c>
      <c r="M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*(1+$BX53)</f>
        <v>51890.3026340543</v>
      </c>
      <c r="N53" s="37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*(1+$BX53)</f>
        <v>40417.305632905</v>
      </c>
      <c r="O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*(1+$BX53)</f>
        <v>26747.5786773476</v>
      </c>
      <c r="P53" s="37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*(1+$BX53)</f>
        <v>23556.4124414322</v>
      </c>
      <c r="Q53" s="38">
        <v>1</v>
      </c>
      <c r="R53" s="39" t="s">
        <v>122</v>
      </c>
      <c r="S53" s="39" t="s">
        <v>104</v>
      </c>
      <c r="T53" s="39" t="s">
        <v>194</v>
      </c>
      <c r="U53" s="39" t="s">
        <v>81</v>
      </c>
      <c r="V53" s="39" t="s">
        <v>82</v>
      </c>
      <c r="W53" s="39" t="s">
        <v>83</v>
      </c>
      <c r="X53" s="39" t="s">
        <v>84</v>
      </c>
      <c r="Y53" s="39" t="s">
        <v>84</v>
      </c>
      <c r="Z53" s="39" t="s">
        <v>84</v>
      </c>
      <c r="AA53" s="39" t="s">
        <v>84</v>
      </c>
      <c r="AB53" s="39" t="s">
        <v>204</v>
      </c>
      <c r="AC53" s="39" t="s">
        <v>92</v>
      </c>
      <c r="AD53" s="39" t="s">
        <v>93</v>
      </c>
      <c r="AE53" s="39" t="s">
        <v>87</v>
      </c>
      <c r="AF53" s="39" t="s">
        <v>88</v>
      </c>
      <c r="AG53" s="39" t="s">
        <v>84</v>
      </c>
      <c r="AH53" s="39" t="s">
        <v>84</v>
      </c>
      <c r="AI53" s="39" t="s">
        <v>84</v>
      </c>
      <c r="AJ53" s="39" t="s">
        <v>84</v>
      </c>
      <c r="AK53" s="39" t="s">
        <v>84</v>
      </c>
      <c r="AL53" s="39" t="s">
        <v>84</v>
      </c>
      <c r="AM53" t="str">
        <f>VLOOKUP($R53,武学奇术!$A:$ZZ,25,FALSE)</f>
        <v>拳甲</v>
      </c>
      <c r="AN53" s="24">
        <f>VLOOKUP($R53,武学奇术!$A:$ZZ,26,FALSE)</f>
        <v>1.862784</v>
      </c>
      <c r="AO53" s="25">
        <f>VLOOKUP($R53,武学奇术!$A:$ZZ,27,FALSE)*(1+IF(OR($AM53=$F$4,$AM53=$F$5),$B$22,0))</f>
        <v>0</v>
      </c>
      <c r="AP53" s="24">
        <f>VLOOKUP($R53,武学奇术!$A:$ZZ,28,FALSE)</f>
        <v>2.794176</v>
      </c>
      <c r="AQ53" s="25">
        <f>VLOOKUP($R53,武学奇术!$A:$ZZ,29,FALSE)*(1+IF(OR($AM53=$F$4,$AM53=$F$5),$B$22,0))</f>
        <v>0</v>
      </c>
      <c r="AR53" s="24" cm="1">
        <f t="array" ref="AR53">$G$3+IFERROR(VLOOKUP($AM53,$F$4:$G$7,2,FALSE),0)+VLOOKUP($R53,武学奇术!$A:$ZZ,2,FALSE)+SUM(_xlfn.XLOOKUP($S53:$AL53,增益!$A:$A,增益!$B:$B,0))</f>
        <v>0.4043</v>
      </c>
      <c r="AS53" s="24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4342.95</v>
      </c>
      <c r="AU53" cm="1">
        <f t="array" ref="AU53">$E$10*(1+$AS53)+VLOOKUP($R53,武学奇术!$A:$ZZ,4,FALSE)+SUM(_xlfn.XLOOKUP($S53:$AL53,增益!$A:$A,增益!$D:$D,0))-$I$2</f>
        <v>4342.95</v>
      </c>
      <c r="AV53" s="31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0.4284</v>
      </c>
      <c r="AW53" s="31" cm="1">
        <f t="array" ref="AW53">$G$10+VLOOKUP($R53,武学奇术!$A:$ZZ,7,FALSE)+SUM(_xlfn.XLOOKUP($S53:$AL53,增益!$A:$A,增益!$G:$G,0))</f>
        <v>0.11</v>
      </c>
      <c r="AX53" s="24" cm="1">
        <f t="array" ref="AX53">VLOOKUP($R53,武学奇术!$A:$ZZ,8,FALSE)+SUM(_xlfn.XLOOKUP($S53:$AL53,增益!$A:$A,增益!$H:$H,0))</f>
        <v>0</v>
      </c>
      <c r="AY53">
        <f t="shared" si="13"/>
        <v>0</v>
      </c>
      <c r="AZ53">
        <f t="shared" si="14"/>
        <v>0</v>
      </c>
      <c r="BA53" s="31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1" cm="1">
        <f t="array" ref="BB53">$G$11+VLOOKUP($R53,武学奇术!$A:$ZZ,10,FALSE)+SUM(_xlfn.XLOOKUP($S53:$AL53,增益!$A:$A,增益!$J:$J,0))</f>
        <v>0.02</v>
      </c>
      <c r="BC53">
        <f t="shared" si="15"/>
        <v>0</v>
      </c>
      <c r="BD53">
        <f t="shared" si="16"/>
        <v>0</v>
      </c>
      <c r="BE53" s="31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1" cm="1">
        <f t="array" ref="BF53">$G$12+VLOOKUP($R53,武学奇术!$A:$ZZ,12,FALSE)+SUM(_xlfn.XLOOKUP($S53:$AL53,增益!$A:$A,增益!$L:$L,0))</f>
        <v>0.02</v>
      </c>
      <c r="BG53">
        <f t="shared" si="17"/>
        <v>0</v>
      </c>
      <c r="BH53">
        <f t="shared" si="18"/>
        <v>0</v>
      </c>
      <c r="BI53" s="31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1" cm="1">
        <f t="array" ref="BJ53">$G$13+VLOOKUP($R53,武学奇术!$A:$ZZ,14,FALSE)+SUM(_xlfn.XLOOKUP($S53:$AL53,增益!$A:$A,增益!$N:$N,0))</f>
        <v>0.02</v>
      </c>
      <c r="BK53">
        <f t="shared" si="19"/>
        <v>649.11</v>
      </c>
      <c r="BL53">
        <f t="shared" si="20"/>
        <v>1812.09</v>
      </c>
      <c r="BM53" s="31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1" cm="1">
        <f t="array" ref="BN53">$G$14+VLOOKUP($R53,武学奇术!$A:$ZZ,16,FALSE)+SUM(_xlfn.XLOOKUP($S53:$AL53,增益!$A:$A,增益!$P:$P,0))</f>
        <v>0.26</v>
      </c>
      <c r="BO53" s="24">
        <f>MIN(IF(VLOOKUP($R53,武学奇术!$A:$ZZ,23,FALSE)=1,100%,$B$8),100%)</f>
        <v>0.9943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0.8985</v>
      </c>
      <c r="BQ53" s="24" cm="1">
        <f t="array" ref="BQ53">1+$B$13+VLOOKUP($R53,武学奇术!$A:$ZZ,18,FALSE)+SUM(_xlfn.XLOOKUP($S53:$AL53,增益!$A:$A,增益!$R:$R,0))</f>
        <v>1.94</v>
      </c>
      <c r="BR53" s="24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4" cm="1">
        <f t="array" ref="BS53">1+$B$14+VLOOKUP($R53,武学奇术!$A:$ZZ,20,FALSE)+SUM(_xlfn.XLOOKUP($S53:$AL53,增益!$A:$A,增益!$T:$T,0))</f>
        <v>1.35</v>
      </c>
      <c r="BT53" s="24">
        <f t="shared" si="21"/>
        <v>0.89337855</v>
      </c>
      <c r="BU53" s="24">
        <f t="shared" si="22"/>
        <v>0.01014186</v>
      </c>
      <c r="BV53" s="24">
        <f>IF(VLOOKUP($R53,武学奇术!$A:$ZZ,22,FALSE)=1,0,(1-$BO53))*(1-$BR53)</f>
        <v>0.00517959000000003</v>
      </c>
      <c r="BW53" s="24" cm="1">
        <f t="array" ref="BW53">SUM(_xlfn.XLOOKUP($S53:$AL53,增益!$A:$A,增益!$W:$W,0))+$I$5</f>
        <v>0.11</v>
      </c>
      <c r="BX53" s="24">
        <f>VLOOKUP($R53,武学奇术!$A:$ZZ,32,FALSE)</f>
        <v>0</v>
      </c>
      <c r="BY53" s="24" cm="1">
        <f t="array" ref="BY53">SUM(_xlfn.XLOOKUP($S53:$AL53,增益!$A:$A,增益!$X:$X,0))</f>
        <v>0</v>
      </c>
    </row>
    <row r="54" spans="1:77">
      <c r="A54" t="s">
        <v>191</v>
      </c>
      <c r="B54">
        <v>2.1</v>
      </c>
      <c r="D54" s="38"/>
      <c r="E54" s="38"/>
      <c r="K54" s="37">
        <f>$L54*VLOOKUP($R54,武学奇术!$A:$ZZ,31,FALSE)</f>
        <v>49095.1994248016</v>
      </c>
      <c r="L54" s="37">
        <f t="shared" si="12"/>
        <v>49095.1994248016</v>
      </c>
      <c r="M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*(1+$BX54)</f>
        <v>50607.9962345241</v>
      </c>
      <c r="N54" s="37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*(1+$BX54)</f>
        <v>38435.9761010493</v>
      </c>
      <c r="O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*(1+$BX54)</f>
        <v>25431.1538866955</v>
      </c>
      <c r="P54" s="37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*(1+$BX54)</f>
        <v>22391.2143652064</v>
      </c>
      <c r="Q54" s="38">
        <v>1</v>
      </c>
      <c r="R54" s="39" t="s">
        <v>124</v>
      </c>
      <c r="S54" s="39" t="s">
        <v>104</v>
      </c>
      <c r="T54" s="39" t="s">
        <v>194</v>
      </c>
      <c r="U54" s="39" t="s">
        <v>81</v>
      </c>
      <c r="V54" s="39" t="s">
        <v>82</v>
      </c>
      <c r="W54" s="39" t="s">
        <v>83</v>
      </c>
      <c r="X54" s="39" t="s">
        <v>84</v>
      </c>
      <c r="Y54" s="39" t="s">
        <v>85</v>
      </c>
      <c r="Z54" s="39" t="s">
        <v>84</v>
      </c>
      <c r="AA54" s="39" t="s">
        <v>84</v>
      </c>
      <c r="AB54" s="39" t="s">
        <v>204</v>
      </c>
      <c r="AC54" s="39" t="s">
        <v>92</v>
      </c>
      <c r="AD54" s="39" t="s">
        <v>84</v>
      </c>
      <c r="AE54" s="39" t="s">
        <v>87</v>
      </c>
      <c r="AF54" s="39" t="s">
        <v>88</v>
      </c>
      <c r="AG54" s="39" t="s">
        <v>84</v>
      </c>
      <c r="AH54" s="39" t="s">
        <v>84</v>
      </c>
      <c r="AI54" s="39" t="s">
        <v>84</v>
      </c>
      <c r="AJ54" s="39" t="s">
        <v>84</v>
      </c>
      <c r="AK54" s="39" t="s">
        <v>84</v>
      </c>
      <c r="AL54" s="39" t="s">
        <v>84</v>
      </c>
      <c r="AM54" t="str">
        <f>VLOOKUP($R54,武学奇术!$A:$ZZ,25,FALSE)</f>
        <v>拳甲</v>
      </c>
      <c r="AN54" s="24">
        <f>VLOOKUP($R54,武学奇术!$A:$ZZ,26,FALSE)</f>
        <v>1.1333</v>
      </c>
      <c r="AO54" s="25">
        <f>VLOOKUP($R54,武学奇术!$A:$ZZ,27,FALSE)*(1+IF(OR($AM54=$F$4,$AM54=$F$5),$B$22,0))</f>
        <v>502.4</v>
      </c>
      <c r="AP54" s="24">
        <f>VLOOKUP($R54,武学奇术!$A:$ZZ,28,FALSE)</f>
        <v>1.6999</v>
      </c>
      <c r="AQ54" s="25">
        <f>VLOOKUP($R54,武学奇术!$A:$ZZ,29,FALSE)*(1+IF(OR($AM54=$F$4,$AM54=$F$5),$B$22,0))</f>
        <v>273.6</v>
      </c>
      <c r="AR54" s="24" cm="1">
        <f t="array" ref="AR54">$G$3+IFERROR(VLOOKUP($AM54,$F$4:$G$7,2,FALSE),0)+VLOOKUP($R54,武学奇术!$A:$ZZ,2,FALSE)+SUM(_xlfn.XLOOKUP($S54:$AL54,增益!$A:$A,增益!$B:$B,0))</f>
        <v>0.4543</v>
      </c>
      <c r="AS54" s="24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4342.95</v>
      </c>
      <c r="AU54" cm="1">
        <f t="array" ref="AU54">$E$10*(1+$AS54)+VLOOKUP($R54,武学奇术!$A:$ZZ,4,FALSE)+SUM(_xlfn.XLOOKUP($S54:$AL54,增益!$A:$A,增益!$D:$D,0))-$I$2</f>
        <v>4342.95</v>
      </c>
      <c r="AV54" s="31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0.3034</v>
      </c>
      <c r="AW54" s="31" cm="1">
        <f t="array" ref="AW54">$G$10+VLOOKUP($R54,武学奇术!$A:$ZZ,7,FALSE)+SUM(_xlfn.XLOOKUP($S54:$AL54,增益!$A:$A,增益!$G:$G,0))</f>
        <v>0.11</v>
      </c>
      <c r="AX54" s="24" cm="1">
        <f t="array" ref="AX54">VLOOKUP($R54,武学奇术!$A:$ZZ,8,FALSE)+SUM(_xlfn.XLOOKUP($S54:$AL54,增益!$A:$A,增益!$H:$H,0))</f>
        <v>0</v>
      </c>
      <c r="AY54">
        <f t="shared" si="13"/>
        <v>0</v>
      </c>
      <c r="AZ54">
        <f t="shared" si="14"/>
        <v>0</v>
      </c>
      <c r="BA54" s="31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-0.14</v>
      </c>
      <c r="BB54" s="31" cm="1">
        <f t="array" ref="BB54">$G$11+VLOOKUP($R54,武学奇术!$A:$ZZ,10,FALSE)+SUM(_xlfn.XLOOKUP($S54:$AL54,增益!$A:$A,增益!$J:$J,0))</f>
        <v>0.02</v>
      </c>
      <c r="BC54">
        <f t="shared" si="15"/>
        <v>0</v>
      </c>
      <c r="BD54">
        <f t="shared" si="16"/>
        <v>0</v>
      </c>
      <c r="BE54" s="31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-0.14</v>
      </c>
      <c r="BF54" s="31" cm="1">
        <f t="array" ref="BF54">$G$12+VLOOKUP($R54,武学奇术!$A:$ZZ,12,FALSE)+SUM(_xlfn.XLOOKUP($S54:$AL54,增益!$A:$A,增益!$L:$L,0))</f>
        <v>0.02</v>
      </c>
      <c r="BG54">
        <f t="shared" si="17"/>
        <v>0</v>
      </c>
      <c r="BH54">
        <f t="shared" si="18"/>
        <v>0</v>
      </c>
      <c r="BI54" s="31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-0.14</v>
      </c>
      <c r="BJ54" s="31" cm="1">
        <f t="array" ref="BJ54">$G$13+VLOOKUP($R54,武学奇术!$A:$ZZ,14,FALSE)+SUM(_xlfn.XLOOKUP($S54:$AL54,增益!$A:$A,增益!$N:$N,0))</f>
        <v>0.02</v>
      </c>
      <c r="BK54">
        <f t="shared" si="19"/>
        <v>649.11</v>
      </c>
      <c r="BL54">
        <f t="shared" si="20"/>
        <v>1812.09</v>
      </c>
      <c r="BM54" s="31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0.08</v>
      </c>
      <c r="BN54" s="31" cm="1">
        <f t="array" ref="BN54">$G$14+VLOOKUP($R54,武学奇术!$A:$ZZ,16,FALSE)+SUM(_xlfn.XLOOKUP($S54:$AL54,增益!$A:$A,增益!$P:$P,0))</f>
        <v>0.26</v>
      </c>
      <c r="BO54" s="24">
        <f>MIN(IF(VLOOKUP($R54,武学奇术!$A:$ZZ,23,FALSE)=1,100%,$B$8),100%)</f>
        <v>0.9943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0.8985</v>
      </c>
      <c r="BQ54" s="24" cm="1">
        <f t="array" ref="BQ54">1+$B$13+VLOOKUP($R54,武学奇术!$A:$ZZ,18,FALSE)+SUM(_xlfn.XLOOKUP($S54:$AL54,增益!$A:$A,增益!$R:$R,0))</f>
        <v>1.99</v>
      </c>
      <c r="BR54" s="24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4" cm="1">
        <f t="array" ref="BS54">1+$B$14+VLOOKUP($R54,武学奇术!$A:$ZZ,20,FALSE)+SUM(_xlfn.XLOOKUP($S54:$AL54,增益!$A:$A,增益!$T:$T,0))</f>
        <v>1.35</v>
      </c>
      <c r="BT54" s="24">
        <f t="shared" si="21"/>
        <v>0.89337855</v>
      </c>
      <c r="BU54" s="24">
        <f t="shared" si="22"/>
        <v>0.01014186</v>
      </c>
      <c r="BV54" s="24">
        <f>IF(VLOOKUP($R54,武学奇术!$A:$ZZ,22,FALSE)=1,0,(1-$BO54))*(1-$BR54)</f>
        <v>0.00517959000000003</v>
      </c>
      <c r="BW54" s="24" cm="1">
        <f t="array" ref="BW54">SUM(_xlfn.XLOOKUP($S54:$AL54,增益!$A:$A,增益!$W:$W,0))+$I$5</f>
        <v>0.11</v>
      </c>
      <c r="BX54" s="24">
        <f>VLOOKUP($R54,武学奇术!$A:$ZZ,32,FALSE)</f>
        <v>0.4</v>
      </c>
      <c r="BY54" s="24" cm="1">
        <f t="array" ref="BY54">SUM(_xlfn.XLOOKUP($S54:$AL54,增益!$A:$A,增益!$X:$X,0))</f>
        <v>0</v>
      </c>
    </row>
    <row r="55" spans="1:77">
      <c r="A55" t="s">
        <v>191</v>
      </c>
      <c r="B55">
        <v>1.83</v>
      </c>
      <c r="C55" s="38" t="s">
        <v>195</v>
      </c>
      <c r="D55" s="38"/>
      <c r="E55" s="38"/>
      <c r="K55" s="37">
        <f>$L55*VLOOKUP($R55,武学奇术!$A:$ZZ,31,FALSE)</f>
        <v>33579.6644364844</v>
      </c>
      <c r="L55" s="37">
        <f t="shared" si="12"/>
        <v>33579.6644364844</v>
      </c>
      <c r="M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*(1+$BX55)</f>
        <v>34614.4782516612</v>
      </c>
      <c r="N55" s="37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*(1+$BX55)</f>
        <v>26287.9804978034</v>
      </c>
      <c r="O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*(1+$BX55)</f>
        <v>17394.2101767142</v>
      </c>
      <c r="P55" s="37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*(1+$BX55)</f>
        <v>15315.8422069073</v>
      </c>
      <c r="Q55" s="38">
        <v>1</v>
      </c>
      <c r="R55" s="39" t="s">
        <v>127</v>
      </c>
      <c r="S55" s="39" t="s">
        <v>104</v>
      </c>
      <c r="T55" s="39" t="s">
        <v>194</v>
      </c>
      <c r="U55" s="39" t="s">
        <v>81</v>
      </c>
      <c r="V55" s="39" t="s">
        <v>82</v>
      </c>
      <c r="W55" s="39" t="s">
        <v>83</v>
      </c>
      <c r="X55" s="39" t="s">
        <v>84</v>
      </c>
      <c r="Y55" s="39" t="s">
        <v>85</v>
      </c>
      <c r="Z55" s="39" t="s">
        <v>84</v>
      </c>
      <c r="AA55" s="39" t="s">
        <v>84</v>
      </c>
      <c r="AB55" s="39" t="s">
        <v>204</v>
      </c>
      <c r="AC55" s="39" t="s">
        <v>92</v>
      </c>
      <c r="AD55" s="39" t="s">
        <v>84</v>
      </c>
      <c r="AE55" s="39" t="s">
        <v>87</v>
      </c>
      <c r="AF55" s="39" t="s">
        <v>88</v>
      </c>
      <c r="AG55" s="39" t="s">
        <v>84</v>
      </c>
      <c r="AH55" s="39" t="s">
        <v>84</v>
      </c>
      <c r="AI55" s="39" t="s">
        <v>84</v>
      </c>
      <c r="AJ55" s="39" t="s">
        <v>84</v>
      </c>
      <c r="AK55" s="39" t="s">
        <v>84</v>
      </c>
      <c r="AL55" s="39" t="s">
        <v>84</v>
      </c>
      <c r="AM55" t="str">
        <f>VLOOKUP($R55,武学奇术!$A:$ZZ,25,FALSE)</f>
        <v>拳甲</v>
      </c>
      <c r="AN55" s="24">
        <f>VLOOKUP($R55,武学奇术!$A:$ZZ,26,FALSE)</f>
        <v>0.7748</v>
      </c>
      <c r="AO55" s="25">
        <f>VLOOKUP($R55,武学奇术!$A:$ZZ,27,FALSE)*(1+IF(OR($AM55=$F$4,$AM55=$F$5),$B$22,0))</f>
        <v>345.6</v>
      </c>
      <c r="AP55" s="24">
        <f>VLOOKUP($R55,武学奇术!$A:$ZZ,28,FALSE)</f>
        <v>1.1622</v>
      </c>
      <c r="AQ55" s="25">
        <f>VLOOKUP($R55,武学奇术!$A:$ZZ,29,FALSE)*(1+IF(OR($AM55=$F$4,$AM55=$F$5),$B$22,0))</f>
        <v>187.2</v>
      </c>
      <c r="AR55" s="24" cm="1">
        <f t="array" ref="AR55">$G$3+IFERROR(VLOOKUP($AM55,$F$4:$G$7,2,FALSE),0)+VLOOKUP($R55,武学奇术!$A:$ZZ,2,FALSE)+SUM(_xlfn.XLOOKUP($S55:$AL55,增益!$A:$A,增益!$B:$B,0))</f>
        <v>0.4543</v>
      </c>
      <c r="AS55" s="24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4342.95</v>
      </c>
      <c r="AU55" cm="1">
        <f t="array" ref="AU55">$E$10*(1+$AS55)+VLOOKUP($R55,武学奇术!$A:$ZZ,4,FALSE)+SUM(_xlfn.XLOOKUP($S55:$AL55,增益!$A:$A,增益!$D:$D,0))-$I$2</f>
        <v>4342.95</v>
      </c>
      <c r="AV55" s="31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0.3034</v>
      </c>
      <c r="AW55" s="31" cm="1">
        <f t="array" ref="AW55">$G$10+VLOOKUP($R55,武学奇术!$A:$ZZ,7,FALSE)+SUM(_xlfn.XLOOKUP($S55:$AL55,增益!$A:$A,增益!$G:$G,0))</f>
        <v>0.11</v>
      </c>
      <c r="AX55" s="24" cm="1">
        <f t="array" ref="AX55">VLOOKUP($R55,武学奇术!$A:$ZZ,8,FALSE)+SUM(_xlfn.XLOOKUP($S55:$AL55,增益!$A:$A,增益!$H:$H,0))</f>
        <v>0</v>
      </c>
      <c r="AY55">
        <f t="shared" si="13"/>
        <v>0</v>
      </c>
      <c r="AZ55">
        <f t="shared" si="14"/>
        <v>0</v>
      </c>
      <c r="BA55" s="31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1" cm="1">
        <f t="array" ref="BB55">$G$11+VLOOKUP($R55,武学奇术!$A:$ZZ,10,FALSE)+SUM(_xlfn.XLOOKUP($S55:$AL55,增益!$A:$A,增益!$J:$J,0))</f>
        <v>0.02</v>
      </c>
      <c r="BC55">
        <f t="shared" si="15"/>
        <v>0</v>
      </c>
      <c r="BD55">
        <f t="shared" si="16"/>
        <v>0</v>
      </c>
      <c r="BE55" s="31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-0.14</v>
      </c>
      <c r="BF55" s="31" cm="1">
        <f t="array" ref="BF55">$G$12+VLOOKUP($R55,武学奇术!$A:$ZZ,12,FALSE)+SUM(_xlfn.XLOOKUP($S55:$AL55,增益!$A:$A,增益!$L:$L,0))</f>
        <v>0.02</v>
      </c>
      <c r="BG55">
        <f t="shared" si="17"/>
        <v>0</v>
      </c>
      <c r="BH55">
        <f t="shared" si="18"/>
        <v>0</v>
      </c>
      <c r="BI55" s="31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1" cm="1">
        <f t="array" ref="BJ55">$G$13+VLOOKUP($R55,武学奇术!$A:$ZZ,14,FALSE)+SUM(_xlfn.XLOOKUP($S55:$AL55,增益!$A:$A,增益!$N:$N,0))</f>
        <v>0.02</v>
      </c>
      <c r="BK55">
        <f t="shared" si="19"/>
        <v>649.11</v>
      </c>
      <c r="BL55">
        <f t="shared" si="20"/>
        <v>1812.09</v>
      </c>
      <c r="BM55" s="31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0.08</v>
      </c>
      <c r="BN55" s="31" cm="1">
        <f t="array" ref="BN55">$G$14+VLOOKUP($R55,武学奇术!$A:$ZZ,16,FALSE)+SUM(_xlfn.XLOOKUP($S55:$AL55,增益!$A:$A,增益!$P:$P,0))</f>
        <v>0.26</v>
      </c>
      <c r="BO55" s="24">
        <f>MIN(IF(VLOOKUP($R55,武学奇术!$A:$ZZ,23,FALSE)=1,100%,$B$8),100%)</f>
        <v>0.9943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0.8985</v>
      </c>
      <c r="BQ55" s="24" cm="1">
        <f t="array" ref="BQ55">1+$B$13+VLOOKUP($R55,武学奇术!$A:$ZZ,18,FALSE)+SUM(_xlfn.XLOOKUP($S55:$AL55,增益!$A:$A,增益!$R:$R,0))</f>
        <v>1.99</v>
      </c>
      <c r="BR55" s="24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4" cm="1">
        <f t="array" ref="BS55">1+$B$14+VLOOKUP($R55,武学奇术!$A:$ZZ,20,FALSE)+SUM(_xlfn.XLOOKUP($S55:$AL55,增益!$A:$A,增益!$T:$T,0))</f>
        <v>1.35</v>
      </c>
      <c r="BT55" s="24">
        <f t="shared" si="21"/>
        <v>0.89337855</v>
      </c>
      <c r="BU55" s="24">
        <f t="shared" si="22"/>
        <v>0.01014186</v>
      </c>
      <c r="BV55" s="24">
        <f>IF(VLOOKUP($R55,武学奇术!$A:$ZZ,22,FALSE)=1,0,(1-$BO55))*(1-$BR55)</f>
        <v>0.00517959000000003</v>
      </c>
      <c r="BW55" s="24" cm="1">
        <f t="array" ref="BW55">SUM(_xlfn.XLOOKUP($S55:$AL55,增益!$A:$A,增益!$W:$W,0))+$I$5</f>
        <v>0.11</v>
      </c>
      <c r="BX55" s="24">
        <f>VLOOKUP($R55,武学奇术!$A:$ZZ,32,FALSE)</f>
        <v>0.4</v>
      </c>
      <c r="BY55" s="24" cm="1">
        <f t="array" ref="BY55">SUM(_xlfn.XLOOKUP($S55:$AL55,增益!$A:$A,增益!$X:$X,0))</f>
        <v>0</v>
      </c>
    </row>
    <row r="56" spans="1:77">
      <c r="A56" t="s">
        <v>206</v>
      </c>
      <c r="B56">
        <v>0.7</v>
      </c>
      <c r="C56" s="38"/>
      <c r="D56" s="38"/>
      <c r="E56" s="38" t="s">
        <v>184</v>
      </c>
      <c r="K56" s="37">
        <f>$L56*VLOOKUP($R56,武学奇术!$A:$ZZ,31,FALSE)</f>
        <v>68005.8931333154</v>
      </c>
      <c r="L56" s="37">
        <f t="shared" si="12"/>
        <v>42503.6832083221</v>
      </c>
      <c r="M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*(1+$BX56)</f>
        <v>43159.4807432984</v>
      </c>
      <c r="N56" s="37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*(1+$BX56)</f>
        <v>39129.2286580313</v>
      </c>
      <c r="O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*(1+$BX56)</f>
        <v>25538.1542859754</v>
      </c>
      <c r="P56" s="37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*(1+$BX56)</f>
        <v>22091.6947511868</v>
      </c>
      <c r="Q56" s="38">
        <v>1</v>
      </c>
      <c r="R56" s="39" t="s">
        <v>122</v>
      </c>
      <c r="S56" s="39" t="s">
        <v>104</v>
      </c>
      <c r="T56" s="39" t="s">
        <v>194</v>
      </c>
      <c r="U56" s="39" t="s">
        <v>81</v>
      </c>
      <c r="V56" s="39" t="s">
        <v>82</v>
      </c>
      <c r="W56" s="39" t="s">
        <v>83</v>
      </c>
      <c r="X56" s="39" t="s">
        <v>84</v>
      </c>
      <c r="Y56" s="39" t="s">
        <v>85</v>
      </c>
      <c r="Z56" s="39" t="s">
        <v>84</v>
      </c>
      <c r="AA56" s="39" t="s">
        <v>84</v>
      </c>
      <c r="AB56" s="39" t="s">
        <v>204</v>
      </c>
      <c r="AC56" s="39" t="s">
        <v>92</v>
      </c>
      <c r="AD56" s="39" t="s">
        <v>84</v>
      </c>
      <c r="AE56" s="39" t="s">
        <v>87</v>
      </c>
      <c r="AF56" s="39" t="s">
        <v>88</v>
      </c>
      <c r="AG56" s="39" t="s">
        <v>84</v>
      </c>
      <c r="AH56" s="39" t="s">
        <v>84</v>
      </c>
      <c r="AI56" s="39" t="s">
        <v>84</v>
      </c>
      <c r="AJ56" s="39" t="s">
        <v>84</v>
      </c>
      <c r="AK56" s="39" t="s">
        <v>84</v>
      </c>
      <c r="AL56" s="39" t="s">
        <v>84</v>
      </c>
      <c r="AM56" t="str">
        <f>VLOOKUP($R56,武学奇术!$A:$ZZ,25,FALSE)</f>
        <v>拳甲</v>
      </c>
      <c r="AN56" s="24">
        <f>VLOOKUP($R56,武学奇术!$A:$ZZ,26,FALSE)</f>
        <v>1.862784</v>
      </c>
      <c r="AO56" s="25">
        <f>VLOOKUP($R56,武学奇术!$A:$ZZ,27,FALSE)*(1+IF(OR($AM56=$F$4,$AM56=$F$5),$B$22,0))</f>
        <v>0</v>
      </c>
      <c r="AP56" s="24">
        <f>VLOOKUP($R56,武学奇术!$A:$ZZ,28,FALSE)</f>
        <v>2.794176</v>
      </c>
      <c r="AQ56" s="25">
        <f>VLOOKUP($R56,武学奇术!$A:$ZZ,29,FALSE)*(1+IF(OR($AM56=$F$4,$AM56=$F$5),$B$22,0))</f>
        <v>0</v>
      </c>
      <c r="AR56" s="24" cm="1">
        <f t="array" ref="AR56">$G$3+IFERROR(VLOOKUP($AM56,$F$4:$G$7,2,FALSE),0)+VLOOKUP($R56,武学奇术!$A:$ZZ,2,FALSE)+SUM(_xlfn.XLOOKUP($S56:$AL56,增益!$A:$A,增益!$B:$B,0))</f>
        <v>0.4043</v>
      </c>
      <c r="AS56" s="24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4342.95</v>
      </c>
      <c r="AU56" cm="1">
        <f t="array" ref="AU56">$E$10*(1+$AS56)+VLOOKUP($R56,武学奇术!$A:$ZZ,4,FALSE)+SUM(_xlfn.XLOOKUP($S56:$AL56,增益!$A:$A,增益!$D:$D,0))-$I$2</f>
        <v>4342.95</v>
      </c>
      <c r="AV56" s="31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0.3034</v>
      </c>
      <c r="AW56" s="31" cm="1">
        <f t="array" ref="AW56">$G$10+VLOOKUP($R56,武学奇术!$A:$ZZ,7,FALSE)+SUM(_xlfn.XLOOKUP($S56:$AL56,增益!$A:$A,增益!$G:$G,0))</f>
        <v>0.11</v>
      </c>
      <c r="AX56" s="24" cm="1">
        <f t="array" ref="AX56">VLOOKUP($R56,武学奇术!$A:$ZZ,8,FALSE)+SUM(_xlfn.XLOOKUP($S56:$AL56,增益!$A:$A,增益!$H:$H,0))</f>
        <v>0</v>
      </c>
      <c r="AY56">
        <f t="shared" si="13"/>
        <v>0</v>
      </c>
      <c r="AZ56">
        <f t="shared" si="14"/>
        <v>0</v>
      </c>
      <c r="BA56" s="31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-0.14</v>
      </c>
      <c r="BB56" s="31" cm="1">
        <f t="array" ref="BB56">$G$11+VLOOKUP($R56,武学奇术!$A:$ZZ,10,FALSE)+SUM(_xlfn.XLOOKUP($S56:$AL56,增益!$A:$A,增益!$J:$J,0))</f>
        <v>0.02</v>
      </c>
      <c r="BC56">
        <f t="shared" si="15"/>
        <v>0</v>
      </c>
      <c r="BD56">
        <f t="shared" si="16"/>
        <v>0</v>
      </c>
      <c r="BE56" s="31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-0.14</v>
      </c>
      <c r="BF56" s="31" cm="1">
        <f t="array" ref="BF56">$G$12+VLOOKUP($R56,武学奇术!$A:$ZZ,12,FALSE)+SUM(_xlfn.XLOOKUP($S56:$AL56,增益!$A:$A,增益!$L:$L,0))</f>
        <v>0.02</v>
      </c>
      <c r="BG56">
        <f t="shared" si="17"/>
        <v>0</v>
      </c>
      <c r="BH56">
        <f t="shared" si="18"/>
        <v>0</v>
      </c>
      <c r="BI56" s="31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-0.14</v>
      </c>
      <c r="BJ56" s="31" cm="1">
        <f t="array" ref="BJ56">$G$13+VLOOKUP($R56,武学奇术!$A:$ZZ,14,FALSE)+SUM(_xlfn.XLOOKUP($S56:$AL56,增益!$A:$A,增益!$N:$N,0))</f>
        <v>0.02</v>
      </c>
      <c r="BK56">
        <f t="shared" si="19"/>
        <v>649.11</v>
      </c>
      <c r="BL56">
        <f t="shared" si="20"/>
        <v>1812.09</v>
      </c>
      <c r="BM56" s="31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0.08</v>
      </c>
      <c r="BN56" s="31" cm="1">
        <f t="array" ref="BN56">$G$14+VLOOKUP($R56,武学奇术!$A:$ZZ,16,FALSE)+SUM(_xlfn.XLOOKUP($S56:$AL56,增益!$A:$A,增益!$P:$P,0))</f>
        <v>0.26</v>
      </c>
      <c r="BO56" s="24">
        <f>MIN(IF(VLOOKUP($R56,武学奇术!$A:$ZZ,23,FALSE)=1,100%,$B$8),100%)</f>
        <v>0.9943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0.8985</v>
      </c>
      <c r="BQ56" s="24" cm="1">
        <f t="array" ref="BQ56">1+$B$13+VLOOKUP($R56,武学奇术!$A:$ZZ,18,FALSE)+SUM(_xlfn.XLOOKUP($S56:$AL56,增益!$A:$A,增益!$R:$R,0))</f>
        <v>1.69</v>
      </c>
      <c r="BR56" s="24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4" cm="1">
        <f t="array" ref="BS56">1+$B$14+VLOOKUP($R56,武学奇术!$A:$ZZ,20,FALSE)+SUM(_xlfn.XLOOKUP($S56:$AL56,增益!$A:$A,增益!$T:$T,0))</f>
        <v>1.35</v>
      </c>
      <c r="BT56" s="24">
        <f t="shared" si="21"/>
        <v>0.89337855</v>
      </c>
      <c r="BU56" s="24">
        <f t="shared" si="22"/>
        <v>0.01014186</v>
      </c>
      <c r="BV56" s="24">
        <f>IF(VLOOKUP($R56,武学奇术!$A:$ZZ,22,FALSE)=1,0,(1-$BO56))*(1-$BR56)</f>
        <v>0.00517959000000003</v>
      </c>
      <c r="BW56" s="24" cm="1">
        <f t="array" ref="BW56">SUM(_xlfn.XLOOKUP($S56:$AL56,增益!$A:$A,增益!$W:$W,0))+$I$5</f>
        <v>0.11</v>
      </c>
      <c r="BX56" s="24">
        <f>VLOOKUP($R56,武学奇术!$A:$ZZ,32,FALSE)</f>
        <v>0</v>
      </c>
      <c r="BY56" s="24" cm="1">
        <f t="array" ref="BY56">SUM(_xlfn.XLOOKUP($S56:$AL56,增益!$A:$A,增益!$X:$X,0))</f>
        <v>0</v>
      </c>
    </row>
    <row r="57" spans="1:77">
      <c r="A57" t="s">
        <v>191</v>
      </c>
      <c r="B57">
        <v>2.5</v>
      </c>
      <c r="C57" s="38"/>
      <c r="D57" s="38"/>
      <c r="E57" s="38"/>
      <c r="K57" s="37">
        <f>$L57*VLOOKUP($R57,武学奇术!$A:$ZZ,31,FALSE)</f>
        <v>35335.1668460018</v>
      </c>
      <c r="L57" s="37">
        <f t="shared" si="12"/>
        <v>35335.1668460018</v>
      </c>
      <c r="M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*(1+$BX57)</f>
        <v>35919.718255321</v>
      </c>
      <c r="N57" s="37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*(1+$BX57)</f>
        <v>32122.3580889296</v>
      </c>
      <c r="O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*(1+$BX57)</f>
        <v>21254.2711569947</v>
      </c>
      <c r="P57" s="37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*(1+$BX57)</f>
        <v>18714.2029888563</v>
      </c>
      <c r="Q57" s="38">
        <v>1</v>
      </c>
      <c r="R57" s="39" t="s">
        <v>115</v>
      </c>
      <c r="S57" s="39" t="s">
        <v>104</v>
      </c>
      <c r="T57" s="39" t="s">
        <v>194</v>
      </c>
      <c r="U57" s="39" t="s">
        <v>81</v>
      </c>
      <c r="V57" s="39" t="s">
        <v>82</v>
      </c>
      <c r="W57" s="39" t="s">
        <v>83</v>
      </c>
      <c r="X57" s="39" t="s">
        <v>84</v>
      </c>
      <c r="Y57" s="39" t="s">
        <v>85</v>
      </c>
      <c r="Z57" s="39" t="s">
        <v>84</v>
      </c>
      <c r="AA57" s="39" t="s">
        <v>84</v>
      </c>
      <c r="AB57" s="39" t="s">
        <v>204</v>
      </c>
      <c r="AC57" s="39" t="s">
        <v>92</v>
      </c>
      <c r="AD57" s="39" t="s">
        <v>84</v>
      </c>
      <c r="AE57" s="39" t="s">
        <v>87</v>
      </c>
      <c r="AF57" s="39" t="s">
        <v>88</v>
      </c>
      <c r="AG57" s="39" t="s">
        <v>84</v>
      </c>
      <c r="AH57" s="39" t="s">
        <v>84</v>
      </c>
      <c r="AI57" s="39" t="s">
        <v>84</v>
      </c>
      <c r="AJ57" s="39" t="s">
        <v>84</v>
      </c>
      <c r="AK57" s="39" t="s">
        <v>84</v>
      </c>
      <c r="AL57" s="39" t="s">
        <v>84</v>
      </c>
      <c r="AM57" t="str">
        <f>VLOOKUP($R57,武学奇术!$A:$ZZ,25,FALSE)</f>
        <v>双刀</v>
      </c>
      <c r="AN57" s="24">
        <f>VLOOKUP($R57,武学奇术!$A:$ZZ,26,FALSE)</f>
        <v>1.3728</v>
      </c>
      <c r="AO57" s="25">
        <f>VLOOKUP($R57,武学奇术!$A:$ZZ,27,FALSE)*(1+IF(OR($AM57=$F$4,$AM57=$F$5),$B$22,0))</f>
        <v>609.44</v>
      </c>
      <c r="AP57" s="24">
        <f>VLOOKUP($R57,武学奇术!$A:$ZZ,28,FALSE)</f>
        <v>2.05933</v>
      </c>
      <c r="AQ57" s="25">
        <f>VLOOKUP($R57,武学奇术!$A:$ZZ,29,FALSE)*(1+IF(OR($AM57=$F$4,$AM57=$F$5),$B$22,0))</f>
        <v>332.8</v>
      </c>
      <c r="AR57" s="24" cm="1">
        <f t="array" ref="AR57">$G$3+IFERROR(VLOOKUP($AM57,$F$4:$G$7,2,FALSE),0)+VLOOKUP($R57,武学奇术!$A:$ZZ,2,FALSE)+SUM(_xlfn.XLOOKUP($S57:$AL57,增益!$A:$A,增益!$B:$B,0))</f>
        <v>0.4043</v>
      </c>
      <c r="AS57" s="24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4342.95</v>
      </c>
      <c r="AU57" cm="1">
        <f t="array" ref="AU57">$E$10*(1+$AS57)+VLOOKUP($R57,武学奇术!$A:$ZZ,4,FALSE)+SUM(_xlfn.XLOOKUP($S57:$AL57,增益!$A:$A,增益!$D:$D,0))-$I$2</f>
        <v>4342.95</v>
      </c>
      <c r="AV57" s="31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0.3034</v>
      </c>
      <c r="AW57" s="31" cm="1">
        <f t="array" ref="AW57">$G$10+VLOOKUP($R57,武学奇术!$A:$ZZ,7,FALSE)+SUM(_xlfn.XLOOKUP($S57:$AL57,增益!$A:$A,增益!$G:$G,0))</f>
        <v>0.11</v>
      </c>
      <c r="AX57" s="24" cm="1">
        <f t="array" ref="AX57">VLOOKUP($R57,武学奇术!$A:$ZZ,8,FALSE)+SUM(_xlfn.XLOOKUP($S57:$AL57,增益!$A:$A,增益!$H:$H,0))</f>
        <v>0</v>
      </c>
      <c r="AY57">
        <f t="shared" si="13"/>
        <v>0</v>
      </c>
      <c r="AZ57">
        <f t="shared" si="14"/>
        <v>0</v>
      </c>
      <c r="BA57" s="31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1" cm="1">
        <f t="array" ref="BB57">$G$11+VLOOKUP($R57,武学奇术!$A:$ZZ,10,FALSE)+SUM(_xlfn.XLOOKUP($S57:$AL57,增益!$A:$A,增益!$J:$J,0))</f>
        <v>0.02</v>
      </c>
      <c r="BC57">
        <f t="shared" si="15"/>
        <v>0</v>
      </c>
      <c r="BD57">
        <f t="shared" si="16"/>
        <v>0</v>
      </c>
      <c r="BE57" s="31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1" cm="1">
        <f t="array" ref="BF57">$G$12+VLOOKUP($R57,武学奇术!$A:$ZZ,12,FALSE)+SUM(_xlfn.XLOOKUP($S57:$AL57,增益!$A:$A,增益!$L:$L,0))</f>
        <v>0.02</v>
      </c>
      <c r="BG57">
        <f t="shared" si="17"/>
        <v>0</v>
      </c>
      <c r="BH57">
        <f t="shared" si="18"/>
        <v>0</v>
      </c>
      <c r="BI57" s="31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1" cm="1">
        <f t="array" ref="BJ57">$G$13+VLOOKUP($R57,武学奇术!$A:$ZZ,14,FALSE)+SUM(_xlfn.XLOOKUP($S57:$AL57,增益!$A:$A,增益!$N:$N,0))</f>
        <v>0.02</v>
      </c>
      <c r="BK57">
        <f t="shared" si="19"/>
        <v>649.11</v>
      </c>
      <c r="BL57">
        <f t="shared" si="20"/>
        <v>1812.09</v>
      </c>
      <c r="BM57" s="31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0.08</v>
      </c>
      <c r="BN57" s="31" cm="1">
        <f t="array" ref="BN57">$G$14+VLOOKUP($R57,武学奇术!$A:$ZZ,16,FALSE)+SUM(_xlfn.XLOOKUP($S57:$AL57,增益!$A:$A,增益!$P:$P,0))</f>
        <v>0.26</v>
      </c>
      <c r="BO57" s="24">
        <f>MIN(IF(VLOOKUP($R57,武学奇术!$A:$ZZ,23,FALSE)=1,100%,$B$8),100%)</f>
        <v>0.9943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0.8985</v>
      </c>
      <c r="BQ57" s="24" cm="1">
        <f t="array" ref="BQ57">1+$B$13+VLOOKUP($R57,武学奇术!$A:$ZZ,18,FALSE)+SUM(_xlfn.XLOOKUP($S57:$AL57,增益!$A:$A,增益!$R:$R,0))</f>
        <v>1.69</v>
      </c>
      <c r="BR57" s="24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4" cm="1">
        <f t="array" ref="BS57">1+$B$14+VLOOKUP($R57,武学奇术!$A:$ZZ,20,FALSE)+SUM(_xlfn.XLOOKUP($S57:$AL57,增益!$A:$A,增益!$T:$T,0))</f>
        <v>1.35</v>
      </c>
      <c r="BT57" s="24">
        <f t="shared" si="21"/>
        <v>0.89337855</v>
      </c>
      <c r="BU57" s="24">
        <f t="shared" si="22"/>
        <v>0.01014186</v>
      </c>
      <c r="BV57" s="24">
        <f>IF(VLOOKUP($R57,武学奇术!$A:$ZZ,22,FALSE)=1,0,(1-$BO57))*(1-$BR57)</f>
        <v>0.00517959000000003</v>
      </c>
      <c r="BW57" s="24" cm="1">
        <f t="array" ref="BW57">SUM(_xlfn.XLOOKUP($S57:$AL57,增益!$A:$A,增益!$W:$W,0))+$I$5</f>
        <v>0.11</v>
      </c>
      <c r="BX57" s="24">
        <f>VLOOKUP($R57,武学奇术!$A:$ZZ,32,FALSE)</f>
        <v>0</v>
      </c>
      <c r="BY57" s="24" cm="1">
        <f t="array" ref="BY57">SUM(_xlfn.XLOOKUP($S57:$AL57,增益!$A:$A,增益!$X:$X,0))</f>
        <v>0</v>
      </c>
    </row>
    <row r="58" spans="1:77">
      <c r="A58" t="s">
        <v>191</v>
      </c>
      <c r="B58">
        <v>2.25</v>
      </c>
      <c r="C58" s="38"/>
      <c r="D58" s="38"/>
      <c r="E58" s="38"/>
      <c r="K58" s="37">
        <f>$L58*VLOOKUP($R58,武学奇术!$A:$ZZ,31,FALSE)</f>
        <v>470061.3709781</v>
      </c>
      <c r="L58" s="89">
        <f>SUM(L32:L40,L42:L52,L54:L55)*0.2*(1+BY58)</f>
        <v>940122.7419562</v>
      </c>
      <c r="M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*(1+$BX58)</f>
        <v>0</v>
      </c>
      <c r="N58" s="37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*(1+$BX58)</f>
        <v>0</v>
      </c>
      <c r="O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*(1+$BX58)</f>
        <v>0</v>
      </c>
      <c r="P58" s="37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*(1+$BX58)</f>
        <v>0</v>
      </c>
      <c r="Q58" s="38">
        <v>1</v>
      </c>
      <c r="R58" s="39" t="s">
        <v>180</v>
      </c>
      <c r="S58" s="39" t="s">
        <v>181</v>
      </c>
      <c r="T58" s="39" t="s">
        <v>84</v>
      </c>
      <c r="U58" s="39" t="s">
        <v>84</v>
      </c>
      <c r="V58" s="39" t="s">
        <v>84</v>
      </c>
      <c r="W58" s="39" t="s">
        <v>84</v>
      </c>
      <c r="X58" s="39" t="s">
        <v>84</v>
      </c>
      <c r="Y58" s="39" t="s">
        <v>84</v>
      </c>
      <c r="Z58" s="39" t="s">
        <v>84</v>
      </c>
      <c r="AA58" s="39" t="s">
        <v>84</v>
      </c>
      <c r="AB58" s="39" t="s">
        <v>84</v>
      </c>
      <c r="AC58" s="39" t="s">
        <v>84</v>
      </c>
      <c r="AD58" s="39" t="s">
        <v>84</v>
      </c>
      <c r="AE58" s="39" t="s">
        <v>87</v>
      </c>
      <c r="AF58" s="39" t="s">
        <v>88</v>
      </c>
      <c r="AG58" s="39" t="s">
        <v>84</v>
      </c>
      <c r="AH58" s="39" t="s">
        <v>84</v>
      </c>
      <c r="AI58" s="39" t="s">
        <v>84</v>
      </c>
      <c r="AJ58" s="39" t="s">
        <v>84</v>
      </c>
      <c r="AK58" s="39" t="s">
        <v>84</v>
      </c>
      <c r="AL58" s="39" t="s">
        <v>84</v>
      </c>
      <c r="AM58" t="str">
        <f>VLOOKUP($R58,武学奇术!$A:$ZZ,25,FALSE)</f>
        <v>心法</v>
      </c>
      <c r="AN58" s="24">
        <f>VLOOKUP($R58,武学奇术!$A:$ZZ,26,FALSE)</f>
        <v>0</v>
      </c>
      <c r="AO58" s="25">
        <f>VLOOKUP($R58,武学奇术!$A:$ZZ,27,FALSE)*(1+IF(OR($AM58=$F$4,$AM58=$F$5),$B$22,0))</f>
        <v>0</v>
      </c>
      <c r="AP58" s="24">
        <f>VLOOKUP($R58,武学奇术!$A:$ZZ,28,FALSE)</f>
        <v>0</v>
      </c>
      <c r="AQ58" s="25">
        <f>VLOOKUP($R58,武学奇术!$A:$ZZ,29,FALSE)*(1+IF(OR($AM58=$F$4,$AM58=$F$5),$B$22,0))</f>
        <v>0</v>
      </c>
      <c r="AR58" s="24" cm="1">
        <f t="array" ref="AR58">$G$3+IFERROR(VLOOKUP($AM58,$F$4:$G$7,2,FALSE),0)+VLOOKUP($R58,武学奇术!$A:$ZZ,2,FALSE)+SUM(_xlfn.XLOOKUP($S58:$AL58,增益!$A:$A,增益!$B:$B,0))</f>
        <v>0.1842</v>
      </c>
      <c r="AS58" s="24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4342.95</v>
      </c>
      <c r="AU58" cm="1">
        <f t="array" ref="AU58">$E$10*(1+$AS58)+VLOOKUP($R58,武学奇术!$A:$ZZ,4,FALSE)+SUM(_xlfn.XLOOKUP($S58:$AL58,增益!$A:$A,增益!$D:$D,0))-$I$2</f>
        <v>4342.95</v>
      </c>
      <c r="AV58" s="31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0.2534</v>
      </c>
      <c r="AW58" s="31" cm="1">
        <f t="array" ref="AW58">$G$10+VLOOKUP($R58,武学奇术!$A:$ZZ,7,FALSE)+SUM(_xlfn.XLOOKUP($S58:$AL58,增益!$A:$A,增益!$G:$G,0))</f>
        <v>0</v>
      </c>
      <c r="AX58" s="24" cm="1">
        <f t="array" ref="AX58">VLOOKUP($R58,武学奇术!$A:$ZZ,8,FALSE)+SUM(_xlfn.XLOOKUP($S58:$AL58,增益!$A:$A,增益!$H:$H,0))</f>
        <v>0</v>
      </c>
      <c r="AY58">
        <f t="shared" si="13"/>
        <v>0</v>
      </c>
      <c r="AZ58">
        <f t="shared" si="14"/>
        <v>0</v>
      </c>
      <c r="BA58" s="31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1" cm="1">
        <f t="array" ref="BB58">$G$11+VLOOKUP($R58,武学奇术!$A:$ZZ,10,FALSE)+SUM(_xlfn.XLOOKUP($S58:$AL58,增益!$A:$A,增益!$J:$J,0))</f>
        <v>0</v>
      </c>
      <c r="BC58">
        <f t="shared" si="15"/>
        <v>0</v>
      </c>
      <c r="BD58">
        <f t="shared" si="16"/>
        <v>0</v>
      </c>
      <c r="BE58" s="31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1" cm="1">
        <f t="array" ref="BF58">$G$12+VLOOKUP($R58,武学奇术!$A:$ZZ,12,FALSE)+SUM(_xlfn.XLOOKUP($S58:$AL58,增益!$A:$A,增益!$L:$L,0))</f>
        <v>0</v>
      </c>
      <c r="BG58">
        <f t="shared" si="17"/>
        <v>0</v>
      </c>
      <c r="BH58">
        <f t="shared" si="18"/>
        <v>0</v>
      </c>
      <c r="BI58" s="31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-0.3</v>
      </c>
      <c r="BJ58" s="31" cm="1">
        <f t="array" ref="BJ58">$G$13+VLOOKUP($R58,武学奇术!$A:$ZZ,14,FALSE)+SUM(_xlfn.XLOOKUP($S58:$AL58,增益!$A:$A,增益!$N:$N,0))</f>
        <v>0</v>
      </c>
      <c r="BK58">
        <f t="shared" si="19"/>
        <v>649.11</v>
      </c>
      <c r="BL58">
        <f t="shared" si="20"/>
        <v>1812.09</v>
      </c>
      <c r="BM58" s="31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</v>
      </c>
      <c r="BN58" s="31" cm="1">
        <f t="array" ref="BN58">$G$14+VLOOKUP($R58,武学奇术!$A:$ZZ,16,FALSE)+SUM(_xlfn.XLOOKUP($S58:$AL58,增益!$A:$A,增益!$P:$P,0))</f>
        <v>0.15</v>
      </c>
      <c r="BO58" s="24">
        <f>MIN(IF(VLOOKUP($R58,武学奇术!$A:$ZZ,23,FALSE)=1,100%,$B$8),100%)</f>
        <v>0.9943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0.8985</v>
      </c>
      <c r="BQ58" s="24" cm="1">
        <f t="array" ref="BQ58">1+$B$13+VLOOKUP($R58,武学奇术!$A:$ZZ,18,FALSE)+SUM(_xlfn.XLOOKUP($S58:$AL58,增益!$A:$A,增益!$R:$R,0))</f>
        <v>1.54</v>
      </c>
      <c r="BR58" s="24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4" cm="1">
        <f t="array" ref="BS58">1+$B$14+VLOOKUP($R58,武学奇术!$A:$ZZ,20,FALSE)+SUM(_xlfn.XLOOKUP($S58:$AL58,增益!$A:$A,增益!$T:$T,0))</f>
        <v>1.35</v>
      </c>
      <c r="BT58" s="24">
        <f t="shared" si="21"/>
        <v>0.89337855</v>
      </c>
      <c r="BU58" s="24">
        <f t="shared" si="22"/>
        <v>0.01014186</v>
      </c>
      <c r="BV58" s="24">
        <f>IF(VLOOKUP($R58,武学奇术!$A:$ZZ,22,FALSE)=1,0,(1-$BO58))*(1-$BR58)</f>
        <v>0.00517959000000003</v>
      </c>
      <c r="BW58" s="24" cm="1">
        <f t="array" ref="BW58">SUM(_xlfn.XLOOKUP($S58:$AL58,增益!$A:$A,增益!$W:$W,0))+$I$5</f>
        <v>0.11</v>
      </c>
      <c r="BX58" s="24">
        <f>VLOOKUP($R58,武学奇术!$A:$ZZ,32,FALSE)</f>
        <v>0</v>
      </c>
      <c r="BY58" s="24" cm="1">
        <f t="array" ref="BY58">SUM(_xlfn.XLOOKUP($S58:$AL58,增益!$A:$A,增益!$X:$X,0))</f>
        <v>0.2</v>
      </c>
    </row>
    <row r="59" spans="1:77">
      <c r="A59" t="s">
        <v>191</v>
      </c>
      <c r="B59">
        <v>2</v>
      </c>
      <c r="C59" s="38"/>
      <c r="K59" s="37">
        <f>$L59*VLOOKUP($R59,武学奇术!$A:$ZZ,31,FALSE)</f>
        <v>20895.8719747835</v>
      </c>
      <c r="L59" s="37">
        <f t="shared" si="12"/>
        <v>20895.8719747835</v>
      </c>
      <c r="M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*(1+$BX59)</f>
        <v>21297.7949272855</v>
      </c>
      <c r="N59" s="37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*(1+$BX59)</f>
        <v>18498.552133211</v>
      </c>
      <c r="O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*(1+$BX59)</f>
        <v>12240.1120271756</v>
      </c>
      <c r="P59" s="37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*(1+$BX59)</f>
        <v>10777.5928445652</v>
      </c>
      <c r="Q59" s="38">
        <v>1</v>
      </c>
      <c r="R59" s="39" t="s">
        <v>185</v>
      </c>
      <c r="S59" s="39" t="s">
        <v>104</v>
      </c>
      <c r="T59" s="39" t="s">
        <v>194</v>
      </c>
      <c r="U59" s="39" t="s">
        <v>81</v>
      </c>
      <c r="V59" s="39" t="s">
        <v>130</v>
      </c>
      <c r="W59" s="39" t="s">
        <v>83</v>
      </c>
      <c r="X59" s="39" t="s">
        <v>84</v>
      </c>
      <c r="Y59" s="39" t="s">
        <v>85</v>
      </c>
      <c r="Z59" s="39" t="s">
        <v>84</v>
      </c>
      <c r="AA59" s="39" t="s">
        <v>84</v>
      </c>
      <c r="AB59" s="39" t="s">
        <v>204</v>
      </c>
      <c r="AC59" s="39" t="s">
        <v>92</v>
      </c>
      <c r="AD59" s="39" t="s">
        <v>84</v>
      </c>
      <c r="AE59" s="39" t="s">
        <v>87</v>
      </c>
      <c r="AF59" s="39" t="s">
        <v>88</v>
      </c>
      <c r="AG59" s="39" t="s">
        <v>84</v>
      </c>
      <c r="AH59" s="39" t="s">
        <v>84</v>
      </c>
      <c r="AI59" s="39" t="s">
        <v>84</v>
      </c>
      <c r="AJ59" s="39" t="s">
        <v>84</v>
      </c>
      <c r="AK59" s="39" t="s">
        <v>84</v>
      </c>
      <c r="AL59" s="39" t="s">
        <v>84</v>
      </c>
      <c r="AM59" t="str">
        <f>VLOOKUP($R59,武学奇术!$A:$ZZ,25,FALSE)</f>
        <v>双刀</v>
      </c>
      <c r="AN59" s="24">
        <f>VLOOKUP($R59,武学奇术!$A:$ZZ,26,FALSE)</f>
        <v>0.79044</v>
      </c>
      <c r="AO59" s="25">
        <f>VLOOKUP($R59,武学奇术!$A:$ZZ,27,FALSE)*(1+IF(OR($AM59=$F$4,$AM59=$F$5),$B$22,0))</f>
        <v>351.36</v>
      </c>
      <c r="AP59" s="24">
        <f>VLOOKUP($R59,武学奇术!$A:$ZZ,28,FALSE)</f>
        <v>1.18572</v>
      </c>
      <c r="AQ59" s="25">
        <f>VLOOKUP($R59,武学奇术!$A:$ZZ,29,FALSE)*(1+IF(OR($AM59=$F$4,$AM59=$F$5),$B$22,0))</f>
        <v>192</v>
      </c>
      <c r="AR59" s="24" cm="1">
        <f t="array" ref="AR59">$G$3+IFERROR(VLOOKUP($AM59,$F$4:$G$7,2,FALSE),0)+VLOOKUP($R59,武学奇术!$A:$ZZ,2,FALSE)+SUM(_xlfn.XLOOKUP($S59:$AL59,增益!$A:$A,增益!$B:$B,0))</f>
        <v>0.4043</v>
      </c>
      <c r="AS59" s="24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4342.95</v>
      </c>
      <c r="AU59" cm="1">
        <f t="array" ref="AU59">$E$10*(1+$AS59)+VLOOKUP($R59,武学奇术!$A:$ZZ,4,FALSE)+SUM(_xlfn.XLOOKUP($S59:$AL59,增益!$A:$A,增益!$D:$D,0))-$I$2</f>
        <v>4342.95</v>
      </c>
      <c r="AV59" s="31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0.3034</v>
      </c>
      <c r="AW59" s="31" cm="1">
        <f t="array" ref="AW59">$G$10+VLOOKUP($R59,武学奇术!$A:$ZZ,7,FALSE)+SUM(_xlfn.XLOOKUP($S59:$AL59,增益!$A:$A,增益!$G:$G,0))</f>
        <v>0.11</v>
      </c>
      <c r="AX59" s="24" cm="1">
        <f t="array" ref="AX59">VLOOKUP($R59,武学奇术!$A:$ZZ,8,FALSE)+SUM(_xlfn.XLOOKUP($S59:$AL59,增益!$A:$A,增益!$H:$H,0))</f>
        <v>0</v>
      </c>
      <c r="AY59">
        <f t="shared" si="13"/>
        <v>0</v>
      </c>
      <c r="AZ59">
        <f t="shared" si="14"/>
        <v>0</v>
      </c>
      <c r="BA59" s="31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1" cm="1">
        <f t="array" ref="BB59">$G$11+VLOOKUP($R59,武学奇术!$A:$ZZ,10,FALSE)+SUM(_xlfn.XLOOKUP($S59:$AL59,增益!$A:$A,增益!$J:$J,0))</f>
        <v>0.02</v>
      </c>
      <c r="BC59">
        <f t="shared" si="15"/>
        <v>0</v>
      </c>
      <c r="BD59">
        <f t="shared" si="16"/>
        <v>0</v>
      </c>
      <c r="BE59" s="31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-0.14</v>
      </c>
      <c r="BF59" s="31" cm="1">
        <f t="array" ref="BF59">$G$12+VLOOKUP($R59,武学奇术!$A:$ZZ,12,FALSE)+SUM(_xlfn.XLOOKUP($S59:$AL59,增益!$A:$A,增益!$L:$L,0))</f>
        <v>0.02</v>
      </c>
      <c r="BG59">
        <f t="shared" si="17"/>
        <v>0</v>
      </c>
      <c r="BH59">
        <f t="shared" si="18"/>
        <v>0</v>
      </c>
      <c r="BI59" s="31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1" cm="1">
        <f t="array" ref="BJ59">$G$13+VLOOKUP($R59,武学奇术!$A:$ZZ,14,FALSE)+SUM(_xlfn.XLOOKUP($S59:$AL59,增益!$A:$A,增益!$N:$N,0))</f>
        <v>0.02</v>
      </c>
      <c r="BK59">
        <f t="shared" si="19"/>
        <v>649.11</v>
      </c>
      <c r="BL59">
        <f t="shared" si="20"/>
        <v>1812.09</v>
      </c>
      <c r="BM59" s="31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0.08</v>
      </c>
      <c r="BN59" s="31" cm="1">
        <f t="array" ref="BN59">$G$14+VLOOKUP($R59,武学奇术!$A:$ZZ,16,FALSE)+SUM(_xlfn.XLOOKUP($S59:$AL59,增益!$A:$A,增益!$P:$P,0))</f>
        <v>0.26</v>
      </c>
      <c r="BO59" s="24">
        <f>MIN(IF(VLOOKUP($R59,武学奇术!$A:$ZZ,23,FALSE)=1,100%,$B$8),100%)</f>
        <v>0.9943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0.8985</v>
      </c>
      <c r="BQ59" s="24" cm="1">
        <f t="array" ref="BQ59">1+$B$13+VLOOKUP($R59,武学奇术!$A:$ZZ,18,FALSE)+SUM(_xlfn.XLOOKUP($S59:$AL59,增益!$A:$A,增益!$R:$R,0))</f>
        <v>1.74</v>
      </c>
      <c r="BR59" s="24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4" cm="1">
        <f t="array" ref="BS59">1+$B$14+VLOOKUP($R59,武学奇术!$A:$ZZ,20,FALSE)+SUM(_xlfn.XLOOKUP($S59:$AL59,增益!$A:$A,增益!$T:$T,0))</f>
        <v>1.35</v>
      </c>
      <c r="BT59" s="24">
        <f t="shared" si="21"/>
        <v>0.89337855</v>
      </c>
      <c r="BU59" s="24">
        <f t="shared" si="22"/>
        <v>0.01014186</v>
      </c>
      <c r="BV59" s="24">
        <f>IF(VLOOKUP($R59,武学奇术!$A:$ZZ,22,FALSE)=1,0,(1-$BO59))*(1-$BR59)</f>
        <v>0.00517959000000003</v>
      </c>
      <c r="BW59" s="24" cm="1">
        <f t="array" ref="BW59">SUM(_xlfn.XLOOKUP($S59:$AL59,增益!$A:$A,增益!$W:$W,0))+$I$5</f>
        <v>0.11</v>
      </c>
      <c r="BX59" s="24">
        <f>VLOOKUP($R59,武学奇术!$A:$ZZ,32,FALSE)</f>
        <v>0</v>
      </c>
      <c r="BY59" s="24" cm="1">
        <f t="array" ref="BY59">SUM(_xlfn.XLOOKUP($S59:$AL59,增益!$A:$A,增益!$X:$X,0))</f>
        <v>0</v>
      </c>
    </row>
    <row r="60" spans="1:77">
      <c r="A60" t="s">
        <v>178</v>
      </c>
      <c r="B60" s="95">
        <v>0.1</v>
      </c>
      <c r="C60" s="38"/>
      <c r="K60" s="37">
        <f>$L60*VLOOKUP($R60,武学奇术!$A:$ZZ,31,FALSE)</f>
        <v>179073.43658246</v>
      </c>
      <c r="L60" s="37">
        <f t="shared" si="12"/>
        <v>179073.43658246</v>
      </c>
      <c r="M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*(1+$BX60)</f>
        <v>184891.546847727</v>
      </c>
      <c r="N60" s="37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*(1+$BX60)</f>
        <v>136984.270216733</v>
      </c>
      <c r="O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*(1+$BX60)</f>
        <v>90633.111199866</v>
      </c>
      <c r="P60" s="37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*(1+$BX60)</f>
        <v>79796.3926095594</v>
      </c>
      <c r="Q60" s="38">
        <v>1</v>
      </c>
      <c r="R60" s="39" t="s">
        <v>157</v>
      </c>
      <c r="S60" s="39" t="s">
        <v>104</v>
      </c>
      <c r="T60" s="39" t="s">
        <v>194</v>
      </c>
      <c r="U60" s="39" t="s">
        <v>81</v>
      </c>
      <c r="V60" s="39" t="s">
        <v>130</v>
      </c>
      <c r="W60" s="39" t="s">
        <v>83</v>
      </c>
      <c r="X60" s="39" t="s">
        <v>84</v>
      </c>
      <c r="Y60" s="39" t="s">
        <v>85</v>
      </c>
      <c r="Z60" s="39" t="s">
        <v>84</v>
      </c>
      <c r="AA60" s="39" t="s">
        <v>84</v>
      </c>
      <c r="AB60" s="39" t="s">
        <v>204</v>
      </c>
      <c r="AC60" s="39" t="s">
        <v>92</v>
      </c>
      <c r="AD60" s="39" t="s">
        <v>84</v>
      </c>
      <c r="AE60" s="39" t="s">
        <v>87</v>
      </c>
      <c r="AF60" s="39" t="s">
        <v>88</v>
      </c>
      <c r="AG60" s="39" t="s">
        <v>84</v>
      </c>
      <c r="AH60" s="39" t="s">
        <v>84</v>
      </c>
      <c r="AI60" s="39" t="s">
        <v>84</v>
      </c>
      <c r="AJ60" s="39" t="s">
        <v>84</v>
      </c>
      <c r="AK60" s="39" t="s">
        <v>84</v>
      </c>
      <c r="AL60" s="39" t="s">
        <v>84</v>
      </c>
      <c r="AM60" t="str">
        <f>VLOOKUP($R60,武学奇术!$A:$ZZ,25,FALSE)</f>
        <v>双刀</v>
      </c>
      <c r="AN60" s="24">
        <f>VLOOKUP($R60,武学奇术!$A:$ZZ,26,FALSE)</f>
        <v>2.85516</v>
      </c>
      <c r="AO60" s="25">
        <f>VLOOKUP($R60,武学奇术!$A:$ZZ,27,FALSE)*(1+IF(OR($AM60=$F$4,$AM60=$F$5),$B$22,0))</f>
        <v>1263.36</v>
      </c>
      <c r="AP60" s="24">
        <f>VLOOKUP($R60,武学奇术!$A:$ZZ,28,FALSE)</f>
        <v>4.28274</v>
      </c>
      <c r="AQ60" s="25">
        <f>VLOOKUP($R60,武学奇术!$A:$ZZ,29,FALSE)*(1+IF(OR($AM60=$F$4,$AM60=$F$5),$B$22,0))</f>
        <v>687.68</v>
      </c>
      <c r="AR60" s="24" cm="1">
        <f t="array" ref="AR60">$G$3+IFERROR(VLOOKUP($AM60,$F$4:$G$7,2,FALSE),0)+VLOOKUP($R60,武学奇术!$A:$ZZ,2,FALSE)+SUM(_xlfn.XLOOKUP($S60:$AL60,增益!$A:$A,增益!$B:$B,0))</f>
        <v>0.4543</v>
      </c>
      <c r="AS60" s="24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4342.95</v>
      </c>
      <c r="AU60" cm="1">
        <f t="array" ref="AU60">$E$10*(1+$AS60)+VLOOKUP($R60,武学奇术!$A:$ZZ,4,FALSE)+SUM(_xlfn.XLOOKUP($S60:$AL60,增益!$A:$A,增益!$D:$D,0))-$I$2</f>
        <v>4342.95</v>
      </c>
      <c r="AV60" s="31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0.3034</v>
      </c>
      <c r="AW60" s="31" cm="1">
        <f t="array" ref="AW60">$G$10+VLOOKUP($R60,武学奇术!$A:$ZZ,7,FALSE)+SUM(_xlfn.XLOOKUP($S60:$AL60,增益!$A:$A,增益!$G:$G,0))</f>
        <v>0.11</v>
      </c>
      <c r="AX60" s="24" cm="1">
        <f t="array" ref="AX60">VLOOKUP($R60,武学奇术!$A:$ZZ,8,FALSE)+SUM(_xlfn.XLOOKUP($S60:$AL60,增益!$A:$A,增益!$H:$H,0))</f>
        <v>0</v>
      </c>
      <c r="AY60">
        <f t="shared" si="13"/>
        <v>0</v>
      </c>
      <c r="AZ60">
        <f t="shared" si="14"/>
        <v>0</v>
      </c>
      <c r="BA60" s="31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1" cm="1">
        <f t="array" ref="BB60">$G$11+VLOOKUP($R60,武学奇术!$A:$ZZ,10,FALSE)+SUM(_xlfn.XLOOKUP($S60:$AL60,增益!$A:$A,增益!$J:$J,0))</f>
        <v>0.02</v>
      </c>
      <c r="BC60">
        <f t="shared" si="15"/>
        <v>0</v>
      </c>
      <c r="BD60">
        <f t="shared" si="16"/>
        <v>0</v>
      </c>
      <c r="BE60" s="31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-0.14</v>
      </c>
      <c r="BF60" s="31" cm="1">
        <f t="array" ref="BF60">$G$12+VLOOKUP($R60,武学奇术!$A:$ZZ,12,FALSE)+SUM(_xlfn.XLOOKUP($S60:$AL60,增益!$A:$A,增益!$L:$L,0))</f>
        <v>0.02</v>
      </c>
      <c r="BG60">
        <f t="shared" si="17"/>
        <v>0</v>
      </c>
      <c r="BH60">
        <f t="shared" si="18"/>
        <v>0</v>
      </c>
      <c r="BI60" s="31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-0.14</v>
      </c>
      <c r="BJ60" s="31" cm="1">
        <f t="array" ref="BJ60">$G$13+VLOOKUP($R60,武学奇术!$A:$ZZ,14,FALSE)+SUM(_xlfn.XLOOKUP($S60:$AL60,增益!$A:$A,增益!$N:$N,0))</f>
        <v>0.02</v>
      </c>
      <c r="BK60">
        <f t="shared" si="19"/>
        <v>649.11</v>
      </c>
      <c r="BL60">
        <f t="shared" si="20"/>
        <v>1812.09</v>
      </c>
      <c r="BM60" s="31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0.08</v>
      </c>
      <c r="BN60" s="31" cm="1">
        <f t="array" ref="BN60">$G$14+VLOOKUP($R60,武学奇术!$A:$ZZ,16,FALSE)+SUM(_xlfn.XLOOKUP($S60:$AL60,增益!$A:$A,增益!$P:$P,0))</f>
        <v>0.26</v>
      </c>
      <c r="BO60" s="24">
        <f>MIN(IF(VLOOKUP($R60,武学奇术!$A:$ZZ,23,FALSE)=1,100%,$B$8),100%)</f>
        <v>0.9943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0.8985</v>
      </c>
      <c r="BQ60" s="24" cm="1">
        <f t="array" ref="BQ60">1+$B$13+VLOOKUP($R60,武学奇术!$A:$ZZ,18,FALSE)+SUM(_xlfn.XLOOKUP($S60:$AL60,增益!$A:$A,增益!$R:$R,0))</f>
        <v>2.04</v>
      </c>
      <c r="BR60" s="24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4" cm="1">
        <f t="array" ref="BS60">1+$B$14+VLOOKUP($R60,武学奇术!$A:$ZZ,20,FALSE)+SUM(_xlfn.XLOOKUP($S60:$AL60,增益!$A:$A,增益!$T:$T,0))</f>
        <v>1.35</v>
      </c>
      <c r="BT60" s="24">
        <f t="shared" si="21"/>
        <v>0.89337855</v>
      </c>
      <c r="BU60" s="24">
        <f t="shared" si="22"/>
        <v>0.0153214500000001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0.11</v>
      </c>
      <c r="BX60" s="24">
        <f>VLOOKUP($R60,武学奇术!$A:$ZZ,32,FALSE)</f>
        <v>0.5</v>
      </c>
      <c r="BY60" s="24" cm="1">
        <f t="array" ref="BY60">SUM(_xlfn.XLOOKUP($S60:$AL60,增益!$A:$A,增益!$X:$X,0))</f>
        <v>0</v>
      </c>
    </row>
    <row r="61" spans="1:77">
      <c r="A61" t="s">
        <v>200</v>
      </c>
      <c r="B61">
        <v>2.8</v>
      </c>
      <c r="K61" s="37">
        <f>$L61*VLOOKUP($R61,武学奇术!$A:$ZZ,31,FALSE)</f>
        <v>238720.296693826</v>
      </c>
      <c r="L61" s="37">
        <f t="shared" ref="L61:L73" si="23">($M61*$BT61+$N61*$BR61+$O61*$BU61+$P61*$BV61)</f>
        <v>238720.296693826</v>
      </c>
      <c r="M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*(1+$BX61)</f>
        <v>246476.1762776</v>
      </c>
      <c r="N61" s="37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*(1+$BX61)</f>
        <v>182613.414839176</v>
      </c>
      <c r="O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*(1+$BX61)</f>
        <v>120821.655038039</v>
      </c>
      <c r="P61" s="37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*(1+$BX61)</f>
        <v>106374.113898911</v>
      </c>
      <c r="Q61" s="38">
        <v>1</v>
      </c>
      <c r="R61" s="39" t="s">
        <v>163</v>
      </c>
      <c r="S61" s="39" t="s">
        <v>104</v>
      </c>
      <c r="T61" s="39" t="s">
        <v>194</v>
      </c>
      <c r="U61" s="39" t="s">
        <v>81</v>
      </c>
      <c r="V61" s="39" t="s">
        <v>130</v>
      </c>
      <c r="W61" s="39" t="s">
        <v>83</v>
      </c>
      <c r="X61" s="39" t="s">
        <v>84</v>
      </c>
      <c r="Y61" s="39" t="s">
        <v>85</v>
      </c>
      <c r="Z61" s="39" t="s">
        <v>84</v>
      </c>
      <c r="AA61" s="39" t="s">
        <v>84</v>
      </c>
      <c r="AB61" s="39" t="s">
        <v>204</v>
      </c>
      <c r="AC61" s="39" t="s">
        <v>92</v>
      </c>
      <c r="AD61" s="39" t="s">
        <v>84</v>
      </c>
      <c r="AE61" s="39" t="s">
        <v>87</v>
      </c>
      <c r="AF61" s="39" t="s">
        <v>88</v>
      </c>
      <c r="AG61" s="39" t="s">
        <v>84</v>
      </c>
      <c r="AH61" s="39" t="s">
        <v>84</v>
      </c>
      <c r="AI61" s="39" t="s">
        <v>84</v>
      </c>
      <c r="AJ61" s="39" t="s">
        <v>84</v>
      </c>
      <c r="AK61" s="39" t="s">
        <v>84</v>
      </c>
      <c r="AL61" s="39" t="s">
        <v>84</v>
      </c>
      <c r="AM61" t="str">
        <f>VLOOKUP($R61,武学奇术!$A:$ZZ,25,FALSE)</f>
        <v>双刀</v>
      </c>
      <c r="AN61" s="24">
        <f>VLOOKUP($R61,武学奇术!$A:$ZZ,26,FALSE)</f>
        <v>3.80688</v>
      </c>
      <c r="AO61" s="25">
        <f>VLOOKUP($R61,武学奇术!$A:$ZZ,27,FALSE)*(1+IF(OR($AM61=$F$4,$AM61=$F$5),$B$22,0))</f>
        <v>1684.48</v>
      </c>
      <c r="AP61" s="24">
        <f>VLOOKUP($R61,武学奇术!$A:$ZZ,28,FALSE)</f>
        <v>5.70976</v>
      </c>
      <c r="AQ61" s="25">
        <f>VLOOKUP($R61,武学奇术!$A:$ZZ,29,FALSE)*(1+IF(OR($AM61=$F$4,$AM61=$F$5),$B$22,0))</f>
        <v>913.92</v>
      </c>
      <c r="AR61" s="24" cm="1">
        <f t="array" ref="AR61">$G$3+IFERROR(VLOOKUP($AM61,$F$4:$G$7,2,FALSE),0)+VLOOKUP($R61,武学奇术!$A:$ZZ,2,FALSE)+SUM(_xlfn.XLOOKUP($S61:$AL61,增益!$A:$A,增益!$B:$B,0))</f>
        <v>0.4543</v>
      </c>
      <c r="AS61" s="24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4342.95</v>
      </c>
      <c r="AU61" cm="1">
        <f t="array" ref="AU61">$E$10*(1+$AS61)+VLOOKUP($R61,武学奇术!$A:$ZZ,4,FALSE)+SUM(_xlfn.XLOOKUP($S61:$AL61,增益!$A:$A,增益!$D:$D,0))-$I$2</f>
        <v>4342.95</v>
      </c>
      <c r="AV61" s="31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0.3034</v>
      </c>
      <c r="AW61" s="31" cm="1">
        <f t="array" ref="AW61">$G$10+VLOOKUP($R61,武学奇术!$A:$ZZ,7,FALSE)+SUM(_xlfn.XLOOKUP($S61:$AL61,增益!$A:$A,增益!$G:$G,0))</f>
        <v>0.11</v>
      </c>
      <c r="AX61" s="24" cm="1">
        <f t="array" ref="AX61">VLOOKUP($R61,武学奇术!$A:$ZZ,8,FALSE)+SUM(_xlfn.XLOOKUP($S61:$AL61,增益!$A:$A,增益!$H:$H,0))</f>
        <v>0</v>
      </c>
      <c r="AY61">
        <f t="shared" si="13"/>
        <v>0</v>
      </c>
      <c r="AZ61">
        <f t="shared" si="14"/>
        <v>0</v>
      </c>
      <c r="BA61" s="31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-0.14</v>
      </c>
      <c r="BB61" s="31" cm="1">
        <f t="array" ref="BB61">$G$11+VLOOKUP($R61,武学奇术!$A:$ZZ,10,FALSE)+SUM(_xlfn.XLOOKUP($S61:$AL61,增益!$A:$A,增益!$J:$J,0))</f>
        <v>0.02</v>
      </c>
      <c r="BC61">
        <f t="shared" si="15"/>
        <v>0</v>
      </c>
      <c r="BD61">
        <f t="shared" si="16"/>
        <v>0</v>
      </c>
      <c r="BE61" s="31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-0.14</v>
      </c>
      <c r="BF61" s="31" cm="1">
        <f t="array" ref="BF61">$G$12+VLOOKUP($R61,武学奇术!$A:$ZZ,12,FALSE)+SUM(_xlfn.XLOOKUP($S61:$AL61,增益!$A:$A,增益!$L:$L,0))</f>
        <v>0.02</v>
      </c>
      <c r="BG61">
        <f t="shared" si="17"/>
        <v>0</v>
      </c>
      <c r="BH61">
        <f t="shared" si="18"/>
        <v>0</v>
      </c>
      <c r="BI61" s="31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-0.14</v>
      </c>
      <c r="BJ61" s="31" cm="1">
        <f t="array" ref="BJ61">$G$13+VLOOKUP($R61,武学奇术!$A:$ZZ,14,FALSE)+SUM(_xlfn.XLOOKUP($S61:$AL61,增益!$A:$A,增益!$N:$N,0))</f>
        <v>0.02</v>
      </c>
      <c r="BK61">
        <f t="shared" si="19"/>
        <v>649.11</v>
      </c>
      <c r="BL61">
        <f t="shared" si="20"/>
        <v>1812.09</v>
      </c>
      <c r="BM61" s="31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0.08</v>
      </c>
      <c r="BN61" s="31" cm="1">
        <f t="array" ref="BN61">$G$14+VLOOKUP($R61,武学奇术!$A:$ZZ,16,FALSE)+SUM(_xlfn.XLOOKUP($S61:$AL61,增益!$A:$A,增益!$P:$P,0))</f>
        <v>0.26</v>
      </c>
      <c r="BO61" s="24">
        <f>MIN(IF(VLOOKUP($R61,武学奇术!$A:$ZZ,23,FALSE)=1,100%,$B$8),100%)</f>
        <v>0.9943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0.8985</v>
      </c>
      <c r="BQ61" s="24" cm="1">
        <f t="array" ref="BQ61">1+$B$13+VLOOKUP($R61,武学奇术!$A:$ZZ,18,FALSE)+SUM(_xlfn.XLOOKUP($S61:$AL61,增益!$A:$A,增益!$R:$R,0))</f>
        <v>2.04</v>
      </c>
      <c r="BR61" s="24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4" cm="1">
        <f t="array" ref="BS61">1+$B$14+VLOOKUP($R61,武学奇术!$A:$ZZ,20,FALSE)+SUM(_xlfn.XLOOKUP($S61:$AL61,增益!$A:$A,增益!$T:$T,0))</f>
        <v>1.35</v>
      </c>
      <c r="BT61" s="24">
        <f t="shared" si="21"/>
        <v>0.89337855</v>
      </c>
      <c r="BU61" s="24">
        <f t="shared" si="22"/>
        <v>0.0153214500000001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0.11</v>
      </c>
      <c r="BX61" s="24">
        <f>VLOOKUP($R61,武学奇术!$A:$ZZ,32,FALSE)</f>
        <v>0.5</v>
      </c>
      <c r="BY61" s="24" cm="1">
        <f t="array" ref="BY61">SUM(_xlfn.XLOOKUP($S61:$AL61,增益!$A:$A,增益!$X:$X,0))</f>
        <v>0</v>
      </c>
    </row>
    <row r="62" spans="1:77">
      <c r="A62" t="s">
        <v>178</v>
      </c>
      <c r="B62">
        <v>0.1</v>
      </c>
      <c r="K62" s="37">
        <f>$L62*VLOOKUP($R62,武学奇术!$A:$ZZ,31,FALSE)</f>
        <v>179073.43658246</v>
      </c>
      <c r="L62" s="37">
        <f t="shared" si="23"/>
        <v>179073.43658246</v>
      </c>
      <c r="M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*(1+$BX62)</f>
        <v>184891.546847727</v>
      </c>
      <c r="N62" s="37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*(1+$BX62)</f>
        <v>136984.270216733</v>
      </c>
      <c r="O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*(1+$BX62)</f>
        <v>90633.111199866</v>
      </c>
      <c r="P62" s="37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*(1+$BX62)</f>
        <v>79796.3926095594</v>
      </c>
      <c r="Q62" s="38">
        <v>1</v>
      </c>
      <c r="R62" s="39" t="s">
        <v>166</v>
      </c>
      <c r="S62" s="39" t="s">
        <v>104</v>
      </c>
      <c r="T62" s="39" t="s">
        <v>194</v>
      </c>
      <c r="U62" s="39" t="s">
        <v>81</v>
      </c>
      <c r="V62" s="39" t="s">
        <v>130</v>
      </c>
      <c r="W62" s="39" t="s">
        <v>83</v>
      </c>
      <c r="X62" s="39" t="s">
        <v>84</v>
      </c>
      <c r="Y62" s="39" t="s">
        <v>85</v>
      </c>
      <c r="Z62" s="39" t="s">
        <v>84</v>
      </c>
      <c r="AA62" s="39" t="s">
        <v>84</v>
      </c>
      <c r="AB62" s="39" t="s">
        <v>204</v>
      </c>
      <c r="AC62" s="39" t="s">
        <v>92</v>
      </c>
      <c r="AD62" s="39" t="s">
        <v>84</v>
      </c>
      <c r="AE62" s="39" t="s">
        <v>87</v>
      </c>
      <c r="AF62" s="39" t="s">
        <v>88</v>
      </c>
      <c r="AG62" s="39" t="s">
        <v>84</v>
      </c>
      <c r="AH62" s="39" t="s">
        <v>84</v>
      </c>
      <c r="AI62" s="39" t="s">
        <v>84</v>
      </c>
      <c r="AJ62" s="39" t="s">
        <v>84</v>
      </c>
      <c r="AK62" s="39" t="s">
        <v>84</v>
      </c>
      <c r="AL62" s="39" t="s">
        <v>84</v>
      </c>
      <c r="AM62" t="str">
        <f>VLOOKUP($R62,武学奇术!$A:$ZZ,25,FALSE)</f>
        <v>双刀</v>
      </c>
      <c r="AN62" s="24">
        <f>VLOOKUP($R62,武学奇术!$A:$ZZ,26,FALSE)</f>
        <v>2.85516</v>
      </c>
      <c r="AO62" s="25">
        <f>VLOOKUP($R62,武学奇术!$A:$ZZ,27,FALSE)*(1+IF(OR($AM62=$F$4,$AM62=$F$5),$B$22,0))</f>
        <v>1263.36</v>
      </c>
      <c r="AP62" s="24">
        <f>VLOOKUP($R62,武学奇术!$A:$ZZ,28,FALSE)</f>
        <v>4.28274</v>
      </c>
      <c r="AQ62" s="25">
        <f>VLOOKUP($R62,武学奇术!$A:$ZZ,29,FALSE)*(1+IF(OR($AM62=$F$4,$AM62=$F$5),$B$22,0))</f>
        <v>687.68</v>
      </c>
      <c r="AR62" s="24" cm="1">
        <f t="array" ref="AR62">$G$3+IFERROR(VLOOKUP($AM62,$F$4:$G$7,2,FALSE),0)+VLOOKUP($R62,武学奇术!$A:$ZZ,2,FALSE)+SUM(_xlfn.XLOOKUP($S62:$AL62,增益!$A:$A,增益!$B:$B,0))</f>
        <v>0.4543</v>
      </c>
      <c r="AS62" s="24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4342.95</v>
      </c>
      <c r="AU62" cm="1">
        <f t="array" ref="AU62">$E$10*(1+$AS62)+VLOOKUP($R62,武学奇术!$A:$ZZ,4,FALSE)+SUM(_xlfn.XLOOKUP($S62:$AL62,增益!$A:$A,增益!$D:$D,0))-$I$2</f>
        <v>4342.95</v>
      </c>
      <c r="AV62" s="31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0.3034</v>
      </c>
      <c r="AW62" s="31" cm="1">
        <f t="array" ref="AW62">$G$10+VLOOKUP($R62,武学奇术!$A:$ZZ,7,FALSE)+SUM(_xlfn.XLOOKUP($S62:$AL62,增益!$A:$A,增益!$G:$G,0))</f>
        <v>0.11</v>
      </c>
      <c r="AX62" s="24" cm="1">
        <f t="array" ref="AX62">VLOOKUP($R62,武学奇术!$A:$ZZ,8,FALSE)+SUM(_xlfn.XLOOKUP($S62:$AL62,增益!$A:$A,增益!$H:$H,0))</f>
        <v>0</v>
      </c>
      <c r="AY62">
        <f t="shared" si="13"/>
        <v>0</v>
      </c>
      <c r="AZ62">
        <f t="shared" si="14"/>
        <v>0</v>
      </c>
      <c r="BA62" s="31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-0.14</v>
      </c>
      <c r="BB62" s="31" cm="1">
        <f t="array" ref="BB62">$G$11+VLOOKUP($R62,武学奇术!$A:$ZZ,10,FALSE)+SUM(_xlfn.XLOOKUP($S62:$AL62,增益!$A:$A,增益!$J:$J,0))</f>
        <v>0.02</v>
      </c>
      <c r="BC62">
        <f t="shared" si="15"/>
        <v>0</v>
      </c>
      <c r="BD62">
        <f t="shared" si="16"/>
        <v>0</v>
      </c>
      <c r="BE62" s="31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-0.14</v>
      </c>
      <c r="BF62" s="31" cm="1">
        <f t="array" ref="BF62">$G$12+VLOOKUP($R62,武学奇术!$A:$ZZ,12,FALSE)+SUM(_xlfn.XLOOKUP($S62:$AL62,增益!$A:$A,增益!$L:$L,0))</f>
        <v>0.02</v>
      </c>
      <c r="BG62">
        <f t="shared" si="17"/>
        <v>0</v>
      </c>
      <c r="BH62">
        <f t="shared" si="18"/>
        <v>0</v>
      </c>
      <c r="BI62" s="31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-0.14</v>
      </c>
      <c r="BJ62" s="31" cm="1">
        <f t="array" ref="BJ62">$G$13+VLOOKUP($R62,武学奇术!$A:$ZZ,14,FALSE)+SUM(_xlfn.XLOOKUP($S62:$AL62,增益!$A:$A,增益!$N:$N,0))</f>
        <v>0.02</v>
      </c>
      <c r="BK62">
        <f t="shared" si="19"/>
        <v>649.11</v>
      </c>
      <c r="BL62">
        <f t="shared" si="20"/>
        <v>1812.09</v>
      </c>
      <c r="BM62" s="31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0.08</v>
      </c>
      <c r="BN62" s="31" cm="1">
        <f t="array" ref="BN62">$G$14+VLOOKUP($R62,武学奇术!$A:$ZZ,16,FALSE)+SUM(_xlfn.XLOOKUP($S62:$AL62,增益!$A:$A,增益!$P:$P,0))</f>
        <v>0.26</v>
      </c>
      <c r="BO62" s="24">
        <f>MIN(IF(VLOOKUP($R62,武学奇术!$A:$ZZ,23,FALSE)=1,100%,$B$8),100%)</f>
        <v>0.9943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0.8985</v>
      </c>
      <c r="BQ62" s="24" cm="1">
        <f t="array" ref="BQ62">1+$B$13+VLOOKUP($R62,武学奇术!$A:$ZZ,18,FALSE)+SUM(_xlfn.XLOOKUP($S62:$AL62,增益!$A:$A,增益!$R:$R,0))</f>
        <v>2.04</v>
      </c>
      <c r="BR62" s="24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4" cm="1">
        <f t="array" ref="BS62">1+$B$14+VLOOKUP($R62,武学奇术!$A:$ZZ,20,FALSE)+SUM(_xlfn.XLOOKUP($S62:$AL62,增益!$A:$A,增益!$T:$T,0))</f>
        <v>1.35</v>
      </c>
      <c r="BT62" s="24">
        <f t="shared" si="21"/>
        <v>0.89337855</v>
      </c>
      <c r="BU62" s="24">
        <f t="shared" si="22"/>
        <v>0.0153214500000001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0.11</v>
      </c>
      <c r="BX62" s="24">
        <f>VLOOKUP($R62,武学奇术!$A:$ZZ,32,FALSE)</f>
        <v>0.5</v>
      </c>
      <c r="BY62" s="24" cm="1">
        <f t="array" ref="BY62">SUM(_xlfn.XLOOKUP($S62:$AL62,增益!$A:$A,增益!$X:$X,0))</f>
        <v>0</v>
      </c>
    </row>
    <row r="63" spans="1:77">
      <c r="A63" t="s">
        <v>202</v>
      </c>
      <c r="B63">
        <v>0.7</v>
      </c>
      <c r="K63" s="37">
        <f>$L63*VLOOKUP($R63,武学奇术!$A:$ZZ,31,FALSE)</f>
        <v>326088.117124969</v>
      </c>
      <c r="L63" s="37">
        <f t="shared" si="23"/>
        <v>326088.117124969</v>
      </c>
      <c r="M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*(1+$BX63)</f>
        <v>336683.386075549</v>
      </c>
      <c r="N63" s="37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*(1+$BX63)</f>
        <v>249438.514144121</v>
      </c>
      <c r="O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*(1+$BX63)</f>
        <v>165040.87552723</v>
      </c>
      <c r="P63" s="37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*(1+$BX63)</f>
        <v>145312.481318074</v>
      </c>
      <c r="Q63" s="38">
        <v>1</v>
      </c>
      <c r="R63" s="39" t="s">
        <v>133</v>
      </c>
      <c r="S63" s="39" t="s">
        <v>104</v>
      </c>
      <c r="T63" s="39" t="s">
        <v>194</v>
      </c>
      <c r="U63" s="39" t="s">
        <v>81</v>
      </c>
      <c r="V63" s="39" t="s">
        <v>130</v>
      </c>
      <c r="W63" s="39" t="s">
        <v>83</v>
      </c>
      <c r="X63" s="39" t="s">
        <v>84</v>
      </c>
      <c r="Y63" s="39" t="s">
        <v>85</v>
      </c>
      <c r="Z63" s="39" t="s">
        <v>84</v>
      </c>
      <c r="AA63" s="39" t="s">
        <v>84</v>
      </c>
      <c r="AB63" s="39" t="s">
        <v>204</v>
      </c>
      <c r="AC63" s="39" t="s">
        <v>100</v>
      </c>
      <c r="AD63" s="39" t="s">
        <v>84</v>
      </c>
      <c r="AE63" s="39" t="s">
        <v>87</v>
      </c>
      <c r="AF63" s="39" t="s">
        <v>88</v>
      </c>
      <c r="AG63" s="39" t="s">
        <v>84</v>
      </c>
      <c r="AH63" s="39" t="s">
        <v>84</v>
      </c>
      <c r="AI63" s="39" t="s">
        <v>84</v>
      </c>
      <c r="AJ63" s="39" t="s">
        <v>84</v>
      </c>
      <c r="AK63" s="39" t="s">
        <v>84</v>
      </c>
      <c r="AL63" s="39" t="s">
        <v>84</v>
      </c>
      <c r="AM63" t="str">
        <f>VLOOKUP($R63,武学奇术!$A:$ZZ,25,FALSE)</f>
        <v>拳甲</v>
      </c>
      <c r="AN63" s="24">
        <f>VLOOKUP($R63,武学奇术!$A:$ZZ,26,FALSE)</f>
        <v>5.5691</v>
      </c>
      <c r="AO63" s="25">
        <f>VLOOKUP($R63,武学奇术!$A:$ZZ,27,FALSE)*(1+IF(OR($AM63=$F$4,$AM63=$F$5),$B$22,0))</f>
        <v>2470.4</v>
      </c>
      <c r="AP63" s="24">
        <f>VLOOKUP($R63,武学奇术!$A:$ZZ,28,FALSE)</f>
        <v>8.3537</v>
      </c>
      <c r="AQ63" s="25">
        <f>VLOOKUP($R63,武学奇术!$A:$ZZ,29,FALSE)*(1+IF(OR($AM63=$F$4,$AM63=$F$5),$B$22,0))</f>
        <v>1344</v>
      </c>
      <c r="AR63" s="24" cm="1">
        <f t="array" ref="AR63">$G$3+IFERROR(VLOOKUP($AM63,$F$4:$G$7,2,FALSE),0)+VLOOKUP($R63,武学奇术!$A:$ZZ,2,FALSE)+SUM(_xlfn.XLOOKUP($S63:$AL63,增益!$A:$A,增益!$B:$B,0))</f>
        <v>0.4543</v>
      </c>
      <c r="AS63" s="24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4342.95</v>
      </c>
      <c r="AU63" cm="1">
        <f t="array" ref="AU63">$E$10*(1+$AS63)+VLOOKUP($R63,武学奇术!$A:$ZZ,4,FALSE)+SUM(_xlfn.XLOOKUP($S63:$AL63,增益!$A:$A,增益!$D:$D,0))-$I$2</f>
        <v>4342.95</v>
      </c>
      <c r="AV63" s="31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0.3034</v>
      </c>
      <c r="AW63" s="31" cm="1">
        <f t="array" ref="AW63">$G$10+VLOOKUP($R63,武学奇术!$A:$ZZ,7,FALSE)+SUM(_xlfn.XLOOKUP($S63:$AL63,增益!$A:$A,增益!$G:$G,0))</f>
        <v>0.11</v>
      </c>
      <c r="AX63" s="24" cm="1">
        <f t="array" ref="AX63">VLOOKUP($R63,武学奇术!$A:$ZZ,8,FALSE)+SUM(_xlfn.XLOOKUP($S63:$AL63,增益!$A:$A,增益!$H:$H,0))</f>
        <v>0</v>
      </c>
      <c r="AY63">
        <f t="shared" si="13"/>
        <v>0</v>
      </c>
      <c r="AZ63">
        <f t="shared" si="14"/>
        <v>0</v>
      </c>
      <c r="BA63" s="31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-0.14</v>
      </c>
      <c r="BB63" s="31" cm="1">
        <f t="array" ref="BB63">$G$11+VLOOKUP($R63,武学奇术!$A:$ZZ,10,FALSE)+SUM(_xlfn.XLOOKUP($S63:$AL63,增益!$A:$A,增益!$J:$J,0))</f>
        <v>0.02</v>
      </c>
      <c r="BC63">
        <f t="shared" si="15"/>
        <v>0</v>
      </c>
      <c r="BD63">
        <f t="shared" si="16"/>
        <v>0</v>
      </c>
      <c r="BE63" s="31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-0.14</v>
      </c>
      <c r="BF63" s="31" cm="1">
        <f t="array" ref="BF63">$G$12+VLOOKUP($R63,武学奇术!$A:$ZZ,12,FALSE)+SUM(_xlfn.XLOOKUP($S63:$AL63,增益!$A:$A,增益!$L:$L,0))</f>
        <v>0.02</v>
      </c>
      <c r="BG63">
        <f t="shared" si="17"/>
        <v>0</v>
      </c>
      <c r="BH63">
        <f t="shared" si="18"/>
        <v>0</v>
      </c>
      <c r="BI63" s="31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-0.14</v>
      </c>
      <c r="BJ63" s="31" cm="1">
        <f t="array" ref="BJ63">$G$13+VLOOKUP($R63,武学奇术!$A:$ZZ,14,FALSE)+SUM(_xlfn.XLOOKUP($S63:$AL63,增益!$A:$A,增益!$N:$N,0))</f>
        <v>0.02</v>
      </c>
      <c r="BK63">
        <f t="shared" si="19"/>
        <v>649.11</v>
      </c>
      <c r="BL63">
        <f t="shared" si="20"/>
        <v>1812.09</v>
      </c>
      <c r="BM63" s="31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0.08</v>
      </c>
      <c r="BN63" s="31" cm="1">
        <f t="array" ref="BN63">$G$14+VLOOKUP($R63,武学奇术!$A:$ZZ,16,FALSE)+SUM(_xlfn.XLOOKUP($S63:$AL63,增益!$A:$A,增益!$P:$P,0))</f>
        <v>0.26</v>
      </c>
      <c r="BO63" s="24">
        <f>MIN(IF(VLOOKUP($R63,武学奇术!$A:$ZZ,23,FALSE)=1,100%,$B$8),100%)</f>
        <v>0.9943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0.8985</v>
      </c>
      <c r="BQ63" s="24" cm="1">
        <f t="array" ref="BQ63">1+$B$13+VLOOKUP($R63,武学奇术!$A:$ZZ,18,FALSE)+SUM(_xlfn.XLOOKUP($S63:$AL63,增益!$A:$A,增益!$R:$R,0))</f>
        <v>2.04</v>
      </c>
      <c r="BR63" s="24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4" cm="1">
        <f t="array" ref="BS63">1+$B$14+VLOOKUP($R63,武学奇术!$A:$ZZ,20,FALSE)+SUM(_xlfn.XLOOKUP($S63:$AL63,增益!$A:$A,增益!$T:$T,0))</f>
        <v>1.35</v>
      </c>
      <c r="BT63" s="24">
        <f t="shared" si="21"/>
        <v>0.89337855</v>
      </c>
      <c r="BU63" s="24">
        <f t="shared" si="22"/>
        <v>0.0153214500000001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0.11</v>
      </c>
      <c r="BX63" s="24">
        <f>VLOOKUP($R63,武学奇术!$A:$ZZ,32,FALSE)</f>
        <v>0.4</v>
      </c>
      <c r="BY63" s="24" cm="1">
        <f t="array" ref="BY63">SUM(_xlfn.XLOOKUP($S63:$AL63,增益!$A:$A,增益!$X:$X,0))</f>
        <v>0</v>
      </c>
    </row>
    <row r="64" spans="1:77">
      <c r="A64" t="s">
        <v>203</v>
      </c>
      <c r="B64">
        <v>0.8</v>
      </c>
      <c r="K64" s="37">
        <f>$L64*VLOOKUP($R64,武学奇术!$A:$ZZ,31,FALSE)</f>
        <v>326088.117124969</v>
      </c>
      <c r="L64" s="37">
        <f t="shared" si="23"/>
        <v>326088.117124969</v>
      </c>
      <c r="M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*(1+$BX64)</f>
        <v>336683.386075549</v>
      </c>
      <c r="N64" s="37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*(1+$BX64)</f>
        <v>249438.514144121</v>
      </c>
      <c r="O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*(1+$BX64)</f>
        <v>165040.87552723</v>
      </c>
      <c r="P64" s="37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*(1+$BX64)</f>
        <v>145312.481318074</v>
      </c>
      <c r="Q64" s="38">
        <v>1</v>
      </c>
      <c r="R64" s="39" t="s">
        <v>133</v>
      </c>
      <c r="S64" s="39" t="s">
        <v>104</v>
      </c>
      <c r="T64" s="39" t="s">
        <v>194</v>
      </c>
      <c r="U64" s="39" t="s">
        <v>81</v>
      </c>
      <c r="V64" s="39" t="s">
        <v>130</v>
      </c>
      <c r="W64" s="39" t="s">
        <v>83</v>
      </c>
      <c r="X64" s="39" t="s">
        <v>84</v>
      </c>
      <c r="Y64" s="39" t="s">
        <v>85</v>
      </c>
      <c r="Z64" s="39" t="s">
        <v>84</v>
      </c>
      <c r="AA64" s="39" t="s">
        <v>84</v>
      </c>
      <c r="AB64" s="39" t="s">
        <v>204</v>
      </c>
      <c r="AC64" s="39" t="s">
        <v>100</v>
      </c>
      <c r="AD64" s="39" t="s">
        <v>84</v>
      </c>
      <c r="AE64" s="39" t="s">
        <v>87</v>
      </c>
      <c r="AF64" s="39" t="s">
        <v>88</v>
      </c>
      <c r="AG64" s="39" t="s">
        <v>84</v>
      </c>
      <c r="AH64" s="39" t="s">
        <v>84</v>
      </c>
      <c r="AI64" s="39" t="s">
        <v>84</v>
      </c>
      <c r="AJ64" s="39" t="s">
        <v>84</v>
      </c>
      <c r="AK64" s="39" t="s">
        <v>84</v>
      </c>
      <c r="AL64" s="39" t="s">
        <v>84</v>
      </c>
      <c r="AM64" t="str">
        <f>VLOOKUP($R64,武学奇术!$A:$ZZ,25,FALSE)</f>
        <v>拳甲</v>
      </c>
      <c r="AN64" s="24">
        <f>VLOOKUP($R64,武学奇术!$A:$ZZ,26,FALSE)</f>
        <v>5.5691</v>
      </c>
      <c r="AO64" s="25">
        <f>VLOOKUP($R64,武学奇术!$A:$ZZ,27,FALSE)*(1+IF(OR($AM64=$F$4,$AM64=$F$5),$B$22,0))</f>
        <v>2470.4</v>
      </c>
      <c r="AP64" s="24">
        <f>VLOOKUP($R64,武学奇术!$A:$ZZ,28,FALSE)</f>
        <v>8.3537</v>
      </c>
      <c r="AQ64" s="25">
        <f>VLOOKUP($R64,武学奇术!$A:$ZZ,29,FALSE)*(1+IF(OR($AM64=$F$4,$AM64=$F$5),$B$22,0))</f>
        <v>1344</v>
      </c>
      <c r="AR64" s="24" cm="1">
        <f t="array" ref="AR64">$G$3+IFERROR(VLOOKUP($AM64,$F$4:$G$7,2,FALSE),0)+VLOOKUP($R64,武学奇术!$A:$ZZ,2,FALSE)+SUM(_xlfn.XLOOKUP($S64:$AL64,增益!$A:$A,增益!$B:$B,0))</f>
        <v>0.4543</v>
      </c>
      <c r="AS64" s="24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4342.95</v>
      </c>
      <c r="AU64" cm="1">
        <f t="array" ref="AU64">$E$10*(1+$AS64)+VLOOKUP($R64,武学奇术!$A:$ZZ,4,FALSE)+SUM(_xlfn.XLOOKUP($S64:$AL64,增益!$A:$A,增益!$D:$D,0))-$I$2</f>
        <v>4342.95</v>
      </c>
      <c r="AV64" s="31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0.3034</v>
      </c>
      <c r="AW64" s="31" cm="1">
        <f t="array" ref="AW64">$G$10+VLOOKUP($R64,武学奇术!$A:$ZZ,7,FALSE)+SUM(_xlfn.XLOOKUP($S64:$AL64,增益!$A:$A,增益!$G:$G,0))</f>
        <v>0.11</v>
      </c>
      <c r="AX64" s="24" cm="1">
        <f t="array" ref="AX64">VLOOKUP($R64,武学奇术!$A:$ZZ,8,FALSE)+SUM(_xlfn.XLOOKUP($S64:$AL64,增益!$A:$A,增益!$H:$H,0))</f>
        <v>0</v>
      </c>
      <c r="AY64">
        <f t="shared" si="13"/>
        <v>0</v>
      </c>
      <c r="AZ64">
        <f t="shared" si="14"/>
        <v>0</v>
      </c>
      <c r="BA64" s="31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-0.14</v>
      </c>
      <c r="BB64" s="31" cm="1">
        <f t="array" ref="BB64">$G$11+VLOOKUP($R64,武学奇术!$A:$ZZ,10,FALSE)+SUM(_xlfn.XLOOKUP($S64:$AL64,增益!$A:$A,增益!$J:$J,0))</f>
        <v>0.02</v>
      </c>
      <c r="BC64">
        <f t="shared" si="15"/>
        <v>0</v>
      </c>
      <c r="BD64">
        <f t="shared" si="16"/>
        <v>0</v>
      </c>
      <c r="BE64" s="31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-0.14</v>
      </c>
      <c r="BF64" s="31" cm="1">
        <f t="array" ref="BF64">$G$12+VLOOKUP($R64,武学奇术!$A:$ZZ,12,FALSE)+SUM(_xlfn.XLOOKUP($S64:$AL64,增益!$A:$A,增益!$L:$L,0))</f>
        <v>0.02</v>
      </c>
      <c r="BG64">
        <f t="shared" si="17"/>
        <v>0</v>
      </c>
      <c r="BH64">
        <f t="shared" si="18"/>
        <v>0</v>
      </c>
      <c r="BI64" s="31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-0.14</v>
      </c>
      <c r="BJ64" s="31" cm="1">
        <f t="array" ref="BJ64">$G$13+VLOOKUP($R64,武学奇术!$A:$ZZ,14,FALSE)+SUM(_xlfn.XLOOKUP($S64:$AL64,增益!$A:$A,增益!$N:$N,0))</f>
        <v>0.02</v>
      </c>
      <c r="BK64">
        <f t="shared" si="19"/>
        <v>649.11</v>
      </c>
      <c r="BL64">
        <f t="shared" si="20"/>
        <v>1812.09</v>
      </c>
      <c r="BM64" s="31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0.08</v>
      </c>
      <c r="BN64" s="31" cm="1">
        <f t="array" ref="BN64">$G$14+VLOOKUP($R64,武学奇术!$A:$ZZ,16,FALSE)+SUM(_xlfn.XLOOKUP($S64:$AL64,增益!$A:$A,增益!$P:$P,0))</f>
        <v>0.26</v>
      </c>
      <c r="BO64" s="24">
        <f>MIN(IF(VLOOKUP($R64,武学奇术!$A:$ZZ,23,FALSE)=1,100%,$B$8),100%)</f>
        <v>0.9943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0.8985</v>
      </c>
      <c r="BQ64" s="24" cm="1">
        <f t="array" ref="BQ64">1+$B$13+VLOOKUP($R64,武学奇术!$A:$ZZ,18,FALSE)+SUM(_xlfn.XLOOKUP($S64:$AL64,增益!$A:$A,增益!$R:$R,0))</f>
        <v>2.04</v>
      </c>
      <c r="BR64" s="24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4" cm="1">
        <f t="array" ref="BS64">1+$B$14+VLOOKUP($R64,武学奇术!$A:$ZZ,20,FALSE)+SUM(_xlfn.XLOOKUP($S64:$AL64,增益!$A:$A,增益!$T:$T,0))</f>
        <v>1.35</v>
      </c>
      <c r="BT64" s="24">
        <f t="shared" si="21"/>
        <v>0.89337855</v>
      </c>
      <c r="BU64" s="24">
        <f t="shared" si="22"/>
        <v>0.0153214500000001</v>
      </c>
      <c r="BV64" s="24">
        <f>IF(VLOOKUP($R64,武学奇术!$A:$ZZ,22,FALSE)=1,0,(1-$BO64))*(1-$BR64)</f>
        <v>0</v>
      </c>
      <c r="BW64" s="24" cm="1">
        <f t="array" ref="BW64">SUM(_xlfn.XLOOKUP($S64:$AL64,增益!$A:$A,增益!$W:$W,0))+$I$5</f>
        <v>0.11</v>
      </c>
      <c r="BX64" s="24">
        <f>VLOOKUP($R64,武学奇术!$A:$ZZ,32,FALSE)</f>
        <v>0.4</v>
      </c>
      <c r="BY64" s="24" cm="1">
        <f t="array" ref="BY64">SUM(_xlfn.XLOOKUP($S64:$AL64,增益!$A:$A,增益!$X:$X,0))</f>
        <v>0</v>
      </c>
    </row>
    <row r="65" spans="1:77">
      <c r="A65" t="s">
        <v>182</v>
      </c>
      <c r="B65">
        <v>0.7</v>
      </c>
      <c r="K65" s="37">
        <f>$L65*VLOOKUP($R65,武学奇术!$A:$ZZ,31,FALSE)</f>
        <v>326088.117124969</v>
      </c>
      <c r="L65" s="37">
        <f t="shared" si="23"/>
        <v>326088.117124969</v>
      </c>
      <c r="M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*(1+$BX65)</f>
        <v>336683.386075549</v>
      </c>
      <c r="N65" s="37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*(1+$BX65)</f>
        <v>249438.514144121</v>
      </c>
      <c r="O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*(1+$BX65)</f>
        <v>165040.87552723</v>
      </c>
      <c r="P65" s="37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*(1+$BX65)</f>
        <v>145312.481318074</v>
      </c>
      <c r="Q65" s="38">
        <v>1</v>
      </c>
      <c r="R65" s="39" t="s">
        <v>133</v>
      </c>
      <c r="S65" s="39" t="s">
        <v>104</v>
      </c>
      <c r="T65" s="39" t="s">
        <v>194</v>
      </c>
      <c r="U65" s="39" t="s">
        <v>81</v>
      </c>
      <c r="V65" s="39" t="s">
        <v>130</v>
      </c>
      <c r="W65" s="39" t="s">
        <v>83</v>
      </c>
      <c r="X65" s="39" t="s">
        <v>84</v>
      </c>
      <c r="Y65" s="39" t="s">
        <v>85</v>
      </c>
      <c r="Z65" s="39" t="s">
        <v>84</v>
      </c>
      <c r="AA65" s="39" t="s">
        <v>84</v>
      </c>
      <c r="AB65" s="39" t="s">
        <v>204</v>
      </c>
      <c r="AC65" s="39" t="s">
        <v>100</v>
      </c>
      <c r="AD65" s="39" t="s">
        <v>84</v>
      </c>
      <c r="AE65" s="39" t="s">
        <v>87</v>
      </c>
      <c r="AF65" s="39" t="s">
        <v>88</v>
      </c>
      <c r="AG65" s="39" t="s">
        <v>84</v>
      </c>
      <c r="AH65" s="39" t="s">
        <v>84</v>
      </c>
      <c r="AI65" s="39" t="s">
        <v>84</v>
      </c>
      <c r="AJ65" s="39" t="s">
        <v>84</v>
      </c>
      <c r="AK65" s="39" t="s">
        <v>84</v>
      </c>
      <c r="AL65" s="39" t="s">
        <v>84</v>
      </c>
      <c r="AM65" t="str">
        <f>VLOOKUP($R65,武学奇术!$A:$ZZ,25,FALSE)</f>
        <v>拳甲</v>
      </c>
      <c r="AN65" s="24">
        <f>VLOOKUP($R65,武学奇术!$A:$ZZ,26,FALSE)</f>
        <v>5.5691</v>
      </c>
      <c r="AO65" s="25">
        <f>VLOOKUP($R65,武学奇术!$A:$ZZ,27,FALSE)*(1+IF(OR($AM65=$F$4,$AM65=$F$5),$B$22,0))</f>
        <v>2470.4</v>
      </c>
      <c r="AP65" s="24">
        <f>VLOOKUP($R65,武学奇术!$A:$ZZ,28,FALSE)</f>
        <v>8.3537</v>
      </c>
      <c r="AQ65" s="25">
        <f>VLOOKUP($R65,武学奇术!$A:$ZZ,29,FALSE)*(1+IF(OR($AM65=$F$4,$AM65=$F$5),$B$22,0))</f>
        <v>1344</v>
      </c>
      <c r="AR65" s="24" cm="1">
        <f t="array" ref="AR65">$G$3+IFERROR(VLOOKUP($AM65,$F$4:$G$7,2,FALSE),0)+VLOOKUP($R65,武学奇术!$A:$ZZ,2,FALSE)+SUM(_xlfn.XLOOKUP($S65:$AL65,增益!$A:$A,增益!$B:$B,0))</f>
        <v>0.4543</v>
      </c>
      <c r="AS65" s="24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4342.95</v>
      </c>
      <c r="AU65" cm="1">
        <f t="array" ref="AU65">$E$10*(1+$AS65)+VLOOKUP($R65,武学奇术!$A:$ZZ,4,FALSE)+SUM(_xlfn.XLOOKUP($S65:$AL65,增益!$A:$A,增益!$D:$D,0))-$I$2</f>
        <v>4342.95</v>
      </c>
      <c r="AV65" s="31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0.3034</v>
      </c>
      <c r="AW65" s="31" cm="1">
        <f t="array" ref="AW65">$G$10+VLOOKUP($R65,武学奇术!$A:$ZZ,7,FALSE)+SUM(_xlfn.XLOOKUP($S65:$AL65,增益!$A:$A,增益!$G:$G,0))</f>
        <v>0.11</v>
      </c>
      <c r="AX65" s="24" cm="1">
        <f t="array" ref="AX65">VLOOKUP($R65,武学奇术!$A:$ZZ,8,FALSE)+SUM(_xlfn.XLOOKUP($S65:$AL65,增益!$A:$A,增益!$H:$H,0))</f>
        <v>0</v>
      </c>
      <c r="AY65">
        <f t="shared" si="13"/>
        <v>0</v>
      </c>
      <c r="AZ65">
        <f t="shared" si="14"/>
        <v>0</v>
      </c>
      <c r="BA65" s="31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1" cm="1">
        <f t="array" ref="BB65">$G$11+VLOOKUP($R65,武学奇术!$A:$ZZ,10,FALSE)+SUM(_xlfn.XLOOKUP($S65:$AL65,增益!$A:$A,增益!$J:$J,0))</f>
        <v>0.02</v>
      </c>
      <c r="BC65">
        <f t="shared" si="15"/>
        <v>0</v>
      </c>
      <c r="BD65">
        <f t="shared" si="16"/>
        <v>0</v>
      </c>
      <c r="BE65" s="31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1" cm="1">
        <f t="array" ref="BF65">$G$12+VLOOKUP($R65,武学奇术!$A:$ZZ,12,FALSE)+SUM(_xlfn.XLOOKUP($S65:$AL65,增益!$A:$A,增益!$L:$L,0))</f>
        <v>0.02</v>
      </c>
      <c r="BG65">
        <f t="shared" si="17"/>
        <v>0</v>
      </c>
      <c r="BH65">
        <f t="shared" si="18"/>
        <v>0</v>
      </c>
      <c r="BI65" s="31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1" cm="1">
        <f t="array" ref="BJ65">$G$13+VLOOKUP($R65,武学奇术!$A:$ZZ,14,FALSE)+SUM(_xlfn.XLOOKUP($S65:$AL65,增益!$A:$A,增益!$N:$N,0))</f>
        <v>0.02</v>
      </c>
      <c r="BK65">
        <f t="shared" si="19"/>
        <v>649.11</v>
      </c>
      <c r="BL65">
        <f t="shared" si="20"/>
        <v>1812.09</v>
      </c>
      <c r="BM65" s="31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0.08</v>
      </c>
      <c r="BN65" s="31" cm="1">
        <f t="array" ref="BN65">$G$14+VLOOKUP($R65,武学奇术!$A:$ZZ,16,FALSE)+SUM(_xlfn.XLOOKUP($S65:$AL65,增益!$A:$A,增益!$P:$P,0))</f>
        <v>0.26</v>
      </c>
      <c r="BO65" s="24">
        <f>MIN(IF(VLOOKUP($R65,武学奇术!$A:$ZZ,23,FALSE)=1,100%,$B$8),100%)</f>
        <v>0.9943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0.8985</v>
      </c>
      <c r="BQ65" s="24" cm="1">
        <f t="array" ref="BQ65">1+$B$13+VLOOKUP($R65,武学奇术!$A:$ZZ,18,FALSE)+SUM(_xlfn.XLOOKUP($S65:$AL65,增益!$A:$A,增益!$R:$R,0))</f>
        <v>2.04</v>
      </c>
      <c r="BR65" s="24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4" cm="1">
        <f t="array" ref="BS65">1+$B$14+VLOOKUP($R65,武学奇术!$A:$ZZ,20,FALSE)+SUM(_xlfn.XLOOKUP($S65:$AL65,增益!$A:$A,增益!$T:$T,0))</f>
        <v>1.35</v>
      </c>
      <c r="BT65" s="24">
        <f t="shared" si="21"/>
        <v>0.89337855</v>
      </c>
      <c r="BU65" s="24">
        <f t="shared" si="22"/>
        <v>0.0153214500000001</v>
      </c>
      <c r="BV65" s="24">
        <f>IF(VLOOKUP($R65,武学奇术!$A:$ZZ,22,FALSE)=1,0,(1-$BO65))*(1-$BR65)</f>
        <v>0</v>
      </c>
      <c r="BW65" s="24" cm="1">
        <f t="array" ref="BW65">SUM(_xlfn.XLOOKUP($S65:$AL65,增益!$A:$A,增益!$W:$W,0))+$I$5</f>
        <v>0.11</v>
      </c>
      <c r="BX65" s="24">
        <f>VLOOKUP($R65,武学奇术!$A:$ZZ,32,FALSE)</f>
        <v>0.4</v>
      </c>
      <c r="BY65" s="24" cm="1">
        <f t="array" ref="BY65">SUM(_xlfn.XLOOKUP($S65:$AL65,增益!$A:$A,增益!$X:$X,0))</f>
        <v>0</v>
      </c>
    </row>
    <row r="66" spans="1:77">
      <c r="A66" t="s">
        <v>188</v>
      </c>
      <c r="B66">
        <v>0.9</v>
      </c>
      <c r="D66" s="38" t="s">
        <v>183</v>
      </c>
      <c r="K66" s="37">
        <f>$L66*VLOOKUP($R66,武学奇术!$A:$ZZ,31,FALSE)</f>
        <v>29715.6312000339</v>
      </c>
      <c r="L66" s="37">
        <f t="shared" si="23"/>
        <v>29715.6312000339</v>
      </c>
      <c r="M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*(1+$BX66)</f>
        <v>30120.9272299524</v>
      </c>
      <c r="N66" s="37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*(1+$BX66)</f>
        <v>27779.7789613008</v>
      </c>
      <c r="O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*(1+$BX66)</f>
        <v>18366.4190426539</v>
      </c>
      <c r="P66" s="37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*(1+$BX66)</f>
        <v>16155.2240398998</v>
      </c>
      <c r="Q66" s="38">
        <v>1</v>
      </c>
      <c r="R66" s="39" t="s">
        <v>169</v>
      </c>
      <c r="S66" s="39" t="s">
        <v>104</v>
      </c>
      <c r="T66" s="39" t="s">
        <v>194</v>
      </c>
      <c r="U66" s="39" t="s">
        <v>81</v>
      </c>
      <c r="V66" s="39" t="s">
        <v>84</v>
      </c>
      <c r="W66" s="39" t="s">
        <v>84</v>
      </c>
      <c r="X66" s="39" t="s">
        <v>84</v>
      </c>
      <c r="Y66" s="39" t="s">
        <v>85</v>
      </c>
      <c r="Z66" s="39" t="s">
        <v>84</v>
      </c>
      <c r="AA66" s="39" t="s">
        <v>84</v>
      </c>
      <c r="AB66" s="39" t="s">
        <v>205</v>
      </c>
      <c r="AC66" s="39" t="s">
        <v>92</v>
      </c>
      <c r="AD66" s="39" t="s">
        <v>84</v>
      </c>
      <c r="AE66" s="39" t="s">
        <v>87</v>
      </c>
      <c r="AF66" s="39" t="s">
        <v>88</v>
      </c>
      <c r="AG66" s="39" t="s">
        <v>84</v>
      </c>
      <c r="AH66" s="39" t="s">
        <v>84</v>
      </c>
      <c r="AI66" s="39" t="s">
        <v>84</v>
      </c>
      <c r="AJ66" s="39" t="s">
        <v>84</v>
      </c>
      <c r="AK66" s="39" t="s">
        <v>84</v>
      </c>
      <c r="AL66" s="39" t="s">
        <v>84</v>
      </c>
      <c r="AM66" t="str">
        <f>VLOOKUP($R66,武学奇术!$A:$ZZ,25,FALSE)</f>
        <v>拳甲</v>
      </c>
      <c r="AN66" s="24">
        <f>VLOOKUP($R66,武学奇术!$A:$ZZ,26,FALSE)</f>
        <v>0.9193</v>
      </c>
      <c r="AO66" s="25">
        <f>VLOOKUP($R66,武学奇术!$A:$ZZ,27,FALSE)*(1+IF(OR($AM66=$F$4,$AM66=$F$5),$B$22,0))</f>
        <v>408</v>
      </c>
      <c r="AP66" s="24">
        <f>VLOOKUP($R66,武学奇术!$A:$ZZ,28,FALSE)</f>
        <v>1.379</v>
      </c>
      <c r="AQ66" s="25">
        <f>VLOOKUP($R66,武学奇术!$A:$ZZ,29,FALSE)*(1+IF(OR($AM66=$F$4,$AM66=$F$5),$B$22,0))</f>
        <v>222.4</v>
      </c>
      <c r="AR66" s="24" cm="1">
        <f t="array" ref="AR66">$G$3+IFERROR(VLOOKUP($AM66,$F$4:$G$7,2,FALSE),0)+VLOOKUP($R66,武学奇术!$A:$ZZ,2,FALSE)+SUM(_xlfn.XLOOKUP($S66:$AL66,增益!$A:$A,增益!$B:$B,0))</f>
        <v>0.4043</v>
      </c>
      <c r="AS66" s="24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4342.95</v>
      </c>
      <c r="AU66" cm="1">
        <f t="array" ref="AU66">$E$10*(1+$AS66)+VLOOKUP($R66,武学奇术!$A:$ZZ,4,FALSE)+SUM(_xlfn.XLOOKUP($S66:$AL66,增益!$A:$A,增益!$D:$D,0))-$I$2</f>
        <v>4342.95</v>
      </c>
      <c r="AV66" s="31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0.3034</v>
      </c>
      <c r="AW66" s="31" cm="1">
        <f t="array" ref="AW66">$G$10+VLOOKUP($R66,武学奇术!$A:$ZZ,7,FALSE)+SUM(_xlfn.XLOOKUP($S66:$AL66,增益!$A:$A,增益!$G:$G,0))</f>
        <v>0.02</v>
      </c>
      <c r="AX66" s="24" cm="1">
        <f t="array" ref="AX66">VLOOKUP($R66,武学奇术!$A:$ZZ,8,FALSE)+SUM(_xlfn.XLOOKUP($S66:$AL66,增益!$A:$A,增益!$H:$H,0))</f>
        <v>0</v>
      </c>
      <c r="AY66">
        <f t="shared" si="13"/>
        <v>0</v>
      </c>
      <c r="AZ66">
        <f t="shared" si="14"/>
        <v>0</v>
      </c>
      <c r="BA66" s="31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1" cm="1">
        <f t="array" ref="BB66">$G$11+VLOOKUP($R66,武学奇术!$A:$ZZ,10,FALSE)+SUM(_xlfn.XLOOKUP($S66:$AL66,增益!$A:$A,增益!$J:$J,0))</f>
        <v>0.02</v>
      </c>
      <c r="BC66">
        <f t="shared" si="15"/>
        <v>0</v>
      </c>
      <c r="BD66">
        <f t="shared" si="16"/>
        <v>0</v>
      </c>
      <c r="BE66" s="31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-0.14</v>
      </c>
      <c r="BF66" s="31" cm="1">
        <f t="array" ref="BF66">$G$12+VLOOKUP($R66,武学奇术!$A:$ZZ,12,FALSE)+SUM(_xlfn.XLOOKUP($S66:$AL66,增益!$A:$A,增益!$L:$L,0))</f>
        <v>0.02</v>
      </c>
      <c r="BG66">
        <f t="shared" si="17"/>
        <v>0</v>
      </c>
      <c r="BH66">
        <f t="shared" si="18"/>
        <v>0</v>
      </c>
      <c r="BI66" s="31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-0.14</v>
      </c>
      <c r="BJ66" s="31" cm="1">
        <f t="array" ref="BJ66">$G$13+VLOOKUP($R66,武学奇术!$A:$ZZ,14,FALSE)+SUM(_xlfn.XLOOKUP($S66:$AL66,增益!$A:$A,增益!$N:$N,0))</f>
        <v>0.02</v>
      </c>
      <c r="BK66">
        <f t="shared" si="19"/>
        <v>649.11</v>
      </c>
      <c r="BL66">
        <f t="shared" si="20"/>
        <v>1812.09</v>
      </c>
      <c r="BM66" s="31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0.08</v>
      </c>
      <c r="BN66" s="31" cm="1">
        <f t="array" ref="BN66">$G$14+VLOOKUP($R66,武学奇术!$A:$ZZ,16,FALSE)+SUM(_xlfn.XLOOKUP($S66:$AL66,增益!$A:$A,增益!$P:$P,0))</f>
        <v>0.17</v>
      </c>
      <c r="BO66" s="24">
        <f>MIN(IF(VLOOKUP($R66,武学奇术!$A:$ZZ,23,FALSE)=1,100%,$B$8),100%)</f>
        <v>0.9943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0.8985</v>
      </c>
      <c r="BQ66" s="24" cm="1">
        <f t="array" ref="BQ66">1+$B$13+VLOOKUP($R66,武学奇术!$A:$ZZ,18,FALSE)+SUM(_xlfn.XLOOKUP($S66:$AL66,增益!$A:$A,增益!$R:$R,0))</f>
        <v>1.64</v>
      </c>
      <c r="BR66" s="24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4" cm="1">
        <f t="array" ref="BS66">1+$B$14+VLOOKUP($R66,武学奇术!$A:$ZZ,20,FALSE)+SUM(_xlfn.XLOOKUP($S66:$AL66,增益!$A:$A,增益!$T:$T,0))</f>
        <v>1.35</v>
      </c>
      <c r="BT66" s="24">
        <f t="shared" si="21"/>
        <v>0.89337855</v>
      </c>
      <c r="BU66" s="24">
        <f t="shared" si="22"/>
        <v>0.01014186</v>
      </c>
      <c r="BV66" s="24">
        <f>IF(VLOOKUP($R66,武学奇术!$A:$ZZ,22,FALSE)=1,0,(1-$BO66))*(1-$BR66)</f>
        <v>0.00517959000000003</v>
      </c>
      <c r="BW66" s="24" cm="1">
        <f t="array" ref="BW66">SUM(_xlfn.XLOOKUP($S66:$AL66,增益!$A:$A,增益!$W:$W,0))+$I$5</f>
        <v>0.11</v>
      </c>
      <c r="BX66" s="24">
        <f>VLOOKUP($R66,武学奇术!$A:$ZZ,32,FALSE)</f>
        <v>0.4</v>
      </c>
      <c r="BY66" s="24" cm="1">
        <f t="array" ref="BY66">SUM(_xlfn.XLOOKUP($S66:$AL66,增益!$A:$A,增益!$X:$X,0))</f>
        <v>0</v>
      </c>
    </row>
    <row r="67" spans="1:77">
      <c r="A67" t="s">
        <v>189</v>
      </c>
      <c r="B67">
        <v>0.6</v>
      </c>
      <c r="D67" s="38"/>
      <c r="K67" s="37">
        <f>$L67*VLOOKUP($R67,武学奇术!$A:$ZZ,31,FALSE)</f>
        <v>38915.0561664031</v>
      </c>
      <c r="L67" s="37">
        <f t="shared" si="23"/>
        <v>38915.0561664031</v>
      </c>
      <c r="M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*(1+$BX67)</f>
        <v>39464.1080016525</v>
      </c>
      <c r="N67" s="37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*(1+$BX67)</f>
        <v>36190.5326365927</v>
      </c>
      <c r="O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*(1+$BX67)</f>
        <v>24063.4804888125</v>
      </c>
      <c r="P67" s="37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*(1+$BX67)</f>
        <v>21319.1590245935</v>
      </c>
      <c r="Q67" s="38">
        <v>1</v>
      </c>
      <c r="R67" s="39" t="s">
        <v>173</v>
      </c>
      <c r="S67" s="39" t="s">
        <v>104</v>
      </c>
      <c r="T67" s="39" t="s">
        <v>194</v>
      </c>
      <c r="U67" s="39" t="s">
        <v>81</v>
      </c>
      <c r="V67" s="39" t="s">
        <v>84</v>
      </c>
      <c r="W67" s="39" t="s">
        <v>84</v>
      </c>
      <c r="X67" s="39" t="s">
        <v>84</v>
      </c>
      <c r="Y67" s="39" t="s">
        <v>84</v>
      </c>
      <c r="Z67" s="39" t="s">
        <v>84</v>
      </c>
      <c r="AA67" s="39" t="s">
        <v>84</v>
      </c>
      <c r="AB67" s="39" t="s">
        <v>205</v>
      </c>
      <c r="AC67" s="39" t="s">
        <v>92</v>
      </c>
      <c r="AD67" s="39" t="s">
        <v>84</v>
      </c>
      <c r="AE67" s="39" t="s">
        <v>87</v>
      </c>
      <c r="AF67" s="39" t="s">
        <v>88</v>
      </c>
      <c r="AG67" s="39" t="s">
        <v>84</v>
      </c>
      <c r="AH67" s="39" t="s">
        <v>84</v>
      </c>
      <c r="AI67" s="39" t="s">
        <v>84</v>
      </c>
      <c r="AJ67" s="39" t="s">
        <v>84</v>
      </c>
      <c r="AK67" s="39" t="s">
        <v>84</v>
      </c>
      <c r="AL67" s="39" t="s">
        <v>84</v>
      </c>
      <c r="AM67" t="str">
        <f>VLOOKUP($R67,武学奇术!$A:$ZZ,25,FALSE)</f>
        <v>拳甲</v>
      </c>
      <c r="AN67" s="24">
        <f>VLOOKUP($R67,武学奇术!$A:$ZZ,26,FALSE)</f>
        <v>1.2324</v>
      </c>
      <c r="AO67" s="25">
        <f>VLOOKUP($R67,武学奇术!$A:$ZZ,27,FALSE)*(1+IF(OR($AM67=$F$4,$AM67=$F$5),$B$22,0))</f>
        <v>547.2</v>
      </c>
      <c r="AP67" s="24">
        <f>VLOOKUP($R67,武学奇术!$A:$ZZ,28,FALSE)</f>
        <v>1.8484</v>
      </c>
      <c r="AQ67" s="25">
        <f>VLOOKUP($R67,武学奇术!$A:$ZZ,29,FALSE)*(1+IF(OR($AM67=$F$4,$AM67=$F$5),$B$22,0))</f>
        <v>297.6</v>
      </c>
      <c r="AR67" s="24" cm="1">
        <f t="array" ref="AR67">$G$3+IFERROR(VLOOKUP($AM67,$F$4:$G$7,2,FALSE),0)+VLOOKUP($R67,武学奇术!$A:$ZZ,2,FALSE)+SUM(_xlfn.XLOOKUP($S67:$AL67,增益!$A:$A,增益!$B:$B,0))</f>
        <v>0.4043</v>
      </c>
      <c r="AS67" s="24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4342.95</v>
      </c>
      <c r="AU67" cm="1">
        <f t="array" ref="AU67">$E$10*(1+$AS67)+VLOOKUP($R67,武学奇术!$A:$ZZ,4,FALSE)+SUM(_xlfn.XLOOKUP($S67:$AL67,增益!$A:$A,增益!$D:$D,0))-$I$2</f>
        <v>4342.95</v>
      </c>
      <c r="AV67" s="31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0.3034</v>
      </c>
      <c r="AW67" s="31" cm="1">
        <f t="array" ref="AW67">$G$10+VLOOKUP($R67,武学奇术!$A:$ZZ,7,FALSE)+SUM(_xlfn.XLOOKUP($S67:$AL67,增益!$A:$A,增益!$G:$G,0))</f>
        <v>0.02</v>
      </c>
      <c r="AX67" s="24" cm="1">
        <f t="array" ref="AX67">VLOOKUP($R67,武学奇术!$A:$ZZ,8,FALSE)+SUM(_xlfn.XLOOKUP($S67:$AL67,增益!$A:$A,增益!$H:$H,0))</f>
        <v>0</v>
      </c>
      <c r="AY67">
        <f t="shared" ref="AY67:AY98" si="24">$D$11*(1+$AX67)</f>
        <v>0</v>
      </c>
      <c r="AZ67">
        <f t="shared" ref="AZ67:AZ98" si="25">$E$11*(1+$AX67)</f>
        <v>0</v>
      </c>
      <c r="BA67" s="31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1" cm="1">
        <f t="array" ref="BB67">$G$11+VLOOKUP($R67,武学奇术!$A:$ZZ,10,FALSE)+SUM(_xlfn.XLOOKUP($S67:$AL67,增益!$A:$A,增益!$J:$J,0))</f>
        <v>0.02</v>
      </c>
      <c r="BC67">
        <f t="shared" ref="BC67:BC98" si="26">$D$12*(1+$AX67)</f>
        <v>0</v>
      </c>
      <c r="BD67">
        <f t="shared" ref="BD67:BD98" si="27">$E$12*(1+$AX67)</f>
        <v>0</v>
      </c>
      <c r="BE67" s="31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1" cm="1">
        <f t="array" ref="BF67">$G$12+VLOOKUP($R67,武学奇术!$A:$ZZ,12,FALSE)+SUM(_xlfn.XLOOKUP($S67:$AL67,增益!$A:$A,增益!$L:$L,0))</f>
        <v>0.02</v>
      </c>
      <c r="BG67">
        <f t="shared" ref="BG67:BG98" si="28">$D$13*(1+$AX67)</f>
        <v>0</v>
      </c>
      <c r="BH67">
        <f t="shared" ref="BH67:BH98" si="29">$E$13*(1+$AX67)</f>
        <v>0</v>
      </c>
      <c r="BI67" s="31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1" cm="1">
        <f t="array" ref="BJ67">$G$13+VLOOKUP($R67,武学奇术!$A:$ZZ,14,FALSE)+SUM(_xlfn.XLOOKUP($S67:$AL67,增益!$A:$A,增益!$N:$N,0))</f>
        <v>0.02</v>
      </c>
      <c r="BK67">
        <f t="shared" ref="BK67:BK98" si="30">$D$14*(1+$AX67)</f>
        <v>649.11</v>
      </c>
      <c r="BL67">
        <f t="shared" ref="BL67:BL98" si="31">$E$14*(1+$AX67)</f>
        <v>1812.09</v>
      </c>
      <c r="BM67" s="31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1" cm="1">
        <f t="array" ref="BN67">$G$14+VLOOKUP($R67,武学奇术!$A:$ZZ,16,FALSE)+SUM(_xlfn.XLOOKUP($S67:$AL67,增益!$A:$A,增益!$P:$P,0))</f>
        <v>0.17</v>
      </c>
      <c r="BO67" s="24">
        <f>MIN(IF(VLOOKUP($R67,武学奇术!$A:$ZZ,23,FALSE)=1,100%,$B$8),100%)</f>
        <v>0.9943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0.8985</v>
      </c>
      <c r="BQ67" s="24" cm="1">
        <f t="array" ref="BQ67">1+$B$13+VLOOKUP($R67,武学奇术!$A:$ZZ,18,FALSE)+SUM(_xlfn.XLOOKUP($S67:$AL67,增益!$A:$A,增益!$R:$R,0))</f>
        <v>1.64</v>
      </c>
      <c r="BR67" s="24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4" cm="1">
        <f t="array" ref="BS67">1+$B$14+VLOOKUP($R67,武学奇术!$A:$ZZ,20,FALSE)+SUM(_xlfn.XLOOKUP($S67:$AL67,增益!$A:$A,增益!$T:$T,0))</f>
        <v>1.35</v>
      </c>
      <c r="BT67" s="24">
        <f t="shared" ref="BT67:BT98" si="32">MIN((1-BR67)*BO67,BO67*BP67)</f>
        <v>0.89337855</v>
      </c>
      <c r="BU67" s="24">
        <f t="shared" ref="BU67:BU98" si="33">1-BR67-BT67-BV67</f>
        <v>0.01014186</v>
      </c>
      <c r="BV67" s="24">
        <f>IF(VLOOKUP($R67,武学奇术!$A:$ZZ,22,FALSE)=1,0,(1-$BO67))*(1-$BR67)</f>
        <v>0.00517959000000003</v>
      </c>
      <c r="BW67" s="24" cm="1">
        <f t="array" ref="BW67">SUM(_xlfn.XLOOKUP($S67:$AL67,增益!$A:$A,增益!$W:$W,0))+$I$5</f>
        <v>0.11</v>
      </c>
      <c r="BX67" s="24">
        <f>VLOOKUP($R67,武学奇术!$A:$ZZ,32,FALSE)</f>
        <v>0.4</v>
      </c>
      <c r="BY67" s="24" cm="1">
        <f t="array" ref="BY67">SUM(_xlfn.XLOOKUP($S67:$AL67,增益!$A:$A,增益!$X:$X,0))</f>
        <v>0</v>
      </c>
    </row>
    <row r="68" spans="1:77">
      <c r="A68" t="s">
        <v>182</v>
      </c>
      <c r="B68">
        <v>0.7</v>
      </c>
      <c r="D68" s="38"/>
      <c r="K68" s="37">
        <f>$L68*VLOOKUP($R68,武学奇术!$A:$ZZ,31,FALSE)</f>
        <v>66532.7346027517</v>
      </c>
      <c r="L68" s="37">
        <f t="shared" si="23"/>
        <v>41582.9591267198</v>
      </c>
      <c r="M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*(1+$BX68)</f>
        <v>42246.4176677978</v>
      </c>
      <c r="N68" s="37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*(1+$BX68)</f>
        <v>38055.2127921704</v>
      </c>
      <c r="O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*(1+$BX68)</f>
        <v>24997.8802768034</v>
      </c>
      <c r="P68" s="37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*(1+$BX68)</f>
        <v>21806.714040888</v>
      </c>
      <c r="Q68" s="38">
        <v>1</v>
      </c>
      <c r="R68" s="39" t="s">
        <v>122</v>
      </c>
      <c r="S68" s="39" t="s">
        <v>104</v>
      </c>
      <c r="T68" s="39" t="s">
        <v>194</v>
      </c>
      <c r="U68" s="39" t="s">
        <v>81</v>
      </c>
      <c r="V68" s="39" t="s">
        <v>82</v>
      </c>
      <c r="W68" s="39" t="s">
        <v>83</v>
      </c>
      <c r="X68" s="39" t="s">
        <v>84</v>
      </c>
      <c r="Y68" s="39" t="s">
        <v>84</v>
      </c>
      <c r="Z68" s="39" t="s">
        <v>84</v>
      </c>
      <c r="AA68" s="39" t="s">
        <v>84</v>
      </c>
      <c r="AB68" s="39" t="s">
        <v>204</v>
      </c>
      <c r="AC68" s="39" t="s">
        <v>92</v>
      </c>
      <c r="AD68" s="39" t="s">
        <v>84</v>
      </c>
      <c r="AE68" s="39" t="s">
        <v>87</v>
      </c>
      <c r="AF68" s="39" t="s">
        <v>88</v>
      </c>
      <c r="AG68" s="39" t="s">
        <v>84</v>
      </c>
      <c r="AH68" s="39" t="s">
        <v>84</v>
      </c>
      <c r="AI68" s="39" t="s">
        <v>84</v>
      </c>
      <c r="AJ68" s="39" t="s">
        <v>84</v>
      </c>
      <c r="AK68" s="39" t="s">
        <v>84</v>
      </c>
      <c r="AL68" s="39" t="s">
        <v>84</v>
      </c>
      <c r="AM68" t="str">
        <f>VLOOKUP($R68,武学奇术!$A:$ZZ,25,FALSE)</f>
        <v>拳甲</v>
      </c>
      <c r="AN68" s="24">
        <f>VLOOKUP($R68,武学奇术!$A:$ZZ,26,FALSE)</f>
        <v>1.862784</v>
      </c>
      <c r="AO68" s="25">
        <f>VLOOKUP($R68,武学奇术!$A:$ZZ,27,FALSE)*(1+IF(OR($AM68=$F$4,$AM68=$F$5),$B$22,0))</f>
        <v>0</v>
      </c>
      <c r="AP68" s="24">
        <f>VLOOKUP($R68,武学奇术!$A:$ZZ,28,FALSE)</f>
        <v>2.794176</v>
      </c>
      <c r="AQ68" s="25">
        <f>VLOOKUP($R68,武学奇术!$A:$ZZ,29,FALSE)*(1+IF(OR($AM68=$F$4,$AM68=$F$5),$B$22,0))</f>
        <v>0</v>
      </c>
      <c r="AR68" s="24" cm="1">
        <f t="array" ref="AR68">$G$3+IFERROR(VLOOKUP($AM68,$F$4:$G$7,2,FALSE),0)+VLOOKUP($R68,武学奇术!$A:$ZZ,2,FALSE)+SUM(_xlfn.XLOOKUP($S68:$AL68,增益!$A:$A,增益!$B:$B,0))</f>
        <v>0.4043</v>
      </c>
      <c r="AS68" s="24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4342.95</v>
      </c>
      <c r="AU68" cm="1">
        <f t="array" ref="AU68">$E$10*(1+$AS68)+VLOOKUP($R68,武学奇术!$A:$ZZ,4,FALSE)+SUM(_xlfn.XLOOKUP($S68:$AL68,增益!$A:$A,增益!$D:$D,0))-$I$2</f>
        <v>4342.95</v>
      </c>
      <c r="AV68" s="31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0.3034</v>
      </c>
      <c r="AW68" s="31" cm="1">
        <f t="array" ref="AW68">$G$10+VLOOKUP($R68,武学奇术!$A:$ZZ,7,FALSE)+SUM(_xlfn.XLOOKUP($S68:$AL68,增益!$A:$A,增益!$G:$G,0))</f>
        <v>0.11</v>
      </c>
      <c r="AX68" s="24" cm="1">
        <f t="array" ref="AX68">VLOOKUP($R68,武学奇术!$A:$ZZ,8,FALSE)+SUM(_xlfn.XLOOKUP($S68:$AL68,增益!$A:$A,增益!$H:$H,0))</f>
        <v>0</v>
      </c>
      <c r="AY68">
        <f t="shared" si="24"/>
        <v>0</v>
      </c>
      <c r="AZ68">
        <f t="shared" si="25"/>
        <v>0</v>
      </c>
      <c r="BA68" s="31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1" cm="1">
        <f t="array" ref="BB68">$G$11+VLOOKUP($R68,武学奇术!$A:$ZZ,10,FALSE)+SUM(_xlfn.XLOOKUP($S68:$AL68,增益!$A:$A,增益!$J:$J,0))</f>
        <v>0.02</v>
      </c>
      <c r="BC68">
        <f t="shared" si="26"/>
        <v>0</v>
      </c>
      <c r="BD68">
        <f t="shared" si="27"/>
        <v>0</v>
      </c>
      <c r="BE68" s="31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1" cm="1">
        <f t="array" ref="BF68">$G$12+VLOOKUP($R68,武学奇术!$A:$ZZ,12,FALSE)+SUM(_xlfn.XLOOKUP($S68:$AL68,增益!$A:$A,增益!$L:$L,0))</f>
        <v>0.02</v>
      </c>
      <c r="BG68">
        <f t="shared" si="28"/>
        <v>0</v>
      </c>
      <c r="BH68">
        <f t="shared" si="29"/>
        <v>0</v>
      </c>
      <c r="BI68" s="31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1" cm="1">
        <f t="array" ref="BJ68">$G$13+VLOOKUP($R68,武学奇术!$A:$ZZ,14,FALSE)+SUM(_xlfn.XLOOKUP($S68:$AL68,增益!$A:$A,增益!$N:$N,0))</f>
        <v>0.02</v>
      </c>
      <c r="BK68">
        <f t="shared" si="30"/>
        <v>649.11</v>
      </c>
      <c r="BL68">
        <f t="shared" si="31"/>
        <v>1812.09</v>
      </c>
      <c r="BM68" s="31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1" cm="1">
        <f t="array" ref="BN68">$G$14+VLOOKUP($R68,武学奇术!$A:$ZZ,16,FALSE)+SUM(_xlfn.XLOOKUP($S68:$AL68,增益!$A:$A,增益!$P:$P,0))</f>
        <v>0.26</v>
      </c>
      <c r="BO68" s="24">
        <f>MIN(IF(VLOOKUP($R68,武学奇术!$A:$ZZ,23,FALSE)=1,100%,$B$8),100%)</f>
        <v>0.9943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0.8985</v>
      </c>
      <c r="BQ68" s="24" cm="1">
        <f t="array" ref="BQ68">1+$B$13+VLOOKUP($R68,武学奇术!$A:$ZZ,18,FALSE)+SUM(_xlfn.XLOOKUP($S68:$AL68,增益!$A:$A,增益!$R:$R,0))</f>
        <v>1.69</v>
      </c>
      <c r="BR68" s="24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0.0913</v>
      </c>
      <c r="BS68" s="24" cm="1">
        <f t="array" ref="BS68">1+$B$14+VLOOKUP($R68,武学奇术!$A:$ZZ,20,FALSE)+SUM(_xlfn.XLOOKUP($S68:$AL68,增益!$A:$A,增益!$T:$T,0))</f>
        <v>1.35</v>
      </c>
      <c r="BT68" s="24">
        <f t="shared" si="32"/>
        <v>0.89337855</v>
      </c>
      <c r="BU68" s="24">
        <f t="shared" si="33"/>
        <v>0.01014186</v>
      </c>
      <c r="BV68" s="24">
        <f>IF(VLOOKUP($R68,武学奇术!$A:$ZZ,22,FALSE)=1,0,(1-$BO68))*(1-$BR68)</f>
        <v>0.00517959000000003</v>
      </c>
      <c r="BW68" s="24" cm="1">
        <f t="array" ref="BW68">SUM(_xlfn.XLOOKUP($S68:$AL68,增益!$A:$A,增益!$W:$W,0))+$I$5</f>
        <v>0.11</v>
      </c>
      <c r="BX68" s="24">
        <f>VLOOKUP($R68,武学奇术!$A:$ZZ,32,FALSE)</f>
        <v>0</v>
      </c>
      <c r="BY68" s="24" cm="1">
        <f t="array" ref="BY68">SUM(_xlfn.XLOOKUP($S68:$AL68,增益!$A:$A,增益!$X:$X,0))</f>
        <v>0</v>
      </c>
    </row>
    <row r="69" spans="1:77">
      <c r="A69" t="s">
        <v>178</v>
      </c>
      <c r="B69" s="95">
        <v>0.1</v>
      </c>
      <c r="D69" s="38"/>
      <c r="H69" s="95"/>
      <c r="K69" s="37">
        <f>$L69*VLOOKUP($R69,武学奇术!$A:$ZZ,31,FALSE)</f>
        <v>47976.188953076</v>
      </c>
      <c r="L69" s="37">
        <f t="shared" si="23"/>
        <v>47976.188953076</v>
      </c>
      <c r="M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*(1+$BX69)</f>
        <v>49473.6190790675</v>
      </c>
      <c r="N69" s="37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*(1+$BX69)</f>
        <v>37362.4298072589</v>
      </c>
      <c r="O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*(1+$BX69)</f>
        <v>24861.1151151093</v>
      </c>
      <c r="P69" s="37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*(1+$BX69)</f>
        <v>22046.3562989156</v>
      </c>
      <c r="Q69" s="38">
        <v>1</v>
      </c>
      <c r="R69" s="39" t="s">
        <v>124</v>
      </c>
      <c r="S69" s="39" t="s">
        <v>104</v>
      </c>
      <c r="T69" s="39" t="s">
        <v>194</v>
      </c>
      <c r="U69" s="39" t="s">
        <v>81</v>
      </c>
      <c r="V69" s="39" t="s">
        <v>82</v>
      </c>
      <c r="W69" s="39" t="s">
        <v>83</v>
      </c>
      <c r="X69" s="39" t="s">
        <v>84</v>
      </c>
      <c r="Y69" s="39" t="s">
        <v>84</v>
      </c>
      <c r="Z69" s="39" t="s">
        <v>84</v>
      </c>
      <c r="AA69" s="39" t="s">
        <v>84</v>
      </c>
      <c r="AB69" s="39" t="s">
        <v>204</v>
      </c>
      <c r="AC69" s="39" t="s">
        <v>92</v>
      </c>
      <c r="AD69" s="39" t="s">
        <v>84</v>
      </c>
      <c r="AE69" s="39" t="s">
        <v>87</v>
      </c>
      <c r="AF69" s="39" t="s">
        <v>88</v>
      </c>
      <c r="AG69" s="39" t="s">
        <v>84</v>
      </c>
      <c r="AH69" s="39" t="s">
        <v>84</v>
      </c>
      <c r="AI69" s="39" t="s">
        <v>84</v>
      </c>
      <c r="AJ69" s="39" t="s">
        <v>84</v>
      </c>
      <c r="AK69" s="39" t="s">
        <v>84</v>
      </c>
      <c r="AL69" s="39" t="s">
        <v>84</v>
      </c>
      <c r="AM69" t="str">
        <f>VLOOKUP($R69,武学奇术!$A:$ZZ,25,FALSE)</f>
        <v>拳甲</v>
      </c>
      <c r="AN69" s="24">
        <f>VLOOKUP($R69,武学奇术!$A:$ZZ,26,FALSE)</f>
        <v>1.1333</v>
      </c>
      <c r="AO69" s="25">
        <f>VLOOKUP($R69,武学奇术!$A:$ZZ,27,FALSE)*(1+IF(OR($AM69=$F$4,$AM69=$F$5),$B$22,0))</f>
        <v>502.4</v>
      </c>
      <c r="AP69" s="24">
        <f>VLOOKUP($R69,武学奇术!$A:$ZZ,28,FALSE)</f>
        <v>1.6999</v>
      </c>
      <c r="AQ69" s="25">
        <f>VLOOKUP($R69,武学奇术!$A:$ZZ,29,FALSE)*(1+IF(OR($AM69=$F$4,$AM69=$F$5),$B$22,0))</f>
        <v>273.6</v>
      </c>
      <c r="AR69" s="24" cm="1">
        <f t="array" ref="AR69">$G$3+IFERROR(VLOOKUP($AM69,$F$4:$G$7,2,FALSE),0)+VLOOKUP($R69,武学奇术!$A:$ZZ,2,FALSE)+SUM(_xlfn.XLOOKUP($S69:$AL69,增益!$A:$A,增益!$B:$B,0))</f>
        <v>0.4543</v>
      </c>
      <c r="AS69" s="24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4342.95</v>
      </c>
      <c r="AU69" cm="1">
        <f t="array" ref="AU69">$E$10*(1+$AS69)+VLOOKUP($R69,武学奇术!$A:$ZZ,4,FALSE)+SUM(_xlfn.XLOOKUP($S69:$AL69,增益!$A:$A,增益!$D:$D,0))-$I$2</f>
        <v>4342.95</v>
      </c>
      <c r="AV69" s="31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0.3034</v>
      </c>
      <c r="AW69" s="31" cm="1">
        <f t="array" ref="AW69">$G$10+VLOOKUP($R69,武学奇术!$A:$ZZ,7,FALSE)+SUM(_xlfn.XLOOKUP($S69:$AL69,增益!$A:$A,增益!$G:$G,0))</f>
        <v>0.11</v>
      </c>
      <c r="AX69" s="24" cm="1">
        <f t="array" ref="AX69">VLOOKUP($R69,武学奇术!$A:$ZZ,8,FALSE)+SUM(_xlfn.XLOOKUP($S69:$AL69,增益!$A:$A,增益!$H:$H,0))</f>
        <v>0</v>
      </c>
      <c r="AY69">
        <f t="shared" si="24"/>
        <v>0</v>
      </c>
      <c r="AZ69">
        <f t="shared" si="25"/>
        <v>0</v>
      </c>
      <c r="BA69" s="31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1" cm="1">
        <f t="array" ref="BB69">$G$11+VLOOKUP($R69,武学奇术!$A:$ZZ,10,FALSE)+SUM(_xlfn.XLOOKUP($S69:$AL69,增益!$A:$A,增益!$J:$J,0))</f>
        <v>0.02</v>
      </c>
      <c r="BC69">
        <f t="shared" si="26"/>
        <v>0</v>
      </c>
      <c r="BD69">
        <f t="shared" si="27"/>
        <v>0</v>
      </c>
      <c r="BE69" s="31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1" cm="1">
        <f t="array" ref="BF69">$G$12+VLOOKUP($R69,武学奇术!$A:$ZZ,12,FALSE)+SUM(_xlfn.XLOOKUP($S69:$AL69,增益!$A:$A,增益!$L:$L,0))</f>
        <v>0.02</v>
      </c>
      <c r="BG69">
        <f t="shared" si="28"/>
        <v>0</v>
      </c>
      <c r="BH69">
        <f t="shared" si="29"/>
        <v>0</v>
      </c>
      <c r="BI69" s="31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1" cm="1">
        <f t="array" ref="BJ69">$G$13+VLOOKUP($R69,武学奇术!$A:$ZZ,14,FALSE)+SUM(_xlfn.XLOOKUP($S69:$AL69,增益!$A:$A,增益!$N:$N,0))</f>
        <v>0.02</v>
      </c>
      <c r="BK69">
        <f t="shared" si="30"/>
        <v>649.11</v>
      </c>
      <c r="BL69">
        <f t="shared" si="31"/>
        <v>1812.09</v>
      </c>
      <c r="BM69" s="31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1" cm="1">
        <f t="array" ref="BN69">$G$14+VLOOKUP($R69,武学奇术!$A:$ZZ,16,FALSE)+SUM(_xlfn.XLOOKUP($S69:$AL69,增益!$A:$A,增益!$P:$P,0))</f>
        <v>0.26</v>
      </c>
      <c r="BO69" s="24">
        <f>MIN(IF(VLOOKUP($R69,武学奇术!$A:$ZZ,23,FALSE)=1,100%,$B$8),100%)</f>
        <v>0.9943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0.8985</v>
      </c>
      <c r="BQ69" s="24" cm="1">
        <f t="array" ref="BQ69">1+$B$13+VLOOKUP($R69,武学奇术!$A:$ZZ,18,FALSE)+SUM(_xlfn.XLOOKUP($S69:$AL69,增益!$A:$A,增益!$R:$R,0))</f>
        <v>1.99</v>
      </c>
      <c r="BR69" s="24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4" cm="1">
        <f t="array" ref="BS69">1+$B$14+VLOOKUP($R69,武学奇术!$A:$ZZ,20,FALSE)+SUM(_xlfn.XLOOKUP($S69:$AL69,增益!$A:$A,增益!$T:$T,0))</f>
        <v>1.35</v>
      </c>
      <c r="BT69" s="24">
        <f t="shared" si="32"/>
        <v>0.89337855</v>
      </c>
      <c r="BU69" s="24">
        <f t="shared" si="33"/>
        <v>0.01014186</v>
      </c>
      <c r="BV69" s="24">
        <f>IF(VLOOKUP($R69,武学奇术!$A:$ZZ,22,FALSE)=1,0,(1-$BO69))*(1-$BR69)</f>
        <v>0.00517959000000003</v>
      </c>
      <c r="BW69" s="24" cm="1">
        <f t="array" ref="BW69">SUM(_xlfn.XLOOKUP($S69:$AL69,增益!$A:$A,增益!$W:$W,0))+$I$5</f>
        <v>0.11</v>
      </c>
      <c r="BX69" s="24">
        <f>VLOOKUP($R69,武学奇术!$A:$ZZ,32,FALSE)</f>
        <v>0.4</v>
      </c>
      <c r="BY69" s="24" cm="1">
        <f t="array" ref="BY69">SUM(_xlfn.XLOOKUP($S69:$AL69,增益!$A:$A,增益!$X:$X,0))</f>
        <v>0</v>
      </c>
    </row>
    <row r="70" spans="1:77">
      <c r="A70" t="s">
        <v>177</v>
      </c>
      <c r="B70">
        <v>0.7</v>
      </c>
      <c r="D70" s="38"/>
      <c r="K70" s="37">
        <f>$L70*VLOOKUP($R70,武学奇术!$A:$ZZ,31,FALSE)</f>
        <v>33579.6644364844</v>
      </c>
      <c r="L70" s="37">
        <f t="shared" si="23"/>
        <v>33579.6644364844</v>
      </c>
      <c r="M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*(1+$BX70)</f>
        <v>34614.4782516612</v>
      </c>
      <c r="N70" s="37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*(1+$BX70)</f>
        <v>26287.9804978034</v>
      </c>
      <c r="O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*(1+$BX70)</f>
        <v>17394.2101767142</v>
      </c>
      <c r="P70" s="37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*(1+$BX70)</f>
        <v>15315.8422069073</v>
      </c>
      <c r="Q70" s="38">
        <v>1</v>
      </c>
      <c r="R70" s="39" t="s">
        <v>127</v>
      </c>
      <c r="S70" s="39" t="s">
        <v>104</v>
      </c>
      <c r="T70" s="39" t="s">
        <v>194</v>
      </c>
      <c r="U70" s="39" t="s">
        <v>81</v>
      </c>
      <c r="V70" s="39" t="s">
        <v>82</v>
      </c>
      <c r="W70" s="39" t="s">
        <v>83</v>
      </c>
      <c r="X70" s="39" t="s">
        <v>84</v>
      </c>
      <c r="Y70" s="39" t="s">
        <v>85</v>
      </c>
      <c r="Z70" s="39" t="s">
        <v>84</v>
      </c>
      <c r="AA70" s="39" t="s">
        <v>84</v>
      </c>
      <c r="AB70" s="39" t="s">
        <v>204</v>
      </c>
      <c r="AC70" s="39" t="s">
        <v>92</v>
      </c>
      <c r="AD70" s="39" t="s">
        <v>84</v>
      </c>
      <c r="AE70" s="39" t="s">
        <v>87</v>
      </c>
      <c r="AF70" s="39" t="s">
        <v>88</v>
      </c>
      <c r="AG70" s="39" t="s">
        <v>84</v>
      </c>
      <c r="AH70" s="39" t="s">
        <v>84</v>
      </c>
      <c r="AI70" s="39" t="s">
        <v>84</v>
      </c>
      <c r="AJ70" s="39" t="s">
        <v>84</v>
      </c>
      <c r="AK70" s="39" t="s">
        <v>84</v>
      </c>
      <c r="AL70" s="39" t="s">
        <v>84</v>
      </c>
      <c r="AM70" t="str">
        <f>VLOOKUP($R70,武学奇术!$A:$ZZ,25,FALSE)</f>
        <v>拳甲</v>
      </c>
      <c r="AN70" s="24">
        <f>VLOOKUP($R70,武学奇术!$A:$ZZ,26,FALSE)</f>
        <v>0.7748</v>
      </c>
      <c r="AO70" s="25">
        <f>VLOOKUP($R70,武学奇术!$A:$ZZ,27,FALSE)*(1+IF(OR($AM70=$F$4,$AM70=$F$5),$B$22,0))</f>
        <v>345.6</v>
      </c>
      <c r="AP70" s="24">
        <f>VLOOKUP($R70,武学奇术!$A:$ZZ,28,FALSE)</f>
        <v>1.1622</v>
      </c>
      <c r="AQ70" s="25">
        <f>VLOOKUP($R70,武学奇术!$A:$ZZ,29,FALSE)*(1+IF(OR($AM70=$F$4,$AM70=$F$5),$B$22,0))</f>
        <v>187.2</v>
      </c>
      <c r="AR70" s="24" cm="1">
        <f t="array" ref="AR70">$G$3+IFERROR(VLOOKUP($AM70,$F$4:$G$7,2,FALSE),0)+VLOOKUP($R70,武学奇术!$A:$ZZ,2,FALSE)+SUM(_xlfn.XLOOKUP($S70:$AL70,增益!$A:$A,增益!$B:$B,0))</f>
        <v>0.4543</v>
      </c>
      <c r="AS70" s="24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4342.95</v>
      </c>
      <c r="AU70" cm="1">
        <f t="array" ref="AU70">$E$10*(1+$AS70)+VLOOKUP($R70,武学奇术!$A:$ZZ,4,FALSE)+SUM(_xlfn.XLOOKUP($S70:$AL70,增益!$A:$A,增益!$D:$D,0))-$I$2</f>
        <v>4342.95</v>
      </c>
      <c r="AV70" s="31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0.3034</v>
      </c>
      <c r="AW70" s="31" cm="1">
        <f t="array" ref="AW70">$G$10+VLOOKUP($R70,武学奇术!$A:$ZZ,7,FALSE)+SUM(_xlfn.XLOOKUP($S70:$AL70,增益!$A:$A,增益!$G:$G,0))</f>
        <v>0.11</v>
      </c>
      <c r="AX70" s="24" cm="1">
        <f t="array" ref="AX70">VLOOKUP($R70,武学奇术!$A:$ZZ,8,FALSE)+SUM(_xlfn.XLOOKUP($S70:$AL70,增益!$A:$A,增益!$H:$H,0))</f>
        <v>0</v>
      </c>
      <c r="AY70">
        <f t="shared" si="24"/>
        <v>0</v>
      </c>
      <c r="AZ70">
        <f t="shared" si="25"/>
        <v>0</v>
      </c>
      <c r="BA70" s="31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1" cm="1">
        <f t="array" ref="BB70">$G$11+VLOOKUP($R70,武学奇术!$A:$ZZ,10,FALSE)+SUM(_xlfn.XLOOKUP($S70:$AL70,增益!$A:$A,增益!$J:$J,0))</f>
        <v>0.02</v>
      </c>
      <c r="BC70">
        <f t="shared" si="26"/>
        <v>0</v>
      </c>
      <c r="BD70">
        <f t="shared" si="27"/>
        <v>0</v>
      </c>
      <c r="BE70" s="31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-0.14</v>
      </c>
      <c r="BF70" s="31" cm="1">
        <f t="array" ref="BF70">$G$12+VLOOKUP($R70,武学奇术!$A:$ZZ,12,FALSE)+SUM(_xlfn.XLOOKUP($S70:$AL70,增益!$A:$A,增益!$L:$L,0))</f>
        <v>0.02</v>
      </c>
      <c r="BG70">
        <f t="shared" si="28"/>
        <v>0</v>
      </c>
      <c r="BH70">
        <f t="shared" si="29"/>
        <v>0</v>
      </c>
      <c r="BI70" s="31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1" cm="1">
        <f t="array" ref="BJ70">$G$13+VLOOKUP($R70,武学奇术!$A:$ZZ,14,FALSE)+SUM(_xlfn.XLOOKUP($S70:$AL70,增益!$A:$A,增益!$N:$N,0))</f>
        <v>0.02</v>
      </c>
      <c r="BK70">
        <f t="shared" si="30"/>
        <v>649.11</v>
      </c>
      <c r="BL70">
        <f t="shared" si="31"/>
        <v>1812.09</v>
      </c>
      <c r="BM70" s="31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0.08</v>
      </c>
      <c r="BN70" s="31" cm="1">
        <f t="array" ref="BN70">$G$14+VLOOKUP($R70,武学奇术!$A:$ZZ,16,FALSE)+SUM(_xlfn.XLOOKUP($S70:$AL70,增益!$A:$A,增益!$P:$P,0))</f>
        <v>0.26</v>
      </c>
      <c r="BO70" s="24">
        <f>MIN(IF(VLOOKUP($R70,武学奇术!$A:$ZZ,23,FALSE)=1,100%,$B$8),100%)</f>
        <v>0.9943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0.8985</v>
      </c>
      <c r="BQ70" s="24" cm="1">
        <f t="array" ref="BQ70">1+$B$13+VLOOKUP($R70,武学奇术!$A:$ZZ,18,FALSE)+SUM(_xlfn.XLOOKUP($S70:$AL70,增益!$A:$A,增益!$R:$R,0))</f>
        <v>1.99</v>
      </c>
      <c r="BR70" s="24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4" cm="1">
        <f t="array" ref="BS70">1+$B$14+VLOOKUP($R70,武学奇术!$A:$ZZ,20,FALSE)+SUM(_xlfn.XLOOKUP($S70:$AL70,增益!$A:$A,增益!$T:$T,0))</f>
        <v>1.35</v>
      </c>
      <c r="BT70" s="24">
        <f t="shared" si="32"/>
        <v>0.89337855</v>
      </c>
      <c r="BU70" s="24">
        <f t="shared" si="33"/>
        <v>0.01014186</v>
      </c>
      <c r="BV70" s="24">
        <f>IF(VLOOKUP($R70,武学奇术!$A:$ZZ,22,FALSE)=1,0,(1-$BO70))*(1-$BR70)</f>
        <v>0.00517959000000003</v>
      </c>
      <c r="BW70" s="24" cm="1">
        <f t="array" ref="BW70">SUM(_xlfn.XLOOKUP($S70:$AL70,增益!$A:$A,增益!$W:$W,0))+$I$5</f>
        <v>0.11</v>
      </c>
      <c r="BX70" s="24">
        <f>VLOOKUP($R70,武学奇术!$A:$ZZ,32,FALSE)</f>
        <v>0.4</v>
      </c>
      <c r="BY70" s="24" cm="1">
        <f t="array" ref="BY70">SUM(_xlfn.XLOOKUP($S70:$AL70,增益!$A:$A,增益!$X:$X,0))</f>
        <v>0</v>
      </c>
    </row>
    <row r="71" spans="1:77">
      <c r="A71" t="s">
        <v>176</v>
      </c>
      <c r="B71">
        <v>0.8</v>
      </c>
      <c r="D71" s="38"/>
      <c r="K71" s="37">
        <f>$L71*VLOOKUP($R71,武学奇术!$A:$ZZ,31,FALSE)</f>
        <v>91170.472005056</v>
      </c>
      <c r="L71" s="37">
        <f t="shared" si="23"/>
        <v>56981.54500316</v>
      </c>
      <c r="M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*(1+$BX71)</f>
        <v>58593.0415833334</v>
      </c>
      <c r="N71" s="37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*(1+$BX71)</f>
        <v>45923.208007927</v>
      </c>
      <c r="O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*(1+$BX71)</f>
        <v>30202.5987542956</v>
      </c>
      <c r="P71" s="37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*(1+$BX71)</f>
        <v>26388.0063916082</v>
      </c>
      <c r="Q71" s="38">
        <v>1</v>
      </c>
      <c r="R71" s="39" t="s">
        <v>122</v>
      </c>
      <c r="S71" s="39" t="s">
        <v>104</v>
      </c>
      <c r="T71" s="39" t="s">
        <v>194</v>
      </c>
      <c r="U71" s="39" t="s">
        <v>81</v>
      </c>
      <c r="V71" s="39" t="s">
        <v>82</v>
      </c>
      <c r="W71" s="39" t="s">
        <v>83</v>
      </c>
      <c r="X71" s="39" t="s">
        <v>84</v>
      </c>
      <c r="Y71" s="39" t="s">
        <v>85</v>
      </c>
      <c r="Z71" s="39" t="s">
        <v>84</v>
      </c>
      <c r="AA71" s="39" t="s">
        <v>84</v>
      </c>
      <c r="AB71" s="39" t="s">
        <v>204</v>
      </c>
      <c r="AC71" s="39" t="s">
        <v>92</v>
      </c>
      <c r="AD71" s="39" t="s">
        <v>93</v>
      </c>
      <c r="AE71" s="39" t="s">
        <v>87</v>
      </c>
      <c r="AF71" s="39" t="s">
        <v>88</v>
      </c>
      <c r="AG71" s="39" t="s">
        <v>94</v>
      </c>
      <c r="AH71" s="39" t="s">
        <v>84</v>
      </c>
      <c r="AI71" s="39" t="s">
        <v>84</v>
      </c>
      <c r="AJ71" s="39" t="s">
        <v>84</v>
      </c>
      <c r="AK71" s="39" t="s">
        <v>84</v>
      </c>
      <c r="AL71" s="39" t="s">
        <v>84</v>
      </c>
      <c r="AM71" t="str">
        <f>VLOOKUP($R71,武学奇术!$A:$ZZ,25,FALSE)</f>
        <v>拳甲</v>
      </c>
      <c r="AN71" s="24">
        <f>VLOOKUP($R71,武学奇术!$A:$ZZ,26,FALSE)</f>
        <v>1.862784</v>
      </c>
      <c r="AO71" s="25">
        <f>VLOOKUP($R71,武学奇术!$A:$ZZ,27,FALSE)*(1+IF(OR($AM71=$F$4,$AM71=$F$5),$B$22,0))</f>
        <v>0</v>
      </c>
      <c r="AP71" s="24">
        <f>VLOOKUP($R71,武学奇术!$A:$ZZ,28,FALSE)</f>
        <v>2.794176</v>
      </c>
      <c r="AQ71" s="25">
        <f>VLOOKUP($R71,武学奇术!$A:$ZZ,29,FALSE)*(1+IF(OR($AM71=$F$4,$AM71=$F$5),$B$22,0))</f>
        <v>0</v>
      </c>
      <c r="AR71" s="24" cm="1">
        <f t="array" ref="AR71">$G$3+IFERROR(VLOOKUP($AM71,$F$4:$G$7,2,FALSE),0)+VLOOKUP($R71,武学奇术!$A:$ZZ,2,FALSE)+SUM(_xlfn.XLOOKUP($S71:$AL71,增益!$A:$A,增益!$B:$B,0))</f>
        <v>0.5543</v>
      </c>
      <c r="AS71" s="24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4342.95</v>
      </c>
      <c r="AU71" cm="1">
        <f t="array" ref="AU71">$E$10*(1+$AS71)+VLOOKUP($R71,武学奇术!$A:$ZZ,4,FALSE)+SUM(_xlfn.XLOOKUP($S71:$AL71,增益!$A:$A,增益!$D:$D,0))-$I$2</f>
        <v>4342.95</v>
      </c>
      <c r="AV71" s="31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0.4284</v>
      </c>
      <c r="AW71" s="31" cm="1">
        <f t="array" ref="AW71">$G$10+VLOOKUP($R71,武学奇术!$A:$ZZ,7,FALSE)+SUM(_xlfn.XLOOKUP($S71:$AL71,增益!$A:$A,增益!$G:$G,0))</f>
        <v>0.11</v>
      </c>
      <c r="AX71" s="24" cm="1">
        <f t="array" ref="AX71">VLOOKUP($R71,武学奇术!$A:$ZZ,8,FALSE)+SUM(_xlfn.XLOOKUP($S71:$AL71,增益!$A:$A,增益!$H:$H,0))</f>
        <v>0</v>
      </c>
      <c r="AY71">
        <f t="shared" si="24"/>
        <v>0</v>
      </c>
      <c r="AZ71">
        <f t="shared" si="25"/>
        <v>0</v>
      </c>
      <c r="BA71" s="31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1" cm="1">
        <f t="array" ref="BB71">$G$11+VLOOKUP($R71,武学奇术!$A:$ZZ,10,FALSE)+SUM(_xlfn.XLOOKUP($S71:$AL71,增益!$A:$A,增益!$J:$J,0))</f>
        <v>0.02</v>
      </c>
      <c r="BC71">
        <f t="shared" si="26"/>
        <v>0</v>
      </c>
      <c r="BD71">
        <f t="shared" si="27"/>
        <v>0</v>
      </c>
      <c r="BE71" s="31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-0.14</v>
      </c>
      <c r="BF71" s="31" cm="1">
        <f t="array" ref="BF71">$G$12+VLOOKUP($R71,武学奇术!$A:$ZZ,12,FALSE)+SUM(_xlfn.XLOOKUP($S71:$AL71,增益!$A:$A,增益!$L:$L,0))</f>
        <v>0.02</v>
      </c>
      <c r="BG71">
        <f t="shared" si="28"/>
        <v>0</v>
      </c>
      <c r="BH71">
        <f t="shared" si="29"/>
        <v>0</v>
      </c>
      <c r="BI71" s="31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1" cm="1">
        <f t="array" ref="BJ71">$G$13+VLOOKUP($R71,武学奇术!$A:$ZZ,14,FALSE)+SUM(_xlfn.XLOOKUP($S71:$AL71,增益!$A:$A,增益!$N:$N,0))</f>
        <v>0.02</v>
      </c>
      <c r="BK71">
        <f t="shared" si="30"/>
        <v>649.11</v>
      </c>
      <c r="BL71">
        <f t="shared" si="31"/>
        <v>1812.09</v>
      </c>
      <c r="BM71" s="31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0.08</v>
      </c>
      <c r="BN71" s="31" cm="1">
        <f t="array" ref="BN71">$G$14+VLOOKUP($R71,武学奇术!$A:$ZZ,16,FALSE)+SUM(_xlfn.XLOOKUP($S71:$AL71,增益!$A:$A,增益!$P:$P,0))</f>
        <v>0.26</v>
      </c>
      <c r="BO71" s="24">
        <f>MIN(IF(VLOOKUP($R71,武学奇术!$A:$ZZ,23,FALSE)=1,100%,$B$8),100%)</f>
        <v>0.9943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0.8985</v>
      </c>
      <c r="BQ71" s="24" cm="1">
        <f t="array" ref="BQ71">1+$B$13+VLOOKUP($R71,武学奇术!$A:$ZZ,18,FALSE)+SUM(_xlfn.XLOOKUP($S71:$AL71,增益!$A:$A,增益!$R:$R,0))</f>
        <v>1.94</v>
      </c>
      <c r="BR71" s="24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4" cm="1">
        <f t="array" ref="BS71">1+$B$14+VLOOKUP($R71,武学奇术!$A:$ZZ,20,FALSE)+SUM(_xlfn.XLOOKUP($S71:$AL71,增益!$A:$A,增益!$T:$T,0))</f>
        <v>1.35</v>
      </c>
      <c r="BT71" s="24">
        <f t="shared" si="32"/>
        <v>0.89337855</v>
      </c>
      <c r="BU71" s="24">
        <f t="shared" si="33"/>
        <v>0.01014186</v>
      </c>
      <c r="BV71" s="24">
        <f>IF(VLOOKUP($R71,武学奇术!$A:$ZZ,22,FALSE)=1,0,(1-$BO71))*(1-$BR71)</f>
        <v>0.00517959000000003</v>
      </c>
      <c r="BW71" s="24" cm="1">
        <f t="array" ref="BW71">SUM(_xlfn.XLOOKUP($S71:$AL71,增益!$A:$A,增益!$W:$W,0))+$I$5</f>
        <v>0.11</v>
      </c>
      <c r="BX71" s="24">
        <f>VLOOKUP($R71,武学奇术!$A:$ZZ,32,FALSE)</f>
        <v>0</v>
      </c>
      <c r="BY71" s="24" cm="1">
        <f t="array" ref="BY71">SUM(_xlfn.XLOOKUP($S71:$AL71,增益!$A:$A,增益!$X:$X,0))</f>
        <v>0</v>
      </c>
    </row>
    <row r="72" spans="1:77">
      <c r="A72" t="s">
        <v>200</v>
      </c>
      <c r="B72">
        <v>2.8</v>
      </c>
      <c r="D72" s="38"/>
      <c r="K72" s="37">
        <f>$L72*VLOOKUP($R72,武学奇术!$A:$ZZ,31,FALSE)</f>
        <v>47307.9521260112</v>
      </c>
      <c r="L72" s="37">
        <f t="shared" si="23"/>
        <v>47307.9521260112</v>
      </c>
      <c r="M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*(1+$BX72)</f>
        <v>48689.3904702261</v>
      </c>
      <c r="N72" s="37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*(1+$BX72)</f>
        <v>37677.1620858341</v>
      </c>
      <c r="O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*(1+$BX72)</f>
        <v>25097.6239537248</v>
      </c>
      <c r="P72" s="37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*(1+$BX72)</f>
        <v>22286.2389549799</v>
      </c>
      <c r="Q72" s="38">
        <v>1</v>
      </c>
      <c r="R72" s="39" t="s">
        <v>115</v>
      </c>
      <c r="S72" s="39" t="s">
        <v>104</v>
      </c>
      <c r="T72" s="39" t="s">
        <v>194</v>
      </c>
      <c r="U72" s="39" t="s">
        <v>81</v>
      </c>
      <c r="V72" s="39" t="s">
        <v>82</v>
      </c>
      <c r="W72" s="39" t="s">
        <v>83</v>
      </c>
      <c r="X72" s="39" t="s">
        <v>84</v>
      </c>
      <c r="Y72" s="39" t="s">
        <v>85</v>
      </c>
      <c r="Z72" s="39" t="s">
        <v>84</v>
      </c>
      <c r="AA72" s="39" t="s">
        <v>84</v>
      </c>
      <c r="AB72" s="39" t="s">
        <v>204</v>
      </c>
      <c r="AC72" s="39" t="s">
        <v>92</v>
      </c>
      <c r="AD72" s="39" t="s">
        <v>93</v>
      </c>
      <c r="AE72" s="39" t="s">
        <v>87</v>
      </c>
      <c r="AF72" s="39" t="s">
        <v>88</v>
      </c>
      <c r="AG72" s="39" t="s">
        <v>94</v>
      </c>
      <c r="AH72" s="39" t="s">
        <v>84</v>
      </c>
      <c r="AI72" s="39" t="s">
        <v>84</v>
      </c>
      <c r="AJ72" s="39" t="s">
        <v>84</v>
      </c>
      <c r="AK72" s="39" t="s">
        <v>84</v>
      </c>
      <c r="AL72" s="39" t="s">
        <v>84</v>
      </c>
      <c r="AM72" t="str">
        <f>VLOOKUP($R72,武学奇术!$A:$ZZ,25,FALSE)</f>
        <v>双刀</v>
      </c>
      <c r="AN72" s="24">
        <f>VLOOKUP($R72,武学奇术!$A:$ZZ,26,FALSE)</f>
        <v>1.3728</v>
      </c>
      <c r="AO72" s="25">
        <f>VLOOKUP($R72,武学奇术!$A:$ZZ,27,FALSE)*(1+IF(OR($AM72=$F$4,$AM72=$F$5),$B$22,0))</f>
        <v>609.44</v>
      </c>
      <c r="AP72" s="24">
        <f>VLOOKUP($R72,武学奇术!$A:$ZZ,28,FALSE)</f>
        <v>2.05933</v>
      </c>
      <c r="AQ72" s="25">
        <f>VLOOKUP($R72,武学奇术!$A:$ZZ,29,FALSE)*(1+IF(OR($AM72=$F$4,$AM72=$F$5),$B$22,0))</f>
        <v>332.8</v>
      </c>
      <c r="AR72" s="24" cm="1">
        <f t="array" ref="AR72">$G$3+IFERROR(VLOOKUP($AM72,$F$4:$G$7,2,FALSE),0)+VLOOKUP($R72,武学奇术!$A:$ZZ,2,FALSE)+SUM(_xlfn.XLOOKUP($S72:$AL72,增益!$A:$A,增益!$B:$B,0))</f>
        <v>0.5543</v>
      </c>
      <c r="AS72" s="24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4342.95</v>
      </c>
      <c r="AU72" cm="1">
        <f t="array" ref="AU72">$E$10*(1+$AS72)+VLOOKUP($R72,武学奇术!$A:$ZZ,4,FALSE)+SUM(_xlfn.XLOOKUP($S72:$AL72,增益!$A:$A,增益!$D:$D,0))-$I$2</f>
        <v>4342.95</v>
      </c>
      <c r="AV72" s="31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0.4284</v>
      </c>
      <c r="AW72" s="31" cm="1">
        <f t="array" ref="AW72">$G$10+VLOOKUP($R72,武学奇术!$A:$ZZ,7,FALSE)+SUM(_xlfn.XLOOKUP($S72:$AL72,增益!$A:$A,增益!$G:$G,0))</f>
        <v>0.11</v>
      </c>
      <c r="AX72" s="24" cm="1">
        <f t="array" ref="AX72">VLOOKUP($R72,武学奇术!$A:$ZZ,8,FALSE)+SUM(_xlfn.XLOOKUP($S72:$AL72,增益!$A:$A,增益!$H:$H,0))</f>
        <v>0</v>
      </c>
      <c r="AY72">
        <f t="shared" si="24"/>
        <v>0</v>
      </c>
      <c r="AZ72">
        <f t="shared" si="25"/>
        <v>0</v>
      </c>
      <c r="BA72" s="31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1" cm="1">
        <f t="array" ref="BB72">$G$11+VLOOKUP($R72,武学奇术!$A:$ZZ,10,FALSE)+SUM(_xlfn.XLOOKUP($S72:$AL72,增益!$A:$A,增益!$J:$J,0))</f>
        <v>0.02</v>
      </c>
      <c r="BC72">
        <f t="shared" si="26"/>
        <v>0</v>
      </c>
      <c r="BD72">
        <f t="shared" si="27"/>
        <v>0</v>
      </c>
      <c r="BE72" s="31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-0.14</v>
      </c>
      <c r="BF72" s="31" cm="1">
        <f t="array" ref="BF72">$G$12+VLOOKUP($R72,武学奇术!$A:$ZZ,12,FALSE)+SUM(_xlfn.XLOOKUP($S72:$AL72,增益!$A:$A,增益!$L:$L,0))</f>
        <v>0.02</v>
      </c>
      <c r="BG72">
        <f t="shared" si="28"/>
        <v>0</v>
      </c>
      <c r="BH72">
        <f t="shared" si="29"/>
        <v>0</v>
      </c>
      <c r="BI72" s="31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1" cm="1">
        <f t="array" ref="BJ72">$G$13+VLOOKUP($R72,武学奇术!$A:$ZZ,14,FALSE)+SUM(_xlfn.XLOOKUP($S72:$AL72,增益!$A:$A,增益!$N:$N,0))</f>
        <v>0.02</v>
      </c>
      <c r="BK72">
        <f t="shared" si="30"/>
        <v>649.11</v>
      </c>
      <c r="BL72">
        <f t="shared" si="31"/>
        <v>1812.09</v>
      </c>
      <c r="BM72" s="31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0.08</v>
      </c>
      <c r="BN72" s="31" cm="1">
        <f t="array" ref="BN72">$G$14+VLOOKUP($R72,武学奇术!$A:$ZZ,16,FALSE)+SUM(_xlfn.XLOOKUP($S72:$AL72,增益!$A:$A,增益!$P:$P,0))</f>
        <v>0.26</v>
      </c>
      <c r="BO72" s="24">
        <f>MIN(IF(VLOOKUP($R72,武学奇术!$A:$ZZ,23,FALSE)=1,100%,$B$8),100%)</f>
        <v>0.9943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0.8985</v>
      </c>
      <c r="BQ72" s="24" cm="1">
        <f t="array" ref="BQ72">1+$B$13+VLOOKUP($R72,武学奇术!$A:$ZZ,18,FALSE)+SUM(_xlfn.XLOOKUP($S72:$AL72,增益!$A:$A,增益!$R:$R,0))</f>
        <v>1.94</v>
      </c>
      <c r="BR72" s="24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4" cm="1">
        <f t="array" ref="BS72">1+$B$14+VLOOKUP($R72,武学奇术!$A:$ZZ,20,FALSE)+SUM(_xlfn.XLOOKUP($S72:$AL72,增益!$A:$A,增益!$T:$T,0))</f>
        <v>1.35</v>
      </c>
      <c r="BT72" s="24">
        <f t="shared" si="32"/>
        <v>0.89337855</v>
      </c>
      <c r="BU72" s="24">
        <f t="shared" si="33"/>
        <v>0.01014186</v>
      </c>
      <c r="BV72" s="24">
        <f>IF(VLOOKUP($R72,武学奇术!$A:$ZZ,22,FALSE)=1,0,(1-$BO72))*(1-$BR72)</f>
        <v>0.00517959000000003</v>
      </c>
      <c r="BW72" s="24" cm="1">
        <f t="array" ref="BW72">SUM(_xlfn.XLOOKUP($S72:$AL72,增益!$A:$A,增益!$W:$W,0))+$I$5</f>
        <v>0.11</v>
      </c>
      <c r="BX72" s="24">
        <f>VLOOKUP($R72,武学奇术!$A:$ZZ,32,FALSE)</f>
        <v>0</v>
      </c>
      <c r="BY72" s="24" cm="1">
        <f t="array" ref="BY72">SUM(_xlfn.XLOOKUP($S72:$AL72,增益!$A:$A,增益!$X:$X,0))</f>
        <v>0</v>
      </c>
    </row>
    <row r="73" spans="1:77">
      <c r="A73" t="s">
        <v>178</v>
      </c>
      <c r="B73" s="95">
        <v>0.1</v>
      </c>
      <c r="D73" s="38"/>
      <c r="K73" s="37">
        <f>$L73*VLOOKUP($R73,武学奇术!$A:$ZZ,31,FALSE)</f>
        <v>198802.484954786</v>
      </c>
      <c r="L73" s="89">
        <f>SUM(L60:L65,L69:L70)*0.2*(1+BY73)</f>
        <v>397604.969909571</v>
      </c>
      <c r="M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*(1+$BX73)</f>
        <v>0</v>
      </c>
      <c r="N73" s="37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*(1+$BX73)</f>
        <v>0</v>
      </c>
      <c r="O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*(1+$BX73)</f>
        <v>0</v>
      </c>
      <c r="P73" s="37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*(1+$BX73)</f>
        <v>0</v>
      </c>
      <c r="Q73" s="38">
        <v>1</v>
      </c>
      <c r="R73" s="39" t="s">
        <v>180</v>
      </c>
      <c r="S73" s="39" t="s">
        <v>181</v>
      </c>
      <c r="T73" s="39" t="s">
        <v>84</v>
      </c>
      <c r="U73" s="39" t="s">
        <v>84</v>
      </c>
      <c r="V73" s="39" t="s">
        <v>84</v>
      </c>
      <c r="W73" s="39" t="s">
        <v>84</v>
      </c>
      <c r="X73" s="39" t="s">
        <v>84</v>
      </c>
      <c r="Y73" s="39" t="s">
        <v>84</v>
      </c>
      <c r="Z73" s="39" t="s">
        <v>84</v>
      </c>
      <c r="AA73" s="39" t="s">
        <v>84</v>
      </c>
      <c r="AB73" s="39" t="s">
        <v>84</v>
      </c>
      <c r="AC73" s="39" t="s">
        <v>84</v>
      </c>
      <c r="AD73" s="39" t="s">
        <v>84</v>
      </c>
      <c r="AE73" s="39" t="s">
        <v>87</v>
      </c>
      <c r="AF73" s="39" t="s">
        <v>88</v>
      </c>
      <c r="AG73" s="39" t="s">
        <v>94</v>
      </c>
      <c r="AH73" s="39" t="s">
        <v>84</v>
      </c>
      <c r="AI73" s="39" t="s">
        <v>84</v>
      </c>
      <c r="AJ73" s="39" t="s">
        <v>84</v>
      </c>
      <c r="AK73" s="39" t="s">
        <v>84</v>
      </c>
      <c r="AL73" s="39" t="s">
        <v>84</v>
      </c>
      <c r="AM73" t="str">
        <f>VLOOKUP($R73,武学奇术!$A:$ZZ,25,FALSE)</f>
        <v>心法</v>
      </c>
      <c r="AN73" s="24">
        <f>VLOOKUP($R73,武学奇术!$A:$ZZ,26,FALSE)</f>
        <v>0</v>
      </c>
      <c r="AO73" s="25">
        <f>VLOOKUP($R73,武学奇术!$A:$ZZ,27,FALSE)*(1+IF(OR($AM73=$F$4,$AM73=$F$5),$B$22,0))</f>
        <v>0</v>
      </c>
      <c r="AP73" s="24">
        <f>VLOOKUP($R73,武学奇术!$A:$ZZ,28,FALSE)</f>
        <v>0</v>
      </c>
      <c r="AQ73" s="25">
        <f>VLOOKUP($R73,武学奇术!$A:$ZZ,29,FALSE)*(1+IF(OR($AM73=$F$4,$AM73=$F$5),$B$22,0))</f>
        <v>0</v>
      </c>
      <c r="AR73" s="24" cm="1">
        <f t="array" ref="AR73">$G$3+IFERROR(VLOOKUP($AM73,$F$4:$G$7,2,FALSE),0)+VLOOKUP($R73,武学奇术!$A:$ZZ,2,FALSE)+SUM(_xlfn.XLOOKUP($S73:$AL73,增益!$A:$A,增益!$B:$B,0))</f>
        <v>0.3342</v>
      </c>
      <c r="AS73" s="24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4342.95</v>
      </c>
      <c r="AU73" cm="1">
        <f t="array" ref="AU73">$E$10*(1+$AS73)+VLOOKUP($R73,武学奇术!$A:$ZZ,4,FALSE)+SUM(_xlfn.XLOOKUP($S73:$AL73,增益!$A:$A,增益!$D:$D,0))-$I$2</f>
        <v>4342.95</v>
      </c>
      <c r="AV73" s="31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0.2534</v>
      </c>
      <c r="AW73" s="31" cm="1">
        <f t="array" ref="AW73">$G$10+VLOOKUP($R73,武学奇术!$A:$ZZ,7,FALSE)+SUM(_xlfn.XLOOKUP($S73:$AL73,增益!$A:$A,增益!$G:$G,0))</f>
        <v>0</v>
      </c>
      <c r="AX73" s="24" cm="1">
        <f t="array" ref="AX73">VLOOKUP($R73,武学奇术!$A:$ZZ,8,FALSE)+SUM(_xlfn.XLOOKUP($S73:$AL73,增益!$A:$A,增益!$H:$H,0))</f>
        <v>0</v>
      </c>
      <c r="AY73">
        <f t="shared" si="24"/>
        <v>0</v>
      </c>
      <c r="AZ73">
        <f t="shared" si="25"/>
        <v>0</v>
      </c>
      <c r="BA73" s="31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1" cm="1">
        <f t="array" ref="BB73">$G$11+VLOOKUP($R73,武学奇术!$A:$ZZ,10,FALSE)+SUM(_xlfn.XLOOKUP($S73:$AL73,增益!$A:$A,增益!$J:$J,0))</f>
        <v>0</v>
      </c>
      <c r="BC73">
        <f t="shared" si="26"/>
        <v>0</v>
      </c>
      <c r="BD73">
        <f t="shared" si="27"/>
        <v>0</v>
      </c>
      <c r="BE73" s="31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1" cm="1">
        <f t="array" ref="BF73">$G$12+VLOOKUP($R73,武学奇术!$A:$ZZ,12,FALSE)+SUM(_xlfn.XLOOKUP($S73:$AL73,增益!$A:$A,增益!$L:$L,0))</f>
        <v>0</v>
      </c>
      <c r="BG73">
        <f t="shared" si="28"/>
        <v>0</v>
      </c>
      <c r="BH73">
        <f t="shared" si="29"/>
        <v>0</v>
      </c>
      <c r="BI73" s="31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31" cm="1">
        <f t="array" ref="BJ73">$G$13+VLOOKUP($R73,武学奇术!$A:$ZZ,14,FALSE)+SUM(_xlfn.XLOOKUP($S73:$AL73,增益!$A:$A,增益!$N:$N,0))</f>
        <v>0</v>
      </c>
      <c r="BK73">
        <f t="shared" si="30"/>
        <v>649.11</v>
      </c>
      <c r="BL73">
        <f t="shared" si="31"/>
        <v>1812.09</v>
      </c>
      <c r="BM73" s="31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31" cm="1">
        <f t="array" ref="BN73">$G$14+VLOOKUP($R73,武学奇术!$A:$ZZ,16,FALSE)+SUM(_xlfn.XLOOKUP($S73:$AL73,增益!$A:$A,增益!$P:$P,0))</f>
        <v>0.15</v>
      </c>
      <c r="BO73" s="24">
        <f>MIN(IF(VLOOKUP($R73,武学奇术!$A:$ZZ,23,FALSE)=1,100%,$B$8),100%)</f>
        <v>0.9943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0.8985</v>
      </c>
      <c r="BQ73" s="24" cm="1">
        <f t="array" ref="BQ73">1+$B$13+VLOOKUP($R73,武学奇术!$A:$ZZ,18,FALSE)+SUM(_xlfn.XLOOKUP($S73:$AL73,增益!$A:$A,增益!$R:$R,0))</f>
        <v>1.54</v>
      </c>
      <c r="BR73" s="24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4" cm="1">
        <f t="array" ref="BS73">1+$B$14+VLOOKUP($R73,武学奇术!$A:$ZZ,20,FALSE)+SUM(_xlfn.XLOOKUP($S73:$AL73,增益!$A:$A,增益!$T:$T,0))</f>
        <v>1.35</v>
      </c>
      <c r="BT73" s="24">
        <f t="shared" si="32"/>
        <v>0.89337855</v>
      </c>
      <c r="BU73" s="24">
        <f t="shared" si="33"/>
        <v>0.01014186</v>
      </c>
      <c r="BV73" s="24">
        <f>IF(VLOOKUP($R73,武学奇术!$A:$ZZ,22,FALSE)=1,0,(1-$BO73))*(1-$BR73)</f>
        <v>0.00517959000000003</v>
      </c>
      <c r="BW73" s="24" cm="1">
        <f t="array" ref="BW73">SUM(_xlfn.XLOOKUP($S73:$AL73,增益!$A:$A,增益!$W:$W,0))+$I$5</f>
        <v>0.11</v>
      </c>
      <c r="BX73" s="24">
        <f>VLOOKUP($R73,武学奇术!$A:$ZZ,32,FALSE)</f>
        <v>0</v>
      </c>
      <c r="BY73" s="24" cm="1">
        <f t="array" ref="BY73">SUM(_xlfn.XLOOKUP($S73:$AL73,增益!$A:$A,增益!$X:$X,0))</f>
        <v>0.2</v>
      </c>
    </row>
    <row r="74" spans="1:77">
      <c r="A74" t="s">
        <v>191</v>
      </c>
      <c r="B74">
        <v>2.4</v>
      </c>
      <c r="D74" s="38"/>
      <c r="E74" s="38" t="s">
        <v>184</v>
      </c>
      <c r="K74" s="37">
        <f>$L74*VLOOKUP($R74,武学奇术!$A:$ZZ,31,FALSE)</f>
        <v>27889.6355211748</v>
      </c>
      <c r="L74" s="37">
        <f t="shared" ref="L74:L136" si="34">($M74*$BT74+$N74*$BR74+$O74*$BU74+$P74*$BV74)</f>
        <v>27889.6355211748</v>
      </c>
      <c r="M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*(1+$BX74)</f>
        <v>28762.2764145795</v>
      </c>
      <c r="N74" s="37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*(1+$BX74)</f>
        <v>21697.3931653359</v>
      </c>
      <c r="O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*(1+$BX74)</f>
        <v>14453.405233457</v>
      </c>
      <c r="P74" s="37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*(1+$BX74)</f>
        <v>12834.66738148</v>
      </c>
      <c r="Q74" s="38">
        <v>1</v>
      </c>
      <c r="R74" s="39" t="s">
        <v>185</v>
      </c>
      <c r="S74" s="39" t="s">
        <v>104</v>
      </c>
      <c r="T74" s="39" t="s">
        <v>194</v>
      </c>
      <c r="U74" s="39" t="s">
        <v>81</v>
      </c>
      <c r="V74" s="39" t="s">
        <v>130</v>
      </c>
      <c r="W74" s="39" t="s">
        <v>83</v>
      </c>
      <c r="X74" s="39" t="s">
        <v>84</v>
      </c>
      <c r="Y74" s="39" t="s">
        <v>85</v>
      </c>
      <c r="Z74" s="39" t="s">
        <v>84</v>
      </c>
      <c r="AA74" s="39" t="s">
        <v>84</v>
      </c>
      <c r="AB74" s="39" t="s">
        <v>204</v>
      </c>
      <c r="AC74" s="39" t="s">
        <v>92</v>
      </c>
      <c r="AD74" s="39" t="s">
        <v>93</v>
      </c>
      <c r="AE74" s="39" t="s">
        <v>87</v>
      </c>
      <c r="AF74" s="39" t="s">
        <v>88</v>
      </c>
      <c r="AG74" s="39" t="s">
        <v>94</v>
      </c>
      <c r="AH74" s="39" t="s">
        <v>84</v>
      </c>
      <c r="AI74" s="39" t="s">
        <v>84</v>
      </c>
      <c r="AJ74" s="39" t="s">
        <v>84</v>
      </c>
      <c r="AK74" s="39" t="s">
        <v>84</v>
      </c>
      <c r="AL74" s="39" t="s">
        <v>84</v>
      </c>
      <c r="AM74" t="str">
        <f>VLOOKUP($R74,武学奇术!$A:$ZZ,25,FALSE)</f>
        <v>双刀</v>
      </c>
      <c r="AN74" s="24">
        <f>VLOOKUP($R74,武学奇术!$A:$ZZ,26,FALSE)</f>
        <v>0.79044</v>
      </c>
      <c r="AO74" s="25">
        <f>VLOOKUP($R74,武学奇术!$A:$ZZ,27,FALSE)*(1+IF(OR($AM74=$F$4,$AM74=$F$5),$B$22,0))</f>
        <v>351.36</v>
      </c>
      <c r="AP74" s="24">
        <f>VLOOKUP($R74,武学奇术!$A:$ZZ,28,FALSE)</f>
        <v>1.18572</v>
      </c>
      <c r="AQ74" s="25">
        <f>VLOOKUP($R74,武学奇术!$A:$ZZ,29,FALSE)*(1+IF(OR($AM74=$F$4,$AM74=$F$5),$B$22,0))</f>
        <v>192</v>
      </c>
      <c r="AR74" s="24" cm="1">
        <f t="array" ref="AR74">$G$3+IFERROR(VLOOKUP($AM74,$F$4:$G$7,2,FALSE),0)+VLOOKUP($R74,武学奇术!$A:$ZZ,2,FALSE)+SUM(_xlfn.XLOOKUP($S74:$AL74,增益!$A:$A,增益!$B:$B,0))</f>
        <v>0.5543</v>
      </c>
      <c r="AS74" s="24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4342.95</v>
      </c>
      <c r="AU74" cm="1">
        <f t="array" ref="AU74">$E$10*(1+$AS74)+VLOOKUP($R74,武学奇术!$A:$ZZ,4,FALSE)+SUM(_xlfn.XLOOKUP($S74:$AL74,增益!$A:$A,增益!$D:$D,0))-$I$2</f>
        <v>4342.95</v>
      </c>
      <c r="AV74" s="31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0.4284</v>
      </c>
      <c r="AW74" s="31" cm="1">
        <f t="array" ref="AW74">$G$10+VLOOKUP($R74,武学奇术!$A:$ZZ,7,FALSE)+SUM(_xlfn.XLOOKUP($S74:$AL74,增益!$A:$A,增益!$G:$G,0))</f>
        <v>0.11</v>
      </c>
      <c r="AX74" s="24" cm="1">
        <f t="array" ref="AX74">VLOOKUP($R74,武学奇术!$A:$ZZ,8,FALSE)+SUM(_xlfn.XLOOKUP($S74:$AL74,增益!$A:$A,增益!$H:$H,0))</f>
        <v>0</v>
      </c>
      <c r="AY74">
        <f t="shared" si="24"/>
        <v>0</v>
      </c>
      <c r="AZ74">
        <f t="shared" si="25"/>
        <v>0</v>
      </c>
      <c r="BA74" s="31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1" cm="1">
        <f t="array" ref="BB74">$G$11+VLOOKUP($R74,武学奇术!$A:$ZZ,10,FALSE)+SUM(_xlfn.XLOOKUP($S74:$AL74,增益!$A:$A,增益!$J:$J,0))</f>
        <v>0.02</v>
      </c>
      <c r="BC74">
        <f t="shared" si="26"/>
        <v>0</v>
      </c>
      <c r="BD74">
        <f t="shared" si="27"/>
        <v>0</v>
      </c>
      <c r="BE74" s="31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-0.14</v>
      </c>
      <c r="BF74" s="31" cm="1">
        <f t="array" ref="BF74">$G$12+VLOOKUP($R74,武学奇术!$A:$ZZ,12,FALSE)+SUM(_xlfn.XLOOKUP($S74:$AL74,增益!$A:$A,增益!$L:$L,0))</f>
        <v>0.02</v>
      </c>
      <c r="BG74">
        <f t="shared" si="28"/>
        <v>0</v>
      </c>
      <c r="BH74">
        <f t="shared" si="29"/>
        <v>0</v>
      </c>
      <c r="BI74" s="31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1" cm="1">
        <f t="array" ref="BJ74">$G$13+VLOOKUP($R74,武学奇术!$A:$ZZ,14,FALSE)+SUM(_xlfn.XLOOKUP($S74:$AL74,增益!$A:$A,增益!$N:$N,0))</f>
        <v>0.02</v>
      </c>
      <c r="BK74">
        <f t="shared" si="30"/>
        <v>649.11</v>
      </c>
      <c r="BL74">
        <f t="shared" si="31"/>
        <v>1812.09</v>
      </c>
      <c r="BM74" s="31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0.08</v>
      </c>
      <c r="BN74" s="31" cm="1">
        <f t="array" ref="BN74">$G$14+VLOOKUP($R74,武学奇术!$A:$ZZ,16,FALSE)+SUM(_xlfn.XLOOKUP($S74:$AL74,增益!$A:$A,增益!$P:$P,0))</f>
        <v>0.26</v>
      </c>
      <c r="BO74" s="24">
        <f>MIN(IF(VLOOKUP($R74,武学奇术!$A:$ZZ,23,FALSE)=1,100%,$B$8),100%)</f>
        <v>0.9943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0.8985</v>
      </c>
      <c r="BQ74" s="24" cm="1">
        <f t="array" ref="BQ74">1+$B$13+VLOOKUP($R74,武学奇术!$A:$ZZ,18,FALSE)+SUM(_xlfn.XLOOKUP($S74:$AL74,增益!$A:$A,增益!$R:$R,0))</f>
        <v>1.99</v>
      </c>
      <c r="BR74" s="24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4" cm="1">
        <f t="array" ref="BS74">1+$B$14+VLOOKUP($R74,武学奇术!$A:$ZZ,20,FALSE)+SUM(_xlfn.XLOOKUP($S74:$AL74,增益!$A:$A,增益!$T:$T,0))</f>
        <v>1.35</v>
      </c>
      <c r="BT74" s="24">
        <f t="shared" si="32"/>
        <v>0.89337855</v>
      </c>
      <c r="BU74" s="24">
        <f t="shared" si="33"/>
        <v>0.01014186</v>
      </c>
      <c r="BV74" s="24">
        <f>IF(VLOOKUP($R74,武学奇术!$A:$ZZ,22,FALSE)=1,0,(1-$BO74))*(1-$BR74)</f>
        <v>0.00517959000000003</v>
      </c>
      <c r="BW74" s="24" cm="1">
        <f t="array" ref="BW74">SUM(_xlfn.XLOOKUP($S74:$AL74,增益!$A:$A,增益!$W:$W,0))+$I$5</f>
        <v>0.11</v>
      </c>
      <c r="BX74" s="24">
        <f>VLOOKUP($R74,武学奇术!$A:$ZZ,32,FALSE)</f>
        <v>0</v>
      </c>
      <c r="BY74" s="24" cm="1">
        <f t="array" ref="BY74">SUM(_xlfn.XLOOKUP($S74:$AL74,增益!$A:$A,增益!$X:$X,0))</f>
        <v>0</v>
      </c>
    </row>
    <row r="75" spans="1:77">
      <c r="A75" t="s">
        <v>191</v>
      </c>
      <c r="B75">
        <v>2.1</v>
      </c>
      <c r="D75" s="38"/>
      <c r="E75" s="38"/>
      <c r="K75" s="37">
        <f>$L75*VLOOKUP($R75,武学奇术!$A:$ZZ,31,FALSE)</f>
        <v>68520.2600512645</v>
      </c>
      <c r="L75" s="37">
        <f t="shared" si="34"/>
        <v>68520.2600512645</v>
      </c>
      <c r="M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*(1+$BX75)</f>
        <v>70620.2210488617</v>
      </c>
      <c r="N75" s="37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*(1+$BX75)</f>
        <v>53761.2863394995</v>
      </c>
      <c r="O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*(1+$BX75)</f>
        <v>35487.5482657597</v>
      </c>
      <c r="P75" s="37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*(1+$BX75)</f>
        <v>31151.9214652234</v>
      </c>
      <c r="Q75" s="38">
        <v>1</v>
      </c>
      <c r="R75" s="39" t="s">
        <v>78</v>
      </c>
      <c r="S75" s="39" t="s">
        <v>104</v>
      </c>
      <c r="T75" s="39" t="s">
        <v>194</v>
      </c>
      <c r="U75" s="39" t="s">
        <v>81</v>
      </c>
      <c r="V75" s="39" t="s">
        <v>130</v>
      </c>
      <c r="W75" s="39" t="s">
        <v>83</v>
      </c>
      <c r="X75" s="39" t="s">
        <v>84</v>
      </c>
      <c r="Y75" s="39" t="s">
        <v>85</v>
      </c>
      <c r="Z75" s="39" t="s">
        <v>84</v>
      </c>
      <c r="AA75" s="39" t="s">
        <v>84</v>
      </c>
      <c r="AB75" s="39" t="s">
        <v>204</v>
      </c>
      <c r="AC75" s="39" t="s">
        <v>92</v>
      </c>
      <c r="AD75" s="39" t="s">
        <v>93</v>
      </c>
      <c r="AE75" s="39" t="s">
        <v>87</v>
      </c>
      <c r="AF75" s="39" t="s">
        <v>88</v>
      </c>
      <c r="AG75" s="39" t="s">
        <v>94</v>
      </c>
      <c r="AH75" s="39" t="s">
        <v>84</v>
      </c>
      <c r="AI75" s="39" t="s">
        <v>84</v>
      </c>
      <c r="AJ75" s="39" t="s">
        <v>84</v>
      </c>
      <c r="AK75" s="39" t="s">
        <v>84</v>
      </c>
      <c r="AL75" s="39" t="s">
        <v>84</v>
      </c>
      <c r="AM75" t="str">
        <f>VLOOKUP($R75,武学奇术!$A:$ZZ,25,FALSE)</f>
        <v>群体奇术</v>
      </c>
      <c r="AN75" s="24">
        <f>VLOOKUP($R75,武学奇术!$A:$ZZ,26,FALSE)</f>
        <v>2.3774</v>
      </c>
      <c r="AO75" s="25">
        <f>VLOOKUP($R75,武学奇术!$A:$ZZ,27,FALSE)*(1+IF(OR($AM75=$F$4,$AM75=$F$5),$B$22,0))</f>
        <v>476</v>
      </c>
      <c r="AP75" s="24">
        <f>VLOOKUP($R75,武学奇术!$A:$ZZ,28,FALSE)</f>
        <v>3.5661</v>
      </c>
      <c r="AQ75" s="25">
        <f>VLOOKUP($R75,武学奇术!$A:$ZZ,29,FALSE)*(1+IF(OR($AM75=$F$4,$AM75=$F$5),$B$22,0))</f>
        <v>0</v>
      </c>
      <c r="AR75" s="24" cm="1">
        <f t="array" ref="AR75">$G$3+IFERROR(VLOOKUP($AM75,$F$4:$G$7,2,FALSE),0)+VLOOKUP($R75,武学奇术!$A:$ZZ,2,FALSE)+SUM(_xlfn.XLOOKUP($S75:$AL75,增益!$A:$A,增益!$B:$B,0))</f>
        <v>0.3842</v>
      </c>
      <c r="AS75" s="24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4342.95</v>
      </c>
      <c r="AU75" cm="1">
        <f t="array" ref="AU75">$E$10*(1+$AS75)+VLOOKUP($R75,武学奇术!$A:$ZZ,4,FALSE)+SUM(_xlfn.XLOOKUP($S75:$AL75,增益!$A:$A,增益!$D:$D,0))-$I$2</f>
        <v>4342.95</v>
      </c>
      <c r="AV75" s="31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0.4284</v>
      </c>
      <c r="AW75" s="31" cm="1">
        <f t="array" ref="AW75">$G$10+VLOOKUP($R75,武学奇术!$A:$ZZ,7,FALSE)+SUM(_xlfn.XLOOKUP($S75:$AL75,增益!$A:$A,增益!$G:$G,0))</f>
        <v>0.11</v>
      </c>
      <c r="AX75" s="24" cm="1">
        <f t="array" ref="AX75">VLOOKUP($R75,武学奇术!$A:$ZZ,8,FALSE)+SUM(_xlfn.XLOOKUP($S75:$AL75,增益!$A:$A,增益!$H:$H,0))</f>
        <v>0</v>
      </c>
      <c r="AY75">
        <f t="shared" si="24"/>
        <v>0</v>
      </c>
      <c r="AZ75">
        <f t="shared" si="25"/>
        <v>0</v>
      </c>
      <c r="BA75" s="31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1" cm="1">
        <f t="array" ref="BB75">$G$11+VLOOKUP($R75,武学奇术!$A:$ZZ,10,FALSE)+SUM(_xlfn.XLOOKUP($S75:$AL75,增益!$A:$A,增益!$J:$J,0))</f>
        <v>0.02</v>
      </c>
      <c r="BC75">
        <f t="shared" si="26"/>
        <v>0</v>
      </c>
      <c r="BD75">
        <f t="shared" si="27"/>
        <v>0</v>
      </c>
      <c r="BE75" s="31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-0.14</v>
      </c>
      <c r="BF75" s="31" cm="1">
        <f t="array" ref="BF75">$G$12+VLOOKUP($R75,武学奇术!$A:$ZZ,12,FALSE)+SUM(_xlfn.XLOOKUP($S75:$AL75,增益!$A:$A,增益!$L:$L,0))</f>
        <v>0.02</v>
      </c>
      <c r="BG75">
        <f t="shared" si="28"/>
        <v>0</v>
      </c>
      <c r="BH75">
        <f t="shared" si="29"/>
        <v>0</v>
      </c>
      <c r="BI75" s="31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1" cm="1">
        <f t="array" ref="BJ75">$G$13+VLOOKUP($R75,武学奇术!$A:$ZZ,14,FALSE)+SUM(_xlfn.XLOOKUP($S75:$AL75,增益!$A:$A,增益!$N:$N,0))</f>
        <v>0.02</v>
      </c>
      <c r="BK75">
        <f t="shared" si="30"/>
        <v>649.11</v>
      </c>
      <c r="BL75">
        <f t="shared" si="31"/>
        <v>1812.09</v>
      </c>
      <c r="BM75" s="31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0.08</v>
      </c>
      <c r="BN75" s="31" cm="1">
        <f t="array" ref="BN75">$G$14+VLOOKUP($R75,武学奇术!$A:$ZZ,16,FALSE)+SUM(_xlfn.XLOOKUP($S75:$AL75,增益!$A:$A,增益!$P:$P,0))</f>
        <v>0.26</v>
      </c>
      <c r="BO75" s="24">
        <f>MIN(IF(VLOOKUP($R75,武学奇术!$A:$ZZ,23,FALSE)=1,100%,$B$8),100%)</f>
        <v>0.9943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0.8985</v>
      </c>
      <c r="BQ75" s="24" cm="1">
        <f t="array" ref="BQ75">1+$B$13+VLOOKUP($R75,武学奇术!$A:$ZZ,18,FALSE)+SUM(_xlfn.XLOOKUP($S75:$AL75,增益!$A:$A,增益!$R:$R,0))</f>
        <v>1.99</v>
      </c>
      <c r="BR75" s="24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4" cm="1">
        <f t="array" ref="BS75">1+$B$14+VLOOKUP($R75,武学奇术!$A:$ZZ,20,FALSE)+SUM(_xlfn.XLOOKUP($S75:$AL75,增益!$A:$A,增益!$T:$T,0))</f>
        <v>1.35</v>
      </c>
      <c r="BT75" s="24">
        <f t="shared" si="32"/>
        <v>0.89337855</v>
      </c>
      <c r="BU75" s="24">
        <f t="shared" si="33"/>
        <v>0.01014186</v>
      </c>
      <c r="BV75" s="24">
        <f>IF(VLOOKUP($R75,武学奇术!$A:$ZZ,22,FALSE)=1,0,(1-$BO75))*(1-$BR75)</f>
        <v>0.00517959000000003</v>
      </c>
      <c r="BW75" s="24" cm="1">
        <f t="array" ref="BW75">SUM(_xlfn.XLOOKUP($S75:$AL75,增益!$A:$A,增益!$W:$W,0))+$I$5</f>
        <v>0.11</v>
      </c>
      <c r="BX75" s="24">
        <f>VLOOKUP($R75,武学奇术!$A:$ZZ,32,FALSE)</f>
        <v>0</v>
      </c>
      <c r="BY75" s="24" cm="1">
        <f t="array" ref="BY75">SUM(_xlfn.XLOOKUP($S75:$AL75,增益!$A:$A,增益!$X:$X,0))</f>
        <v>0</v>
      </c>
    </row>
    <row r="76" spans="1:77">
      <c r="A76" t="s">
        <v>191</v>
      </c>
      <c r="B76">
        <v>1.83</v>
      </c>
      <c r="D76" s="38"/>
      <c r="E76" s="38"/>
      <c r="K76" s="37">
        <f>$L76*VLOOKUP($R76,武学奇术!$A:$ZZ,31,FALSE)</f>
        <v>68520.2600512645</v>
      </c>
      <c r="L76" s="37">
        <f t="shared" si="34"/>
        <v>68520.2600512645</v>
      </c>
      <c r="M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*(1+$BX76)</f>
        <v>70620.2210488617</v>
      </c>
      <c r="N76" s="37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*(1+$BX76)</f>
        <v>53761.2863394995</v>
      </c>
      <c r="O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*(1+$BX76)</f>
        <v>35487.5482657597</v>
      </c>
      <c r="P76" s="37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*(1+$BX76)</f>
        <v>31151.9214652234</v>
      </c>
      <c r="Q76" s="38">
        <v>1</v>
      </c>
      <c r="R76" s="39" t="s">
        <v>78</v>
      </c>
      <c r="S76" s="39" t="s">
        <v>104</v>
      </c>
      <c r="T76" s="39" t="s">
        <v>194</v>
      </c>
      <c r="U76" s="39" t="s">
        <v>81</v>
      </c>
      <c r="V76" s="39" t="s">
        <v>130</v>
      </c>
      <c r="W76" s="39" t="s">
        <v>83</v>
      </c>
      <c r="X76" s="39" t="s">
        <v>84</v>
      </c>
      <c r="Y76" s="39" t="s">
        <v>85</v>
      </c>
      <c r="Z76" s="39" t="s">
        <v>84</v>
      </c>
      <c r="AA76" s="39" t="s">
        <v>84</v>
      </c>
      <c r="AB76" s="39" t="s">
        <v>204</v>
      </c>
      <c r="AC76" s="39" t="s">
        <v>92</v>
      </c>
      <c r="AD76" s="39" t="s">
        <v>93</v>
      </c>
      <c r="AE76" s="39" t="s">
        <v>87</v>
      </c>
      <c r="AF76" s="39" t="s">
        <v>88</v>
      </c>
      <c r="AG76" s="39" t="s">
        <v>94</v>
      </c>
      <c r="AH76" s="39" t="s">
        <v>84</v>
      </c>
      <c r="AI76" s="39" t="s">
        <v>84</v>
      </c>
      <c r="AJ76" s="39" t="s">
        <v>84</v>
      </c>
      <c r="AK76" s="39" t="s">
        <v>84</v>
      </c>
      <c r="AL76" s="39" t="s">
        <v>84</v>
      </c>
      <c r="AM76" t="str">
        <f>VLOOKUP($R76,武学奇术!$A:$ZZ,25,FALSE)</f>
        <v>群体奇术</v>
      </c>
      <c r="AN76" s="24">
        <f>VLOOKUP($R76,武学奇术!$A:$ZZ,26,FALSE)</f>
        <v>2.3774</v>
      </c>
      <c r="AO76" s="25">
        <f>VLOOKUP($R76,武学奇术!$A:$ZZ,27,FALSE)*(1+IF(OR($AM76=$F$4,$AM76=$F$5),$B$22,0))</f>
        <v>476</v>
      </c>
      <c r="AP76" s="24">
        <f>VLOOKUP($R76,武学奇术!$A:$ZZ,28,FALSE)</f>
        <v>3.5661</v>
      </c>
      <c r="AQ76" s="25">
        <f>VLOOKUP($R76,武学奇术!$A:$ZZ,29,FALSE)*(1+IF(OR($AM76=$F$4,$AM76=$F$5),$B$22,0))</f>
        <v>0</v>
      </c>
      <c r="AR76" s="24" cm="1">
        <f t="array" ref="AR76">$G$3+IFERROR(VLOOKUP($AM76,$F$4:$G$7,2,FALSE),0)+VLOOKUP($R76,武学奇术!$A:$ZZ,2,FALSE)+SUM(_xlfn.XLOOKUP($S76:$AL76,增益!$A:$A,增益!$B:$B,0))</f>
        <v>0.3842</v>
      </c>
      <c r="AS76" s="24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4342.95</v>
      </c>
      <c r="AU76" cm="1">
        <f t="array" ref="AU76">$E$10*(1+$AS76)+VLOOKUP($R76,武学奇术!$A:$ZZ,4,FALSE)+SUM(_xlfn.XLOOKUP($S76:$AL76,增益!$A:$A,增益!$D:$D,0))-$I$2</f>
        <v>4342.95</v>
      </c>
      <c r="AV76" s="31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0.4284</v>
      </c>
      <c r="AW76" s="31" cm="1">
        <f t="array" ref="AW76">$G$10+VLOOKUP($R76,武学奇术!$A:$ZZ,7,FALSE)+SUM(_xlfn.XLOOKUP($S76:$AL76,增益!$A:$A,增益!$G:$G,0))</f>
        <v>0.11</v>
      </c>
      <c r="AX76" s="24" cm="1">
        <f t="array" ref="AX76">VLOOKUP($R76,武学奇术!$A:$ZZ,8,FALSE)+SUM(_xlfn.XLOOKUP($S76:$AL76,增益!$A:$A,增益!$H:$H,0))</f>
        <v>0</v>
      </c>
      <c r="AY76">
        <f t="shared" si="24"/>
        <v>0</v>
      </c>
      <c r="AZ76">
        <f t="shared" si="25"/>
        <v>0</v>
      </c>
      <c r="BA76" s="31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1" cm="1">
        <f t="array" ref="BB76">$G$11+VLOOKUP($R76,武学奇术!$A:$ZZ,10,FALSE)+SUM(_xlfn.XLOOKUP($S76:$AL76,增益!$A:$A,增益!$J:$J,0))</f>
        <v>0.02</v>
      </c>
      <c r="BC76">
        <f t="shared" si="26"/>
        <v>0</v>
      </c>
      <c r="BD76">
        <f t="shared" si="27"/>
        <v>0</v>
      </c>
      <c r="BE76" s="31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-0.14</v>
      </c>
      <c r="BF76" s="31" cm="1">
        <f t="array" ref="BF76">$G$12+VLOOKUP($R76,武学奇术!$A:$ZZ,12,FALSE)+SUM(_xlfn.XLOOKUP($S76:$AL76,增益!$A:$A,增益!$L:$L,0))</f>
        <v>0.02</v>
      </c>
      <c r="BG76">
        <f t="shared" si="28"/>
        <v>0</v>
      </c>
      <c r="BH76">
        <f t="shared" si="29"/>
        <v>0</v>
      </c>
      <c r="BI76" s="31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-0.14</v>
      </c>
      <c r="BJ76" s="31" cm="1">
        <f t="array" ref="BJ76">$G$13+VLOOKUP($R76,武学奇术!$A:$ZZ,14,FALSE)+SUM(_xlfn.XLOOKUP($S76:$AL76,增益!$A:$A,增益!$N:$N,0))</f>
        <v>0.02</v>
      </c>
      <c r="BK76">
        <f t="shared" si="30"/>
        <v>649.11</v>
      </c>
      <c r="BL76">
        <f t="shared" si="31"/>
        <v>1812.09</v>
      </c>
      <c r="BM76" s="31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0.08</v>
      </c>
      <c r="BN76" s="31" cm="1">
        <f t="array" ref="BN76">$G$14+VLOOKUP($R76,武学奇术!$A:$ZZ,16,FALSE)+SUM(_xlfn.XLOOKUP($S76:$AL76,增益!$A:$A,增益!$P:$P,0))</f>
        <v>0.26</v>
      </c>
      <c r="BO76" s="24">
        <f>MIN(IF(VLOOKUP($R76,武学奇术!$A:$ZZ,23,FALSE)=1,100%,$B$8),100%)</f>
        <v>0.9943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0.8985</v>
      </c>
      <c r="BQ76" s="24" cm="1">
        <f t="array" ref="BQ76">1+$B$13+VLOOKUP($R76,武学奇术!$A:$ZZ,18,FALSE)+SUM(_xlfn.XLOOKUP($S76:$AL76,增益!$A:$A,增益!$R:$R,0))</f>
        <v>1.99</v>
      </c>
      <c r="BR76" s="24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4" cm="1">
        <f t="array" ref="BS76">1+$B$14+VLOOKUP($R76,武学奇术!$A:$ZZ,20,FALSE)+SUM(_xlfn.XLOOKUP($S76:$AL76,增益!$A:$A,增益!$T:$T,0))</f>
        <v>1.35</v>
      </c>
      <c r="BT76" s="24">
        <f t="shared" si="32"/>
        <v>0.89337855</v>
      </c>
      <c r="BU76" s="24">
        <f t="shared" si="33"/>
        <v>0.01014186</v>
      </c>
      <c r="BV76" s="24">
        <f>IF(VLOOKUP($R76,武学奇术!$A:$ZZ,22,FALSE)=1,0,(1-$BO76))*(1-$BR76)</f>
        <v>0.00517959000000003</v>
      </c>
      <c r="BW76" s="24" cm="1">
        <f t="array" ref="BW76">SUM(_xlfn.XLOOKUP($S76:$AL76,增益!$A:$A,增益!$W:$W,0))+$I$5</f>
        <v>0.11</v>
      </c>
      <c r="BX76" s="24">
        <f>VLOOKUP($R76,武学奇术!$A:$ZZ,32,FALSE)</f>
        <v>0</v>
      </c>
      <c r="BY76" s="24" cm="1">
        <f t="array" ref="BY76">SUM(_xlfn.XLOOKUP($S76:$AL76,增益!$A:$A,增益!$X:$X,0))</f>
        <v>0</v>
      </c>
    </row>
    <row r="77" spans="1:77">
      <c r="A77" t="s">
        <v>174</v>
      </c>
      <c r="B77">
        <v>1.1</v>
      </c>
      <c r="D77" s="38"/>
      <c r="K77" s="37">
        <f>$L77*VLOOKUP($R77,武学奇术!$A:$ZZ,31,FALSE)</f>
        <v>80866.2528532942</v>
      </c>
      <c r="L77" s="37">
        <f t="shared" si="34"/>
        <v>80866.2528532942</v>
      </c>
      <c r="M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*(1+$BX77)</f>
        <v>83344.5852018098</v>
      </c>
      <c r="N77" s="37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*(1+$BX77)</f>
        <v>63448.0045988688</v>
      </c>
      <c r="O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*(1+$BX77)</f>
        <v>41881.7011064371</v>
      </c>
      <c r="P77" s="37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*(1+$BX77)</f>
        <v>36764.8802877862</v>
      </c>
      <c r="Q77" s="38">
        <v>1</v>
      </c>
      <c r="R77" s="39" t="s">
        <v>78</v>
      </c>
      <c r="S77" s="39" t="s">
        <v>104</v>
      </c>
      <c r="T77" s="39" t="s">
        <v>194</v>
      </c>
      <c r="U77" s="39" t="s">
        <v>81</v>
      </c>
      <c r="V77" s="39" t="s">
        <v>130</v>
      </c>
      <c r="W77" s="39" t="s">
        <v>83</v>
      </c>
      <c r="X77" s="39" t="s">
        <v>84</v>
      </c>
      <c r="Y77" s="39" t="s">
        <v>85</v>
      </c>
      <c r="Z77" s="39" t="s">
        <v>195</v>
      </c>
      <c r="AA77" s="39" t="s">
        <v>196</v>
      </c>
      <c r="AB77" s="39" t="s">
        <v>204</v>
      </c>
      <c r="AC77" s="39" t="s">
        <v>92</v>
      </c>
      <c r="AD77" s="39" t="s">
        <v>93</v>
      </c>
      <c r="AE77" s="39" t="s">
        <v>87</v>
      </c>
      <c r="AF77" s="39" t="s">
        <v>88</v>
      </c>
      <c r="AG77" s="39" t="s">
        <v>94</v>
      </c>
      <c r="AH77" s="39" t="s">
        <v>84</v>
      </c>
      <c r="AI77" s="39" t="s">
        <v>84</v>
      </c>
      <c r="AJ77" s="39" t="s">
        <v>84</v>
      </c>
      <c r="AK77" s="39" t="s">
        <v>84</v>
      </c>
      <c r="AL77" s="39" t="s">
        <v>84</v>
      </c>
      <c r="AM77" t="str">
        <f>VLOOKUP($R77,武学奇术!$A:$ZZ,25,FALSE)</f>
        <v>群体奇术</v>
      </c>
      <c r="AN77" s="24">
        <f>VLOOKUP($R77,武学奇术!$A:$ZZ,26,FALSE)</f>
        <v>2.3774</v>
      </c>
      <c r="AO77" s="25">
        <f>VLOOKUP($R77,武学奇术!$A:$ZZ,27,FALSE)*(1+IF(OR($AM77=$F$4,$AM77=$F$5),$B$22,0))</f>
        <v>476</v>
      </c>
      <c r="AP77" s="24">
        <f>VLOOKUP($R77,武学奇术!$A:$ZZ,28,FALSE)</f>
        <v>3.5661</v>
      </c>
      <c r="AQ77" s="25">
        <f>VLOOKUP($R77,武学奇术!$A:$ZZ,29,FALSE)*(1+IF(OR($AM77=$F$4,$AM77=$F$5),$B$22,0))</f>
        <v>0</v>
      </c>
      <c r="AR77" s="24" cm="1">
        <f t="array" ref="AR77">$G$3+IFERROR(VLOOKUP($AM77,$F$4:$G$7,2,FALSE),0)+VLOOKUP($R77,武学奇术!$A:$ZZ,2,FALSE)+SUM(_xlfn.XLOOKUP($S77:$AL77,增益!$A:$A,增益!$B:$B,0))</f>
        <v>0.3842</v>
      </c>
      <c r="AS77" s="24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4342.95</v>
      </c>
      <c r="AU77" cm="1">
        <f t="array" ref="AU77">$E$10*(1+$AS77)+VLOOKUP($R77,武学奇术!$A:$ZZ,4,FALSE)+SUM(_xlfn.XLOOKUP($S77:$AL77,增益!$A:$A,增益!$D:$D,0))-$I$2</f>
        <v>4342.95</v>
      </c>
      <c r="AV77" s="31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0.4284</v>
      </c>
      <c r="AW77" s="31" cm="1">
        <f t="array" ref="AW77">$G$10+VLOOKUP($R77,武学奇术!$A:$ZZ,7,FALSE)+SUM(_xlfn.XLOOKUP($S77:$AL77,增益!$A:$A,增益!$G:$G,0))</f>
        <v>0.11</v>
      </c>
      <c r="AX77" s="24" cm="1">
        <f t="array" ref="AX77">VLOOKUP($R77,武学奇术!$A:$ZZ,8,FALSE)+SUM(_xlfn.XLOOKUP($S77:$AL77,增益!$A:$A,增益!$H:$H,0))</f>
        <v>0</v>
      </c>
      <c r="AY77">
        <f t="shared" si="24"/>
        <v>0</v>
      </c>
      <c r="AZ77">
        <f t="shared" si="25"/>
        <v>0</v>
      </c>
      <c r="BA77" s="31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-0.14</v>
      </c>
      <c r="BB77" s="31" cm="1">
        <f t="array" ref="BB77">$G$11+VLOOKUP($R77,武学奇术!$A:$ZZ,10,FALSE)+SUM(_xlfn.XLOOKUP($S77:$AL77,增益!$A:$A,增益!$J:$J,0))</f>
        <v>0.12</v>
      </c>
      <c r="BC77">
        <f t="shared" si="26"/>
        <v>0</v>
      </c>
      <c r="BD77">
        <f t="shared" si="27"/>
        <v>0</v>
      </c>
      <c r="BE77" s="31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-0.14</v>
      </c>
      <c r="BF77" s="31" cm="1">
        <f t="array" ref="BF77">$G$12+VLOOKUP($R77,武学奇术!$A:$ZZ,12,FALSE)+SUM(_xlfn.XLOOKUP($S77:$AL77,增益!$A:$A,增益!$L:$L,0))</f>
        <v>0.02</v>
      </c>
      <c r="BG77">
        <f t="shared" si="28"/>
        <v>0</v>
      </c>
      <c r="BH77">
        <f t="shared" si="29"/>
        <v>0</v>
      </c>
      <c r="BI77" s="31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-0.14</v>
      </c>
      <c r="BJ77" s="31" cm="1">
        <f t="array" ref="BJ77">$G$13+VLOOKUP($R77,武学奇术!$A:$ZZ,14,FALSE)+SUM(_xlfn.XLOOKUP($S77:$AL77,增益!$A:$A,增益!$N:$N,0))</f>
        <v>0.02</v>
      </c>
      <c r="BK77">
        <f t="shared" si="30"/>
        <v>649.11</v>
      </c>
      <c r="BL77">
        <f t="shared" si="31"/>
        <v>1812.09</v>
      </c>
      <c r="BM77" s="31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0.08</v>
      </c>
      <c r="BN77" s="31" cm="1">
        <f t="array" ref="BN77">$G$14+VLOOKUP($R77,武学奇术!$A:$ZZ,16,FALSE)+SUM(_xlfn.XLOOKUP($S77:$AL77,增益!$A:$A,增益!$P:$P,0))</f>
        <v>0.26</v>
      </c>
      <c r="BO77" s="24">
        <f>MIN(IF(VLOOKUP($R77,武学奇术!$A:$ZZ,23,FALSE)=1,100%,$B$8),100%)</f>
        <v>0.9943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0.8985</v>
      </c>
      <c r="BQ77" s="24" cm="1">
        <f t="array" ref="BQ77">1+$B$13+VLOOKUP($R77,武学奇术!$A:$ZZ,18,FALSE)+SUM(_xlfn.XLOOKUP($S77:$AL77,增益!$A:$A,增益!$R:$R,0))</f>
        <v>1.99</v>
      </c>
      <c r="BR77" s="24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4" cm="1">
        <f t="array" ref="BS77">1+$B$14+VLOOKUP($R77,武学奇术!$A:$ZZ,20,FALSE)+SUM(_xlfn.XLOOKUP($S77:$AL77,增益!$A:$A,增益!$T:$T,0))</f>
        <v>1.35</v>
      </c>
      <c r="BT77" s="24">
        <f t="shared" si="32"/>
        <v>0.89337855</v>
      </c>
      <c r="BU77" s="24">
        <f t="shared" si="33"/>
        <v>0.01014186</v>
      </c>
      <c r="BV77" s="24">
        <f>IF(VLOOKUP($R77,武学奇术!$A:$ZZ,22,FALSE)=1,0,(1-$BO77))*(1-$BR77)</f>
        <v>0.00517959000000003</v>
      </c>
      <c r="BW77" s="24" cm="1">
        <f t="array" ref="BW77">SUM(_xlfn.XLOOKUP($S77:$AL77,增益!$A:$A,增益!$W:$W,0))+$I$5</f>
        <v>0.31</v>
      </c>
      <c r="BX77" s="24">
        <f>VLOOKUP($R77,武学奇术!$A:$ZZ,32,FALSE)</f>
        <v>0</v>
      </c>
      <c r="BY77" s="24" cm="1">
        <f t="array" ref="BY77">SUM(_xlfn.XLOOKUP($S77:$AL77,增益!$A:$A,增益!$X:$X,0))</f>
        <v>0</v>
      </c>
    </row>
    <row r="78" spans="1:77">
      <c r="A78" t="s">
        <v>202</v>
      </c>
      <c r="B78">
        <v>0.7</v>
      </c>
      <c r="D78" s="38"/>
      <c r="K78" s="37">
        <f>$L78*VLOOKUP($R78,武学奇术!$A:$ZZ,31,FALSE)</f>
        <v>80866.2528532942</v>
      </c>
      <c r="L78" s="37">
        <f t="shared" si="34"/>
        <v>80866.2528532942</v>
      </c>
      <c r="M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*(1+$BX78)</f>
        <v>83344.5852018098</v>
      </c>
      <c r="N78" s="37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*(1+$BX78)</f>
        <v>63448.0045988688</v>
      </c>
      <c r="O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*(1+$BX78)</f>
        <v>41881.7011064371</v>
      </c>
      <c r="P78" s="37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*(1+$BX78)</f>
        <v>36764.8802877862</v>
      </c>
      <c r="Q78" s="38">
        <v>1</v>
      </c>
      <c r="R78" s="39" t="s">
        <v>78</v>
      </c>
      <c r="S78" s="39" t="s">
        <v>104</v>
      </c>
      <c r="T78" s="39" t="s">
        <v>194</v>
      </c>
      <c r="U78" s="39" t="s">
        <v>81</v>
      </c>
      <c r="V78" s="39" t="s">
        <v>130</v>
      </c>
      <c r="W78" s="39" t="s">
        <v>83</v>
      </c>
      <c r="X78" s="39" t="s">
        <v>84</v>
      </c>
      <c r="Y78" s="39" t="s">
        <v>85</v>
      </c>
      <c r="Z78" s="39" t="s">
        <v>195</v>
      </c>
      <c r="AA78" s="39" t="s">
        <v>196</v>
      </c>
      <c r="AB78" s="39" t="s">
        <v>204</v>
      </c>
      <c r="AC78" s="39" t="s">
        <v>92</v>
      </c>
      <c r="AD78" s="39" t="s">
        <v>93</v>
      </c>
      <c r="AE78" s="39" t="s">
        <v>87</v>
      </c>
      <c r="AF78" s="39" t="s">
        <v>88</v>
      </c>
      <c r="AG78" s="39" t="s">
        <v>94</v>
      </c>
      <c r="AH78" s="39" t="s">
        <v>84</v>
      </c>
      <c r="AI78" s="39" t="s">
        <v>84</v>
      </c>
      <c r="AJ78" s="39" t="s">
        <v>84</v>
      </c>
      <c r="AK78" s="39" t="s">
        <v>84</v>
      </c>
      <c r="AL78" s="39" t="s">
        <v>84</v>
      </c>
      <c r="AM78" t="str">
        <f>VLOOKUP($R78,武学奇术!$A:$ZZ,25,FALSE)</f>
        <v>群体奇术</v>
      </c>
      <c r="AN78" s="24">
        <f>VLOOKUP($R78,武学奇术!$A:$ZZ,26,FALSE)</f>
        <v>2.3774</v>
      </c>
      <c r="AO78" s="25">
        <f>VLOOKUP($R78,武学奇术!$A:$ZZ,27,FALSE)*(1+IF(OR($AM78=$F$4,$AM78=$F$5),$B$22,0))</f>
        <v>476</v>
      </c>
      <c r="AP78" s="24">
        <f>VLOOKUP($R78,武学奇术!$A:$ZZ,28,FALSE)</f>
        <v>3.5661</v>
      </c>
      <c r="AQ78" s="25">
        <f>VLOOKUP($R78,武学奇术!$A:$ZZ,29,FALSE)*(1+IF(OR($AM78=$F$4,$AM78=$F$5),$B$22,0))</f>
        <v>0</v>
      </c>
      <c r="AR78" s="24" cm="1">
        <f t="array" ref="AR78">$G$3+IFERROR(VLOOKUP($AM78,$F$4:$G$7,2,FALSE),0)+VLOOKUP($R78,武学奇术!$A:$ZZ,2,FALSE)+SUM(_xlfn.XLOOKUP($S78:$AL78,增益!$A:$A,增益!$B:$B,0))</f>
        <v>0.3842</v>
      </c>
      <c r="AS78" s="24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4342.95</v>
      </c>
      <c r="AU78" cm="1">
        <f t="array" ref="AU78">$E$10*(1+$AS78)+VLOOKUP($R78,武学奇术!$A:$ZZ,4,FALSE)+SUM(_xlfn.XLOOKUP($S78:$AL78,增益!$A:$A,增益!$D:$D,0))-$I$2</f>
        <v>4342.95</v>
      </c>
      <c r="AV78" s="31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0.4284</v>
      </c>
      <c r="AW78" s="31" cm="1">
        <f t="array" ref="AW78">$G$10+VLOOKUP($R78,武学奇术!$A:$ZZ,7,FALSE)+SUM(_xlfn.XLOOKUP($S78:$AL78,增益!$A:$A,增益!$G:$G,0))</f>
        <v>0.11</v>
      </c>
      <c r="AX78" s="24" cm="1">
        <f t="array" ref="AX78">VLOOKUP($R78,武学奇术!$A:$ZZ,8,FALSE)+SUM(_xlfn.XLOOKUP($S78:$AL78,增益!$A:$A,增益!$H:$H,0))</f>
        <v>0</v>
      </c>
      <c r="AY78">
        <f t="shared" si="24"/>
        <v>0</v>
      </c>
      <c r="AZ78">
        <f t="shared" si="25"/>
        <v>0</v>
      </c>
      <c r="BA78" s="31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-0.14</v>
      </c>
      <c r="BB78" s="31" cm="1">
        <f t="array" ref="BB78">$G$11+VLOOKUP($R78,武学奇术!$A:$ZZ,10,FALSE)+SUM(_xlfn.XLOOKUP($S78:$AL78,增益!$A:$A,增益!$J:$J,0))</f>
        <v>0.12</v>
      </c>
      <c r="BC78">
        <f t="shared" si="26"/>
        <v>0</v>
      </c>
      <c r="BD78">
        <f t="shared" si="27"/>
        <v>0</v>
      </c>
      <c r="BE78" s="31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-0.14</v>
      </c>
      <c r="BF78" s="31" cm="1">
        <f t="array" ref="BF78">$G$12+VLOOKUP($R78,武学奇术!$A:$ZZ,12,FALSE)+SUM(_xlfn.XLOOKUP($S78:$AL78,增益!$A:$A,增益!$L:$L,0))</f>
        <v>0.02</v>
      </c>
      <c r="BG78">
        <f t="shared" si="28"/>
        <v>0</v>
      </c>
      <c r="BH78">
        <f t="shared" si="29"/>
        <v>0</v>
      </c>
      <c r="BI78" s="31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-0.14</v>
      </c>
      <c r="BJ78" s="31" cm="1">
        <f t="array" ref="BJ78">$G$13+VLOOKUP($R78,武学奇术!$A:$ZZ,14,FALSE)+SUM(_xlfn.XLOOKUP($S78:$AL78,增益!$A:$A,增益!$N:$N,0))</f>
        <v>0.02</v>
      </c>
      <c r="BK78">
        <f t="shared" si="30"/>
        <v>649.11</v>
      </c>
      <c r="BL78">
        <f t="shared" si="31"/>
        <v>1812.09</v>
      </c>
      <c r="BM78" s="31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0.08</v>
      </c>
      <c r="BN78" s="31" cm="1">
        <f t="array" ref="BN78">$G$14+VLOOKUP($R78,武学奇术!$A:$ZZ,16,FALSE)+SUM(_xlfn.XLOOKUP($S78:$AL78,增益!$A:$A,增益!$P:$P,0))</f>
        <v>0.26</v>
      </c>
      <c r="BO78" s="24">
        <f>MIN(IF(VLOOKUP($R78,武学奇术!$A:$ZZ,23,FALSE)=1,100%,$B$8),100%)</f>
        <v>0.9943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0.8985</v>
      </c>
      <c r="BQ78" s="24" cm="1">
        <f t="array" ref="BQ78">1+$B$13+VLOOKUP($R78,武学奇术!$A:$ZZ,18,FALSE)+SUM(_xlfn.XLOOKUP($S78:$AL78,增益!$A:$A,增益!$R:$R,0))</f>
        <v>1.99</v>
      </c>
      <c r="BR78" s="24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4" cm="1">
        <f t="array" ref="BS78">1+$B$14+VLOOKUP($R78,武学奇术!$A:$ZZ,20,FALSE)+SUM(_xlfn.XLOOKUP($S78:$AL78,增益!$A:$A,增益!$T:$T,0))</f>
        <v>1.35</v>
      </c>
      <c r="BT78" s="24">
        <f t="shared" si="32"/>
        <v>0.89337855</v>
      </c>
      <c r="BU78" s="24">
        <f t="shared" si="33"/>
        <v>0.01014186</v>
      </c>
      <c r="BV78" s="24">
        <f>IF(VLOOKUP($R78,武学奇术!$A:$ZZ,22,FALSE)=1,0,(1-$BO78))*(1-$BR78)</f>
        <v>0.00517959000000003</v>
      </c>
      <c r="BW78" s="24" cm="1">
        <f t="array" ref="BW78">SUM(_xlfn.XLOOKUP($S78:$AL78,增益!$A:$A,增益!$W:$W,0))+$I$5</f>
        <v>0.31</v>
      </c>
      <c r="BX78" s="24">
        <f>VLOOKUP($R78,武学奇术!$A:$ZZ,32,FALSE)</f>
        <v>0</v>
      </c>
      <c r="BY78" s="24" cm="1">
        <f t="array" ref="BY78">SUM(_xlfn.XLOOKUP($S78:$AL78,增益!$A:$A,增益!$X:$X,0))</f>
        <v>0</v>
      </c>
    </row>
    <row r="79" spans="1:77">
      <c r="A79" t="s">
        <v>207</v>
      </c>
      <c r="B79">
        <v>2.17</v>
      </c>
      <c r="K79" s="37">
        <f>$L79*VLOOKUP($R79,武学奇术!$A:$ZZ,31,FALSE)</f>
        <v>80866.2528532942</v>
      </c>
      <c r="L79" s="37">
        <f t="shared" si="34"/>
        <v>80866.2528532942</v>
      </c>
      <c r="M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*(1+$BX79)</f>
        <v>83344.5852018098</v>
      </c>
      <c r="N79" s="37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*(1+$BX79)</f>
        <v>63448.0045988688</v>
      </c>
      <c r="O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*(1+$BX79)</f>
        <v>41881.7011064371</v>
      </c>
      <c r="P79" s="37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*(1+$BX79)</f>
        <v>36764.8802877862</v>
      </c>
      <c r="Q79" s="38">
        <v>1</v>
      </c>
      <c r="R79" s="39" t="s">
        <v>78</v>
      </c>
      <c r="S79" s="39" t="s">
        <v>104</v>
      </c>
      <c r="T79" s="39" t="s">
        <v>194</v>
      </c>
      <c r="U79" s="39" t="s">
        <v>81</v>
      </c>
      <c r="V79" s="39" t="s">
        <v>130</v>
      </c>
      <c r="W79" s="39" t="s">
        <v>83</v>
      </c>
      <c r="X79" s="39" t="s">
        <v>84</v>
      </c>
      <c r="Y79" s="39" t="s">
        <v>85</v>
      </c>
      <c r="Z79" s="39" t="s">
        <v>195</v>
      </c>
      <c r="AA79" s="39" t="s">
        <v>196</v>
      </c>
      <c r="AB79" s="39" t="s">
        <v>204</v>
      </c>
      <c r="AC79" s="39" t="s">
        <v>100</v>
      </c>
      <c r="AD79" s="39" t="s">
        <v>93</v>
      </c>
      <c r="AE79" s="39" t="s">
        <v>87</v>
      </c>
      <c r="AF79" s="39" t="s">
        <v>88</v>
      </c>
      <c r="AG79" s="39" t="s">
        <v>94</v>
      </c>
      <c r="AH79" s="39" t="s">
        <v>84</v>
      </c>
      <c r="AI79" s="39" t="s">
        <v>84</v>
      </c>
      <c r="AJ79" s="39" t="s">
        <v>84</v>
      </c>
      <c r="AK79" s="39" t="s">
        <v>84</v>
      </c>
      <c r="AL79" s="39" t="s">
        <v>84</v>
      </c>
      <c r="AM79" t="str">
        <f>VLOOKUP($R79,武学奇术!$A:$ZZ,25,FALSE)</f>
        <v>群体奇术</v>
      </c>
      <c r="AN79" s="24">
        <f>VLOOKUP($R79,武学奇术!$A:$ZZ,26,FALSE)</f>
        <v>2.3774</v>
      </c>
      <c r="AO79" s="25">
        <f>VLOOKUP($R79,武学奇术!$A:$ZZ,27,FALSE)*(1+IF(OR($AM79=$F$4,$AM79=$F$5),$B$22,0))</f>
        <v>476</v>
      </c>
      <c r="AP79" s="24">
        <f>VLOOKUP($R79,武学奇术!$A:$ZZ,28,FALSE)</f>
        <v>3.5661</v>
      </c>
      <c r="AQ79" s="25">
        <f>VLOOKUP($R79,武学奇术!$A:$ZZ,29,FALSE)*(1+IF(OR($AM79=$F$4,$AM79=$F$5),$B$22,0))</f>
        <v>0</v>
      </c>
      <c r="AR79" s="24" cm="1">
        <f t="array" ref="AR79">$G$3+IFERROR(VLOOKUP($AM79,$F$4:$G$7,2,FALSE),0)+VLOOKUP($R79,武学奇术!$A:$ZZ,2,FALSE)+SUM(_xlfn.XLOOKUP($S79:$AL79,增益!$A:$A,增益!$B:$B,0))</f>
        <v>0.3842</v>
      </c>
      <c r="AS79" s="24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4342.95</v>
      </c>
      <c r="AU79" cm="1">
        <f t="array" ref="AU79">$E$10*(1+$AS79)+VLOOKUP($R79,武学奇术!$A:$ZZ,4,FALSE)+SUM(_xlfn.XLOOKUP($S79:$AL79,增益!$A:$A,增益!$D:$D,0))-$I$2</f>
        <v>4342.95</v>
      </c>
      <c r="AV79" s="31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0.4284</v>
      </c>
      <c r="AW79" s="31" cm="1">
        <f t="array" ref="AW79">$G$10+VLOOKUP($R79,武学奇术!$A:$ZZ,7,FALSE)+SUM(_xlfn.XLOOKUP($S79:$AL79,增益!$A:$A,增益!$G:$G,0))</f>
        <v>0.11</v>
      </c>
      <c r="AX79" s="24" cm="1">
        <f t="array" ref="AX79">VLOOKUP($R79,武学奇术!$A:$ZZ,8,FALSE)+SUM(_xlfn.XLOOKUP($S79:$AL79,增益!$A:$A,增益!$H:$H,0))</f>
        <v>0</v>
      </c>
      <c r="AY79">
        <f t="shared" si="24"/>
        <v>0</v>
      </c>
      <c r="AZ79">
        <f t="shared" si="25"/>
        <v>0</v>
      </c>
      <c r="BA79" s="31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-0.14</v>
      </c>
      <c r="BB79" s="31" cm="1">
        <f t="array" ref="BB79">$G$11+VLOOKUP($R79,武学奇术!$A:$ZZ,10,FALSE)+SUM(_xlfn.XLOOKUP($S79:$AL79,增益!$A:$A,增益!$J:$J,0))</f>
        <v>0.12</v>
      </c>
      <c r="BC79">
        <f t="shared" si="26"/>
        <v>0</v>
      </c>
      <c r="BD79">
        <f t="shared" si="27"/>
        <v>0</v>
      </c>
      <c r="BE79" s="31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-0.14</v>
      </c>
      <c r="BF79" s="31" cm="1">
        <f t="array" ref="BF79">$G$12+VLOOKUP($R79,武学奇术!$A:$ZZ,12,FALSE)+SUM(_xlfn.XLOOKUP($S79:$AL79,增益!$A:$A,增益!$L:$L,0))</f>
        <v>0.02</v>
      </c>
      <c r="BG79">
        <f t="shared" si="28"/>
        <v>0</v>
      </c>
      <c r="BH79">
        <f t="shared" si="29"/>
        <v>0</v>
      </c>
      <c r="BI79" s="31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-0.14</v>
      </c>
      <c r="BJ79" s="31" cm="1">
        <f t="array" ref="BJ79">$G$13+VLOOKUP($R79,武学奇术!$A:$ZZ,14,FALSE)+SUM(_xlfn.XLOOKUP($S79:$AL79,增益!$A:$A,增益!$N:$N,0))</f>
        <v>0.02</v>
      </c>
      <c r="BK79">
        <f t="shared" si="30"/>
        <v>649.11</v>
      </c>
      <c r="BL79">
        <f t="shared" si="31"/>
        <v>1812.09</v>
      </c>
      <c r="BM79" s="31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0.08</v>
      </c>
      <c r="BN79" s="31" cm="1">
        <f t="array" ref="BN79">$G$14+VLOOKUP($R79,武学奇术!$A:$ZZ,16,FALSE)+SUM(_xlfn.XLOOKUP($S79:$AL79,增益!$A:$A,增益!$P:$P,0))</f>
        <v>0.26</v>
      </c>
      <c r="BO79" s="24">
        <f>MIN(IF(VLOOKUP($R79,武学奇术!$A:$ZZ,23,FALSE)=1,100%,$B$8),100%)</f>
        <v>0.9943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0.8985</v>
      </c>
      <c r="BQ79" s="24" cm="1">
        <f t="array" ref="BQ79">1+$B$13+VLOOKUP($R79,武学奇术!$A:$ZZ,18,FALSE)+SUM(_xlfn.XLOOKUP($S79:$AL79,增益!$A:$A,增益!$R:$R,0))</f>
        <v>1.99</v>
      </c>
      <c r="BR79" s="24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4" cm="1">
        <f t="array" ref="BS79">1+$B$14+VLOOKUP($R79,武学奇术!$A:$ZZ,20,FALSE)+SUM(_xlfn.XLOOKUP($S79:$AL79,增益!$A:$A,增益!$T:$T,0))</f>
        <v>1.35</v>
      </c>
      <c r="BT79" s="24">
        <f t="shared" si="32"/>
        <v>0.89337855</v>
      </c>
      <c r="BU79" s="24">
        <f t="shared" si="33"/>
        <v>0.01014186</v>
      </c>
      <c r="BV79" s="24">
        <f>IF(VLOOKUP($R79,武学奇术!$A:$ZZ,22,FALSE)=1,0,(1-$BO79))*(1-$BR79)</f>
        <v>0.00517959000000003</v>
      </c>
      <c r="BW79" s="24" cm="1">
        <f t="array" ref="BW79">SUM(_xlfn.XLOOKUP($S79:$AL79,增益!$A:$A,增益!$W:$W,0))+$I$5</f>
        <v>0.31</v>
      </c>
      <c r="BX79" s="24">
        <f>VLOOKUP($R79,武学奇术!$A:$ZZ,32,FALSE)</f>
        <v>0</v>
      </c>
      <c r="BY79" s="24" cm="1">
        <f t="array" ref="BY79">SUM(_xlfn.XLOOKUP($S79:$AL79,增益!$A:$A,增益!$X:$X,0))</f>
        <v>0</v>
      </c>
    </row>
    <row r="80" spans="1:77">
      <c r="A80" t="s">
        <v>203</v>
      </c>
      <c r="B80">
        <v>0.8</v>
      </c>
      <c r="K80" s="37">
        <f>$L80*VLOOKUP($R80,武学奇术!$A:$ZZ,31,FALSE)</f>
        <v>234481.768106738</v>
      </c>
      <c r="L80" s="37">
        <f t="shared" si="34"/>
        <v>234481.768106738</v>
      </c>
      <c r="M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*(1+$BX80)</f>
        <v>244271.106009429</v>
      </c>
      <c r="N80" s="37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*(1+$BX80)</f>
        <v>160141.11622473</v>
      </c>
      <c r="O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*(1+$BX80)</f>
        <v>106668.605244292</v>
      </c>
      <c r="P80" s="37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*(1+$BX80)</f>
        <v>94714.1614332293</v>
      </c>
      <c r="Q80" s="38">
        <v>1</v>
      </c>
      <c r="R80" s="39" t="s">
        <v>157</v>
      </c>
      <c r="S80" s="39" t="s">
        <v>104</v>
      </c>
      <c r="T80" s="39" t="s">
        <v>194</v>
      </c>
      <c r="U80" s="39" t="s">
        <v>81</v>
      </c>
      <c r="V80" s="39" t="s">
        <v>130</v>
      </c>
      <c r="W80" s="39" t="s">
        <v>83</v>
      </c>
      <c r="X80" s="39" t="s">
        <v>84</v>
      </c>
      <c r="Y80" s="39" t="s">
        <v>85</v>
      </c>
      <c r="Z80" s="39" t="s">
        <v>84</v>
      </c>
      <c r="AA80" s="39" t="s">
        <v>84</v>
      </c>
      <c r="AB80" s="39" t="s">
        <v>204</v>
      </c>
      <c r="AC80" s="39" t="s">
        <v>92</v>
      </c>
      <c r="AD80" s="39" t="s">
        <v>93</v>
      </c>
      <c r="AE80" s="39" t="s">
        <v>87</v>
      </c>
      <c r="AF80" s="39" t="s">
        <v>88</v>
      </c>
      <c r="AG80" s="39" t="s">
        <v>94</v>
      </c>
      <c r="AH80" s="39" t="s">
        <v>84</v>
      </c>
      <c r="AI80" s="39" t="s">
        <v>84</v>
      </c>
      <c r="AJ80" s="39" t="s">
        <v>84</v>
      </c>
      <c r="AK80" s="39" t="s">
        <v>84</v>
      </c>
      <c r="AL80" s="39" t="s">
        <v>84</v>
      </c>
      <c r="AM80" t="str">
        <f>VLOOKUP($R80,武学奇术!$A:$ZZ,25,FALSE)</f>
        <v>双刀</v>
      </c>
      <c r="AN80" s="24">
        <f>VLOOKUP($R80,武学奇术!$A:$ZZ,26,FALSE)</f>
        <v>2.85516</v>
      </c>
      <c r="AO80" s="25">
        <f>VLOOKUP($R80,武学奇术!$A:$ZZ,27,FALSE)*(1+IF(OR($AM80=$F$4,$AM80=$F$5),$B$22,0))</f>
        <v>1263.36</v>
      </c>
      <c r="AP80" s="24">
        <f>VLOOKUP($R80,武学奇术!$A:$ZZ,28,FALSE)</f>
        <v>4.28274</v>
      </c>
      <c r="AQ80" s="25">
        <f>VLOOKUP($R80,武学奇术!$A:$ZZ,29,FALSE)*(1+IF(OR($AM80=$F$4,$AM80=$F$5),$B$22,0))</f>
        <v>687.68</v>
      </c>
      <c r="AR80" s="24" cm="1">
        <f t="array" ref="AR80">$G$3+IFERROR(VLOOKUP($AM80,$F$4:$G$7,2,FALSE),0)+VLOOKUP($R80,武学奇术!$A:$ZZ,2,FALSE)+SUM(_xlfn.XLOOKUP($S80:$AL80,增益!$A:$A,增益!$B:$B,0))</f>
        <v>0.6043</v>
      </c>
      <c r="AS80" s="24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4342.95</v>
      </c>
      <c r="AU80" cm="1">
        <f t="array" ref="AU80">$E$10*(1+$AS80)+VLOOKUP($R80,武学奇术!$A:$ZZ,4,FALSE)+SUM(_xlfn.XLOOKUP($S80:$AL80,增益!$A:$A,增益!$D:$D,0))-$I$2</f>
        <v>4342.95</v>
      </c>
      <c r="AV80" s="31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0.4284</v>
      </c>
      <c r="AW80" s="31" cm="1">
        <f t="array" ref="AW80">$G$10+VLOOKUP($R80,武学奇术!$A:$ZZ,7,FALSE)+SUM(_xlfn.XLOOKUP($S80:$AL80,增益!$A:$A,增益!$G:$G,0))</f>
        <v>0.11</v>
      </c>
      <c r="AX80" s="24" cm="1">
        <f t="array" ref="AX80">VLOOKUP($R80,武学奇术!$A:$ZZ,8,FALSE)+SUM(_xlfn.XLOOKUP($S80:$AL80,增益!$A:$A,增益!$H:$H,0))</f>
        <v>0</v>
      </c>
      <c r="AY80">
        <f t="shared" si="24"/>
        <v>0</v>
      </c>
      <c r="AZ80">
        <f t="shared" si="25"/>
        <v>0</v>
      </c>
      <c r="BA80" s="31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1" cm="1">
        <f t="array" ref="BB80">$G$11+VLOOKUP($R80,武学奇术!$A:$ZZ,10,FALSE)+SUM(_xlfn.XLOOKUP($S80:$AL80,增益!$A:$A,增益!$J:$J,0))</f>
        <v>0.02</v>
      </c>
      <c r="BC80">
        <f t="shared" si="26"/>
        <v>0</v>
      </c>
      <c r="BD80">
        <f t="shared" si="27"/>
        <v>0</v>
      </c>
      <c r="BE80" s="31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1" cm="1">
        <f t="array" ref="BF80">$G$12+VLOOKUP($R80,武学奇术!$A:$ZZ,12,FALSE)+SUM(_xlfn.XLOOKUP($S80:$AL80,增益!$A:$A,增益!$L:$L,0))</f>
        <v>0.02</v>
      </c>
      <c r="BG80">
        <f t="shared" si="28"/>
        <v>0</v>
      </c>
      <c r="BH80">
        <f t="shared" si="29"/>
        <v>0</v>
      </c>
      <c r="BI80" s="31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-0.14</v>
      </c>
      <c r="BJ80" s="31" cm="1">
        <f t="array" ref="BJ80">$G$13+VLOOKUP($R80,武学奇术!$A:$ZZ,14,FALSE)+SUM(_xlfn.XLOOKUP($S80:$AL80,增益!$A:$A,增益!$N:$N,0))</f>
        <v>0.02</v>
      </c>
      <c r="BK80">
        <f t="shared" si="30"/>
        <v>649.11</v>
      </c>
      <c r="BL80">
        <f t="shared" si="31"/>
        <v>1812.09</v>
      </c>
      <c r="BM80" s="31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0.08</v>
      </c>
      <c r="BN80" s="31" cm="1">
        <f t="array" ref="BN80">$G$14+VLOOKUP($R80,武学奇术!$A:$ZZ,16,FALSE)+SUM(_xlfn.XLOOKUP($S80:$AL80,增益!$A:$A,增益!$P:$P,0))</f>
        <v>0.26</v>
      </c>
      <c r="BO80" s="24">
        <f>MIN(IF(VLOOKUP($R80,武学奇术!$A:$ZZ,23,FALSE)=1,100%,$B$8),100%)</f>
        <v>0.9943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0.8985</v>
      </c>
      <c r="BQ80" s="24" cm="1">
        <f t="array" ref="BQ80">1+$B$13+VLOOKUP($R80,武学奇术!$A:$ZZ,18,FALSE)+SUM(_xlfn.XLOOKUP($S80:$AL80,增益!$A:$A,增益!$R:$R,0))</f>
        <v>2.29</v>
      </c>
      <c r="BR80" s="24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4" cm="1">
        <f t="array" ref="BS80">1+$B$14+VLOOKUP($R80,武学奇术!$A:$ZZ,20,FALSE)+SUM(_xlfn.XLOOKUP($S80:$AL80,增益!$A:$A,增益!$T:$T,0))</f>
        <v>1.35</v>
      </c>
      <c r="BT80" s="24">
        <f t="shared" si="32"/>
        <v>0.89337855</v>
      </c>
      <c r="BU80" s="24">
        <f t="shared" si="33"/>
        <v>0.0153214500000001</v>
      </c>
      <c r="BV80" s="24">
        <f>IF(VLOOKUP($R80,武学奇术!$A:$ZZ,22,FALSE)=1,0,(1-$BO80))*(1-$BR80)</f>
        <v>0</v>
      </c>
      <c r="BW80" s="24" cm="1">
        <f t="array" ref="BW80">SUM(_xlfn.XLOOKUP($S80:$AL80,增益!$A:$A,增益!$W:$W,0))+$I$5</f>
        <v>0.11</v>
      </c>
      <c r="BX80" s="24">
        <f>VLOOKUP($R80,武学奇术!$A:$ZZ,32,FALSE)</f>
        <v>0.5</v>
      </c>
      <c r="BY80" s="24" cm="1">
        <f t="array" ref="BY80">SUM(_xlfn.XLOOKUP($S80:$AL80,增益!$A:$A,增益!$X:$X,0))</f>
        <v>0</v>
      </c>
    </row>
    <row r="81" spans="1:77">
      <c r="A81" t="s">
        <v>182</v>
      </c>
      <c r="B81">
        <v>0.7</v>
      </c>
      <c r="K81" s="37">
        <f>$L81*VLOOKUP($R81,武学奇术!$A:$ZZ,31,FALSE)</f>
        <v>312587.96245241</v>
      </c>
      <c r="L81" s="37">
        <f t="shared" si="34"/>
        <v>312587.96245241</v>
      </c>
      <c r="M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*(1+$BX81)</f>
        <v>325637.985706407</v>
      </c>
      <c r="N81" s="37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*(1+$BX81)</f>
        <v>213485.880205173</v>
      </c>
      <c r="O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*(1+$BX81)</f>
        <v>142199.993758256</v>
      </c>
      <c r="P81" s="37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*(1+$BX81)</f>
        <v>126262.298475644</v>
      </c>
      <c r="Q81" s="38">
        <v>1</v>
      </c>
      <c r="R81" s="39" t="s">
        <v>163</v>
      </c>
      <c r="S81" s="39" t="s">
        <v>104</v>
      </c>
      <c r="T81" s="39" t="s">
        <v>194</v>
      </c>
      <c r="U81" s="39" t="s">
        <v>81</v>
      </c>
      <c r="V81" s="39" t="s">
        <v>130</v>
      </c>
      <c r="W81" s="39" t="s">
        <v>83</v>
      </c>
      <c r="X81" s="39" t="s">
        <v>84</v>
      </c>
      <c r="Y81" s="39" t="s">
        <v>85</v>
      </c>
      <c r="Z81" s="39" t="s">
        <v>84</v>
      </c>
      <c r="AA81" s="39" t="s">
        <v>84</v>
      </c>
      <c r="AB81" s="39" t="s">
        <v>204</v>
      </c>
      <c r="AC81" s="39" t="s">
        <v>92</v>
      </c>
      <c r="AD81" s="39" t="s">
        <v>93</v>
      </c>
      <c r="AE81" s="39" t="s">
        <v>87</v>
      </c>
      <c r="AF81" s="39" t="s">
        <v>88</v>
      </c>
      <c r="AG81" s="39" t="s">
        <v>94</v>
      </c>
      <c r="AH81" s="39" t="s">
        <v>84</v>
      </c>
      <c r="AI81" s="39" t="s">
        <v>84</v>
      </c>
      <c r="AJ81" s="39" t="s">
        <v>84</v>
      </c>
      <c r="AK81" s="39" t="s">
        <v>84</v>
      </c>
      <c r="AL81" s="39" t="s">
        <v>84</v>
      </c>
      <c r="AM81" t="str">
        <f>VLOOKUP($R81,武学奇术!$A:$ZZ,25,FALSE)</f>
        <v>双刀</v>
      </c>
      <c r="AN81" s="24">
        <f>VLOOKUP($R81,武学奇术!$A:$ZZ,26,FALSE)</f>
        <v>3.80688</v>
      </c>
      <c r="AO81" s="25">
        <f>VLOOKUP($R81,武学奇术!$A:$ZZ,27,FALSE)*(1+IF(OR($AM81=$F$4,$AM81=$F$5),$B$22,0))</f>
        <v>1684.48</v>
      </c>
      <c r="AP81" s="24">
        <f>VLOOKUP($R81,武学奇术!$A:$ZZ,28,FALSE)</f>
        <v>5.70976</v>
      </c>
      <c r="AQ81" s="25">
        <f>VLOOKUP($R81,武学奇术!$A:$ZZ,29,FALSE)*(1+IF(OR($AM81=$F$4,$AM81=$F$5),$B$22,0))</f>
        <v>913.92</v>
      </c>
      <c r="AR81" s="24" cm="1">
        <f t="array" ref="AR81">$G$3+IFERROR(VLOOKUP($AM81,$F$4:$G$7,2,FALSE),0)+VLOOKUP($R81,武学奇术!$A:$ZZ,2,FALSE)+SUM(_xlfn.XLOOKUP($S81:$AL81,增益!$A:$A,增益!$B:$B,0))</f>
        <v>0.6043</v>
      </c>
      <c r="AS81" s="24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4342.95</v>
      </c>
      <c r="AU81" cm="1">
        <f t="array" ref="AU81">$E$10*(1+$AS81)+VLOOKUP($R81,武学奇术!$A:$ZZ,4,FALSE)+SUM(_xlfn.XLOOKUP($S81:$AL81,增益!$A:$A,增益!$D:$D,0))-$I$2</f>
        <v>4342.95</v>
      </c>
      <c r="AV81" s="31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0.4284</v>
      </c>
      <c r="AW81" s="31" cm="1">
        <f t="array" ref="AW81">$G$10+VLOOKUP($R81,武学奇术!$A:$ZZ,7,FALSE)+SUM(_xlfn.XLOOKUP($S81:$AL81,增益!$A:$A,增益!$G:$G,0))</f>
        <v>0.11</v>
      </c>
      <c r="AX81" s="24" cm="1">
        <f t="array" ref="AX81">VLOOKUP($R81,武学奇术!$A:$ZZ,8,FALSE)+SUM(_xlfn.XLOOKUP($S81:$AL81,增益!$A:$A,增益!$H:$H,0))</f>
        <v>0</v>
      </c>
      <c r="AY81">
        <f t="shared" si="24"/>
        <v>0</v>
      </c>
      <c r="AZ81">
        <f t="shared" si="25"/>
        <v>0</v>
      </c>
      <c r="BA81" s="31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-0.14</v>
      </c>
      <c r="BB81" s="31" cm="1">
        <f t="array" ref="BB81">$G$11+VLOOKUP($R81,武学奇术!$A:$ZZ,10,FALSE)+SUM(_xlfn.XLOOKUP($S81:$AL81,增益!$A:$A,增益!$J:$J,0))</f>
        <v>0.02</v>
      </c>
      <c r="BC81">
        <f t="shared" si="26"/>
        <v>0</v>
      </c>
      <c r="BD81">
        <f t="shared" si="27"/>
        <v>0</v>
      </c>
      <c r="BE81" s="31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-0.14</v>
      </c>
      <c r="BF81" s="31" cm="1">
        <f t="array" ref="BF81">$G$12+VLOOKUP($R81,武学奇术!$A:$ZZ,12,FALSE)+SUM(_xlfn.XLOOKUP($S81:$AL81,增益!$A:$A,增益!$L:$L,0))</f>
        <v>0.02</v>
      </c>
      <c r="BG81">
        <f t="shared" si="28"/>
        <v>0</v>
      </c>
      <c r="BH81">
        <f t="shared" si="29"/>
        <v>0</v>
      </c>
      <c r="BI81" s="31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-0.14</v>
      </c>
      <c r="BJ81" s="31" cm="1">
        <f t="array" ref="BJ81">$G$13+VLOOKUP($R81,武学奇术!$A:$ZZ,14,FALSE)+SUM(_xlfn.XLOOKUP($S81:$AL81,增益!$A:$A,增益!$N:$N,0))</f>
        <v>0.02</v>
      </c>
      <c r="BK81">
        <f t="shared" si="30"/>
        <v>649.11</v>
      </c>
      <c r="BL81">
        <f t="shared" si="31"/>
        <v>1812.09</v>
      </c>
      <c r="BM81" s="31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0.08</v>
      </c>
      <c r="BN81" s="31" cm="1">
        <f t="array" ref="BN81">$G$14+VLOOKUP($R81,武学奇术!$A:$ZZ,16,FALSE)+SUM(_xlfn.XLOOKUP($S81:$AL81,增益!$A:$A,增益!$P:$P,0))</f>
        <v>0.26</v>
      </c>
      <c r="BO81" s="24">
        <f>MIN(IF(VLOOKUP($R81,武学奇术!$A:$ZZ,23,FALSE)=1,100%,$B$8),100%)</f>
        <v>0.9943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0.8985</v>
      </c>
      <c r="BQ81" s="24" cm="1">
        <f t="array" ref="BQ81">1+$B$13+VLOOKUP($R81,武学奇术!$A:$ZZ,18,FALSE)+SUM(_xlfn.XLOOKUP($S81:$AL81,增益!$A:$A,增益!$R:$R,0))</f>
        <v>2.29</v>
      </c>
      <c r="BR81" s="24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4" cm="1">
        <f t="array" ref="BS81">1+$B$14+VLOOKUP($R81,武学奇术!$A:$ZZ,20,FALSE)+SUM(_xlfn.XLOOKUP($S81:$AL81,增益!$A:$A,增益!$T:$T,0))</f>
        <v>1.35</v>
      </c>
      <c r="BT81" s="24">
        <f t="shared" si="32"/>
        <v>0.89337855</v>
      </c>
      <c r="BU81" s="24">
        <f t="shared" si="33"/>
        <v>0.0153214500000001</v>
      </c>
      <c r="BV81" s="24">
        <f>IF(VLOOKUP($R81,武学奇术!$A:$ZZ,22,FALSE)=1,0,(1-$BO81))*(1-$BR81)</f>
        <v>0</v>
      </c>
      <c r="BW81" s="24" cm="1">
        <f t="array" ref="BW81">SUM(_xlfn.XLOOKUP($S81:$AL81,增益!$A:$A,增益!$W:$W,0))+$I$5</f>
        <v>0.11</v>
      </c>
      <c r="BX81" s="24">
        <f>VLOOKUP($R81,武学奇术!$A:$ZZ,32,FALSE)</f>
        <v>0.5</v>
      </c>
      <c r="BY81" s="24" cm="1">
        <f t="array" ref="BY81">SUM(_xlfn.XLOOKUP($S81:$AL81,增益!$A:$A,增益!$X:$X,0))</f>
        <v>0</v>
      </c>
    </row>
    <row r="82" spans="1:77">
      <c r="A82" t="s">
        <v>188</v>
      </c>
      <c r="B82">
        <v>0.9</v>
      </c>
      <c r="K82" s="37">
        <f>$L82*VLOOKUP($R82,武学奇术!$A:$ZZ,31,FALSE)</f>
        <v>276730.735333178</v>
      </c>
      <c r="L82" s="37">
        <f t="shared" si="34"/>
        <v>276730.735333178</v>
      </c>
      <c r="M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*(1+$BX82)</f>
        <v>288283.91790302</v>
      </c>
      <c r="N82" s="37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*(1+$BX82)</f>
        <v>188995.371400357</v>
      </c>
      <c r="O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*(1+$BX82)</f>
        <v>125888.173756777</v>
      </c>
      <c r="P82" s="37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*(1+$BX82)</f>
        <v>111779.776105883</v>
      </c>
      <c r="Q82" s="38">
        <v>1</v>
      </c>
      <c r="R82" s="39" t="s">
        <v>166</v>
      </c>
      <c r="S82" s="39" t="s">
        <v>104</v>
      </c>
      <c r="T82" s="39" t="s">
        <v>194</v>
      </c>
      <c r="U82" s="39" t="s">
        <v>81</v>
      </c>
      <c r="V82" s="39" t="s">
        <v>130</v>
      </c>
      <c r="W82" s="39" t="s">
        <v>83</v>
      </c>
      <c r="X82" s="39" t="s">
        <v>84</v>
      </c>
      <c r="Y82" s="39" t="s">
        <v>85</v>
      </c>
      <c r="Z82" s="39" t="s">
        <v>195</v>
      </c>
      <c r="AA82" s="39" t="s">
        <v>196</v>
      </c>
      <c r="AB82" s="39" t="s">
        <v>204</v>
      </c>
      <c r="AC82" s="39" t="s">
        <v>92</v>
      </c>
      <c r="AD82" s="39" t="s">
        <v>93</v>
      </c>
      <c r="AE82" s="39" t="s">
        <v>87</v>
      </c>
      <c r="AF82" s="39" t="s">
        <v>88</v>
      </c>
      <c r="AG82" s="39" t="s">
        <v>94</v>
      </c>
      <c r="AH82" s="39" t="s">
        <v>84</v>
      </c>
      <c r="AI82" s="39" t="s">
        <v>84</v>
      </c>
      <c r="AJ82" s="39" t="s">
        <v>84</v>
      </c>
      <c r="AK82" s="39" t="s">
        <v>84</v>
      </c>
      <c r="AL82" s="39" t="s">
        <v>84</v>
      </c>
      <c r="AM82" t="str">
        <f>VLOOKUP($R82,武学奇术!$A:$ZZ,25,FALSE)</f>
        <v>双刀</v>
      </c>
      <c r="AN82" s="24">
        <f>VLOOKUP($R82,武学奇术!$A:$ZZ,26,FALSE)</f>
        <v>2.85516</v>
      </c>
      <c r="AO82" s="25">
        <f>VLOOKUP($R82,武学奇术!$A:$ZZ,27,FALSE)*(1+IF(OR($AM82=$F$4,$AM82=$F$5),$B$22,0))</f>
        <v>1263.36</v>
      </c>
      <c r="AP82" s="24">
        <f>VLOOKUP($R82,武学奇术!$A:$ZZ,28,FALSE)</f>
        <v>4.28274</v>
      </c>
      <c r="AQ82" s="25">
        <f>VLOOKUP($R82,武学奇术!$A:$ZZ,29,FALSE)*(1+IF(OR($AM82=$F$4,$AM82=$F$5),$B$22,0))</f>
        <v>687.68</v>
      </c>
      <c r="AR82" s="24" cm="1">
        <f t="array" ref="AR82">$G$3+IFERROR(VLOOKUP($AM82,$F$4:$G$7,2,FALSE),0)+VLOOKUP($R82,武学奇术!$A:$ZZ,2,FALSE)+SUM(_xlfn.XLOOKUP($S82:$AL82,增益!$A:$A,增益!$B:$B,0))</f>
        <v>0.6043</v>
      </c>
      <c r="AS82" s="24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4342.95</v>
      </c>
      <c r="AU82" cm="1">
        <f t="array" ref="AU82">$E$10*(1+$AS82)+VLOOKUP($R82,武学奇术!$A:$ZZ,4,FALSE)+SUM(_xlfn.XLOOKUP($S82:$AL82,增益!$A:$A,增益!$D:$D,0))-$I$2</f>
        <v>4342.95</v>
      </c>
      <c r="AV82" s="31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0.4284</v>
      </c>
      <c r="AW82" s="31" cm="1">
        <f t="array" ref="AW82">$G$10+VLOOKUP($R82,武学奇术!$A:$ZZ,7,FALSE)+SUM(_xlfn.XLOOKUP($S82:$AL82,增益!$A:$A,增益!$G:$G,0))</f>
        <v>0.11</v>
      </c>
      <c r="AX82" s="24" cm="1">
        <f t="array" ref="AX82">VLOOKUP($R82,武学奇术!$A:$ZZ,8,FALSE)+SUM(_xlfn.XLOOKUP($S82:$AL82,增益!$A:$A,增益!$H:$H,0))</f>
        <v>0</v>
      </c>
      <c r="AY82">
        <f t="shared" si="24"/>
        <v>0</v>
      </c>
      <c r="AZ82">
        <f t="shared" si="25"/>
        <v>0</v>
      </c>
      <c r="BA82" s="31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1" cm="1">
        <f t="array" ref="BB82">$G$11+VLOOKUP($R82,武学奇术!$A:$ZZ,10,FALSE)+SUM(_xlfn.XLOOKUP($S82:$AL82,增益!$A:$A,增益!$J:$J,0))</f>
        <v>0.12</v>
      </c>
      <c r="BC82">
        <f t="shared" si="26"/>
        <v>0</v>
      </c>
      <c r="BD82">
        <f t="shared" si="27"/>
        <v>0</v>
      </c>
      <c r="BE82" s="31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1" cm="1">
        <f t="array" ref="BF82">$G$12+VLOOKUP($R82,武学奇术!$A:$ZZ,12,FALSE)+SUM(_xlfn.XLOOKUP($S82:$AL82,增益!$A:$A,增益!$L:$L,0))</f>
        <v>0.02</v>
      </c>
      <c r="BG82">
        <f t="shared" si="28"/>
        <v>0</v>
      </c>
      <c r="BH82">
        <f t="shared" si="29"/>
        <v>0</v>
      </c>
      <c r="BI82" s="31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1" cm="1">
        <f t="array" ref="BJ82">$G$13+VLOOKUP($R82,武学奇术!$A:$ZZ,14,FALSE)+SUM(_xlfn.XLOOKUP($S82:$AL82,增益!$A:$A,增益!$N:$N,0))</f>
        <v>0.02</v>
      </c>
      <c r="BK82">
        <f t="shared" si="30"/>
        <v>649.11</v>
      </c>
      <c r="BL82">
        <f t="shared" si="31"/>
        <v>1812.09</v>
      </c>
      <c r="BM82" s="31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0.08</v>
      </c>
      <c r="BN82" s="31" cm="1">
        <f t="array" ref="BN82">$G$14+VLOOKUP($R82,武学奇术!$A:$ZZ,16,FALSE)+SUM(_xlfn.XLOOKUP($S82:$AL82,增益!$A:$A,增益!$P:$P,0))</f>
        <v>0.26</v>
      </c>
      <c r="BO82" s="24">
        <f>MIN(IF(VLOOKUP($R82,武学奇术!$A:$ZZ,23,FALSE)=1,100%,$B$8),100%)</f>
        <v>0.9943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0.8985</v>
      </c>
      <c r="BQ82" s="24" cm="1">
        <f t="array" ref="BQ82">1+$B$13+VLOOKUP($R82,武学奇术!$A:$ZZ,18,FALSE)+SUM(_xlfn.XLOOKUP($S82:$AL82,增益!$A:$A,增益!$R:$R,0))</f>
        <v>2.29</v>
      </c>
      <c r="BR82" s="24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4" cm="1">
        <f t="array" ref="BS82">1+$B$14+VLOOKUP($R82,武学奇术!$A:$ZZ,20,FALSE)+SUM(_xlfn.XLOOKUP($S82:$AL82,增益!$A:$A,增益!$T:$T,0))</f>
        <v>1.35</v>
      </c>
      <c r="BT82" s="24">
        <f t="shared" si="32"/>
        <v>0.89337855</v>
      </c>
      <c r="BU82" s="24">
        <f t="shared" si="33"/>
        <v>0.0153214500000001</v>
      </c>
      <c r="BV82" s="24">
        <f>IF(VLOOKUP($R82,武学奇术!$A:$ZZ,22,FALSE)=1,0,(1-$BO82))*(1-$BR82)</f>
        <v>0</v>
      </c>
      <c r="BW82" s="24" cm="1">
        <f t="array" ref="BW82">SUM(_xlfn.XLOOKUP($S82:$AL82,增益!$A:$A,增益!$W:$W,0))+$I$5</f>
        <v>0.31</v>
      </c>
      <c r="BX82" s="24">
        <f>VLOOKUP($R82,武学奇术!$A:$ZZ,32,FALSE)</f>
        <v>0.5</v>
      </c>
      <c r="BY82" s="24" cm="1">
        <f t="array" ref="BY82">SUM(_xlfn.XLOOKUP($S82:$AL82,增益!$A:$A,增益!$X:$X,0))</f>
        <v>0</v>
      </c>
    </row>
    <row r="83" spans="1:77">
      <c r="A83" t="s">
        <v>189</v>
      </c>
      <c r="B83">
        <v>0.6</v>
      </c>
      <c r="D83" s="38" t="s">
        <v>183</v>
      </c>
      <c r="K83" s="37">
        <f>$L83*VLOOKUP($R83,武学奇术!$A:$ZZ,31,FALSE)</f>
        <v>87162.1767279413</v>
      </c>
      <c r="L83" s="37">
        <f t="shared" si="34"/>
        <v>87162.1767279413</v>
      </c>
      <c r="M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*(1+$BX83)</f>
        <v>90801.1713263744</v>
      </c>
      <c r="N83" s="37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*(1+$BX83)</f>
        <v>59527.3229445241</v>
      </c>
      <c r="O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*(1+$BX83)</f>
        <v>39651.1665180674</v>
      </c>
      <c r="P83" s="37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*(1+$BX83)</f>
        <v>35208.0197438948</v>
      </c>
      <c r="Q83" s="38">
        <v>1</v>
      </c>
      <c r="R83" s="39" t="s">
        <v>136</v>
      </c>
      <c r="S83" s="39" t="s">
        <v>104</v>
      </c>
      <c r="T83" s="39" t="s">
        <v>194</v>
      </c>
      <c r="U83" s="39" t="s">
        <v>81</v>
      </c>
      <c r="V83" s="39" t="s">
        <v>130</v>
      </c>
      <c r="W83" s="39" t="s">
        <v>83</v>
      </c>
      <c r="X83" s="39" t="s">
        <v>84</v>
      </c>
      <c r="Y83" s="39" t="s">
        <v>85</v>
      </c>
      <c r="Z83" s="39" t="s">
        <v>195</v>
      </c>
      <c r="AA83" s="39" t="s">
        <v>196</v>
      </c>
      <c r="AB83" s="39" t="s">
        <v>204</v>
      </c>
      <c r="AC83" s="39" t="s">
        <v>92</v>
      </c>
      <c r="AD83" s="39" t="s">
        <v>93</v>
      </c>
      <c r="AE83" s="39" t="s">
        <v>87</v>
      </c>
      <c r="AF83" s="39" t="s">
        <v>88</v>
      </c>
      <c r="AG83" s="39" t="s">
        <v>94</v>
      </c>
      <c r="AH83" s="39" t="s">
        <v>84</v>
      </c>
      <c r="AI83" s="39" t="s">
        <v>84</v>
      </c>
      <c r="AJ83" s="39" t="s">
        <v>84</v>
      </c>
      <c r="AK83" s="39" t="s">
        <v>84</v>
      </c>
      <c r="AL83" s="39" t="s">
        <v>84</v>
      </c>
      <c r="AM83" t="str">
        <f>VLOOKUP($R83,武学奇术!$A:$ZZ,25,FALSE)</f>
        <v>拳甲</v>
      </c>
      <c r="AN83" s="24">
        <f>VLOOKUP($R83,武学奇术!$A:$ZZ,26,FALSE)</f>
        <v>0.9634</v>
      </c>
      <c r="AO83" s="25">
        <f>VLOOKUP($R83,武学奇术!$A:$ZZ,27,FALSE)*(1+IF(OR($AM83=$F$4,$AM83=$F$5),$B$22,0))</f>
        <v>427.2</v>
      </c>
      <c r="AP83" s="24">
        <f>VLOOKUP($R83,武学奇术!$A:$ZZ,28,FALSE)</f>
        <v>1.4451</v>
      </c>
      <c r="AQ83" s="25">
        <f>VLOOKUP($R83,武学奇术!$A:$ZZ,29,FALSE)*(1+IF(OR($AM83=$F$4,$AM83=$F$5),$B$22,0))</f>
        <v>232</v>
      </c>
      <c r="AR83" s="24" cm="1">
        <f t="array" ref="AR83">$G$3+IFERROR(VLOOKUP($AM83,$F$4:$G$7,2,FALSE),0)+VLOOKUP($R83,武学奇术!$A:$ZZ,2,FALSE)+SUM(_xlfn.XLOOKUP($S83:$AL83,增益!$A:$A,增益!$B:$B,0))</f>
        <v>0.6043</v>
      </c>
      <c r="AS83" s="24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4342.95</v>
      </c>
      <c r="AU83" cm="1">
        <f t="array" ref="AU83">$E$10*(1+$AS83)+VLOOKUP($R83,武学奇术!$A:$ZZ,4,FALSE)+SUM(_xlfn.XLOOKUP($S83:$AL83,增益!$A:$A,增益!$D:$D,0))-$I$2</f>
        <v>4342.95</v>
      </c>
      <c r="AV83" s="31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0.4284</v>
      </c>
      <c r="AW83" s="31" cm="1">
        <f t="array" ref="AW83">$G$10+VLOOKUP($R83,武学奇术!$A:$ZZ,7,FALSE)+SUM(_xlfn.XLOOKUP($S83:$AL83,增益!$A:$A,增益!$G:$G,0))</f>
        <v>0.11</v>
      </c>
      <c r="AX83" s="24" cm="1">
        <f t="array" ref="AX83">VLOOKUP($R83,武学奇术!$A:$ZZ,8,FALSE)+SUM(_xlfn.XLOOKUP($S83:$AL83,增益!$A:$A,增益!$H:$H,0))</f>
        <v>0</v>
      </c>
      <c r="AY83">
        <f t="shared" si="24"/>
        <v>0</v>
      </c>
      <c r="AZ83">
        <f t="shared" si="25"/>
        <v>0</v>
      </c>
      <c r="BA83" s="31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-0.14</v>
      </c>
      <c r="BB83" s="31" cm="1">
        <f t="array" ref="BB83">$G$11+VLOOKUP($R83,武学奇术!$A:$ZZ,10,FALSE)+SUM(_xlfn.XLOOKUP($S83:$AL83,增益!$A:$A,增益!$J:$J,0))</f>
        <v>0.12</v>
      </c>
      <c r="BC83">
        <f t="shared" si="26"/>
        <v>0</v>
      </c>
      <c r="BD83">
        <f t="shared" si="27"/>
        <v>0</v>
      </c>
      <c r="BE83" s="31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-0.14</v>
      </c>
      <c r="BF83" s="31" cm="1">
        <f t="array" ref="BF83">$G$12+VLOOKUP($R83,武学奇术!$A:$ZZ,12,FALSE)+SUM(_xlfn.XLOOKUP($S83:$AL83,增益!$A:$A,增益!$L:$L,0))</f>
        <v>0.02</v>
      </c>
      <c r="BG83">
        <f t="shared" si="28"/>
        <v>0</v>
      </c>
      <c r="BH83">
        <f t="shared" si="29"/>
        <v>0</v>
      </c>
      <c r="BI83" s="31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-0.14</v>
      </c>
      <c r="BJ83" s="31" cm="1">
        <f t="array" ref="BJ83">$G$13+VLOOKUP($R83,武学奇术!$A:$ZZ,14,FALSE)+SUM(_xlfn.XLOOKUP($S83:$AL83,增益!$A:$A,增益!$N:$N,0))</f>
        <v>0.02</v>
      </c>
      <c r="BK83">
        <f t="shared" si="30"/>
        <v>649.11</v>
      </c>
      <c r="BL83">
        <f t="shared" si="31"/>
        <v>1812.09</v>
      </c>
      <c r="BM83" s="31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0.08</v>
      </c>
      <c r="BN83" s="31" cm="1">
        <f t="array" ref="BN83">$G$14+VLOOKUP($R83,武学奇术!$A:$ZZ,16,FALSE)+SUM(_xlfn.XLOOKUP($S83:$AL83,增益!$A:$A,增益!$P:$P,0))</f>
        <v>0.26</v>
      </c>
      <c r="BO83" s="24">
        <f>MIN(IF(VLOOKUP($R83,武学奇术!$A:$ZZ,23,FALSE)=1,100%,$B$8),100%)</f>
        <v>0.9943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0.8985</v>
      </c>
      <c r="BQ83" s="24" cm="1">
        <f t="array" ref="BQ83">1+$B$13+VLOOKUP($R83,武学奇术!$A:$ZZ,18,FALSE)+SUM(_xlfn.XLOOKUP($S83:$AL83,增益!$A:$A,增益!$R:$R,0))</f>
        <v>2.29</v>
      </c>
      <c r="BR83" s="24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4" cm="1">
        <f t="array" ref="BS83">1+$B$14+VLOOKUP($R83,武学奇术!$A:$ZZ,20,FALSE)+SUM(_xlfn.XLOOKUP($S83:$AL83,增益!$A:$A,增益!$T:$T,0))</f>
        <v>1.35</v>
      </c>
      <c r="BT83" s="24">
        <f t="shared" si="32"/>
        <v>0.89337855</v>
      </c>
      <c r="BU83" s="24">
        <f t="shared" si="33"/>
        <v>0.0153214500000001</v>
      </c>
      <c r="BV83" s="24">
        <f>IF(VLOOKUP($R83,武学奇术!$A:$ZZ,22,FALSE)=1,0,(1-$BO83))*(1-$BR83)</f>
        <v>0</v>
      </c>
      <c r="BW83" s="24" cm="1">
        <f t="array" ref="BW83">SUM(_xlfn.XLOOKUP($S83:$AL83,增益!$A:$A,增益!$W:$W,0))+$I$5</f>
        <v>0.31</v>
      </c>
      <c r="BX83" s="24">
        <f>VLOOKUP($R83,武学奇术!$A:$ZZ,32,FALSE)</f>
        <v>0.4</v>
      </c>
      <c r="BY83" s="24" cm="1">
        <f t="array" ref="BY83">SUM(_xlfn.XLOOKUP($S83:$AL83,增益!$A:$A,增益!$X:$X,0))</f>
        <v>0</v>
      </c>
    </row>
    <row r="84" spans="1:77">
      <c r="A84" t="s">
        <v>182</v>
      </c>
      <c r="B84">
        <v>0.7</v>
      </c>
      <c r="D84" s="38"/>
      <c r="F84" s="38" t="s">
        <v>190</v>
      </c>
      <c r="K84" s="37">
        <f>$L84*VLOOKUP($R84,武学奇术!$A:$ZZ,31,FALSE)</f>
        <v>83803.7669166338</v>
      </c>
      <c r="L84" s="37">
        <f t="shared" si="34"/>
        <v>83803.7669166338</v>
      </c>
      <c r="M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*(1+$BX84)</f>
        <v>87302.7155572496</v>
      </c>
      <c r="N84" s="37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*(1+$BX84)</f>
        <v>57232.0574730706</v>
      </c>
      <c r="O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*(1+$BX84)</f>
        <v>38123.4565752182</v>
      </c>
      <c r="P84" s="37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*(1+$BX84)</f>
        <v>33852.7965037174</v>
      </c>
      <c r="Q84" s="38">
        <v>1</v>
      </c>
      <c r="R84" s="39" t="s">
        <v>142</v>
      </c>
      <c r="S84" s="39" t="s">
        <v>104</v>
      </c>
      <c r="T84" s="39" t="s">
        <v>194</v>
      </c>
      <c r="U84" s="39" t="s">
        <v>81</v>
      </c>
      <c r="V84" s="39" t="s">
        <v>130</v>
      </c>
      <c r="W84" s="39" t="s">
        <v>83</v>
      </c>
      <c r="X84" s="39" t="s">
        <v>84</v>
      </c>
      <c r="Y84" s="39" t="s">
        <v>85</v>
      </c>
      <c r="Z84" s="39" t="s">
        <v>195</v>
      </c>
      <c r="AA84" s="39" t="s">
        <v>196</v>
      </c>
      <c r="AB84" s="39" t="s">
        <v>204</v>
      </c>
      <c r="AC84" s="39" t="s">
        <v>92</v>
      </c>
      <c r="AD84" s="39" t="s">
        <v>93</v>
      </c>
      <c r="AE84" s="39" t="s">
        <v>87</v>
      </c>
      <c r="AF84" s="39" t="s">
        <v>88</v>
      </c>
      <c r="AG84" s="39" t="s">
        <v>94</v>
      </c>
      <c r="AH84" s="39" t="s">
        <v>84</v>
      </c>
      <c r="AI84" s="39" t="s">
        <v>84</v>
      </c>
      <c r="AJ84" s="39" t="s">
        <v>84</v>
      </c>
      <c r="AK84" s="39" t="s">
        <v>84</v>
      </c>
      <c r="AL84" s="39" t="s">
        <v>84</v>
      </c>
      <c r="AM84" t="str">
        <f>VLOOKUP($R84,武学奇术!$A:$ZZ,25,FALSE)</f>
        <v>拳甲</v>
      </c>
      <c r="AN84" s="24">
        <f>VLOOKUP($R84,武学奇术!$A:$ZZ,26,FALSE)</f>
        <v>0.926</v>
      </c>
      <c r="AO84" s="25">
        <f>VLOOKUP($R84,武学奇术!$A:$ZZ,27,FALSE)*(1+IF(OR($AM84=$F$4,$AM84=$F$5),$B$22,0))</f>
        <v>411.2</v>
      </c>
      <c r="AP84" s="24">
        <f>VLOOKUP($R84,武学奇术!$A:$ZZ,28,FALSE)</f>
        <v>1.389</v>
      </c>
      <c r="AQ84" s="25">
        <f>VLOOKUP($R84,武学奇术!$A:$ZZ,29,FALSE)*(1+IF(OR($AM84=$F$4,$AM84=$F$5),$B$22,0))</f>
        <v>224</v>
      </c>
      <c r="AR84" s="24" cm="1">
        <f t="array" ref="AR84">$G$3+IFERROR(VLOOKUP($AM84,$F$4:$G$7,2,FALSE),0)+VLOOKUP($R84,武学奇术!$A:$ZZ,2,FALSE)+SUM(_xlfn.XLOOKUP($S84:$AL84,增益!$A:$A,增益!$B:$B,0))</f>
        <v>0.6043</v>
      </c>
      <c r="AS84" s="24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4342.95</v>
      </c>
      <c r="AU84" cm="1">
        <f t="array" ref="AU84">$E$10*(1+$AS84)+VLOOKUP($R84,武学奇术!$A:$ZZ,4,FALSE)+SUM(_xlfn.XLOOKUP($S84:$AL84,增益!$A:$A,增益!$D:$D,0))-$I$2</f>
        <v>4342.95</v>
      </c>
      <c r="AV84" s="31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0.4284</v>
      </c>
      <c r="AW84" s="31" cm="1">
        <f t="array" ref="AW84">$G$10+VLOOKUP($R84,武学奇术!$A:$ZZ,7,FALSE)+SUM(_xlfn.XLOOKUP($S84:$AL84,增益!$A:$A,增益!$G:$G,0))</f>
        <v>0.11</v>
      </c>
      <c r="AX84" s="24" cm="1">
        <f t="array" ref="AX84">VLOOKUP($R84,武学奇术!$A:$ZZ,8,FALSE)+SUM(_xlfn.XLOOKUP($S84:$AL84,增益!$A:$A,增益!$H:$H,0))</f>
        <v>0</v>
      </c>
      <c r="AY84">
        <f t="shared" si="24"/>
        <v>0</v>
      </c>
      <c r="AZ84">
        <f t="shared" si="25"/>
        <v>0</v>
      </c>
      <c r="BA84" s="31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-0.14</v>
      </c>
      <c r="BB84" s="31" cm="1">
        <f t="array" ref="BB84">$G$11+VLOOKUP($R84,武学奇术!$A:$ZZ,10,FALSE)+SUM(_xlfn.XLOOKUP($S84:$AL84,增益!$A:$A,增益!$J:$J,0))</f>
        <v>0.12</v>
      </c>
      <c r="BC84">
        <f t="shared" si="26"/>
        <v>0</v>
      </c>
      <c r="BD84">
        <f t="shared" si="27"/>
        <v>0</v>
      </c>
      <c r="BE84" s="31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-0.14</v>
      </c>
      <c r="BF84" s="31" cm="1">
        <f t="array" ref="BF84">$G$12+VLOOKUP($R84,武学奇术!$A:$ZZ,12,FALSE)+SUM(_xlfn.XLOOKUP($S84:$AL84,增益!$A:$A,增益!$L:$L,0))</f>
        <v>0.02</v>
      </c>
      <c r="BG84">
        <f t="shared" si="28"/>
        <v>0</v>
      </c>
      <c r="BH84">
        <f t="shared" si="29"/>
        <v>0</v>
      </c>
      <c r="BI84" s="31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-0.14</v>
      </c>
      <c r="BJ84" s="31" cm="1">
        <f t="array" ref="BJ84">$G$13+VLOOKUP($R84,武学奇术!$A:$ZZ,14,FALSE)+SUM(_xlfn.XLOOKUP($S84:$AL84,增益!$A:$A,增益!$N:$N,0))</f>
        <v>0.02</v>
      </c>
      <c r="BK84">
        <f t="shared" si="30"/>
        <v>649.11</v>
      </c>
      <c r="BL84">
        <f t="shared" si="31"/>
        <v>1812.09</v>
      </c>
      <c r="BM84" s="31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0.08</v>
      </c>
      <c r="BN84" s="31" cm="1">
        <f t="array" ref="BN84">$G$14+VLOOKUP($R84,武学奇术!$A:$ZZ,16,FALSE)+SUM(_xlfn.XLOOKUP($S84:$AL84,增益!$A:$A,增益!$P:$P,0))</f>
        <v>0.26</v>
      </c>
      <c r="BO84" s="24">
        <f>MIN(IF(VLOOKUP($R84,武学奇术!$A:$ZZ,23,FALSE)=1,100%,$B$8),100%)</f>
        <v>0.9943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0.8985</v>
      </c>
      <c r="BQ84" s="24" cm="1">
        <f t="array" ref="BQ84">1+$B$13+VLOOKUP($R84,武学奇术!$A:$ZZ,18,FALSE)+SUM(_xlfn.XLOOKUP($S84:$AL84,增益!$A:$A,增益!$R:$R,0))</f>
        <v>2.29</v>
      </c>
      <c r="BR84" s="24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4" cm="1">
        <f t="array" ref="BS84">1+$B$14+VLOOKUP($R84,武学奇术!$A:$ZZ,20,FALSE)+SUM(_xlfn.XLOOKUP($S84:$AL84,增益!$A:$A,增益!$T:$T,0))</f>
        <v>1.35</v>
      </c>
      <c r="BT84" s="24">
        <f t="shared" si="32"/>
        <v>0.89337855</v>
      </c>
      <c r="BU84" s="24">
        <f t="shared" si="33"/>
        <v>0.0153214500000001</v>
      </c>
      <c r="BV84" s="24">
        <f>IF(VLOOKUP($R84,武学奇术!$A:$ZZ,22,FALSE)=1,0,(1-$BO84))*(1-$BR84)</f>
        <v>0</v>
      </c>
      <c r="BW84" s="24" cm="1">
        <f t="array" ref="BW84">SUM(_xlfn.XLOOKUP($S84:$AL84,增益!$A:$A,增益!$W:$W,0))+$I$5</f>
        <v>0.31</v>
      </c>
      <c r="BX84" s="24">
        <f>VLOOKUP($R84,武学奇术!$A:$ZZ,32,FALSE)</f>
        <v>0.4</v>
      </c>
      <c r="BY84" s="24" cm="1">
        <f t="array" ref="BY84">SUM(_xlfn.XLOOKUP($S84:$AL84,增益!$A:$A,增益!$X:$X,0))</f>
        <v>0</v>
      </c>
    </row>
    <row r="85" spans="1:77">
      <c r="A85" t="s">
        <v>178</v>
      </c>
      <c r="B85" s="95">
        <v>0.1</v>
      </c>
      <c r="D85" s="38"/>
      <c r="F85" s="38"/>
      <c r="K85" s="37">
        <f>$L85*VLOOKUP($R85,武学奇术!$A:$ZZ,31,FALSE)</f>
        <v>102213.218916627</v>
      </c>
      <c r="L85" s="37">
        <f t="shared" si="34"/>
        <v>102213.218916627</v>
      </c>
      <c r="M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*(1+$BX85)</f>
        <v>106480.565292344</v>
      </c>
      <c r="N85" s="37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*(1+$BX85)</f>
        <v>69806.6608803974</v>
      </c>
      <c r="O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*(1+$BX85)</f>
        <v>46498.0634464386</v>
      </c>
      <c r="P85" s="37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*(1+$BX85)</f>
        <v>41287.4892036939</v>
      </c>
      <c r="Q85" s="38">
        <v>1</v>
      </c>
      <c r="R85" s="39" t="s">
        <v>146</v>
      </c>
      <c r="S85" s="39" t="s">
        <v>104</v>
      </c>
      <c r="T85" s="39" t="s">
        <v>194</v>
      </c>
      <c r="U85" s="39" t="s">
        <v>81</v>
      </c>
      <c r="V85" s="39" t="s">
        <v>130</v>
      </c>
      <c r="W85" s="39" t="s">
        <v>83</v>
      </c>
      <c r="X85" s="39" t="s">
        <v>84</v>
      </c>
      <c r="Y85" s="39" t="s">
        <v>85</v>
      </c>
      <c r="Z85" s="39" t="s">
        <v>195</v>
      </c>
      <c r="AA85" s="39" t="s">
        <v>196</v>
      </c>
      <c r="AB85" s="39" t="s">
        <v>204</v>
      </c>
      <c r="AC85" s="39" t="s">
        <v>92</v>
      </c>
      <c r="AD85" s="39" t="s">
        <v>93</v>
      </c>
      <c r="AE85" s="39" t="s">
        <v>87</v>
      </c>
      <c r="AF85" s="39" t="s">
        <v>88</v>
      </c>
      <c r="AG85" s="39" t="s">
        <v>94</v>
      </c>
      <c r="AH85" s="39" t="s">
        <v>84</v>
      </c>
      <c r="AI85" s="39" t="s">
        <v>84</v>
      </c>
      <c r="AJ85" s="39" t="s">
        <v>84</v>
      </c>
      <c r="AK85" s="39" t="s">
        <v>84</v>
      </c>
      <c r="AL85" s="39" t="s">
        <v>84</v>
      </c>
      <c r="AM85" t="str">
        <f>VLOOKUP($R85,武学奇术!$A:$ZZ,25,FALSE)</f>
        <v>拳甲</v>
      </c>
      <c r="AN85" s="24">
        <f>VLOOKUP($R85,武学奇术!$A:$ZZ,26,FALSE)</f>
        <v>1.1298</v>
      </c>
      <c r="AO85" s="25">
        <f>VLOOKUP($R85,武学奇术!$A:$ZZ,27,FALSE)*(1+IF(OR($AM85=$F$4,$AM85=$F$5),$B$22,0))</f>
        <v>500.8</v>
      </c>
      <c r="AP85" s="24">
        <f>VLOOKUP($R85,武学奇术!$A:$ZZ,28,FALSE)</f>
        <v>1.6947</v>
      </c>
      <c r="AQ85" s="25">
        <f>VLOOKUP($R85,武学奇术!$A:$ZZ,29,FALSE)*(1+IF(OR($AM85=$F$4,$AM85=$F$5),$B$22,0))</f>
        <v>272</v>
      </c>
      <c r="AR85" s="24" cm="1">
        <f t="array" ref="AR85">$G$3+IFERROR(VLOOKUP($AM85,$F$4:$G$7,2,FALSE),0)+VLOOKUP($R85,武学奇术!$A:$ZZ,2,FALSE)+SUM(_xlfn.XLOOKUP($S85:$AL85,增益!$A:$A,增益!$B:$B,0))</f>
        <v>0.6043</v>
      </c>
      <c r="AS85" s="24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4342.95</v>
      </c>
      <c r="AU85" cm="1">
        <f t="array" ref="AU85">$E$10*(1+$AS85)+VLOOKUP($R85,武学奇术!$A:$ZZ,4,FALSE)+SUM(_xlfn.XLOOKUP($S85:$AL85,增益!$A:$A,增益!$D:$D,0))-$I$2</f>
        <v>4342.95</v>
      </c>
      <c r="AV85" s="31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0.4284</v>
      </c>
      <c r="AW85" s="31" cm="1">
        <f t="array" ref="AW85">$G$10+VLOOKUP($R85,武学奇术!$A:$ZZ,7,FALSE)+SUM(_xlfn.XLOOKUP($S85:$AL85,增益!$A:$A,增益!$G:$G,0))</f>
        <v>0.11</v>
      </c>
      <c r="AX85" s="24" cm="1">
        <f t="array" ref="AX85">VLOOKUP($R85,武学奇术!$A:$ZZ,8,FALSE)+SUM(_xlfn.XLOOKUP($S85:$AL85,增益!$A:$A,增益!$H:$H,0))</f>
        <v>0</v>
      </c>
      <c r="AY85">
        <f t="shared" si="24"/>
        <v>0</v>
      </c>
      <c r="AZ85">
        <f t="shared" si="25"/>
        <v>0</v>
      </c>
      <c r="BA85" s="31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1" cm="1">
        <f t="array" ref="BB85">$G$11+VLOOKUP($R85,武学奇术!$A:$ZZ,10,FALSE)+SUM(_xlfn.XLOOKUP($S85:$AL85,增益!$A:$A,增益!$J:$J,0))</f>
        <v>0.12</v>
      </c>
      <c r="BC85">
        <f t="shared" si="26"/>
        <v>0</v>
      </c>
      <c r="BD85">
        <f t="shared" si="27"/>
        <v>0</v>
      </c>
      <c r="BE85" s="31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1" cm="1">
        <f t="array" ref="BF85">$G$12+VLOOKUP($R85,武学奇术!$A:$ZZ,12,FALSE)+SUM(_xlfn.XLOOKUP($S85:$AL85,增益!$A:$A,增益!$L:$L,0))</f>
        <v>0.02</v>
      </c>
      <c r="BG85">
        <f t="shared" si="28"/>
        <v>0</v>
      </c>
      <c r="BH85">
        <f t="shared" si="29"/>
        <v>0</v>
      </c>
      <c r="BI85" s="31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1" cm="1">
        <f t="array" ref="BJ85">$G$13+VLOOKUP($R85,武学奇术!$A:$ZZ,14,FALSE)+SUM(_xlfn.XLOOKUP($S85:$AL85,增益!$A:$A,增益!$N:$N,0))</f>
        <v>0.02</v>
      </c>
      <c r="BK85">
        <f t="shared" si="30"/>
        <v>649.11</v>
      </c>
      <c r="BL85">
        <f t="shared" si="31"/>
        <v>1812.09</v>
      </c>
      <c r="BM85" s="31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0.08</v>
      </c>
      <c r="BN85" s="31" cm="1">
        <f t="array" ref="BN85">$G$14+VLOOKUP($R85,武学奇术!$A:$ZZ,16,FALSE)+SUM(_xlfn.XLOOKUP($S85:$AL85,增益!$A:$A,增益!$P:$P,0))</f>
        <v>0.26</v>
      </c>
      <c r="BO85" s="24">
        <f>MIN(IF(VLOOKUP($R85,武学奇术!$A:$ZZ,23,FALSE)=1,100%,$B$8),100%)</f>
        <v>0.9943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0.8985</v>
      </c>
      <c r="BQ85" s="24" cm="1">
        <f t="array" ref="BQ85">1+$B$13+VLOOKUP($R85,武学奇术!$A:$ZZ,18,FALSE)+SUM(_xlfn.XLOOKUP($S85:$AL85,增益!$A:$A,增益!$R:$R,0))</f>
        <v>2.29</v>
      </c>
      <c r="BR85" s="24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4" cm="1">
        <f t="array" ref="BS85">1+$B$14+VLOOKUP($R85,武学奇术!$A:$ZZ,20,FALSE)+SUM(_xlfn.XLOOKUP($S85:$AL85,增益!$A:$A,增益!$T:$T,0))</f>
        <v>1.35</v>
      </c>
      <c r="BT85" s="24">
        <f t="shared" si="32"/>
        <v>0.89337855</v>
      </c>
      <c r="BU85" s="24">
        <f t="shared" si="33"/>
        <v>0.0153214500000001</v>
      </c>
      <c r="BV85" s="24">
        <f>IF(VLOOKUP($R85,武学奇术!$A:$ZZ,22,FALSE)=1,0,(1-$BO85))*(1-$BR85)</f>
        <v>0</v>
      </c>
      <c r="BW85" s="24" cm="1">
        <f t="array" ref="BW85">SUM(_xlfn.XLOOKUP($S85:$AL85,增益!$A:$A,增益!$W:$W,0))+$I$5</f>
        <v>0.31</v>
      </c>
      <c r="BX85" s="24">
        <f>VLOOKUP($R85,武学奇术!$A:$ZZ,32,FALSE)</f>
        <v>0.4</v>
      </c>
      <c r="BY85" s="24" cm="1">
        <f t="array" ref="BY85">SUM(_xlfn.XLOOKUP($S85:$AL85,增益!$A:$A,增益!$X:$X,0))</f>
        <v>0</v>
      </c>
    </row>
    <row r="86" spans="1:77">
      <c r="A86" t="s">
        <v>177</v>
      </c>
      <c r="B86">
        <v>0.7</v>
      </c>
      <c r="D86" s="38"/>
      <c r="F86" s="38"/>
      <c r="K86" s="37">
        <f>$L86*VLOOKUP($R86,武学奇术!$A:$ZZ,31,FALSE)</f>
        <v>230739.607004036</v>
      </c>
      <c r="L86" s="37">
        <f t="shared" si="34"/>
        <v>230739.607004036</v>
      </c>
      <c r="M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*(1+$BX86)</f>
        <v>240373.167609218</v>
      </c>
      <c r="N86" s="37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*(1+$BX86)</f>
        <v>157580.907671351</v>
      </c>
      <c r="O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*(1+$BX86)</f>
        <v>104966.44873765</v>
      </c>
      <c r="P86" s="37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*(1+$BX86)</f>
        <v>93206.299200225</v>
      </c>
      <c r="Q86" s="38">
        <v>1</v>
      </c>
      <c r="R86" s="39" t="s">
        <v>151</v>
      </c>
      <c r="S86" s="39" t="s">
        <v>104</v>
      </c>
      <c r="T86" s="39" t="s">
        <v>194</v>
      </c>
      <c r="U86" s="39" t="s">
        <v>81</v>
      </c>
      <c r="V86" s="39" t="s">
        <v>130</v>
      </c>
      <c r="W86" s="39" t="s">
        <v>83</v>
      </c>
      <c r="X86" s="39" t="s">
        <v>84</v>
      </c>
      <c r="Y86" s="39" t="s">
        <v>85</v>
      </c>
      <c r="Z86" s="39" t="s">
        <v>195</v>
      </c>
      <c r="AA86" s="39" t="s">
        <v>196</v>
      </c>
      <c r="AB86" s="39" t="s">
        <v>204</v>
      </c>
      <c r="AC86" s="39" t="s">
        <v>100</v>
      </c>
      <c r="AD86" s="39" t="s">
        <v>93</v>
      </c>
      <c r="AE86" s="39" t="s">
        <v>87</v>
      </c>
      <c r="AF86" s="39" t="s">
        <v>88</v>
      </c>
      <c r="AG86" s="39" t="s">
        <v>94</v>
      </c>
      <c r="AH86" s="39" t="s">
        <v>84</v>
      </c>
      <c r="AI86" s="39" t="s">
        <v>84</v>
      </c>
      <c r="AJ86" s="39" t="s">
        <v>84</v>
      </c>
      <c r="AK86" s="39" t="s">
        <v>84</v>
      </c>
      <c r="AL86" s="39" t="s">
        <v>84</v>
      </c>
      <c r="AM86" t="str">
        <f>VLOOKUP($R86,武学奇术!$A:$ZZ,25,FALSE)</f>
        <v>拳甲</v>
      </c>
      <c r="AN86" s="24">
        <f>VLOOKUP($R86,武学奇术!$A:$ZZ,26,FALSE)</f>
        <v>2.5499</v>
      </c>
      <c r="AO86" s="25">
        <f>VLOOKUP($R86,武学奇术!$A:$ZZ,27,FALSE)*(1+IF(OR($AM86=$F$4,$AM86=$F$5),$B$22,0))</f>
        <v>1131.2</v>
      </c>
      <c r="AP86" s="24">
        <f>VLOOKUP($R86,武学奇术!$A:$ZZ,28,FALSE)</f>
        <v>3.8249</v>
      </c>
      <c r="AQ86" s="25">
        <f>VLOOKUP($R86,武学奇术!$A:$ZZ,29,FALSE)*(1+IF(OR($AM86=$F$4,$AM86=$F$5),$B$22,0))</f>
        <v>616</v>
      </c>
      <c r="AR86" s="24" cm="1">
        <f t="array" ref="AR86">$G$3+IFERROR(VLOOKUP($AM86,$F$4:$G$7,2,FALSE),0)+VLOOKUP($R86,武学奇术!$A:$ZZ,2,FALSE)+SUM(_xlfn.XLOOKUP($S86:$AL86,增益!$A:$A,增益!$B:$B,0))</f>
        <v>0.6043</v>
      </c>
      <c r="AS86" s="24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4342.95</v>
      </c>
      <c r="AU86" cm="1">
        <f t="array" ref="AU86">$E$10*(1+$AS86)+VLOOKUP($R86,武学奇术!$A:$ZZ,4,FALSE)+SUM(_xlfn.XLOOKUP($S86:$AL86,增益!$A:$A,增益!$D:$D,0))-$I$2</f>
        <v>4342.95</v>
      </c>
      <c r="AV86" s="31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0.4284</v>
      </c>
      <c r="AW86" s="31" cm="1">
        <f t="array" ref="AW86">$G$10+VLOOKUP($R86,武学奇术!$A:$ZZ,7,FALSE)+SUM(_xlfn.XLOOKUP($S86:$AL86,增益!$A:$A,增益!$G:$G,0))</f>
        <v>0.11</v>
      </c>
      <c r="AX86" s="24" cm="1">
        <f t="array" ref="AX86">VLOOKUP($R86,武学奇术!$A:$ZZ,8,FALSE)+SUM(_xlfn.XLOOKUP($S86:$AL86,增益!$A:$A,增益!$H:$H,0))</f>
        <v>0</v>
      </c>
      <c r="AY86">
        <f t="shared" si="24"/>
        <v>0</v>
      </c>
      <c r="AZ86">
        <f t="shared" si="25"/>
        <v>0</v>
      </c>
      <c r="BA86" s="31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1" cm="1">
        <f t="array" ref="BB86">$G$11+VLOOKUP($R86,武学奇术!$A:$ZZ,10,FALSE)+SUM(_xlfn.XLOOKUP($S86:$AL86,增益!$A:$A,增益!$J:$J,0))</f>
        <v>0.12</v>
      </c>
      <c r="BC86">
        <f t="shared" si="26"/>
        <v>0</v>
      </c>
      <c r="BD86">
        <f t="shared" si="27"/>
        <v>0</v>
      </c>
      <c r="BE86" s="31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1" cm="1">
        <f t="array" ref="BF86">$G$12+VLOOKUP($R86,武学奇术!$A:$ZZ,12,FALSE)+SUM(_xlfn.XLOOKUP($S86:$AL86,增益!$A:$A,增益!$L:$L,0))</f>
        <v>0.02</v>
      </c>
      <c r="BG86">
        <f t="shared" si="28"/>
        <v>0</v>
      </c>
      <c r="BH86">
        <f t="shared" si="29"/>
        <v>0</v>
      </c>
      <c r="BI86" s="31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1" cm="1">
        <f t="array" ref="BJ86">$G$13+VLOOKUP($R86,武学奇术!$A:$ZZ,14,FALSE)+SUM(_xlfn.XLOOKUP($S86:$AL86,增益!$A:$A,增益!$N:$N,0))</f>
        <v>0.02</v>
      </c>
      <c r="BK86">
        <f t="shared" si="30"/>
        <v>649.11</v>
      </c>
      <c r="BL86">
        <f t="shared" si="31"/>
        <v>1812.09</v>
      </c>
      <c r="BM86" s="31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0.08</v>
      </c>
      <c r="BN86" s="31" cm="1">
        <f t="array" ref="BN86">$G$14+VLOOKUP($R86,武学奇术!$A:$ZZ,16,FALSE)+SUM(_xlfn.XLOOKUP($S86:$AL86,增益!$A:$A,增益!$P:$P,0))</f>
        <v>0.26</v>
      </c>
      <c r="BO86" s="24">
        <f>MIN(IF(VLOOKUP($R86,武学奇术!$A:$ZZ,23,FALSE)=1,100%,$B$8),100%)</f>
        <v>0.9943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0.8985</v>
      </c>
      <c r="BQ86" s="24" cm="1">
        <f t="array" ref="BQ86">1+$B$13+VLOOKUP($R86,武学奇术!$A:$ZZ,18,FALSE)+SUM(_xlfn.XLOOKUP($S86:$AL86,增益!$A:$A,增益!$R:$R,0))</f>
        <v>2.29</v>
      </c>
      <c r="BR86" s="24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4" cm="1">
        <f t="array" ref="BS86">1+$B$14+VLOOKUP($R86,武学奇术!$A:$ZZ,20,FALSE)+SUM(_xlfn.XLOOKUP($S86:$AL86,增益!$A:$A,增益!$T:$T,0))</f>
        <v>1.35</v>
      </c>
      <c r="BT86" s="24">
        <f t="shared" si="32"/>
        <v>0.89337855</v>
      </c>
      <c r="BU86" s="24">
        <f t="shared" si="33"/>
        <v>0.0153214500000001</v>
      </c>
      <c r="BV86" s="24">
        <f>IF(VLOOKUP($R86,武学奇术!$A:$ZZ,22,FALSE)=1,0,(1-$BO86))*(1-$BR86)</f>
        <v>0</v>
      </c>
      <c r="BW86" s="24" cm="1">
        <f t="array" ref="BW86">SUM(_xlfn.XLOOKUP($S86:$AL86,增益!$A:$A,增益!$W:$W,0))+$I$5</f>
        <v>0.31</v>
      </c>
      <c r="BX86" s="24">
        <f>VLOOKUP($R86,武学奇术!$A:$ZZ,32,FALSE)</f>
        <v>0.4</v>
      </c>
      <c r="BY86" s="24" cm="1">
        <f t="array" ref="BY86">SUM(_xlfn.XLOOKUP($S86:$AL86,增益!$A:$A,增益!$X:$X,0))</f>
        <v>0</v>
      </c>
    </row>
    <row r="87" spans="1:77">
      <c r="A87" t="s">
        <v>176</v>
      </c>
      <c r="B87">
        <v>0.8</v>
      </c>
      <c r="D87" s="38"/>
      <c r="F87" s="38"/>
      <c r="K87" s="37">
        <f>$L87*VLOOKUP($R87,武学奇术!$A:$ZZ,31,FALSE)</f>
        <v>456803.008526289</v>
      </c>
      <c r="L87" s="37">
        <f t="shared" si="34"/>
        <v>456803.008526289</v>
      </c>
      <c r="M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*(1+$BX87)</f>
        <v>475874.753134449</v>
      </c>
      <c r="N87" s="37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*(1+$BX87)</f>
        <v>311969.648997143</v>
      </c>
      <c r="O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*(1+$BX87)</f>
        <v>207805.569054345</v>
      </c>
      <c r="P87" s="37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*(1+$BX87)</f>
        <v>184522.509221917</v>
      </c>
      <c r="Q87" s="38">
        <v>1</v>
      </c>
      <c r="R87" s="39" t="s">
        <v>133</v>
      </c>
      <c r="S87" s="39" t="s">
        <v>104</v>
      </c>
      <c r="T87" s="39" t="s">
        <v>194</v>
      </c>
      <c r="U87" s="39" t="s">
        <v>81</v>
      </c>
      <c r="V87" s="39" t="s">
        <v>130</v>
      </c>
      <c r="W87" s="39" t="s">
        <v>83</v>
      </c>
      <c r="X87" s="39" t="s">
        <v>84</v>
      </c>
      <c r="Y87" s="39" t="s">
        <v>85</v>
      </c>
      <c r="Z87" s="39" t="s">
        <v>195</v>
      </c>
      <c r="AA87" s="39" t="s">
        <v>196</v>
      </c>
      <c r="AB87" s="39" t="s">
        <v>204</v>
      </c>
      <c r="AC87" s="39" t="s">
        <v>100</v>
      </c>
      <c r="AD87" s="39" t="s">
        <v>93</v>
      </c>
      <c r="AE87" s="39" t="s">
        <v>87</v>
      </c>
      <c r="AF87" s="39" t="s">
        <v>88</v>
      </c>
      <c r="AG87" s="39" t="s">
        <v>84</v>
      </c>
      <c r="AH87" s="39" t="s">
        <v>84</v>
      </c>
      <c r="AI87" s="39" t="s">
        <v>84</v>
      </c>
      <c r="AJ87" s="39" t="s">
        <v>84</v>
      </c>
      <c r="AK87" s="39" t="s">
        <v>84</v>
      </c>
      <c r="AL87" s="39" t="s">
        <v>84</v>
      </c>
      <c r="AM87" t="str">
        <f>VLOOKUP($R87,武学奇术!$A:$ZZ,25,FALSE)</f>
        <v>拳甲</v>
      </c>
      <c r="AN87" s="24">
        <f>VLOOKUP($R87,武学奇术!$A:$ZZ,26,FALSE)</f>
        <v>5.5691</v>
      </c>
      <c r="AO87" s="25">
        <f>VLOOKUP($R87,武学奇术!$A:$ZZ,27,FALSE)*(1+IF(OR($AM87=$F$4,$AM87=$F$5),$B$22,0))</f>
        <v>2470.4</v>
      </c>
      <c r="AP87" s="24">
        <f>VLOOKUP($R87,武学奇术!$A:$ZZ,28,FALSE)</f>
        <v>8.3537</v>
      </c>
      <c r="AQ87" s="25">
        <f>VLOOKUP($R87,武学奇术!$A:$ZZ,29,FALSE)*(1+IF(OR($AM87=$F$4,$AM87=$F$5),$B$22,0))</f>
        <v>1344</v>
      </c>
      <c r="AR87" s="24" cm="1">
        <f t="array" ref="AR87">$G$3+IFERROR(VLOOKUP($AM87,$F$4:$G$7,2,FALSE),0)+VLOOKUP($R87,武学奇术!$A:$ZZ,2,FALSE)+SUM(_xlfn.XLOOKUP($S87:$AL87,增益!$A:$A,增益!$B:$B,0))</f>
        <v>0.4543</v>
      </c>
      <c r="AS87" s="24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4342.95</v>
      </c>
      <c r="AU87" cm="1">
        <f t="array" ref="AU87">$E$10*(1+$AS87)+VLOOKUP($R87,武学奇术!$A:$ZZ,4,FALSE)+SUM(_xlfn.XLOOKUP($S87:$AL87,增益!$A:$A,增益!$D:$D,0))-$I$2</f>
        <v>4342.95</v>
      </c>
      <c r="AV87" s="31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0.4284</v>
      </c>
      <c r="AW87" s="31" cm="1">
        <f t="array" ref="AW87">$G$10+VLOOKUP($R87,武学奇术!$A:$ZZ,7,FALSE)+SUM(_xlfn.XLOOKUP($S87:$AL87,增益!$A:$A,增益!$G:$G,0))</f>
        <v>0.11</v>
      </c>
      <c r="AX87" s="24" cm="1">
        <f t="array" ref="AX87">VLOOKUP($R87,武学奇术!$A:$ZZ,8,FALSE)+SUM(_xlfn.XLOOKUP($S87:$AL87,增益!$A:$A,增益!$H:$H,0))</f>
        <v>0</v>
      </c>
      <c r="AY87">
        <f t="shared" si="24"/>
        <v>0</v>
      </c>
      <c r="AZ87">
        <f t="shared" si="25"/>
        <v>0</v>
      </c>
      <c r="BA87" s="31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1" cm="1">
        <f t="array" ref="BB87">$G$11+VLOOKUP($R87,武学奇术!$A:$ZZ,10,FALSE)+SUM(_xlfn.XLOOKUP($S87:$AL87,增益!$A:$A,增益!$J:$J,0))</f>
        <v>0.12</v>
      </c>
      <c r="BC87">
        <f t="shared" si="26"/>
        <v>0</v>
      </c>
      <c r="BD87">
        <f t="shared" si="27"/>
        <v>0</v>
      </c>
      <c r="BE87" s="31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1" cm="1">
        <f t="array" ref="BF87">$G$12+VLOOKUP($R87,武学奇术!$A:$ZZ,12,FALSE)+SUM(_xlfn.XLOOKUP($S87:$AL87,增益!$A:$A,增益!$L:$L,0))</f>
        <v>0.02</v>
      </c>
      <c r="BG87">
        <f t="shared" si="28"/>
        <v>0</v>
      </c>
      <c r="BH87">
        <f t="shared" si="29"/>
        <v>0</v>
      </c>
      <c r="BI87" s="31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1" cm="1">
        <f t="array" ref="BJ87">$G$13+VLOOKUP($R87,武学奇术!$A:$ZZ,14,FALSE)+SUM(_xlfn.XLOOKUP($S87:$AL87,增益!$A:$A,增益!$N:$N,0))</f>
        <v>0.02</v>
      </c>
      <c r="BK87">
        <f t="shared" si="30"/>
        <v>649.11</v>
      </c>
      <c r="BL87">
        <f t="shared" si="31"/>
        <v>1812.09</v>
      </c>
      <c r="BM87" s="31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0.08</v>
      </c>
      <c r="BN87" s="31" cm="1">
        <f t="array" ref="BN87">$G$14+VLOOKUP($R87,武学奇术!$A:$ZZ,16,FALSE)+SUM(_xlfn.XLOOKUP($S87:$AL87,增益!$A:$A,增益!$P:$P,0))</f>
        <v>0.26</v>
      </c>
      <c r="BO87" s="24">
        <f>MIN(IF(VLOOKUP($R87,武学奇术!$A:$ZZ,23,FALSE)=1,100%,$B$8),100%)</f>
        <v>0.9943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0.8985</v>
      </c>
      <c r="BQ87" s="24" cm="1">
        <f t="array" ref="BQ87">1+$B$13+VLOOKUP($R87,武学奇术!$A:$ZZ,18,FALSE)+SUM(_xlfn.XLOOKUP($S87:$AL87,增益!$A:$A,增益!$R:$R,0))</f>
        <v>2.29</v>
      </c>
      <c r="BR87" s="24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0.0913</v>
      </c>
      <c r="BS87" s="24" cm="1">
        <f t="array" ref="BS87">1+$B$14+VLOOKUP($R87,武学奇术!$A:$ZZ,20,FALSE)+SUM(_xlfn.XLOOKUP($S87:$AL87,增益!$A:$A,增益!$T:$T,0))</f>
        <v>1.35</v>
      </c>
      <c r="BT87" s="24">
        <f t="shared" si="32"/>
        <v>0.89337855</v>
      </c>
      <c r="BU87" s="24">
        <f t="shared" si="33"/>
        <v>0.0153214500000001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0.31</v>
      </c>
      <c r="BX87" s="24">
        <f>VLOOKUP($R87,武学奇术!$A:$ZZ,32,FALSE)</f>
        <v>0.4</v>
      </c>
      <c r="BY87" s="24" cm="1">
        <f t="array" ref="BY87">SUM(_xlfn.XLOOKUP($S87:$AL87,增益!$A:$A,增益!$X:$X,0))</f>
        <v>0</v>
      </c>
    </row>
    <row r="88" spans="1:77">
      <c r="A88" t="s">
        <v>200</v>
      </c>
      <c r="B88">
        <v>2.8</v>
      </c>
      <c r="D88" s="38"/>
      <c r="F88" s="38"/>
      <c r="K88" s="37">
        <f>$L88*VLOOKUP($R88,武学奇术!$A:$ZZ,31,FALSE)</f>
        <v>456803.008526289</v>
      </c>
      <c r="L88" s="37">
        <f t="shared" si="34"/>
        <v>456803.008526289</v>
      </c>
      <c r="M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*(1+$BX88)</f>
        <v>475874.753134449</v>
      </c>
      <c r="N88" s="37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*(1+$BX88)</f>
        <v>311969.648997143</v>
      </c>
      <c r="O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*(1+$BX88)</f>
        <v>207805.569054345</v>
      </c>
      <c r="P88" s="37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*(1+$BX88)</f>
        <v>184522.509221917</v>
      </c>
      <c r="Q88" s="38">
        <v>1</v>
      </c>
      <c r="R88" s="39" t="s">
        <v>133</v>
      </c>
      <c r="S88" s="39" t="s">
        <v>104</v>
      </c>
      <c r="T88" s="39" t="s">
        <v>194</v>
      </c>
      <c r="U88" s="39" t="s">
        <v>81</v>
      </c>
      <c r="V88" s="39" t="s">
        <v>130</v>
      </c>
      <c r="W88" s="39" t="s">
        <v>83</v>
      </c>
      <c r="X88" s="39" t="s">
        <v>84</v>
      </c>
      <c r="Y88" s="39" t="s">
        <v>85</v>
      </c>
      <c r="Z88" s="39" t="s">
        <v>195</v>
      </c>
      <c r="AA88" s="39" t="s">
        <v>196</v>
      </c>
      <c r="AB88" s="39" t="s">
        <v>204</v>
      </c>
      <c r="AC88" s="39" t="s">
        <v>100</v>
      </c>
      <c r="AD88" s="39" t="s">
        <v>93</v>
      </c>
      <c r="AE88" s="39" t="s">
        <v>87</v>
      </c>
      <c r="AF88" s="39" t="s">
        <v>88</v>
      </c>
      <c r="AG88" s="39" t="s">
        <v>84</v>
      </c>
      <c r="AH88" s="39" t="s">
        <v>84</v>
      </c>
      <c r="AI88" s="39" t="s">
        <v>84</v>
      </c>
      <c r="AJ88" s="39" t="s">
        <v>84</v>
      </c>
      <c r="AK88" s="39" t="s">
        <v>84</v>
      </c>
      <c r="AL88" s="39" t="s">
        <v>84</v>
      </c>
      <c r="AM88" t="str">
        <f>VLOOKUP($R88,武学奇术!$A:$ZZ,25,FALSE)</f>
        <v>拳甲</v>
      </c>
      <c r="AN88" s="24">
        <f>VLOOKUP($R88,武学奇术!$A:$ZZ,26,FALSE)</f>
        <v>5.5691</v>
      </c>
      <c r="AO88" s="25">
        <f>VLOOKUP($R88,武学奇术!$A:$ZZ,27,FALSE)*(1+IF(OR($AM88=$F$4,$AM88=$F$5),$B$22,0))</f>
        <v>2470.4</v>
      </c>
      <c r="AP88" s="24">
        <f>VLOOKUP($R88,武学奇术!$A:$ZZ,28,FALSE)</f>
        <v>8.3537</v>
      </c>
      <c r="AQ88" s="25">
        <f>VLOOKUP($R88,武学奇术!$A:$ZZ,29,FALSE)*(1+IF(OR($AM88=$F$4,$AM88=$F$5),$B$22,0))</f>
        <v>1344</v>
      </c>
      <c r="AR88" s="24" cm="1">
        <f t="array" ref="AR88">$G$3+IFERROR(VLOOKUP($AM88,$F$4:$G$7,2,FALSE),0)+VLOOKUP($R88,武学奇术!$A:$ZZ,2,FALSE)+SUM(_xlfn.XLOOKUP($S88:$AL88,增益!$A:$A,增益!$B:$B,0))</f>
        <v>0.4543</v>
      </c>
      <c r="AS88" s="24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4342.95</v>
      </c>
      <c r="AU88" cm="1">
        <f t="array" ref="AU88">$E$10*(1+$AS88)+VLOOKUP($R88,武学奇术!$A:$ZZ,4,FALSE)+SUM(_xlfn.XLOOKUP($S88:$AL88,增益!$A:$A,增益!$D:$D,0))-$I$2</f>
        <v>4342.95</v>
      </c>
      <c r="AV88" s="31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0.4284</v>
      </c>
      <c r="AW88" s="31" cm="1">
        <f t="array" ref="AW88">$G$10+VLOOKUP($R88,武学奇术!$A:$ZZ,7,FALSE)+SUM(_xlfn.XLOOKUP($S88:$AL88,增益!$A:$A,增益!$G:$G,0))</f>
        <v>0.11</v>
      </c>
      <c r="AX88" s="24" cm="1">
        <f t="array" ref="AX88">VLOOKUP($R88,武学奇术!$A:$ZZ,8,FALSE)+SUM(_xlfn.XLOOKUP($S88:$AL88,增益!$A:$A,增益!$H:$H,0))</f>
        <v>0</v>
      </c>
      <c r="AY88">
        <f t="shared" si="24"/>
        <v>0</v>
      </c>
      <c r="AZ88">
        <f t="shared" si="25"/>
        <v>0</v>
      </c>
      <c r="BA88" s="31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1" cm="1">
        <f t="array" ref="BB88">$G$11+VLOOKUP($R88,武学奇术!$A:$ZZ,10,FALSE)+SUM(_xlfn.XLOOKUP($S88:$AL88,增益!$A:$A,增益!$J:$J,0))</f>
        <v>0.12</v>
      </c>
      <c r="BC88">
        <f t="shared" si="26"/>
        <v>0</v>
      </c>
      <c r="BD88">
        <f t="shared" si="27"/>
        <v>0</v>
      </c>
      <c r="BE88" s="31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1" cm="1">
        <f t="array" ref="BF88">$G$12+VLOOKUP($R88,武学奇术!$A:$ZZ,12,FALSE)+SUM(_xlfn.XLOOKUP($S88:$AL88,增益!$A:$A,增益!$L:$L,0))</f>
        <v>0.02</v>
      </c>
      <c r="BG88">
        <f t="shared" si="28"/>
        <v>0</v>
      </c>
      <c r="BH88">
        <f t="shared" si="29"/>
        <v>0</v>
      </c>
      <c r="BI88" s="31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1" cm="1">
        <f t="array" ref="BJ88">$G$13+VLOOKUP($R88,武学奇术!$A:$ZZ,14,FALSE)+SUM(_xlfn.XLOOKUP($S88:$AL88,增益!$A:$A,增益!$N:$N,0))</f>
        <v>0.02</v>
      </c>
      <c r="BK88">
        <f t="shared" si="30"/>
        <v>649.11</v>
      </c>
      <c r="BL88">
        <f t="shared" si="31"/>
        <v>1812.09</v>
      </c>
      <c r="BM88" s="31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0.08</v>
      </c>
      <c r="BN88" s="31" cm="1">
        <f t="array" ref="BN88">$G$14+VLOOKUP($R88,武学奇术!$A:$ZZ,16,FALSE)+SUM(_xlfn.XLOOKUP($S88:$AL88,增益!$A:$A,增益!$P:$P,0))</f>
        <v>0.26</v>
      </c>
      <c r="BO88" s="24">
        <f>MIN(IF(VLOOKUP($R88,武学奇术!$A:$ZZ,23,FALSE)=1,100%,$B$8),100%)</f>
        <v>0.9943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0.8985</v>
      </c>
      <c r="BQ88" s="24" cm="1">
        <f t="array" ref="BQ88">1+$B$13+VLOOKUP($R88,武学奇术!$A:$ZZ,18,FALSE)+SUM(_xlfn.XLOOKUP($S88:$AL88,增益!$A:$A,增益!$R:$R,0))</f>
        <v>2.29</v>
      </c>
      <c r="BR88" s="24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0.0913</v>
      </c>
      <c r="BS88" s="24" cm="1">
        <f t="array" ref="BS88">1+$B$14+VLOOKUP($R88,武学奇术!$A:$ZZ,20,FALSE)+SUM(_xlfn.XLOOKUP($S88:$AL88,增益!$A:$A,增益!$T:$T,0))</f>
        <v>1.35</v>
      </c>
      <c r="BT88" s="24">
        <f t="shared" si="32"/>
        <v>0.89337855</v>
      </c>
      <c r="BU88" s="24">
        <f t="shared" si="33"/>
        <v>0.0153214500000001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0.31</v>
      </c>
      <c r="BX88" s="24">
        <f>VLOOKUP($R88,武学奇术!$A:$ZZ,32,FALSE)</f>
        <v>0.4</v>
      </c>
      <c r="BY88" s="24" cm="1">
        <f t="array" ref="BY88">SUM(_xlfn.XLOOKUP($S88:$AL88,增益!$A:$A,增益!$X:$X,0))</f>
        <v>0</v>
      </c>
    </row>
    <row r="89" spans="1:77">
      <c r="A89" t="s">
        <v>178</v>
      </c>
      <c r="B89" s="95">
        <v>0.1</v>
      </c>
      <c r="C89" s="38" t="s">
        <v>195</v>
      </c>
      <c r="D89" s="38"/>
      <c r="K89" s="37">
        <f>$L89*VLOOKUP($R89,武学奇术!$A:$ZZ,31,FALSE)</f>
        <v>42551.0573565118</v>
      </c>
      <c r="L89" s="37">
        <f t="shared" si="34"/>
        <v>42551.0573565118</v>
      </c>
      <c r="M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*(1+$BX89)</f>
        <v>43698.0986594235</v>
      </c>
      <c r="N89" s="37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*(1+$BX89)</f>
        <v>34735.8991115052</v>
      </c>
      <c r="O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*(1+$BX89)</f>
        <v>23120.6871213881</v>
      </c>
      <c r="P89" s="37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*(1+$BX89)</f>
        <v>20511.0786046242</v>
      </c>
      <c r="Q89" s="38">
        <v>1</v>
      </c>
      <c r="R89" s="39" t="s">
        <v>169</v>
      </c>
      <c r="S89" s="39" t="s">
        <v>104</v>
      </c>
      <c r="T89" s="39" t="s">
        <v>194</v>
      </c>
      <c r="U89" s="39" t="s">
        <v>81</v>
      </c>
      <c r="V89" s="39" t="s">
        <v>84</v>
      </c>
      <c r="W89" s="39" t="s">
        <v>84</v>
      </c>
      <c r="X89" s="39" t="s">
        <v>84</v>
      </c>
      <c r="Y89" s="39" t="s">
        <v>85</v>
      </c>
      <c r="Z89" s="39" t="s">
        <v>195</v>
      </c>
      <c r="AA89" s="39" t="s">
        <v>196</v>
      </c>
      <c r="AB89" s="39" t="s">
        <v>205</v>
      </c>
      <c r="AC89" s="39" t="s">
        <v>100</v>
      </c>
      <c r="AD89" s="39" t="s">
        <v>93</v>
      </c>
      <c r="AE89" s="39" t="s">
        <v>87</v>
      </c>
      <c r="AF89" s="39" t="s">
        <v>88</v>
      </c>
      <c r="AG89" s="39" t="s">
        <v>84</v>
      </c>
      <c r="AH89" s="39" t="s">
        <v>84</v>
      </c>
      <c r="AI89" s="39" t="s">
        <v>84</v>
      </c>
      <c r="AJ89" s="39" t="s">
        <v>84</v>
      </c>
      <c r="AK89" s="39" t="s">
        <v>84</v>
      </c>
      <c r="AL89" s="39" t="s">
        <v>84</v>
      </c>
      <c r="AM89" t="str">
        <f>VLOOKUP($R89,武学奇术!$A:$ZZ,25,FALSE)</f>
        <v>拳甲</v>
      </c>
      <c r="AN89" s="24">
        <f>VLOOKUP($R89,武学奇术!$A:$ZZ,26,FALSE)</f>
        <v>0.9193</v>
      </c>
      <c r="AO89" s="25">
        <f>VLOOKUP($R89,武学奇术!$A:$ZZ,27,FALSE)*(1+IF(OR($AM89=$F$4,$AM89=$F$5),$B$22,0))</f>
        <v>408</v>
      </c>
      <c r="AP89" s="24">
        <f>VLOOKUP($R89,武学奇术!$A:$ZZ,28,FALSE)</f>
        <v>1.379</v>
      </c>
      <c r="AQ89" s="25">
        <f>VLOOKUP($R89,武学奇术!$A:$ZZ,29,FALSE)*(1+IF(OR($AM89=$F$4,$AM89=$F$5),$B$22,0))</f>
        <v>222.4</v>
      </c>
      <c r="AR89" s="24" cm="1">
        <f t="array" ref="AR89">$G$3+IFERROR(VLOOKUP($AM89,$F$4:$G$7,2,FALSE),0)+VLOOKUP($R89,武学奇术!$A:$ZZ,2,FALSE)+SUM(_xlfn.XLOOKUP($S89:$AL89,增益!$A:$A,增益!$B:$B,0))</f>
        <v>0.4043</v>
      </c>
      <c r="AS89" s="24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4342.95</v>
      </c>
      <c r="AU89" cm="1">
        <f t="array" ref="AU89">$E$10*(1+$AS89)+VLOOKUP($R89,武学奇术!$A:$ZZ,4,FALSE)+SUM(_xlfn.XLOOKUP($S89:$AL89,增益!$A:$A,增益!$D:$D,0))-$I$2</f>
        <v>4342.95</v>
      </c>
      <c r="AV89" s="31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0.4284</v>
      </c>
      <c r="AW89" s="31" cm="1">
        <f t="array" ref="AW89">$G$10+VLOOKUP($R89,武学奇术!$A:$ZZ,7,FALSE)+SUM(_xlfn.XLOOKUP($S89:$AL89,增益!$A:$A,增益!$G:$G,0))</f>
        <v>0.02</v>
      </c>
      <c r="AX89" s="24" cm="1">
        <f t="array" ref="AX89">VLOOKUP($R89,武学奇术!$A:$ZZ,8,FALSE)+SUM(_xlfn.XLOOKUP($S89:$AL89,增益!$A:$A,增益!$H:$H,0))</f>
        <v>0</v>
      </c>
      <c r="AY89">
        <f t="shared" si="24"/>
        <v>0</v>
      </c>
      <c r="AZ89">
        <f t="shared" si="25"/>
        <v>0</v>
      </c>
      <c r="BA89" s="31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1" cm="1">
        <f t="array" ref="BB89">$G$11+VLOOKUP($R89,武学奇术!$A:$ZZ,10,FALSE)+SUM(_xlfn.XLOOKUP($S89:$AL89,增益!$A:$A,增益!$J:$J,0))</f>
        <v>0.12</v>
      </c>
      <c r="BC89">
        <f t="shared" si="26"/>
        <v>0</v>
      </c>
      <c r="BD89">
        <f t="shared" si="27"/>
        <v>0</v>
      </c>
      <c r="BE89" s="31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-0.14</v>
      </c>
      <c r="BF89" s="31" cm="1">
        <f t="array" ref="BF89">$G$12+VLOOKUP($R89,武学奇术!$A:$ZZ,12,FALSE)+SUM(_xlfn.XLOOKUP($S89:$AL89,增益!$A:$A,增益!$L:$L,0))</f>
        <v>0.02</v>
      </c>
      <c r="BG89">
        <f t="shared" si="28"/>
        <v>0</v>
      </c>
      <c r="BH89">
        <f t="shared" si="29"/>
        <v>0</v>
      </c>
      <c r="BI89" s="31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1" cm="1">
        <f t="array" ref="BJ89">$G$13+VLOOKUP($R89,武学奇术!$A:$ZZ,14,FALSE)+SUM(_xlfn.XLOOKUP($S89:$AL89,增益!$A:$A,增益!$N:$N,0))</f>
        <v>0.02</v>
      </c>
      <c r="BK89">
        <f t="shared" si="30"/>
        <v>649.11</v>
      </c>
      <c r="BL89">
        <f t="shared" si="31"/>
        <v>1812.09</v>
      </c>
      <c r="BM89" s="31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0.08</v>
      </c>
      <c r="BN89" s="31" cm="1">
        <f t="array" ref="BN89">$G$14+VLOOKUP($R89,武学奇术!$A:$ZZ,16,FALSE)+SUM(_xlfn.XLOOKUP($S89:$AL89,增益!$A:$A,增益!$P:$P,0))</f>
        <v>0.17</v>
      </c>
      <c r="BO89" s="24">
        <f>MIN(IF(VLOOKUP($R89,武学奇术!$A:$ZZ,23,FALSE)=1,100%,$B$8),100%)</f>
        <v>0.9943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0.8985</v>
      </c>
      <c r="BQ89" s="24" cm="1">
        <f t="array" ref="BQ89">1+$B$13+VLOOKUP($R89,武学奇术!$A:$ZZ,18,FALSE)+SUM(_xlfn.XLOOKUP($S89:$AL89,增益!$A:$A,增益!$R:$R,0))</f>
        <v>1.89</v>
      </c>
      <c r="BR89" s="24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4" cm="1">
        <f t="array" ref="BS89">1+$B$14+VLOOKUP($R89,武学奇术!$A:$ZZ,20,FALSE)+SUM(_xlfn.XLOOKUP($S89:$AL89,增益!$A:$A,增益!$T:$T,0))</f>
        <v>1.35</v>
      </c>
      <c r="BT89" s="24">
        <f t="shared" si="32"/>
        <v>0.89337855</v>
      </c>
      <c r="BU89" s="24">
        <f t="shared" si="33"/>
        <v>0.01014186</v>
      </c>
      <c r="BV89" s="24">
        <f>IF(VLOOKUP($R89,武学奇术!$A:$ZZ,22,FALSE)=1,0,(1-$BO89))*(1-$BR89)</f>
        <v>0.00517959000000003</v>
      </c>
      <c r="BW89" s="24" cm="1">
        <f t="array" ref="BW89">SUM(_xlfn.XLOOKUP($S89:$AL89,增益!$A:$A,增益!$W:$W,0))+$I$5</f>
        <v>0.31</v>
      </c>
      <c r="BX89" s="24">
        <f>VLOOKUP($R89,武学奇术!$A:$ZZ,32,FALSE)</f>
        <v>0.4</v>
      </c>
      <c r="BY89" s="24" cm="1">
        <f t="array" ref="BY89">SUM(_xlfn.XLOOKUP($S89:$AL89,增益!$A:$A,增益!$X:$X,0))</f>
        <v>0</v>
      </c>
    </row>
    <row r="90" spans="1:77">
      <c r="A90" t="s">
        <v>191</v>
      </c>
      <c r="B90">
        <v>2.4</v>
      </c>
      <c r="C90" s="38"/>
      <c r="D90" s="38"/>
      <c r="K90" s="37">
        <f>$L90*VLOOKUP($R90,武学奇术!$A:$ZZ,31,FALSE)</f>
        <v>57038.0880755764</v>
      </c>
      <c r="L90" s="37">
        <f t="shared" si="34"/>
        <v>57038.0880755764</v>
      </c>
      <c r="M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*(1+$BX90)</f>
        <v>58575.6762330501</v>
      </c>
      <c r="N90" s="37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*(1+$BX90)</f>
        <v>46561.9300984597</v>
      </c>
      <c r="O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*(1+$BX90)</f>
        <v>30992.4212873281</v>
      </c>
      <c r="P90" s="37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*(1+$BX90)</f>
        <v>27494.5239832046</v>
      </c>
      <c r="Q90" s="38">
        <v>1</v>
      </c>
      <c r="R90" s="39" t="s">
        <v>173</v>
      </c>
      <c r="S90" s="39" t="s">
        <v>104</v>
      </c>
      <c r="T90" s="39" t="s">
        <v>194</v>
      </c>
      <c r="U90" s="39" t="s">
        <v>81</v>
      </c>
      <c r="V90" s="39" t="s">
        <v>84</v>
      </c>
      <c r="W90" s="39" t="s">
        <v>84</v>
      </c>
      <c r="X90" s="39" t="s">
        <v>84</v>
      </c>
      <c r="Y90" s="39" t="s">
        <v>85</v>
      </c>
      <c r="Z90" s="39" t="s">
        <v>195</v>
      </c>
      <c r="AA90" s="39" t="s">
        <v>196</v>
      </c>
      <c r="AB90" s="39" t="s">
        <v>205</v>
      </c>
      <c r="AC90" s="39" t="s">
        <v>100</v>
      </c>
      <c r="AD90" s="39" t="s">
        <v>93</v>
      </c>
      <c r="AE90" s="39" t="s">
        <v>87</v>
      </c>
      <c r="AF90" s="39" t="s">
        <v>88</v>
      </c>
      <c r="AG90" s="39" t="s">
        <v>84</v>
      </c>
      <c r="AH90" s="39" t="s">
        <v>84</v>
      </c>
      <c r="AI90" s="39" t="s">
        <v>84</v>
      </c>
      <c r="AJ90" s="39" t="s">
        <v>84</v>
      </c>
      <c r="AK90" s="39" t="s">
        <v>84</v>
      </c>
      <c r="AL90" s="39" t="s">
        <v>84</v>
      </c>
      <c r="AM90" t="str">
        <f>VLOOKUP($R90,武学奇术!$A:$ZZ,25,FALSE)</f>
        <v>拳甲</v>
      </c>
      <c r="AN90" s="24">
        <f>VLOOKUP($R90,武学奇术!$A:$ZZ,26,FALSE)</f>
        <v>1.2324</v>
      </c>
      <c r="AO90" s="25">
        <f>VLOOKUP($R90,武学奇术!$A:$ZZ,27,FALSE)*(1+IF(OR($AM90=$F$4,$AM90=$F$5),$B$22,0))</f>
        <v>547.2</v>
      </c>
      <c r="AP90" s="24">
        <f>VLOOKUP($R90,武学奇术!$A:$ZZ,28,FALSE)</f>
        <v>1.8484</v>
      </c>
      <c r="AQ90" s="25">
        <f>VLOOKUP($R90,武学奇术!$A:$ZZ,29,FALSE)*(1+IF(OR($AM90=$F$4,$AM90=$F$5),$B$22,0))</f>
        <v>297.6</v>
      </c>
      <c r="AR90" s="24" cm="1">
        <f t="array" ref="AR90">$G$3+IFERROR(VLOOKUP($AM90,$F$4:$G$7,2,FALSE),0)+VLOOKUP($R90,武学奇术!$A:$ZZ,2,FALSE)+SUM(_xlfn.XLOOKUP($S90:$AL90,增益!$A:$A,增益!$B:$B,0))</f>
        <v>0.4043</v>
      </c>
      <c r="AS90" s="24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4342.95</v>
      </c>
      <c r="AU90" cm="1">
        <f t="array" ref="AU90">$E$10*(1+$AS90)+VLOOKUP($R90,武学奇术!$A:$ZZ,4,FALSE)+SUM(_xlfn.XLOOKUP($S90:$AL90,增益!$A:$A,增益!$D:$D,0))-$I$2</f>
        <v>4342.95</v>
      </c>
      <c r="AV90" s="31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0.4284</v>
      </c>
      <c r="AW90" s="31" cm="1">
        <f t="array" ref="AW90">$G$10+VLOOKUP($R90,武学奇术!$A:$ZZ,7,FALSE)+SUM(_xlfn.XLOOKUP($S90:$AL90,增益!$A:$A,增益!$G:$G,0))</f>
        <v>0.02</v>
      </c>
      <c r="AX90" s="24" cm="1">
        <f t="array" ref="AX90">VLOOKUP($R90,武学奇术!$A:$ZZ,8,FALSE)+SUM(_xlfn.XLOOKUP($S90:$AL90,增益!$A:$A,增益!$H:$H,0))</f>
        <v>0</v>
      </c>
      <c r="AY90">
        <f t="shared" si="24"/>
        <v>0</v>
      </c>
      <c r="AZ90">
        <f t="shared" si="25"/>
        <v>0</v>
      </c>
      <c r="BA90" s="31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1" cm="1">
        <f t="array" ref="BB90">$G$11+VLOOKUP($R90,武学奇术!$A:$ZZ,10,FALSE)+SUM(_xlfn.XLOOKUP($S90:$AL90,增益!$A:$A,增益!$J:$J,0))</f>
        <v>0.12</v>
      </c>
      <c r="BC90">
        <f t="shared" si="26"/>
        <v>0</v>
      </c>
      <c r="BD90">
        <f t="shared" si="27"/>
        <v>0</v>
      </c>
      <c r="BE90" s="31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-0.14</v>
      </c>
      <c r="BF90" s="31" cm="1">
        <f t="array" ref="BF90">$G$12+VLOOKUP($R90,武学奇术!$A:$ZZ,12,FALSE)+SUM(_xlfn.XLOOKUP($S90:$AL90,增益!$A:$A,增益!$L:$L,0))</f>
        <v>0.02</v>
      </c>
      <c r="BG90">
        <f t="shared" si="28"/>
        <v>0</v>
      </c>
      <c r="BH90">
        <f t="shared" si="29"/>
        <v>0</v>
      </c>
      <c r="BI90" s="31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-0.14</v>
      </c>
      <c r="BJ90" s="31" cm="1">
        <f t="array" ref="BJ90">$G$13+VLOOKUP($R90,武学奇术!$A:$ZZ,14,FALSE)+SUM(_xlfn.XLOOKUP($S90:$AL90,增益!$A:$A,增益!$N:$N,0))</f>
        <v>0.02</v>
      </c>
      <c r="BK90">
        <f t="shared" si="30"/>
        <v>649.11</v>
      </c>
      <c r="BL90">
        <f t="shared" si="31"/>
        <v>1812.09</v>
      </c>
      <c r="BM90" s="31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0.08</v>
      </c>
      <c r="BN90" s="31" cm="1">
        <f t="array" ref="BN90">$G$14+VLOOKUP($R90,武学奇术!$A:$ZZ,16,FALSE)+SUM(_xlfn.XLOOKUP($S90:$AL90,增益!$A:$A,增益!$P:$P,0))</f>
        <v>0.17</v>
      </c>
      <c r="BO90" s="24">
        <f>MIN(IF(VLOOKUP($R90,武学奇术!$A:$ZZ,23,FALSE)=1,100%,$B$8),100%)</f>
        <v>0.9943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0.8985</v>
      </c>
      <c r="BQ90" s="24" cm="1">
        <f t="array" ref="BQ90">1+$B$13+VLOOKUP($R90,武学奇术!$A:$ZZ,18,FALSE)+SUM(_xlfn.XLOOKUP($S90:$AL90,增益!$A:$A,增益!$R:$R,0))</f>
        <v>1.89</v>
      </c>
      <c r="BR90" s="24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4" cm="1">
        <f t="array" ref="BS90">1+$B$14+VLOOKUP($R90,武学奇术!$A:$ZZ,20,FALSE)+SUM(_xlfn.XLOOKUP($S90:$AL90,增益!$A:$A,增益!$T:$T,0))</f>
        <v>1.35</v>
      </c>
      <c r="BT90" s="24">
        <f t="shared" si="32"/>
        <v>0.89337855</v>
      </c>
      <c r="BU90" s="24">
        <f t="shared" si="33"/>
        <v>0.01014186</v>
      </c>
      <c r="BV90" s="24">
        <f>IF(VLOOKUP($R90,武学奇术!$A:$ZZ,22,FALSE)=1,0,(1-$BO90))*(1-$BR90)</f>
        <v>0.00517959000000003</v>
      </c>
      <c r="BW90" s="24" cm="1">
        <f t="array" ref="BW90">SUM(_xlfn.XLOOKUP($S90:$AL90,增益!$A:$A,增益!$W:$W,0))+$I$5</f>
        <v>0.31</v>
      </c>
      <c r="BX90" s="24">
        <f>VLOOKUP($R90,武学奇术!$A:$ZZ,32,FALSE)</f>
        <v>0.4</v>
      </c>
      <c r="BY90" s="24" cm="1">
        <f t="array" ref="BY90">SUM(_xlfn.XLOOKUP($S90:$AL90,增益!$A:$A,增益!$X:$X,0))</f>
        <v>0</v>
      </c>
    </row>
    <row r="91" spans="1:77">
      <c r="A91" t="s">
        <v>191</v>
      </c>
      <c r="B91">
        <v>2.1</v>
      </c>
      <c r="C91" s="38"/>
      <c r="D91" s="38"/>
      <c r="E91" s="38" t="s">
        <v>184</v>
      </c>
      <c r="K91" s="37">
        <f>$L91*VLOOKUP($R91,武学奇术!$A:$ZZ,31,FALSE)</f>
        <v>97213.7214957153</v>
      </c>
      <c r="L91" s="37">
        <f t="shared" si="34"/>
        <v>60758.575934822</v>
      </c>
      <c r="M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*(1+$BX91)</f>
        <v>62476.8908265952</v>
      </c>
      <c r="N91" s="37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*(1+$BX91)</f>
        <v>48967.2352823274</v>
      </c>
      <c r="O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*(1+$BX91)</f>
        <v>32204.5829003068</v>
      </c>
      <c r="P91" s="37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*(1+$BX91)</f>
        <v>28137.1396655563</v>
      </c>
      <c r="Q91" s="38">
        <v>1</v>
      </c>
      <c r="R91" s="39" t="s">
        <v>122</v>
      </c>
      <c r="S91" s="39" t="s">
        <v>104</v>
      </c>
      <c r="T91" s="39" t="s">
        <v>194</v>
      </c>
      <c r="U91" s="39" t="s">
        <v>81</v>
      </c>
      <c r="V91" s="39" t="s">
        <v>82</v>
      </c>
      <c r="W91" s="39" t="s">
        <v>83</v>
      </c>
      <c r="X91" s="39" t="s">
        <v>84</v>
      </c>
      <c r="Y91" s="39" t="s">
        <v>85</v>
      </c>
      <c r="Z91" s="39" t="s">
        <v>195</v>
      </c>
      <c r="AA91" s="39" t="s">
        <v>196</v>
      </c>
      <c r="AB91" s="39" t="s">
        <v>204</v>
      </c>
      <c r="AC91" s="39" t="s">
        <v>92</v>
      </c>
      <c r="AD91" s="39" t="s">
        <v>93</v>
      </c>
      <c r="AE91" s="39" t="s">
        <v>87</v>
      </c>
      <c r="AF91" s="39" t="s">
        <v>88</v>
      </c>
      <c r="AG91" s="39" t="s">
        <v>84</v>
      </c>
      <c r="AH91" s="39" t="s">
        <v>84</v>
      </c>
      <c r="AI91" s="39" t="s">
        <v>84</v>
      </c>
      <c r="AJ91" s="39" t="s">
        <v>84</v>
      </c>
      <c r="AK91" s="39" t="s">
        <v>84</v>
      </c>
      <c r="AL91" s="39" t="s">
        <v>84</v>
      </c>
      <c r="AM91" t="str">
        <f>VLOOKUP($R91,武学奇术!$A:$ZZ,25,FALSE)</f>
        <v>拳甲</v>
      </c>
      <c r="AN91" s="24">
        <f>VLOOKUP($R91,武学奇术!$A:$ZZ,26,FALSE)</f>
        <v>1.862784</v>
      </c>
      <c r="AO91" s="25">
        <f>VLOOKUP($R91,武学奇术!$A:$ZZ,27,FALSE)*(1+IF(OR($AM91=$F$4,$AM91=$F$5),$B$22,0))</f>
        <v>0</v>
      </c>
      <c r="AP91" s="24">
        <f>VLOOKUP($R91,武学奇术!$A:$ZZ,28,FALSE)</f>
        <v>2.794176</v>
      </c>
      <c r="AQ91" s="25">
        <f>VLOOKUP($R91,武学奇术!$A:$ZZ,29,FALSE)*(1+IF(OR($AM91=$F$4,$AM91=$F$5),$B$22,0))</f>
        <v>0</v>
      </c>
      <c r="AR91" s="24" cm="1">
        <f t="array" ref="AR91">$G$3+IFERROR(VLOOKUP($AM91,$F$4:$G$7,2,FALSE),0)+VLOOKUP($R91,武学奇术!$A:$ZZ,2,FALSE)+SUM(_xlfn.XLOOKUP($S91:$AL91,增益!$A:$A,增益!$B:$B,0))</f>
        <v>0.4043</v>
      </c>
      <c r="AS91" s="24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4342.95</v>
      </c>
      <c r="AU91" cm="1">
        <f t="array" ref="AU91">$E$10*(1+$AS91)+VLOOKUP($R91,武学奇术!$A:$ZZ,4,FALSE)+SUM(_xlfn.XLOOKUP($S91:$AL91,增益!$A:$A,增益!$D:$D,0))-$I$2</f>
        <v>4342.95</v>
      </c>
      <c r="AV91" s="31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0.4284</v>
      </c>
      <c r="AW91" s="31" cm="1">
        <f t="array" ref="AW91">$G$10+VLOOKUP($R91,武学奇术!$A:$ZZ,7,FALSE)+SUM(_xlfn.XLOOKUP($S91:$AL91,增益!$A:$A,增益!$G:$G,0))</f>
        <v>0.11</v>
      </c>
      <c r="AX91" s="24" cm="1">
        <f t="array" ref="AX91">VLOOKUP($R91,武学奇术!$A:$ZZ,8,FALSE)+SUM(_xlfn.XLOOKUP($S91:$AL91,增益!$A:$A,增益!$H:$H,0))</f>
        <v>0</v>
      </c>
      <c r="AY91">
        <f t="shared" si="24"/>
        <v>0</v>
      </c>
      <c r="AZ91">
        <f t="shared" si="25"/>
        <v>0</v>
      </c>
      <c r="BA91" s="31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1" cm="1">
        <f t="array" ref="BB91">$G$11+VLOOKUP($R91,武学奇术!$A:$ZZ,10,FALSE)+SUM(_xlfn.XLOOKUP($S91:$AL91,增益!$A:$A,增益!$J:$J,0))</f>
        <v>0.12</v>
      </c>
      <c r="BC91">
        <f t="shared" si="26"/>
        <v>0</v>
      </c>
      <c r="BD91">
        <f t="shared" si="27"/>
        <v>0</v>
      </c>
      <c r="BE91" s="31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-0.14</v>
      </c>
      <c r="BF91" s="31" cm="1">
        <f t="array" ref="BF91">$G$12+VLOOKUP($R91,武学奇术!$A:$ZZ,12,FALSE)+SUM(_xlfn.XLOOKUP($S91:$AL91,增益!$A:$A,增益!$L:$L,0))</f>
        <v>0.02</v>
      </c>
      <c r="BG91">
        <f t="shared" si="28"/>
        <v>0</v>
      </c>
      <c r="BH91">
        <f t="shared" si="29"/>
        <v>0</v>
      </c>
      <c r="BI91" s="31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1" cm="1">
        <f t="array" ref="BJ91">$G$13+VLOOKUP($R91,武学奇术!$A:$ZZ,14,FALSE)+SUM(_xlfn.XLOOKUP($S91:$AL91,增益!$A:$A,增益!$N:$N,0))</f>
        <v>0.02</v>
      </c>
      <c r="BK91">
        <f t="shared" si="30"/>
        <v>649.11</v>
      </c>
      <c r="BL91">
        <f t="shared" si="31"/>
        <v>1812.09</v>
      </c>
      <c r="BM91" s="31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0.08</v>
      </c>
      <c r="BN91" s="31" cm="1">
        <f t="array" ref="BN91">$G$14+VLOOKUP($R91,武学奇术!$A:$ZZ,16,FALSE)+SUM(_xlfn.XLOOKUP($S91:$AL91,增益!$A:$A,增益!$P:$P,0))</f>
        <v>0.26</v>
      </c>
      <c r="BO91" s="24">
        <f>MIN(IF(VLOOKUP($R91,武学奇术!$A:$ZZ,23,FALSE)=1,100%,$B$8),100%)</f>
        <v>0.9943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0.8985</v>
      </c>
      <c r="BQ91" s="24" cm="1">
        <f t="array" ref="BQ91">1+$B$13+VLOOKUP($R91,武学奇术!$A:$ZZ,18,FALSE)+SUM(_xlfn.XLOOKUP($S91:$AL91,增益!$A:$A,增益!$R:$R,0))</f>
        <v>1.94</v>
      </c>
      <c r="BR91" s="24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4" cm="1">
        <f t="array" ref="BS91">1+$B$14+VLOOKUP($R91,武学奇术!$A:$ZZ,20,FALSE)+SUM(_xlfn.XLOOKUP($S91:$AL91,增益!$A:$A,增益!$T:$T,0))</f>
        <v>1.35</v>
      </c>
      <c r="BT91" s="24">
        <f t="shared" si="32"/>
        <v>0.89337855</v>
      </c>
      <c r="BU91" s="24">
        <f t="shared" si="33"/>
        <v>0.01014186</v>
      </c>
      <c r="BV91" s="24">
        <f>IF(VLOOKUP($R91,武学奇术!$A:$ZZ,22,FALSE)=1,0,(1-$BO91))*(1-$BR91)</f>
        <v>0.00517959000000003</v>
      </c>
      <c r="BW91" s="24" cm="1">
        <f t="array" ref="BW91">SUM(_xlfn.XLOOKUP($S91:$AL91,增益!$A:$A,增益!$W:$W,0))+$I$5</f>
        <v>0.31</v>
      </c>
      <c r="BX91" s="24">
        <f>VLOOKUP($R91,武学奇术!$A:$ZZ,32,FALSE)</f>
        <v>0</v>
      </c>
      <c r="BY91" s="24" cm="1">
        <f t="array" ref="BY91">SUM(_xlfn.XLOOKUP($S91:$AL91,增益!$A:$A,增益!$X:$X,0))</f>
        <v>0</v>
      </c>
    </row>
    <row r="92" spans="1:77">
      <c r="A92" t="s">
        <v>191</v>
      </c>
      <c r="B92">
        <v>1.83</v>
      </c>
      <c r="C92" s="38"/>
      <c r="D92" s="38"/>
      <c r="E92" s="38"/>
      <c r="K92" s="37">
        <f>$L92*VLOOKUP($R92,武学奇术!$A:$ZZ,31,FALSE)</f>
        <v>42742.428855792</v>
      </c>
      <c r="L92" s="37">
        <f t="shared" si="34"/>
        <v>42742.428855792</v>
      </c>
      <c r="M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*(1+$BX92)</f>
        <v>43990.5494675021</v>
      </c>
      <c r="N92" s="37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*(1+$BX92)</f>
        <v>34041.0723265373</v>
      </c>
      <c r="O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*(1+$BX92)</f>
        <v>22675.54096263</v>
      </c>
      <c r="P92" s="37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*(1+$BX92)</f>
        <v>20135.4727944916</v>
      </c>
      <c r="Q92" s="38">
        <v>1</v>
      </c>
      <c r="R92" s="39" t="s">
        <v>115</v>
      </c>
      <c r="S92" s="39" t="s">
        <v>104</v>
      </c>
      <c r="T92" s="39" t="s">
        <v>194</v>
      </c>
      <c r="U92" s="39" t="s">
        <v>81</v>
      </c>
      <c r="V92" s="39" t="s">
        <v>82</v>
      </c>
      <c r="W92" s="39" t="s">
        <v>83</v>
      </c>
      <c r="X92" s="39" t="s">
        <v>84</v>
      </c>
      <c r="Y92" s="39" t="s">
        <v>85</v>
      </c>
      <c r="Z92" s="39" t="s">
        <v>84</v>
      </c>
      <c r="AA92" s="39" t="s">
        <v>84</v>
      </c>
      <c r="AB92" s="39" t="s">
        <v>204</v>
      </c>
      <c r="AC92" s="39" t="s">
        <v>92</v>
      </c>
      <c r="AD92" s="39" t="s">
        <v>93</v>
      </c>
      <c r="AE92" s="39" t="s">
        <v>87</v>
      </c>
      <c r="AF92" s="39" t="s">
        <v>88</v>
      </c>
      <c r="AG92" s="39" t="s">
        <v>84</v>
      </c>
      <c r="AH92" s="39" t="s">
        <v>84</v>
      </c>
      <c r="AI92" s="39" t="s">
        <v>84</v>
      </c>
      <c r="AJ92" s="39" t="s">
        <v>84</v>
      </c>
      <c r="AK92" s="39" t="s">
        <v>84</v>
      </c>
      <c r="AL92" s="39" t="s">
        <v>84</v>
      </c>
      <c r="AM92" t="str">
        <f>VLOOKUP($R92,武学奇术!$A:$ZZ,25,FALSE)</f>
        <v>双刀</v>
      </c>
      <c r="AN92" s="24">
        <f>VLOOKUP($R92,武学奇术!$A:$ZZ,26,FALSE)</f>
        <v>1.3728</v>
      </c>
      <c r="AO92" s="25">
        <f>VLOOKUP($R92,武学奇术!$A:$ZZ,27,FALSE)*(1+IF(OR($AM92=$F$4,$AM92=$F$5),$B$22,0))</f>
        <v>609.44</v>
      </c>
      <c r="AP92" s="24">
        <f>VLOOKUP($R92,武学奇术!$A:$ZZ,28,FALSE)</f>
        <v>2.05933</v>
      </c>
      <c r="AQ92" s="25">
        <f>VLOOKUP($R92,武学奇术!$A:$ZZ,29,FALSE)*(1+IF(OR($AM92=$F$4,$AM92=$F$5),$B$22,0))</f>
        <v>332.8</v>
      </c>
      <c r="AR92" s="24" cm="1">
        <f t="array" ref="AR92">$G$3+IFERROR(VLOOKUP($AM92,$F$4:$G$7,2,FALSE),0)+VLOOKUP($R92,武学奇术!$A:$ZZ,2,FALSE)+SUM(_xlfn.XLOOKUP($S92:$AL92,增益!$A:$A,增益!$B:$B,0))</f>
        <v>0.4043</v>
      </c>
      <c r="AS92" s="24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4342.95</v>
      </c>
      <c r="AU92" cm="1">
        <f t="array" ref="AU92">$E$10*(1+$AS92)+VLOOKUP($R92,武学奇术!$A:$ZZ,4,FALSE)+SUM(_xlfn.XLOOKUP($S92:$AL92,增益!$A:$A,增益!$D:$D,0))-$I$2</f>
        <v>4342.95</v>
      </c>
      <c r="AV92" s="31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0.4284</v>
      </c>
      <c r="AW92" s="31" cm="1">
        <f t="array" ref="AW92">$G$10+VLOOKUP($R92,武学奇术!$A:$ZZ,7,FALSE)+SUM(_xlfn.XLOOKUP($S92:$AL92,增益!$A:$A,增益!$G:$G,0))</f>
        <v>0.11</v>
      </c>
      <c r="AX92" s="24" cm="1">
        <f t="array" ref="AX92">VLOOKUP($R92,武学奇术!$A:$ZZ,8,FALSE)+SUM(_xlfn.XLOOKUP($S92:$AL92,增益!$A:$A,增益!$H:$H,0))</f>
        <v>0</v>
      </c>
      <c r="AY92">
        <f t="shared" si="24"/>
        <v>0</v>
      </c>
      <c r="AZ92">
        <f t="shared" si="25"/>
        <v>0</v>
      </c>
      <c r="BA92" s="31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-0.14</v>
      </c>
      <c r="BB92" s="31" cm="1">
        <f t="array" ref="BB92">$G$11+VLOOKUP($R92,武学奇术!$A:$ZZ,10,FALSE)+SUM(_xlfn.XLOOKUP($S92:$AL92,增益!$A:$A,增益!$J:$J,0))</f>
        <v>0.02</v>
      </c>
      <c r="BC92">
        <f t="shared" si="26"/>
        <v>0</v>
      </c>
      <c r="BD92">
        <f t="shared" si="27"/>
        <v>0</v>
      </c>
      <c r="BE92" s="31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-0.14</v>
      </c>
      <c r="BF92" s="31" cm="1">
        <f t="array" ref="BF92">$G$12+VLOOKUP($R92,武学奇术!$A:$ZZ,12,FALSE)+SUM(_xlfn.XLOOKUP($S92:$AL92,增益!$A:$A,增益!$L:$L,0))</f>
        <v>0.02</v>
      </c>
      <c r="BG92">
        <f t="shared" si="28"/>
        <v>0</v>
      </c>
      <c r="BH92">
        <f t="shared" si="29"/>
        <v>0</v>
      </c>
      <c r="BI92" s="31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-0.14</v>
      </c>
      <c r="BJ92" s="31" cm="1">
        <f t="array" ref="BJ92">$G$13+VLOOKUP($R92,武学奇术!$A:$ZZ,14,FALSE)+SUM(_xlfn.XLOOKUP($S92:$AL92,增益!$A:$A,增益!$N:$N,0))</f>
        <v>0.02</v>
      </c>
      <c r="BK92">
        <f t="shared" si="30"/>
        <v>649.11</v>
      </c>
      <c r="BL92">
        <f t="shared" si="31"/>
        <v>1812.09</v>
      </c>
      <c r="BM92" s="31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0.08</v>
      </c>
      <c r="BN92" s="31" cm="1">
        <f t="array" ref="BN92">$G$14+VLOOKUP($R92,武学奇术!$A:$ZZ,16,FALSE)+SUM(_xlfn.XLOOKUP($S92:$AL92,增益!$A:$A,增益!$P:$P,0))</f>
        <v>0.26</v>
      </c>
      <c r="BO92" s="24">
        <f>MIN(IF(VLOOKUP($R92,武学奇术!$A:$ZZ,23,FALSE)=1,100%,$B$8),100%)</f>
        <v>0.9943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0.8985</v>
      </c>
      <c r="BQ92" s="24" cm="1">
        <f t="array" ref="BQ92">1+$B$13+VLOOKUP($R92,武学奇术!$A:$ZZ,18,FALSE)+SUM(_xlfn.XLOOKUP($S92:$AL92,增益!$A:$A,增益!$R:$R,0))</f>
        <v>1.94</v>
      </c>
      <c r="BR92" s="24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4" cm="1">
        <f t="array" ref="BS92">1+$B$14+VLOOKUP($R92,武学奇术!$A:$ZZ,20,FALSE)+SUM(_xlfn.XLOOKUP($S92:$AL92,增益!$A:$A,增益!$T:$T,0))</f>
        <v>1.35</v>
      </c>
      <c r="BT92" s="24">
        <f t="shared" si="32"/>
        <v>0.89337855</v>
      </c>
      <c r="BU92" s="24">
        <f t="shared" si="33"/>
        <v>0.01014186</v>
      </c>
      <c r="BV92" s="24">
        <f>IF(VLOOKUP($R92,武学奇术!$A:$ZZ,22,FALSE)=1,0,(1-$BO92))*(1-$BR92)</f>
        <v>0.00517959000000003</v>
      </c>
      <c r="BW92" s="24" cm="1">
        <f t="array" ref="BW92">SUM(_xlfn.XLOOKUP($S92:$AL92,增益!$A:$A,增益!$W:$W,0))+$I$5</f>
        <v>0.11</v>
      </c>
      <c r="BX92" s="24">
        <f>VLOOKUP($R92,武学奇术!$A:$ZZ,32,FALSE)</f>
        <v>0</v>
      </c>
      <c r="BY92" s="24" cm="1">
        <f t="array" ref="BY92">SUM(_xlfn.XLOOKUP($S92:$AL92,增益!$A:$A,增益!$X:$X,0))</f>
        <v>0</v>
      </c>
    </row>
    <row r="93" spans="1:77">
      <c r="A93" t="s">
        <v>202</v>
      </c>
      <c r="B93">
        <v>0.7</v>
      </c>
      <c r="C93" s="38"/>
      <c r="D93" s="38"/>
      <c r="E93" s="38"/>
      <c r="K93" s="37">
        <f>$L93*VLOOKUP($R93,武学奇术!$A:$ZZ,31,FALSE)</f>
        <v>268959.030301217</v>
      </c>
      <c r="L93" s="89">
        <f>SUM(L80:L88)*0.2*(1+BY93)</f>
        <v>537918.060602434</v>
      </c>
      <c r="M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*(1+$BX93)</f>
        <v>0</v>
      </c>
      <c r="N93" s="37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*(1+$BX93)</f>
        <v>0</v>
      </c>
      <c r="O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*(1+$BX93)</f>
        <v>0</v>
      </c>
      <c r="P93" s="37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*(1+$BX93)</f>
        <v>0</v>
      </c>
      <c r="Q93" s="38">
        <v>1</v>
      </c>
      <c r="R93" s="39" t="s">
        <v>180</v>
      </c>
      <c r="S93" s="39" t="s">
        <v>181</v>
      </c>
      <c r="T93" s="39" t="s">
        <v>84</v>
      </c>
      <c r="U93" s="39" t="s">
        <v>84</v>
      </c>
      <c r="V93" s="39" t="s">
        <v>84</v>
      </c>
      <c r="W93" s="39" t="s">
        <v>84</v>
      </c>
      <c r="X93" s="39" t="s">
        <v>84</v>
      </c>
      <c r="Y93" s="39" t="s">
        <v>84</v>
      </c>
      <c r="Z93" s="39" t="s">
        <v>84</v>
      </c>
      <c r="AA93" s="39" t="s">
        <v>84</v>
      </c>
      <c r="AB93" s="39" t="s">
        <v>84</v>
      </c>
      <c r="AC93" s="39" t="s">
        <v>84</v>
      </c>
      <c r="AD93" s="39" t="s">
        <v>84</v>
      </c>
      <c r="AE93" s="39" t="s">
        <v>87</v>
      </c>
      <c r="AF93" s="39" t="s">
        <v>88</v>
      </c>
      <c r="AG93" s="39" t="s">
        <v>84</v>
      </c>
      <c r="AH93" s="39" t="s">
        <v>84</v>
      </c>
      <c r="AI93" s="39" t="s">
        <v>84</v>
      </c>
      <c r="AJ93" s="39" t="s">
        <v>84</v>
      </c>
      <c r="AK93" s="39" t="s">
        <v>84</v>
      </c>
      <c r="AL93" s="39" t="s">
        <v>84</v>
      </c>
      <c r="AM93" t="str">
        <f>VLOOKUP($R93,武学奇术!$A:$ZZ,25,FALSE)</f>
        <v>心法</v>
      </c>
      <c r="AN93" s="24">
        <f>VLOOKUP($R93,武学奇术!$A:$ZZ,26,FALSE)</f>
        <v>0</v>
      </c>
      <c r="AO93" s="25">
        <f>VLOOKUP($R93,武学奇术!$A:$ZZ,27,FALSE)*(1+IF(OR($AM93=$F$4,$AM93=$F$5),$B$22,0))</f>
        <v>0</v>
      </c>
      <c r="AP93" s="24">
        <f>VLOOKUP($R93,武学奇术!$A:$ZZ,28,FALSE)</f>
        <v>0</v>
      </c>
      <c r="AQ93" s="25">
        <f>VLOOKUP($R93,武学奇术!$A:$ZZ,29,FALSE)*(1+IF(OR($AM93=$F$4,$AM93=$F$5),$B$22,0))</f>
        <v>0</v>
      </c>
      <c r="AR93" s="24" cm="1">
        <f t="array" ref="AR93">$G$3+IFERROR(VLOOKUP($AM93,$F$4:$G$7,2,FALSE),0)+VLOOKUP($R93,武学奇术!$A:$ZZ,2,FALSE)+SUM(_xlfn.XLOOKUP($S93:$AL93,增益!$A:$A,增益!$B:$B,0))</f>
        <v>0.1842</v>
      </c>
      <c r="AS93" s="24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4342.95</v>
      </c>
      <c r="AU93" cm="1">
        <f t="array" ref="AU93">$E$10*(1+$AS93)+VLOOKUP($R93,武学奇术!$A:$ZZ,4,FALSE)+SUM(_xlfn.XLOOKUP($S93:$AL93,增益!$A:$A,增益!$D:$D,0))-$I$2</f>
        <v>4342.95</v>
      </c>
      <c r="AV93" s="31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0.2534</v>
      </c>
      <c r="AW93" s="31" cm="1">
        <f t="array" ref="AW93">$G$10+VLOOKUP($R93,武学奇术!$A:$ZZ,7,FALSE)+SUM(_xlfn.XLOOKUP($S93:$AL93,增益!$A:$A,增益!$G:$G,0))</f>
        <v>0</v>
      </c>
      <c r="AX93" s="24" cm="1">
        <f t="array" ref="AX93">VLOOKUP($R93,武学奇术!$A:$ZZ,8,FALSE)+SUM(_xlfn.XLOOKUP($S93:$AL93,增益!$A:$A,增益!$H:$H,0))</f>
        <v>0</v>
      </c>
      <c r="AY93">
        <f t="shared" si="24"/>
        <v>0</v>
      </c>
      <c r="AZ93">
        <f t="shared" si="25"/>
        <v>0</v>
      </c>
      <c r="BA93" s="31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1" cm="1">
        <f t="array" ref="BB93">$G$11+VLOOKUP($R93,武学奇术!$A:$ZZ,10,FALSE)+SUM(_xlfn.XLOOKUP($S93:$AL93,增益!$A:$A,增益!$J:$J,0))</f>
        <v>0</v>
      </c>
      <c r="BC93">
        <f t="shared" si="26"/>
        <v>0</v>
      </c>
      <c r="BD93">
        <f t="shared" si="27"/>
        <v>0</v>
      </c>
      <c r="BE93" s="31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1" cm="1">
        <f t="array" ref="BF93">$G$12+VLOOKUP($R93,武学奇术!$A:$ZZ,12,FALSE)+SUM(_xlfn.XLOOKUP($S93:$AL93,增益!$A:$A,增益!$L:$L,0))</f>
        <v>0</v>
      </c>
      <c r="BG93">
        <f t="shared" si="28"/>
        <v>0</v>
      </c>
      <c r="BH93">
        <f t="shared" si="29"/>
        <v>0</v>
      </c>
      <c r="BI93" s="31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1" cm="1">
        <f t="array" ref="BJ93">$G$13+VLOOKUP($R93,武学奇术!$A:$ZZ,14,FALSE)+SUM(_xlfn.XLOOKUP($S93:$AL93,增益!$A:$A,增益!$N:$N,0))</f>
        <v>0</v>
      </c>
      <c r="BK93">
        <f t="shared" si="30"/>
        <v>649.11</v>
      </c>
      <c r="BL93">
        <f t="shared" si="31"/>
        <v>1812.09</v>
      </c>
      <c r="BM93" s="31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1" cm="1">
        <f t="array" ref="BN93">$G$14+VLOOKUP($R93,武学奇术!$A:$ZZ,16,FALSE)+SUM(_xlfn.XLOOKUP($S93:$AL93,增益!$A:$A,增益!$P:$P,0))</f>
        <v>0.15</v>
      </c>
      <c r="BO93" s="24">
        <f>MIN(IF(VLOOKUP($R93,武学奇术!$A:$ZZ,23,FALSE)=1,100%,$B$8),100%)</f>
        <v>0.9943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0.8985</v>
      </c>
      <c r="BQ93" s="24" cm="1">
        <f t="array" ref="BQ93">1+$B$13+VLOOKUP($R93,武学奇术!$A:$ZZ,18,FALSE)+SUM(_xlfn.XLOOKUP($S93:$AL93,增益!$A:$A,增益!$R:$R,0))</f>
        <v>1.54</v>
      </c>
      <c r="BR93" s="24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4" cm="1">
        <f t="array" ref="BS93">1+$B$14+VLOOKUP($R93,武学奇术!$A:$ZZ,20,FALSE)+SUM(_xlfn.XLOOKUP($S93:$AL93,增益!$A:$A,增益!$T:$T,0))</f>
        <v>1.35</v>
      </c>
      <c r="BT93" s="24">
        <f t="shared" si="32"/>
        <v>0.89337855</v>
      </c>
      <c r="BU93" s="24">
        <f t="shared" si="33"/>
        <v>0.01014186</v>
      </c>
      <c r="BV93" s="24">
        <f>IF(VLOOKUP($R93,武学奇术!$A:$ZZ,22,FALSE)=1,0,(1-$BO93))*(1-$BR93)</f>
        <v>0.00517959000000003</v>
      </c>
      <c r="BW93" s="24" cm="1">
        <f t="array" ref="BW93">SUM(_xlfn.XLOOKUP($S93:$AL93,增益!$A:$A,增益!$W:$W,0))+$I$5</f>
        <v>0.11</v>
      </c>
      <c r="BX93" s="24">
        <f>VLOOKUP($R93,武学奇术!$A:$ZZ,32,FALSE)</f>
        <v>0</v>
      </c>
      <c r="BY93" s="24" cm="1">
        <f t="array" ref="BY93">SUM(_xlfn.XLOOKUP($S93:$AL93,增益!$A:$A,增益!$X:$X,0))</f>
        <v>0.2</v>
      </c>
    </row>
    <row r="94" spans="1:77">
      <c r="A94" t="s">
        <v>203</v>
      </c>
      <c r="B94">
        <v>0.8</v>
      </c>
      <c r="C94" s="38"/>
      <c r="D94" s="38"/>
      <c r="E94" s="38"/>
      <c r="K94" s="37">
        <f>$L94*VLOOKUP($R94,武学奇术!$A:$ZZ,31,FALSE)</f>
        <v>57168.278178921</v>
      </c>
      <c r="L94" s="37">
        <f t="shared" si="34"/>
        <v>57168.278178921</v>
      </c>
      <c r="M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*(1+$BX94)</f>
        <v>59498.9151446936</v>
      </c>
      <c r="N94" s="37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*(1+$BX94)</f>
        <v>39658.6455828151</v>
      </c>
      <c r="O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*(1+$BX94)</f>
        <v>26562.0156895953</v>
      </c>
      <c r="P94" s="37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*(1+$BX94)</f>
        <v>23747.2568734017</v>
      </c>
      <c r="Q94" s="38">
        <v>1</v>
      </c>
      <c r="R94" s="39" t="s">
        <v>124</v>
      </c>
      <c r="S94" s="39" t="s">
        <v>104</v>
      </c>
      <c r="T94" s="39" t="s">
        <v>194</v>
      </c>
      <c r="U94" s="39" t="s">
        <v>81</v>
      </c>
      <c r="V94" s="39" t="s">
        <v>82</v>
      </c>
      <c r="W94" s="39" t="s">
        <v>83</v>
      </c>
      <c r="X94" s="39" t="s">
        <v>84</v>
      </c>
      <c r="Y94" s="39" t="s">
        <v>84</v>
      </c>
      <c r="Z94" s="39" t="s">
        <v>84</v>
      </c>
      <c r="AA94" s="39" t="s">
        <v>84</v>
      </c>
      <c r="AB94" s="39" t="s">
        <v>204</v>
      </c>
      <c r="AC94" s="39" t="s">
        <v>92</v>
      </c>
      <c r="AD94" s="39" t="s">
        <v>93</v>
      </c>
      <c r="AE94" s="39" t="s">
        <v>87</v>
      </c>
      <c r="AF94" s="39" t="s">
        <v>88</v>
      </c>
      <c r="AG94" s="39" t="s">
        <v>84</v>
      </c>
      <c r="AH94" s="39" t="s">
        <v>84</v>
      </c>
      <c r="AI94" s="39" t="s">
        <v>84</v>
      </c>
      <c r="AJ94" s="39" t="s">
        <v>84</v>
      </c>
      <c r="AK94" s="39" t="s">
        <v>84</v>
      </c>
      <c r="AL94" s="39" t="s">
        <v>84</v>
      </c>
      <c r="AM94" t="str">
        <f>VLOOKUP($R94,武学奇术!$A:$ZZ,25,FALSE)</f>
        <v>拳甲</v>
      </c>
      <c r="AN94" s="24">
        <f>VLOOKUP($R94,武学奇术!$A:$ZZ,26,FALSE)</f>
        <v>1.1333</v>
      </c>
      <c r="AO94" s="25">
        <f>VLOOKUP($R94,武学奇术!$A:$ZZ,27,FALSE)*(1+IF(OR($AM94=$F$4,$AM94=$F$5),$B$22,0))</f>
        <v>502.4</v>
      </c>
      <c r="AP94" s="24">
        <f>VLOOKUP($R94,武学奇术!$A:$ZZ,28,FALSE)</f>
        <v>1.6999</v>
      </c>
      <c r="AQ94" s="25">
        <f>VLOOKUP($R94,武学奇术!$A:$ZZ,29,FALSE)*(1+IF(OR($AM94=$F$4,$AM94=$F$5),$B$22,0))</f>
        <v>273.6</v>
      </c>
      <c r="AR94" s="24" cm="1">
        <f t="array" ref="AR94">$G$3+IFERROR(VLOOKUP($AM94,$F$4:$G$7,2,FALSE),0)+VLOOKUP($R94,武学奇术!$A:$ZZ,2,FALSE)+SUM(_xlfn.XLOOKUP($S94:$AL94,增益!$A:$A,增益!$B:$B,0))</f>
        <v>0.4543</v>
      </c>
      <c r="AS94" s="24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4342.95</v>
      </c>
      <c r="AU94" cm="1">
        <f t="array" ref="AU94">$E$10*(1+$AS94)+VLOOKUP($R94,武学奇术!$A:$ZZ,4,FALSE)+SUM(_xlfn.XLOOKUP($S94:$AL94,增益!$A:$A,增益!$D:$D,0))-$I$2</f>
        <v>4342.95</v>
      </c>
      <c r="AV94" s="31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0.4284</v>
      </c>
      <c r="AW94" s="31" cm="1">
        <f t="array" ref="AW94">$G$10+VLOOKUP($R94,武学奇术!$A:$ZZ,7,FALSE)+SUM(_xlfn.XLOOKUP($S94:$AL94,增益!$A:$A,增益!$G:$G,0))</f>
        <v>0.11</v>
      </c>
      <c r="AX94" s="24" cm="1">
        <f t="array" ref="AX94">VLOOKUP($R94,武学奇术!$A:$ZZ,8,FALSE)+SUM(_xlfn.XLOOKUP($S94:$AL94,增益!$A:$A,增益!$H:$H,0))</f>
        <v>0</v>
      </c>
      <c r="AY94">
        <f t="shared" si="24"/>
        <v>0</v>
      </c>
      <c r="AZ94">
        <f t="shared" si="25"/>
        <v>0</v>
      </c>
      <c r="BA94" s="31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1" cm="1">
        <f t="array" ref="BB94">$G$11+VLOOKUP($R94,武学奇术!$A:$ZZ,10,FALSE)+SUM(_xlfn.XLOOKUP($S94:$AL94,增益!$A:$A,增益!$J:$J,0))</f>
        <v>0.02</v>
      </c>
      <c r="BC94">
        <f t="shared" si="26"/>
        <v>0</v>
      </c>
      <c r="BD94">
        <f t="shared" si="27"/>
        <v>0</v>
      </c>
      <c r="BE94" s="31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1" cm="1">
        <f t="array" ref="BF94">$G$12+VLOOKUP($R94,武学奇术!$A:$ZZ,12,FALSE)+SUM(_xlfn.XLOOKUP($S94:$AL94,增益!$A:$A,增益!$L:$L,0))</f>
        <v>0.02</v>
      </c>
      <c r="BG94">
        <f t="shared" si="28"/>
        <v>0</v>
      </c>
      <c r="BH94">
        <f t="shared" si="29"/>
        <v>0</v>
      </c>
      <c r="BI94" s="31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1" cm="1">
        <f t="array" ref="BJ94">$G$13+VLOOKUP($R94,武学奇术!$A:$ZZ,14,FALSE)+SUM(_xlfn.XLOOKUP($S94:$AL94,增益!$A:$A,增益!$N:$N,0))</f>
        <v>0.02</v>
      </c>
      <c r="BK94">
        <f t="shared" si="30"/>
        <v>649.11</v>
      </c>
      <c r="BL94">
        <f t="shared" si="31"/>
        <v>1812.09</v>
      </c>
      <c r="BM94" s="31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1" cm="1">
        <f t="array" ref="BN94">$G$14+VLOOKUP($R94,武学奇术!$A:$ZZ,16,FALSE)+SUM(_xlfn.XLOOKUP($S94:$AL94,增益!$A:$A,增益!$P:$P,0))</f>
        <v>0.26</v>
      </c>
      <c r="BO94" s="24">
        <f>MIN(IF(VLOOKUP($R94,武学奇术!$A:$ZZ,23,FALSE)=1,100%,$B$8),100%)</f>
        <v>0.9943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0.8985</v>
      </c>
      <c r="BQ94" s="24" cm="1">
        <f t="array" ref="BQ94">1+$B$13+VLOOKUP($R94,武学奇术!$A:$ZZ,18,FALSE)+SUM(_xlfn.XLOOKUP($S94:$AL94,增益!$A:$A,增益!$R:$R,0))</f>
        <v>2.24</v>
      </c>
      <c r="BR94" s="24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4" cm="1">
        <f t="array" ref="BS94">1+$B$14+VLOOKUP($R94,武学奇术!$A:$ZZ,20,FALSE)+SUM(_xlfn.XLOOKUP($S94:$AL94,增益!$A:$A,增益!$T:$T,0))</f>
        <v>1.35</v>
      </c>
      <c r="BT94" s="24">
        <f t="shared" si="32"/>
        <v>0.89337855</v>
      </c>
      <c r="BU94" s="24">
        <f t="shared" si="33"/>
        <v>0.01014186</v>
      </c>
      <c r="BV94" s="24">
        <f>IF(VLOOKUP($R94,武学奇术!$A:$ZZ,22,FALSE)=1,0,(1-$BO94))*(1-$BR94)</f>
        <v>0.00517959000000003</v>
      </c>
      <c r="BW94" s="24" cm="1">
        <f t="array" ref="BW94">SUM(_xlfn.XLOOKUP($S94:$AL94,增益!$A:$A,增益!$W:$W,0))+$I$5</f>
        <v>0.11</v>
      </c>
      <c r="BX94" s="24">
        <f>VLOOKUP($R94,武学奇术!$A:$ZZ,32,FALSE)</f>
        <v>0.4</v>
      </c>
      <c r="BY94" s="24" cm="1">
        <f t="array" ref="BY94">SUM(_xlfn.XLOOKUP($S94:$AL94,增益!$A:$A,增益!$X:$X,0))</f>
        <v>0</v>
      </c>
    </row>
    <row r="95" spans="1:77">
      <c r="A95" t="s">
        <v>182</v>
      </c>
      <c r="B95">
        <v>0.7</v>
      </c>
      <c r="C95" s="38"/>
      <c r="D95" s="38"/>
      <c r="K95" s="37">
        <f>$L95*VLOOKUP($R95,武学奇术!$A:$ZZ,31,FALSE)</f>
        <v>39101.9941183792</v>
      </c>
      <c r="L95" s="37">
        <f t="shared" si="34"/>
        <v>39101.9941183792</v>
      </c>
      <c r="M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*(1+$BX95)</f>
        <v>40696.2066862976</v>
      </c>
      <c r="N95" s="37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*(1+$BX95)</f>
        <v>27124.6916705183</v>
      </c>
      <c r="O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*(1+$BX95)</f>
        <v>18167.9494135257</v>
      </c>
      <c r="P95" s="37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*(1+$BX95)</f>
        <v>16243.5346266675</v>
      </c>
      <c r="Q95" s="38">
        <v>1</v>
      </c>
      <c r="R95" s="39" t="s">
        <v>127</v>
      </c>
      <c r="S95" s="39" t="s">
        <v>104</v>
      </c>
      <c r="T95" s="39" t="s">
        <v>194</v>
      </c>
      <c r="U95" s="39" t="s">
        <v>81</v>
      </c>
      <c r="V95" s="39" t="s">
        <v>82</v>
      </c>
      <c r="W95" s="39" t="s">
        <v>83</v>
      </c>
      <c r="X95" s="39" t="s">
        <v>84</v>
      </c>
      <c r="Y95" s="39" t="s">
        <v>84</v>
      </c>
      <c r="Z95" s="39" t="s">
        <v>84</v>
      </c>
      <c r="AA95" s="39" t="s">
        <v>84</v>
      </c>
      <c r="AB95" s="39" t="s">
        <v>204</v>
      </c>
      <c r="AC95" s="39" t="s">
        <v>92</v>
      </c>
      <c r="AD95" s="39" t="s">
        <v>93</v>
      </c>
      <c r="AE95" s="39" t="s">
        <v>87</v>
      </c>
      <c r="AF95" s="39" t="s">
        <v>88</v>
      </c>
      <c r="AG95" s="39" t="s">
        <v>84</v>
      </c>
      <c r="AH95" s="39" t="s">
        <v>84</v>
      </c>
      <c r="AI95" s="39" t="s">
        <v>84</v>
      </c>
      <c r="AJ95" s="39" t="s">
        <v>84</v>
      </c>
      <c r="AK95" s="39" t="s">
        <v>84</v>
      </c>
      <c r="AL95" s="39" t="s">
        <v>84</v>
      </c>
      <c r="AM95" t="str">
        <f>VLOOKUP($R95,武学奇术!$A:$ZZ,25,FALSE)</f>
        <v>拳甲</v>
      </c>
      <c r="AN95" s="24">
        <f>VLOOKUP($R95,武学奇术!$A:$ZZ,26,FALSE)</f>
        <v>0.7748</v>
      </c>
      <c r="AO95" s="25">
        <f>VLOOKUP($R95,武学奇术!$A:$ZZ,27,FALSE)*(1+IF(OR($AM95=$F$4,$AM95=$F$5),$B$22,0))</f>
        <v>345.6</v>
      </c>
      <c r="AP95" s="24">
        <f>VLOOKUP($R95,武学奇术!$A:$ZZ,28,FALSE)</f>
        <v>1.1622</v>
      </c>
      <c r="AQ95" s="25">
        <f>VLOOKUP($R95,武学奇术!$A:$ZZ,29,FALSE)*(1+IF(OR($AM95=$F$4,$AM95=$F$5),$B$22,0))</f>
        <v>187.2</v>
      </c>
      <c r="AR95" s="24" cm="1">
        <f t="array" ref="AR95">$G$3+IFERROR(VLOOKUP($AM95,$F$4:$G$7,2,FALSE),0)+VLOOKUP($R95,武学奇术!$A:$ZZ,2,FALSE)+SUM(_xlfn.XLOOKUP($S95:$AL95,增益!$A:$A,增益!$B:$B,0))</f>
        <v>0.4543</v>
      </c>
      <c r="AS95" s="24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4342.95</v>
      </c>
      <c r="AU95" cm="1">
        <f t="array" ref="AU95">$E$10*(1+$AS95)+VLOOKUP($R95,武学奇术!$A:$ZZ,4,FALSE)+SUM(_xlfn.XLOOKUP($S95:$AL95,增益!$A:$A,增益!$D:$D,0))-$I$2</f>
        <v>4342.95</v>
      </c>
      <c r="AV95" s="31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0.4284</v>
      </c>
      <c r="AW95" s="31" cm="1">
        <f t="array" ref="AW95">$G$10+VLOOKUP($R95,武学奇术!$A:$ZZ,7,FALSE)+SUM(_xlfn.XLOOKUP($S95:$AL95,增益!$A:$A,增益!$G:$G,0))</f>
        <v>0.11</v>
      </c>
      <c r="AX95" s="24" cm="1">
        <f t="array" ref="AX95">VLOOKUP($R95,武学奇术!$A:$ZZ,8,FALSE)+SUM(_xlfn.XLOOKUP($S95:$AL95,增益!$A:$A,增益!$H:$H,0))</f>
        <v>0</v>
      </c>
      <c r="AY95">
        <f t="shared" si="24"/>
        <v>0</v>
      </c>
      <c r="AZ95">
        <f t="shared" si="25"/>
        <v>0</v>
      </c>
      <c r="BA95" s="31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1" cm="1">
        <f t="array" ref="BB95">$G$11+VLOOKUP($R95,武学奇术!$A:$ZZ,10,FALSE)+SUM(_xlfn.XLOOKUP($S95:$AL95,增益!$A:$A,增益!$J:$J,0))</f>
        <v>0.02</v>
      </c>
      <c r="BC95">
        <f t="shared" si="26"/>
        <v>0</v>
      </c>
      <c r="BD95">
        <f t="shared" si="27"/>
        <v>0</v>
      </c>
      <c r="BE95" s="31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1" cm="1">
        <f t="array" ref="BF95">$G$12+VLOOKUP($R95,武学奇术!$A:$ZZ,12,FALSE)+SUM(_xlfn.XLOOKUP($S95:$AL95,增益!$A:$A,增益!$L:$L,0))</f>
        <v>0.02</v>
      </c>
      <c r="BG95">
        <f t="shared" si="28"/>
        <v>0</v>
      </c>
      <c r="BH95">
        <f t="shared" si="29"/>
        <v>0</v>
      </c>
      <c r="BI95" s="31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1" cm="1">
        <f t="array" ref="BJ95">$G$13+VLOOKUP($R95,武学奇术!$A:$ZZ,14,FALSE)+SUM(_xlfn.XLOOKUP($S95:$AL95,增益!$A:$A,增益!$N:$N,0))</f>
        <v>0.02</v>
      </c>
      <c r="BK95">
        <f t="shared" si="30"/>
        <v>649.11</v>
      </c>
      <c r="BL95">
        <f t="shared" si="31"/>
        <v>1812.09</v>
      </c>
      <c r="BM95" s="31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1" cm="1">
        <f t="array" ref="BN95">$G$14+VLOOKUP($R95,武学奇术!$A:$ZZ,16,FALSE)+SUM(_xlfn.XLOOKUP($S95:$AL95,增益!$A:$A,增益!$P:$P,0))</f>
        <v>0.26</v>
      </c>
      <c r="BO95" s="24">
        <f>MIN(IF(VLOOKUP($R95,武学奇术!$A:$ZZ,23,FALSE)=1,100%,$B$8),100%)</f>
        <v>0.9943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0.8985</v>
      </c>
      <c r="BQ95" s="24" cm="1">
        <f t="array" ref="BQ95">1+$B$13+VLOOKUP($R95,武学奇术!$A:$ZZ,18,FALSE)+SUM(_xlfn.XLOOKUP($S95:$AL95,增益!$A:$A,增益!$R:$R,0))</f>
        <v>2.24</v>
      </c>
      <c r="BR95" s="24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4" cm="1">
        <f t="array" ref="BS95">1+$B$14+VLOOKUP($R95,武学奇术!$A:$ZZ,20,FALSE)+SUM(_xlfn.XLOOKUP($S95:$AL95,增益!$A:$A,增益!$T:$T,0))</f>
        <v>1.35</v>
      </c>
      <c r="BT95" s="24">
        <f t="shared" si="32"/>
        <v>0.89337855</v>
      </c>
      <c r="BU95" s="24">
        <f t="shared" si="33"/>
        <v>0.01014186</v>
      </c>
      <c r="BV95" s="24">
        <f>IF(VLOOKUP($R95,武学奇术!$A:$ZZ,22,FALSE)=1,0,(1-$BO95))*(1-$BR95)</f>
        <v>0.00517959000000003</v>
      </c>
      <c r="BW95" s="24" cm="1">
        <f t="array" ref="BW95">SUM(_xlfn.XLOOKUP($S95:$AL95,增益!$A:$A,增益!$W:$W,0))+$I$5</f>
        <v>0.11</v>
      </c>
      <c r="BX95" s="24">
        <f>VLOOKUP($R95,武学奇术!$A:$ZZ,32,FALSE)</f>
        <v>0.4</v>
      </c>
      <c r="BY95" s="24" cm="1">
        <f t="array" ref="BY95">SUM(_xlfn.XLOOKUP($S95:$AL95,增益!$A:$A,增益!$X:$X,0))</f>
        <v>0</v>
      </c>
    </row>
    <row r="96" spans="1:77">
      <c r="A96" t="s">
        <v>178</v>
      </c>
      <c r="B96" s="95">
        <v>0.1</v>
      </c>
      <c r="C96" s="38"/>
      <c r="D96" s="38"/>
      <c r="K96" s="37">
        <f>$L96*VLOOKUP($R96,武学奇术!$A:$ZZ,31,FALSE)</f>
        <v>82617.3627838367</v>
      </c>
      <c r="L96" s="37">
        <f t="shared" si="34"/>
        <v>51635.851739898</v>
      </c>
      <c r="M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*(1+$BX96)</f>
        <v>53227.6815679217</v>
      </c>
      <c r="N96" s="37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*(1+$BX96)</f>
        <v>40417.305632905</v>
      </c>
      <c r="O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*(1+$BX96)</f>
        <v>26747.5786773476</v>
      </c>
      <c r="P96" s="37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*(1+$BX96)</f>
        <v>23556.4124414322</v>
      </c>
      <c r="Q96" s="38">
        <v>1</v>
      </c>
      <c r="R96" s="39" t="s">
        <v>122</v>
      </c>
      <c r="S96" s="39" t="s">
        <v>104</v>
      </c>
      <c r="T96" s="39" t="s">
        <v>194</v>
      </c>
      <c r="U96" s="39" t="s">
        <v>81</v>
      </c>
      <c r="V96" s="39" t="s">
        <v>130</v>
      </c>
      <c r="W96" s="39" t="s">
        <v>83</v>
      </c>
      <c r="X96" s="39" t="s">
        <v>84</v>
      </c>
      <c r="Y96" s="39" t="s">
        <v>84</v>
      </c>
      <c r="Z96" s="39" t="s">
        <v>84</v>
      </c>
      <c r="AA96" s="39" t="s">
        <v>84</v>
      </c>
      <c r="AB96" s="39" t="s">
        <v>204</v>
      </c>
      <c r="AC96" s="39" t="s">
        <v>92</v>
      </c>
      <c r="AD96" s="39" t="s">
        <v>93</v>
      </c>
      <c r="AE96" s="39" t="s">
        <v>87</v>
      </c>
      <c r="AF96" s="39" t="s">
        <v>88</v>
      </c>
      <c r="AG96" s="39" t="s">
        <v>84</v>
      </c>
      <c r="AH96" s="39" t="s">
        <v>84</v>
      </c>
      <c r="AI96" s="39" t="s">
        <v>84</v>
      </c>
      <c r="AJ96" s="39" t="s">
        <v>84</v>
      </c>
      <c r="AK96" s="39" t="s">
        <v>84</v>
      </c>
      <c r="AL96" s="39" t="s">
        <v>84</v>
      </c>
      <c r="AM96" t="str">
        <f>VLOOKUP($R96,武学奇术!$A:$ZZ,25,FALSE)</f>
        <v>拳甲</v>
      </c>
      <c r="AN96" s="24">
        <f>VLOOKUP($R96,武学奇术!$A:$ZZ,26,FALSE)</f>
        <v>1.862784</v>
      </c>
      <c r="AO96" s="25">
        <f>VLOOKUP($R96,武学奇术!$A:$ZZ,27,FALSE)*(1+IF(OR($AM96=$F$4,$AM96=$F$5),$B$22,0))</f>
        <v>0</v>
      </c>
      <c r="AP96" s="24">
        <f>VLOOKUP($R96,武学奇术!$A:$ZZ,28,FALSE)</f>
        <v>2.794176</v>
      </c>
      <c r="AQ96" s="25">
        <f>VLOOKUP($R96,武学奇术!$A:$ZZ,29,FALSE)*(1+IF(OR($AM96=$F$4,$AM96=$F$5),$B$22,0))</f>
        <v>0</v>
      </c>
      <c r="AR96" s="24" cm="1">
        <f t="array" ref="AR96">$G$3+IFERROR(VLOOKUP($AM96,$F$4:$G$7,2,FALSE),0)+VLOOKUP($R96,武学奇术!$A:$ZZ,2,FALSE)+SUM(_xlfn.XLOOKUP($S96:$AL96,增益!$A:$A,增益!$B:$B,0))</f>
        <v>0.4043</v>
      </c>
      <c r="AS96" s="24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4342.95</v>
      </c>
      <c r="AU96" cm="1">
        <f t="array" ref="AU96">$E$10*(1+$AS96)+VLOOKUP($R96,武学奇术!$A:$ZZ,4,FALSE)+SUM(_xlfn.XLOOKUP($S96:$AL96,增益!$A:$A,增益!$D:$D,0))-$I$2</f>
        <v>4342.95</v>
      </c>
      <c r="AV96" s="31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0.4284</v>
      </c>
      <c r="AW96" s="31" cm="1">
        <f t="array" ref="AW96">$G$10+VLOOKUP($R96,武学奇术!$A:$ZZ,7,FALSE)+SUM(_xlfn.XLOOKUP($S96:$AL96,增益!$A:$A,增益!$G:$G,0))</f>
        <v>0.11</v>
      </c>
      <c r="AX96" s="24" cm="1">
        <f t="array" ref="AX96">VLOOKUP($R96,武学奇术!$A:$ZZ,8,FALSE)+SUM(_xlfn.XLOOKUP($S96:$AL96,增益!$A:$A,增益!$H:$H,0))</f>
        <v>0</v>
      </c>
      <c r="AY96">
        <f t="shared" si="24"/>
        <v>0</v>
      </c>
      <c r="AZ96">
        <f t="shared" si="25"/>
        <v>0</v>
      </c>
      <c r="BA96" s="31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1" cm="1">
        <f t="array" ref="BB96">$G$11+VLOOKUP($R96,武学奇术!$A:$ZZ,10,FALSE)+SUM(_xlfn.XLOOKUP($S96:$AL96,增益!$A:$A,增益!$J:$J,0))</f>
        <v>0.02</v>
      </c>
      <c r="BC96">
        <f t="shared" si="26"/>
        <v>0</v>
      </c>
      <c r="BD96">
        <f t="shared" si="27"/>
        <v>0</v>
      </c>
      <c r="BE96" s="31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1" cm="1">
        <f t="array" ref="BF96">$G$12+VLOOKUP($R96,武学奇术!$A:$ZZ,12,FALSE)+SUM(_xlfn.XLOOKUP($S96:$AL96,增益!$A:$A,增益!$L:$L,0))</f>
        <v>0.02</v>
      </c>
      <c r="BG96">
        <f t="shared" si="28"/>
        <v>0</v>
      </c>
      <c r="BH96">
        <f t="shared" si="29"/>
        <v>0</v>
      </c>
      <c r="BI96" s="31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31" cm="1">
        <f t="array" ref="BJ96">$G$13+VLOOKUP($R96,武学奇术!$A:$ZZ,14,FALSE)+SUM(_xlfn.XLOOKUP($S96:$AL96,增益!$A:$A,增益!$N:$N,0))</f>
        <v>0.02</v>
      </c>
      <c r="BK96">
        <f t="shared" si="30"/>
        <v>649.11</v>
      </c>
      <c r="BL96">
        <f t="shared" si="31"/>
        <v>1812.09</v>
      </c>
      <c r="BM96" s="31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31" cm="1">
        <f t="array" ref="BN96">$G$14+VLOOKUP($R96,武学奇术!$A:$ZZ,16,FALSE)+SUM(_xlfn.XLOOKUP($S96:$AL96,增益!$A:$A,增益!$P:$P,0))</f>
        <v>0.26</v>
      </c>
      <c r="BO96" s="24">
        <f>MIN(IF(VLOOKUP($R96,武学奇术!$A:$ZZ,23,FALSE)=1,100%,$B$8),100%)</f>
        <v>0.9943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0.8985</v>
      </c>
      <c r="BQ96" s="24" cm="1">
        <f t="array" ref="BQ96">1+$B$13+VLOOKUP($R96,武学奇术!$A:$ZZ,18,FALSE)+SUM(_xlfn.XLOOKUP($S96:$AL96,增益!$A:$A,增益!$R:$R,0))</f>
        <v>1.99</v>
      </c>
      <c r="BR96" s="24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4" cm="1">
        <f t="array" ref="BS96">1+$B$14+VLOOKUP($R96,武学奇术!$A:$ZZ,20,FALSE)+SUM(_xlfn.XLOOKUP($S96:$AL96,增益!$A:$A,增益!$T:$T,0))</f>
        <v>1.35</v>
      </c>
      <c r="BT96" s="24">
        <f t="shared" si="32"/>
        <v>0.89337855</v>
      </c>
      <c r="BU96" s="24">
        <f t="shared" si="33"/>
        <v>0.01014186</v>
      </c>
      <c r="BV96" s="24">
        <f>IF(VLOOKUP($R96,武学奇术!$A:$ZZ,22,FALSE)=1,0,(1-$BO96))*(1-$BR96)</f>
        <v>0.00517959000000003</v>
      </c>
      <c r="BW96" s="24" cm="1">
        <f t="array" ref="BW96">SUM(_xlfn.XLOOKUP($S96:$AL96,增益!$A:$A,增益!$W:$W,0))+$I$5</f>
        <v>0.11</v>
      </c>
      <c r="BX96" s="24">
        <f>VLOOKUP($R96,武学奇术!$A:$ZZ,32,FALSE)</f>
        <v>0</v>
      </c>
      <c r="BY96" s="24" cm="1">
        <f t="array" ref="BY96">SUM(_xlfn.XLOOKUP($S96:$AL96,增益!$A:$A,增益!$X:$X,0))</f>
        <v>0</v>
      </c>
    </row>
    <row r="97" spans="1:77">
      <c r="A97" t="s">
        <v>177</v>
      </c>
      <c r="B97">
        <v>0.7</v>
      </c>
      <c r="D97" s="38"/>
      <c r="K97" s="37">
        <f>$L97*VLOOKUP($R97,武学奇术!$A:$ZZ,31,FALSE)</f>
        <v>65521.1222297483</v>
      </c>
      <c r="L97" s="37">
        <f t="shared" si="34"/>
        <v>65521.1222297483</v>
      </c>
      <c r="M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*(1+$BX97)</f>
        <v>68279.865153174</v>
      </c>
      <c r="N97" s="37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*(1+$BX97)</f>
        <v>44518.3215204066</v>
      </c>
      <c r="O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*(1+$BX97)</f>
        <v>29816.535001386</v>
      </c>
      <c r="P97" s="37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*(1+$BX97)</f>
        <v>26656.5355432116</v>
      </c>
      <c r="Q97" s="38">
        <v>1</v>
      </c>
      <c r="R97" s="39" t="s">
        <v>136</v>
      </c>
      <c r="S97" s="39" t="s">
        <v>104</v>
      </c>
      <c r="T97" s="39" t="s">
        <v>194</v>
      </c>
      <c r="U97" s="39" t="s">
        <v>81</v>
      </c>
      <c r="V97" s="39" t="s">
        <v>130</v>
      </c>
      <c r="W97" s="39" t="s">
        <v>83</v>
      </c>
      <c r="X97" s="39" t="s">
        <v>84</v>
      </c>
      <c r="Y97" s="39" t="s">
        <v>84</v>
      </c>
      <c r="Z97" s="39" t="s">
        <v>84</v>
      </c>
      <c r="AA97" s="39" t="s">
        <v>84</v>
      </c>
      <c r="AB97" s="39" t="s">
        <v>204</v>
      </c>
      <c r="AC97" s="39" t="s">
        <v>92</v>
      </c>
      <c r="AD97" s="39" t="s">
        <v>93</v>
      </c>
      <c r="AE97" s="39" t="s">
        <v>87</v>
      </c>
      <c r="AF97" s="39" t="s">
        <v>88</v>
      </c>
      <c r="AG97" s="39" t="s">
        <v>84</v>
      </c>
      <c r="AH97" s="39" t="s">
        <v>84</v>
      </c>
      <c r="AI97" s="39" t="s">
        <v>84</v>
      </c>
      <c r="AJ97" s="39" t="s">
        <v>84</v>
      </c>
      <c r="AK97" s="39" t="s">
        <v>84</v>
      </c>
      <c r="AL97" s="39" t="s">
        <v>84</v>
      </c>
      <c r="AM97" t="str">
        <f>VLOOKUP($R97,武学奇术!$A:$ZZ,25,FALSE)</f>
        <v>拳甲</v>
      </c>
      <c r="AN97" s="24">
        <f>VLOOKUP($R97,武学奇术!$A:$ZZ,26,FALSE)</f>
        <v>0.9634</v>
      </c>
      <c r="AO97" s="25">
        <f>VLOOKUP($R97,武学奇术!$A:$ZZ,27,FALSE)*(1+IF(OR($AM97=$F$4,$AM97=$F$5),$B$22,0))</f>
        <v>427.2</v>
      </c>
      <c r="AP97" s="24">
        <f>VLOOKUP($R97,武学奇术!$A:$ZZ,28,FALSE)</f>
        <v>1.4451</v>
      </c>
      <c r="AQ97" s="25">
        <f>VLOOKUP($R97,武学奇术!$A:$ZZ,29,FALSE)*(1+IF(OR($AM97=$F$4,$AM97=$F$5),$B$22,0))</f>
        <v>232</v>
      </c>
      <c r="AR97" s="24" cm="1">
        <f t="array" ref="AR97">$G$3+IFERROR(VLOOKUP($AM97,$F$4:$G$7,2,FALSE),0)+VLOOKUP($R97,武学奇术!$A:$ZZ,2,FALSE)+SUM(_xlfn.XLOOKUP($S97:$AL97,增益!$A:$A,增益!$B:$B,0))</f>
        <v>0.4543</v>
      </c>
      <c r="AS97" s="24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4342.95</v>
      </c>
      <c r="AU97" cm="1">
        <f t="array" ref="AU97">$E$10*(1+$AS97)+VLOOKUP($R97,武学奇术!$A:$ZZ,4,FALSE)+SUM(_xlfn.XLOOKUP($S97:$AL97,增益!$A:$A,增益!$D:$D,0))-$I$2</f>
        <v>4342.95</v>
      </c>
      <c r="AV97" s="31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0.4284</v>
      </c>
      <c r="AW97" s="31" cm="1">
        <f t="array" ref="AW97">$G$10+VLOOKUP($R97,武学奇术!$A:$ZZ,7,FALSE)+SUM(_xlfn.XLOOKUP($S97:$AL97,增益!$A:$A,增益!$G:$G,0))</f>
        <v>0.11</v>
      </c>
      <c r="AX97" s="24" cm="1">
        <f t="array" ref="AX97">VLOOKUP($R97,武学奇术!$A:$ZZ,8,FALSE)+SUM(_xlfn.XLOOKUP($S97:$AL97,增益!$A:$A,增益!$H:$H,0))</f>
        <v>0</v>
      </c>
      <c r="AY97">
        <f t="shared" si="24"/>
        <v>0</v>
      </c>
      <c r="AZ97">
        <f t="shared" si="25"/>
        <v>0</v>
      </c>
      <c r="BA97" s="31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1" cm="1">
        <f t="array" ref="BB97">$G$11+VLOOKUP($R97,武学奇术!$A:$ZZ,10,FALSE)+SUM(_xlfn.XLOOKUP($S97:$AL97,增益!$A:$A,增益!$J:$J,0))</f>
        <v>0.02</v>
      </c>
      <c r="BC97">
        <f t="shared" si="26"/>
        <v>0</v>
      </c>
      <c r="BD97">
        <f t="shared" si="27"/>
        <v>0</v>
      </c>
      <c r="BE97" s="31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1" cm="1">
        <f t="array" ref="BF97">$G$12+VLOOKUP($R97,武学奇术!$A:$ZZ,12,FALSE)+SUM(_xlfn.XLOOKUP($S97:$AL97,增益!$A:$A,增益!$L:$L,0))</f>
        <v>0.02</v>
      </c>
      <c r="BG97">
        <f t="shared" si="28"/>
        <v>0</v>
      </c>
      <c r="BH97">
        <f t="shared" si="29"/>
        <v>0</v>
      </c>
      <c r="BI97" s="31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1" cm="1">
        <f t="array" ref="BJ97">$G$13+VLOOKUP($R97,武学奇术!$A:$ZZ,14,FALSE)+SUM(_xlfn.XLOOKUP($S97:$AL97,增益!$A:$A,增益!$N:$N,0))</f>
        <v>0.02</v>
      </c>
      <c r="BK97">
        <f t="shared" si="30"/>
        <v>649.11</v>
      </c>
      <c r="BL97">
        <f t="shared" si="31"/>
        <v>1812.09</v>
      </c>
      <c r="BM97" s="31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1" cm="1">
        <f t="array" ref="BN97">$G$14+VLOOKUP($R97,武学奇术!$A:$ZZ,16,FALSE)+SUM(_xlfn.XLOOKUP($S97:$AL97,增益!$A:$A,增益!$P:$P,0))</f>
        <v>0.26</v>
      </c>
      <c r="BO97" s="24">
        <f>MIN(IF(VLOOKUP($R97,武学奇术!$A:$ZZ,23,FALSE)=1,100%,$B$8),100%)</f>
        <v>0.9943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0.8985</v>
      </c>
      <c r="BQ97" s="24" cm="1">
        <f t="array" ref="BQ97">1+$B$13+VLOOKUP($R97,武学奇术!$A:$ZZ,18,FALSE)+SUM(_xlfn.XLOOKUP($S97:$AL97,增益!$A:$A,增益!$R:$R,0))</f>
        <v>2.29</v>
      </c>
      <c r="BR97" s="24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4" cm="1">
        <f t="array" ref="BS97">1+$B$14+VLOOKUP($R97,武学奇术!$A:$ZZ,20,FALSE)+SUM(_xlfn.XLOOKUP($S97:$AL97,增益!$A:$A,增益!$T:$T,0))</f>
        <v>1.35</v>
      </c>
      <c r="BT97" s="24">
        <f t="shared" si="32"/>
        <v>0.89337855</v>
      </c>
      <c r="BU97" s="24">
        <f t="shared" si="33"/>
        <v>0.0153214500000001</v>
      </c>
      <c r="BV97" s="24">
        <f>IF(VLOOKUP($R97,武学奇术!$A:$ZZ,22,FALSE)=1,0,(1-$BO97))*(1-$BR97)</f>
        <v>0</v>
      </c>
      <c r="BW97" s="24" cm="1">
        <f t="array" ref="BW97">SUM(_xlfn.XLOOKUP($S97:$AL97,增益!$A:$A,增益!$W:$W,0))+$I$5</f>
        <v>0.11</v>
      </c>
      <c r="BX97" s="24">
        <f>VLOOKUP($R97,武学奇术!$A:$ZZ,32,FALSE)</f>
        <v>0.4</v>
      </c>
      <c r="BY97" s="24" cm="1">
        <f t="array" ref="BY97">SUM(_xlfn.XLOOKUP($S97:$AL97,增益!$A:$A,增益!$X:$X,0))</f>
        <v>0</v>
      </c>
    </row>
    <row r="98" spans="1:77">
      <c r="A98" t="s">
        <v>176</v>
      </c>
      <c r="B98">
        <v>0.8</v>
      </c>
      <c r="K98" s="37">
        <f>$L98*VLOOKUP($R98,武学奇术!$A:$ZZ,31,FALSE)</f>
        <v>62995.977493686</v>
      </c>
      <c r="L98" s="37">
        <f t="shared" si="34"/>
        <v>62995.977493686</v>
      </c>
      <c r="M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*(1+$BX98)</f>
        <v>65648.5150366974</v>
      </c>
      <c r="N98" s="37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*(1+$BX98)</f>
        <v>42801.4792317957</v>
      </c>
      <c r="O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*(1+$BX98)</f>
        <v>28667.4738151517</v>
      </c>
      <c r="P98" s="37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*(1+$BX98)</f>
        <v>25630.1481993436</v>
      </c>
      <c r="Q98" s="38">
        <v>1</v>
      </c>
      <c r="R98" s="39" t="s">
        <v>142</v>
      </c>
      <c r="S98" s="39" t="s">
        <v>104</v>
      </c>
      <c r="T98" s="39" t="s">
        <v>194</v>
      </c>
      <c r="U98" s="39" t="s">
        <v>81</v>
      </c>
      <c r="V98" s="39" t="s">
        <v>130</v>
      </c>
      <c r="W98" s="39" t="s">
        <v>83</v>
      </c>
      <c r="X98" s="39" t="s">
        <v>84</v>
      </c>
      <c r="Y98" s="39" t="s">
        <v>84</v>
      </c>
      <c r="Z98" s="39" t="s">
        <v>84</v>
      </c>
      <c r="AA98" s="39" t="s">
        <v>84</v>
      </c>
      <c r="AB98" s="39" t="s">
        <v>204</v>
      </c>
      <c r="AC98" s="39" t="s">
        <v>92</v>
      </c>
      <c r="AD98" s="39" t="s">
        <v>93</v>
      </c>
      <c r="AE98" s="39" t="s">
        <v>87</v>
      </c>
      <c r="AF98" s="39" t="s">
        <v>88</v>
      </c>
      <c r="AG98" s="39" t="s">
        <v>84</v>
      </c>
      <c r="AH98" s="39" t="s">
        <v>84</v>
      </c>
      <c r="AI98" s="39" t="s">
        <v>84</v>
      </c>
      <c r="AJ98" s="39" t="s">
        <v>84</v>
      </c>
      <c r="AK98" s="39" t="s">
        <v>84</v>
      </c>
      <c r="AL98" s="39" t="s">
        <v>84</v>
      </c>
      <c r="AM98" t="str">
        <f>VLOOKUP($R98,武学奇术!$A:$ZZ,25,FALSE)</f>
        <v>拳甲</v>
      </c>
      <c r="AN98" s="24">
        <f>VLOOKUP($R98,武学奇术!$A:$ZZ,26,FALSE)</f>
        <v>0.926</v>
      </c>
      <c r="AO98" s="25">
        <f>VLOOKUP($R98,武学奇术!$A:$ZZ,27,FALSE)*(1+IF(OR($AM98=$F$4,$AM98=$F$5),$B$22,0))</f>
        <v>411.2</v>
      </c>
      <c r="AP98" s="24">
        <f>VLOOKUP($R98,武学奇术!$A:$ZZ,28,FALSE)</f>
        <v>1.389</v>
      </c>
      <c r="AQ98" s="25">
        <f>VLOOKUP($R98,武学奇术!$A:$ZZ,29,FALSE)*(1+IF(OR($AM98=$F$4,$AM98=$F$5),$B$22,0))</f>
        <v>224</v>
      </c>
      <c r="AR98" s="24" cm="1">
        <f t="array" ref="AR98">$G$3+IFERROR(VLOOKUP($AM98,$F$4:$G$7,2,FALSE),0)+VLOOKUP($R98,武学奇术!$A:$ZZ,2,FALSE)+SUM(_xlfn.XLOOKUP($S98:$AL98,增益!$A:$A,增益!$B:$B,0))</f>
        <v>0.4543</v>
      </c>
      <c r="AS98" s="24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4342.95</v>
      </c>
      <c r="AU98" cm="1">
        <f t="array" ref="AU98">$E$10*(1+$AS98)+VLOOKUP($R98,武学奇术!$A:$ZZ,4,FALSE)+SUM(_xlfn.XLOOKUP($S98:$AL98,增益!$A:$A,增益!$D:$D,0))-$I$2</f>
        <v>4342.95</v>
      </c>
      <c r="AV98" s="31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0.4284</v>
      </c>
      <c r="AW98" s="31" cm="1">
        <f t="array" ref="AW98">$G$10+VLOOKUP($R98,武学奇术!$A:$ZZ,7,FALSE)+SUM(_xlfn.XLOOKUP($S98:$AL98,增益!$A:$A,增益!$G:$G,0))</f>
        <v>0.11</v>
      </c>
      <c r="AX98" s="24" cm="1">
        <f t="array" ref="AX98">VLOOKUP($R98,武学奇术!$A:$ZZ,8,FALSE)+SUM(_xlfn.XLOOKUP($S98:$AL98,增益!$A:$A,增益!$H:$H,0))</f>
        <v>0</v>
      </c>
      <c r="AY98">
        <f t="shared" si="24"/>
        <v>0</v>
      </c>
      <c r="AZ98">
        <f t="shared" si="25"/>
        <v>0</v>
      </c>
      <c r="BA98" s="31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1" cm="1">
        <f t="array" ref="BB98">$G$11+VLOOKUP($R98,武学奇术!$A:$ZZ,10,FALSE)+SUM(_xlfn.XLOOKUP($S98:$AL98,增益!$A:$A,增益!$J:$J,0))</f>
        <v>0.02</v>
      </c>
      <c r="BC98">
        <f t="shared" si="26"/>
        <v>0</v>
      </c>
      <c r="BD98">
        <f t="shared" si="27"/>
        <v>0</v>
      </c>
      <c r="BE98" s="31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1" cm="1">
        <f t="array" ref="BF98">$G$12+VLOOKUP($R98,武学奇术!$A:$ZZ,12,FALSE)+SUM(_xlfn.XLOOKUP($S98:$AL98,增益!$A:$A,增益!$L:$L,0))</f>
        <v>0.02</v>
      </c>
      <c r="BG98">
        <f t="shared" si="28"/>
        <v>0</v>
      </c>
      <c r="BH98">
        <f t="shared" si="29"/>
        <v>0</v>
      </c>
      <c r="BI98" s="31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31" cm="1">
        <f t="array" ref="BJ98">$G$13+VLOOKUP($R98,武学奇术!$A:$ZZ,14,FALSE)+SUM(_xlfn.XLOOKUP($S98:$AL98,增益!$A:$A,增益!$N:$N,0))</f>
        <v>0.02</v>
      </c>
      <c r="BK98">
        <f t="shared" si="30"/>
        <v>649.11</v>
      </c>
      <c r="BL98">
        <f t="shared" si="31"/>
        <v>1812.09</v>
      </c>
      <c r="BM98" s="31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</v>
      </c>
      <c r="BN98" s="31" cm="1">
        <f t="array" ref="BN98">$G$14+VLOOKUP($R98,武学奇术!$A:$ZZ,16,FALSE)+SUM(_xlfn.XLOOKUP($S98:$AL98,增益!$A:$A,增益!$P:$P,0))</f>
        <v>0.26</v>
      </c>
      <c r="BO98" s="24">
        <f>MIN(IF(VLOOKUP($R98,武学奇术!$A:$ZZ,23,FALSE)=1,100%,$B$8),100%)</f>
        <v>0.9943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0.8985</v>
      </c>
      <c r="BQ98" s="24" cm="1">
        <f t="array" ref="BQ98">1+$B$13+VLOOKUP($R98,武学奇术!$A:$ZZ,18,FALSE)+SUM(_xlfn.XLOOKUP($S98:$AL98,增益!$A:$A,增益!$R:$R,0))</f>
        <v>2.29</v>
      </c>
      <c r="BR98" s="24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4" cm="1">
        <f t="array" ref="BS98">1+$B$14+VLOOKUP($R98,武学奇术!$A:$ZZ,20,FALSE)+SUM(_xlfn.XLOOKUP($S98:$AL98,增益!$A:$A,增益!$T:$T,0))</f>
        <v>1.35</v>
      </c>
      <c r="BT98" s="24">
        <f t="shared" si="32"/>
        <v>0.89337855</v>
      </c>
      <c r="BU98" s="24">
        <f t="shared" si="33"/>
        <v>0.0153214500000001</v>
      </c>
      <c r="BV98" s="24">
        <f>IF(VLOOKUP($R98,武学奇术!$A:$ZZ,22,FALSE)=1,0,(1-$BO98))*(1-$BR98)</f>
        <v>0</v>
      </c>
      <c r="BW98" s="24" cm="1">
        <f t="array" ref="BW98">SUM(_xlfn.XLOOKUP($S98:$AL98,增益!$A:$A,增益!$W:$W,0))+$I$5</f>
        <v>0.11</v>
      </c>
      <c r="BX98" s="24">
        <f>VLOOKUP($R98,武学奇术!$A:$ZZ,32,FALSE)</f>
        <v>0.4</v>
      </c>
      <c r="BY98" s="24" cm="1">
        <f t="array" ref="BY98">SUM(_xlfn.XLOOKUP($S98:$AL98,增益!$A:$A,增益!$X:$X,0))</f>
        <v>0</v>
      </c>
    </row>
    <row r="99" spans="1:77">
      <c r="A99" t="s">
        <v>178</v>
      </c>
      <c r="B99" s="95">
        <v>0.1</v>
      </c>
      <c r="K99" s="37">
        <f>$L99*VLOOKUP($R99,武学奇术!$A:$ZZ,31,FALSE)</f>
        <v>76835.2264862608</v>
      </c>
      <c r="L99" s="37">
        <f t="shared" si="34"/>
        <v>76835.2264862608</v>
      </c>
      <c r="M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*(1+$BX99)</f>
        <v>80070.3281292355</v>
      </c>
      <c r="N99" s="37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*(1+$BX99)</f>
        <v>52205.861401136</v>
      </c>
      <c r="O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*(1+$BX99)</f>
        <v>34965.2087900592</v>
      </c>
      <c r="P99" s="37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*(1+$BX99)</f>
        <v>31259.4091348324</v>
      </c>
      <c r="Q99" s="38">
        <v>1</v>
      </c>
      <c r="R99" s="39" t="s">
        <v>146</v>
      </c>
      <c r="S99" s="39" t="s">
        <v>104</v>
      </c>
      <c r="T99" s="39" t="s">
        <v>194</v>
      </c>
      <c r="U99" s="39" t="s">
        <v>81</v>
      </c>
      <c r="V99" s="39" t="s">
        <v>130</v>
      </c>
      <c r="W99" s="39" t="s">
        <v>83</v>
      </c>
      <c r="X99" s="39" t="s">
        <v>84</v>
      </c>
      <c r="Y99" s="39" t="s">
        <v>84</v>
      </c>
      <c r="Z99" s="39" t="s">
        <v>84</v>
      </c>
      <c r="AA99" s="39" t="s">
        <v>84</v>
      </c>
      <c r="AB99" s="39" t="s">
        <v>204</v>
      </c>
      <c r="AC99" s="39" t="s">
        <v>92</v>
      </c>
      <c r="AD99" s="39" t="s">
        <v>93</v>
      </c>
      <c r="AE99" s="39" t="s">
        <v>87</v>
      </c>
      <c r="AF99" s="39" t="s">
        <v>88</v>
      </c>
      <c r="AG99" s="39" t="s">
        <v>84</v>
      </c>
      <c r="AH99" s="39" t="s">
        <v>84</v>
      </c>
      <c r="AI99" s="39" t="s">
        <v>84</v>
      </c>
      <c r="AJ99" s="39" t="s">
        <v>84</v>
      </c>
      <c r="AK99" s="39" t="s">
        <v>84</v>
      </c>
      <c r="AL99" s="39" t="s">
        <v>84</v>
      </c>
      <c r="AM99" t="str">
        <f>VLOOKUP($R99,武学奇术!$A:$ZZ,25,FALSE)</f>
        <v>拳甲</v>
      </c>
      <c r="AN99" s="24">
        <f>VLOOKUP($R99,武学奇术!$A:$ZZ,26,FALSE)</f>
        <v>1.1298</v>
      </c>
      <c r="AO99" s="25">
        <f>VLOOKUP($R99,武学奇术!$A:$ZZ,27,FALSE)*(1+IF(OR($AM99=$F$4,$AM99=$F$5),$B$22,0))</f>
        <v>500.8</v>
      </c>
      <c r="AP99" s="24">
        <f>VLOOKUP($R99,武学奇术!$A:$ZZ,28,FALSE)</f>
        <v>1.6947</v>
      </c>
      <c r="AQ99" s="25">
        <f>VLOOKUP($R99,武学奇术!$A:$ZZ,29,FALSE)*(1+IF(OR($AM99=$F$4,$AM99=$F$5),$B$22,0))</f>
        <v>272</v>
      </c>
      <c r="AR99" s="24" cm="1">
        <f t="array" ref="AR99">$G$3+IFERROR(VLOOKUP($AM99,$F$4:$G$7,2,FALSE),0)+VLOOKUP($R99,武学奇术!$A:$ZZ,2,FALSE)+SUM(_xlfn.XLOOKUP($S99:$AL99,增益!$A:$A,增益!$B:$B,0))</f>
        <v>0.4543</v>
      </c>
      <c r="AS99" s="24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4342.95</v>
      </c>
      <c r="AU99" cm="1">
        <f t="array" ref="AU99">$E$10*(1+$AS99)+VLOOKUP($R99,武学奇术!$A:$ZZ,4,FALSE)+SUM(_xlfn.XLOOKUP($S99:$AL99,增益!$A:$A,增益!$D:$D,0))-$I$2</f>
        <v>4342.95</v>
      </c>
      <c r="AV99" s="31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0.4284</v>
      </c>
      <c r="AW99" s="31" cm="1">
        <f t="array" ref="AW99">$G$10+VLOOKUP($R99,武学奇术!$A:$ZZ,7,FALSE)+SUM(_xlfn.XLOOKUP($S99:$AL99,增益!$A:$A,增益!$G:$G,0))</f>
        <v>0.11</v>
      </c>
      <c r="AX99" s="24" cm="1">
        <f t="array" ref="AX99">VLOOKUP($R99,武学奇术!$A:$ZZ,8,FALSE)+SUM(_xlfn.XLOOKUP($S99:$AL99,增益!$A:$A,增益!$H:$H,0))</f>
        <v>0</v>
      </c>
      <c r="AY99">
        <f t="shared" ref="AY99:AY136" si="35">$D$11*(1+$AX99)</f>
        <v>0</v>
      </c>
      <c r="AZ99">
        <f t="shared" ref="AZ99:AZ136" si="36">$E$11*(1+$AX99)</f>
        <v>0</v>
      </c>
      <c r="BA99" s="31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1" cm="1">
        <f t="array" ref="BB99">$G$11+VLOOKUP($R99,武学奇术!$A:$ZZ,10,FALSE)+SUM(_xlfn.XLOOKUP($S99:$AL99,增益!$A:$A,增益!$J:$J,0))</f>
        <v>0.02</v>
      </c>
      <c r="BC99">
        <f t="shared" ref="BC99:BC136" si="37">$D$12*(1+$AX99)</f>
        <v>0</v>
      </c>
      <c r="BD99">
        <f t="shared" ref="BD99:BD136" si="38">$E$12*(1+$AX99)</f>
        <v>0</v>
      </c>
      <c r="BE99" s="31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1" cm="1">
        <f t="array" ref="BF99">$G$12+VLOOKUP($R99,武学奇术!$A:$ZZ,12,FALSE)+SUM(_xlfn.XLOOKUP($S99:$AL99,增益!$A:$A,增益!$L:$L,0))</f>
        <v>0.02</v>
      </c>
      <c r="BG99">
        <f t="shared" ref="BG99:BG136" si="39">$D$13*(1+$AX99)</f>
        <v>0</v>
      </c>
      <c r="BH99">
        <f t="shared" ref="BH99:BH136" si="40">$E$13*(1+$AX99)</f>
        <v>0</v>
      </c>
      <c r="BI99" s="31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1" cm="1">
        <f t="array" ref="BJ99">$G$13+VLOOKUP($R99,武学奇术!$A:$ZZ,14,FALSE)+SUM(_xlfn.XLOOKUP($S99:$AL99,增益!$A:$A,增益!$N:$N,0))</f>
        <v>0.02</v>
      </c>
      <c r="BK99">
        <f t="shared" ref="BK99:BK136" si="41">$D$14*(1+$AX99)</f>
        <v>649.11</v>
      </c>
      <c r="BL99">
        <f t="shared" ref="BL99:BL136" si="42">$E$14*(1+$AX99)</f>
        <v>1812.09</v>
      </c>
      <c r="BM99" s="31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1" cm="1">
        <f t="array" ref="BN99">$G$14+VLOOKUP($R99,武学奇术!$A:$ZZ,16,FALSE)+SUM(_xlfn.XLOOKUP($S99:$AL99,增益!$A:$A,增益!$P:$P,0))</f>
        <v>0.26</v>
      </c>
      <c r="BO99" s="24">
        <f>MIN(IF(VLOOKUP($R99,武学奇术!$A:$ZZ,23,FALSE)=1,100%,$B$8),100%)</f>
        <v>0.9943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0.8985</v>
      </c>
      <c r="BQ99" s="24" cm="1">
        <f t="array" ref="BQ99">1+$B$13+VLOOKUP($R99,武学奇术!$A:$ZZ,18,FALSE)+SUM(_xlfn.XLOOKUP($S99:$AL99,增益!$A:$A,增益!$R:$R,0))</f>
        <v>2.29</v>
      </c>
      <c r="BR99" s="24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4" cm="1">
        <f t="array" ref="BS99">1+$B$14+VLOOKUP($R99,武学奇术!$A:$ZZ,20,FALSE)+SUM(_xlfn.XLOOKUP($S99:$AL99,增益!$A:$A,增益!$T:$T,0))</f>
        <v>1.35</v>
      </c>
      <c r="BT99" s="24">
        <f t="shared" ref="BT99:BT136" si="43">MIN((1-BR99)*BO99,BO99*BP99)</f>
        <v>0.89337855</v>
      </c>
      <c r="BU99" s="24">
        <f t="shared" ref="BU99:BU136" si="44">1-BR99-BT99-BV99</f>
        <v>0.0153214500000001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0.11</v>
      </c>
      <c r="BX99" s="24">
        <f>VLOOKUP($R99,武学奇术!$A:$ZZ,32,FALSE)</f>
        <v>0.4</v>
      </c>
      <c r="BY99" s="24" cm="1">
        <f t="array" ref="BY99">SUM(_xlfn.XLOOKUP($S99:$AL99,增益!$A:$A,增益!$X:$X,0))</f>
        <v>0</v>
      </c>
    </row>
    <row r="100" spans="1:77">
      <c r="A100" t="s">
        <v>188</v>
      </c>
      <c r="B100">
        <v>0.9</v>
      </c>
      <c r="K100" s="37">
        <f>$L100*VLOOKUP($R100,武学奇术!$A:$ZZ,31,FALSE)</f>
        <v>145908.55861736</v>
      </c>
      <c r="L100" s="37">
        <f t="shared" si="34"/>
        <v>145908.55861736</v>
      </c>
      <c r="M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*(1+$BX100)</f>
        <v>150708.865196726</v>
      </c>
      <c r="N100" s="37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*(1+$BX100)</f>
        <v>111025.082227787</v>
      </c>
      <c r="O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*(1+$BX100)</f>
        <v>73876.8947042775</v>
      </c>
      <c r="P100" s="37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*(1+$BX100)</f>
        <v>65512.9877583421</v>
      </c>
      <c r="Q100" s="38">
        <v>1</v>
      </c>
      <c r="R100" s="39" t="s">
        <v>151</v>
      </c>
      <c r="S100" s="39" t="s">
        <v>104</v>
      </c>
      <c r="T100" s="39" t="s">
        <v>194</v>
      </c>
      <c r="U100" s="39" t="s">
        <v>81</v>
      </c>
      <c r="V100" s="39" t="s">
        <v>130</v>
      </c>
      <c r="W100" s="39" t="s">
        <v>83</v>
      </c>
      <c r="X100" s="39" t="s">
        <v>84</v>
      </c>
      <c r="Y100" s="39" t="s">
        <v>84</v>
      </c>
      <c r="Z100" s="39" t="s">
        <v>84</v>
      </c>
      <c r="AA100" s="39" t="s">
        <v>84</v>
      </c>
      <c r="AB100" s="39" t="s">
        <v>204</v>
      </c>
      <c r="AC100" s="39" t="s">
        <v>92</v>
      </c>
      <c r="AD100" s="39" t="s">
        <v>84</v>
      </c>
      <c r="AE100" s="39" t="s">
        <v>87</v>
      </c>
      <c r="AF100" s="39" t="s">
        <v>88</v>
      </c>
      <c r="AG100" s="39" t="s">
        <v>84</v>
      </c>
      <c r="AH100" s="39" t="s">
        <v>84</v>
      </c>
      <c r="AI100" s="39" t="s">
        <v>84</v>
      </c>
      <c r="AJ100" s="39" t="s">
        <v>84</v>
      </c>
      <c r="AK100" s="39" t="s">
        <v>84</v>
      </c>
      <c r="AL100" s="39" t="s">
        <v>84</v>
      </c>
      <c r="AM100" t="str">
        <f>VLOOKUP($R100,武学奇术!$A:$ZZ,25,FALSE)</f>
        <v>拳甲</v>
      </c>
      <c r="AN100" s="24">
        <f>VLOOKUP($R100,武学奇术!$A:$ZZ,26,FALSE)</f>
        <v>2.5499</v>
      </c>
      <c r="AO100" s="25">
        <f>VLOOKUP($R100,武学奇术!$A:$ZZ,27,FALSE)*(1+IF(OR($AM100=$F$4,$AM100=$F$5),$B$22,0))</f>
        <v>1131.2</v>
      </c>
      <c r="AP100" s="24">
        <f>VLOOKUP($R100,武学奇术!$A:$ZZ,28,FALSE)</f>
        <v>3.8249</v>
      </c>
      <c r="AQ100" s="25">
        <f>VLOOKUP($R100,武学奇术!$A:$ZZ,29,FALSE)*(1+IF(OR($AM100=$F$4,$AM100=$F$5),$B$22,0))</f>
        <v>616</v>
      </c>
      <c r="AR100" s="24" cm="1">
        <f t="array" ref="AR100">$G$3+IFERROR(VLOOKUP($AM100,$F$4:$G$7,2,FALSE),0)+VLOOKUP($R100,武学奇术!$A:$ZZ,2,FALSE)+SUM(_xlfn.XLOOKUP($S100:$AL100,增益!$A:$A,增益!$B:$B,0))</f>
        <v>0.4543</v>
      </c>
      <c r="AS100" s="24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4342.95</v>
      </c>
      <c r="AU100" cm="1">
        <f t="array" ref="AU100">$E$10*(1+$AS100)+VLOOKUP($R100,武学奇术!$A:$ZZ,4,FALSE)+SUM(_xlfn.XLOOKUP($S100:$AL100,增益!$A:$A,增益!$D:$D,0))-$I$2</f>
        <v>4342.95</v>
      </c>
      <c r="AV100" s="31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0.3034</v>
      </c>
      <c r="AW100" s="31" cm="1">
        <f t="array" ref="AW100">$G$10+VLOOKUP($R100,武学奇术!$A:$ZZ,7,FALSE)+SUM(_xlfn.XLOOKUP($S100:$AL100,增益!$A:$A,增益!$G:$G,0))</f>
        <v>0.11</v>
      </c>
      <c r="AX100" s="24" cm="1">
        <f t="array" ref="AX100">VLOOKUP($R100,武学奇术!$A:$ZZ,8,FALSE)+SUM(_xlfn.XLOOKUP($S100:$AL100,增益!$A:$A,增益!$H:$H,0))</f>
        <v>0</v>
      </c>
      <c r="AY100">
        <f t="shared" si="35"/>
        <v>0</v>
      </c>
      <c r="AZ100">
        <f t="shared" si="36"/>
        <v>0</v>
      </c>
      <c r="BA100" s="31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1" cm="1">
        <f t="array" ref="BB100">$G$11+VLOOKUP($R100,武学奇术!$A:$ZZ,10,FALSE)+SUM(_xlfn.XLOOKUP($S100:$AL100,增益!$A:$A,增益!$J:$J,0))</f>
        <v>0.02</v>
      </c>
      <c r="BC100">
        <f t="shared" si="37"/>
        <v>0</v>
      </c>
      <c r="BD100">
        <f t="shared" si="38"/>
        <v>0</v>
      </c>
      <c r="BE100" s="31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1" cm="1">
        <f t="array" ref="BF100">$G$12+VLOOKUP($R100,武学奇术!$A:$ZZ,12,FALSE)+SUM(_xlfn.XLOOKUP($S100:$AL100,增益!$A:$A,增益!$L:$L,0))</f>
        <v>0.02</v>
      </c>
      <c r="BG100">
        <f t="shared" si="39"/>
        <v>0</v>
      </c>
      <c r="BH100">
        <f t="shared" si="40"/>
        <v>0</v>
      </c>
      <c r="BI100" s="31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1" cm="1">
        <f t="array" ref="BJ100">$G$13+VLOOKUP($R100,武学奇术!$A:$ZZ,14,FALSE)+SUM(_xlfn.XLOOKUP($S100:$AL100,增益!$A:$A,增益!$N:$N,0))</f>
        <v>0.02</v>
      </c>
      <c r="BK100">
        <f t="shared" si="41"/>
        <v>649.11</v>
      </c>
      <c r="BL100">
        <f t="shared" si="42"/>
        <v>1812.09</v>
      </c>
      <c r="BM100" s="31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1" cm="1">
        <f t="array" ref="BN100">$G$14+VLOOKUP($R100,武学奇术!$A:$ZZ,16,FALSE)+SUM(_xlfn.XLOOKUP($S100:$AL100,增益!$A:$A,增益!$P:$P,0))</f>
        <v>0.26</v>
      </c>
      <c r="BO100" s="24">
        <f>MIN(IF(VLOOKUP($R100,武学奇术!$A:$ZZ,23,FALSE)=1,100%,$B$8),100%)</f>
        <v>0.9943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0.8985</v>
      </c>
      <c r="BQ100" s="24" cm="1">
        <f t="array" ref="BQ100">1+$B$13+VLOOKUP($R100,武学奇术!$A:$ZZ,18,FALSE)+SUM(_xlfn.XLOOKUP($S100:$AL100,增益!$A:$A,增益!$R:$R,0))</f>
        <v>2.04</v>
      </c>
      <c r="BR100" s="24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43"/>
        <v>0.89337855</v>
      </c>
      <c r="BU100" s="24">
        <f t="shared" si="44"/>
        <v>0.0153214500000001</v>
      </c>
      <c r="BV100" s="24">
        <f>IF(VLOOKUP($R100,武学奇术!$A:$ZZ,22,FALSE)=1,0,(1-$BO100))*(1-$BR100)</f>
        <v>0</v>
      </c>
      <c r="BW100" s="24" cm="1">
        <f t="array" ref="BW100">SUM(_xlfn.XLOOKUP($S100:$AL100,增益!$A:$A,增益!$W:$W,0))+$I$5</f>
        <v>0.11</v>
      </c>
      <c r="BX100" s="24">
        <f>VLOOKUP($R100,武学奇术!$A:$ZZ,32,FALSE)</f>
        <v>0.4</v>
      </c>
      <c r="BY100" s="24" cm="1">
        <f t="array" ref="BY100">SUM(_xlfn.XLOOKUP($S100:$AL100,增益!$A:$A,增益!$X:$X,0))</f>
        <v>0</v>
      </c>
    </row>
    <row r="101" spans="1:77">
      <c r="A101" t="s">
        <v>189</v>
      </c>
      <c r="B101">
        <v>0.6</v>
      </c>
      <c r="K101" s="37">
        <f>$L101*VLOOKUP($R101,武学奇术!$A:$ZZ,31,FALSE)</f>
        <v>326088.117124969</v>
      </c>
      <c r="L101" s="37">
        <f t="shared" si="34"/>
        <v>326088.117124969</v>
      </c>
      <c r="M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*(1+$BX101)</f>
        <v>336683.386075549</v>
      </c>
      <c r="N101" s="37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*(1+$BX101)</f>
        <v>249438.514144121</v>
      </c>
      <c r="O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*(1+$BX101)</f>
        <v>165040.87552723</v>
      </c>
      <c r="P101" s="37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*(1+$BX101)</f>
        <v>145312.481318074</v>
      </c>
      <c r="Q101" s="38">
        <v>1</v>
      </c>
      <c r="R101" s="39" t="s">
        <v>133</v>
      </c>
      <c r="S101" s="39" t="s">
        <v>104</v>
      </c>
      <c r="T101" s="39" t="s">
        <v>194</v>
      </c>
      <c r="U101" s="39" t="s">
        <v>81</v>
      </c>
      <c r="V101" s="39" t="s">
        <v>130</v>
      </c>
      <c r="W101" s="39" t="s">
        <v>83</v>
      </c>
      <c r="X101" s="39" t="s">
        <v>84</v>
      </c>
      <c r="Y101" s="39" t="s">
        <v>85</v>
      </c>
      <c r="Z101" s="39" t="s">
        <v>84</v>
      </c>
      <c r="AA101" s="39" t="s">
        <v>84</v>
      </c>
      <c r="AB101" s="39" t="s">
        <v>204</v>
      </c>
      <c r="AC101" s="39" t="s">
        <v>92</v>
      </c>
      <c r="AD101" s="39" t="s">
        <v>84</v>
      </c>
      <c r="AE101" s="39" t="s">
        <v>87</v>
      </c>
      <c r="AF101" s="39" t="s">
        <v>88</v>
      </c>
      <c r="AG101" s="39" t="s">
        <v>84</v>
      </c>
      <c r="AH101" s="39" t="s">
        <v>84</v>
      </c>
      <c r="AI101" s="39" t="s">
        <v>84</v>
      </c>
      <c r="AJ101" s="39" t="s">
        <v>84</v>
      </c>
      <c r="AK101" s="39" t="s">
        <v>84</v>
      </c>
      <c r="AL101" s="39" t="s">
        <v>84</v>
      </c>
      <c r="AM101" t="str">
        <f>VLOOKUP($R101,武学奇术!$A:$ZZ,25,FALSE)</f>
        <v>拳甲</v>
      </c>
      <c r="AN101" s="24">
        <f>VLOOKUP($R101,武学奇术!$A:$ZZ,26,FALSE)</f>
        <v>5.5691</v>
      </c>
      <c r="AO101" s="25">
        <f>VLOOKUP($R101,武学奇术!$A:$ZZ,27,FALSE)*(1+IF(OR($AM101=$F$4,$AM101=$F$5),$B$22,0))</f>
        <v>2470.4</v>
      </c>
      <c r="AP101" s="24">
        <f>VLOOKUP($R101,武学奇术!$A:$ZZ,28,FALSE)</f>
        <v>8.3537</v>
      </c>
      <c r="AQ101" s="25">
        <f>VLOOKUP($R101,武学奇术!$A:$ZZ,29,FALSE)*(1+IF(OR($AM101=$F$4,$AM101=$F$5),$B$22,0))</f>
        <v>1344</v>
      </c>
      <c r="AR101" s="24" cm="1">
        <f t="array" ref="AR101">$G$3+IFERROR(VLOOKUP($AM101,$F$4:$G$7,2,FALSE),0)+VLOOKUP($R101,武学奇术!$A:$ZZ,2,FALSE)+SUM(_xlfn.XLOOKUP($S101:$AL101,增益!$A:$A,增益!$B:$B,0))</f>
        <v>0.4543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4342.95</v>
      </c>
      <c r="AU101" cm="1">
        <f t="array" ref="AU101">$E$10*(1+$AS101)+VLOOKUP($R101,武学奇术!$A:$ZZ,4,FALSE)+SUM(_xlfn.XLOOKUP($S101:$AL101,增益!$A:$A,增益!$D:$D,0))-$I$2</f>
        <v>4342.95</v>
      </c>
      <c r="AV101" s="31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0.3034</v>
      </c>
      <c r="AW101" s="31" cm="1">
        <f t="array" ref="AW101">$G$10+VLOOKUP($R101,武学奇术!$A:$ZZ,7,FALSE)+SUM(_xlfn.XLOOKUP($S101:$AL101,增益!$A:$A,增益!$G:$G,0))</f>
        <v>0.11</v>
      </c>
      <c r="AX101" s="24" cm="1">
        <f t="array" ref="AX101">VLOOKUP($R101,武学奇术!$A:$ZZ,8,FALSE)+SUM(_xlfn.XLOOKUP($S101:$AL101,增益!$A:$A,增益!$H:$H,0))</f>
        <v>0</v>
      </c>
      <c r="AY101">
        <f t="shared" si="35"/>
        <v>0</v>
      </c>
      <c r="AZ101">
        <f t="shared" si="36"/>
        <v>0</v>
      </c>
      <c r="BA101" s="31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-0.14</v>
      </c>
      <c r="BB101" s="31" cm="1">
        <f t="array" ref="BB101">$G$11+VLOOKUP($R101,武学奇术!$A:$ZZ,10,FALSE)+SUM(_xlfn.XLOOKUP($S101:$AL101,增益!$A:$A,增益!$J:$J,0))</f>
        <v>0.02</v>
      </c>
      <c r="BC101">
        <f t="shared" si="37"/>
        <v>0</v>
      </c>
      <c r="BD101">
        <f t="shared" si="38"/>
        <v>0</v>
      </c>
      <c r="BE101" s="31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-0.14</v>
      </c>
      <c r="BF101" s="31" cm="1">
        <f t="array" ref="BF101">$G$12+VLOOKUP($R101,武学奇术!$A:$ZZ,12,FALSE)+SUM(_xlfn.XLOOKUP($S101:$AL101,增益!$A:$A,增益!$L:$L,0))</f>
        <v>0.02</v>
      </c>
      <c r="BG101">
        <f t="shared" si="39"/>
        <v>0</v>
      </c>
      <c r="BH101">
        <f t="shared" si="40"/>
        <v>0</v>
      </c>
      <c r="BI101" s="31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-0.14</v>
      </c>
      <c r="BJ101" s="31" cm="1">
        <f t="array" ref="BJ101">$G$13+VLOOKUP($R101,武学奇术!$A:$ZZ,14,FALSE)+SUM(_xlfn.XLOOKUP($S101:$AL101,增益!$A:$A,增益!$N:$N,0))</f>
        <v>0.02</v>
      </c>
      <c r="BK101">
        <f t="shared" si="41"/>
        <v>649.11</v>
      </c>
      <c r="BL101">
        <f t="shared" si="42"/>
        <v>1812.09</v>
      </c>
      <c r="BM101" s="31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0.08</v>
      </c>
      <c r="BN101" s="31" cm="1">
        <f t="array" ref="BN101">$G$14+VLOOKUP($R101,武学奇术!$A:$ZZ,16,FALSE)+SUM(_xlfn.XLOOKUP($S101:$AL101,增益!$A:$A,增益!$P:$P,0))</f>
        <v>0.26</v>
      </c>
      <c r="BO101" s="24">
        <f>MIN(IF(VLOOKUP($R101,武学奇术!$A:$ZZ,23,FALSE)=1,100%,$B$8),100%)</f>
        <v>0.9943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0.8985</v>
      </c>
      <c r="BQ101" s="24" cm="1">
        <f t="array" ref="BQ101">1+$B$13+VLOOKUP($R101,武学奇术!$A:$ZZ,18,FALSE)+SUM(_xlfn.XLOOKUP($S101:$AL101,增益!$A:$A,增益!$R:$R,0))</f>
        <v>2.04</v>
      </c>
      <c r="BR101" s="24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43"/>
        <v>0.89337855</v>
      </c>
      <c r="BU101" s="24">
        <f t="shared" si="44"/>
        <v>0.0153214500000001</v>
      </c>
      <c r="BV101" s="24">
        <f>IF(VLOOKUP($R101,武学奇术!$A:$ZZ,22,FALSE)=1,0,(1-$BO101))*(1-$BR101)</f>
        <v>0</v>
      </c>
      <c r="BW101" s="24" cm="1">
        <f t="array" ref="BW101">SUM(_xlfn.XLOOKUP($S101:$AL101,增益!$A:$A,增益!$W:$W,0))+$I$5</f>
        <v>0.11</v>
      </c>
      <c r="BX101" s="24">
        <f>VLOOKUP($R101,武学奇术!$A:$ZZ,32,FALSE)</f>
        <v>0.4</v>
      </c>
      <c r="BY101" s="24" cm="1">
        <f t="array" ref="BY101">SUM(_xlfn.XLOOKUP($S101:$AL101,增益!$A:$A,增益!$X:$X,0))</f>
        <v>0</v>
      </c>
    </row>
    <row r="102" spans="1:77">
      <c r="A102" t="s">
        <v>182</v>
      </c>
      <c r="B102">
        <v>0.7</v>
      </c>
      <c r="K102" s="37">
        <f>$L102*VLOOKUP($R102,武学奇术!$A:$ZZ,31,FALSE)</f>
        <v>326088.117124969</v>
      </c>
      <c r="L102" s="37">
        <f t="shared" si="34"/>
        <v>326088.117124969</v>
      </c>
      <c r="M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*(1+$BX102)</f>
        <v>336683.386075549</v>
      </c>
      <c r="N102" s="37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*(1+$BX102)</f>
        <v>249438.514144121</v>
      </c>
      <c r="O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*(1+$BX102)</f>
        <v>165040.87552723</v>
      </c>
      <c r="P102" s="37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*(1+$BX102)</f>
        <v>145312.481318074</v>
      </c>
      <c r="Q102" s="38">
        <v>1</v>
      </c>
      <c r="R102" s="39" t="s">
        <v>133</v>
      </c>
      <c r="S102" s="39" t="s">
        <v>104</v>
      </c>
      <c r="T102" s="39" t="s">
        <v>194</v>
      </c>
      <c r="U102" s="39" t="s">
        <v>81</v>
      </c>
      <c r="V102" s="39" t="s">
        <v>130</v>
      </c>
      <c r="W102" s="39" t="s">
        <v>83</v>
      </c>
      <c r="X102" s="39" t="s">
        <v>84</v>
      </c>
      <c r="Y102" s="39" t="s">
        <v>85</v>
      </c>
      <c r="Z102" s="39" t="s">
        <v>84</v>
      </c>
      <c r="AA102" s="39" t="s">
        <v>84</v>
      </c>
      <c r="AB102" s="39" t="s">
        <v>204</v>
      </c>
      <c r="AC102" s="39" t="s">
        <v>92</v>
      </c>
      <c r="AD102" s="39" t="s">
        <v>84</v>
      </c>
      <c r="AE102" s="39" t="s">
        <v>87</v>
      </c>
      <c r="AF102" s="39" t="s">
        <v>88</v>
      </c>
      <c r="AG102" s="39" t="s">
        <v>84</v>
      </c>
      <c r="AH102" s="39" t="s">
        <v>84</v>
      </c>
      <c r="AI102" s="39" t="s">
        <v>84</v>
      </c>
      <c r="AJ102" s="39" t="s">
        <v>84</v>
      </c>
      <c r="AK102" s="39" t="s">
        <v>84</v>
      </c>
      <c r="AL102" s="39" t="s">
        <v>84</v>
      </c>
      <c r="AM102" t="str">
        <f>VLOOKUP($R102,武学奇术!$A:$ZZ,25,FALSE)</f>
        <v>拳甲</v>
      </c>
      <c r="AN102" s="24">
        <f>VLOOKUP($R102,武学奇术!$A:$ZZ,26,FALSE)</f>
        <v>5.5691</v>
      </c>
      <c r="AO102" s="25">
        <f>VLOOKUP($R102,武学奇术!$A:$ZZ,27,FALSE)*(1+IF(OR($AM102=$F$4,$AM102=$F$5),$B$22,0))</f>
        <v>2470.4</v>
      </c>
      <c r="AP102" s="24">
        <f>VLOOKUP($R102,武学奇术!$A:$ZZ,28,FALSE)</f>
        <v>8.3537</v>
      </c>
      <c r="AQ102" s="25">
        <f>VLOOKUP($R102,武学奇术!$A:$ZZ,29,FALSE)*(1+IF(OR($AM102=$F$4,$AM102=$F$5),$B$22,0))</f>
        <v>1344</v>
      </c>
      <c r="AR102" s="24" cm="1">
        <f t="array" ref="AR102">$G$3+IFERROR(VLOOKUP($AM102,$F$4:$G$7,2,FALSE),0)+VLOOKUP($R102,武学奇术!$A:$ZZ,2,FALSE)+SUM(_xlfn.XLOOKUP($S102:$AL102,增益!$A:$A,增益!$B:$B,0))</f>
        <v>0.4543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4342.95</v>
      </c>
      <c r="AU102" cm="1">
        <f t="array" ref="AU102">$E$10*(1+$AS102)+VLOOKUP($R102,武学奇术!$A:$ZZ,4,FALSE)+SUM(_xlfn.XLOOKUP($S102:$AL102,增益!$A:$A,增益!$D:$D,0))-$I$2</f>
        <v>4342.95</v>
      </c>
      <c r="AV102" s="31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0.3034</v>
      </c>
      <c r="AW102" s="31" cm="1">
        <f t="array" ref="AW102">$G$10+VLOOKUP($R102,武学奇术!$A:$ZZ,7,FALSE)+SUM(_xlfn.XLOOKUP($S102:$AL102,增益!$A:$A,增益!$G:$G,0))</f>
        <v>0.11</v>
      </c>
      <c r="AX102" s="24" cm="1">
        <f t="array" ref="AX102">VLOOKUP($R102,武学奇术!$A:$ZZ,8,FALSE)+SUM(_xlfn.XLOOKUP($S102:$AL102,增益!$A:$A,增益!$H:$H,0))</f>
        <v>0</v>
      </c>
      <c r="AY102">
        <f t="shared" si="35"/>
        <v>0</v>
      </c>
      <c r="AZ102">
        <f t="shared" si="36"/>
        <v>0</v>
      </c>
      <c r="BA102" s="31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-0.14</v>
      </c>
      <c r="BB102" s="31" cm="1">
        <f t="array" ref="BB102">$G$11+VLOOKUP($R102,武学奇术!$A:$ZZ,10,FALSE)+SUM(_xlfn.XLOOKUP($S102:$AL102,增益!$A:$A,增益!$J:$J,0))</f>
        <v>0.02</v>
      </c>
      <c r="BC102">
        <f t="shared" si="37"/>
        <v>0</v>
      </c>
      <c r="BD102">
        <f t="shared" si="38"/>
        <v>0</v>
      </c>
      <c r="BE102" s="31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-0.14</v>
      </c>
      <c r="BF102" s="31" cm="1">
        <f t="array" ref="BF102">$G$12+VLOOKUP($R102,武学奇术!$A:$ZZ,12,FALSE)+SUM(_xlfn.XLOOKUP($S102:$AL102,增益!$A:$A,增益!$L:$L,0))</f>
        <v>0.02</v>
      </c>
      <c r="BG102">
        <f t="shared" si="39"/>
        <v>0</v>
      </c>
      <c r="BH102">
        <f t="shared" si="40"/>
        <v>0</v>
      </c>
      <c r="BI102" s="31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-0.14</v>
      </c>
      <c r="BJ102" s="31" cm="1">
        <f t="array" ref="BJ102">$G$13+VLOOKUP($R102,武学奇术!$A:$ZZ,14,FALSE)+SUM(_xlfn.XLOOKUP($S102:$AL102,增益!$A:$A,增益!$N:$N,0))</f>
        <v>0.02</v>
      </c>
      <c r="BK102">
        <f t="shared" si="41"/>
        <v>649.11</v>
      </c>
      <c r="BL102">
        <f t="shared" si="42"/>
        <v>1812.09</v>
      </c>
      <c r="BM102" s="31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0.08</v>
      </c>
      <c r="BN102" s="31" cm="1">
        <f t="array" ref="BN102">$G$14+VLOOKUP($R102,武学奇术!$A:$ZZ,16,FALSE)+SUM(_xlfn.XLOOKUP($S102:$AL102,增益!$A:$A,增益!$P:$P,0))</f>
        <v>0.26</v>
      </c>
      <c r="BO102" s="24">
        <f>MIN(IF(VLOOKUP($R102,武学奇术!$A:$ZZ,23,FALSE)=1,100%,$B$8),100%)</f>
        <v>0.9943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0.8985</v>
      </c>
      <c r="BQ102" s="24" cm="1">
        <f t="array" ref="BQ102">1+$B$13+VLOOKUP($R102,武学奇术!$A:$ZZ,18,FALSE)+SUM(_xlfn.XLOOKUP($S102:$AL102,增益!$A:$A,增益!$R:$R,0))</f>
        <v>2.04</v>
      </c>
      <c r="BR102" s="24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43"/>
        <v>0.89337855</v>
      </c>
      <c r="BU102" s="24">
        <f t="shared" si="44"/>
        <v>0.0153214500000001</v>
      </c>
      <c r="BV102" s="24">
        <f>IF(VLOOKUP($R102,武学奇术!$A:$ZZ,22,FALSE)=1,0,(1-$BO102))*(1-$BR102)</f>
        <v>0</v>
      </c>
      <c r="BW102" s="24" cm="1">
        <f t="array" ref="BW102">SUM(_xlfn.XLOOKUP($S102:$AL102,增益!$A:$A,增益!$W:$W,0))+$I$5</f>
        <v>0.11</v>
      </c>
      <c r="BX102" s="24">
        <f>VLOOKUP($R102,武学奇术!$A:$ZZ,32,FALSE)</f>
        <v>0.4</v>
      </c>
      <c r="BY102" s="24" cm="1">
        <f t="array" ref="BY102">SUM(_xlfn.XLOOKUP($S102:$AL102,增益!$A:$A,增益!$X:$X,0))</f>
        <v>0</v>
      </c>
    </row>
    <row r="103" spans="1:77">
      <c r="A103" t="s">
        <v>191</v>
      </c>
      <c r="B103">
        <v>2.4</v>
      </c>
      <c r="K103" s="37">
        <f>$L103*VLOOKUP($R103,武学奇术!$A:$ZZ,31,FALSE)</f>
        <v>179073.43658246</v>
      </c>
      <c r="L103" s="37">
        <f t="shared" si="34"/>
        <v>179073.43658246</v>
      </c>
      <c r="M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*(1+$BX103)</f>
        <v>184891.546847727</v>
      </c>
      <c r="N103" s="37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*(1+$BX103)</f>
        <v>136984.270216733</v>
      </c>
      <c r="O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*(1+$BX103)</f>
        <v>90633.111199866</v>
      </c>
      <c r="P103" s="37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*(1+$BX103)</f>
        <v>79796.3926095594</v>
      </c>
      <c r="Q103" s="38">
        <v>1</v>
      </c>
      <c r="R103" s="39" t="s">
        <v>157</v>
      </c>
      <c r="S103" s="39" t="s">
        <v>104</v>
      </c>
      <c r="T103" s="39" t="s">
        <v>194</v>
      </c>
      <c r="U103" s="39" t="s">
        <v>81</v>
      </c>
      <c r="V103" s="39" t="s">
        <v>130</v>
      </c>
      <c r="W103" s="39" t="s">
        <v>83</v>
      </c>
      <c r="X103" s="39" t="s">
        <v>84</v>
      </c>
      <c r="Y103" s="39" t="s">
        <v>85</v>
      </c>
      <c r="Z103" s="39" t="s">
        <v>84</v>
      </c>
      <c r="AA103" s="39" t="s">
        <v>84</v>
      </c>
      <c r="AB103" s="39" t="s">
        <v>204</v>
      </c>
      <c r="AC103" s="39" t="s">
        <v>92</v>
      </c>
      <c r="AD103" s="39" t="s">
        <v>84</v>
      </c>
      <c r="AE103" s="39" t="s">
        <v>87</v>
      </c>
      <c r="AF103" s="39" t="s">
        <v>88</v>
      </c>
      <c r="AG103" s="39" t="s">
        <v>84</v>
      </c>
      <c r="AH103" s="39" t="s">
        <v>84</v>
      </c>
      <c r="AI103" s="39" t="s">
        <v>84</v>
      </c>
      <c r="AJ103" s="39" t="s">
        <v>84</v>
      </c>
      <c r="AK103" s="39" t="s">
        <v>84</v>
      </c>
      <c r="AL103" s="39" t="s">
        <v>84</v>
      </c>
      <c r="AM103" t="str">
        <f>VLOOKUP($R103,武学奇术!$A:$ZZ,25,FALSE)</f>
        <v>双刀</v>
      </c>
      <c r="AN103" s="24">
        <f>VLOOKUP($R103,武学奇术!$A:$ZZ,26,FALSE)</f>
        <v>2.85516</v>
      </c>
      <c r="AO103" s="25">
        <f>VLOOKUP($R103,武学奇术!$A:$ZZ,27,FALSE)*(1+IF(OR($AM103=$F$4,$AM103=$F$5),$B$22,0))</f>
        <v>1263.36</v>
      </c>
      <c r="AP103" s="24">
        <f>VLOOKUP($R103,武学奇术!$A:$ZZ,28,FALSE)</f>
        <v>4.28274</v>
      </c>
      <c r="AQ103" s="25">
        <f>VLOOKUP($R103,武学奇术!$A:$ZZ,29,FALSE)*(1+IF(OR($AM103=$F$4,$AM103=$F$5),$B$22,0))</f>
        <v>687.68</v>
      </c>
      <c r="AR103" s="24" cm="1">
        <f t="array" ref="AR103">$G$3+IFERROR(VLOOKUP($AM103,$F$4:$G$7,2,FALSE),0)+VLOOKUP($R103,武学奇术!$A:$ZZ,2,FALSE)+SUM(_xlfn.XLOOKUP($S103:$AL103,增益!$A:$A,增益!$B:$B,0))</f>
        <v>0.4543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4342.95</v>
      </c>
      <c r="AU103" cm="1">
        <f t="array" ref="AU103">$E$10*(1+$AS103)+VLOOKUP($R103,武学奇术!$A:$ZZ,4,FALSE)+SUM(_xlfn.XLOOKUP($S103:$AL103,增益!$A:$A,增益!$D:$D,0))-$I$2</f>
        <v>4342.95</v>
      </c>
      <c r="AV103" s="31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0.3034</v>
      </c>
      <c r="AW103" s="31" cm="1">
        <f t="array" ref="AW103">$G$10+VLOOKUP($R103,武学奇术!$A:$ZZ,7,FALSE)+SUM(_xlfn.XLOOKUP($S103:$AL103,增益!$A:$A,增益!$G:$G,0))</f>
        <v>0.11</v>
      </c>
      <c r="AX103" s="24" cm="1">
        <f t="array" ref="AX103">VLOOKUP($R103,武学奇术!$A:$ZZ,8,FALSE)+SUM(_xlfn.XLOOKUP($S103:$AL103,增益!$A:$A,增益!$H:$H,0))</f>
        <v>0</v>
      </c>
      <c r="AY103">
        <f t="shared" si="35"/>
        <v>0</v>
      </c>
      <c r="AZ103">
        <f t="shared" si="36"/>
        <v>0</v>
      </c>
      <c r="BA103" s="31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-0.14</v>
      </c>
      <c r="BB103" s="31" cm="1">
        <f t="array" ref="BB103">$G$11+VLOOKUP($R103,武学奇术!$A:$ZZ,10,FALSE)+SUM(_xlfn.XLOOKUP($S103:$AL103,增益!$A:$A,增益!$J:$J,0))</f>
        <v>0.02</v>
      </c>
      <c r="BC103">
        <f t="shared" si="37"/>
        <v>0</v>
      </c>
      <c r="BD103">
        <f t="shared" si="38"/>
        <v>0</v>
      </c>
      <c r="BE103" s="31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-0.14</v>
      </c>
      <c r="BF103" s="31" cm="1">
        <f t="array" ref="BF103">$G$12+VLOOKUP($R103,武学奇术!$A:$ZZ,12,FALSE)+SUM(_xlfn.XLOOKUP($S103:$AL103,增益!$A:$A,增益!$L:$L,0))</f>
        <v>0.02</v>
      </c>
      <c r="BG103">
        <f t="shared" si="39"/>
        <v>0</v>
      </c>
      <c r="BH103">
        <f t="shared" si="40"/>
        <v>0</v>
      </c>
      <c r="BI103" s="31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-0.14</v>
      </c>
      <c r="BJ103" s="31" cm="1">
        <f t="array" ref="BJ103">$G$13+VLOOKUP($R103,武学奇术!$A:$ZZ,14,FALSE)+SUM(_xlfn.XLOOKUP($S103:$AL103,增益!$A:$A,增益!$N:$N,0))</f>
        <v>0.02</v>
      </c>
      <c r="BK103">
        <f t="shared" si="41"/>
        <v>649.11</v>
      </c>
      <c r="BL103">
        <f t="shared" si="42"/>
        <v>1812.09</v>
      </c>
      <c r="BM103" s="31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0.08</v>
      </c>
      <c r="BN103" s="31" cm="1">
        <f t="array" ref="BN103">$G$14+VLOOKUP($R103,武学奇术!$A:$ZZ,16,FALSE)+SUM(_xlfn.XLOOKUP($S103:$AL103,增益!$A:$A,增益!$P:$P,0))</f>
        <v>0.26</v>
      </c>
      <c r="BO103" s="24">
        <f>MIN(IF(VLOOKUP($R103,武学奇术!$A:$ZZ,23,FALSE)=1,100%,$B$8),100%)</f>
        <v>0.9943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0.8985</v>
      </c>
      <c r="BQ103" s="24" cm="1">
        <f t="array" ref="BQ103">1+$B$13+VLOOKUP($R103,武学奇术!$A:$ZZ,18,FALSE)+SUM(_xlfn.XLOOKUP($S103:$AL103,增益!$A:$A,增益!$R:$R,0))</f>
        <v>2.04</v>
      </c>
      <c r="BR103" s="24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43"/>
        <v>0.89337855</v>
      </c>
      <c r="BU103" s="24">
        <f t="shared" si="44"/>
        <v>0.0153214500000001</v>
      </c>
      <c r="BV103" s="24">
        <f>IF(VLOOKUP($R103,武学奇术!$A:$ZZ,22,FALSE)=1,0,(1-$BO103))*(1-$BR103)</f>
        <v>0</v>
      </c>
      <c r="BW103" s="24" cm="1">
        <f t="array" ref="BW103">SUM(_xlfn.XLOOKUP($S103:$AL103,增益!$A:$A,增益!$W:$W,0))+$I$5</f>
        <v>0.11</v>
      </c>
      <c r="BX103" s="24">
        <f>VLOOKUP($R103,武学奇术!$A:$ZZ,32,FALSE)</f>
        <v>0.5</v>
      </c>
      <c r="BY103" s="24" cm="1">
        <f t="array" ref="BY103">SUM(_xlfn.XLOOKUP($S103:$AL103,增益!$A:$A,增益!$X:$X,0))</f>
        <v>0</v>
      </c>
    </row>
    <row r="104" spans="1:77">
      <c r="A104" t="s">
        <v>191</v>
      </c>
      <c r="B104">
        <v>2.1</v>
      </c>
      <c r="D104" t="s">
        <v>183</v>
      </c>
      <c r="K104" s="37">
        <f>$L104*VLOOKUP($R104,武学奇术!$A:$ZZ,31,FALSE)</f>
        <v>238720.296693826</v>
      </c>
      <c r="L104" s="37">
        <f t="shared" si="34"/>
        <v>238720.296693826</v>
      </c>
      <c r="M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*(1+$BX104)</f>
        <v>246476.1762776</v>
      </c>
      <c r="N104" s="37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*(1+$BX104)</f>
        <v>182613.414839176</v>
      </c>
      <c r="O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*(1+$BX104)</f>
        <v>120821.655038039</v>
      </c>
      <c r="P104" s="37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*(1+$BX104)</f>
        <v>106374.113898911</v>
      </c>
      <c r="Q104" s="38">
        <v>1</v>
      </c>
      <c r="R104" s="39" t="s">
        <v>163</v>
      </c>
      <c r="S104" s="39" t="s">
        <v>104</v>
      </c>
      <c r="T104" s="39" t="s">
        <v>194</v>
      </c>
      <c r="U104" s="39" t="s">
        <v>81</v>
      </c>
      <c r="V104" s="39" t="s">
        <v>130</v>
      </c>
      <c r="W104" s="39" t="s">
        <v>83</v>
      </c>
      <c r="X104" s="39" t="s">
        <v>84</v>
      </c>
      <c r="Y104" s="39" t="s">
        <v>85</v>
      </c>
      <c r="Z104" s="39" t="s">
        <v>84</v>
      </c>
      <c r="AA104" s="39" t="s">
        <v>84</v>
      </c>
      <c r="AB104" s="39" t="s">
        <v>204</v>
      </c>
      <c r="AC104" s="39" t="s">
        <v>92</v>
      </c>
      <c r="AD104" s="39" t="s">
        <v>84</v>
      </c>
      <c r="AE104" s="39" t="s">
        <v>87</v>
      </c>
      <c r="AF104" s="39" t="s">
        <v>88</v>
      </c>
      <c r="AG104" s="39" t="s">
        <v>84</v>
      </c>
      <c r="AH104" s="39" t="s">
        <v>84</v>
      </c>
      <c r="AI104" s="39" t="s">
        <v>84</v>
      </c>
      <c r="AJ104" s="39" t="s">
        <v>84</v>
      </c>
      <c r="AK104" s="39" t="s">
        <v>84</v>
      </c>
      <c r="AL104" s="39" t="s">
        <v>84</v>
      </c>
      <c r="AM104" t="str">
        <f>VLOOKUP($R104,武学奇术!$A:$ZZ,25,FALSE)</f>
        <v>双刀</v>
      </c>
      <c r="AN104" s="24">
        <f>VLOOKUP($R104,武学奇术!$A:$ZZ,26,FALSE)</f>
        <v>3.80688</v>
      </c>
      <c r="AO104" s="25">
        <f>VLOOKUP($R104,武学奇术!$A:$ZZ,27,FALSE)*(1+IF(OR($AM104=$F$4,$AM104=$F$5),$B$22,0))</f>
        <v>1684.48</v>
      </c>
      <c r="AP104" s="24">
        <f>VLOOKUP($R104,武学奇术!$A:$ZZ,28,FALSE)</f>
        <v>5.70976</v>
      </c>
      <c r="AQ104" s="25">
        <f>VLOOKUP($R104,武学奇术!$A:$ZZ,29,FALSE)*(1+IF(OR($AM104=$F$4,$AM104=$F$5),$B$22,0))</f>
        <v>913.92</v>
      </c>
      <c r="AR104" s="24" cm="1">
        <f t="array" ref="AR104">$G$3+IFERROR(VLOOKUP($AM104,$F$4:$G$7,2,FALSE),0)+VLOOKUP($R104,武学奇术!$A:$ZZ,2,FALSE)+SUM(_xlfn.XLOOKUP($S104:$AL104,增益!$A:$A,增益!$B:$B,0))</f>
        <v>0.4543</v>
      </c>
      <c r="AS104" s="24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4342.95</v>
      </c>
      <c r="AU104" cm="1">
        <f t="array" ref="AU104">$E$10*(1+$AS104)+VLOOKUP($R104,武学奇术!$A:$ZZ,4,FALSE)+SUM(_xlfn.XLOOKUP($S104:$AL104,增益!$A:$A,增益!$D:$D,0))-$I$2</f>
        <v>4342.95</v>
      </c>
      <c r="AV104" s="31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0.3034</v>
      </c>
      <c r="AW104" s="31" cm="1">
        <f t="array" ref="AW104">$G$10+VLOOKUP($R104,武学奇术!$A:$ZZ,7,FALSE)+SUM(_xlfn.XLOOKUP($S104:$AL104,增益!$A:$A,增益!$G:$G,0))</f>
        <v>0.11</v>
      </c>
      <c r="AX104" s="24" cm="1">
        <f t="array" ref="AX104">VLOOKUP($R104,武学奇术!$A:$ZZ,8,FALSE)+SUM(_xlfn.XLOOKUP($S104:$AL104,增益!$A:$A,增益!$H:$H,0))</f>
        <v>0</v>
      </c>
      <c r="AY104">
        <f t="shared" si="35"/>
        <v>0</v>
      </c>
      <c r="AZ104">
        <f t="shared" si="36"/>
        <v>0</v>
      </c>
      <c r="BA104" s="31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-0.14</v>
      </c>
      <c r="BB104" s="31" cm="1">
        <f t="array" ref="BB104">$G$11+VLOOKUP($R104,武学奇术!$A:$ZZ,10,FALSE)+SUM(_xlfn.XLOOKUP($S104:$AL104,增益!$A:$A,增益!$J:$J,0))</f>
        <v>0.02</v>
      </c>
      <c r="BC104">
        <f t="shared" si="37"/>
        <v>0</v>
      </c>
      <c r="BD104">
        <f t="shared" si="38"/>
        <v>0</v>
      </c>
      <c r="BE104" s="31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-0.14</v>
      </c>
      <c r="BF104" s="31" cm="1">
        <f t="array" ref="BF104">$G$12+VLOOKUP($R104,武学奇术!$A:$ZZ,12,FALSE)+SUM(_xlfn.XLOOKUP($S104:$AL104,增益!$A:$A,增益!$L:$L,0))</f>
        <v>0.02</v>
      </c>
      <c r="BG104">
        <f t="shared" si="39"/>
        <v>0</v>
      </c>
      <c r="BH104">
        <f t="shared" si="40"/>
        <v>0</v>
      </c>
      <c r="BI104" s="31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-0.14</v>
      </c>
      <c r="BJ104" s="31" cm="1">
        <f t="array" ref="BJ104">$G$13+VLOOKUP($R104,武学奇术!$A:$ZZ,14,FALSE)+SUM(_xlfn.XLOOKUP($S104:$AL104,增益!$A:$A,增益!$N:$N,0))</f>
        <v>0.02</v>
      </c>
      <c r="BK104">
        <f t="shared" si="41"/>
        <v>649.11</v>
      </c>
      <c r="BL104">
        <f t="shared" si="42"/>
        <v>1812.09</v>
      </c>
      <c r="BM104" s="31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0.08</v>
      </c>
      <c r="BN104" s="31" cm="1">
        <f t="array" ref="BN104">$G$14+VLOOKUP($R104,武学奇术!$A:$ZZ,16,FALSE)+SUM(_xlfn.XLOOKUP($S104:$AL104,增益!$A:$A,增益!$P:$P,0))</f>
        <v>0.26</v>
      </c>
      <c r="BO104" s="24">
        <f>MIN(IF(VLOOKUP($R104,武学奇术!$A:$ZZ,23,FALSE)=1,100%,$B$8),100%)</f>
        <v>0.9943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0.8985</v>
      </c>
      <c r="BQ104" s="24" cm="1">
        <f t="array" ref="BQ104">1+$B$13+VLOOKUP($R104,武学奇术!$A:$ZZ,18,FALSE)+SUM(_xlfn.XLOOKUP($S104:$AL104,增益!$A:$A,增益!$R:$R,0))</f>
        <v>2.04</v>
      </c>
      <c r="BR104" s="24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43"/>
        <v>0.89337855</v>
      </c>
      <c r="BU104" s="24">
        <f t="shared" si="44"/>
        <v>0.0153214500000001</v>
      </c>
      <c r="BV104" s="24">
        <f>IF(VLOOKUP($R104,武学奇术!$A:$ZZ,22,FALSE)=1,0,(1-$BO104))*(1-$BR104)</f>
        <v>0</v>
      </c>
      <c r="BW104" s="24" cm="1">
        <f t="array" ref="BW104">SUM(_xlfn.XLOOKUP($S104:$AL104,增益!$A:$A,增益!$W:$W,0))+$I$5</f>
        <v>0.11</v>
      </c>
      <c r="BX104" s="24">
        <f>VLOOKUP($R104,武学奇术!$A:$ZZ,32,FALSE)</f>
        <v>0.5</v>
      </c>
      <c r="BY104" s="24" cm="1">
        <f t="array" ref="BY104">SUM(_xlfn.XLOOKUP($S104:$AL104,增益!$A:$A,增益!$X:$X,0))</f>
        <v>0</v>
      </c>
    </row>
    <row r="105" spans="1:77">
      <c r="A105" t="s">
        <v>191</v>
      </c>
      <c r="B105">
        <v>1.83</v>
      </c>
      <c r="K105" s="37">
        <f>$L105*VLOOKUP($R105,武学奇术!$A:$ZZ,31,FALSE)</f>
        <v>179073.43658246</v>
      </c>
      <c r="L105" s="37">
        <f t="shared" si="34"/>
        <v>179073.43658246</v>
      </c>
      <c r="M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*(1+$BX105)</f>
        <v>184891.546847727</v>
      </c>
      <c r="N105" s="37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*(1+$BX105)</f>
        <v>136984.270216733</v>
      </c>
      <c r="O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*(1+$BX105)</f>
        <v>90633.111199866</v>
      </c>
      <c r="P105" s="37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*(1+$BX105)</f>
        <v>79796.3926095594</v>
      </c>
      <c r="Q105" s="38">
        <v>1</v>
      </c>
      <c r="R105" s="39" t="s">
        <v>166</v>
      </c>
      <c r="S105" s="39" t="s">
        <v>104</v>
      </c>
      <c r="T105" s="39" t="s">
        <v>194</v>
      </c>
      <c r="U105" s="39" t="s">
        <v>81</v>
      </c>
      <c r="V105" s="39" t="s">
        <v>130</v>
      </c>
      <c r="W105" s="39" t="s">
        <v>83</v>
      </c>
      <c r="X105" s="39" t="s">
        <v>84</v>
      </c>
      <c r="Y105" s="39" t="s">
        <v>85</v>
      </c>
      <c r="Z105" s="39" t="s">
        <v>84</v>
      </c>
      <c r="AA105" s="39" t="s">
        <v>84</v>
      </c>
      <c r="AB105" s="39" t="s">
        <v>204</v>
      </c>
      <c r="AC105" s="39" t="s">
        <v>92</v>
      </c>
      <c r="AD105" s="39" t="s">
        <v>84</v>
      </c>
      <c r="AE105" s="39" t="s">
        <v>87</v>
      </c>
      <c r="AF105" s="39" t="s">
        <v>88</v>
      </c>
      <c r="AG105" s="39" t="s">
        <v>84</v>
      </c>
      <c r="AH105" s="39" t="s">
        <v>84</v>
      </c>
      <c r="AI105" s="39" t="s">
        <v>84</v>
      </c>
      <c r="AJ105" s="39" t="s">
        <v>84</v>
      </c>
      <c r="AK105" s="39" t="s">
        <v>84</v>
      </c>
      <c r="AL105" s="39" t="s">
        <v>84</v>
      </c>
      <c r="AM105" t="str">
        <f>VLOOKUP($R105,武学奇术!$A:$ZZ,25,FALSE)</f>
        <v>双刀</v>
      </c>
      <c r="AN105" s="24">
        <f>VLOOKUP($R105,武学奇术!$A:$ZZ,26,FALSE)</f>
        <v>2.85516</v>
      </c>
      <c r="AO105" s="25">
        <f>VLOOKUP($R105,武学奇术!$A:$ZZ,27,FALSE)*(1+IF(OR($AM105=$F$4,$AM105=$F$5),$B$22,0))</f>
        <v>1263.36</v>
      </c>
      <c r="AP105" s="24">
        <f>VLOOKUP($R105,武学奇术!$A:$ZZ,28,FALSE)</f>
        <v>4.28274</v>
      </c>
      <c r="AQ105" s="25">
        <f>VLOOKUP($R105,武学奇术!$A:$ZZ,29,FALSE)*(1+IF(OR($AM105=$F$4,$AM105=$F$5),$B$22,0))</f>
        <v>687.68</v>
      </c>
      <c r="AR105" s="24" cm="1">
        <f t="array" ref="AR105">$G$3+IFERROR(VLOOKUP($AM105,$F$4:$G$7,2,FALSE),0)+VLOOKUP($R105,武学奇术!$A:$ZZ,2,FALSE)+SUM(_xlfn.XLOOKUP($S105:$AL105,增益!$A:$A,增益!$B:$B,0))</f>
        <v>0.4543</v>
      </c>
      <c r="AS105" s="24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4342.95</v>
      </c>
      <c r="AU105" cm="1">
        <f t="array" ref="AU105">$E$10*(1+$AS105)+VLOOKUP($R105,武学奇术!$A:$ZZ,4,FALSE)+SUM(_xlfn.XLOOKUP($S105:$AL105,增益!$A:$A,增益!$D:$D,0))-$I$2</f>
        <v>4342.95</v>
      </c>
      <c r="AV105" s="31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0.3034</v>
      </c>
      <c r="AW105" s="31" cm="1">
        <f t="array" ref="AW105">$G$10+VLOOKUP($R105,武学奇术!$A:$ZZ,7,FALSE)+SUM(_xlfn.XLOOKUP($S105:$AL105,增益!$A:$A,增益!$G:$G,0))</f>
        <v>0.11</v>
      </c>
      <c r="AX105" s="24" cm="1">
        <f t="array" ref="AX105">VLOOKUP($R105,武学奇术!$A:$ZZ,8,FALSE)+SUM(_xlfn.XLOOKUP($S105:$AL105,增益!$A:$A,增益!$H:$H,0))</f>
        <v>0</v>
      </c>
      <c r="AY105">
        <f t="shared" si="35"/>
        <v>0</v>
      </c>
      <c r="AZ105">
        <f t="shared" si="36"/>
        <v>0</v>
      </c>
      <c r="BA105" s="31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-0.14</v>
      </c>
      <c r="BB105" s="31" cm="1">
        <f t="array" ref="BB105">$G$11+VLOOKUP($R105,武学奇术!$A:$ZZ,10,FALSE)+SUM(_xlfn.XLOOKUP($S105:$AL105,增益!$A:$A,增益!$J:$J,0))</f>
        <v>0.02</v>
      </c>
      <c r="BC105">
        <f t="shared" si="37"/>
        <v>0</v>
      </c>
      <c r="BD105">
        <f t="shared" si="38"/>
        <v>0</v>
      </c>
      <c r="BE105" s="31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-0.14</v>
      </c>
      <c r="BF105" s="31" cm="1">
        <f t="array" ref="BF105">$G$12+VLOOKUP($R105,武学奇术!$A:$ZZ,12,FALSE)+SUM(_xlfn.XLOOKUP($S105:$AL105,增益!$A:$A,增益!$L:$L,0))</f>
        <v>0.02</v>
      </c>
      <c r="BG105">
        <f t="shared" si="39"/>
        <v>0</v>
      </c>
      <c r="BH105">
        <f t="shared" si="40"/>
        <v>0</v>
      </c>
      <c r="BI105" s="31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-0.14</v>
      </c>
      <c r="BJ105" s="31" cm="1">
        <f t="array" ref="BJ105">$G$13+VLOOKUP($R105,武学奇术!$A:$ZZ,14,FALSE)+SUM(_xlfn.XLOOKUP($S105:$AL105,增益!$A:$A,增益!$N:$N,0))</f>
        <v>0.02</v>
      </c>
      <c r="BK105">
        <f t="shared" si="41"/>
        <v>649.11</v>
      </c>
      <c r="BL105">
        <f t="shared" si="42"/>
        <v>1812.09</v>
      </c>
      <c r="BM105" s="31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0.08</v>
      </c>
      <c r="BN105" s="31" cm="1">
        <f t="array" ref="BN105">$G$14+VLOOKUP($R105,武学奇术!$A:$ZZ,16,FALSE)+SUM(_xlfn.XLOOKUP($S105:$AL105,增益!$A:$A,增益!$P:$P,0))</f>
        <v>0.26</v>
      </c>
      <c r="BO105" s="24">
        <f>MIN(IF(VLOOKUP($R105,武学奇术!$A:$ZZ,23,FALSE)=1,100%,$B$8),100%)</f>
        <v>0.9943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0.8985</v>
      </c>
      <c r="BQ105" s="24" cm="1">
        <f t="array" ref="BQ105">1+$B$13+VLOOKUP($R105,武学奇术!$A:$ZZ,18,FALSE)+SUM(_xlfn.XLOOKUP($S105:$AL105,增益!$A:$A,增益!$R:$R,0))</f>
        <v>2.04</v>
      </c>
      <c r="BR105" s="24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43"/>
        <v>0.89337855</v>
      </c>
      <c r="BU105" s="24">
        <f t="shared" si="44"/>
        <v>0.0153214500000001</v>
      </c>
      <c r="BV105" s="24">
        <f>IF(VLOOKUP($R105,武学奇术!$A:$ZZ,22,FALSE)=1,0,(1-$BO105))*(1-$BR105)</f>
        <v>0</v>
      </c>
      <c r="BW105" s="24" cm="1">
        <f t="array" ref="BW105">SUM(_xlfn.XLOOKUP($S105:$AL105,增益!$A:$A,增益!$W:$W,0))+$I$5</f>
        <v>0.11</v>
      </c>
      <c r="BX105" s="24">
        <f>VLOOKUP($R105,武学奇术!$A:$ZZ,32,FALSE)</f>
        <v>0.5</v>
      </c>
      <c r="BY105" s="24" cm="1">
        <f t="array" ref="BY105">SUM(_xlfn.XLOOKUP($S105:$AL105,增益!$A:$A,增益!$X:$X,0))</f>
        <v>0</v>
      </c>
    </row>
    <row r="106" spans="1:77">
      <c r="A106" t="s">
        <v>178</v>
      </c>
      <c r="B106" s="95">
        <v>0.1</v>
      </c>
      <c r="K106" s="37">
        <f>$L106*VLOOKUP($R106,武学奇术!$A:$ZZ,31,FALSE)</f>
        <v>15213.1707105808</v>
      </c>
      <c r="L106" s="37">
        <f t="shared" si="34"/>
        <v>15213.1707105808</v>
      </c>
      <c r="M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*(1+$BX106)</f>
        <v>15420.7051768262</v>
      </c>
      <c r="N106" s="37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*(1+$BX106)</f>
        <v>14221.6833813992</v>
      </c>
      <c r="O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*(1+$BX106)</f>
        <v>9402.86901025986</v>
      </c>
      <c r="P106" s="37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*(1+$BX106)</f>
        <v>8271.15773800183</v>
      </c>
      <c r="Q106" s="38">
        <v>1</v>
      </c>
      <c r="R106" s="39" t="s">
        <v>110</v>
      </c>
      <c r="S106" s="39" t="s">
        <v>104</v>
      </c>
      <c r="T106" s="39" t="s">
        <v>194</v>
      </c>
      <c r="U106" s="39" t="s">
        <v>81</v>
      </c>
      <c r="V106" s="39" t="s">
        <v>84</v>
      </c>
      <c r="W106" s="39" t="s">
        <v>84</v>
      </c>
      <c r="X106" s="39" t="s">
        <v>84</v>
      </c>
      <c r="Y106" s="39" t="s">
        <v>85</v>
      </c>
      <c r="Z106" s="39" t="s">
        <v>84</v>
      </c>
      <c r="AA106" s="39" t="s">
        <v>84</v>
      </c>
      <c r="AB106" s="39" t="s">
        <v>205</v>
      </c>
      <c r="AC106" s="39" t="s">
        <v>92</v>
      </c>
      <c r="AD106" s="39" t="s">
        <v>84</v>
      </c>
      <c r="AE106" s="39" t="s">
        <v>87</v>
      </c>
      <c r="AF106" s="39" t="s">
        <v>88</v>
      </c>
      <c r="AG106" s="39" t="s">
        <v>84</v>
      </c>
      <c r="AH106" s="39" t="s">
        <v>84</v>
      </c>
      <c r="AI106" s="39" t="s">
        <v>84</v>
      </c>
      <c r="AJ106" s="39" t="s">
        <v>84</v>
      </c>
      <c r="AK106" s="39" t="s">
        <v>84</v>
      </c>
      <c r="AL106" s="39" t="s">
        <v>84</v>
      </c>
      <c r="AM106" t="str">
        <f>VLOOKUP($R106,武学奇术!$A:$ZZ,25,FALSE)</f>
        <v>双刀</v>
      </c>
      <c r="AN106" s="24">
        <f>VLOOKUP($R106,武学奇术!$A:$ZZ,26,FALSE)</f>
        <v>0.6587</v>
      </c>
      <c r="AO106" s="25">
        <f>VLOOKUP($R106,武学奇术!$A:$ZZ,27,FALSE)*(1+IF(OR($AM106=$F$4,$AM106=$F$5),$B$22,0))</f>
        <v>292.8</v>
      </c>
      <c r="AP106" s="24">
        <f>VLOOKUP($R106,武学奇术!$A:$ZZ,28,FALSE)</f>
        <v>0.9881</v>
      </c>
      <c r="AQ106" s="25">
        <f>VLOOKUP($R106,武学奇术!$A:$ZZ,29,FALSE)*(1+IF(OR($AM106=$F$4,$AM106=$F$5),$B$22,0))</f>
        <v>160</v>
      </c>
      <c r="AR106" s="24" cm="1">
        <f t="array" ref="AR106">$G$3+IFERROR(VLOOKUP($AM106,$F$4:$G$7,2,FALSE),0)+VLOOKUP($R106,武学奇术!$A:$ZZ,2,FALSE)+SUM(_xlfn.XLOOKUP($S106:$AL106,增益!$A:$A,增益!$B:$B,0))</f>
        <v>0.4043</v>
      </c>
      <c r="AS106" s="24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4342.95</v>
      </c>
      <c r="AU106" cm="1">
        <f t="array" ref="AU106">$E$10*(1+$AS106)+VLOOKUP($R106,武学奇术!$A:$ZZ,4,FALSE)+SUM(_xlfn.XLOOKUP($S106:$AL106,增益!$A:$A,增益!$D:$D,0))-$I$2</f>
        <v>4342.95</v>
      </c>
      <c r="AV106" s="31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0.3034</v>
      </c>
      <c r="AW106" s="31" cm="1">
        <f t="array" ref="AW106">$G$10+VLOOKUP($R106,武学奇术!$A:$ZZ,7,FALSE)+SUM(_xlfn.XLOOKUP($S106:$AL106,增益!$A:$A,增益!$G:$G,0))</f>
        <v>0.02</v>
      </c>
      <c r="AX106" s="24" cm="1">
        <f t="array" ref="AX106">VLOOKUP($R106,武学奇术!$A:$ZZ,8,FALSE)+SUM(_xlfn.XLOOKUP($S106:$AL106,增益!$A:$A,增益!$H:$H,0))</f>
        <v>0</v>
      </c>
      <c r="AY106">
        <f t="shared" si="35"/>
        <v>0</v>
      </c>
      <c r="AZ106">
        <f t="shared" si="36"/>
        <v>0</v>
      </c>
      <c r="BA106" s="31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-0.14</v>
      </c>
      <c r="BB106" s="31" cm="1">
        <f t="array" ref="BB106">$G$11+VLOOKUP($R106,武学奇术!$A:$ZZ,10,FALSE)+SUM(_xlfn.XLOOKUP($S106:$AL106,增益!$A:$A,增益!$J:$J,0))</f>
        <v>0.02</v>
      </c>
      <c r="BC106">
        <f t="shared" si="37"/>
        <v>0</v>
      </c>
      <c r="BD106">
        <f t="shared" si="38"/>
        <v>0</v>
      </c>
      <c r="BE106" s="31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-0.14</v>
      </c>
      <c r="BF106" s="31" cm="1">
        <f t="array" ref="BF106">$G$12+VLOOKUP($R106,武学奇术!$A:$ZZ,12,FALSE)+SUM(_xlfn.XLOOKUP($S106:$AL106,增益!$A:$A,增益!$L:$L,0))</f>
        <v>0.02</v>
      </c>
      <c r="BG106">
        <f t="shared" si="39"/>
        <v>0</v>
      </c>
      <c r="BH106">
        <f t="shared" si="40"/>
        <v>0</v>
      </c>
      <c r="BI106" s="31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-0.14</v>
      </c>
      <c r="BJ106" s="31" cm="1">
        <f t="array" ref="BJ106">$G$13+VLOOKUP($R106,武学奇术!$A:$ZZ,14,FALSE)+SUM(_xlfn.XLOOKUP($S106:$AL106,增益!$A:$A,增益!$N:$N,0))</f>
        <v>0.02</v>
      </c>
      <c r="BK106">
        <f t="shared" si="41"/>
        <v>649.11</v>
      </c>
      <c r="BL106">
        <f t="shared" si="42"/>
        <v>1812.09</v>
      </c>
      <c r="BM106" s="31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0.08</v>
      </c>
      <c r="BN106" s="31" cm="1">
        <f t="array" ref="BN106">$G$14+VLOOKUP($R106,武学奇术!$A:$ZZ,16,FALSE)+SUM(_xlfn.XLOOKUP($S106:$AL106,增益!$A:$A,增益!$P:$P,0))</f>
        <v>0.17</v>
      </c>
      <c r="BO106" s="24">
        <f>MIN(IF(VLOOKUP($R106,武学奇术!$A:$ZZ,23,FALSE)=1,100%,$B$8),100%)</f>
        <v>0.9943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0.8985</v>
      </c>
      <c r="BQ106" s="24" cm="1">
        <f t="array" ref="BQ106">1+$B$13+VLOOKUP($R106,武学奇术!$A:$ZZ,18,FALSE)+SUM(_xlfn.XLOOKUP($S106:$AL106,增益!$A:$A,增益!$R:$R,0))</f>
        <v>1.64</v>
      </c>
      <c r="BR106" s="24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0.0913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43"/>
        <v>0.89337855</v>
      </c>
      <c r="BU106" s="24">
        <f t="shared" si="44"/>
        <v>0.01014186</v>
      </c>
      <c r="BV106" s="24">
        <f>IF(VLOOKUP($R106,武学奇术!$A:$ZZ,22,FALSE)=1,0,(1-$BO106))*(1-$BR106)</f>
        <v>0.00517959000000003</v>
      </c>
      <c r="BW106" s="24" cm="1">
        <f t="array" ref="BW106">SUM(_xlfn.XLOOKUP($S106:$AL106,增益!$A:$A,增益!$W:$W,0))+$I$5</f>
        <v>0.11</v>
      </c>
      <c r="BX106" s="24">
        <f>VLOOKUP($R106,武学奇术!$A:$ZZ,32,FALSE)</f>
        <v>0</v>
      </c>
      <c r="BY106" s="24" cm="1">
        <f t="array" ref="BY106">SUM(_xlfn.XLOOKUP($S106:$AL106,增益!$A:$A,增益!$X:$X,0))</f>
        <v>0</v>
      </c>
    </row>
    <row r="107" spans="1:77">
      <c r="A107" t="s">
        <v>200</v>
      </c>
      <c r="B107">
        <v>2.8</v>
      </c>
      <c r="K107" s="37">
        <f>$L107*VLOOKUP($R107,武学奇术!$A:$ZZ,31,FALSE)</f>
        <v>203588.947347965</v>
      </c>
      <c r="L107" s="89">
        <f>SUM(L94:L95,L97:L105)*0.2*(1+BY107)</f>
        <v>407177.89469593</v>
      </c>
      <c r="M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*(1+$BX107)</f>
        <v>0</v>
      </c>
      <c r="N107" s="37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*(1+$BX107)</f>
        <v>0</v>
      </c>
      <c r="O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*(1+$BX107)</f>
        <v>0</v>
      </c>
      <c r="P107" s="37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*(1+$BX107)</f>
        <v>0</v>
      </c>
      <c r="Q107" s="38">
        <v>1</v>
      </c>
      <c r="R107" s="39" t="s">
        <v>180</v>
      </c>
      <c r="S107" s="39" t="s">
        <v>181</v>
      </c>
      <c r="T107" s="39" t="s">
        <v>84</v>
      </c>
      <c r="U107" s="39" t="s">
        <v>84</v>
      </c>
      <c r="V107" s="39" t="s">
        <v>84</v>
      </c>
      <c r="W107" s="39" t="s">
        <v>84</v>
      </c>
      <c r="X107" s="39" t="s">
        <v>84</v>
      </c>
      <c r="Y107" s="39" t="s">
        <v>84</v>
      </c>
      <c r="Z107" s="39" t="s">
        <v>84</v>
      </c>
      <c r="AA107" s="39" t="s">
        <v>84</v>
      </c>
      <c r="AB107" s="39" t="s">
        <v>84</v>
      </c>
      <c r="AC107" s="39" t="s">
        <v>84</v>
      </c>
      <c r="AD107" s="39" t="s">
        <v>84</v>
      </c>
      <c r="AE107" s="39" t="s">
        <v>87</v>
      </c>
      <c r="AF107" s="39" t="s">
        <v>88</v>
      </c>
      <c r="AG107" s="39" t="s">
        <v>84</v>
      </c>
      <c r="AH107" s="39" t="s">
        <v>84</v>
      </c>
      <c r="AI107" s="39" t="s">
        <v>84</v>
      </c>
      <c r="AJ107" s="39" t="s">
        <v>84</v>
      </c>
      <c r="AK107" s="39" t="s">
        <v>84</v>
      </c>
      <c r="AL107" s="39" t="s">
        <v>84</v>
      </c>
      <c r="AM107" t="str">
        <f>VLOOKUP($R107,武学奇术!$A:$ZZ,25,FALSE)</f>
        <v>心法</v>
      </c>
      <c r="AN107" s="24">
        <f>VLOOKUP($R107,武学奇术!$A:$ZZ,26,FALSE)</f>
        <v>0</v>
      </c>
      <c r="AO107" s="25">
        <f>VLOOKUP($R107,武学奇术!$A:$ZZ,27,FALSE)*(1+IF(OR($AM107=$F$4,$AM107=$F$5),$B$22,0))</f>
        <v>0</v>
      </c>
      <c r="AP107" s="24">
        <f>VLOOKUP($R107,武学奇术!$A:$ZZ,28,FALSE)</f>
        <v>0</v>
      </c>
      <c r="AQ107" s="25">
        <f>VLOOKUP($R107,武学奇术!$A:$ZZ,29,FALSE)*(1+IF(OR($AM107=$F$4,$AM107=$F$5),$B$22,0))</f>
        <v>0</v>
      </c>
      <c r="AR107" s="24" cm="1">
        <f t="array" ref="AR107">$G$3+IFERROR(VLOOKUP($AM107,$F$4:$G$7,2,FALSE),0)+VLOOKUP($R107,武学奇术!$A:$ZZ,2,FALSE)+SUM(_xlfn.XLOOKUP($S107:$AL107,增益!$A:$A,增益!$B:$B,0))</f>
        <v>0.1842</v>
      </c>
      <c r="AS107" s="24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4342.95</v>
      </c>
      <c r="AU107" cm="1">
        <f t="array" ref="AU107">$E$10*(1+$AS107)+VLOOKUP($R107,武学奇术!$A:$ZZ,4,FALSE)+SUM(_xlfn.XLOOKUP($S107:$AL107,增益!$A:$A,增益!$D:$D,0))-$I$2</f>
        <v>4342.95</v>
      </c>
      <c r="AV107" s="31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0.2534</v>
      </c>
      <c r="AW107" s="31" cm="1">
        <f t="array" ref="AW107">$G$10+VLOOKUP($R107,武学奇术!$A:$ZZ,7,FALSE)+SUM(_xlfn.XLOOKUP($S107:$AL107,增益!$A:$A,增益!$G:$G,0))</f>
        <v>0</v>
      </c>
      <c r="AX107" s="24" cm="1">
        <f t="array" ref="AX107">VLOOKUP($R107,武学奇术!$A:$ZZ,8,FALSE)+SUM(_xlfn.XLOOKUP($S107:$AL107,增益!$A:$A,增益!$H:$H,0))</f>
        <v>0</v>
      </c>
      <c r="AY107">
        <f t="shared" si="35"/>
        <v>0</v>
      </c>
      <c r="AZ107">
        <f t="shared" si="36"/>
        <v>0</v>
      </c>
      <c r="BA107" s="31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1" cm="1">
        <f t="array" ref="BB107">$G$11+VLOOKUP($R107,武学奇术!$A:$ZZ,10,FALSE)+SUM(_xlfn.XLOOKUP($S107:$AL107,增益!$A:$A,增益!$J:$J,0))</f>
        <v>0</v>
      </c>
      <c r="BC107">
        <f t="shared" si="37"/>
        <v>0</v>
      </c>
      <c r="BD107">
        <f t="shared" si="38"/>
        <v>0</v>
      </c>
      <c r="BE107" s="31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1" cm="1">
        <f t="array" ref="BF107">$G$12+VLOOKUP($R107,武学奇术!$A:$ZZ,12,FALSE)+SUM(_xlfn.XLOOKUP($S107:$AL107,增益!$A:$A,增益!$L:$L,0))</f>
        <v>0</v>
      </c>
      <c r="BG107">
        <f t="shared" si="39"/>
        <v>0</v>
      </c>
      <c r="BH107">
        <f t="shared" si="40"/>
        <v>0</v>
      </c>
      <c r="BI107" s="31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1" cm="1">
        <f t="array" ref="BJ107">$G$13+VLOOKUP($R107,武学奇术!$A:$ZZ,14,FALSE)+SUM(_xlfn.XLOOKUP($S107:$AL107,增益!$A:$A,增益!$N:$N,0))</f>
        <v>0</v>
      </c>
      <c r="BK107">
        <f t="shared" si="41"/>
        <v>649.11</v>
      </c>
      <c r="BL107">
        <f t="shared" si="42"/>
        <v>1812.09</v>
      </c>
      <c r="BM107" s="31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1" cm="1">
        <f t="array" ref="BN107">$G$14+VLOOKUP($R107,武学奇术!$A:$ZZ,16,FALSE)+SUM(_xlfn.XLOOKUP($S107:$AL107,增益!$A:$A,增益!$P:$P,0))</f>
        <v>0.15</v>
      </c>
      <c r="BO107" s="24">
        <f>MIN(IF(VLOOKUP($R107,武学奇术!$A:$ZZ,23,FALSE)=1,100%,$B$8),100%)</f>
        <v>0.9943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0.8985</v>
      </c>
      <c r="BQ107" s="24" cm="1">
        <f t="array" ref="BQ107">1+$B$13+VLOOKUP($R107,武学奇术!$A:$ZZ,18,FALSE)+SUM(_xlfn.XLOOKUP($S107:$AL107,增益!$A:$A,增益!$R:$R,0))</f>
        <v>1.54</v>
      </c>
      <c r="BR107" s="24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43"/>
        <v>0.89337855</v>
      </c>
      <c r="BU107" s="24">
        <f t="shared" si="44"/>
        <v>0.01014186</v>
      </c>
      <c r="BV107" s="24">
        <f>IF(VLOOKUP($R107,武学奇术!$A:$ZZ,22,FALSE)=1,0,(1-$BO107))*(1-$BR107)</f>
        <v>0.00517959000000003</v>
      </c>
      <c r="BW107" s="24" cm="1">
        <f t="array" ref="BW107">SUM(_xlfn.XLOOKUP($S107:$AL107,增益!$A:$A,增益!$W:$W,0))+$I$5</f>
        <v>0.11</v>
      </c>
      <c r="BX107" s="24">
        <f>VLOOKUP($R107,武学奇术!$A:$ZZ,32,FALSE)</f>
        <v>0</v>
      </c>
      <c r="BY107" s="24" cm="1">
        <f t="array" ref="BY107">SUM(_xlfn.XLOOKUP($S107:$AL107,增益!$A:$A,增益!$X:$X,0))</f>
        <v>0.2</v>
      </c>
    </row>
    <row r="108" spans="1:77">
      <c r="A108" t="s">
        <v>208</v>
      </c>
      <c r="B108">
        <v>0.7</v>
      </c>
      <c r="K108" s="37">
        <f>$L108*VLOOKUP($R108,武学奇术!$A:$ZZ,31,FALSE)</f>
        <v>0</v>
      </c>
      <c r="L108" s="37">
        <f>($M108*$BT108+$N108*$BR108+$O108*$BU108+$P108*$BV108)</f>
        <v>0</v>
      </c>
      <c r="M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*(1+$BX108)</f>
        <v>0</v>
      </c>
      <c r="N108" s="37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*(1+$BX108)</f>
        <v>0</v>
      </c>
      <c r="O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*(1+$BX108)</f>
        <v>0</v>
      </c>
      <c r="P108" s="37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*(1+$BX108)</f>
        <v>0</v>
      </c>
      <c r="Q108" s="38">
        <v>1</v>
      </c>
      <c r="R108" s="39" t="s">
        <v>84</v>
      </c>
      <c r="S108" s="39" t="s">
        <v>84</v>
      </c>
      <c r="T108" s="39" t="s">
        <v>84</v>
      </c>
      <c r="U108" s="39" t="s">
        <v>84</v>
      </c>
      <c r="V108" s="39" t="s">
        <v>84</v>
      </c>
      <c r="W108" s="39" t="s">
        <v>84</v>
      </c>
      <c r="X108" s="39" t="s">
        <v>84</v>
      </c>
      <c r="Y108" s="39" t="s">
        <v>84</v>
      </c>
      <c r="Z108" s="39" t="s">
        <v>84</v>
      </c>
      <c r="AA108" s="39" t="s">
        <v>84</v>
      </c>
      <c r="AB108" s="39" t="s">
        <v>84</v>
      </c>
      <c r="AC108" s="39" t="s">
        <v>84</v>
      </c>
      <c r="AD108" s="39" t="s">
        <v>84</v>
      </c>
      <c r="AE108" s="39" t="s">
        <v>87</v>
      </c>
      <c r="AF108" s="39" t="s">
        <v>88</v>
      </c>
      <c r="AG108" s="39" t="s">
        <v>84</v>
      </c>
      <c r="AH108" s="39" t="s">
        <v>84</v>
      </c>
      <c r="AI108" s="39" t="s">
        <v>84</v>
      </c>
      <c r="AJ108" s="39" t="s">
        <v>84</v>
      </c>
      <c r="AK108" s="39" t="s">
        <v>84</v>
      </c>
      <c r="AL108" s="39" t="s">
        <v>84</v>
      </c>
      <c r="AM108" t="str">
        <f>VLOOKUP($R108,武学奇术!$A:$ZZ,25,FALSE)</f>
        <v>心法</v>
      </c>
      <c r="AN108" s="24">
        <f>VLOOKUP($R108,武学奇术!$A:$ZZ,26,FALSE)</f>
        <v>0</v>
      </c>
      <c r="AO108" s="25">
        <f>VLOOKUP($R108,武学奇术!$A:$ZZ,27,FALSE)*(1+IF(OR($AM108=$F$4,$AM108=$F$5),$B$22,0))</f>
        <v>0</v>
      </c>
      <c r="AP108" s="24">
        <f>VLOOKUP($R108,武学奇术!$A:$ZZ,28,FALSE)</f>
        <v>0</v>
      </c>
      <c r="AQ108" s="25">
        <f>VLOOKUP($R108,武学奇术!$A:$ZZ,29,FALSE)*(1+IF(OR($AM108=$F$4,$AM108=$F$5),$B$22,0))</f>
        <v>0</v>
      </c>
      <c r="AR108" s="24" cm="1">
        <f t="array" ref="AR108">$G$3+IFERROR(VLOOKUP($AM108,$F$4:$G$7,2,FALSE),0)+VLOOKUP($R108,武学奇术!$A:$ZZ,2,FALSE)+SUM(_xlfn.XLOOKUP($S108:$AL108,增益!$A:$A,增益!$B:$B,0))</f>
        <v>0.1842</v>
      </c>
      <c r="AS108" s="24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4342.95</v>
      </c>
      <c r="AU108" cm="1">
        <f t="array" ref="AU108">$E$10*(1+$AS108)+VLOOKUP($R108,武学奇术!$A:$ZZ,4,FALSE)+SUM(_xlfn.XLOOKUP($S108:$AL108,增益!$A:$A,增益!$D:$D,0))-$I$2</f>
        <v>4342.95</v>
      </c>
      <c r="AV108" s="31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0.2534</v>
      </c>
      <c r="AW108" s="31" cm="1">
        <f t="array" ref="AW108">$G$10+VLOOKUP($R108,武学奇术!$A:$ZZ,7,FALSE)+SUM(_xlfn.XLOOKUP($S108:$AL108,增益!$A:$A,增益!$G:$G,0))</f>
        <v>0</v>
      </c>
      <c r="AX108" s="24" cm="1">
        <f t="array" ref="AX108">VLOOKUP($R108,武学奇术!$A:$ZZ,8,FALSE)+SUM(_xlfn.XLOOKUP($S108:$AL108,增益!$A:$A,增益!$H:$H,0))</f>
        <v>0</v>
      </c>
      <c r="AY108">
        <f t="shared" si="35"/>
        <v>0</v>
      </c>
      <c r="AZ108">
        <f t="shared" si="36"/>
        <v>0</v>
      </c>
      <c r="BA108" s="31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1" cm="1">
        <f t="array" ref="BB108">$G$11+VLOOKUP($R108,武学奇术!$A:$ZZ,10,FALSE)+SUM(_xlfn.XLOOKUP($S108:$AL108,增益!$A:$A,增益!$J:$J,0))</f>
        <v>0</v>
      </c>
      <c r="BC108">
        <f t="shared" si="37"/>
        <v>0</v>
      </c>
      <c r="BD108">
        <f t="shared" si="38"/>
        <v>0</v>
      </c>
      <c r="BE108" s="31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1" cm="1">
        <f t="array" ref="BF108">$G$12+VLOOKUP($R108,武学奇术!$A:$ZZ,12,FALSE)+SUM(_xlfn.XLOOKUP($S108:$AL108,增益!$A:$A,增益!$L:$L,0))</f>
        <v>0</v>
      </c>
      <c r="BG108">
        <f t="shared" si="39"/>
        <v>0</v>
      </c>
      <c r="BH108">
        <f t="shared" si="40"/>
        <v>0</v>
      </c>
      <c r="BI108" s="31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1" cm="1">
        <f t="array" ref="BJ108">$G$13+VLOOKUP($R108,武学奇术!$A:$ZZ,14,FALSE)+SUM(_xlfn.XLOOKUP($S108:$AL108,增益!$A:$A,增益!$N:$N,0))</f>
        <v>0</v>
      </c>
      <c r="BK108">
        <f t="shared" si="41"/>
        <v>649.11</v>
      </c>
      <c r="BL108">
        <f t="shared" si="42"/>
        <v>1812.09</v>
      </c>
      <c r="BM108" s="31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1" cm="1">
        <f t="array" ref="BN108">$G$14+VLOOKUP($R108,武学奇术!$A:$ZZ,16,FALSE)+SUM(_xlfn.XLOOKUP($S108:$AL108,增益!$A:$A,增益!$P:$P,0))</f>
        <v>0.15</v>
      </c>
      <c r="BO108" s="24">
        <f>MIN(IF(VLOOKUP($R108,武学奇术!$A:$ZZ,23,FALSE)=1,100%,$B$8),100%)</f>
        <v>0.9943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0.8985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43"/>
        <v>0.89337855</v>
      </c>
      <c r="BU108" s="24">
        <f t="shared" si="44"/>
        <v>0.01014186</v>
      </c>
      <c r="BV108" s="24">
        <f>IF(VLOOKUP($R108,武学奇术!$A:$ZZ,22,FALSE)=1,0,(1-$BO108))*(1-$BR108)</f>
        <v>0.00517959000000003</v>
      </c>
      <c r="BW108" s="24" cm="1">
        <f t="array" ref="BW108">SUM(_xlfn.XLOOKUP($S108:$AL108,增益!$A:$A,增益!$W:$W,0))+$I$5</f>
        <v>0.11</v>
      </c>
      <c r="BX108" s="24">
        <f>VLOOKUP($R108,武学奇术!$A:$ZZ,32,FALSE)</f>
        <v>0</v>
      </c>
      <c r="BY108" s="24" cm="1">
        <f t="array" ref="BY108">SUM(_xlfn.XLOOKUP($S108:$AL108,增益!$A:$A,增益!$X:$X,0))</f>
        <v>0</v>
      </c>
    </row>
    <row r="109" spans="1:77">
      <c r="B109" s="95"/>
      <c r="K109" s="37">
        <f>$L109*VLOOKUP($R109,武学奇术!$A:$ZZ,31,FALSE)</f>
        <v>0</v>
      </c>
      <c r="L109" s="37">
        <f t="shared" si="34"/>
        <v>0</v>
      </c>
      <c r="M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*(1+$BX109)</f>
        <v>0</v>
      </c>
      <c r="N109" s="37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*(1+$BX109)</f>
        <v>0</v>
      </c>
      <c r="O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*(1+$BX109)</f>
        <v>0</v>
      </c>
      <c r="P109" s="37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*(1+$BX109)</f>
        <v>0</v>
      </c>
      <c r="Q109" s="38">
        <v>1</v>
      </c>
      <c r="R109" s="39" t="s">
        <v>84</v>
      </c>
      <c r="S109" s="39" t="s">
        <v>84</v>
      </c>
      <c r="T109" s="39" t="s">
        <v>84</v>
      </c>
      <c r="U109" s="39" t="s">
        <v>84</v>
      </c>
      <c r="V109" s="39" t="s">
        <v>84</v>
      </c>
      <c r="W109" s="39" t="s">
        <v>84</v>
      </c>
      <c r="X109" s="39" t="s">
        <v>84</v>
      </c>
      <c r="Y109" s="39" t="s">
        <v>84</v>
      </c>
      <c r="Z109" s="39" t="s">
        <v>84</v>
      </c>
      <c r="AA109" s="39" t="s">
        <v>84</v>
      </c>
      <c r="AB109" s="39" t="s">
        <v>84</v>
      </c>
      <c r="AC109" s="39" t="s">
        <v>84</v>
      </c>
      <c r="AD109" s="39" t="s">
        <v>84</v>
      </c>
      <c r="AE109" s="39" t="s">
        <v>87</v>
      </c>
      <c r="AF109" s="39" t="s">
        <v>88</v>
      </c>
      <c r="AG109" s="39" t="s">
        <v>84</v>
      </c>
      <c r="AH109" s="39" t="s">
        <v>84</v>
      </c>
      <c r="AI109" s="39" t="s">
        <v>84</v>
      </c>
      <c r="AJ109" s="39" t="s">
        <v>84</v>
      </c>
      <c r="AK109" s="39" t="s">
        <v>84</v>
      </c>
      <c r="AL109" s="39" t="s">
        <v>84</v>
      </c>
      <c r="AM109" t="str">
        <f>VLOOKUP($R109,武学奇术!$A:$ZZ,25,FALSE)</f>
        <v>心法</v>
      </c>
      <c r="AN109" s="24">
        <f>VLOOKUP($R109,武学奇术!$A:$ZZ,26,FALSE)</f>
        <v>0</v>
      </c>
      <c r="AO109" s="25">
        <f>VLOOKUP($R109,武学奇术!$A:$ZZ,27,FALSE)*(1+IF(OR($AM109=$F$4,$AM109=$F$5),$B$22,0))</f>
        <v>0</v>
      </c>
      <c r="AP109" s="24">
        <f>VLOOKUP($R109,武学奇术!$A:$ZZ,28,FALSE)</f>
        <v>0</v>
      </c>
      <c r="AQ109" s="25">
        <f>VLOOKUP($R109,武学奇术!$A:$ZZ,29,FALSE)*(1+IF(OR($AM109=$F$4,$AM109=$F$5),$B$22,0))</f>
        <v>0</v>
      </c>
      <c r="AR109" s="24" cm="1">
        <f t="array" ref="AR109">$G$3+IFERROR(VLOOKUP($AM109,$F$4:$G$7,2,FALSE),0)+VLOOKUP($R109,武学奇术!$A:$ZZ,2,FALSE)+SUM(_xlfn.XLOOKUP($S109:$AL109,增益!$A:$A,增益!$B:$B,0))</f>
        <v>0.1842</v>
      </c>
      <c r="AS109" s="24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4342.95</v>
      </c>
      <c r="AU109" cm="1">
        <f t="array" ref="AU109">$E$10*(1+$AS109)+VLOOKUP($R109,武学奇术!$A:$ZZ,4,FALSE)+SUM(_xlfn.XLOOKUP($S109:$AL109,增益!$A:$A,增益!$D:$D,0))-$I$2</f>
        <v>4342.95</v>
      </c>
      <c r="AV109" s="31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0.2534</v>
      </c>
      <c r="AW109" s="31" cm="1">
        <f t="array" ref="AW109">$G$10+VLOOKUP($R109,武学奇术!$A:$ZZ,7,FALSE)+SUM(_xlfn.XLOOKUP($S109:$AL109,增益!$A:$A,增益!$G:$G,0))</f>
        <v>0</v>
      </c>
      <c r="AX109" s="24" cm="1">
        <f t="array" ref="AX109">VLOOKUP($R109,武学奇术!$A:$ZZ,8,FALSE)+SUM(_xlfn.XLOOKUP($S109:$AL109,增益!$A:$A,增益!$H:$H,0))</f>
        <v>0</v>
      </c>
      <c r="AY109">
        <f t="shared" si="35"/>
        <v>0</v>
      </c>
      <c r="AZ109">
        <f t="shared" si="36"/>
        <v>0</v>
      </c>
      <c r="BA109" s="31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1" cm="1">
        <f t="array" ref="BB109">$G$11+VLOOKUP($R109,武学奇术!$A:$ZZ,10,FALSE)+SUM(_xlfn.XLOOKUP($S109:$AL109,增益!$A:$A,增益!$J:$J,0))</f>
        <v>0</v>
      </c>
      <c r="BC109">
        <f t="shared" si="37"/>
        <v>0</v>
      </c>
      <c r="BD109">
        <f t="shared" si="38"/>
        <v>0</v>
      </c>
      <c r="BE109" s="31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1" cm="1">
        <f t="array" ref="BF109">$G$12+VLOOKUP($R109,武学奇术!$A:$ZZ,12,FALSE)+SUM(_xlfn.XLOOKUP($S109:$AL109,增益!$A:$A,增益!$L:$L,0))</f>
        <v>0</v>
      </c>
      <c r="BG109">
        <f t="shared" si="39"/>
        <v>0</v>
      </c>
      <c r="BH109">
        <f t="shared" si="40"/>
        <v>0</v>
      </c>
      <c r="BI109" s="31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1" cm="1">
        <f t="array" ref="BJ109">$G$13+VLOOKUP($R109,武学奇术!$A:$ZZ,14,FALSE)+SUM(_xlfn.XLOOKUP($S109:$AL109,增益!$A:$A,增益!$N:$N,0))</f>
        <v>0</v>
      </c>
      <c r="BK109">
        <f t="shared" si="41"/>
        <v>649.11</v>
      </c>
      <c r="BL109">
        <f t="shared" si="42"/>
        <v>1812.09</v>
      </c>
      <c r="BM109" s="31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1" cm="1">
        <f t="array" ref="BN109">$G$14+VLOOKUP($R109,武学奇术!$A:$ZZ,16,FALSE)+SUM(_xlfn.XLOOKUP($S109:$AL109,增益!$A:$A,增益!$P:$P,0))</f>
        <v>0.15</v>
      </c>
      <c r="BO109" s="24">
        <f>MIN(IF(VLOOKUP($R109,武学奇术!$A:$ZZ,23,FALSE)=1,100%,$B$8),100%)</f>
        <v>0.9943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0.8985</v>
      </c>
      <c r="BQ109" s="24" cm="1">
        <f t="array" ref="BQ109">1+$B$13+VLOOKUP($R109,武学奇术!$A:$ZZ,18,FALSE)+SUM(_xlfn.XLOOKUP($S109:$AL109,增益!$A:$A,增益!$R:$R,0))</f>
        <v>1.54</v>
      </c>
      <c r="BR109" s="24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43"/>
        <v>0.89337855</v>
      </c>
      <c r="BU109" s="24">
        <f t="shared" si="44"/>
        <v>0.01014186</v>
      </c>
      <c r="BV109" s="24">
        <f>IF(VLOOKUP($R109,武学奇术!$A:$ZZ,22,FALSE)=1,0,(1-$BO109))*(1-$BR109)</f>
        <v>0.00517959000000003</v>
      </c>
      <c r="BW109" s="24" cm="1">
        <f t="array" ref="BW109">SUM(_xlfn.XLOOKUP($S109:$AL109,增益!$A:$A,增益!$W:$W,0))+$I$5</f>
        <v>0.11</v>
      </c>
      <c r="BX109" s="24">
        <f>VLOOKUP($R109,武学奇术!$A:$ZZ,32,FALSE)</f>
        <v>0</v>
      </c>
      <c r="BY109" s="24" cm="1">
        <f t="array" ref="BY109">SUM(_xlfn.XLOOKUP($S109:$AL109,增益!$A:$A,增益!$X:$X,0))</f>
        <v>0</v>
      </c>
    </row>
    <row r="110" spans="1:77">
      <c r="K110" s="37">
        <f>$L110*VLOOKUP($R110,武学奇术!$A:$ZZ,31,FALSE)</f>
        <v>0</v>
      </c>
      <c r="L110" s="37">
        <f t="shared" si="34"/>
        <v>0</v>
      </c>
      <c r="M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*(1+$BX110)</f>
        <v>0</v>
      </c>
      <c r="N110" s="37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*(1+$BX110)</f>
        <v>0</v>
      </c>
      <c r="O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*(1+$BX110)</f>
        <v>0</v>
      </c>
      <c r="P110" s="37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*(1+$BX110)</f>
        <v>0</v>
      </c>
      <c r="Q110" s="38">
        <v>1</v>
      </c>
      <c r="R110" s="39" t="s">
        <v>84</v>
      </c>
      <c r="S110" s="39" t="s">
        <v>84</v>
      </c>
      <c r="T110" s="39" t="s">
        <v>84</v>
      </c>
      <c r="U110" s="39" t="s">
        <v>84</v>
      </c>
      <c r="V110" s="39" t="s">
        <v>84</v>
      </c>
      <c r="W110" s="39" t="s">
        <v>84</v>
      </c>
      <c r="X110" s="39" t="s">
        <v>84</v>
      </c>
      <c r="Y110" s="39" t="s">
        <v>84</v>
      </c>
      <c r="Z110" s="39" t="s">
        <v>84</v>
      </c>
      <c r="AA110" s="39" t="s">
        <v>84</v>
      </c>
      <c r="AB110" s="39" t="s">
        <v>84</v>
      </c>
      <c r="AC110" s="39" t="s">
        <v>84</v>
      </c>
      <c r="AD110" s="39" t="s">
        <v>84</v>
      </c>
      <c r="AE110" s="39" t="s">
        <v>87</v>
      </c>
      <c r="AF110" s="39" t="s">
        <v>88</v>
      </c>
      <c r="AG110" s="39" t="s">
        <v>84</v>
      </c>
      <c r="AH110" s="39" t="s">
        <v>84</v>
      </c>
      <c r="AI110" s="39" t="s">
        <v>84</v>
      </c>
      <c r="AJ110" s="39" t="s">
        <v>84</v>
      </c>
      <c r="AK110" s="39" t="s">
        <v>84</v>
      </c>
      <c r="AL110" s="39" t="s">
        <v>84</v>
      </c>
      <c r="AM110" t="str">
        <f>VLOOKUP($R110,武学奇术!$A:$ZZ,25,FALSE)</f>
        <v>心法</v>
      </c>
      <c r="AN110" s="24">
        <f>VLOOKUP($R110,武学奇术!$A:$ZZ,26,FALSE)</f>
        <v>0</v>
      </c>
      <c r="AO110" s="25">
        <f>VLOOKUP($R110,武学奇术!$A:$ZZ,27,FALSE)*(1+IF(OR($AM110=$F$4,$AM110=$F$5),$B$22,0))</f>
        <v>0</v>
      </c>
      <c r="AP110" s="24">
        <f>VLOOKUP($R110,武学奇术!$A:$ZZ,28,FALSE)</f>
        <v>0</v>
      </c>
      <c r="AQ110" s="25">
        <f>VLOOKUP($R110,武学奇术!$A:$ZZ,29,FALSE)*(1+IF(OR($AM110=$F$4,$AM110=$F$5),$B$22,0))</f>
        <v>0</v>
      </c>
      <c r="AR110" s="24" cm="1">
        <f t="array" ref="AR110">$G$3+IFERROR(VLOOKUP($AM110,$F$4:$G$7,2,FALSE),0)+VLOOKUP($R110,武学奇术!$A:$ZZ,2,FALSE)+SUM(_xlfn.XLOOKUP($S110:$AL110,增益!$A:$A,增益!$B:$B,0))</f>
        <v>0.1842</v>
      </c>
      <c r="AS110" s="24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4342.95</v>
      </c>
      <c r="AU110" cm="1">
        <f t="array" ref="AU110">$E$10*(1+$AS110)+VLOOKUP($R110,武学奇术!$A:$ZZ,4,FALSE)+SUM(_xlfn.XLOOKUP($S110:$AL110,增益!$A:$A,增益!$D:$D,0))-$I$2</f>
        <v>4342.95</v>
      </c>
      <c r="AV110" s="31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0.2534</v>
      </c>
      <c r="AW110" s="31" cm="1">
        <f t="array" ref="AW110">$G$10+VLOOKUP($R110,武学奇术!$A:$ZZ,7,FALSE)+SUM(_xlfn.XLOOKUP($S110:$AL110,增益!$A:$A,增益!$G:$G,0))</f>
        <v>0</v>
      </c>
      <c r="AX110" s="24" cm="1">
        <f t="array" ref="AX110">VLOOKUP($R110,武学奇术!$A:$ZZ,8,FALSE)+SUM(_xlfn.XLOOKUP($S110:$AL110,增益!$A:$A,增益!$H:$H,0))</f>
        <v>0</v>
      </c>
      <c r="AY110">
        <f t="shared" si="35"/>
        <v>0</v>
      </c>
      <c r="AZ110">
        <f t="shared" si="36"/>
        <v>0</v>
      </c>
      <c r="BA110" s="31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1" cm="1">
        <f t="array" ref="BB110">$G$11+VLOOKUP($R110,武学奇术!$A:$ZZ,10,FALSE)+SUM(_xlfn.XLOOKUP($S110:$AL110,增益!$A:$A,增益!$J:$J,0))</f>
        <v>0</v>
      </c>
      <c r="BC110">
        <f t="shared" si="37"/>
        <v>0</v>
      </c>
      <c r="BD110">
        <f t="shared" si="38"/>
        <v>0</v>
      </c>
      <c r="BE110" s="31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1" cm="1">
        <f t="array" ref="BF110">$G$12+VLOOKUP($R110,武学奇术!$A:$ZZ,12,FALSE)+SUM(_xlfn.XLOOKUP($S110:$AL110,增益!$A:$A,增益!$L:$L,0))</f>
        <v>0</v>
      </c>
      <c r="BG110">
        <f t="shared" si="39"/>
        <v>0</v>
      </c>
      <c r="BH110">
        <f t="shared" si="40"/>
        <v>0</v>
      </c>
      <c r="BI110" s="31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1" cm="1">
        <f t="array" ref="BJ110">$G$13+VLOOKUP($R110,武学奇术!$A:$ZZ,14,FALSE)+SUM(_xlfn.XLOOKUP($S110:$AL110,增益!$A:$A,增益!$N:$N,0))</f>
        <v>0</v>
      </c>
      <c r="BK110">
        <f t="shared" si="41"/>
        <v>649.11</v>
      </c>
      <c r="BL110">
        <f t="shared" si="42"/>
        <v>1812.09</v>
      </c>
      <c r="BM110" s="31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1" cm="1">
        <f t="array" ref="BN110">$G$14+VLOOKUP($R110,武学奇术!$A:$ZZ,16,FALSE)+SUM(_xlfn.XLOOKUP($S110:$AL110,增益!$A:$A,增益!$P:$P,0))</f>
        <v>0.15</v>
      </c>
      <c r="BO110" s="24">
        <f>MIN(IF(VLOOKUP($R110,武学奇术!$A:$ZZ,23,FALSE)=1,100%,$B$8),100%)</f>
        <v>0.9943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0.8985</v>
      </c>
      <c r="BQ110" s="24" cm="1">
        <f t="array" ref="BQ110">1+$B$13+VLOOKUP($R110,武学奇术!$A:$ZZ,18,FALSE)+SUM(_xlfn.XLOOKUP($S110:$AL110,增益!$A:$A,增益!$R:$R,0))</f>
        <v>1.54</v>
      </c>
      <c r="BR110" s="24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43"/>
        <v>0.89337855</v>
      </c>
      <c r="BU110" s="24">
        <f t="shared" si="44"/>
        <v>0.01014186</v>
      </c>
      <c r="BV110" s="24">
        <f>IF(VLOOKUP($R110,武学奇术!$A:$ZZ,22,FALSE)=1,0,(1-$BO110))*(1-$BR110)</f>
        <v>0.00517959000000003</v>
      </c>
      <c r="BW110" s="24" cm="1">
        <f t="array" ref="BW110">SUM(_xlfn.XLOOKUP($S110:$AL110,增益!$A:$A,增益!$W:$W,0))+$I$5</f>
        <v>0.11</v>
      </c>
      <c r="BX110" s="24">
        <f>VLOOKUP($R110,武学奇术!$A:$ZZ,32,FALSE)</f>
        <v>0</v>
      </c>
      <c r="BY110" s="24" cm="1">
        <f t="array" ref="BY110">SUM(_xlfn.XLOOKUP($S110:$AL110,增益!$A:$A,增益!$X:$X,0))</f>
        <v>0</v>
      </c>
    </row>
    <row r="111" spans="1:77">
      <c r="K111" s="37">
        <f>$L111*VLOOKUP($R111,武学奇术!$A:$ZZ,31,FALSE)</f>
        <v>0</v>
      </c>
      <c r="L111" s="37">
        <f t="shared" si="34"/>
        <v>0</v>
      </c>
      <c r="M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*(1+$BX111)</f>
        <v>0</v>
      </c>
      <c r="N111" s="37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*(1+$BX111)</f>
        <v>0</v>
      </c>
      <c r="O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*(1+$BX111)</f>
        <v>0</v>
      </c>
      <c r="P111" s="37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*(1+$BX111)</f>
        <v>0</v>
      </c>
      <c r="Q111" s="38">
        <v>1</v>
      </c>
      <c r="R111" s="39" t="s">
        <v>84</v>
      </c>
      <c r="S111" s="39" t="s">
        <v>84</v>
      </c>
      <c r="T111" s="39" t="s">
        <v>84</v>
      </c>
      <c r="U111" s="39" t="s">
        <v>84</v>
      </c>
      <c r="V111" s="39" t="s">
        <v>84</v>
      </c>
      <c r="W111" s="39" t="s">
        <v>84</v>
      </c>
      <c r="X111" s="39" t="s">
        <v>84</v>
      </c>
      <c r="Y111" s="39" t="s">
        <v>84</v>
      </c>
      <c r="Z111" s="39" t="s">
        <v>84</v>
      </c>
      <c r="AA111" s="39" t="s">
        <v>84</v>
      </c>
      <c r="AB111" s="39" t="s">
        <v>84</v>
      </c>
      <c r="AC111" s="39" t="s">
        <v>84</v>
      </c>
      <c r="AD111" s="39" t="s">
        <v>84</v>
      </c>
      <c r="AE111" s="39" t="s">
        <v>87</v>
      </c>
      <c r="AF111" s="39" t="s">
        <v>88</v>
      </c>
      <c r="AG111" s="39" t="s">
        <v>84</v>
      </c>
      <c r="AH111" s="39" t="s">
        <v>84</v>
      </c>
      <c r="AI111" s="39" t="s">
        <v>84</v>
      </c>
      <c r="AJ111" s="39" t="s">
        <v>84</v>
      </c>
      <c r="AK111" s="39" t="s">
        <v>84</v>
      </c>
      <c r="AL111" s="39" t="s">
        <v>84</v>
      </c>
      <c r="AM111" t="str">
        <f>VLOOKUP($R111,武学奇术!$A:$ZZ,25,FALSE)</f>
        <v>心法</v>
      </c>
      <c r="AN111" s="24">
        <f>VLOOKUP($R111,武学奇术!$A:$ZZ,26,FALSE)</f>
        <v>0</v>
      </c>
      <c r="AO111" s="25">
        <f>VLOOKUP($R111,武学奇术!$A:$ZZ,27,FALSE)*(1+IF(OR($AM111=$F$4,$AM111=$F$5),$B$22,0))</f>
        <v>0</v>
      </c>
      <c r="AP111" s="24">
        <f>VLOOKUP($R111,武学奇术!$A:$ZZ,28,FALSE)</f>
        <v>0</v>
      </c>
      <c r="AQ111" s="25">
        <f>VLOOKUP($R111,武学奇术!$A:$ZZ,29,FALSE)*(1+IF(OR($AM111=$F$4,$AM111=$F$5),$B$22,0))</f>
        <v>0</v>
      </c>
      <c r="AR111" s="24" cm="1">
        <f t="array" ref="AR111">$G$3+IFERROR(VLOOKUP($AM111,$F$4:$G$7,2,FALSE),0)+VLOOKUP($R111,武学奇术!$A:$ZZ,2,FALSE)+SUM(_xlfn.XLOOKUP($S111:$AL111,增益!$A:$A,增益!$B:$B,0))</f>
        <v>0.1842</v>
      </c>
      <c r="AS111" s="24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4342.95</v>
      </c>
      <c r="AU111" cm="1">
        <f t="array" ref="AU111">$E$10*(1+$AS111)+VLOOKUP($R111,武学奇术!$A:$ZZ,4,FALSE)+SUM(_xlfn.XLOOKUP($S111:$AL111,增益!$A:$A,增益!$D:$D,0))-$I$2</f>
        <v>4342.95</v>
      </c>
      <c r="AV111" s="31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0.2534</v>
      </c>
      <c r="AW111" s="31" cm="1">
        <f t="array" ref="AW111">$G$10+VLOOKUP($R111,武学奇术!$A:$ZZ,7,FALSE)+SUM(_xlfn.XLOOKUP($S111:$AL111,增益!$A:$A,增益!$G:$G,0))</f>
        <v>0</v>
      </c>
      <c r="AX111" s="24" cm="1">
        <f t="array" ref="AX111">VLOOKUP($R111,武学奇术!$A:$ZZ,8,FALSE)+SUM(_xlfn.XLOOKUP($S111:$AL111,增益!$A:$A,增益!$H:$H,0))</f>
        <v>0</v>
      </c>
      <c r="AY111">
        <f t="shared" si="35"/>
        <v>0</v>
      </c>
      <c r="AZ111">
        <f t="shared" si="36"/>
        <v>0</v>
      </c>
      <c r="BA111" s="31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1" cm="1">
        <f t="array" ref="BB111">$G$11+VLOOKUP($R111,武学奇术!$A:$ZZ,10,FALSE)+SUM(_xlfn.XLOOKUP($S111:$AL111,增益!$A:$A,增益!$J:$J,0))</f>
        <v>0</v>
      </c>
      <c r="BC111">
        <f t="shared" si="37"/>
        <v>0</v>
      </c>
      <c r="BD111">
        <f t="shared" si="38"/>
        <v>0</v>
      </c>
      <c r="BE111" s="31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1" cm="1">
        <f t="array" ref="BF111">$G$12+VLOOKUP($R111,武学奇术!$A:$ZZ,12,FALSE)+SUM(_xlfn.XLOOKUP($S111:$AL111,增益!$A:$A,增益!$L:$L,0))</f>
        <v>0</v>
      </c>
      <c r="BG111">
        <f t="shared" si="39"/>
        <v>0</v>
      </c>
      <c r="BH111">
        <f t="shared" si="40"/>
        <v>0</v>
      </c>
      <c r="BI111" s="31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1" cm="1">
        <f t="array" ref="BJ111">$G$13+VLOOKUP($R111,武学奇术!$A:$ZZ,14,FALSE)+SUM(_xlfn.XLOOKUP($S111:$AL111,增益!$A:$A,增益!$N:$N,0))</f>
        <v>0</v>
      </c>
      <c r="BK111">
        <f t="shared" si="41"/>
        <v>649.11</v>
      </c>
      <c r="BL111">
        <f t="shared" si="42"/>
        <v>1812.09</v>
      </c>
      <c r="BM111" s="31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1" cm="1">
        <f t="array" ref="BN111">$G$14+VLOOKUP($R111,武学奇术!$A:$ZZ,16,FALSE)+SUM(_xlfn.XLOOKUP($S111:$AL111,增益!$A:$A,增益!$P:$P,0))</f>
        <v>0.15</v>
      </c>
      <c r="BO111" s="24">
        <f>MIN(IF(VLOOKUP($R111,武学奇术!$A:$ZZ,23,FALSE)=1,100%,$B$8),100%)</f>
        <v>0.9943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0.8985</v>
      </c>
      <c r="BQ111" s="24" cm="1">
        <f t="array" ref="BQ111">1+$B$13+VLOOKUP($R111,武学奇术!$A:$ZZ,18,FALSE)+SUM(_xlfn.XLOOKUP($S111:$AL111,增益!$A:$A,增益!$R:$R,0))</f>
        <v>1.54</v>
      </c>
      <c r="BR111" s="24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43"/>
        <v>0.89337855</v>
      </c>
      <c r="BU111" s="24">
        <f t="shared" si="44"/>
        <v>0.01014186</v>
      </c>
      <c r="BV111" s="24">
        <f>IF(VLOOKUP($R111,武学奇术!$A:$ZZ,22,FALSE)=1,0,(1-$BO111))*(1-$BR111)</f>
        <v>0.00517959000000003</v>
      </c>
      <c r="BW111" s="24" cm="1">
        <f t="array" ref="BW111">SUM(_xlfn.XLOOKUP($S111:$AL111,增益!$A:$A,增益!$W:$W,0))+$I$5</f>
        <v>0.11</v>
      </c>
      <c r="BX111" s="24">
        <f>VLOOKUP($R111,武学奇术!$A:$ZZ,32,FALSE)</f>
        <v>0</v>
      </c>
      <c r="BY111" s="24" cm="1">
        <f t="array" ref="BY111">SUM(_xlfn.XLOOKUP($S111:$AL111,增益!$A:$A,增益!$X:$X,0))</f>
        <v>0</v>
      </c>
    </row>
    <row r="112" spans="1:77">
      <c r="K112" s="37">
        <f>$L112*VLOOKUP($R112,武学奇术!$A:$ZZ,31,FALSE)</f>
        <v>0</v>
      </c>
      <c r="L112" s="37">
        <f t="shared" si="34"/>
        <v>0</v>
      </c>
      <c r="M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*(1+$BX112)</f>
        <v>0</v>
      </c>
      <c r="N112" s="37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*(1+$BX112)</f>
        <v>0</v>
      </c>
      <c r="O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*(1+$BX112)</f>
        <v>0</v>
      </c>
      <c r="P112" s="37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*(1+$BX112)</f>
        <v>0</v>
      </c>
      <c r="Q112" s="38">
        <v>1</v>
      </c>
      <c r="R112" s="39" t="s">
        <v>84</v>
      </c>
      <c r="S112" s="39" t="s">
        <v>84</v>
      </c>
      <c r="T112" s="39" t="s">
        <v>84</v>
      </c>
      <c r="U112" s="39" t="s">
        <v>84</v>
      </c>
      <c r="V112" s="39" t="s">
        <v>84</v>
      </c>
      <c r="W112" s="39" t="s">
        <v>84</v>
      </c>
      <c r="X112" s="39" t="s">
        <v>84</v>
      </c>
      <c r="Y112" s="39" t="s">
        <v>84</v>
      </c>
      <c r="Z112" s="39" t="s">
        <v>84</v>
      </c>
      <c r="AA112" s="39" t="s">
        <v>84</v>
      </c>
      <c r="AB112" s="39" t="s">
        <v>84</v>
      </c>
      <c r="AC112" s="39" t="s">
        <v>84</v>
      </c>
      <c r="AD112" s="39" t="s">
        <v>84</v>
      </c>
      <c r="AE112" s="39" t="s">
        <v>87</v>
      </c>
      <c r="AF112" s="39" t="s">
        <v>88</v>
      </c>
      <c r="AG112" s="39" t="s">
        <v>84</v>
      </c>
      <c r="AH112" s="39" t="s">
        <v>84</v>
      </c>
      <c r="AI112" s="39" t="s">
        <v>84</v>
      </c>
      <c r="AJ112" s="39" t="s">
        <v>84</v>
      </c>
      <c r="AK112" s="39" t="s">
        <v>84</v>
      </c>
      <c r="AL112" s="39" t="s">
        <v>84</v>
      </c>
      <c r="AM112" t="str">
        <f>VLOOKUP($R112,武学奇术!$A:$ZZ,25,FALSE)</f>
        <v>心法</v>
      </c>
      <c r="AN112" s="24">
        <f>VLOOKUP($R112,武学奇术!$A:$ZZ,26,FALSE)</f>
        <v>0</v>
      </c>
      <c r="AO112" s="25">
        <f>VLOOKUP($R112,武学奇术!$A:$ZZ,27,FALSE)*(1+IF(OR($AM112=$F$4,$AM112=$F$5),$B$22,0))</f>
        <v>0</v>
      </c>
      <c r="AP112" s="24">
        <f>VLOOKUP($R112,武学奇术!$A:$ZZ,28,FALSE)</f>
        <v>0</v>
      </c>
      <c r="AQ112" s="25">
        <f>VLOOKUP($R112,武学奇术!$A:$ZZ,29,FALSE)*(1+IF(OR($AM112=$F$4,$AM112=$F$5),$B$22,0))</f>
        <v>0</v>
      </c>
      <c r="AR112" s="24" cm="1">
        <f t="array" ref="AR112">$G$3+IFERROR(VLOOKUP($AM112,$F$4:$G$7,2,FALSE),0)+VLOOKUP($R112,武学奇术!$A:$ZZ,2,FALSE)+SUM(_xlfn.XLOOKUP($S112:$AL112,增益!$A:$A,增益!$B:$B,0))</f>
        <v>0.1842</v>
      </c>
      <c r="AS112" s="24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4342.95</v>
      </c>
      <c r="AU112" cm="1">
        <f t="array" ref="AU112">$E$10*(1+$AS112)+VLOOKUP($R112,武学奇术!$A:$ZZ,4,FALSE)+SUM(_xlfn.XLOOKUP($S112:$AL112,增益!$A:$A,增益!$D:$D,0))-$I$2</f>
        <v>4342.95</v>
      </c>
      <c r="AV112" s="31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0.2534</v>
      </c>
      <c r="AW112" s="31" cm="1">
        <f t="array" ref="AW112">$G$10+VLOOKUP($R112,武学奇术!$A:$ZZ,7,FALSE)+SUM(_xlfn.XLOOKUP($S112:$AL112,增益!$A:$A,增益!$G:$G,0))</f>
        <v>0</v>
      </c>
      <c r="AX112" s="24" cm="1">
        <f t="array" ref="AX112">VLOOKUP($R112,武学奇术!$A:$ZZ,8,FALSE)+SUM(_xlfn.XLOOKUP($S112:$AL112,增益!$A:$A,增益!$H:$H,0))</f>
        <v>0</v>
      </c>
      <c r="AY112">
        <f t="shared" si="35"/>
        <v>0</v>
      </c>
      <c r="AZ112">
        <f t="shared" si="36"/>
        <v>0</v>
      </c>
      <c r="BA112" s="31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1" cm="1">
        <f t="array" ref="BB112">$G$11+VLOOKUP($R112,武学奇术!$A:$ZZ,10,FALSE)+SUM(_xlfn.XLOOKUP($S112:$AL112,增益!$A:$A,增益!$J:$J,0))</f>
        <v>0</v>
      </c>
      <c r="BC112">
        <f t="shared" si="37"/>
        <v>0</v>
      </c>
      <c r="BD112">
        <f t="shared" si="38"/>
        <v>0</v>
      </c>
      <c r="BE112" s="31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1" cm="1">
        <f t="array" ref="BF112">$G$12+VLOOKUP($R112,武学奇术!$A:$ZZ,12,FALSE)+SUM(_xlfn.XLOOKUP($S112:$AL112,增益!$A:$A,增益!$L:$L,0))</f>
        <v>0</v>
      </c>
      <c r="BG112">
        <f t="shared" si="39"/>
        <v>0</v>
      </c>
      <c r="BH112">
        <f t="shared" si="40"/>
        <v>0</v>
      </c>
      <c r="BI112" s="31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1" cm="1">
        <f t="array" ref="BJ112">$G$13+VLOOKUP($R112,武学奇术!$A:$ZZ,14,FALSE)+SUM(_xlfn.XLOOKUP($S112:$AL112,增益!$A:$A,增益!$N:$N,0))</f>
        <v>0</v>
      </c>
      <c r="BK112">
        <f t="shared" si="41"/>
        <v>649.11</v>
      </c>
      <c r="BL112">
        <f t="shared" si="42"/>
        <v>1812.09</v>
      </c>
      <c r="BM112" s="31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1" cm="1">
        <f t="array" ref="BN112">$G$14+VLOOKUP($R112,武学奇术!$A:$ZZ,16,FALSE)+SUM(_xlfn.XLOOKUP($S112:$AL112,增益!$A:$A,增益!$P:$P,0))</f>
        <v>0.15</v>
      </c>
      <c r="BO112" s="24">
        <f>MIN(IF(VLOOKUP($R112,武学奇术!$A:$ZZ,23,FALSE)=1,100%,$B$8),100%)</f>
        <v>0.9943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0.8985</v>
      </c>
      <c r="BQ112" s="24" cm="1">
        <f t="array" ref="BQ112">1+$B$13+VLOOKUP($R112,武学奇术!$A:$ZZ,18,FALSE)+SUM(_xlfn.XLOOKUP($S112:$AL112,增益!$A:$A,增益!$R:$R,0))</f>
        <v>1.54</v>
      </c>
      <c r="BR112" s="24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43"/>
        <v>0.89337855</v>
      </c>
      <c r="BU112" s="24">
        <f t="shared" si="44"/>
        <v>0.01014186</v>
      </c>
      <c r="BV112" s="24">
        <f>IF(VLOOKUP($R112,武学奇术!$A:$ZZ,22,FALSE)=1,0,(1-$BO112))*(1-$BR112)</f>
        <v>0.00517959000000003</v>
      </c>
      <c r="BW112" s="24" cm="1">
        <f t="array" ref="BW112">SUM(_xlfn.XLOOKUP($S112:$AL112,增益!$A:$A,增益!$W:$W,0))+$I$5</f>
        <v>0.11</v>
      </c>
      <c r="BX112" s="24">
        <f>VLOOKUP($R112,武学奇术!$A:$ZZ,32,FALSE)</f>
        <v>0</v>
      </c>
      <c r="BY112" s="24" cm="1">
        <f t="array" ref="BY112">SUM(_xlfn.XLOOKUP($S112:$AL112,增益!$A:$A,增益!$X:$X,0))</f>
        <v>0</v>
      </c>
    </row>
    <row r="113" spans="2:77">
      <c r="K113" s="37">
        <f>$L113*VLOOKUP($R113,武学奇术!$A:$ZZ,31,FALSE)</f>
        <v>0</v>
      </c>
      <c r="L113" s="37">
        <f t="shared" si="34"/>
        <v>0</v>
      </c>
      <c r="M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*(1+$BX113)</f>
        <v>0</v>
      </c>
      <c r="N113" s="37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*(1+$BX113)</f>
        <v>0</v>
      </c>
      <c r="O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*(1+$BX113)</f>
        <v>0</v>
      </c>
      <c r="P113" s="37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*(1+$BX113)</f>
        <v>0</v>
      </c>
      <c r="Q113" s="38">
        <v>1</v>
      </c>
      <c r="R113" s="39" t="s">
        <v>84</v>
      </c>
      <c r="S113" s="39" t="s">
        <v>84</v>
      </c>
      <c r="T113" s="39" t="s">
        <v>84</v>
      </c>
      <c r="U113" s="39" t="s">
        <v>84</v>
      </c>
      <c r="V113" s="39" t="s">
        <v>84</v>
      </c>
      <c r="W113" s="39" t="s">
        <v>84</v>
      </c>
      <c r="X113" s="39" t="s">
        <v>84</v>
      </c>
      <c r="Y113" s="39" t="s">
        <v>84</v>
      </c>
      <c r="Z113" s="39" t="s">
        <v>84</v>
      </c>
      <c r="AA113" s="39" t="s">
        <v>84</v>
      </c>
      <c r="AB113" s="39" t="s">
        <v>84</v>
      </c>
      <c r="AC113" s="39" t="s">
        <v>84</v>
      </c>
      <c r="AD113" s="39" t="s">
        <v>84</v>
      </c>
      <c r="AE113" s="39" t="s">
        <v>87</v>
      </c>
      <c r="AF113" s="39" t="s">
        <v>88</v>
      </c>
      <c r="AG113" s="39" t="s">
        <v>84</v>
      </c>
      <c r="AH113" s="39" t="s">
        <v>84</v>
      </c>
      <c r="AI113" s="39" t="s">
        <v>84</v>
      </c>
      <c r="AJ113" s="39" t="s">
        <v>84</v>
      </c>
      <c r="AK113" s="39" t="s">
        <v>84</v>
      </c>
      <c r="AL113" s="39" t="s">
        <v>84</v>
      </c>
      <c r="AM113" t="str">
        <f>VLOOKUP($R113,武学奇术!$A:$ZZ,25,FALSE)</f>
        <v>心法</v>
      </c>
      <c r="AN113" s="24">
        <f>VLOOKUP($R113,武学奇术!$A:$ZZ,26,FALSE)</f>
        <v>0</v>
      </c>
      <c r="AO113" s="25">
        <f>VLOOKUP($R113,武学奇术!$A:$ZZ,27,FALSE)*(1+IF(OR($AM113=$F$4,$AM113=$F$5),$B$22,0))</f>
        <v>0</v>
      </c>
      <c r="AP113" s="24">
        <f>VLOOKUP($R113,武学奇术!$A:$ZZ,28,FALSE)</f>
        <v>0</v>
      </c>
      <c r="AQ113" s="25">
        <f>VLOOKUP($R113,武学奇术!$A:$ZZ,29,FALSE)*(1+IF(OR($AM113=$F$4,$AM113=$F$5),$B$22,0))</f>
        <v>0</v>
      </c>
      <c r="AR113" s="24" cm="1">
        <f t="array" ref="AR113">$G$3+IFERROR(VLOOKUP($AM113,$F$4:$G$7,2,FALSE),0)+VLOOKUP($R113,武学奇术!$A:$ZZ,2,FALSE)+SUM(_xlfn.XLOOKUP($S113:$AL113,增益!$A:$A,增益!$B:$B,0))</f>
        <v>0.1842</v>
      </c>
      <c r="AS113" s="24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4342.95</v>
      </c>
      <c r="AU113" cm="1">
        <f t="array" ref="AU113">$E$10*(1+$AS113)+VLOOKUP($R113,武学奇术!$A:$ZZ,4,FALSE)+SUM(_xlfn.XLOOKUP($S113:$AL113,增益!$A:$A,增益!$D:$D,0))-$I$2</f>
        <v>4342.95</v>
      </c>
      <c r="AV113" s="31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0.2534</v>
      </c>
      <c r="AW113" s="31" cm="1">
        <f t="array" ref="AW113">$G$10+VLOOKUP($R113,武学奇术!$A:$ZZ,7,FALSE)+SUM(_xlfn.XLOOKUP($S113:$AL113,增益!$A:$A,增益!$G:$G,0))</f>
        <v>0</v>
      </c>
      <c r="AX113" s="24" cm="1">
        <f t="array" ref="AX113">VLOOKUP($R113,武学奇术!$A:$ZZ,8,FALSE)+SUM(_xlfn.XLOOKUP($S113:$AL113,增益!$A:$A,增益!$H:$H,0))</f>
        <v>0</v>
      </c>
      <c r="AY113">
        <f t="shared" si="35"/>
        <v>0</v>
      </c>
      <c r="AZ113">
        <f t="shared" si="36"/>
        <v>0</v>
      </c>
      <c r="BA113" s="31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1" cm="1">
        <f t="array" ref="BB113">$G$11+VLOOKUP($R113,武学奇术!$A:$ZZ,10,FALSE)+SUM(_xlfn.XLOOKUP($S113:$AL113,增益!$A:$A,增益!$J:$J,0))</f>
        <v>0</v>
      </c>
      <c r="BC113">
        <f t="shared" si="37"/>
        <v>0</v>
      </c>
      <c r="BD113">
        <f t="shared" si="38"/>
        <v>0</v>
      </c>
      <c r="BE113" s="31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1" cm="1">
        <f t="array" ref="BF113">$G$12+VLOOKUP($R113,武学奇术!$A:$ZZ,12,FALSE)+SUM(_xlfn.XLOOKUP($S113:$AL113,增益!$A:$A,增益!$L:$L,0))</f>
        <v>0</v>
      </c>
      <c r="BG113">
        <f t="shared" si="39"/>
        <v>0</v>
      </c>
      <c r="BH113">
        <f t="shared" si="40"/>
        <v>0</v>
      </c>
      <c r="BI113" s="31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1" cm="1">
        <f t="array" ref="BJ113">$G$13+VLOOKUP($R113,武学奇术!$A:$ZZ,14,FALSE)+SUM(_xlfn.XLOOKUP($S113:$AL113,增益!$A:$A,增益!$N:$N,0))</f>
        <v>0</v>
      </c>
      <c r="BK113">
        <f t="shared" si="41"/>
        <v>649.11</v>
      </c>
      <c r="BL113">
        <f t="shared" si="42"/>
        <v>1812.09</v>
      </c>
      <c r="BM113" s="31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1" cm="1">
        <f t="array" ref="BN113">$G$14+VLOOKUP($R113,武学奇术!$A:$ZZ,16,FALSE)+SUM(_xlfn.XLOOKUP($S113:$AL113,增益!$A:$A,增益!$P:$P,0))</f>
        <v>0.15</v>
      </c>
      <c r="BO113" s="24">
        <f>MIN(IF(VLOOKUP($R113,武学奇术!$A:$ZZ,23,FALSE)=1,100%,$B$8),100%)</f>
        <v>0.9943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0.8985</v>
      </c>
      <c r="BQ113" s="24" cm="1">
        <f t="array" ref="BQ113">1+$B$13+VLOOKUP($R113,武学奇术!$A:$ZZ,18,FALSE)+SUM(_xlfn.XLOOKUP($S113:$AL113,增益!$A:$A,增益!$R:$R,0))</f>
        <v>1.54</v>
      </c>
      <c r="BR113" s="24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43"/>
        <v>0.89337855</v>
      </c>
      <c r="BU113" s="24">
        <f t="shared" si="44"/>
        <v>0.01014186</v>
      </c>
      <c r="BV113" s="24">
        <f>IF(VLOOKUP($R113,武学奇术!$A:$ZZ,22,FALSE)=1,0,(1-$BO113))*(1-$BR113)</f>
        <v>0.00517959000000003</v>
      </c>
      <c r="BW113" s="24" cm="1">
        <f t="array" ref="BW113">SUM(_xlfn.XLOOKUP($S113:$AL113,增益!$A:$A,增益!$W:$W,0))+$I$5</f>
        <v>0.11</v>
      </c>
      <c r="BX113" s="24">
        <f>VLOOKUP($R113,武学奇术!$A:$ZZ,32,FALSE)</f>
        <v>0</v>
      </c>
      <c r="BY113" s="24" cm="1">
        <f t="array" ref="BY113">SUM(_xlfn.XLOOKUP($S113:$AL113,增益!$A:$A,增益!$X:$X,0))</f>
        <v>0</v>
      </c>
    </row>
    <row r="114" spans="2:77">
      <c r="K114" s="37">
        <f>$L114*VLOOKUP($R114,武学奇术!$A:$ZZ,31,FALSE)</f>
        <v>0</v>
      </c>
      <c r="L114" s="37">
        <f t="shared" si="34"/>
        <v>0</v>
      </c>
      <c r="M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*(1+$BX114)</f>
        <v>0</v>
      </c>
      <c r="N114" s="37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*(1+$BX114)</f>
        <v>0</v>
      </c>
      <c r="O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*(1+$BX114)</f>
        <v>0</v>
      </c>
      <c r="P114" s="37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*(1+$BX114)</f>
        <v>0</v>
      </c>
      <c r="Q114" s="38">
        <v>1</v>
      </c>
      <c r="R114" s="39" t="s">
        <v>84</v>
      </c>
      <c r="S114" s="39" t="s">
        <v>84</v>
      </c>
      <c r="T114" s="39" t="s">
        <v>84</v>
      </c>
      <c r="U114" s="39" t="s">
        <v>84</v>
      </c>
      <c r="V114" s="39" t="s">
        <v>84</v>
      </c>
      <c r="W114" s="39" t="s">
        <v>84</v>
      </c>
      <c r="X114" s="39" t="s">
        <v>84</v>
      </c>
      <c r="Y114" s="39" t="s">
        <v>84</v>
      </c>
      <c r="Z114" s="39" t="s">
        <v>84</v>
      </c>
      <c r="AA114" s="39" t="s">
        <v>84</v>
      </c>
      <c r="AB114" s="39" t="s">
        <v>84</v>
      </c>
      <c r="AC114" s="39" t="s">
        <v>84</v>
      </c>
      <c r="AD114" s="39" t="s">
        <v>84</v>
      </c>
      <c r="AE114" s="39" t="s">
        <v>87</v>
      </c>
      <c r="AF114" s="39" t="s">
        <v>88</v>
      </c>
      <c r="AG114" s="39" t="s">
        <v>84</v>
      </c>
      <c r="AH114" s="39" t="s">
        <v>84</v>
      </c>
      <c r="AI114" s="39" t="s">
        <v>84</v>
      </c>
      <c r="AJ114" s="39" t="s">
        <v>84</v>
      </c>
      <c r="AK114" s="39" t="s">
        <v>84</v>
      </c>
      <c r="AL114" s="39" t="s">
        <v>84</v>
      </c>
      <c r="AM114" t="str">
        <f>VLOOKUP($R114,武学奇术!$A:$ZZ,25,FALSE)</f>
        <v>心法</v>
      </c>
      <c r="AN114" s="24">
        <f>VLOOKUP($R114,武学奇术!$A:$ZZ,26,FALSE)</f>
        <v>0</v>
      </c>
      <c r="AO114" s="25">
        <f>VLOOKUP($R114,武学奇术!$A:$ZZ,27,FALSE)*(1+IF(OR($AM114=$F$4,$AM114=$F$5),$B$22,0))</f>
        <v>0</v>
      </c>
      <c r="AP114" s="24">
        <f>VLOOKUP($R114,武学奇术!$A:$ZZ,28,FALSE)</f>
        <v>0</v>
      </c>
      <c r="AQ114" s="25">
        <f>VLOOKUP($R114,武学奇术!$A:$ZZ,29,FALSE)*(1+IF(OR($AM114=$F$4,$AM114=$F$5),$B$22,0))</f>
        <v>0</v>
      </c>
      <c r="AR114" s="24" cm="1">
        <f t="array" ref="AR114">$G$3+IFERROR(VLOOKUP($AM114,$F$4:$G$7,2,FALSE),0)+VLOOKUP($R114,武学奇术!$A:$ZZ,2,FALSE)+SUM(_xlfn.XLOOKUP($S114:$AL114,增益!$A:$A,增益!$B:$B,0))</f>
        <v>0.1842</v>
      </c>
      <c r="AS114" s="24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4342.95</v>
      </c>
      <c r="AU114" cm="1">
        <f t="array" ref="AU114">$E$10*(1+$AS114)+VLOOKUP($R114,武学奇术!$A:$ZZ,4,FALSE)+SUM(_xlfn.XLOOKUP($S114:$AL114,增益!$A:$A,增益!$D:$D,0))-$I$2</f>
        <v>4342.95</v>
      </c>
      <c r="AV114" s="31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0.2534</v>
      </c>
      <c r="AW114" s="31" cm="1">
        <f t="array" ref="AW114">$G$10+VLOOKUP($R114,武学奇术!$A:$ZZ,7,FALSE)+SUM(_xlfn.XLOOKUP($S114:$AL114,增益!$A:$A,增益!$G:$G,0))</f>
        <v>0</v>
      </c>
      <c r="AX114" s="24" cm="1">
        <f t="array" ref="AX114">VLOOKUP($R114,武学奇术!$A:$ZZ,8,FALSE)+SUM(_xlfn.XLOOKUP($S114:$AL114,增益!$A:$A,增益!$H:$H,0))</f>
        <v>0</v>
      </c>
      <c r="AY114">
        <f t="shared" si="35"/>
        <v>0</v>
      </c>
      <c r="AZ114">
        <f t="shared" si="36"/>
        <v>0</v>
      </c>
      <c r="BA114" s="31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1" cm="1">
        <f t="array" ref="BB114">$G$11+VLOOKUP($R114,武学奇术!$A:$ZZ,10,FALSE)+SUM(_xlfn.XLOOKUP($S114:$AL114,增益!$A:$A,增益!$J:$J,0))</f>
        <v>0</v>
      </c>
      <c r="BC114">
        <f t="shared" si="37"/>
        <v>0</v>
      </c>
      <c r="BD114">
        <f t="shared" si="38"/>
        <v>0</v>
      </c>
      <c r="BE114" s="31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1" cm="1">
        <f t="array" ref="BF114">$G$12+VLOOKUP($R114,武学奇术!$A:$ZZ,12,FALSE)+SUM(_xlfn.XLOOKUP($S114:$AL114,增益!$A:$A,增益!$L:$L,0))</f>
        <v>0</v>
      </c>
      <c r="BG114">
        <f t="shared" si="39"/>
        <v>0</v>
      </c>
      <c r="BH114">
        <f t="shared" si="40"/>
        <v>0</v>
      </c>
      <c r="BI114" s="31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1" cm="1">
        <f t="array" ref="BJ114">$G$13+VLOOKUP($R114,武学奇术!$A:$ZZ,14,FALSE)+SUM(_xlfn.XLOOKUP($S114:$AL114,增益!$A:$A,增益!$N:$N,0))</f>
        <v>0</v>
      </c>
      <c r="BK114">
        <f t="shared" si="41"/>
        <v>649.11</v>
      </c>
      <c r="BL114">
        <f t="shared" si="42"/>
        <v>1812.09</v>
      </c>
      <c r="BM114" s="31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1" cm="1">
        <f t="array" ref="BN114">$G$14+VLOOKUP($R114,武学奇术!$A:$ZZ,16,FALSE)+SUM(_xlfn.XLOOKUP($S114:$AL114,增益!$A:$A,增益!$P:$P,0))</f>
        <v>0.15</v>
      </c>
      <c r="BO114" s="24">
        <f>MIN(IF(VLOOKUP($R114,武学奇术!$A:$ZZ,23,FALSE)=1,100%,$B$8),100%)</f>
        <v>0.9943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0.8985</v>
      </c>
      <c r="BQ114" s="24" cm="1">
        <f t="array" ref="BQ114">1+$B$13+VLOOKUP($R114,武学奇术!$A:$ZZ,18,FALSE)+SUM(_xlfn.XLOOKUP($S114:$AL114,增益!$A:$A,增益!$R:$R,0))</f>
        <v>1.54</v>
      </c>
      <c r="BR114" s="24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43"/>
        <v>0.89337855</v>
      </c>
      <c r="BU114" s="24">
        <f t="shared" si="44"/>
        <v>0.01014186</v>
      </c>
      <c r="BV114" s="24">
        <f>IF(VLOOKUP($R114,武学奇术!$A:$ZZ,22,FALSE)=1,0,(1-$BO114))*(1-$BR114)</f>
        <v>0.00517959000000003</v>
      </c>
      <c r="BW114" s="24" cm="1">
        <f t="array" ref="BW114">SUM(_xlfn.XLOOKUP($S114:$AL114,增益!$A:$A,增益!$W:$W,0))+$I$5</f>
        <v>0.11</v>
      </c>
      <c r="BX114" s="24">
        <f>VLOOKUP($R114,武学奇术!$A:$ZZ,32,FALSE)</f>
        <v>0</v>
      </c>
      <c r="BY114" s="24" cm="1">
        <f t="array" ref="BY114">SUM(_xlfn.XLOOKUP($S114:$AL114,增益!$A:$A,增益!$X:$X,0))</f>
        <v>0</v>
      </c>
    </row>
    <row r="115" spans="2:77">
      <c r="K115" s="37">
        <f>$L115*VLOOKUP($R115,武学奇术!$A:$ZZ,31,FALSE)</f>
        <v>0</v>
      </c>
      <c r="L115" s="37">
        <f t="shared" si="34"/>
        <v>0</v>
      </c>
      <c r="M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*(1+$BX115)</f>
        <v>0</v>
      </c>
      <c r="N115" s="37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*(1+$BX115)</f>
        <v>0</v>
      </c>
      <c r="O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*(1+$BX115)</f>
        <v>0</v>
      </c>
      <c r="P115" s="37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*(1+$BX115)</f>
        <v>0</v>
      </c>
      <c r="Q115" s="38">
        <v>1</v>
      </c>
      <c r="R115" s="39" t="s">
        <v>84</v>
      </c>
      <c r="S115" s="39" t="s">
        <v>84</v>
      </c>
      <c r="T115" s="39" t="s">
        <v>84</v>
      </c>
      <c r="U115" s="39" t="s">
        <v>84</v>
      </c>
      <c r="V115" s="39" t="s">
        <v>84</v>
      </c>
      <c r="W115" s="39" t="s">
        <v>84</v>
      </c>
      <c r="X115" s="39" t="s">
        <v>84</v>
      </c>
      <c r="Y115" s="39" t="s">
        <v>84</v>
      </c>
      <c r="Z115" s="39" t="s">
        <v>84</v>
      </c>
      <c r="AA115" s="39" t="s">
        <v>84</v>
      </c>
      <c r="AB115" s="39" t="s">
        <v>84</v>
      </c>
      <c r="AC115" s="39" t="s">
        <v>84</v>
      </c>
      <c r="AD115" s="39" t="s">
        <v>84</v>
      </c>
      <c r="AE115" s="39" t="s">
        <v>87</v>
      </c>
      <c r="AF115" s="39" t="s">
        <v>88</v>
      </c>
      <c r="AG115" s="39" t="s">
        <v>84</v>
      </c>
      <c r="AH115" s="39" t="s">
        <v>84</v>
      </c>
      <c r="AI115" s="39" t="s">
        <v>84</v>
      </c>
      <c r="AJ115" s="39" t="s">
        <v>84</v>
      </c>
      <c r="AK115" s="39" t="s">
        <v>84</v>
      </c>
      <c r="AL115" s="39" t="s">
        <v>84</v>
      </c>
      <c r="AM115" t="str">
        <f>VLOOKUP($R115,武学奇术!$A:$ZZ,25,FALSE)</f>
        <v>心法</v>
      </c>
      <c r="AN115" s="24">
        <f>VLOOKUP($R115,武学奇术!$A:$ZZ,26,FALSE)</f>
        <v>0</v>
      </c>
      <c r="AO115" s="25">
        <f>VLOOKUP($R115,武学奇术!$A:$ZZ,27,FALSE)*(1+IF(OR($AM115=$F$4,$AM115=$F$5),$B$22,0))</f>
        <v>0</v>
      </c>
      <c r="AP115" s="24">
        <f>VLOOKUP($R115,武学奇术!$A:$ZZ,28,FALSE)</f>
        <v>0</v>
      </c>
      <c r="AQ115" s="25">
        <f>VLOOKUP($R115,武学奇术!$A:$ZZ,29,FALSE)*(1+IF(OR($AM115=$F$4,$AM115=$F$5),$B$22,0))</f>
        <v>0</v>
      </c>
      <c r="AR115" s="24" cm="1">
        <f t="array" ref="AR115">$G$3+IFERROR(VLOOKUP($AM115,$F$4:$G$7,2,FALSE),0)+VLOOKUP($R115,武学奇术!$A:$ZZ,2,FALSE)+SUM(_xlfn.XLOOKUP($S115:$AL115,增益!$A:$A,增益!$B:$B,0))</f>
        <v>0.1842</v>
      </c>
      <c r="AS115" s="24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4342.95</v>
      </c>
      <c r="AU115" cm="1">
        <f t="array" ref="AU115">$E$10*(1+$AS115)+VLOOKUP($R115,武学奇术!$A:$ZZ,4,FALSE)+SUM(_xlfn.XLOOKUP($S115:$AL115,增益!$A:$A,增益!$D:$D,0))-$I$2</f>
        <v>4342.95</v>
      </c>
      <c r="AV115" s="31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0.2534</v>
      </c>
      <c r="AW115" s="31" cm="1">
        <f t="array" ref="AW115">$G$10+VLOOKUP($R115,武学奇术!$A:$ZZ,7,FALSE)+SUM(_xlfn.XLOOKUP($S115:$AL115,增益!$A:$A,增益!$G:$G,0))</f>
        <v>0</v>
      </c>
      <c r="AX115" s="24" cm="1">
        <f t="array" ref="AX115">VLOOKUP($R115,武学奇术!$A:$ZZ,8,FALSE)+SUM(_xlfn.XLOOKUP($S115:$AL115,增益!$A:$A,增益!$H:$H,0))</f>
        <v>0</v>
      </c>
      <c r="AY115">
        <f t="shared" si="35"/>
        <v>0</v>
      </c>
      <c r="AZ115">
        <f t="shared" si="36"/>
        <v>0</v>
      </c>
      <c r="BA115" s="31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1" cm="1">
        <f t="array" ref="BB115">$G$11+VLOOKUP($R115,武学奇术!$A:$ZZ,10,FALSE)+SUM(_xlfn.XLOOKUP($S115:$AL115,增益!$A:$A,增益!$J:$J,0))</f>
        <v>0</v>
      </c>
      <c r="BC115">
        <f t="shared" si="37"/>
        <v>0</v>
      </c>
      <c r="BD115">
        <f t="shared" si="38"/>
        <v>0</v>
      </c>
      <c r="BE115" s="31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1" cm="1">
        <f t="array" ref="BF115">$G$12+VLOOKUP($R115,武学奇术!$A:$ZZ,12,FALSE)+SUM(_xlfn.XLOOKUP($S115:$AL115,增益!$A:$A,增益!$L:$L,0))</f>
        <v>0</v>
      </c>
      <c r="BG115">
        <f t="shared" si="39"/>
        <v>0</v>
      </c>
      <c r="BH115">
        <f t="shared" si="40"/>
        <v>0</v>
      </c>
      <c r="BI115" s="31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1" cm="1">
        <f t="array" ref="BJ115">$G$13+VLOOKUP($R115,武学奇术!$A:$ZZ,14,FALSE)+SUM(_xlfn.XLOOKUP($S115:$AL115,增益!$A:$A,增益!$N:$N,0))</f>
        <v>0</v>
      </c>
      <c r="BK115">
        <f t="shared" si="41"/>
        <v>649.11</v>
      </c>
      <c r="BL115">
        <f t="shared" si="42"/>
        <v>1812.09</v>
      </c>
      <c r="BM115" s="31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1" cm="1">
        <f t="array" ref="BN115">$G$14+VLOOKUP($R115,武学奇术!$A:$ZZ,16,FALSE)+SUM(_xlfn.XLOOKUP($S115:$AL115,增益!$A:$A,增益!$P:$P,0))</f>
        <v>0.15</v>
      </c>
      <c r="BO115" s="24">
        <f>MIN(IF(VLOOKUP($R115,武学奇术!$A:$ZZ,23,FALSE)=1,100%,$B$8),100%)</f>
        <v>0.9943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0.8985</v>
      </c>
      <c r="BQ115" s="24" cm="1">
        <f t="array" ref="BQ115">1+$B$13+VLOOKUP($R115,武学奇术!$A:$ZZ,18,FALSE)+SUM(_xlfn.XLOOKUP($S115:$AL115,增益!$A:$A,增益!$R:$R,0))</f>
        <v>1.54</v>
      </c>
      <c r="BR115" s="24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43"/>
        <v>0.89337855</v>
      </c>
      <c r="BU115" s="24">
        <f t="shared" si="44"/>
        <v>0.01014186</v>
      </c>
      <c r="BV115" s="24">
        <f>IF(VLOOKUP($R115,武学奇术!$A:$ZZ,22,FALSE)=1,0,(1-$BO115))*(1-$BR115)</f>
        <v>0.00517959000000003</v>
      </c>
      <c r="BW115" s="24" cm="1">
        <f t="array" ref="BW115">SUM(_xlfn.XLOOKUP($S115:$AL115,增益!$A:$A,增益!$W:$W,0))+$I$5</f>
        <v>0.11</v>
      </c>
      <c r="BX115" s="24">
        <f>VLOOKUP($R115,武学奇术!$A:$ZZ,32,FALSE)</f>
        <v>0</v>
      </c>
      <c r="BY115" s="24" cm="1">
        <f t="array" ref="BY115">SUM(_xlfn.XLOOKUP($S115:$AL115,增益!$A:$A,增益!$X:$X,0))</f>
        <v>0</v>
      </c>
    </row>
    <row r="116" spans="2:77">
      <c r="K116" s="37">
        <f>$L116*VLOOKUP($R116,武学奇术!$A:$ZZ,31,FALSE)</f>
        <v>0</v>
      </c>
      <c r="L116" s="37">
        <f t="shared" si="34"/>
        <v>0</v>
      </c>
      <c r="M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*(1+$BX116)</f>
        <v>0</v>
      </c>
      <c r="N116" s="37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*(1+$BX116)</f>
        <v>0</v>
      </c>
      <c r="O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*(1+$BX116)</f>
        <v>0</v>
      </c>
      <c r="P116" s="37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*(1+$BX116)</f>
        <v>0</v>
      </c>
      <c r="Q116" s="38">
        <v>1</v>
      </c>
      <c r="R116" s="39" t="s">
        <v>84</v>
      </c>
      <c r="S116" s="39" t="s">
        <v>84</v>
      </c>
      <c r="T116" s="39" t="s">
        <v>84</v>
      </c>
      <c r="U116" s="39" t="s">
        <v>84</v>
      </c>
      <c r="V116" s="39" t="s">
        <v>84</v>
      </c>
      <c r="W116" s="39" t="s">
        <v>84</v>
      </c>
      <c r="X116" s="39" t="s">
        <v>84</v>
      </c>
      <c r="Y116" s="39" t="s">
        <v>84</v>
      </c>
      <c r="Z116" s="39" t="s">
        <v>84</v>
      </c>
      <c r="AA116" s="39" t="s">
        <v>84</v>
      </c>
      <c r="AB116" s="39" t="s">
        <v>84</v>
      </c>
      <c r="AC116" s="39" t="s">
        <v>84</v>
      </c>
      <c r="AD116" s="39" t="s">
        <v>84</v>
      </c>
      <c r="AE116" s="39" t="s">
        <v>87</v>
      </c>
      <c r="AF116" s="39" t="s">
        <v>88</v>
      </c>
      <c r="AG116" s="39" t="s">
        <v>84</v>
      </c>
      <c r="AH116" s="39" t="s">
        <v>84</v>
      </c>
      <c r="AI116" s="39" t="s">
        <v>84</v>
      </c>
      <c r="AJ116" s="39" t="s">
        <v>84</v>
      </c>
      <c r="AK116" s="39" t="s">
        <v>84</v>
      </c>
      <c r="AL116" s="39" t="s">
        <v>84</v>
      </c>
      <c r="AM116" t="str">
        <f>VLOOKUP($R116,武学奇术!$A:$ZZ,25,FALSE)</f>
        <v>心法</v>
      </c>
      <c r="AN116" s="24">
        <f>VLOOKUP($R116,武学奇术!$A:$ZZ,26,FALSE)</f>
        <v>0</v>
      </c>
      <c r="AO116" s="25">
        <f>VLOOKUP($R116,武学奇术!$A:$ZZ,27,FALSE)*(1+IF(OR($AM116=$F$4,$AM116=$F$5),$B$22,0))</f>
        <v>0</v>
      </c>
      <c r="AP116" s="24">
        <f>VLOOKUP($R116,武学奇术!$A:$ZZ,28,FALSE)</f>
        <v>0</v>
      </c>
      <c r="AQ116" s="25">
        <f>VLOOKUP($R116,武学奇术!$A:$ZZ,29,FALSE)*(1+IF(OR($AM116=$F$4,$AM116=$F$5),$B$22,0))</f>
        <v>0</v>
      </c>
      <c r="AR116" s="24" cm="1">
        <f t="array" ref="AR116">$G$3+IFERROR(VLOOKUP($AM116,$F$4:$G$7,2,FALSE),0)+VLOOKUP($R116,武学奇术!$A:$ZZ,2,FALSE)+SUM(_xlfn.XLOOKUP($S116:$AL116,增益!$A:$A,增益!$B:$B,0))</f>
        <v>0.1842</v>
      </c>
      <c r="AS116" s="24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4342.95</v>
      </c>
      <c r="AU116" cm="1">
        <f t="array" ref="AU116">$E$10*(1+$AS116)+VLOOKUP($R116,武学奇术!$A:$ZZ,4,FALSE)+SUM(_xlfn.XLOOKUP($S116:$AL116,增益!$A:$A,增益!$D:$D,0))-$I$2</f>
        <v>4342.95</v>
      </c>
      <c r="AV116" s="31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0.2534</v>
      </c>
      <c r="AW116" s="31" cm="1">
        <f t="array" ref="AW116">$G$10+VLOOKUP($R116,武学奇术!$A:$ZZ,7,FALSE)+SUM(_xlfn.XLOOKUP($S116:$AL116,增益!$A:$A,增益!$G:$G,0))</f>
        <v>0</v>
      </c>
      <c r="AX116" s="24" cm="1">
        <f t="array" ref="AX116">VLOOKUP($R116,武学奇术!$A:$ZZ,8,FALSE)+SUM(_xlfn.XLOOKUP($S116:$AL116,增益!$A:$A,增益!$H:$H,0))</f>
        <v>0</v>
      </c>
      <c r="AY116">
        <f t="shared" si="35"/>
        <v>0</v>
      </c>
      <c r="AZ116">
        <f t="shared" si="36"/>
        <v>0</v>
      </c>
      <c r="BA116" s="31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1" cm="1">
        <f t="array" ref="BB116">$G$11+VLOOKUP($R116,武学奇术!$A:$ZZ,10,FALSE)+SUM(_xlfn.XLOOKUP($S116:$AL116,增益!$A:$A,增益!$J:$J,0))</f>
        <v>0</v>
      </c>
      <c r="BC116">
        <f t="shared" si="37"/>
        <v>0</v>
      </c>
      <c r="BD116">
        <f t="shared" si="38"/>
        <v>0</v>
      </c>
      <c r="BE116" s="31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1" cm="1">
        <f t="array" ref="BF116">$G$12+VLOOKUP($R116,武学奇术!$A:$ZZ,12,FALSE)+SUM(_xlfn.XLOOKUP($S116:$AL116,增益!$A:$A,增益!$L:$L,0))</f>
        <v>0</v>
      </c>
      <c r="BG116">
        <f t="shared" si="39"/>
        <v>0</v>
      </c>
      <c r="BH116">
        <f t="shared" si="40"/>
        <v>0</v>
      </c>
      <c r="BI116" s="31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1" cm="1">
        <f t="array" ref="BJ116">$G$13+VLOOKUP($R116,武学奇术!$A:$ZZ,14,FALSE)+SUM(_xlfn.XLOOKUP($S116:$AL116,增益!$A:$A,增益!$N:$N,0))</f>
        <v>0</v>
      </c>
      <c r="BK116">
        <f t="shared" si="41"/>
        <v>649.11</v>
      </c>
      <c r="BL116">
        <f t="shared" si="42"/>
        <v>1812.09</v>
      </c>
      <c r="BM116" s="31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1" cm="1">
        <f t="array" ref="BN116">$G$14+VLOOKUP($R116,武学奇术!$A:$ZZ,16,FALSE)+SUM(_xlfn.XLOOKUP($S116:$AL116,增益!$A:$A,增益!$P:$P,0))</f>
        <v>0.15</v>
      </c>
      <c r="BO116" s="24">
        <f>MIN(IF(VLOOKUP($R116,武学奇术!$A:$ZZ,23,FALSE)=1,100%,$B$8),100%)</f>
        <v>0.9943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0.8985</v>
      </c>
      <c r="BQ116" s="24" cm="1">
        <f t="array" ref="BQ116">1+$B$13+VLOOKUP($R116,武学奇术!$A:$ZZ,18,FALSE)+SUM(_xlfn.XLOOKUP($S116:$AL116,增益!$A:$A,增益!$R:$R,0))</f>
        <v>1.54</v>
      </c>
      <c r="BR116" s="24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43"/>
        <v>0.89337855</v>
      </c>
      <c r="BU116" s="24">
        <f t="shared" si="44"/>
        <v>0.01014186</v>
      </c>
      <c r="BV116" s="24">
        <f>IF(VLOOKUP($R116,武学奇术!$A:$ZZ,22,FALSE)=1,0,(1-$BO116))*(1-$BR116)</f>
        <v>0.00517959000000003</v>
      </c>
      <c r="BW116" s="24" cm="1">
        <f t="array" ref="BW116">SUM(_xlfn.XLOOKUP($S116:$AL116,增益!$A:$A,增益!$W:$W,0))+$I$5</f>
        <v>0.11</v>
      </c>
      <c r="BX116" s="24">
        <f>VLOOKUP($R116,武学奇术!$A:$ZZ,32,FALSE)</f>
        <v>0</v>
      </c>
      <c r="BY116" s="24" cm="1">
        <f t="array" ref="BY116">SUM(_xlfn.XLOOKUP($S116:$AL116,增益!$A:$A,增益!$X:$X,0))</f>
        <v>0</v>
      </c>
    </row>
    <row r="117" spans="2:77">
      <c r="K117" s="37">
        <f>$L117*VLOOKUP($R117,武学奇术!$A:$ZZ,31,FALSE)</f>
        <v>0</v>
      </c>
      <c r="L117" s="37">
        <f t="shared" si="34"/>
        <v>0</v>
      </c>
      <c r="M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*(1+$BX117)</f>
        <v>0</v>
      </c>
      <c r="N117" s="37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*(1+$BX117)</f>
        <v>0</v>
      </c>
      <c r="O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*(1+$BX117)</f>
        <v>0</v>
      </c>
      <c r="P117" s="37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*(1+$BX117)</f>
        <v>0</v>
      </c>
      <c r="Q117" s="38">
        <v>1</v>
      </c>
      <c r="R117" s="39" t="s">
        <v>84</v>
      </c>
      <c r="S117" s="39" t="s">
        <v>84</v>
      </c>
      <c r="T117" s="39" t="s">
        <v>84</v>
      </c>
      <c r="U117" s="39" t="s">
        <v>84</v>
      </c>
      <c r="V117" s="39" t="s">
        <v>84</v>
      </c>
      <c r="W117" s="39" t="s">
        <v>84</v>
      </c>
      <c r="X117" s="39" t="s">
        <v>84</v>
      </c>
      <c r="Y117" s="39" t="s">
        <v>84</v>
      </c>
      <c r="Z117" s="39" t="s">
        <v>84</v>
      </c>
      <c r="AA117" s="39" t="s">
        <v>84</v>
      </c>
      <c r="AB117" s="39" t="s">
        <v>84</v>
      </c>
      <c r="AC117" s="39" t="s">
        <v>84</v>
      </c>
      <c r="AD117" s="39" t="s">
        <v>84</v>
      </c>
      <c r="AE117" s="39" t="s">
        <v>87</v>
      </c>
      <c r="AF117" s="39" t="s">
        <v>88</v>
      </c>
      <c r="AG117" s="39" t="s">
        <v>84</v>
      </c>
      <c r="AH117" s="39" t="s">
        <v>84</v>
      </c>
      <c r="AI117" s="39" t="s">
        <v>84</v>
      </c>
      <c r="AJ117" s="39" t="s">
        <v>84</v>
      </c>
      <c r="AK117" s="39" t="s">
        <v>84</v>
      </c>
      <c r="AL117" s="39" t="s">
        <v>84</v>
      </c>
      <c r="AM117" t="str">
        <f>VLOOKUP($R117,武学奇术!$A:$ZZ,25,FALSE)</f>
        <v>心法</v>
      </c>
      <c r="AN117" s="24">
        <f>VLOOKUP($R117,武学奇术!$A:$ZZ,26,FALSE)</f>
        <v>0</v>
      </c>
      <c r="AO117" s="25">
        <f>VLOOKUP($R117,武学奇术!$A:$ZZ,27,FALSE)*(1+IF(OR($AM117=$F$4,$AM117=$F$5),$B$22,0))</f>
        <v>0</v>
      </c>
      <c r="AP117" s="24">
        <f>VLOOKUP($R117,武学奇术!$A:$ZZ,28,FALSE)</f>
        <v>0</v>
      </c>
      <c r="AQ117" s="25">
        <f>VLOOKUP($R117,武学奇术!$A:$ZZ,29,FALSE)*(1+IF(OR($AM117=$F$4,$AM117=$F$5),$B$22,0))</f>
        <v>0</v>
      </c>
      <c r="AR117" s="24" cm="1">
        <f t="array" ref="AR117">$G$3+IFERROR(VLOOKUP($AM117,$F$4:$G$7,2,FALSE),0)+VLOOKUP($R117,武学奇术!$A:$ZZ,2,FALSE)+SUM(_xlfn.XLOOKUP($S117:$AL117,增益!$A:$A,增益!$B:$B,0))</f>
        <v>0.1842</v>
      </c>
      <c r="AS117" s="24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4342.95</v>
      </c>
      <c r="AU117" cm="1">
        <f t="array" ref="AU117">$E$10*(1+$AS117)+VLOOKUP($R117,武学奇术!$A:$ZZ,4,FALSE)+SUM(_xlfn.XLOOKUP($S117:$AL117,增益!$A:$A,增益!$D:$D,0))-$I$2</f>
        <v>4342.95</v>
      </c>
      <c r="AV117" s="31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0.2534</v>
      </c>
      <c r="AW117" s="31" cm="1">
        <f t="array" ref="AW117">$G$10+VLOOKUP($R117,武学奇术!$A:$ZZ,7,FALSE)+SUM(_xlfn.XLOOKUP($S117:$AL117,增益!$A:$A,增益!$G:$G,0))</f>
        <v>0</v>
      </c>
      <c r="AX117" s="24" cm="1">
        <f t="array" ref="AX117">VLOOKUP($R117,武学奇术!$A:$ZZ,8,FALSE)+SUM(_xlfn.XLOOKUP($S117:$AL117,增益!$A:$A,增益!$H:$H,0))</f>
        <v>0</v>
      </c>
      <c r="AY117">
        <f t="shared" si="35"/>
        <v>0</v>
      </c>
      <c r="AZ117">
        <f t="shared" si="36"/>
        <v>0</v>
      </c>
      <c r="BA117" s="31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1" cm="1">
        <f t="array" ref="BB117">$G$11+VLOOKUP($R117,武学奇术!$A:$ZZ,10,FALSE)+SUM(_xlfn.XLOOKUP($S117:$AL117,增益!$A:$A,增益!$J:$J,0))</f>
        <v>0</v>
      </c>
      <c r="BC117">
        <f t="shared" si="37"/>
        <v>0</v>
      </c>
      <c r="BD117">
        <f t="shared" si="38"/>
        <v>0</v>
      </c>
      <c r="BE117" s="31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1" cm="1">
        <f t="array" ref="BF117">$G$12+VLOOKUP($R117,武学奇术!$A:$ZZ,12,FALSE)+SUM(_xlfn.XLOOKUP($S117:$AL117,增益!$A:$A,增益!$L:$L,0))</f>
        <v>0</v>
      </c>
      <c r="BG117">
        <f t="shared" si="39"/>
        <v>0</v>
      </c>
      <c r="BH117">
        <f t="shared" si="40"/>
        <v>0</v>
      </c>
      <c r="BI117" s="31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1" cm="1">
        <f t="array" ref="BJ117">$G$13+VLOOKUP($R117,武学奇术!$A:$ZZ,14,FALSE)+SUM(_xlfn.XLOOKUP($S117:$AL117,增益!$A:$A,增益!$N:$N,0))</f>
        <v>0</v>
      </c>
      <c r="BK117">
        <f t="shared" si="41"/>
        <v>649.11</v>
      </c>
      <c r="BL117">
        <f t="shared" si="42"/>
        <v>1812.09</v>
      </c>
      <c r="BM117" s="31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1" cm="1">
        <f t="array" ref="BN117">$G$14+VLOOKUP($R117,武学奇术!$A:$ZZ,16,FALSE)+SUM(_xlfn.XLOOKUP($S117:$AL117,增益!$A:$A,增益!$P:$P,0))</f>
        <v>0.15</v>
      </c>
      <c r="BO117" s="24">
        <f>MIN(IF(VLOOKUP($R117,武学奇术!$A:$ZZ,23,FALSE)=1,100%,$B$8),100%)</f>
        <v>0.9943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0.8985</v>
      </c>
      <c r="BQ117" s="24" cm="1">
        <f t="array" ref="BQ117">1+$B$13+VLOOKUP($R117,武学奇术!$A:$ZZ,18,FALSE)+SUM(_xlfn.XLOOKUP($S117:$AL117,增益!$A:$A,增益!$R:$R,0))</f>
        <v>1.54</v>
      </c>
      <c r="BR117" s="24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43"/>
        <v>0.89337855</v>
      </c>
      <c r="BU117" s="24">
        <f t="shared" si="44"/>
        <v>0.01014186</v>
      </c>
      <c r="BV117" s="24">
        <f>IF(VLOOKUP($R117,武学奇术!$A:$ZZ,22,FALSE)=1,0,(1-$BO117))*(1-$BR117)</f>
        <v>0.00517959000000003</v>
      </c>
      <c r="BW117" s="24" cm="1">
        <f t="array" ref="BW117">SUM(_xlfn.XLOOKUP($S117:$AL117,增益!$A:$A,增益!$W:$W,0))+$I$5</f>
        <v>0.11</v>
      </c>
      <c r="BX117" s="24">
        <f>VLOOKUP($R117,武学奇术!$A:$ZZ,32,FALSE)</f>
        <v>0</v>
      </c>
      <c r="BY117" s="24" cm="1">
        <f t="array" ref="BY117">SUM(_xlfn.XLOOKUP($S117:$AL117,增益!$A:$A,增益!$X:$X,0))</f>
        <v>0</v>
      </c>
    </row>
    <row r="118" spans="2:77">
      <c r="K118" s="37">
        <f>$L118*VLOOKUP($R118,武学奇术!$A:$ZZ,31,FALSE)</f>
        <v>0</v>
      </c>
      <c r="L118" s="37">
        <f t="shared" si="34"/>
        <v>0</v>
      </c>
      <c r="M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*(1+$BX118)</f>
        <v>0</v>
      </c>
      <c r="N118" s="37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*(1+$BX118)</f>
        <v>0</v>
      </c>
      <c r="O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*(1+$BX118)</f>
        <v>0</v>
      </c>
      <c r="P118" s="37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*(1+$BX118)</f>
        <v>0</v>
      </c>
      <c r="Q118" s="38">
        <v>1</v>
      </c>
      <c r="R118" s="39" t="s">
        <v>84</v>
      </c>
      <c r="S118" s="39" t="s">
        <v>84</v>
      </c>
      <c r="T118" s="39" t="s">
        <v>84</v>
      </c>
      <c r="U118" s="39" t="s">
        <v>84</v>
      </c>
      <c r="V118" s="39" t="s">
        <v>84</v>
      </c>
      <c r="W118" s="39" t="s">
        <v>84</v>
      </c>
      <c r="X118" s="39" t="s">
        <v>84</v>
      </c>
      <c r="Y118" s="39" t="s">
        <v>84</v>
      </c>
      <c r="Z118" s="39" t="s">
        <v>84</v>
      </c>
      <c r="AA118" s="39" t="s">
        <v>84</v>
      </c>
      <c r="AB118" s="39" t="s">
        <v>84</v>
      </c>
      <c r="AC118" s="39" t="s">
        <v>84</v>
      </c>
      <c r="AD118" s="39" t="s">
        <v>84</v>
      </c>
      <c r="AE118" s="39" t="s">
        <v>87</v>
      </c>
      <c r="AF118" s="39" t="s">
        <v>88</v>
      </c>
      <c r="AG118" s="39" t="s">
        <v>84</v>
      </c>
      <c r="AH118" s="39" t="s">
        <v>84</v>
      </c>
      <c r="AI118" s="39" t="s">
        <v>84</v>
      </c>
      <c r="AJ118" s="39" t="s">
        <v>84</v>
      </c>
      <c r="AK118" s="39" t="s">
        <v>84</v>
      </c>
      <c r="AL118" s="39" t="s">
        <v>84</v>
      </c>
      <c r="AM118" t="str">
        <f>VLOOKUP($R118,武学奇术!$A:$ZZ,25,FALSE)</f>
        <v>心法</v>
      </c>
      <c r="AN118" s="24">
        <f>VLOOKUP($R118,武学奇术!$A:$ZZ,26,FALSE)</f>
        <v>0</v>
      </c>
      <c r="AO118" s="25">
        <f>VLOOKUP($R118,武学奇术!$A:$ZZ,27,FALSE)*(1+IF(OR($AM118=$F$4,$AM118=$F$5),$B$22,0))</f>
        <v>0</v>
      </c>
      <c r="AP118" s="24">
        <f>VLOOKUP($R118,武学奇术!$A:$ZZ,28,FALSE)</f>
        <v>0</v>
      </c>
      <c r="AQ118" s="25">
        <f>VLOOKUP($R118,武学奇术!$A:$ZZ,29,FALSE)*(1+IF(OR($AM118=$F$4,$AM118=$F$5),$B$22,0))</f>
        <v>0</v>
      </c>
      <c r="AR118" s="24" cm="1">
        <f t="array" ref="AR118">$G$3+IFERROR(VLOOKUP($AM118,$F$4:$G$7,2,FALSE),0)+VLOOKUP($R118,武学奇术!$A:$ZZ,2,FALSE)+SUM(_xlfn.XLOOKUP($S118:$AL118,增益!$A:$A,增益!$B:$B,0))</f>
        <v>0.1842</v>
      </c>
      <c r="AS118" s="24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4342.95</v>
      </c>
      <c r="AU118" cm="1">
        <f t="array" ref="AU118">$E$10*(1+$AS118)+VLOOKUP($R118,武学奇术!$A:$ZZ,4,FALSE)+SUM(_xlfn.XLOOKUP($S118:$AL118,增益!$A:$A,增益!$D:$D,0))-$I$2</f>
        <v>4342.95</v>
      </c>
      <c r="AV118" s="31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0.2534</v>
      </c>
      <c r="AW118" s="31" cm="1">
        <f t="array" ref="AW118">$G$10+VLOOKUP($R118,武学奇术!$A:$ZZ,7,FALSE)+SUM(_xlfn.XLOOKUP($S118:$AL118,增益!$A:$A,增益!$G:$G,0))</f>
        <v>0</v>
      </c>
      <c r="AX118" s="24" cm="1">
        <f t="array" ref="AX118">VLOOKUP($R118,武学奇术!$A:$ZZ,8,FALSE)+SUM(_xlfn.XLOOKUP($S118:$AL118,增益!$A:$A,增益!$H:$H,0))</f>
        <v>0</v>
      </c>
      <c r="AY118">
        <f t="shared" si="35"/>
        <v>0</v>
      </c>
      <c r="AZ118">
        <f t="shared" si="36"/>
        <v>0</v>
      </c>
      <c r="BA118" s="31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1" cm="1">
        <f t="array" ref="BB118">$G$11+VLOOKUP($R118,武学奇术!$A:$ZZ,10,FALSE)+SUM(_xlfn.XLOOKUP($S118:$AL118,增益!$A:$A,增益!$J:$J,0))</f>
        <v>0</v>
      </c>
      <c r="BC118">
        <f t="shared" si="37"/>
        <v>0</v>
      </c>
      <c r="BD118">
        <f t="shared" si="38"/>
        <v>0</v>
      </c>
      <c r="BE118" s="31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1" cm="1">
        <f t="array" ref="BF118">$G$12+VLOOKUP($R118,武学奇术!$A:$ZZ,12,FALSE)+SUM(_xlfn.XLOOKUP($S118:$AL118,增益!$A:$A,增益!$L:$L,0))</f>
        <v>0</v>
      </c>
      <c r="BG118">
        <f t="shared" si="39"/>
        <v>0</v>
      </c>
      <c r="BH118">
        <f t="shared" si="40"/>
        <v>0</v>
      </c>
      <c r="BI118" s="31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1" cm="1">
        <f t="array" ref="BJ118">$G$13+VLOOKUP($R118,武学奇术!$A:$ZZ,14,FALSE)+SUM(_xlfn.XLOOKUP($S118:$AL118,增益!$A:$A,增益!$N:$N,0))</f>
        <v>0</v>
      </c>
      <c r="BK118">
        <f t="shared" si="41"/>
        <v>649.11</v>
      </c>
      <c r="BL118">
        <f t="shared" si="42"/>
        <v>1812.09</v>
      </c>
      <c r="BM118" s="31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1" cm="1">
        <f t="array" ref="BN118">$G$14+VLOOKUP($R118,武学奇术!$A:$ZZ,16,FALSE)+SUM(_xlfn.XLOOKUP($S118:$AL118,增益!$A:$A,增益!$P:$P,0))</f>
        <v>0.15</v>
      </c>
      <c r="BO118" s="24">
        <f>MIN(IF(VLOOKUP($R118,武学奇术!$A:$ZZ,23,FALSE)=1,100%,$B$8),100%)</f>
        <v>0.9943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0.8985</v>
      </c>
      <c r="BQ118" s="24" cm="1">
        <f t="array" ref="BQ118">1+$B$13+VLOOKUP($R118,武学奇术!$A:$ZZ,18,FALSE)+SUM(_xlfn.XLOOKUP($S118:$AL118,增益!$A:$A,增益!$R:$R,0))</f>
        <v>1.54</v>
      </c>
      <c r="BR118" s="24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43"/>
        <v>0.89337855</v>
      </c>
      <c r="BU118" s="24">
        <f t="shared" si="44"/>
        <v>0.01014186</v>
      </c>
      <c r="BV118" s="24">
        <f>IF(VLOOKUP($R118,武学奇术!$A:$ZZ,22,FALSE)=1,0,(1-$BO118))*(1-$BR118)</f>
        <v>0.00517959000000003</v>
      </c>
      <c r="BW118" s="24" cm="1">
        <f t="array" ref="BW118">SUM(_xlfn.XLOOKUP($S118:$AL118,增益!$A:$A,增益!$W:$W,0))+$I$5</f>
        <v>0.11</v>
      </c>
      <c r="BX118" s="24">
        <f>VLOOKUP($R118,武学奇术!$A:$ZZ,32,FALSE)</f>
        <v>0</v>
      </c>
      <c r="BY118" s="24" cm="1">
        <f t="array" ref="BY118">SUM(_xlfn.XLOOKUP($S118:$AL118,增益!$A:$A,增益!$X:$X,0))</f>
        <v>0</v>
      </c>
    </row>
    <row r="119" spans="2:77">
      <c r="K119" s="37">
        <f>$L119*VLOOKUP($R119,武学奇术!$A:$ZZ,31,FALSE)</f>
        <v>0</v>
      </c>
      <c r="L119" s="37">
        <f t="shared" si="34"/>
        <v>0</v>
      </c>
      <c r="M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*(1+$BX119)</f>
        <v>0</v>
      </c>
      <c r="N119" s="37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*(1+$BX119)</f>
        <v>0</v>
      </c>
      <c r="O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*(1+$BX119)</f>
        <v>0</v>
      </c>
      <c r="P119" s="37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*(1+$BX119)</f>
        <v>0</v>
      </c>
      <c r="Q119" s="38">
        <v>1</v>
      </c>
      <c r="R119" s="39" t="s">
        <v>84</v>
      </c>
      <c r="S119" s="39" t="s">
        <v>84</v>
      </c>
      <c r="T119" s="39" t="s">
        <v>84</v>
      </c>
      <c r="U119" s="39" t="s">
        <v>84</v>
      </c>
      <c r="V119" s="39" t="s">
        <v>84</v>
      </c>
      <c r="W119" s="39" t="s">
        <v>84</v>
      </c>
      <c r="X119" s="39" t="s">
        <v>84</v>
      </c>
      <c r="Y119" s="39" t="s">
        <v>84</v>
      </c>
      <c r="Z119" s="39" t="s">
        <v>84</v>
      </c>
      <c r="AA119" s="39" t="s">
        <v>84</v>
      </c>
      <c r="AB119" s="39" t="s">
        <v>84</v>
      </c>
      <c r="AC119" s="39" t="s">
        <v>84</v>
      </c>
      <c r="AD119" s="39" t="s">
        <v>84</v>
      </c>
      <c r="AE119" s="39" t="s">
        <v>87</v>
      </c>
      <c r="AF119" s="39" t="s">
        <v>88</v>
      </c>
      <c r="AG119" s="39" t="s">
        <v>84</v>
      </c>
      <c r="AH119" s="39" t="s">
        <v>84</v>
      </c>
      <c r="AI119" s="39" t="s">
        <v>84</v>
      </c>
      <c r="AJ119" s="39" t="s">
        <v>84</v>
      </c>
      <c r="AK119" s="39" t="s">
        <v>84</v>
      </c>
      <c r="AL119" s="39" t="s">
        <v>84</v>
      </c>
      <c r="AM119" t="str">
        <f>VLOOKUP($R119,武学奇术!$A:$ZZ,25,FALSE)</f>
        <v>心法</v>
      </c>
      <c r="AN119" s="24">
        <f>VLOOKUP($R119,武学奇术!$A:$ZZ,26,FALSE)</f>
        <v>0</v>
      </c>
      <c r="AO119" s="25">
        <f>VLOOKUP($R119,武学奇术!$A:$ZZ,27,FALSE)*(1+IF(OR($AM119=$F$4,$AM119=$F$5),$B$22,0))</f>
        <v>0</v>
      </c>
      <c r="AP119" s="24">
        <f>VLOOKUP($R119,武学奇术!$A:$ZZ,28,FALSE)</f>
        <v>0</v>
      </c>
      <c r="AQ119" s="25">
        <f>VLOOKUP($R119,武学奇术!$A:$ZZ,29,FALSE)*(1+IF(OR($AM119=$F$4,$AM119=$F$5),$B$22,0))</f>
        <v>0</v>
      </c>
      <c r="AR119" s="24" cm="1">
        <f t="array" ref="AR119">$G$3+IFERROR(VLOOKUP($AM119,$F$4:$G$7,2,FALSE),0)+VLOOKUP($R119,武学奇术!$A:$ZZ,2,FALSE)+SUM(_xlfn.XLOOKUP($S119:$AL119,增益!$A:$A,增益!$B:$B,0))</f>
        <v>0.1842</v>
      </c>
      <c r="AS119" s="24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4342.95</v>
      </c>
      <c r="AU119" cm="1">
        <f t="array" ref="AU119">$E$10*(1+$AS119)+VLOOKUP($R119,武学奇术!$A:$ZZ,4,FALSE)+SUM(_xlfn.XLOOKUP($S119:$AL119,增益!$A:$A,增益!$D:$D,0))-$I$2</f>
        <v>4342.95</v>
      </c>
      <c r="AV119" s="31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0.2534</v>
      </c>
      <c r="AW119" s="31" cm="1">
        <f t="array" ref="AW119">$G$10+VLOOKUP($R119,武学奇术!$A:$ZZ,7,FALSE)+SUM(_xlfn.XLOOKUP($S119:$AL119,增益!$A:$A,增益!$G:$G,0))</f>
        <v>0</v>
      </c>
      <c r="AX119" s="24" cm="1">
        <f t="array" ref="AX119">VLOOKUP($R119,武学奇术!$A:$ZZ,8,FALSE)+SUM(_xlfn.XLOOKUP($S119:$AL119,增益!$A:$A,增益!$H:$H,0))</f>
        <v>0</v>
      </c>
      <c r="AY119">
        <f t="shared" si="35"/>
        <v>0</v>
      </c>
      <c r="AZ119">
        <f t="shared" si="36"/>
        <v>0</v>
      </c>
      <c r="BA119" s="31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1" cm="1">
        <f t="array" ref="BB119">$G$11+VLOOKUP($R119,武学奇术!$A:$ZZ,10,FALSE)+SUM(_xlfn.XLOOKUP($S119:$AL119,增益!$A:$A,增益!$J:$J,0))</f>
        <v>0</v>
      </c>
      <c r="BC119">
        <f t="shared" si="37"/>
        <v>0</v>
      </c>
      <c r="BD119">
        <f t="shared" si="38"/>
        <v>0</v>
      </c>
      <c r="BE119" s="31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1" cm="1">
        <f t="array" ref="BF119">$G$12+VLOOKUP($R119,武学奇术!$A:$ZZ,12,FALSE)+SUM(_xlfn.XLOOKUP($S119:$AL119,增益!$A:$A,增益!$L:$L,0))</f>
        <v>0</v>
      </c>
      <c r="BG119">
        <f t="shared" si="39"/>
        <v>0</v>
      </c>
      <c r="BH119">
        <f t="shared" si="40"/>
        <v>0</v>
      </c>
      <c r="BI119" s="31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1" cm="1">
        <f t="array" ref="BJ119">$G$13+VLOOKUP($R119,武学奇术!$A:$ZZ,14,FALSE)+SUM(_xlfn.XLOOKUP($S119:$AL119,增益!$A:$A,增益!$N:$N,0))</f>
        <v>0</v>
      </c>
      <c r="BK119">
        <f t="shared" si="41"/>
        <v>649.11</v>
      </c>
      <c r="BL119">
        <f t="shared" si="42"/>
        <v>1812.09</v>
      </c>
      <c r="BM119" s="31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1" cm="1">
        <f t="array" ref="BN119">$G$14+VLOOKUP($R119,武学奇术!$A:$ZZ,16,FALSE)+SUM(_xlfn.XLOOKUP($S119:$AL119,增益!$A:$A,增益!$P:$P,0))</f>
        <v>0.15</v>
      </c>
      <c r="BO119" s="24">
        <f>MIN(IF(VLOOKUP($R119,武学奇术!$A:$ZZ,23,FALSE)=1,100%,$B$8),100%)</f>
        <v>0.9943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0.8985</v>
      </c>
      <c r="BQ119" s="24" cm="1">
        <f t="array" ref="BQ119">1+$B$13+VLOOKUP($R119,武学奇术!$A:$ZZ,18,FALSE)+SUM(_xlfn.XLOOKUP($S119:$AL119,增益!$A:$A,增益!$R:$R,0))</f>
        <v>1.54</v>
      </c>
      <c r="BR119" s="24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43"/>
        <v>0.89337855</v>
      </c>
      <c r="BU119" s="24">
        <f t="shared" si="44"/>
        <v>0.01014186</v>
      </c>
      <c r="BV119" s="24">
        <f>IF(VLOOKUP($R119,武学奇术!$A:$ZZ,22,FALSE)=1,0,(1-$BO119))*(1-$BR119)</f>
        <v>0.00517959000000003</v>
      </c>
      <c r="BW119" s="24" cm="1">
        <f t="array" ref="BW119">SUM(_xlfn.XLOOKUP($S119:$AL119,增益!$A:$A,增益!$W:$W,0))+$I$5</f>
        <v>0.11</v>
      </c>
      <c r="BX119" s="24">
        <f>VLOOKUP($R119,武学奇术!$A:$ZZ,32,FALSE)</f>
        <v>0</v>
      </c>
      <c r="BY119" s="24" cm="1">
        <f t="array" ref="BY119">SUM(_xlfn.XLOOKUP($S119:$AL119,增益!$A:$A,增益!$X:$X,0))</f>
        <v>0</v>
      </c>
    </row>
    <row r="120" spans="2:77">
      <c r="K120" s="37">
        <f>$L120*VLOOKUP($R120,武学奇术!$A:$ZZ,31,FALSE)</f>
        <v>0</v>
      </c>
      <c r="L120" s="37">
        <f t="shared" si="34"/>
        <v>0</v>
      </c>
      <c r="M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*(1+$BX120)</f>
        <v>0</v>
      </c>
      <c r="N120" s="37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*(1+$BX120)</f>
        <v>0</v>
      </c>
      <c r="O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*(1+$BX120)</f>
        <v>0</v>
      </c>
      <c r="P120" s="37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*(1+$BX120)</f>
        <v>0</v>
      </c>
      <c r="Q120" s="38">
        <v>1</v>
      </c>
      <c r="R120" s="39" t="s">
        <v>84</v>
      </c>
      <c r="S120" s="39" t="s">
        <v>84</v>
      </c>
      <c r="T120" s="39" t="s">
        <v>84</v>
      </c>
      <c r="U120" s="39" t="s">
        <v>84</v>
      </c>
      <c r="V120" s="39" t="s">
        <v>84</v>
      </c>
      <c r="W120" s="39" t="s">
        <v>84</v>
      </c>
      <c r="X120" s="39" t="s">
        <v>84</v>
      </c>
      <c r="Y120" s="39" t="s">
        <v>84</v>
      </c>
      <c r="Z120" s="39" t="s">
        <v>84</v>
      </c>
      <c r="AA120" s="39" t="s">
        <v>84</v>
      </c>
      <c r="AB120" s="39" t="s">
        <v>84</v>
      </c>
      <c r="AC120" s="39" t="s">
        <v>84</v>
      </c>
      <c r="AD120" s="39" t="s">
        <v>84</v>
      </c>
      <c r="AE120" s="39" t="s">
        <v>87</v>
      </c>
      <c r="AF120" s="39" t="s">
        <v>88</v>
      </c>
      <c r="AG120" s="39" t="s">
        <v>84</v>
      </c>
      <c r="AH120" s="39" t="s">
        <v>84</v>
      </c>
      <c r="AI120" s="39" t="s">
        <v>84</v>
      </c>
      <c r="AJ120" s="39" t="s">
        <v>84</v>
      </c>
      <c r="AK120" s="39" t="s">
        <v>84</v>
      </c>
      <c r="AL120" s="39" t="s">
        <v>84</v>
      </c>
      <c r="AM120" t="str">
        <f>VLOOKUP($R120,武学奇术!$A:$ZZ,25,FALSE)</f>
        <v>心法</v>
      </c>
      <c r="AN120" s="24">
        <f>VLOOKUP($R120,武学奇术!$A:$ZZ,26,FALSE)</f>
        <v>0</v>
      </c>
      <c r="AO120" s="25">
        <f>VLOOKUP($R120,武学奇术!$A:$ZZ,27,FALSE)*(1+IF(OR($AM120=$F$4,$AM120=$F$5),$B$22,0))</f>
        <v>0</v>
      </c>
      <c r="AP120" s="24">
        <f>VLOOKUP($R120,武学奇术!$A:$ZZ,28,FALSE)</f>
        <v>0</v>
      </c>
      <c r="AQ120" s="25">
        <f>VLOOKUP($R120,武学奇术!$A:$ZZ,29,FALSE)*(1+IF(OR($AM120=$F$4,$AM120=$F$5),$B$22,0))</f>
        <v>0</v>
      </c>
      <c r="AR120" s="24" cm="1">
        <f t="array" ref="AR120">$G$3+IFERROR(VLOOKUP($AM120,$F$4:$G$7,2,FALSE),0)+VLOOKUP($R120,武学奇术!$A:$ZZ,2,FALSE)+SUM(_xlfn.XLOOKUP($S120:$AL120,增益!$A:$A,增益!$B:$B,0))</f>
        <v>0.1842</v>
      </c>
      <c r="AS120" s="24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4342.95</v>
      </c>
      <c r="AU120" cm="1">
        <f t="array" ref="AU120">$E$10*(1+$AS120)+VLOOKUP($R120,武学奇术!$A:$ZZ,4,FALSE)+SUM(_xlfn.XLOOKUP($S120:$AL120,增益!$A:$A,增益!$D:$D,0))-$I$2</f>
        <v>4342.95</v>
      </c>
      <c r="AV120" s="31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0.2534</v>
      </c>
      <c r="AW120" s="31" cm="1">
        <f t="array" ref="AW120">$G$10+VLOOKUP($R120,武学奇术!$A:$ZZ,7,FALSE)+SUM(_xlfn.XLOOKUP($S120:$AL120,增益!$A:$A,增益!$G:$G,0))</f>
        <v>0</v>
      </c>
      <c r="AX120" s="24" cm="1">
        <f t="array" ref="AX120">VLOOKUP($R120,武学奇术!$A:$ZZ,8,FALSE)+SUM(_xlfn.XLOOKUP($S120:$AL120,增益!$A:$A,增益!$H:$H,0))</f>
        <v>0</v>
      </c>
      <c r="AY120">
        <f t="shared" si="35"/>
        <v>0</v>
      </c>
      <c r="AZ120">
        <f t="shared" si="36"/>
        <v>0</v>
      </c>
      <c r="BA120" s="31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1" cm="1">
        <f t="array" ref="BB120">$G$11+VLOOKUP($R120,武学奇术!$A:$ZZ,10,FALSE)+SUM(_xlfn.XLOOKUP($S120:$AL120,增益!$A:$A,增益!$J:$J,0))</f>
        <v>0</v>
      </c>
      <c r="BC120">
        <f t="shared" si="37"/>
        <v>0</v>
      </c>
      <c r="BD120">
        <f t="shared" si="38"/>
        <v>0</v>
      </c>
      <c r="BE120" s="31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1" cm="1">
        <f t="array" ref="BF120">$G$12+VLOOKUP($R120,武学奇术!$A:$ZZ,12,FALSE)+SUM(_xlfn.XLOOKUP($S120:$AL120,增益!$A:$A,增益!$L:$L,0))</f>
        <v>0</v>
      </c>
      <c r="BG120">
        <f t="shared" si="39"/>
        <v>0</v>
      </c>
      <c r="BH120">
        <f t="shared" si="40"/>
        <v>0</v>
      </c>
      <c r="BI120" s="31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1" cm="1">
        <f t="array" ref="BJ120">$G$13+VLOOKUP($R120,武学奇术!$A:$ZZ,14,FALSE)+SUM(_xlfn.XLOOKUP($S120:$AL120,增益!$A:$A,增益!$N:$N,0))</f>
        <v>0</v>
      </c>
      <c r="BK120">
        <f t="shared" si="41"/>
        <v>649.11</v>
      </c>
      <c r="BL120">
        <f t="shared" si="42"/>
        <v>1812.09</v>
      </c>
      <c r="BM120" s="31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1" cm="1">
        <f t="array" ref="BN120">$G$14+VLOOKUP($R120,武学奇术!$A:$ZZ,16,FALSE)+SUM(_xlfn.XLOOKUP($S120:$AL120,增益!$A:$A,增益!$P:$P,0))</f>
        <v>0.15</v>
      </c>
      <c r="BO120" s="24">
        <f>MIN(IF(VLOOKUP($R120,武学奇术!$A:$ZZ,23,FALSE)=1,100%,$B$8),100%)</f>
        <v>0.9943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0.8985</v>
      </c>
      <c r="BQ120" s="24" cm="1">
        <f t="array" ref="BQ120">1+$B$13+VLOOKUP($R120,武学奇术!$A:$ZZ,18,FALSE)+SUM(_xlfn.XLOOKUP($S120:$AL120,增益!$A:$A,增益!$R:$R,0))</f>
        <v>1.54</v>
      </c>
      <c r="BR120" s="24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43"/>
        <v>0.89337855</v>
      </c>
      <c r="BU120" s="24">
        <f t="shared" si="44"/>
        <v>0.01014186</v>
      </c>
      <c r="BV120" s="24">
        <f>IF(VLOOKUP($R120,武学奇术!$A:$ZZ,22,FALSE)=1,0,(1-$BO120))*(1-$BR120)</f>
        <v>0.00517959000000003</v>
      </c>
      <c r="BW120" s="24" cm="1">
        <f t="array" ref="BW120">SUM(_xlfn.XLOOKUP($S120:$AL120,增益!$A:$A,增益!$W:$W,0))+$I$5</f>
        <v>0.11</v>
      </c>
      <c r="BX120" s="24">
        <f>VLOOKUP($R120,武学奇术!$A:$ZZ,32,FALSE)</f>
        <v>0</v>
      </c>
      <c r="BY120" s="24" cm="1">
        <f t="array" ref="BY120">SUM(_xlfn.XLOOKUP($S120:$AL120,增益!$A:$A,增益!$X:$X,0))</f>
        <v>0</v>
      </c>
    </row>
    <row r="121" spans="2:77">
      <c r="B121" s="95"/>
      <c r="K121" s="37">
        <f>$L121*VLOOKUP($R121,武学奇术!$A:$ZZ,31,FALSE)</f>
        <v>0</v>
      </c>
      <c r="L121" s="37">
        <f t="shared" si="34"/>
        <v>0</v>
      </c>
      <c r="M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*(1+$BX121)</f>
        <v>0</v>
      </c>
      <c r="N121" s="37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*(1+$BX121)</f>
        <v>0</v>
      </c>
      <c r="O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*(1+$BX121)</f>
        <v>0</v>
      </c>
      <c r="P121" s="37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*(1+$BX121)</f>
        <v>0</v>
      </c>
      <c r="Q121" s="38">
        <v>1</v>
      </c>
      <c r="R121" s="39" t="s">
        <v>84</v>
      </c>
      <c r="S121" s="39" t="s">
        <v>84</v>
      </c>
      <c r="T121" s="39" t="s">
        <v>84</v>
      </c>
      <c r="U121" s="39" t="s">
        <v>84</v>
      </c>
      <c r="V121" s="39" t="s">
        <v>84</v>
      </c>
      <c r="W121" s="39" t="s">
        <v>84</v>
      </c>
      <c r="X121" s="39" t="s">
        <v>84</v>
      </c>
      <c r="Y121" s="39" t="s">
        <v>84</v>
      </c>
      <c r="Z121" s="39" t="s">
        <v>84</v>
      </c>
      <c r="AA121" s="39" t="s">
        <v>84</v>
      </c>
      <c r="AB121" s="39" t="s">
        <v>84</v>
      </c>
      <c r="AC121" s="39" t="s">
        <v>84</v>
      </c>
      <c r="AD121" s="39" t="s">
        <v>84</v>
      </c>
      <c r="AE121" s="39" t="s">
        <v>87</v>
      </c>
      <c r="AF121" s="39" t="s">
        <v>88</v>
      </c>
      <c r="AG121" s="39" t="s">
        <v>84</v>
      </c>
      <c r="AH121" s="39" t="s">
        <v>84</v>
      </c>
      <c r="AI121" s="39" t="s">
        <v>84</v>
      </c>
      <c r="AJ121" s="39" t="s">
        <v>84</v>
      </c>
      <c r="AK121" s="39" t="s">
        <v>84</v>
      </c>
      <c r="AL121" s="39" t="s">
        <v>84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VLOOKUP($R121,武学奇术!$A:$ZZ,27,FALSE)*(1+IF(OR($AM121=$F$4,$AM121=$F$5),$B$22,0))</f>
        <v>0</v>
      </c>
      <c r="AP121" s="24">
        <f>VLOOKUP($R121,武学奇术!$A:$ZZ,28,FALSE)</f>
        <v>0</v>
      </c>
      <c r="AQ121" s="25">
        <f>VLOOKUP($R121,武学奇术!$A:$ZZ,29,FALSE)*(1+IF(OR($AM121=$F$4,$AM121=$F$5),$B$22,0))</f>
        <v>0</v>
      </c>
      <c r="AR121" s="24" cm="1">
        <f t="array" ref="AR121">$G$3+IFERROR(VLOOKUP($AM121,$F$4:$G$7,2,FALSE),0)+VLOOKUP($R121,武学奇术!$A:$ZZ,2,FALSE)+SUM(_xlfn.XLOOKUP($S121:$AL121,增益!$A:$A,增益!$B:$B,0))</f>
        <v>0.1842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4342.95</v>
      </c>
      <c r="AU121" cm="1">
        <f t="array" ref="AU121">$E$10*(1+$AS121)+VLOOKUP($R121,武学奇术!$A:$ZZ,4,FALSE)+SUM(_xlfn.XLOOKUP($S121:$AL121,增益!$A:$A,增益!$D:$D,0))-$I$2</f>
        <v>4342.95</v>
      </c>
      <c r="AV121" s="31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0.2534</v>
      </c>
      <c r="AW121" s="31" cm="1">
        <f t="array" ref="AW121">$G$10+VLOOKUP($R121,武学奇术!$A:$ZZ,7,FALSE)+SUM(_xlfn.XLOOKUP($S121:$AL121,增益!$A:$A,增益!$G:$G,0))</f>
        <v>0</v>
      </c>
      <c r="AX121" s="24" cm="1">
        <f t="array" ref="AX121">VLOOKUP($R121,武学奇术!$A:$ZZ,8,FALSE)+SUM(_xlfn.XLOOKUP($S121:$AL121,增益!$A:$A,增益!$H:$H,0))</f>
        <v>0</v>
      </c>
      <c r="AY121">
        <f t="shared" si="35"/>
        <v>0</v>
      </c>
      <c r="AZ121">
        <f t="shared" si="36"/>
        <v>0</v>
      </c>
      <c r="BA121" s="31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1" cm="1">
        <f t="array" ref="BB121">$G$11+VLOOKUP($R121,武学奇术!$A:$ZZ,10,FALSE)+SUM(_xlfn.XLOOKUP($S121:$AL121,增益!$A:$A,增益!$J:$J,0))</f>
        <v>0</v>
      </c>
      <c r="BC121">
        <f t="shared" si="37"/>
        <v>0</v>
      </c>
      <c r="BD121">
        <f t="shared" si="38"/>
        <v>0</v>
      </c>
      <c r="BE121" s="31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1" cm="1">
        <f t="array" ref="BF121">$G$12+VLOOKUP($R121,武学奇术!$A:$ZZ,12,FALSE)+SUM(_xlfn.XLOOKUP($S121:$AL121,增益!$A:$A,增益!$L:$L,0))</f>
        <v>0</v>
      </c>
      <c r="BG121">
        <f t="shared" si="39"/>
        <v>0</v>
      </c>
      <c r="BH121">
        <f t="shared" si="40"/>
        <v>0</v>
      </c>
      <c r="BI121" s="31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1" cm="1">
        <f t="array" ref="BJ121">$G$13+VLOOKUP($R121,武学奇术!$A:$ZZ,14,FALSE)+SUM(_xlfn.XLOOKUP($S121:$AL121,增益!$A:$A,增益!$N:$N,0))</f>
        <v>0</v>
      </c>
      <c r="BK121">
        <f t="shared" si="41"/>
        <v>649.11</v>
      </c>
      <c r="BL121">
        <f t="shared" si="42"/>
        <v>1812.09</v>
      </c>
      <c r="BM121" s="31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1" cm="1">
        <f t="array" ref="BN121">$G$14+VLOOKUP($R121,武学奇术!$A:$ZZ,16,FALSE)+SUM(_xlfn.XLOOKUP($S121:$AL121,增益!$A:$A,增益!$P:$P,0))</f>
        <v>0.15</v>
      </c>
      <c r="BO121" s="24">
        <f>MIN(IF(VLOOKUP($R121,武学奇术!$A:$ZZ,23,FALSE)=1,100%,$B$8),100%)</f>
        <v>0.9943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0.8985</v>
      </c>
      <c r="BQ121" s="24" cm="1">
        <f t="array" ref="BQ121">1+$B$13+VLOOKUP($R121,武学奇术!$A:$ZZ,18,FALSE)+SUM(_xlfn.XLOOKUP($S121:$AL121,增益!$A:$A,增益!$R:$R,0))</f>
        <v>1.54</v>
      </c>
      <c r="BR121" s="24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43"/>
        <v>0.89337855</v>
      </c>
      <c r="BU121" s="24">
        <f t="shared" si="44"/>
        <v>0.01014186</v>
      </c>
      <c r="BV121" s="24">
        <f>IF(VLOOKUP($R121,武学奇术!$A:$ZZ,22,FALSE)=1,0,(1-$BO121))*(1-$BR121)</f>
        <v>0.00517959000000003</v>
      </c>
      <c r="BW121" s="24" cm="1">
        <f t="array" ref="BW121">SUM(_xlfn.XLOOKUP($S121:$AL121,增益!$A:$A,增益!$W:$W,0))+$I$5</f>
        <v>0.11</v>
      </c>
      <c r="BX121" s="24">
        <f>VLOOKUP($R121,武学奇术!$A:$ZZ,32,FALSE)</f>
        <v>0</v>
      </c>
      <c r="BY121" s="24" cm="1">
        <f t="array" ref="BY121">SUM(_xlfn.XLOOKUP($S121:$AL121,增益!$A:$A,增益!$X:$X,0))</f>
        <v>0</v>
      </c>
    </row>
    <row r="122" spans="2:77">
      <c r="K122" s="37">
        <f>$L122*VLOOKUP($R122,武学奇术!$A:$ZZ,31,FALSE)</f>
        <v>0</v>
      </c>
      <c r="L122" s="37">
        <f t="shared" si="34"/>
        <v>0</v>
      </c>
      <c r="M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*(1+$BX122)</f>
        <v>0</v>
      </c>
      <c r="N122" s="37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*(1+$BX122)</f>
        <v>0</v>
      </c>
      <c r="O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*(1+$BX122)</f>
        <v>0</v>
      </c>
      <c r="P122" s="37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*(1+$BX122)</f>
        <v>0</v>
      </c>
      <c r="Q122" s="38">
        <v>1</v>
      </c>
      <c r="R122" s="39" t="s">
        <v>84</v>
      </c>
      <c r="S122" s="39" t="s">
        <v>84</v>
      </c>
      <c r="T122" s="39" t="s">
        <v>84</v>
      </c>
      <c r="U122" s="39" t="s">
        <v>84</v>
      </c>
      <c r="V122" s="39" t="s">
        <v>84</v>
      </c>
      <c r="W122" s="39" t="s">
        <v>84</v>
      </c>
      <c r="X122" s="39" t="s">
        <v>84</v>
      </c>
      <c r="Y122" s="39" t="s">
        <v>84</v>
      </c>
      <c r="Z122" s="39" t="s">
        <v>84</v>
      </c>
      <c r="AA122" s="39" t="s">
        <v>84</v>
      </c>
      <c r="AB122" s="39" t="s">
        <v>84</v>
      </c>
      <c r="AC122" s="39" t="s">
        <v>84</v>
      </c>
      <c r="AD122" s="39" t="s">
        <v>84</v>
      </c>
      <c r="AE122" s="39" t="s">
        <v>87</v>
      </c>
      <c r="AF122" s="39" t="s">
        <v>88</v>
      </c>
      <c r="AG122" s="39" t="s">
        <v>84</v>
      </c>
      <c r="AH122" s="39" t="s">
        <v>84</v>
      </c>
      <c r="AI122" s="39" t="s">
        <v>84</v>
      </c>
      <c r="AJ122" s="39" t="s">
        <v>84</v>
      </c>
      <c r="AK122" s="39" t="s">
        <v>84</v>
      </c>
      <c r="AL122" s="39" t="s">
        <v>84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VLOOKUP($R122,武学奇术!$A:$ZZ,27,FALSE)*(1+IF(OR($AM122=$F$4,$AM122=$F$5),$B$22,0))</f>
        <v>0</v>
      </c>
      <c r="AP122" s="24">
        <f>VLOOKUP($R122,武学奇术!$A:$ZZ,28,FALSE)</f>
        <v>0</v>
      </c>
      <c r="AQ122" s="25">
        <f>VLOOKUP($R122,武学奇术!$A:$ZZ,29,FALSE)*(1+IF(OR($AM122=$F$4,$AM122=$F$5),$B$22,0))</f>
        <v>0</v>
      </c>
      <c r="AR122" s="24" cm="1">
        <f t="array" ref="AR122">$G$3+IFERROR(VLOOKUP($AM122,$F$4:$G$7,2,FALSE),0)+VLOOKUP($R122,武学奇术!$A:$ZZ,2,FALSE)+SUM(_xlfn.XLOOKUP($S122:$AL122,增益!$A:$A,增益!$B:$B,0))</f>
        <v>0.1842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4342.95</v>
      </c>
      <c r="AU122" cm="1">
        <f t="array" ref="AU122">$E$10*(1+$AS122)+VLOOKUP($R122,武学奇术!$A:$ZZ,4,FALSE)+SUM(_xlfn.XLOOKUP($S122:$AL122,增益!$A:$A,增益!$D:$D,0))-$I$2</f>
        <v>4342.95</v>
      </c>
      <c r="AV122" s="31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0.2534</v>
      </c>
      <c r="AW122" s="31" cm="1">
        <f t="array" ref="AW122">$G$10+VLOOKUP($R122,武学奇术!$A:$ZZ,7,FALSE)+SUM(_xlfn.XLOOKUP($S122:$AL122,增益!$A:$A,增益!$G:$G,0))</f>
        <v>0</v>
      </c>
      <c r="AX122" s="24" cm="1">
        <f t="array" ref="AX122">VLOOKUP($R122,武学奇术!$A:$ZZ,8,FALSE)+SUM(_xlfn.XLOOKUP($S122:$AL122,增益!$A:$A,增益!$H:$H,0))</f>
        <v>0</v>
      </c>
      <c r="AY122">
        <f t="shared" si="35"/>
        <v>0</v>
      </c>
      <c r="AZ122">
        <f t="shared" si="36"/>
        <v>0</v>
      </c>
      <c r="BA122" s="31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1" cm="1">
        <f t="array" ref="BB122">$G$11+VLOOKUP($R122,武学奇术!$A:$ZZ,10,FALSE)+SUM(_xlfn.XLOOKUP($S122:$AL122,增益!$A:$A,增益!$J:$J,0))</f>
        <v>0</v>
      </c>
      <c r="BC122">
        <f t="shared" si="37"/>
        <v>0</v>
      </c>
      <c r="BD122">
        <f t="shared" si="38"/>
        <v>0</v>
      </c>
      <c r="BE122" s="31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1" cm="1">
        <f t="array" ref="BF122">$G$12+VLOOKUP($R122,武学奇术!$A:$ZZ,12,FALSE)+SUM(_xlfn.XLOOKUP($S122:$AL122,增益!$A:$A,增益!$L:$L,0))</f>
        <v>0</v>
      </c>
      <c r="BG122">
        <f t="shared" si="39"/>
        <v>0</v>
      </c>
      <c r="BH122">
        <f t="shared" si="40"/>
        <v>0</v>
      </c>
      <c r="BI122" s="31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1" cm="1">
        <f t="array" ref="BJ122">$G$13+VLOOKUP($R122,武学奇术!$A:$ZZ,14,FALSE)+SUM(_xlfn.XLOOKUP($S122:$AL122,增益!$A:$A,增益!$N:$N,0))</f>
        <v>0</v>
      </c>
      <c r="BK122">
        <f t="shared" si="41"/>
        <v>649.11</v>
      </c>
      <c r="BL122">
        <f t="shared" si="42"/>
        <v>1812.09</v>
      </c>
      <c r="BM122" s="31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1" cm="1">
        <f t="array" ref="BN122">$G$14+VLOOKUP($R122,武学奇术!$A:$ZZ,16,FALSE)+SUM(_xlfn.XLOOKUP($S122:$AL122,增益!$A:$A,增益!$P:$P,0))</f>
        <v>0.15</v>
      </c>
      <c r="BO122" s="24">
        <f>MIN(IF(VLOOKUP($R122,武学奇术!$A:$ZZ,23,FALSE)=1,100%,$B$8),100%)</f>
        <v>0.9943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0.8985</v>
      </c>
      <c r="BQ122" s="24" cm="1">
        <f t="array" ref="BQ122">1+$B$13+VLOOKUP($R122,武学奇术!$A:$ZZ,18,FALSE)+SUM(_xlfn.XLOOKUP($S122:$AL122,增益!$A:$A,增益!$R:$R,0))</f>
        <v>1.54</v>
      </c>
      <c r="BR122" s="24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43"/>
        <v>0.89337855</v>
      </c>
      <c r="BU122" s="24">
        <f t="shared" si="44"/>
        <v>0.01014186</v>
      </c>
      <c r="BV122" s="24">
        <f>IF(VLOOKUP($R122,武学奇术!$A:$ZZ,22,FALSE)=1,0,(1-$BO122))*(1-$BR122)</f>
        <v>0.00517959000000003</v>
      </c>
      <c r="BW122" s="24" cm="1">
        <f t="array" ref="BW122">SUM(_xlfn.XLOOKUP($S122:$AL122,增益!$A:$A,增益!$W:$W,0))+$I$5</f>
        <v>0.11</v>
      </c>
      <c r="BX122" s="24">
        <f>VLOOKUP($R122,武学奇术!$A:$ZZ,32,FALSE)</f>
        <v>0</v>
      </c>
      <c r="BY122" s="24" cm="1">
        <f t="array" ref="BY122">SUM(_xlfn.XLOOKUP($S122:$AL122,增益!$A:$A,增益!$X:$X,0))</f>
        <v>0</v>
      </c>
    </row>
    <row r="123" spans="2:77">
      <c r="K123" s="37">
        <f>$L123*VLOOKUP($R123,武学奇术!$A:$ZZ,31,FALSE)</f>
        <v>0</v>
      </c>
      <c r="L123" s="37">
        <f t="shared" si="34"/>
        <v>0</v>
      </c>
      <c r="M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*(1+$BX123)</f>
        <v>0</v>
      </c>
      <c r="N123" s="37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*(1+$BX123)</f>
        <v>0</v>
      </c>
      <c r="O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*(1+$BX123)</f>
        <v>0</v>
      </c>
      <c r="P123" s="37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*(1+$BX123)</f>
        <v>0</v>
      </c>
      <c r="Q123" s="38">
        <v>1</v>
      </c>
      <c r="R123" s="39" t="s">
        <v>84</v>
      </c>
      <c r="S123" s="39" t="s">
        <v>84</v>
      </c>
      <c r="T123" s="39" t="s">
        <v>84</v>
      </c>
      <c r="U123" s="39" t="s">
        <v>84</v>
      </c>
      <c r="V123" s="39" t="s">
        <v>84</v>
      </c>
      <c r="W123" s="39" t="s">
        <v>84</v>
      </c>
      <c r="X123" s="39" t="s">
        <v>84</v>
      </c>
      <c r="Y123" s="39" t="s">
        <v>84</v>
      </c>
      <c r="Z123" s="39" t="s">
        <v>84</v>
      </c>
      <c r="AA123" s="39" t="s">
        <v>84</v>
      </c>
      <c r="AB123" s="39" t="s">
        <v>84</v>
      </c>
      <c r="AC123" s="39" t="s">
        <v>84</v>
      </c>
      <c r="AD123" s="39" t="s">
        <v>84</v>
      </c>
      <c r="AE123" s="39" t="s">
        <v>87</v>
      </c>
      <c r="AF123" s="39" t="s">
        <v>88</v>
      </c>
      <c r="AG123" s="39" t="s">
        <v>84</v>
      </c>
      <c r="AH123" s="39" t="s">
        <v>84</v>
      </c>
      <c r="AI123" s="39" t="s">
        <v>84</v>
      </c>
      <c r="AJ123" s="39" t="s">
        <v>84</v>
      </c>
      <c r="AK123" s="39" t="s">
        <v>84</v>
      </c>
      <c r="AL123" s="39" t="s">
        <v>84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VLOOKUP($R123,武学奇术!$A:$ZZ,27,FALSE)*(1+IF(OR($AM123=$F$4,$AM123=$F$5),$B$22,0))</f>
        <v>0</v>
      </c>
      <c r="AP123" s="24">
        <f>VLOOKUP($R123,武学奇术!$A:$ZZ,28,FALSE)</f>
        <v>0</v>
      </c>
      <c r="AQ123" s="25">
        <f>VLOOKUP($R123,武学奇术!$A:$ZZ,29,FALSE)*(1+IF(OR($AM123=$F$4,$AM123=$F$5),$B$22,0))</f>
        <v>0</v>
      </c>
      <c r="AR123" s="24" cm="1">
        <f t="array" ref="AR123">$G$3+IFERROR(VLOOKUP($AM123,$F$4:$G$7,2,FALSE),0)+VLOOKUP($R123,武学奇术!$A:$ZZ,2,FALSE)+SUM(_xlfn.XLOOKUP($S123:$AL123,增益!$A:$A,增益!$B:$B,0))</f>
        <v>0.1842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4342.95</v>
      </c>
      <c r="AU123" cm="1">
        <f t="array" ref="AU123">$E$10*(1+$AS123)+VLOOKUP($R123,武学奇术!$A:$ZZ,4,FALSE)+SUM(_xlfn.XLOOKUP($S123:$AL123,增益!$A:$A,增益!$D:$D,0))-$I$2</f>
        <v>4342.95</v>
      </c>
      <c r="AV123" s="31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0.2534</v>
      </c>
      <c r="AW123" s="31" cm="1">
        <f t="array" ref="AW123">$G$10+VLOOKUP($R123,武学奇术!$A:$ZZ,7,FALSE)+SUM(_xlfn.XLOOKUP($S123:$AL123,增益!$A:$A,增益!$G:$G,0))</f>
        <v>0</v>
      </c>
      <c r="AX123" s="24" cm="1">
        <f t="array" ref="AX123">VLOOKUP($R123,武学奇术!$A:$ZZ,8,FALSE)+SUM(_xlfn.XLOOKUP($S123:$AL123,增益!$A:$A,增益!$H:$H,0))</f>
        <v>0</v>
      </c>
      <c r="AY123">
        <f t="shared" si="35"/>
        <v>0</v>
      </c>
      <c r="AZ123">
        <f t="shared" si="36"/>
        <v>0</v>
      </c>
      <c r="BA123" s="31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1" cm="1">
        <f t="array" ref="BB123">$G$11+VLOOKUP($R123,武学奇术!$A:$ZZ,10,FALSE)+SUM(_xlfn.XLOOKUP($S123:$AL123,增益!$A:$A,增益!$J:$J,0))</f>
        <v>0</v>
      </c>
      <c r="BC123">
        <f t="shared" si="37"/>
        <v>0</v>
      </c>
      <c r="BD123">
        <f t="shared" si="38"/>
        <v>0</v>
      </c>
      <c r="BE123" s="31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1" cm="1">
        <f t="array" ref="BF123">$G$12+VLOOKUP($R123,武学奇术!$A:$ZZ,12,FALSE)+SUM(_xlfn.XLOOKUP($S123:$AL123,增益!$A:$A,增益!$L:$L,0))</f>
        <v>0</v>
      </c>
      <c r="BG123">
        <f t="shared" si="39"/>
        <v>0</v>
      </c>
      <c r="BH123">
        <f t="shared" si="40"/>
        <v>0</v>
      </c>
      <c r="BI123" s="31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1" cm="1">
        <f t="array" ref="BJ123">$G$13+VLOOKUP($R123,武学奇术!$A:$ZZ,14,FALSE)+SUM(_xlfn.XLOOKUP($S123:$AL123,增益!$A:$A,增益!$N:$N,0))</f>
        <v>0</v>
      </c>
      <c r="BK123">
        <f t="shared" si="41"/>
        <v>649.11</v>
      </c>
      <c r="BL123">
        <f t="shared" si="42"/>
        <v>1812.09</v>
      </c>
      <c r="BM123" s="31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1" cm="1">
        <f t="array" ref="BN123">$G$14+VLOOKUP($R123,武学奇术!$A:$ZZ,16,FALSE)+SUM(_xlfn.XLOOKUP($S123:$AL123,增益!$A:$A,增益!$P:$P,0))</f>
        <v>0.15</v>
      </c>
      <c r="BO123" s="24">
        <f>MIN(IF(VLOOKUP($R123,武学奇术!$A:$ZZ,23,FALSE)=1,100%,$B$8),100%)</f>
        <v>0.9943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0.8985</v>
      </c>
      <c r="BQ123" s="24" cm="1">
        <f t="array" ref="BQ123">1+$B$13+VLOOKUP($R123,武学奇术!$A:$ZZ,18,FALSE)+SUM(_xlfn.XLOOKUP($S123:$AL123,增益!$A:$A,增益!$R:$R,0))</f>
        <v>1.54</v>
      </c>
      <c r="BR123" s="24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43"/>
        <v>0.89337855</v>
      </c>
      <c r="BU123" s="24">
        <f t="shared" si="44"/>
        <v>0.01014186</v>
      </c>
      <c r="BV123" s="24">
        <f>IF(VLOOKUP($R123,武学奇术!$A:$ZZ,22,FALSE)=1,0,(1-$BO123))*(1-$BR123)</f>
        <v>0.00517959000000003</v>
      </c>
      <c r="BW123" s="24" cm="1">
        <f t="array" ref="BW123">SUM(_xlfn.XLOOKUP($S123:$AL123,增益!$A:$A,增益!$W:$W,0))+$I$5</f>
        <v>0.11</v>
      </c>
      <c r="BX123" s="24">
        <f>VLOOKUP($R123,武学奇术!$A:$ZZ,32,FALSE)</f>
        <v>0</v>
      </c>
      <c r="BY123" s="24" cm="1">
        <f t="array" ref="BY123">SUM(_xlfn.XLOOKUP($S123:$AL123,增益!$A:$A,增益!$X:$X,0))</f>
        <v>0</v>
      </c>
    </row>
    <row r="124" spans="2:77">
      <c r="K124" s="37">
        <f>$L124*VLOOKUP($R124,武学奇术!$A:$ZZ,31,FALSE)</f>
        <v>0</v>
      </c>
      <c r="L124" s="37">
        <f t="shared" si="34"/>
        <v>0</v>
      </c>
      <c r="M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*(1+$BX124)</f>
        <v>0</v>
      </c>
      <c r="N124" s="37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*(1+$BX124)</f>
        <v>0</v>
      </c>
      <c r="O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*(1+$BX124)</f>
        <v>0</v>
      </c>
      <c r="P124" s="37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*(1+$BX124)</f>
        <v>0</v>
      </c>
      <c r="Q124" s="38">
        <v>1</v>
      </c>
      <c r="R124" s="39" t="s">
        <v>84</v>
      </c>
      <c r="S124" s="39" t="s">
        <v>84</v>
      </c>
      <c r="T124" s="39" t="s">
        <v>84</v>
      </c>
      <c r="U124" s="39" t="s">
        <v>84</v>
      </c>
      <c r="V124" s="39" t="s">
        <v>84</v>
      </c>
      <c r="W124" s="39" t="s">
        <v>84</v>
      </c>
      <c r="X124" s="39" t="s">
        <v>84</v>
      </c>
      <c r="Y124" s="39" t="s">
        <v>84</v>
      </c>
      <c r="Z124" s="39" t="s">
        <v>84</v>
      </c>
      <c r="AA124" s="39" t="s">
        <v>84</v>
      </c>
      <c r="AB124" s="39" t="s">
        <v>84</v>
      </c>
      <c r="AC124" s="39" t="s">
        <v>84</v>
      </c>
      <c r="AD124" s="39" t="s">
        <v>84</v>
      </c>
      <c r="AE124" s="39" t="s">
        <v>87</v>
      </c>
      <c r="AF124" s="39" t="s">
        <v>88</v>
      </c>
      <c r="AG124" s="39" t="s">
        <v>84</v>
      </c>
      <c r="AH124" s="39" t="s">
        <v>84</v>
      </c>
      <c r="AI124" s="39" t="s">
        <v>84</v>
      </c>
      <c r="AJ124" s="39" t="s">
        <v>84</v>
      </c>
      <c r="AK124" s="39" t="s">
        <v>84</v>
      </c>
      <c r="AL124" s="39" t="s">
        <v>84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VLOOKUP($R124,武学奇术!$A:$ZZ,27,FALSE)*(1+IF(OR($AM124=$F$4,$AM124=$F$5),$B$22,0))</f>
        <v>0</v>
      </c>
      <c r="AP124" s="24">
        <f>VLOOKUP($R124,武学奇术!$A:$ZZ,28,FALSE)</f>
        <v>0</v>
      </c>
      <c r="AQ124" s="25">
        <f>VLOOKUP($R124,武学奇术!$A:$ZZ,29,FALSE)*(1+IF(OR($AM124=$F$4,$AM124=$F$5),$B$22,0))</f>
        <v>0</v>
      </c>
      <c r="AR124" s="24" cm="1">
        <f t="array" ref="AR124">$G$3+IFERROR(VLOOKUP($AM124,$F$4:$G$7,2,FALSE),0)+VLOOKUP($R124,武学奇术!$A:$ZZ,2,FALSE)+SUM(_xlfn.XLOOKUP($S124:$AL124,增益!$A:$A,增益!$B:$B,0))</f>
        <v>0.1842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4342.95</v>
      </c>
      <c r="AU124" cm="1">
        <f t="array" ref="AU124">$E$10*(1+$AS124)+VLOOKUP($R124,武学奇术!$A:$ZZ,4,FALSE)+SUM(_xlfn.XLOOKUP($S124:$AL124,增益!$A:$A,增益!$D:$D,0))-$I$2</f>
        <v>4342.95</v>
      </c>
      <c r="AV124" s="31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0.2534</v>
      </c>
      <c r="AW124" s="31" cm="1">
        <f t="array" ref="AW124">$G$10+VLOOKUP($R124,武学奇术!$A:$ZZ,7,FALSE)+SUM(_xlfn.XLOOKUP($S124:$AL124,增益!$A:$A,增益!$G:$G,0))</f>
        <v>0</v>
      </c>
      <c r="AX124" s="24" cm="1">
        <f t="array" ref="AX124">VLOOKUP($R124,武学奇术!$A:$ZZ,8,FALSE)+SUM(_xlfn.XLOOKUP($S124:$AL124,增益!$A:$A,增益!$H:$H,0))</f>
        <v>0</v>
      </c>
      <c r="AY124">
        <f t="shared" si="35"/>
        <v>0</v>
      </c>
      <c r="AZ124">
        <f t="shared" si="36"/>
        <v>0</v>
      </c>
      <c r="BA124" s="31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1" cm="1">
        <f t="array" ref="BB124">$G$11+VLOOKUP($R124,武学奇术!$A:$ZZ,10,FALSE)+SUM(_xlfn.XLOOKUP($S124:$AL124,增益!$A:$A,增益!$J:$J,0))</f>
        <v>0</v>
      </c>
      <c r="BC124">
        <f t="shared" si="37"/>
        <v>0</v>
      </c>
      <c r="BD124">
        <f t="shared" si="38"/>
        <v>0</v>
      </c>
      <c r="BE124" s="31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1" cm="1">
        <f t="array" ref="BF124">$G$12+VLOOKUP($R124,武学奇术!$A:$ZZ,12,FALSE)+SUM(_xlfn.XLOOKUP($S124:$AL124,增益!$A:$A,增益!$L:$L,0))</f>
        <v>0</v>
      </c>
      <c r="BG124">
        <f t="shared" si="39"/>
        <v>0</v>
      </c>
      <c r="BH124">
        <f t="shared" si="40"/>
        <v>0</v>
      </c>
      <c r="BI124" s="31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1" cm="1">
        <f t="array" ref="BJ124">$G$13+VLOOKUP($R124,武学奇术!$A:$ZZ,14,FALSE)+SUM(_xlfn.XLOOKUP($S124:$AL124,增益!$A:$A,增益!$N:$N,0))</f>
        <v>0</v>
      </c>
      <c r="BK124">
        <f t="shared" si="41"/>
        <v>649.11</v>
      </c>
      <c r="BL124">
        <f t="shared" si="42"/>
        <v>1812.09</v>
      </c>
      <c r="BM124" s="31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1" cm="1">
        <f t="array" ref="BN124">$G$14+VLOOKUP($R124,武学奇术!$A:$ZZ,16,FALSE)+SUM(_xlfn.XLOOKUP($S124:$AL124,增益!$A:$A,增益!$P:$P,0))</f>
        <v>0.15</v>
      </c>
      <c r="BO124" s="24">
        <f>MIN(IF(VLOOKUP($R124,武学奇术!$A:$ZZ,23,FALSE)=1,100%,$B$8),100%)</f>
        <v>0.9943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0.8985</v>
      </c>
      <c r="BQ124" s="24" cm="1">
        <f t="array" ref="BQ124">1+$B$13+VLOOKUP($R124,武学奇术!$A:$ZZ,18,FALSE)+SUM(_xlfn.XLOOKUP($S124:$AL124,增益!$A:$A,增益!$R:$R,0))</f>
        <v>1.54</v>
      </c>
      <c r="BR124" s="24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43"/>
        <v>0.89337855</v>
      </c>
      <c r="BU124" s="24">
        <f t="shared" si="44"/>
        <v>0.01014186</v>
      </c>
      <c r="BV124" s="24">
        <f>IF(VLOOKUP($R124,武学奇术!$A:$ZZ,22,FALSE)=1,0,(1-$BO124))*(1-$BR124)</f>
        <v>0.00517959000000003</v>
      </c>
      <c r="BW124" s="24" cm="1">
        <f t="array" ref="BW124">SUM(_xlfn.XLOOKUP($S124:$AL124,增益!$A:$A,增益!$W:$W,0))+$I$5</f>
        <v>0.11</v>
      </c>
      <c r="BX124" s="24">
        <f>VLOOKUP($R124,武学奇术!$A:$ZZ,32,FALSE)</f>
        <v>0</v>
      </c>
      <c r="BY124" s="24" cm="1">
        <f t="array" ref="BY124">SUM(_xlfn.XLOOKUP($S124:$AL124,增益!$A:$A,增益!$X:$X,0))</f>
        <v>0</v>
      </c>
    </row>
    <row r="125" spans="2:77">
      <c r="K125" s="37">
        <f>$L125*VLOOKUP($R125,武学奇术!$A:$ZZ,31,FALSE)</f>
        <v>0</v>
      </c>
      <c r="L125" s="37">
        <f t="shared" si="34"/>
        <v>0</v>
      </c>
      <c r="M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*(1+$BX125)</f>
        <v>0</v>
      </c>
      <c r="N125" s="37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*(1+$BX125)</f>
        <v>0</v>
      </c>
      <c r="O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*(1+$BX125)</f>
        <v>0</v>
      </c>
      <c r="P125" s="37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*(1+$BX125)</f>
        <v>0</v>
      </c>
      <c r="Q125" s="38">
        <v>1</v>
      </c>
      <c r="R125" s="39" t="s">
        <v>84</v>
      </c>
      <c r="S125" s="39" t="s">
        <v>84</v>
      </c>
      <c r="T125" s="39" t="s">
        <v>84</v>
      </c>
      <c r="U125" s="39" t="s">
        <v>84</v>
      </c>
      <c r="V125" s="39" t="s">
        <v>84</v>
      </c>
      <c r="W125" s="39" t="s">
        <v>84</v>
      </c>
      <c r="X125" s="39" t="s">
        <v>84</v>
      </c>
      <c r="Y125" s="39" t="s">
        <v>84</v>
      </c>
      <c r="Z125" s="39" t="s">
        <v>84</v>
      </c>
      <c r="AA125" s="39" t="s">
        <v>84</v>
      </c>
      <c r="AB125" s="39" t="s">
        <v>84</v>
      </c>
      <c r="AC125" s="39" t="s">
        <v>84</v>
      </c>
      <c r="AD125" s="39" t="s">
        <v>84</v>
      </c>
      <c r="AE125" s="39" t="s">
        <v>87</v>
      </c>
      <c r="AF125" s="39" t="s">
        <v>88</v>
      </c>
      <c r="AG125" s="39" t="s">
        <v>84</v>
      </c>
      <c r="AH125" s="39" t="s">
        <v>84</v>
      </c>
      <c r="AI125" s="39" t="s">
        <v>84</v>
      </c>
      <c r="AJ125" s="39" t="s">
        <v>84</v>
      </c>
      <c r="AK125" s="39" t="s">
        <v>84</v>
      </c>
      <c r="AL125" s="39" t="s">
        <v>84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VLOOKUP($R125,武学奇术!$A:$ZZ,27,FALSE)*(1+IF(OR($AM125=$F$4,$AM125=$F$5),$B$22,0))</f>
        <v>0</v>
      </c>
      <c r="AP125" s="24">
        <f>VLOOKUP($R125,武学奇术!$A:$ZZ,28,FALSE)</f>
        <v>0</v>
      </c>
      <c r="AQ125" s="25">
        <f>VLOOKUP($R125,武学奇术!$A:$ZZ,29,FALSE)*(1+IF(OR($AM125=$F$4,$AM125=$F$5),$B$22,0))</f>
        <v>0</v>
      </c>
      <c r="AR125" s="24" cm="1">
        <f t="array" ref="AR125">$G$3+IFERROR(VLOOKUP($AM125,$F$4:$G$7,2,FALSE),0)+VLOOKUP($R125,武学奇术!$A:$ZZ,2,FALSE)+SUM(_xlfn.XLOOKUP($S125:$AL125,增益!$A:$A,增益!$B:$B,0))</f>
        <v>0.1842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4342.95</v>
      </c>
      <c r="AU125" cm="1">
        <f t="array" ref="AU125">$E$10*(1+$AS125)+VLOOKUP($R125,武学奇术!$A:$ZZ,4,FALSE)+SUM(_xlfn.XLOOKUP($S125:$AL125,增益!$A:$A,增益!$D:$D,0))-$I$2</f>
        <v>4342.95</v>
      </c>
      <c r="AV125" s="31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0.2534</v>
      </c>
      <c r="AW125" s="31" cm="1">
        <f t="array" ref="AW125">$G$10+VLOOKUP($R125,武学奇术!$A:$ZZ,7,FALSE)+SUM(_xlfn.XLOOKUP($S125:$AL125,增益!$A:$A,增益!$G:$G,0))</f>
        <v>0</v>
      </c>
      <c r="AX125" s="24" cm="1">
        <f t="array" ref="AX125">VLOOKUP($R125,武学奇术!$A:$ZZ,8,FALSE)+SUM(_xlfn.XLOOKUP($S125:$AL125,增益!$A:$A,增益!$H:$H,0))</f>
        <v>0</v>
      </c>
      <c r="AY125">
        <f t="shared" si="35"/>
        <v>0</v>
      </c>
      <c r="AZ125">
        <f t="shared" si="36"/>
        <v>0</v>
      </c>
      <c r="BA125" s="31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1" cm="1">
        <f t="array" ref="BB125">$G$11+VLOOKUP($R125,武学奇术!$A:$ZZ,10,FALSE)+SUM(_xlfn.XLOOKUP($S125:$AL125,增益!$A:$A,增益!$J:$J,0))</f>
        <v>0</v>
      </c>
      <c r="BC125">
        <f t="shared" si="37"/>
        <v>0</v>
      </c>
      <c r="BD125">
        <f t="shared" si="38"/>
        <v>0</v>
      </c>
      <c r="BE125" s="31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1" cm="1">
        <f t="array" ref="BF125">$G$12+VLOOKUP($R125,武学奇术!$A:$ZZ,12,FALSE)+SUM(_xlfn.XLOOKUP($S125:$AL125,增益!$A:$A,增益!$L:$L,0))</f>
        <v>0</v>
      </c>
      <c r="BG125">
        <f t="shared" si="39"/>
        <v>0</v>
      </c>
      <c r="BH125">
        <f t="shared" si="40"/>
        <v>0</v>
      </c>
      <c r="BI125" s="31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1" cm="1">
        <f t="array" ref="BJ125">$G$13+VLOOKUP($R125,武学奇术!$A:$ZZ,14,FALSE)+SUM(_xlfn.XLOOKUP($S125:$AL125,增益!$A:$A,增益!$N:$N,0))</f>
        <v>0</v>
      </c>
      <c r="BK125">
        <f t="shared" si="41"/>
        <v>649.11</v>
      </c>
      <c r="BL125">
        <f t="shared" si="42"/>
        <v>1812.09</v>
      </c>
      <c r="BM125" s="31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1" cm="1">
        <f t="array" ref="BN125">$G$14+VLOOKUP($R125,武学奇术!$A:$ZZ,16,FALSE)+SUM(_xlfn.XLOOKUP($S125:$AL125,增益!$A:$A,增益!$P:$P,0))</f>
        <v>0.15</v>
      </c>
      <c r="BO125" s="24">
        <f>MIN(IF(VLOOKUP($R125,武学奇术!$A:$ZZ,23,FALSE)=1,100%,$B$8),100%)</f>
        <v>0.9943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0.8985</v>
      </c>
      <c r="BQ125" s="24" cm="1">
        <f t="array" ref="BQ125">1+$B$13+VLOOKUP($R125,武学奇术!$A:$ZZ,18,FALSE)+SUM(_xlfn.XLOOKUP($S125:$AL125,增益!$A:$A,增益!$R:$R,0))</f>
        <v>1.54</v>
      </c>
      <c r="BR125" s="24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43"/>
        <v>0.89337855</v>
      </c>
      <c r="BU125" s="24">
        <f t="shared" si="44"/>
        <v>0.01014186</v>
      </c>
      <c r="BV125" s="24">
        <f>IF(VLOOKUP($R125,武学奇术!$A:$ZZ,22,FALSE)=1,0,(1-$BO125))*(1-$BR125)</f>
        <v>0.00517959000000003</v>
      </c>
      <c r="BW125" s="24" cm="1">
        <f t="array" ref="BW125">SUM(_xlfn.XLOOKUP($S125:$AL125,增益!$A:$A,增益!$W:$W,0))+$I$5</f>
        <v>0.11</v>
      </c>
      <c r="BX125" s="24">
        <f>VLOOKUP($R125,武学奇术!$A:$ZZ,32,FALSE)</f>
        <v>0</v>
      </c>
      <c r="BY125" s="24" cm="1">
        <f t="array" ref="BY125">SUM(_xlfn.XLOOKUP($S125:$AL125,增益!$A:$A,增益!$X:$X,0))</f>
        <v>0</v>
      </c>
    </row>
    <row r="126" spans="2:77">
      <c r="K126" s="37">
        <f>$L126*VLOOKUP($R126,武学奇术!$A:$ZZ,31,FALSE)</f>
        <v>0</v>
      </c>
      <c r="L126" s="37">
        <f t="shared" si="34"/>
        <v>0</v>
      </c>
      <c r="M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*(1+$BX126)</f>
        <v>0</v>
      </c>
      <c r="N126" s="37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*(1+$BX126)</f>
        <v>0</v>
      </c>
      <c r="O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*(1+$BX126)</f>
        <v>0</v>
      </c>
      <c r="P126" s="37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*(1+$BX126)</f>
        <v>0</v>
      </c>
      <c r="Q126" s="38">
        <v>1</v>
      </c>
      <c r="R126" s="39" t="s">
        <v>84</v>
      </c>
      <c r="S126" s="39" t="s">
        <v>84</v>
      </c>
      <c r="T126" s="39" t="s">
        <v>84</v>
      </c>
      <c r="U126" s="39" t="s">
        <v>84</v>
      </c>
      <c r="V126" s="39" t="s">
        <v>84</v>
      </c>
      <c r="W126" s="39" t="s">
        <v>84</v>
      </c>
      <c r="X126" s="39" t="s">
        <v>84</v>
      </c>
      <c r="Y126" s="39" t="s">
        <v>84</v>
      </c>
      <c r="Z126" s="39" t="s">
        <v>84</v>
      </c>
      <c r="AA126" s="39" t="s">
        <v>84</v>
      </c>
      <c r="AB126" s="39" t="s">
        <v>84</v>
      </c>
      <c r="AC126" s="39" t="s">
        <v>84</v>
      </c>
      <c r="AD126" s="39" t="s">
        <v>84</v>
      </c>
      <c r="AE126" s="39" t="s">
        <v>87</v>
      </c>
      <c r="AF126" s="39" t="s">
        <v>88</v>
      </c>
      <c r="AG126" s="39" t="s">
        <v>84</v>
      </c>
      <c r="AH126" s="39" t="s">
        <v>84</v>
      </c>
      <c r="AI126" s="39" t="s">
        <v>84</v>
      </c>
      <c r="AJ126" s="39" t="s">
        <v>84</v>
      </c>
      <c r="AK126" s="39" t="s">
        <v>84</v>
      </c>
      <c r="AL126" s="39" t="s">
        <v>84</v>
      </c>
      <c r="AM126" t="str">
        <f>VLOOKUP($R126,武学奇术!$A:$ZZ,25,FALSE)</f>
        <v>心法</v>
      </c>
      <c r="AN126" s="24">
        <f>VLOOKUP($R126,武学奇术!$A:$ZZ,26,FALSE)</f>
        <v>0</v>
      </c>
      <c r="AO126" s="25">
        <f>VLOOKUP($R126,武学奇术!$A:$ZZ,27,FALSE)*(1+IF(OR($AM126=$F$4,$AM126=$F$5),$B$22,0))</f>
        <v>0</v>
      </c>
      <c r="AP126" s="24">
        <f>VLOOKUP($R126,武学奇术!$A:$ZZ,28,FALSE)</f>
        <v>0</v>
      </c>
      <c r="AQ126" s="25">
        <f>VLOOKUP($R126,武学奇术!$A:$ZZ,29,FALSE)*(1+IF(OR($AM126=$F$4,$AM126=$F$5),$B$22,0))</f>
        <v>0</v>
      </c>
      <c r="AR126" s="24" cm="1">
        <f t="array" ref="AR126">$G$3+IFERROR(VLOOKUP($AM126,$F$4:$G$7,2,FALSE),0)+VLOOKUP($R126,武学奇术!$A:$ZZ,2,FALSE)+SUM(_xlfn.XLOOKUP($S126:$AL126,增益!$A:$A,增益!$B:$B,0))</f>
        <v>0.1842</v>
      </c>
      <c r="AS126" s="24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4342.95</v>
      </c>
      <c r="AU126" cm="1">
        <f t="array" ref="AU126">$E$10*(1+$AS126)+VLOOKUP($R126,武学奇术!$A:$ZZ,4,FALSE)+SUM(_xlfn.XLOOKUP($S126:$AL126,增益!$A:$A,增益!$D:$D,0))-$I$2</f>
        <v>4342.95</v>
      </c>
      <c r="AV126" s="31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0.2534</v>
      </c>
      <c r="AW126" s="31" cm="1">
        <f t="array" ref="AW126">$G$10+VLOOKUP($R126,武学奇术!$A:$ZZ,7,FALSE)+SUM(_xlfn.XLOOKUP($S126:$AL126,增益!$A:$A,增益!$G:$G,0))</f>
        <v>0</v>
      </c>
      <c r="AX126" s="24" cm="1">
        <f t="array" ref="AX126">VLOOKUP($R126,武学奇术!$A:$ZZ,8,FALSE)+SUM(_xlfn.XLOOKUP($S126:$AL126,增益!$A:$A,增益!$H:$H,0))</f>
        <v>0</v>
      </c>
      <c r="AY126">
        <f t="shared" si="35"/>
        <v>0</v>
      </c>
      <c r="AZ126">
        <f t="shared" si="36"/>
        <v>0</v>
      </c>
      <c r="BA126" s="31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1" cm="1">
        <f t="array" ref="BB126">$G$11+VLOOKUP($R126,武学奇术!$A:$ZZ,10,FALSE)+SUM(_xlfn.XLOOKUP($S126:$AL126,增益!$A:$A,增益!$J:$J,0))</f>
        <v>0</v>
      </c>
      <c r="BC126">
        <f t="shared" si="37"/>
        <v>0</v>
      </c>
      <c r="BD126">
        <f t="shared" si="38"/>
        <v>0</v>
      </c>
      <c r="BE126" s="31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1" cm="1">
        <f t="array" ref="BF126">$G$12+VLOOKUP($R126,武学奇术!$A:$ZZ,12,FALSE)+SUM(_xlfn.XLOOKUP($S126:$AL126,增益!$A:$A,增益!$L:$L,0))</f>
        <v>0</v>
      </c>
      <c r="BG126">
        <f t="shared" si="39"/>
        <v>0</v>
      </c>
      <c r="BH126">
        <f t="shared" si="40"/>
        <v>0</v>
      </c>
      <c r="BI126" s="31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1" cm="1">
        <f t="array" ref="BJ126">$G$13+VLOOKUP($R126,武学奇术!$A:$ZZ,14,FALSE)+SUM(_xlfn.XLOOKUP($S126:$AL126,增益!$A:$A,增益!$N:$N,0))</f>
        <v>0</v>
      </c>
      <c r="BK126">
        <f t="shared" si="41"/>
        <v>649.11</v>
      </c>
      <c r="BL126">
        <f t="shared" si="42"/>
        <v>1812.09</v>
      </c>
      <c r="BM126" s="31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1" cm="1">
        <f t="array" ref="BN126">$G$14+VLOOKUP($R126,武学奇术!$A:$ZZ,16,FALSE)+SUM(_xlfn.XLOOKUP($S126:$AL126,增益!$A:$A,增益!$P:$P,0))</f>
        <v>0.15</v>
      </c>
      <c r="BO126" s="24">
        <f>MIN(IF(VLOOKUP($R126,武学奇术!$A:$ZZ,23,FALSE)=1,100%,$B$8),100%)</f>
        <v>0.9943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0.8985</v>
      </c>
      <c r="BQ126" s="24" cm="1">
        <f t="array" ref="BQ126">1+$B$13+VLOOKUP($R126,武学奇术!$A:$ZZ,18,FALSE)+SUM(_xlfn.XLOOKUP($S126:$AL126,增益!$A:$A,增益!$R:$R,0))</f>
        <v>1.54</v>
      </c>
      <c r="BR126" s="24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43"/>
        <v>0.89337855</v>
      </c>
      <c r="BU126" s="24">
        <f t="shared" si="44"/>
        <v>0.01014186</v>
      </c>
      <c r="BV126" s="24">
        <f>IF(VLOOKUP($R126,武学奇术!$A:$ZZ,22,FALSE)=1,0,(1-$BO126))*(1-$BR126)</f>
        <v>0.00517959000000003</v>
      </c>
      <c r="BW126" s="24" cm="1">
        <f t="array" ref="BW126">SUM(_xlfn.XLOOKUP($S126:$AL126,增益!$A:$A,增益!$W:$W,0))+$I$5</f>
        <v>0.11</v>
      </c>
      <c r="BX126" s="24">
        <f>VLOOKUP($R126,武学奇术!$A:$ZZ,32,FALSE)</f>
        <v>0</v>
      </c>
      <c r="BY126" s="24" cm="1">
        <f t="array" ref="BY126">SUM(_xlfn.XLOOKUP($S126:$AL126,增益!$A:$A,增益!$X:$X,0))</f>
        <v>0</v>
      </c>
    </row>
    <row r="127" spans="2:77">
      <c r="K127" s="37">
        <f>$L127*VLOOKUP($R127,武学奇术!$A:$ZZ,31,FALSE)</f>
        <v>17903.8737528809</v>
      </c>
      <c r="L127" s="37">
        <f t="shared" si="34"/>
        <v>17903.8737528809</v>
      </c>
      <c r="M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*(1+$BX127)</f>
        <v>18206.3003290687</v>
      </c>
      <c r="N127" s="37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*(1+$BX127)</f>
        <v>16181.1211368296</v>
      </c>
      <c r="O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*(1+$BX127)</f>
        <v>10901.9762449513</v>
      </c>
      <c r="P127" s="37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*(1+$BX127)</f>
        <v>9817.93683299181</v>
      </c>
      <c r="Q127" s="38">
        <f t="shared" ref="Q127:Q136" si="45">IF($E$24="易水歌",1,0)</f>
        <v>1</v>
      </c>
      <c r="R127" s="39" t="s">
        <v>209</v>
      </c>
      <c r="S127" s="39" t="s">
        <v>104</v>
      </c>
      <c r="T127" s="39" t="s">
        <v>99</v>
      </c>
      <c r="U127" s="39" t="s">
        <v>81</v>
      </c>
      <c r="V127" s="39" t="s">
        <v>130</v>
      </c>
      <c r="W127" s="39" t="s">
        <v>83</v>
      </c>
      <c r="X127" s="39" t="s">
        <v>84</v>
      </c>
      <c r="Y127" s="39" t="s">
        <v>85</v>
      </c>
      <c r="Z127" s="39" t="s">
        <v>84</v>
      </c>
      <c r="AA127" s="39" t="s">
        <v>84</v>
      </c>
      <c r="AB127" s="39" t="s">
        <v>86</v>
      </c>
      <c r="AC127" s="39" t="s">
        <v>100</v>
      </c>
      <c r="AD127" s="39" t="s">
        <v>84</v>
      </c>
      <c r="AE127" s="39" t="s">
        <v>87</v>
      </c>
      <c r="AF127" s="39" t="s">
        <v>88</v>
      </c>
      <c r="AG127" s="39" t="s">
        <v>84</v>
      </c>
      <c r="AH127" s="39" t="s">
        <v>84</v>
      </c>
      <c r="AI127" s="39" t="s">
        <v>84</v>
      </c>
      <c r="AJ127" s="39" t="s">
        <v>84</v>
      </c>
      <c r="AK127" s="39" t="s">
        <v>84</v>
      </c>
      <c r="AL127" s="39" t="s">
        <v>84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VLOOKUP($R127,武学奇术!$A:$ZZ,27,FALSE)*(1+IF(OR($AM127=$F$4,$AM127=$F$5),$B$22,0))</f>
        <v>0</v>
      </c>
      <c r="AP127" s="24">
        <f>VLOOKUP($R127,武学奇术!$A:$ZZ,28,FALSE)</f>
        <v>1</v>
      </c>
      <c r="AQ127" s="25">
        <f>VLOOKUP($R127,武学奇术!$A:$ZZ,29,FALSE)*(1+IF(OR($AM127=$F$4,$AM127=$F$5),$B$22,0))</f>
        <v>0</v>
      </c>
      <c r="AR127" s="24" cm="1">
        <f t="array" ref="AR127">$G$3+IFERROR(VLOOKUP($AM127,$F$4:$G$7,2,FALSE),0)+VLOOKUP($R127,武学奇术!$A:$ZZ,2,FALSE)+SUM(_xlfn.XLOOKUP($S127:$AL127,增益!$A:$A,增益!$B:$B,0))</f>
        <v>0.2342</v>
      </c>
      <c r="AS127" s="24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4342.95</v>
      </c>
      <c r="AU127" cm="1">
        <f t="array" ref="AU127">$E$10*(1+$AS127)+VLOOKUP($R127,武学奇术!$A:$ZZ,4,FALSE)+SUM(_xlfn.XLOOKUP($S127:$AL127,增益!$A:$A,增益!$D:$D,0))-$I$2</f>
        <v>4342.95</v>
      </c>
      <c r="AV127" s="31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0.3034</v>
      </c>
      <c r="AW127" s="31" cm="1">
        <f t="array" ref="AW127">$G$10+VLOOKUP($R127,武学奇术!$A:$ZZ,7,FALSE)+SUM(_xlfn.XLOOKUP($S127:$AL127,增益!$A:$A,增益!$G:$G,0))</f>
        <v>0.11</v>
      </c>
      <c r="AX127" s="24" cm="1">
        <f t="array" ref="AX127">VLOOKUP($R127,武学奇术!$A:$ZZ,8,FALSE)+SUM(_xlfn.XLOOKUP($S127:$AL127,增益!$A:$A,增益!$H:$H,0))</f>
        <v>0</v>
      </c>
      <c r="AY127">
        <f t="shared" si="35"/>
        <v>0</v>
      </c>
      <c r="AZ127">
        <f t="shared" si="36"/>
        <v>0</v>
      </c>
      <c r="BA127" s="31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-0.14</v>
      </c>
      <c r="BB127" s="31" cm="1">
        <f t="array" ref="BB127">$G$11+VLOOKUP($R127,武学奇术!$A:$ZZ,10,FALSE)+SUM(_xlfn.XLOOKUP($S127:$AL127,增益!$A:$A,增益!$J:$J,0))</f>
        <v>0.02</v>
      </c>
      <c r="BC127">
        <f t="shared" si="37"/>
        <v>0</v>
      </c>
      <c r="BD127">
        <f t="shared" si="38"/>
        <v>0</v>
      </c>
      <c r="BE127" s="31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-0.14</v>
      </c>
      <c r="BF127" s="31" cm="1">
        <f t="array" ref="BF127">$G$12+VLOOKUP($R127,武学奇术!$A:$ZZ,12,FALSE)+SUM(_xlfn.XLOOKUP($S127:$AL127,增益!$A:$A,增益!$L:$L,0))</f>
        <v>0.02</v>
      </c>
      <c r="BG127">
        <f t="shared" si="39"/>
        <v>0</v>
      </c>
      <c r="BH127">
        <f t="shared" si="40"/>
        <v>0</v>
      </c>
      <c r="BI127" s="31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-0.14</v>
      </c>
      <c r="BJ127" s="31" cm="1">
        <f t="array" ref="BJ127">$G$13+VLOOKUP($R127,武学奇术!$A:$ZZ,14,FALSE)+SUM(_xlfn.XLOOKUP($S127:$AL127,增益!$A:$A,增益!$N:$N,0))</f>
        <v>0.02</v>
      </c>
      <c r="BK127">
        <f t="shared" si="41"/>
        <v>649.11</v>
      </c>
      <c r="BL127">
        <f t="shared" si="42"/>
        <v>1812.09</v>
      </c>
      <c r="BM127" s="31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0.08</v>
      </c>
      <c r="BN127" s="31" cm="1">
        <f t="array" ref="BN127">$G$14+VLOOKUP($R127,武学奇术!$A:$ZZ,16,FALSE)+SUM(_xlfn.XLOOKUP($S127:$AL127,增益!$A:$A,增益!$P:$P,0))</f>
        <v>0.26</v>
      </c>
      <c r="BO127" s="24">
        <f>MIN(IF(VLOOKUP($R127,武学奇术!$A:$ZZ,23,FALSE)=1,100%,$B$8),100%)</f>
        <v>0.9943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0.8985</v>
      </c>
      <c r="BQ127" s="24" cm="1">
        <f t="array" ref="BQ127">1+$B$13+VLOOKUP($R127,武学奇术!$A:$ZZ,18,FALSE)+SUM(_xlfn.XLOOKUP($S127:$AL127,增益!$A:$A,增益!$R:$R,0))</f>
        <v>1.67</v>
      </c>
      <c r="BR127" s="24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43"/>
        <v>0.89337855</v>
      </c>
      <c r="BU127" s="24">
        <f t="shared" si="44"/>
        <v>0.01014186</v>
      </c>
      <c r="BV127" s="24">
        <f>IF(VLOOKUP($R127,武学奇术!$A:$ZZ,22,FALSE)=1,0,(1-$BO127))*(1-$BR127)</f>
        <v>0.00517959000000003</v>
      </c>
      <c r="BW127" s="24" cm="1">
        <f t="array" ref="BW127">SUM(_xlfn.XLOOKUP($S127:$AL127,增益!$A:$A,增益!$W:$W,0))+$I$5</f>
        <v>0.11</v>
      </c>
      <c r="BX127" s="24">
        <f>VLOOKUP($R127,武学奇术!$A:$ZZ,32,FALSE)</f>
        <v>0</v>
      </c>
      <c r="BY127" s="24" cm="1">
        <f t="array" ref="BY127">SUM(_xlfn.XLOOKUP($S127:$AL127,增益!$A:$A,增益!$X:$X,0))</f>
        <v>0</v>
      </c>
    </row>
    <row r="128" spans="2:77">
      <c r="B128" s="95"/>
      <c r="K128" s="37">
        <f>$L128*VLOOKUP($R128,武学奇术!$A:$ZZ,31,FALSE)</f>
        <v>15693.7314754121</v>
      </c>
      <c r="L128" s="37">
        <f t="shared" si="34"/>
        <v>15693.7314754121</v>
      </c>
      <c r="M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*(1+$BX128)</f>
        <v>15910.6293881396</v>
      </c>
      <c r="N128" s="37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*(1+$BX128)</f>
        <v>14599.4710093713</v>
      </c>
      <c r="O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*(1+$BX128)</f>
        <v>9882.37850195008</v>
      </c>
      <c r="P128" s="37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*(1+$BX128)</f>
        <v>8950.33403399548</v>
      </c>
      <c r="Q128" s="38">
        <f t="shared" si="45"/>
        <v>1</v>
      </c>
      <c r="R128" s="39" t="s">
        <v>209</v>
      </c>
      <c r="S128" s="39" t="s">
        <v>104</v>
      </c>
      <c r="T128" s="39" t="s">
        <v>175</v>
      </c>
      <c r="U128" s="39" t="s">
        <v>81</v>
      </c>
      <c r="V128" s="39" t="s">
        <v>84</v>
      </c>
      <c r="W128" s="39" t="s">
        <v>84</v>
      </c>
      <c r="X128" s="39" t="s">
        <v>84</v>
      </c>
      <c r="Y128" s="39" t="s">
        <v>84</v>
      </c>
      <c r="Z128" s="39" t="s">
        <v>84</v>
      </c>
      <c r="AA128" s="39" t="s">
        <v>84</v>
      </c>
      <c r="AB128" s="39" t="s">
        <v>171</v>
      </c>
      <c r="AC128" s="39" t="s">
        <v>92</v>
      </c>
      <c r="AD128" s="39" t="s">
        <v>84</v>
      </c>
      <c r="AE128" s="39" t="s">
        <v>87</v>
      </c>
      <c r="AF128" s="39" t="s">
        <v>88</v>
      </c>
      <c r="AG128" s="39" t="s">
        <v>84</v>
      </c>
      <c r="AH128" s="39" t="s">
        <v>84</v>
      </c>
      <c r="AI128" s="39" t="s">
        <v>84</v>
      </c>
      <c r="AJ128" s="39" t="s">
        <v>84</v>
      </c>
      <c r="AK128" s="39" t="s">
        <v>84</v>
      </c>
      <c r="AL128" s="39" t="s">
        <v>84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VLOOKUP($R128,武学奇术!$A:$ZZ,27,FALSE)*(1+IF(OR($AM128=$F$4,$AM128=$F$5),$B$22,0))</f>
        <v>0</v>
      </c>
      <c r="AP128" s="24">
        <f>VLOOKUP($R128,武学奇术!$A:$ZZ,28,FALSE)</f>
        <v>1</v>
      </c>
      <c r="AQ128" s="25">
        <f>VLOOKUP($R128,武学奇术!$A:$ZZ,29,FALSE)*(1+IF(OR($AM128=$F$4,$AM128=$F$5),$B$22,0))</f>
        <v>0</v>
      </c>
      <c r="AR128" s="24" cm="1">
        <f t="array" ref="AR128">$G$3+IFERROR(VLOOKUP($AM128,$F$4:$G$7,2,FALSE),0)+VLOOKUP($R128,武学奇术!$A:$ZZ,2,FALSE)+SUM(_xlfn.XLOOKUP($S128:$AL128,增益!$A:$A,增益!$B:$B,0))</f>
        <v>0.2342</v>
      </c>
      <c r="AS128" s="24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4342.95</v>
      </c>
      <c r="AU128" cm="1">
        <f t="array" ref="AU128">$E$10*(1+$AS128)+VLOOKUP($R128,武学奇术!$A:$ZZ,4,FALSE)+SUM(_xlfn.XLOOKUP($S128:$AL128,增益!$A:$A,增益!$D:$D,0))-$I$2</f>
        <v>4342.95</v>
      </c>
      <c r="AV128" s="31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0.3034</v>
      </c>
      <c r="AW128" s="31" cm="1">
        <f t="array" ref="AW128">$G$10+VLOOKUP($R128,武学奇术!$A:$ZZ,7,FALSE)+SUM(_xlfn.XLOOKUP($S128:$AL128,增益!$A:$A,增益!$G:$G,0))</f>
        <v>0.02</v>
      </c>
      <c r="AX128" s="24" cm="1">
        <f t="array" ref="AX128">VLOOKUP($R128,武学奇术!$A:$ZZ,8,FALSE)+SUM(_xlfn.XLOOKUP($S128:$AL128,增益!$A:$A,增益!$H:$H,0))</f>
        <v>0</v>
      </c>
      <c r="AY128">
        <f t="shared" si="35"/>
        <v>0</v>
      </c>
      <c r="AZ128">
        <f t="shared" si="36"/>
        <v>0</v>
      </c>
      <c r="BA128" s="31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1" cm="1">
        <f t="array" ref="BB128">$G$11+VLOOKUP($R128,武学奇术!$A:$ZZ,10,FALSE)+SUM(_xlfn.XLOOKUP($S128:$AL128,增益!$A:$A,增益!$J:$J,0))</f>
        <v>0.02</v>
      </c>
      <c r="BC128">
        <f t="shared" si="37"/>
        <v>0</v>
      </c>
      <c r="BD128">
        <f t="shared" si="38"/>
        <v>0</v>
      </c>
      <c r="BE128" s="31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1" cm="1">
        <f t="array" ref="BF128">$G$12+VLOOKUP($R128,武学奇术!$A:$ZZ,12,FALSE)+SUM(_xlfn.XLOOKUP($S128:$AL128,增益!$A:$A,增益!$L:$L,0))</f>
        <v>0.02</v>
      </c>
      <c r="BG128">
        <f t="shared" si="39"/>
        <v>0</v>
      </c>
      <c r="BH128">
        <f t="shared" si="40"/>
        <v>0</v>
      </c>
      <c r="BI128" s="31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1" cm="1">
        <f t="array" ref="BJ128">$G$13+VLOOKUP($R128,武学奇术!$A:$ZZ,14,FALSE)+SUM(_xlfn.XLOOKUP($S128:$AL128,增益!$A:$A,增益!$N:$N,0))</f>
        <v>0.02</v>
      </c>
      <c r="BK128">
        <f t="shared" si="41"/>
        <v>649.11</v>
      </c>
      <c r="BL128">
        <f t="shared" si="42"/>
        <v>1812.09</v>
      </c>
      <c r="BM128" s="31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1" cm="1">
        <f t="array" ref="BN128">$G$14+VLOOKUP($R128,武学奇术!$A:$ZZ,16,FALSE)+SUM(_xlfn.XLOOKUP($S128:$AL128,增益!$A:$A,增益!$P:$P,0))</f>
        <v>0.17</v>
      </c>
      <c r="BO128" s="24">
        <f>MIN(IF(VLOOKUP($R128,武学奇术!$A:$ZZ,23,FALSE)=1,100%,$B$8),100%)</f>
        <v>0.9943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0.8985</v>
      </c>
      <c r="BQ128" s="24" cm="1">
        <f t="array" ref="BQ128">1+$B$13+VLOOKUP($R128,武学奇术!$A:$ZZ,18,FALSE)+SUM(_xlfn.XLOOKUP($S128:$AL128,增益!$A:$A,增益!$R:$R,0))</f>
        <v>1.61</v>
      </c>
      <c r="BR128" s="24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43"/>
        <v>0.89337855</v>
      </c>
      <c r="BU128" s="24">
        <f t="shared" si="44"/>
        <v>0.01014186</v>
      </c>
      <c r="BV128" s="24">
        <f>IF(VLOOKUP($R128,武学奇术!$A:$ZZ,22,FALSE)=1,0,(1-$BO128))*(1-$BR128)</f>
        <v>0.00517959000000003</v>
      </c>
      <c r="BW128" s="24" cm="1">
        <f t="array" ref="BW128">SUM(_xlfn.XLOOKUP($S128:$AL128,增益!$A:$A,增益!$W:$W,0))+$I$5</f>
        <v>0.11</v>
      </c>
      <c r="BX128" s="24">
        <f>VLOOKUP($R128,武学奇术!$A:$ZZ,32,FALSE)</f>
        <v>0</v>
      </c>
      <c r="BY128" s="24" cm="1">
        <f t="array" ref="BY128">SUM(_xlfn.XLOOKUP($S128:$AL128,增益!$A:$A,增益!$X:$X,0))</f>
        <v>0</v>
      </c>
    </row>
    <row r="129" spans="2:77">
      <c r="K129" s="37">
        <f>$L129*VLOOKUP($R129,武学奇术!$A:$ZZ,31,FALSE)</f>
        <v>18585.6451739703</v>
      </c>
      <c r="L129" s="37">
        <f t="shared" si="34"/>
        <v>18585.6451739703</v>
      </c>
      <c r="M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*(1+$BX129)</f>
        <v>18969.4386662153</v>
      </c>
      <c r="N129" s="37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*(1+$BX129)</f>
        <v>16181.1211368296</v>
      </c>
      <c r="O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*(1+$BX129)</f>
        <v>10901.9762449513</v>
      </c>
      <c r="P129" s="37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*(1+$BX129)</f>
        <v>9817.93683299181</v>
      </c>
      <c r="Q129" s="38">
        <f t="shared" si="45"/>
        <v>1</v>
      </c>
      <c r="R129" s="39" t="s">
        <v>209</v>
      </c>
      <c r="S129" s="39" t="s">
        <v>104</v>
      </c>
      <c r="T129" s="39" t="s">
        <v>194</v>
      </c>
      <c r="U129" s="39" t="s">
        <v>81</v>
      </c>
      <c r="V129" s="39" t="s">
        <v>130</v>
      </c>
      <c r="W129" s="39" t="s">
        <v>83</v>
      </c>
      <c r="X129" s="39" t="s">
        <v>84</v>
      </c>
      <c r="Y129" s="39" t="s">
        <v>85</v>
      </c>
      <c r="Z129" s="39" t="s">
        <v>84</v>
      </c>
      <c r="AA129" s="39" t="s">
        <v>84</v>
      </c>
      <c r="AB129" s="39" t="s">
        <v>187</v>
      </c>
      <c r="AC129" s="39" t="s">
        <v>100</v>
      </c>
      <c r="AD129" s="39" t="s">
        <v>84</v>
      </c>
      <c r="AE129" s="39" t="s">
        <v>87</v>
      </c>
      <c r="AF129" s="39" t="s">
        <v>88</v>
      </c>
      <c r="AG129" s="39" t="s">
        <v>84</v>
      </c>
      <c r="AH129" s="39" t="s">
        <v>84</v>
      </c>
      <c r="AI129" s="39" t="s">
        <v>84</v>
      </c>
      <c r="AJ129" s="39" t="s">
        <v>84</v>
      </c>
      <c r="AK129" s="39" t="s">
        <v>84</v>
      </c>
      <c r="AL129" s="39" t="s">
        <v>84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VLOOKUP($R129,武学奇术!$A:$ZZ,27,FALSE)*(1+IF(OR($AM129=$F$4,$AM129=$F$5),$B$22,0))</f>
        <v>0</v>
      </c>
      <c r="AP129" s="24">
        <f>VLOOKUP($R129,武学奇术!$A:$ZZ,28,FALSE)</f>
        <v>1</v>
      </c>
      <c r="AQ129" s="25">
        <f>VLOOKUP($R129,武学奇术!$A:$ZZ,29,FALSE)*(1+IF(OR($AM129=$F$4,$AM129=$F$5),$B$22,0))</f>
        <v>0</v>
      </c>
      <c r="AR129" s="24" cm="1">
        <f t="array" ref="AR129">$G$3+IFERROR(VLOOKUP($AM129,$F$4:$G$7,2,FALSE),0)+VLOOKUP($R129,武学奇术!$A:$ZZ,2,FALSE)+SUM(_xlfn.XLOOKUP($S129:$AL129,增益!$A:$A,增益!$B:$B,0))</f>
        <v>0.2342</v>
      </c>
      <c r="AS129" s="24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4342.95</v>
      </c>
      <c r="AU129" cm="1">
        <f t="array" ref="AU129">$E$10*(1+$AS129)+VLOOKUP($R129,武学奇术!$A:$ZZ,4,FALSE)+SUM(_xlfn.XLOOKUP($S129:$AL129,增益!$A:$A,增益!$D:$D,0))-$I$2</f>
        <v>4342.95</v>
      </c>
      <c r="AV129" s="31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0.3034</v>
      </c>
      <c r="AW129" s="31" cm="1">
        <f t="array" ref="AW129">$G$10+VLOOKUP($R129,武学奇术!$A:$ZZ,7,FALSE)+SUM(_xlfn.XLOOKUP($S129:$AL129,增益!$A:$A,增益!$G:$G,0))</f>
        <v>0.11</v>
      </c>
      <c r="AX129" s="24" cm="1">
        <f t="array" ref="AX129">VLOOKUP($R129,武学奇术!$A:$ZZ,8,FALSE)+SUM(_xlfn.XLOOKUP($S129:$AL129,增益!$A:$A,增益!$H:$H,0))</f>
        <v>0</v>
      </c>
      <c r="AY129">
        <f t="shared" si="35"/>
        <v>0</v>
      </c>
      <c r="AZ129">
        <f t="shared" si="36"/>
        <v>0</v>
      </c>
      <c r="BA129" s="31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</v>
      </c>
      <c r="BB129" s="31" cm="1">
        <f t="array" ref="BB129">$G$11+VLOOKUP($R129,武学奇术!$A:$ZZ,10,FALSE)+SUM(_xlfn.XLOOKUP($S129:$AL129,增益!$A:$A,增益!$J:$J,0))</f>
        <v>0.02</v>
      </c>
      <c r="BC129">
        <f t="shared" si="37"/>
        <v>0</v>
      </c>
      <c r="BD129">
        <f t="shared" si="38"/>
        <v>0</v>
      </c>
      <c r="BE129" s="31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</v>
      </c>
      <c r="BF129" s="31" cm="1">
        <f t="array" ref="BF129">$G$12+VLOOKUP($R129,武学奇术!$A:$ZZ,12,FALSE)+SUM(_xlfn.XLOOKUP($S129:$AL129,增益!$A:$A,增益!$L:$L,0))</f>
        <v>0.02</v>
      </c>
      <c r="BG129">
        <f t="shared" si="39"/>
        <v>0</v>
      </c>
      <c r="BH129">
        <f t="shared" si="40"/>
        <v>0</v>
      </c>
      <c r="BI129" s="31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</v>
      </c>
      <c r="BJ129" s="31" cm="1">
        <f t="array" ref="BJ129">$G$13+VLOOKUP($R129,武学奇术!$A:$ZZ,14,FALSE)+SUM(_xlfn.XLOOKUP($S129:$AL129,增益!$A:$A,增益!$N:$N,0))</f>
        <v>0.02</v>
      </c>
      <c r="BK129">
        <f t="shared" si="41"/>
        <v>649.11</v>
      </c>
      <c r="BL129">
        <f t="shared" si="42"/>
        <v>1812.09</v>
      </c>
      <c r="BM129" s="31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31" cm="1">
        <f t="array" ref="BN129">$G$14+VLOOKUP($R129,武学奇术!$A:$ZZ,16,FALSE)+SUM(_xlfn.XLOOKUP($S129:$AL129,增益!$A:$A,增益!$P:$P,0))</f>
        <v>0.26</v>
      </c>
      <c r="BO129" s="24">
        <f>MIN(IF(VLOOKUP($R129,武学奇术!$A:$ZZ,23,FALSE)=1,100%,$B$8),100%)</f>
        <v>0.9943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0.8985</v>
      </c>
      <c r="BQ129" s="24" cm="1">
        <f t="array" ref="BQ129">1+$B$13+VLOOKUP($R129,武学奇术!$A:$ZZ,18,FALSE)+SUM(_xlfn.XLOOKUP($S129:$AL129,增益!$A:$A,增益!$R:$R,0))</f>
        <v>1.74</v>
      </c>
      <c r="BR129" s="24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43"/>
        <v>0.89337855</v>
      </c>
      <c r="BU129" s="24">
        <f t="shared" si="44"/>
        <v>0.01014186</v>
      </c>
      <c r="BV129" s="24">
        <f>IF(VLOOKUP($R129,武学奇术!$A:$ZZ,22,FALSE)=1,0,(1-$BO129))*(1-$BR129)</f>
        <v>0.00517959000000003</v>
      </c>
      <c r="BW129" s="24" cm="1">
        <f t="array" ref="BW129">SUM(_xlfn.XLOOKUP($S129:$AL129,增益!$A:$A,增益!$W:$W,0))+$I$5</f>
        <v>0.11</v>
      </c>
      <c r="BX129" s="24">
        <f>VLOOKUP($R129,武学奇术!$A:$ZZ,32,FALSE)</f>
        <v>0</v>
      </c>
      <c r="BY129" s="24" cm="1">
        <f t="array" ref="BY129">SUM(_xlfn.XLOOKUP($S129:$AL129,增益!$A:$A,增益!$X:$X,0))</f>
        <v>0</v>
      </c>
    </row>
    <row r="130" spans="2:77">
      <c r="K130" s="37">
        <f>$L130*VLOOKUP($R130,武学奇术!$A:$ZZ,31,FALSE)</f>
        <v>26279.5651010506</v>
      </c>
      <c r="L130" s="37">
        <f t="shared" si="34"/>
        <v>26279.5651010506</v>
      </c>
      <c r="M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*(1+$BX130)</f>
        <v>27143.6008902312</v>
      </c>
      <c r="N130" s="37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*(1+$BX130)</f>
        <v>20013.2028895867</v>
      </c>
      <c r="O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*(1+$BX130)</f>
        <v>13640.0004473524</v>
      </c>
      <c r="P130" s="37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*(1+$BX130)</f>
        <v>12455.4061616776</v>
      </c>
      <c r="Q130" s="38">
        <f t="shared" si="45"/>
        <v>1</v>
      </c>
      <c r="R130" s="39" t="s">
        <v>209</v>
      </c>
      <c r="S130" s="39" t="s">
        <v>104</v>
      </c>
      <c r="T130" s="39" t="s">
        <v>194</v>
      </c>
      <c r="U130" s="39" t="s">
        <v>81</v>
      </c>
      <c r="V130" s="39" t="s">
        <v>130</v>
      </c>
      <c r="W130" s="39" t="s">
        <v>83</v>
      </c>
      <c r="X130" s="39" t="s">
        <v>84</v>
      </c>
      <c r="Y130" s="39" t="s">
        <v>84</v>
      </c>
      <c r="Z130" s="39" t="s">
        <v>195</v>
      </c>
      <c r="AA130" s="39" t="s">
        <v>196</v>
      </c>
      <c r="AB130" s="39" t="s">
        <v>197</v>
      </c>
      <c r="AC130" s="39" t="s">
        <v>92</v>
      </c>
      <c r="AD130" s="39" t="s">
        <v>93</v>
      </c>
      <c r="AE130" s="39" t="s">
        <v>87</v>
      </c>
      <c r="AF130" s="39" t="s">
        <v>88</v>
      </c>
      <c r="AG130" s="39" t="s">
        <v>84</v>
      </c>
      <c r="AH130" s="39" t="s">
        <v>84</v>
      </c>
      <c r="AI130" s="39" t="s">
        <v>84</v>
      </c>
      <c r="AJ130" s="39" t="s">
        <v>84</v>
      </c>
      <c r="AK130" s="39" t="s">
        <v>84</v>
      </c>
      <c r="AL130" s="39" t="s">
        <v>84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VLOOKUP($R130,武学奇术!$A:$ZZ,27,FALSE)*(1+IF(OR($AM130=$F$4,$AM130=$F$5),$B$22,0))</f>
        <v>0</v>
      </c>
      <c r="AP130" s="24">
        <f>VLOOKUP($R130,武学奇术!$A:$ZZ,28,FALSE)</f>
        <v>1</v>
      </c>
      <c r="AQ130" s="25">
        <f>VLOOKUP($R130,武学奇术!$A:$ZZ,29,FALSE)*(1+IF(OR($AM130=$F$4,$AM130=$F$5),$B$22,0))</f>
        <v>0</v>
      </c>
      <c r="AR130" s="24" cm="1">
        <f t="array" ref="AR130">$G$3+IFERROR(VLOOKUP($AM130,$F$4:$G$7,2,FALSE),0)+VLOOKUP($R130,武学奇术!$A:$ZZ,2,FALSE)+SUM(_xlfn.XLOOKUP($S130:$AL130,增益!$A:$A,增益!$B:$B,0))</f>
        <v>0.2342</v>
      </c>
      <c r="AS130" s="24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4342.95</v>
      </c>
      <c r="AU130" cm="1">
        <f t="array" ref="AU130">$E$10*(1+$AS130)+VLOOKUP($R130,武学奇术!$A:$ZZ,4,FALSE)+SUM(_xlfn.XLOOKUP($S130:$AL130,增益!$A:$A,增益!$D:$D,0))-$I$2</f>
        <v>4342.95</v>
      </c>
      <c r="AV130" s="31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0.4284</v>
      </c>
      <c r="AW130" s="31" cm="1">
        <f t="array" ref="AW130">$G$10+VLOOKUP($R130,武学奇术!$A:$ZZ,7,FALSE)+SUM(_xlfn.XLOOKUP($S130:$AL130,增益!$A:$A,增益!$G:$G,0))</f>
        <v>0.11</v>
      </c>
      <c r="AX130" s="24" cm="1">
        <f t="array" ref="AX130">VLOOKUP($R130,武学奇术!$A:$ZZ,8,FALSE)+SUM(_xlfn.XLOOKUP($S130:$AL130,增益!$A:$A,增益!$H:$H,0))</f>
        <v>0</v>
      </c>
      <c r="AY130">
        <f t="shared" si="35"/>
        <v>0</v>
      </c>
      <c r="AZ130">
        <f t="shared" si="36"/>
        <v>0</v>
      </c>
      <c r="BA130" s="31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1" cm="1">
        <f t="array" ref="BB130">$G$11+VLOOKUP($R130,武学奇术!$A:$ZZ,10,FALSE)+SUM(_xlfn.XLOOKUP($S130:$AL130,增益!$A:$A,增益!$J:$J,0))</f>
        <v>0.12</v>
      </c>
      <c r="BC130">
        <f t="shared" si="37"/>
        <v>0</v>
      </c>
      <c r="BD130">
        <f t="shared" si="38"/>
        <v>0</v>
      </c>
      <c r="BE130" s="31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1" cm="1">
        <f t="array" ref="BF130">$G$12+VLOOKUP($R130,武学奇术!$A:$ZZ,12,FALSE)+SUM(_xlfn.XLOOKUP($S130:$AL130,增益!$A:$A,增益!$L:$L,0))</f>
        <v>0.02</v>
      </c>
      <c r="BG130">
        <f t="shared" si="39"/>
        <v>0</v>
      </c>
      <c r="BH130">
        <f t="shared" si="40"/>
        <v>0</v>
      </c>
      <c r="BI130" s="31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1" cm="1">
        <f t="array" ref="BJ130">$G$13+VLOOKUP($R130,武学奇术!$A:$ZZ,14,FALSE)+SUM(_xlfn.XLOOKUP($S130:$AL130,增益!$A:$A,增益!$N:$N,0))</f>
        <v>0.02</v>
      </c>
      <c r="BK130">
        <f t="shared" si="41"/>
        <v>649.11</v>
      </c>
      <c r="BL130">
        <f t="shared" si="42"/>
        <v>1812.09</v>
      </c>
      <c r="BM130" s="31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1" cm="1">
        <f t="array" ref="BN130">$G$14+VLOOKUP($R130,武学奇术!$A:$ZZ,16,FALSE)+SUM(_xlfn.XLOOKUP($S130:$AL130,增益!$A:$A,增益!$P:$P,0))</f>
        <v>0.26</v>
      </c>
      <c r="BO130" s="24">
        <f>MIN(IF(VLOOKUP($R130,武学奇术!$A:$ZZ,23,FALSE)=1,100%,$B$8),100%)</f>
        <v>0.9943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0.8985</v>
      </c>
      <c r="BQ130" s="24" cm="1">
        <f t="array" ref="BQ130">1+$B$13+VLOOKUP($R130,武学奇术!$A:$ZZ,18,FALSE)+SUM(_xlfn.XLOOKUP($S130:$AL130,增益!$A:$A,增益!$R:$R,0))</f>
        <v>1.99</v>
      </c>
      <c r="BR130" s="24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si="43"/>
        <v>0.89337855</v>
      </c>
      <c r="BU130" s="24">
        <f t="shared" si="44"/>
        <v>0.01014186</v>
      </c>
      <c r="BV130" s="24">
        <f>IF(VLOOKUP($R130,武学奇术!$A:$ZZ,22,FALSE)=1,0,(1-$BO130))*(1-$BR130)</f>
        <v>0.00517959000000003</v>
      </c>
      <c r="BW130" s="24" cm="1">
        <f t="array" ref="BW130">SUM(_xlfn.XLOOKUP($S130:$AL130,增益!$A:$A,增益!$W:$W,0))+$I$5</f>
        <v>0.31</v>
      </c>
      <c r="BX130" s="24">
        <f>VLOOKUP($R130,武学奇术!$A:$ZZ,32,FALSE)</f>
        <v>0</v>
      </c>
      <c r="BY130" s="24" cm="1">
        <f t="array" ref="BY130">SUM(_xlfn.XLOOKUP($S130:$AL130,增益!$A:$A,增益!$X:$X,0))</f>
        <v>0</v>
      </c>
    </row>
    <row r="131" spans="2:77">
      <c r="K131" s="37">
        <f>$L131*VLOOKUP($R131,武学奇术!$A:$ZZ,31,FALSE)</f>
        <v>18098.6655874779</v>
      </c>
      <c r="L131" s="37">
        <f t="shared" si="34"/>
        <v>18098.6655874779</v>
      </c>
      <c r="M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*(1+$BX131)</f>
        <v>18424.3398539677</v>
      </c>
      <c r="N131" s="37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*(1+$BX131)</f>
        <v>16181.1211368296</v>
      </c>
      <c r="O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*(1+$BX131)</f>
        <v>10901.9762449513</v>
      </c>
      <c r="P131" s="37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*(1+$BX131)</f>
        <v>9817.93683299181</v>
      </c>
      <c r="Q131" s="38">
        <f t="shared" si="45"/>
        <v>1</v>
      </c>
      <c r="R131" s="39" t="s">
        <v>209</v>
      </c>
      <c r="S131" s="39" t="s">
        <v>104</v>
      </c>
      <c r="T131" s="39" t="s">
        <v>194</v>
      </c>
      <c r="U131" s="39" t="s">
        <v>81</v>
      </c>
      <c r="V131" s="39" t="s">
        <v>82</v>
      </c>
      <c r="W131" s="39" t="s">
        <v>83</v>
      </c>
      <c r="X131" s="39" t="s">
        <v>84</v>
      </c>
      <c r="Y131" s="39" t="s">
        <v>85</v>
      </c>
      <c r="Z131" s="39" t="s">
        <v>84</v>
      </c>
      <c r="AA131" s="39" t="s">
        <v>84</v>
      </c>
      <c r="AB131" s="39" t="s">
        <v>204</v>
      </c>
      <c r="AC131" s="39" t="s">
        <v>92</v>
      </c>
      <c r="AD131" s="39" t="s">
        <v>84</v>
      </c>
      <c r="AE131" s="39" t="s">
        <v>87</v>
      </c>
      <c r="AF131" s="39" t="s">
        <v>88</v>
      </c>
      <c r="AG131" s="39" t="s">
        <v>84</v>
      </c>
      <c r="AH131" s="39" t="s">
        <v>84</v>
      </c>
      <c r="AI131" s="39" t="s">
        <v>84</v>
      </c>
      <c r="AJ131" s="39" t="s">
        <v>84</v>
      </c>
      <c r="AK131" s="39" t="s">
        <v>84</v>
      </c>
      <c r="AL131" s="39" t="s">
        <v>84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VLOOKUP($R131,武学奇术!$A:$ZZ,27,FALSE)*(1+IF(OR($AM131=$F$4,$AM131=$F$5),$B$22,0))</f>
        <v>0</v>
      </c>
      <c r="AP131" s="24">
        <f>VLOOKUP($R131,武学奇术!$A:$ZZ,28,FALSE)</f>
        <v>1</v>
      </c>
      <c r="AQ131" s="25">
        <f>VLOOKUP($R131,武学奇术!$A:$ZZ,29,FALSE)*(1+IF(OR($AM131=$F$4,$AM131=$F$5),$B$22,0))</f>
        <v>0</v>
      </c>
      <c r="AR131" s="24" cm="1">
        <f t="array" ref="AR131">$G$3+IFERROR(VLOOKUP($AM131,$F$4:$G$7,2,FALSE),0)+VLOOKUP($R131,武学奇术!$A:$ZZ,2,FALSE)+SUM(_xlfn.XLOOKUP($S131:$AL131,增益!$A:$A,增益!$B:$B,0))</f>
        <v>0.2342</v>
      </c>
      <c r="AS131" s="24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4342.95</v>
      </c>
      <c r="AU131" cm="1">
        <f t="array" ref="AU131">$E$10*(1+$AS131)+VLOOKUP($R131,武学奇术!$A:$ZZ,4,FALSE)+SUM(_xlfn.XLOOKUP($S131:$AL131,增益!$A:$A,增益!$D:$D,0))-$I$2</f>
        <v>4342.95</v>
      </c>
      <c r="AV131" s="31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0.3034</v>
      </c>
      <c r="AW131" s="31" cm="1">
        <f t="array" ref="AW131">$G$10+VLOOKUP($R131,武学奇术!$A:$ZZ,7,FALSE)+SUM(_xlfn.XLOOKUP($S131:$AL131,增益!$A:$A,增益!$G:$G,0))</f>
        <v>0.11</v>
      </c>
      <c r="AX131" s="24" cm="1">
        <f t="array" ref="AX131">VLOOKUP($R131,武学奇术!$A:$ZZ,8,FALSE)+SUM(_xlfn.XLOOKUP($S131:$AL131,增益!$A:$A,增益!$H:$H,0))</f>
        <v>0</v>
      </c>
      <c r="AY131">
        <f t="shared" si="35"/>
        <v>0</v>
      </c>
      <c r="AZ131">
        <f t="shared" si="36"/>
        <v>0</v>
      </c>
      <c r="BA131" s="31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1" cm="1">
        <f t="array" ref="BB131">$G$11+VLOOKUP($R131,武学奇术!$A:$ZZ,10,FALSE)+SUM(_xlfn.XLOOKUP($S131:$AL131,增益!$A:$A,增益!$J:$J,0))</f>
        <v>0.02</v>
      </c>
      <c r="BC131">
        <f t="shared" si="37"/>
        <v>0</v>
      </c>
      <c r="BD131">
        <f t="shared" si="38"/>
        <v>0</v>
      </c>
      <c r="BE131" s="31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-0.14</v>
      </c>
      <c r="BF131" s="31" cm="1">
        <f t="array" ref="BF131">$G$12+VLOOKUP($R131,武学奇术!$A:$ZZ,12,FALSE)+SUM(_xlfn.XLOOKUP($S131:$AL131,增益!$A:$A,增益!$L:$L,0))</f>
        <v>0.02</v>
      </c>
      <c r="BG131">
        <f t="shared" si="39"/>
        <v>0</v>
      </c>
      <c r="BH131">
        <f t="shared" si="40"/>
        <v>0</v>
      </c>
      <c r="BI131" s="31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1" cm="1">
        <f t="array" ref="BJ131">$G$13+VLOOKUP($R131,武学奇术!$A:$ZZ,14,FALSE)+SUM(_xlfn.XLOOKUP($S131:$AL131,增益!$A:$A,增益!$N:$N,0))</f>
        <v>0.02</v>
      </c>
      <c r="BK131">
        <f t="shared" si="41"/>
        <v>649.11</v>
      </c>
      <c r="BL131">
        <f t="shared" si="42"/>
        <v>1812.09</v>
      </c>
      <c r="BM131" s="31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0.08</v>
      </c>
      <c r="BN131" s="31" cm="1">
        <f t="array" ref="BN131">$G$14+VLOOKUP($R131,武学奇术!$A:$ZZ,16,FALSE)+SUM(_xlfn.XLOOKUP($S131:$AL131,增益!$A:$A,增益!$P:$P,0))</f>
        <v>0.26</v>
      </c>
      <c r="BO131" s="24">
        <f>MIN(IF(VLOOKUP($R131,武学奇术!$A:$ZZ,23,FALSE)=1,100%,$B$8),100%)</f>
        <v>0.9943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0.8985</v>
      </c>
      <c r="BQ131" s="24" cm="1">
        <f t="array" ref="BQ131">1+$B$13+VLOOKUP($R131,武学奇术!$A:$ZZ,18,FALSE)+SUM(_xlfn.XLOOKUP($S131:$AL131,增益!$A:$A,增益!$R:$R,0))</f>
        <v>1.69</v>
      </c>
      <c r="BR131" s="24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43"/>
        <v>0.89337855</v>
      </c>
      <c r="BU131" s="24">
        <f t="shared" si="44"/>
        <v>0.01014186</v>
      </c>
      <c r="BV131" s="24">
        <f>IF(VLOOKUP($R131,武学奇术!$A:$ZZ,22,FALSE)=1,0,(1-$BO131))*(1-$BR131)</f>
        <v>0.00517959000000003</v>
      </c>
      <c r="BW131" s="24" cm="1">
        <f t="array" ref="BW131">SUM(_xlfn.XLOOKUP($S131:$AL131,增益!$A:$A,增益!$W:$W,0))+$I$5</f>
        <v>0.11</v>
      </c>
      <c r="BX131" s="24">
        <f>VLOOKUP($R131,武学奇术!$A:$ZZ,32,FALSE)</f>
        <v>0</v>
      </c>
      <c r="BY131" s="24" cm="1">
        <f t="array" ref="BY131">SUM(_xlfn.XLOOKUP($S131:$AL131,增益!$A:$A,增益!$X:$X,0))</f>
        <v>0</v>
      </c>
    </row>
    <row r="132" spans="2:77">
      <c r="B132" s="95"/>
      <c r="K132" s="37">
        <f>$L132*VLOOKUP($R132,武学奇术!$A:$ZZ,31,FALSE)</f>
        <v>18288.4524160003</v>
      </c>
      <c r="L132" s="37">
        <f t="shared" si="34"/>
        <v>18288.4524160003</v>
      </c>
      <c r="M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*(1+$BX132)</f>
        <v>18673.7496366123</v>
      </c>
      <c r="N132" s="37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*(1+$BX132)</f>
        <v>15843.3032933555</v>
      </c>
      <c r="O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*(1+$BX132)</f>
        <v>10732.0400210416</v>
      </c>
      <c r="P132" s="37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*(1+$BX132)</f>
        <v>9728.29982478275</v>
      </c>
      <c r="Q132" s="38">
        <f t="shared" si="45"/>
        <v>1</v>
      </c>
      <c r="R132" s="39" t="s">
        <v>209</v>
      </c>
      <c r="S132" s="39" t="s">
        <v>104</v>
      </c>
      <c r="T132" s="39" t="s">
        <v>194</v>
      </c>
      <c r="U132" s="39" t="s">
        <v>81</v>
      </c>
      <c r="V132" s="39" t="s">
        <v>130</v>
      </c>
      <c r="W132" s="39" t="s">
        <v>83</v>
      </c>
      <c r="X132" s="39" t="s">
        <v>84</v>
      </c>
      <c r="Y132" s="39" t="s">
        <v>84</v>
      </c>
      <c r="Z132" s="39" t="s">
        <v>84</v>
      </c>
      <c r="AA132" s="39" t="s">
        <v>84</v>
      </c>
      <c r="AB132" s="39" t="s">
        <v>204</v>
      </c>
      <c r="AC132" s="39" t="s">
        <v>100</v>
      </c>
      <c r="AD132" s="39" t="s">
        <v>84</v>
      </c>
      <c r="AE132" s="39" t="s">
        <v>87</v>
      </c>
      <c r="AF132" s="39" t="s">
        <v>88</v>
      </c>
      <c r="AG132" s="39" t="s">
        <v>84</v>
      </c>
      <c r="AH132" s="39" t="s">
        <v>84</v>
      </c>
      <c r="AI132" s="39" t="s">
        <v>84</v>
      </c>
      <c r="AJ132" s="39" t="s">
        <v>84</v>
      </c>
      <c r="AK132" s="39" t="s">
        <v>84</v>
      </c>
      <c r="AL132" s="39" t="s">
        <v>84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VLOOKUP($R132,武学奇术!$A:$ZZ,27,FALSE)*(1+IF(OR($AM132=$F$4,$AM132=$F$5),$B$22,0))</f>
        <v>0</v>
      </c>
      <c r="AP132" s="24">
        <f>VLOOKUP($R132,武学奇术!$A:$ZZ,28,FALSE)</f>
        <v>1</v>
      </c>
      <c r="AQ132" s="25">
        <f>VLOOKUP($R132,武学奇术!$A:$ZZ,29,FALSE)*(1+IF(OR($AM132=$F$4,$AM132=$F$5),$B$22,0))</f>
        <v>0</v>
      </c>
      <c r="AR132" s="24" cm="1">
        <f t="array" ref="AR132">$G$3+IFERROR(VLOOKUP($AM132,$F$4:$G$7,2,FALSE),0)+VLOOKUP($R132,武学奇术!$A:$ZZ,2,FALSE)+SUM(_xlfn.XLOOKUP($S132:$AL132,增益!$A:$A,增益!$B:$B,0))</f>
        <v>0.2342</v>
      </c>
      <c r="AS132" s="24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4342.95</v>
      </c>
      <c r="AU132" cm="1">
        <f t="array" ref="AU132">$E$10*(1+$AS132)+VLOOKUP($R132,武学奇术!$A:$ZZ,4,FALSE)+SUM(_xlfn.XLOOKUP($S132:$AL132,增益!$A:$A,增益!$D:$D,0))-$I$2</f>
        <v>4342.95</v>
      </c>
      <c r="AV132" s="31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0.3034</v>
      </c>
      <c r="AW132" s="31" cm="1">
        <f t="array" ref="AW132">$G$10+VLOOKUP($R132,武学奇术!$A:$ZZ,7,FALSE)+SUM(_xlfn.XLOOKUP($S132:$AL132,增益!$A:$A,增益!$G:$G,0))</f>
        <v>0.11</v>
      </c>
      <c r="AX132" s="24" cm="1">
        <f t="array" ref="AX132">VLOOKUP($R132,武学奇术!$A:$ZZ,8,FALSE)+SUM(_xlfn.XLOOKUP($S132:$AL132,增益!$A:$A,增益!$H:$H,0))</f>
        <v>0</v>
      </c>
      <c r="AY132">
        <f t="shared" si="35"/>
        <v>0</v>
      </c>
      <c r="AZ132">
        <f t="shared" si="36"/>
        <v>0</v>
      </c>
      <c r="BA132" s="31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1" cm="1">
        <f t="array" ref="BB132">$G$11+VLOOKUP($R132,武学奇术!$A:$ZZ,10,FALSE)+SUM(_xlfn.XLOOKUP($S132:$AL132,增益!$A:$A,增益!$J:$J,0))</f>
        <v>0.02</v>
      </c>
      <c r="BC132">
        <f t="shared" si="37"/>
        <v>0</v>
      </c>
      <c r="BD132">
        <f t="shared" si="38"/>
        <v>0</v>
      </c>
      <c r="BE132" s="31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1" cm="1">
        <f t="array" ref="BF132">$G$12+VLOOKUP($R132,武学奇术!$A:$ZZ,12,FALSE)+SUM(_xlfn.XLOOKUP($S132:$AL132,增益!$A:$A,增益!$L:$L,0))</f>
        <v>0.02</v>
      </c>
      <c r="BG132">
        <f t="shared" si="39"/>
        <v>0</v>
      </c>
      <c r="BH132">
        <f t="shared" si="40"/>
        <v>0</v>
      </c>
      <c r="BI132" s="31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1" cm="1">
        <f t="array" ref="BJ132">$G$13+VLOOKUP($R132,武学奇术!$A:$ZZ,14,FALSE)+SUM(_xlfn.XLOOKUP($S132:$AL132,增益!$A:$A,增益!$N:$N,0))</f>
        <v>0.02</v>
      </c>
      <c r="BK132">
        <f t="shared" si="41"/>
        <v>649.11</v>
      </c>
      <c r="BL132">
        <f t="shared" si="42"/>
        <v>1812.09</v>
      </c>
      <c r="BM132" s="31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1" cm="1">
        <f t="array" ref="BN132">$G$14+VLOOKUP($R132,武学奇术!$A:$ZZ,16,FALSE)+SUM(_xlfn.XLOOKUP($S132:$AL132,增益!$A:$A,增益!$P:$P,0))</f>
        <v>0.26</v>
      </c>
      <c r="BO132" s="24">
        <f>MIN(IF(VLOOKUP($R132,武学奇术!$A:$ZZ,23,FALSE)=1,100%,$B$8),100%)</f>
        <v>0.9943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0.8985</v>
      </c>
      <c r="BQ132" s="24" cm="1">
        <f t="array" ref="BQ132">1+$B$13+VLOOKUP($R132,武学奇术!$A:$ZZ,18,FALSE)+SUM(_xlfn.XLOOKUP($S132:$AL132,增益!$A:$A,增益!$R:$R,0))</f>
        <v>1.74</v>
      </c>
      <c r="BR132" s="24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43"/>
        <v>0.89337855</v>
      </c>
      <c r="BU132" s="24">
        <f t="shared" si="44"/>
        <v>0.01014186</v>
      </c>
      <c r="BV132" s="24">
        <f>IF(VLOOKUP($R132,武学奇术!$A:$ZZ,22,FALSE)=1,0,(1-$BO132))*(1-$BR132)</f>
        <v>0.00517959000000003</v>
      </c>
      <c r="BW132" s="24" cm="1">
        <f t="array" ref="BW132">SUM(_xlfn.XLOOKUP($S132:$AL132,增益!$A:$A,增益!$W:$W,0))+$I$5</f>
        <v>0.11</v>
      </c>
      <c r="BX132" s="24">
        <f>VLOOKUP($R132,武学奇术!$A:$ZZ,32,FALSE)</f>
        <v>0</v>
      </c>
      <c r="BY132" s="24" cm="1">
        <f t="array" ref="BY132">SUM(_xlfn.XLOOKUP($S132:$AL132,增益!$A:$A,增益!$X:$X,0))</f>
        <v>0</v>
      </c>
    </row>
    <row r="133" spans="2:77">
      <c r="K133" s="37">
        <f>$L133*VLOOKUP($R133,武学奇术!$A:$ZZ,31,FALSE)</f>
        <v>18585.6451739703</v>
      </c>
      <c r="L133" s="37">
        <f t="shared" si="34"/>
        <v>18585.6451739703</v>
      </c>
      <c r="M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*(1+$BX133)</f>
        <v>18969.4386662153</v>
      </c>
      <c r="N133" s="37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*(1+$BX133)</f>
        <v>16181.1211368296</v>
      </c>
      <c r="O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*(1+$BX133)</f>
        <v>10901.9762449513</v>
      </c>
      <c r="P133" s="37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*(1+$BX133)</f>
        <v>9817.93683299181</v>
      </c>
      <c r="Q133" s="38">
        <f t="shared" si="45"/>
        <v>1</v>
      </c>
      <c r="R133" s="39" t="s">
        <v>209</v>
      </c>
      <c r="S133" s="39" t="s">
        <v>104</v>
      </c>
      <c r="T133" s="39" t="s">
        <v>194</v>
      </c>
      <c r="U133" s="39" t="s">
        <v>81</v>
      </c>
      <c r="V133" s="39" t="s">
        <v>130</v>
      </c>
      <c r="W133" s="39" t="s">
        <v>83</v>
      </c>
      <c r="X133" s="39" t="s">
        <v>84</v>
      </c>
      <c r="Y133" s="39" t="s">
        <v>85</v>
      </c>
      <c r="Z133" s="39" t="s">
        <v>84</v>
      </c>
      <c r="AA133" s="39" t="s">
        <v>84</v>
      </c>
      <c r="AB133" s="39" t="s">
        <v>204</v>
      </c>
      <c r="AC133" s="39" t="s">
        <v>92</v>
      </c>
      <c r="AD133" s="39" t="s">
        <v>84</v>
      </c>
      <c r="AE133" s="39" t="s">
        <v>87</v>
      </c>
      <c r="AF133" s="39" t="s">
        <v>88</v>
      </c>
      <c r="AG133" s="39" t="s">
        <v>84</v>
      </c>
      <c r="AH133" s="39" t="s">
        <v>84</v>
      </c>
      <c r="AI133" s="39" t="s">
        <v>84</v>
      </c>
      <c r="AJ133" s="39" t="s">
        <v>84</v>
      </c>
      <c r="AK133" s="39" t="s">
        <v>84</v>
      </c>
      <c r="AL133" s="39" t="s">
        <v>84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VLOOKUP($R133,武学奇术!$A:$ZZ,27,FALSE)*(1+IF(OR($AM133=$F$4,$AM133=$F$5),$B$22,0))</f>
        <v>0</v>
      </c>
      <c r="AP133" s="24">
        <f>VLOOKUP($R133,武学奇术!$A:$ZZ,28,FALSE)</f>
        <v>1</v>
      </c>
      <c r="AQ133" s="25">
        <f>VLOOKUP($R133,武学奇术!$A:$ZZ,29,FALSE)*(1+IF(OR($AM133=$F$4,$AM133=$F$5),$B$22,0))</f>
        <v>0</v>
      </c>
      <c r="AR133" s="24" cm="1">
        <f t="array" ref="AR133">$G$3+IFERROR(VLOOKUP($AM133,$F$4:$G$7,2,FALSE),0)+VLOOKUP($R133,武学奇术!$A:$ZZ,2,FALSE)+SUM(_xlfn.XLOOKUP($S133:$AL133,增益!$A:$A,增益!$B:$B,0))</f>
        <v>0.2342</v>
      </c>
      <c r="AS133" s="24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4342.95</v>
      </c>
      <c r="AU133" cm="1">
        <f t="array" ref="AU133">$E$10*(1+$AS133)+VLOOKUP($R133,武学奇术!$A:$ZZ,4,FALSE)+SUM(_xlfn.XLOOKUP($S133:$AL133,增益!$A:$A,增益!$D:$D,0))-$I$2</f>
        <v>4342.95</v>
      </c>
      <c r="AV133" s="31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0.3034</v>
      </c>
      <c r="AW133" s="31" cm="1">
        <f t="array" ref="AW133">$G$10+VLOOKUP($R133,武学奇术!$A:$ZZ,7,FALSE)+SUM(_xlfn.XLOOKUP($S133:$AL133,增益!$A:$A,增益!$G:$G,0))</f>
        <v>0.11</v>
      </c>
      <c r="AX133" s="24" cm="1">
        <f t="array" ref="AX133">VLOOKUP($R133,武学奇术!$A:$ZZ,8,FALSE)+SUM(_xlfn.XLOOKUP($S133:$AL133,增益!$A:$A,增益!$H:$H,0))</f>
        <v>0</v>
      </c>
      <c r="AY133">
        <f t="shared" si="35"/>
        <v>0</v>
      </c>
      <c r="AZ133">
        <f t="shared" si="36"/>
        <v>0</v>
      </c>
      <c r="BA133" s="31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-0.14</v>
      </c>
      <c r="BB133" s="31" cm="1">
        <f t="array" ref="BB133">$G$11+VLOOKUP($R133,武学奇术!$A:$ZZ,10,FALSE)+SUM(_xlfn.XLOOKUP($S133:$AL133,增益!$A:$A,增益!$J:$J,0))</f>
        <v>0.02</v>
      </c>
      <c r="BC133">
        <f t="shared" si="37"/>
        <v>0</v>
      </c>
      <c r="BD133">
        <f t="shared" si="38"/>
        <v>0</v>
      </c>
      <c r="BE133" s="31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-0.14</v>
      </c>
      <c r="BF133" s="31" cm="1">
        <f t="array" ref="BF133">$G$12+VLOOKUP($R133,武学奇术!$A:$ZZ,12,FALSE)+SUM(_xlfn.XLOOKUP($S133:$AL133,增益!$A:$A,增益!$L:$L,0))</f>
        <v>0.02</v>
      </c>
      <c r="BG133">
        <f t="shared" si="39"/>
        <v>0</v>
      </c>
      <c r="BH133">
        <f t="shared" si="40"/>
        <v>0</v>
      </c>
      <c r="BI133" s="31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-0.14</v>
      </c>
      <c r="BJ133" s="31" cm="1">
        <f t="array" ref="BJ133">$G$13+VLOOKUP($R133,武学奇术!$A:$ZZ,14,FALSE)+SUM(_xlfn.XLOOKUP($S133:$AL133,增益!$A:$A,增益!$N:$N,0))</f>
        <v>0.02</v>
      </c>
      <c r="BK133">
        <f t="shared" si="41"/>
        <v>649.11</v>
      </c>
      <c r="BL133">
        <f t="shared" si="42"/>
        <v>1812.09</v>
      </c>
      <c r="BM133" s="31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0.08</v>
      </c>
      <c r="BN133" s="31" cm="1">
        <f t="array" ref="BN133">$G$14+VLOOKUP($R133,武学奇术!$A:$ZZ,16,FALSE)+SUM(_xlfn.XLOOKUP($S133:$AL133,增益!$A:$A,增益!$P:$P,0))</f>
        <v>0.26</v>
      </c>
      <c r="BO133" s="24">
        <f>MIN(IF(VLOOKUP($R133,武学奇术!$A:$ZZ,23,FALSE)=1,100%,$B$8),100%)</f>
        <v>0.9943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0.8985</v>
      </c>
      <c r="BQ133" s="24" cm="1">
        <f t="array" ref="BQ133">1+$B$13+VLOOKUP($R133,武学奇术!$A:$ZZ,18,FALSE)+SUM(_xlfn.XLOOKUP($S133:$AL133,增益!$A:$A,增益!$R:$R,0))</f>
        <v>1.74</v>
      </c>
      <c r="BR133" s="24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43"/>
        <v>0.89337855</v>
      </c>
      <c r="BU133" s="24">
        <f t="shared" si="44"/>
        <v>0.01014186</v>
      </c>
      <c r="BV133" s="24">
        <f>IF(VLOOKUP($R133,武学奇术!$A:$ZZ,22,FALSE)=1,0,(1-$BO133))*(1-$BR133)</f>
        <v>0.00517959000000003</v>
      </c>
      <c r="BW133" s="24" cm="1">
        <f t="array" ref="BW133">SUM(_xlfn.XLOOKUP($S133:$AL133,增益!$A:$A,增益!$W:$W,0))+$I$5</f>
        <v>0.11</v>
      </c>
      <c r="BX133" s="24">
        <f>VLOOKUP($R133,武学奇术!$A:$ZZ,32,FALSE)</f>
        <v>0</v>
      </c>
      <c r="BY133" s="24" cm="1">
        <f t="array" ref="BY133">SUM(_xlfn.XLOOKUP($S133:$AL133,增益!$A:$A,增益!$X:$X,0))</f>
        <v>0</v>
      </c>
    </row>
    <row r="134" spans="2:77">
      <c r="K134" s="37">
        <f>$L134*VLOOKUP($R134,武学奇术!$A:$ZZ,31,FALSE)</f>
        <v>28790.1497614467</v>
      </c>
      <c r="L134" s="37">
        <f t="shared" si="34"/>
        <v>28790.1497614467</v>
      </c>
      <c r="M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*(1+$BX134)</f>
        <v>29677.6437540891</v>
      </c>
      <c r="N134" s="37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*(1+$BX134)</f>
        <v>22445.531874709</v>
      </c>
      <c r="O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*(1+$BX134)</f>
        <v>15297.754512417</v>
      </c>
      <c r="P134" s="37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*(1+$BX134)</f>
        <v>13969.1891176423</v>
      </c>
      <c r="Q134" s="38">
        <f t="shared" si="45"/>
        <v>1</v>
      </c>
      <c r="R134" s="39" t="s">
        <v>209</v>
      </c>
      <c r="S134" s="39" t="s">
        <v>104</v>
      </c>
      <c r="T134" s="39" t="s">
        <v>194</v>
      </c>
      <c r="U134" s="39" t="s">
        <v>81</v>
      </c>
      <c r="V134" s="39" t="s">
        <v>82</v>
      </c>
      <c r="W134" s="39" t="s">
        <v>83</v>
      </c>
      <c r="X134" s="39" t="s">
        <v>84</v>
      </c>
      <c r="Y134" s="39" t="s">
        <v>84</v>
      </c>
      <c r="Z134" s="39" t="s">
        <v>195</v>
      </c>
      <c r="AA134" s="39" t="s">
        <v>196</v>
      </c>
      <c r="AB134" s="39" t="s">
        <v>204</v>
      </c>
      <c r="AC134" s="39" t="s">
        <v>100</v>
      </c>
      <c r="AD134" s="39" t="s">
        <v>93</v>
      </c>
      <c r="AE134" s="39" t="s">
        <v>87</v>
      </c>
      <c r="AF134" s="39" t="s">
        <v>88</v>
      </c>
      <c r="AG134" s="39" t="s">
        <v>94</v>
      </c>
      <c r="AH134" s="39" t="s">
        <v>84</v>
      </c>
      <c r="AI134" s="39" t="s">
        <v>84</v>
      </c>
      <c r="AJ134" s="39" t="s">
        <v>84</v>
      </c>
      <c r="AK134" s="39" t="s">
        <v>84</v>
      </c>
      <c r="AL134" s="39" t="s">
        <v>84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VLOOKUP($R134,武学奇术!$A:$ZZ,27,FALSE)*(1+IF(OR($AM134=$F$4,$AM134=$F$5),$B$22,0))</f>
        <v>0</v>
      </c>
      <c r="AP134" s="24">
        <f>VLOOKUP($R134,武学奇术!$A:$ZZ,28,FALSE)</f>
        <v>1</v>
      </c>
      <c r="AQ134" s="25">
        <f>VLOOKUP($R134,武学奇术!$A:$ZZ,29,FALSE)*(1+IF(OR($AM134=$F$4,$AM134=$F$5),$B$22,0))</f>
        <v>0</v>
      </c>
      <c r="AR134" s="24" cm="1">
        <f t="array" ref="AR134">$G$3+IFERROR(VLOOKUP($AM134,$F$4:$G$7,2,FALSE),0)+VLOOKUP($R134,武学奇术!$A:$ZZ,2,FALSE)+SUM(_xlfn.XLOOKUP($S134:$AL134,增益!$A:$A,增益!$B:$B,0))</f>
        <v>0.3842</v>
      </c>
      <c r="AS134" s="24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4342.95</v>
      </c>
      <c r="AU134" cm="1">
        <f t="array" ref="AU134">$E$10*(1+$AS134)+VLOOKUP($R134,武学奇术!$A:$ZZ,4,FALSE)+SUM(_xlfn.XLOOKUP($S134:$AL134,增益!$A:$A,增益!$D:$D,0))-$I$2</f>
        <v>4342.95</v>
      </c>
      <c r="AV134" s="31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0.4284</v>
      </c>
      <c r="AW134" s="31" cm="1">
        <f t="array" ref="AW134">$G$10+VLOOKUP($R134,武学奇术!$A:$ZZ,7,FALSE)+SUM(_xlfn.XLOOKUP($S134:$AL134,增益!$A:$A,增益!$G:$G,0))</f>
        <v>0.11</v>
      </c>
      <c r="AX134" s="24" cm="1">
        <f t="array" ref="AX134">VLOOKUP($R134,武学奇术!$A:$ZZ,8,FALSE)+SUM(_xlfn.XLOOKUP($S134:$AL134,增益!$A:$A,增益!$H:$H,0))</f>
        <v>0</v>
      </c>
      <c r="AY134">
        <f t="shared" si="35"/>
        <v>0</v>
      </c>
      <c r="AZ134">
        <f t="shared" si="36"/>
        <v>0</v>
      </c>
      <c r="BA134" s="31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1" cm="1">
        <f t="array" ref="BB134">$G$11+VLOOKUP($R134,武学奇术!$A:$ZZ,10,FALSE)+SUM(_xlfn.XLOOKUP($S134:$AL134,增益!$A:$A,增益!$J:$J,0))</f>
        <v>0.12</v>
      </c>
      <c r="BC134">
        <f t="shared" si="37"/>
        <v>0</v>
      </c>
      <c r="BD134">
        <f t="shared" si="38"/>
        <v>0</v>
      </c>
      <c r="BE134" s="31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1" cm="1">
        <f t="array" ref="BF134">$G$12+VLOOKUP($R134,武学奇术!$A:$ZZ,12,FALSE)+SUM(_xlfn.XLOOKUP($S134:$AL134,增益!$A:$A,增益!$L:$L,0))</f>
        <v>0.02</v>
      </c>
      <c r="BG134">
        <f t="shared" si="39"/>
        <v>0</v>
      </c>
      <c r="BH134">
        <f t="shared" si="40"/>
        <v>0</v>
      </c>
      <c r="BI134" s="31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1" cm="1">
        <f t="array" ref="BJ134">$G$13+VLOOKUP($R134,武学奇术!$A:$ZZ,14,FALSE)+SUM(_xlfn.XLOOKUP($S134:$AL134,增益!$A:$A,增益!$N:$N,0))</f>
        <v>0.02</v>
      </c>
      <c r="BK134">
        <f t="shared" si="41"/>
        <v>649.11</v>
      </c>
      <c r="BL134">
        <f t="shared" si="42"/>
        <v>1812.09</v>
      </c>
      <c r="BM134" s="31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1" cm="1">
        <f t="array" ref="BN134">$G$14+VLOOKUP($R134,武学奇术!$A:$ZZ,16,FALSE)+SUM(_xlfn.XLOOKUP($S134:$AL134,增益!$A:$A,增益!$P:$P,0))</f>
        <v>0.26</v>
      </c>
      <c r="BO134" s="24">
        <f>MIN(IF(VLOOKUP($R134,武学奇术!$A:$ZZ,23,FALSE)=1,100%,$B$8),100%)</f>
        <v>0.9943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0.8985</v>
      </c>
      <c r="BQ134" s="24" cm="1">
        <f t="array" ref="BQ134">1+$B$13+VLOOKUP($R134,武学奇术!$A:$ZZ,18,FALSE)+SUM(_xlfn.XLOOKUP($S134:$AL134,增益!$A:$A,增益!$R:$R,0))</f>
        <v>1.94</v>
      </c>
      <c r="BR134" s="24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43"/>
        <v>0.89337855</v>
      </c>
      <c r="BU134" s="24">
        <f t="shared" si="44"/>
        <v>0.01014186</v>
      </c>
      <c r="BV134" s="24">
        <f>IF(VLOOKUP($R134,武学奇术!$A:$ZZ,22,FALSE)=1,0,(1-$BO134))*(1-$BR134)</f>
        <v>0.00517959000000003</v>
      </c>
      <c r="BW134" s="24" cm="1">
        <f t="array" ref="BW134">SUM(_xlfn.XLOOKUP($S134:$AL134,增益!$A:$A,增益!$W:$W,0))+$I$5</f>
        <v>0.31</v>
      </c>
      <c r="BX134" s="24">
        <f>VLOOKUP($R134,武学奇术!$A:$ZZ,32,FALSE)</f>
        <v>0</v>
      </c>
      <c r="BY134" s="24" cm="1">
        <f t="array" ref="BY134">SUM(_xlfn.XLOOKUP($S134:$AL134,增益!$A:$A,增益!$X:$X,0))</f>
        <v>0</v>
      </c>
    </row>
    <row r="135" spans="2:77">
      <c r="B135" s="95"/>
      <c r="K135" s="37">
        <f>$L135*VLOOKUP($R135,武学奇术!$A:$ZZ,31,FALSE)</f>
        <v>18585.6451739703</v>
      </c>
      <c r="L135" s="37">
        <f t="shared" si="34"/>
        <v>18585.6451739703</v>
      </c>
      <c r="M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*(1+$BX135)</f>
        <v>18969.4386662153</v>
      </c>
      <c r="N135" s="37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*(1+$BX135)</f>
        <v>16181.1211368296</v>
      </c>
      <c r="O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*(1+$BX135)</f>
        <v>10901.9762449513</v>
      </c>
      <c r="P135" s="37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*(1+$BX135)</f>
        <v>9817.93683299181</v>
      </c>
      <c r="Q135" s="38">
        <f t="shared" si="45"/>
        <v>1</v>
      </c>
      <c r="R135" s="39" t="s">
        <v>209</v>
      </c>
      <c r="S135" s="39" t="s">
        <v>104</v>
      </c>
      <c r="T135" s="39" t="s">
        <v>194</v>
      </c>
      <c r="U135" s="39" t="s">
        <v>81</v>
      </c>
      <c r="V135" s="39" t="s">
        <v>130</v>
      </c>
      <c r="W135" s="39" t="s">
        <v>83</v>
      </c>
      <c r="X135" s="39" t="s">
        <v>84</v>
      </c>
      <c r="Y135" s="39" t="s">
        <v>85</v>
      </c>
      <c r="Z135" s="39" t="s">
        <v>84</v>
      </c>
      <c r="AA135" s="39" t="s">
        <v>84</v>
      </c>
      <c r="AB135" s="39" t="s">
        <v>204</v>
      </c>
      <c r="AC135" s="39" t="s">
        <v>92</v>
      </c>
      <c r="AD135" s="39" t="s">
        <v>84</v>
      </c>
      <c r="AE135" s="39" t="s">
        <v>87</v>
      </c>
      <c r="AF135" s="39" t="s">
        <v>88</v>
      </c>
      <c r="AG135" s="39" t="s">
        <v>84</v>
      </c>
      <c r="AH135" s="39" t="s">
        <v>84</v>
      </c>
      <c r="AI135" s="39" t="s">
        <v>84</v>
      </c>
      <c r="AJ135" s="39" t="s">
        <v>84</v>
      </c>
      <c r="AK135" s="39" t="s">
        <v>84</v>
      </c>
      <c r="AL135" s="39" t="s">
        <v>84</v>
      </c>
      <c r="AM135" t="str">
        <f>VLOOKUP($R135,武学奇术!$A:$ZZ,25,FALSE)</f>
        <v>心法</v>
      </c>
      <c r="AN135" s="24">
        <f>VLOOKUP($R135,武学奇术!$A:$ZZ,26,FALSE)</f>
        <v>1</v>
      </c>
      <c r="AO135" s="25">
        <f>VLOOKUP($R135,武学奇术!$A:$ZZ,27,FALSE)*(1+IF(OR($AM135=$F$4,$AM135=$F$5),$B$22,0))</f>
        <v>0</v>
      </c>
      <c r="AP135" s="24">
        <f>VLOOKUP($R135,武学奇术!$A:$ZZ,28,FALSE)</f>
        <v>1</v>
      </c>
      <c r="AQ135" s="25">
        <f>VLOOKUP($R135,武学奇术!$A:$ZZ,29,FALSE)*(1+IF(OR($AM135=$F$4,$AM135=$F$5),$B$22,0))</f>
        <v>0</v>
      </c>
      <c r="AR135" s="24" cm="1">
        <f t="array" ref="AR135">$G$3+IFERROR(VLOOKUP($AM135,$F$4:$G$7,2,FALSE),0)+VLOOKUP($R135,武学奇术!$A:$ZZ,2,FALSE)+SUM(_xlfn.XLOOKUP($S135:$AL135,增益!$A:$A,增益!$B:$B,0))</f>
        <v>0.2342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4342.95</v>
      </c>
      <c r="AU135" cm="1">
        <f t="array" ref="AU135">$E$10*(1+$AS135)+VLOOKUP($R135,武学奇术!$A:$ZZ,4,FALSE)+SUM(_xlfn.XLOOKUP($S135:$AL135,增益!$A:$A,增益!$D:$D,0))-$I$2</f>
        <v>4342.95</v>
      </c>
      <c r="AV135" s="31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0.3034</v>
      </c>
      <c r="AW135" s="31" cm="1">
        <f t="array" ref="AW135">$G$10+VLOOKUP($R135,武学奇术!$A:$ZZ,7,FALSE)+SUM(_xlfn.XLOOKUP($S135:$AL135,增益!$A:$A,增益!$G:$G,0))</f>
        <v>0.11</v>
      </c>
      <c r="AX135" s="24" cm="1">
        <f t="array" ref="AX135">VLOOKUP($R135,武学奇术!$A:$ZZ,8,FALSE)+SUM(_xlfn.XLOOKUP($S135:$AL135,增益!$A:$A,增益!$H:$H,0))</f>
        <v>0</v>
      </c>
      <c r="AY135">
        <f t="shared" si="35"/>
        <v>0</v>
      </c>
      <c r="AZ135">
        <f t="shared" si="36"/>
        <v>0</v>
      </c>
      <c r="BA135" s="31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-0.14</v>
      </c>
      <c r="BB135" s="31" cm="1">
        <f t="array" ref="BB135">$G$11+VLOOKUP($R135,武学奇术!$A:$ZZ,10,FALSE)+SUM(_xlfn.XLOOKUP($S135:$AL135,增益!$A:$A,增益!$J:$J,0))</f>
        <v>0.02</v>
      </c>
      <c r="BC135">
        <f t="shared" si="37"/>
        <v>0</v>
      </c>
      <c r="BD135">
        <f t="shared" si="38"/>
        <v>0</v>
      </c>
      <c r="BE135" s="31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-0.14</v>
      </c>
      <c r="BF135" s="31" cm="1">
        <f t="array" ref="BF135">$G$12+VLOOKUP($R135,武学奇术!$A:$ZZ,12,FALSE)+SUM(_xlfn.XLOOKUP($S135:$AL135,增益!$A:$A,增益!$L:$L,0))</f>
        <v>0.02</v>
      </c>
      <c r="BG135">
        <f t="shared" si="39"/>
        <v>0</v>
      </c>
      <c r="BH135">
        <f t="shared" si="40"/>
        <v>0</v>
      </c>
      <c r="BI135" s="31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-0.14</v>
      </c>
      <c r="BJ135" s="31" cm="1">
        <f t="array" ref="BJ135">$G$13+VLOOKUP($R135,武学奇术!$A:$ZZ,14,FALSE)+SUM(_xlfn.XLOOKUP($S135:$AL135,增益!$A:$A,增益!$N:$N,0))</f>
        <v>0.02</v>
      </c>
      <c r="BK135">
        <f t="shared" si="41"/>
        <v>649.11</v>
      </c>
      <c r="BL135">
        <f t="shared" si="42"/>
        <v>1812.09</v>
      </c>
      <c r="BM135" s="31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0.08</v>
      </c>
      <c r="BN135" s="31" cm="1">
        <f t="array" ref="BN135">$G$14+VLOOKUP($R135,武学奇术!$A:$ZZ,16,FALSE)+SUM(_xlfn.XLOOKUP($S135:$AL135,增益!$A:$A,增益!$P:$P,0))</f>
        <v>0.26</v>
      </c>
      <c r="BO135" s="24">
        <f>MIN(IF(VLOOKUP($R135,武学奇术!$A:$ZZ,23,FALSE)=1,100%,$B$8),100%)</f>
        <v>0.9943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0.8985</v>
      </c>
      <c r="BQ135" s="24" cm="1">
        <f t="array" ref="BQ135">1+$B$13+VLOOKUP($R135,武学奇术!$A:$ZZ,18,FALSE)+SUM(_xlfn.XLOOKUP($S135:$AL135,增益!$A:$A,增益!$R:$R,0))</f>
        <v>1.74</v>
      </c>
      <c r="BR135" s="24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43"/>
        <v>0.89337855</v>
      </c>
      <c r="BU135" s="24">
        <f t="shared" si="44"/>
        <v>0.01014186</v>
      </c>
      <c r="BV135" s="24">
        <f>IF(VLOOKUP($R135,武学奇术!$A:$ZZ,22,FALSE)=1,0,(1-$BO135))*(1-$BR135)</f>
        <v>0.00517959000000003</v>
      </c>
      <c r="BW135" s="24" cm="1">
        <f t="array" ref="BW135">SUM(_xlfn.XLOOKUP($S135:$AL135,增益!$A:$A,增益!$W:$W,0))+$I$5</f>
        <v>0.11</v>
      </c>
      <c r="BX135" s="24">
        <f>VLOOKUP($R135,武学奇术!$A:$ZZ,32,FALSE)</f>
        <v>0</v>
      </c>
      <c r="BY135" s="24" cm="1">
        <f t="array" ref="BY135">SUM(_xlfn.XLOOKUP($S135:$AL135,增益!$A:$A,增益!$X:$X,0))</f>
        <v>0</v>
      </c>
    </row>
    <row r="136" spans="2:77">
      <c r="K136" s="37">
        <f>$L136*VLOOKUP($R136,武学奇术!$A:$ZZ,31,FALSE)</f>
        <v>0</v>
      </c>
      <c r="L136" s="37">
        <f t="shared" si="34"/>
        <v>0</v>
      </c>
      <c r="M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*(1+$BX136)</f>
        <v>0</v>
      </c>
      <c r="N136" s="37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*(1+$BX136)</f>
        <v>0</v>
      </c>
      <c r="O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*(1+$BX136)</f>
        <v>0</v>
      </c>
      <c r="P136" s="37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*(1+$BX136)</f>
        <v>0</v>
      </c>
      <c r="Q136" s="38">
        <f t="shared" si="45"/>
        <v>1</v>
      </c>
      <c r="R136" s="39" t="s">
        <v>84</v>
      </c>
      <c r="S136" s="39" t="s">
        <v>84</v>
      </c>
      <c r="T136" s="39" t="s">
        <v>84</v>
      </c>
      <c r="U136" s="39" t="s">
        <v>84</v>
      </c>
      <c r="V136" s="39" t="s">
        <v>84</v>
      </c>
      <c r="W136" s="39" t="s">
        <v>84</v>
      </c>
      <c r="X136" s="39" t="s">
        <v>84</v>
      </c>
      <c r="Y136" s="39" t="s">
        <v>84</v>
      </c>
      <c r="Z136" s="39" t="s">
        <v>84</v>
      </c>
      <c r="AA136" s="39" t="s">
        <v>84</v>
      </c>
      <c r="AB136" s="39" t="s">
        <v>84</v>
      </c>
      <c r="AC136" s="39" t="s">
        <v>84</v>
      </c>
      <c r="AD136" s="39" t="s">
        <v>84</v>
      </c>
      <c r="AE136" s="39" t="s">
        <v>87</v>
      </c>
      <c r="AF136" s="39" t="s">
        <v>88</v>
      </c>
      <c r="AG136" s="39" t="s">
        <v>84</v>
      </c>
      <c r="AH136" s="39" t="s">
        <v>84</v>
      </c>
      <c r="AI136" s="39" t="s">
        <v>84</v>
      </c>
      <c r="AJ136" s="39" t="s">
        <v>84</v>
      </c>
      <c r="AK136" s="39" t="s">
        <v>84</v>
      </c>
      <c r="AL136" s="39" t="s">
        <v>84</v>
      </c>
      <c r="AM136" t="str">
        <f>VLOOKUP($R136,武学奇术!$A:$ZZ,25,FALSE)</f>
        <v>心法</v>
      </c>
      <c r="AN136" s="24">
        <f>VLOOKUP($R136,武学奇术!$A:$ZZ,26,FALSE)</f>
        <v>0</v>
      </c>
      <c r="AO136" s="25">
        <f>VLOOKUP($R136,武学奇术!$A:$ZZ,27,FALSE)*(1+IF(OR($AM136=$F$4,$AM136=$F$5),$B$22,0))</f>
        <v>0</v>
      </c>
      <c r="AP136" s="24">
        <f>VLOOKUP($R136,武学奇术!$A:$ZZ,28,FALSE)</f>
        <v>0</v>
      </c>
      <c r="AQ136" s="25">
        <f>VLOOKUP($R136,武学奇术!$A:$ZZ,29,FALSE)*(1+IF(OR($AM136=$F$4,$AM136=$F$5),$B$22,0))</f>
        <v>0</v>
      </c>
      <c r="AR136" s="24" cm="1">
        <f t="array" ref="AR136">$G$3+IFERROR(VLOOKUP($AM136,$F$4:$G$7,2,FALSE),0)+VLOOKUP($R136,武学奇术!$A:$ZZ,2,FALSE)+SUM(_xlfn.XLOOKUP($S136:$AL136,增益!$A:$A,增益!$B:$B,0))</f>
        <v>0.1842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4342.95</v>
      </c>
      <c r="AU136" cm="1">
        <f t="array" ref="AU136">$E$10*(1+$AS136)+VLOOKUP($R136,武学奇术!$A:$ZZ,4,FALSE)+SUM(_xlfn.XLOOKUP($S136:$AL136,增益!$A:$A,增益!$D:$D,0))-$I$2</f>
        <v>4342.95</v>
      </c>
      <c r="AV136" s="31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0.2534</v>
      </c>
      <c r="AW136" s="31" cm="1">
        <f t="array" ref="AW136">$G$10+VLOOKUP($R136,武学奇术!$A:$ZZ,7,FALSE)+SUM(_xlfn.XLOOKUP($S136:$AL136,增益!$A:$A,增益!$G:$G,0))</f>
        <v>0</v>
      </c>
      <c r="AX136" s="24" cm="1">
        <f t="array" ref="AX136">VLOOKUP($R136,武学奇术!$A:$ZZ,8,FALSE)+SUM(_xlfn.XLOOKUP($S136:$AL136,增益!$A:$A,增益!$H:$H,0))</f>
        <v>0</v>
      </c>
      <c r="AY136">
        <f t="shared" si="35"/>
        <v>0</v>
      </c>
      <c r="AZ136">
        <f t="shared" si="36"/>
        <v>0</v>
      </c>
      <c r="BA136" s="31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1" cm="1">
        <f t="array" ref="BB136">$G$11+VLOOKUP($R136,武学奇术!$A:$ZZ,10,FALSE)+SUM(_xlfn.XLOOKUP($S136:$AL136,增益!$A:$A,增益!$J:$J,0))</f>
        <v>0</v>
      </c>
      <c r="BC136">
        <f t="shared" si="37"/>
        <v>0</v>
      </c>
      <c r="BD136">
        <f t="shared" si="38"/>
        <v>0</v>
      </c>
      <c r="BE136" s="31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1" cm="1">
        <f t="array" ref="BF136">$G$12+VLOOKUP($R136,武学奇术!$A:$ZZ,12,FALSE)+SUM(_xlfn.XLOOKUP($S136:$AL136,增益!$A:$A,增益!$L:$L,0))</f>
        <v>0</v>
      </c>
      <c r="BG136">
        <f t="shared" si="39"/>
        <v>0</v>
      </c>
      <c r="BH136">
        <f t="shared" si="40"/>
        <v>0</v>
      </c>
      <c r="BI136" s="31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1" cm="1">
        <f t="array" ref="BJ136">$G$13+VLOOKUP($R136,武学奇术!$A:$ZZ,14,FALSE)+SUM(_xlfn.XLOOKUP($S136:$AL136,增益!$A:$A,增益!$N:$N,0))</f>
        <v>0</v>
      </c>
      <c r="BK136">
        <f t="shared" si="41"/>
        <v>649.11</v>
      </c>
      <c r="BL136">
        <f t="shared" si="42"/>
        <v>1812.09</v>
      </c>
      <c r="BM136" s="31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1" cm="1">
        <f t="array" ref="BN136">$G$14+VLOOKUP($R136,武学奇术!$A:$ZZ,16,FALSE)+SUM(_xlfn.XLOOKUP($S136:$AL136,增益!$A:$A,增益!$P:$P,0))</f>
        <v>0.15</v>
      </c>
      <c r="BO136" s="24">
        <f>MIN(IF(VLOOKUP($R136,武学奇术!$A:$ZZ,23,FALSE)=1,100%,$B$8),100%)</f>
        <v>0.9943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0.8985</v>
      </c>
      <c r="BQ136" s="24" cm="1">
        <f t="array" ref="BQ136">1+$B$13+VLOOKUP($R136,武学奇术!$A:$ZZ,18,FALSE)+SUM(_xlfn.XLOOKUP($S136:$AL136,增益!$A:$A,增益!$R:$R,0))</f>
        <v>1.54</v>
      </c>
      <c r="BR136" s="24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43"/>
        <v>0.89337855</v>
      </c>
      <c r="BU136" s="24">
        <f t="shared" si="44"/>
        <v>0.01014186</v>
      </c>
      <c r="BV136" s="24">
        <f>IF(VLOOKUP($R136,武学奇术!$A:$ZZ,22,FALSE)=1,0,(1-$BO136))*(1-$BR136)</f>
        <v>0.00517959000000003</v>
      </c>
      <c r="BW136" s="24" cm="1">
        <f t="array" ref="BW136">SUM(_xlfn.XLOOKUP($S136:$AL136,增益!$A:$A,增益!$W:$W,0))+$I$5</f>
        <v>0.11</v>
      </c>
      <c r="BX136" s="24">
        <f>VLOOKUP($R136,武学奇术!$A:$ZZ,32,FALSE)</f>
        <v>0</v>
      </c>
      <c r="BY136" s="24" cm="1">
        <f t="array" ref="BY136">SUM(_xlfn.XLOOKUP($S136:$AL136,增益!$A:$A,增益!$X:$X,0))</f>
        <v>0</v>
      </c>
    </row>
    <row r="140" spans="2:77">
      <c r="B140" s="95"/>
    </row>
  </sheetData>
  <mergeCells count="34">
    <mergeCell ref="H1:I1"/>
    <mergeCell ref="C8:G8"/>
    <mergeCell ref="C15:D15"/>
    <mergeCell ref="E21:F21"/>
    <mergeCell ref="E22:F22"/>
    <mergeCell ref="E23:F23"/>
    <mergeCell ref="E24:F24"/>
    <mergeCell ref="C55:C60"/>
    <mergeCell ref="C89:C96"/>
    <mergeCell ref="D31:D44"/>
    <mergeCell ref="D51:D58"/>
    <mergeCell ref="D66:D78"/>
    <mergeCell ref="D83:D97"/>
    <mergeCell ref="E31:E36"/>
    <mergeCell ref="E56:E58"/>
    <mergeCell ref="E74:E76"/>
    <mergeCell ref="E91:E94"/>
    <mergeCell ref="F34:F37"/>
    <mergeCell ref="F84:F88"/>
    <mergeCell ref="G34:G38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2:F22">
      <formula1>"断石之构,燕别云岫,征人归"</formula1>
    </dataValidation>
    <dataValidation type="list" allowBlank="1" showInputMessage="1" showErrorMessage="1" sqref="E24:F24">
      <formula1>"易水歌"</formula1>
    </dataValidation>
    <dataValidation type="list" allowBlank="1" showInputMessage="1" showErrorMessage="1" sqref="D16:D21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36"/>
  <sheetViews>
    <sheetView topLeftCell="A19" workbookViewId="0">
      <selection activeCell="AD57" sqref="AD57"/>
    </sheetView>
  </sheetViews>
  <sheetFormatPr defaultColWidth="9" defaultRowHeight="13.5"/>
  <cols>
    <col min="1" max="1" width="12.875" customWidth="1"/>
    <col min="11" max="15" width="12.625" style="25" customWidth="1"/>
    <col min="16" max="16" width="12.625" customWidth="1"/>
    <col min="17" max="17" width="9.00833333333333" style="30" customWidth="1"/>
    <col min="18" max="18" width="24.625" style="30" customWidth="1"/>
    <col min="19" max="32" width="9" style="30"/>
    <col min="34" max="34" width="9" style="24"/>
    <col min="35" max="35" width="9" style="25"/>
    <col min="36" max="36" width="9" style="24"/>
    <col min="37" max="37" width="9" style="25"/>
    <col min="38" max="39" width="9" style="24"/>
    <col min="42" max="44" width="9" style="31"/>
    <col min="47" max="48" width="9" style="31"/>
    <col min="61" max="65" width="9" style="24"/>
    <col min="66" max="67" width="9.00833333333333" style="24" customWidth="1"/>
    <col min="68" max="69" width="9" style="24"/>
    <col min="70" max="70" width="12.625"/>
  </cols>
  <sheetData>
    <row r="1" spans="1:77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7" t="s">
        <v>12</v>
      </c>
      <c r="Q1" s="38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s="39" t="s">
        <v>30</v>
      </c>
      <c r="AI1" s="39" t="s">
        <v>31</v>
      </c>
      <c r="AJ1" s="39" t="s">
        <v>32</v>
      </c>
      <c r="AK1" s="39" t="s">
        <v>33</v>
      </c>
      <c r="AL1" s="39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1" t="s">
        <v>44</v>
      </c>
      <c r="AW1" s="31" t="s">
        <v>45</v>
      </c>
      <c r="AX1" s="31" t="s">
        <v>46</v>
      </c>
      <c r="AY1" t="s">
        <v>47</v>
      </c>
      <c r="AZ1" t="s">
        <v>48</v>
      </c>
      <c r="BA1" s="31" t="s">
        <v>49</v>
      </c>
      <c r="BB1" s="31" t="s">
        <v>50</v>
      </c>
      <c r="BC1" t="s">
        <v>51</v>
      </c>
      <c r="BD1" t="s">
        <v>52</v>
      </c>
      <c r="BE1" s="31" t="s">
        <v>53</v>
      </c>
      <c r="BF1" s="31" t="s">
        <v>54</v>
      </c>
      <c r="BG1" t="s">
        <v>55</v>
      </c>
      <c r="BH1" t="s">
        <v>56</v>
      </c>
      <c r="BI1" s="31" t="s">
        <v>57</v>
      </c>
      <c r="BJ1" s="31" t="s">
        <v>58</v>
      </c>
      <c r="BK1" t="s">
        <v>59</v>
      </c>
      <c r="BL1" t="s">
        <v>60</v>
      </c>
      <c r="BM1" s="31" t="s">
        <v>61</v>
      </c>
      <c r="BN1" s="31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26" t="s">
        <v>72</v>
      </c>
      <c r="BY1" s="26" t="s">
        <v>73</v>
      </c>
    </row>
    <row r="2" spans="1:77">
      <c r="A2" s="40" t="s">
        <v>74</v>
      </c>
      <c r="B2" s="30"/>
      <c r="C2" s="30"/>
      <c r="D2" s="30"/>
      <c r="E2" s="41"/>
      <c r="F2" s="42" t="s">
        <v>75</v>
      </c>
      <c r="G2" s="43" t="str">
        <f>期望!G2</f>
        <v>倾觞</v>
      </c>
      <c r="H2" s="44" t="s">
        <v>77</v>
      </c>
      <c r="I2" s="21">
        <f>687*(1-IF(F17="√",0.06,0)-IF(D20="√",0.04,0))</f>
        <v>687</v>
      </c>
      <c r="K2" s="37">
        <f>$L2*VLOOKUP($R2,武学奇术!$A:$ZZ,31,FALSE)</f>
        <v>38878.074529131</v>
      </c>
      <c r="L2" s="37">
        <f t="shared" ref="L2:L29" si="0">($M2*$BT2+$N2*$BR2+$O2*$BU2+$P2*$BV2)</f>
        <v>38878.074529131</v>
      </c>
      <c r="M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*(1+$BX2)</f>
        <v>39300.6944172642</v>
      </c>
      <c r="N2" s="37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*(1+$BX2)</f>
        <v>37355.5585757315</v>
      </c>
      <c r="O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*(1+$BX2)</f>
        <v>24410.3692032697</v>
      </c>
      <c r="P2" s="37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*(1+$BX2)</f>
        <v>21149.9542763679</v>
      </c>
      <c r="Q2" s="38">
        <v>1</v>
      </c>
      <c r="R2" s="39" t="s">
        <v>78</v>
      </c>
      <c r="S2" s="39" t="s">
        <v>79</v>
      </c>
      <c r="T2" s="39" t="s">
        <v>80</v>
      </c>
      <c r="U2" s="39" t="s">
        <v>81</v>
      </c>
      <c r="V2" s="39" t="s">
        <v>82</v>
      </c>
      <c r="W2" s="39" t="s">
        <v>83</v>
      </c>
      <c r="X2" s="39" t="s">
        <v>84</v>
      </c>
      <c r="Y2" s="39" t="s">
        <v>84</v>
      </c>
      <c r="Z2" s="39" t="s">
        <v>84</v>
      </c>
      <c r="AA2" s="39" t="s">
        <v>84</v>
      </c>
      <c r="AB2" s="39" t="s">
        <v>86</v>
      </c>
      <c r="AC2" s="39" t="s">
        <v>84</v>
      </c>
      <c r="AD2" s="39" t="s">
        <v>84</v>
      </c>
      <c r="AE2" s="39" t="s">
        <v>84</v>
      </c>
      <c r="AF2" s="39" t="s">
        <v>88</v>
      </c>
      <c r="AG2" s="39" t="s">
        <v>84</v>
      </c>
      <c r="AH2" s="39" t="s">
        <v>84</v>
      </c>
      <c r="AI2" s="39" t="s">
        <v>84</v>
      </c>
      <c r="AJ2" s="39" t="s">
        <v>84</v>
      </c>
      <c r="AK2" s="39" t="s">
        <v>84</v>
      </c>
      <c r="AL2" s="39" t="s">
        <v>84</v>
      </c>
      <c r="AM2" t="str">
        <f>VLOOKUP($R2,武学奇术!$A:$ZZ,25,FALSE)</f>
        <v>群体奇术</v>
      </c>
      <c r="AN2" s="24">
        <f>VLOOKUP($R2,武学奇术!$A:$ZZ,26,FALSE)</f>
        <v>2.3774</v>
      </c>
      <c r="AO2" s="25">
        <f>VLOOKUP($R2,武学奇术!$A:$ZZ,27,FALSE)*(1+IF(OR($AM2=$F$4,$AM2=$F$5),$B$22,0))</f>
        <v>476</v>
      </c>
      <c r="AP2" s="24">
        <f>VLOOKUP($R2,武学奇术!$A:$ZZ,28,FALSE)</f>
        <v>3.5661</v>
      </c>
      <c r="AQ2" s="25">
        <f>VLOOKUP($R2,武学奇术!$A:$ZZ,29,FALSE)*(1+IF(OR($AM2=$F$4,$AM2=$F$5),$B$22,0))</f>
        <v>0</v>
      </c>
      <c r="AR2" s="24" cm="1">
        <f t="array" ref="AR2">$G$3+IFERROR(VLOOKUP($AM2,$F$4:$G$7,2,FALSE),0)+VLOOKUP($R2,武学奇术!$A:$ZZ,2,FALSE)+SUM(_xlfn.XLOOKUP($S2:$AL2,增益!$A:$A,增益!$B:$B,0))</f>
        <v>0.1242</v>
      </c>
      <c r="AS2" s="24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4274.25</v>
      </c>
      <c r="AU2" cm="1">
        <f t="array" ref="AU2">$E$10*(1+$AS2)+VLOOKUP($R2,武学奇术!$A:$ZZ,4,FALSE)+SUM(_xlfn.XLOOKUP($S2:$AL2,增益!$A:$A,增益!$D:$D,0))-$I$2</f>
        <v>4274.25</v>
      </c>
      <c r="AV2" s="31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0.1884</v>
      </c>
      <c r="AW2" s="31" cm="1">
        <f t="array" ref="AW2">$G$10+VLOOKUP($R2,武学奇术!$A:$ZZ,7,FALSE)+SUM(_xlfn.XLOOKUP($S2:$AL2,增益!$A:$A,增益!$G:$G,0))</f>
        <v>0.11</v>
      </c>
      <c r="AX2" s="24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1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1" cm="1">
        <f t="array" ref="BB2">$G$11+VLOOKUP($R2,武学奇术!$A:$ZZ,10,FALSE)+SUM(_xlfn.XLOOKUP($S2:$AL2,增益!$A:$A,增益!$J:$J,0))</f>
        <v>0.02</v>
      </c>
      <c r="BC2">
        <f t="shared" ref="BC2:BC65" si="3">$D$12*(1+$AX2)</f>
        <v>0</v>
      </c>
      <c r="BD2">
        <f t="shared" ref="BD2:BD65" si="4">$E$12*(1+$AX2)</f>
        <v>0</v>
      </c>
      <c r="BE2" s="31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1" cm="1">
        <f t="array" ref="BF2">$G$12+VLOOKUP($R2,武学奇术!$A:$ZZ,12,FALSE)+SUM(_xlfn.XLOOKUP($S2:$AL2,增益!$A:$A,增益!$L:$L,0))</f>
        <v>0.02</v>
      </c>
      <c r="BG2">
        <f t="shared" ref="BG2:BG65" si="5">$D$13*(1+$AX2)</f>
        <v>0</v>
      </c>
      <c r="BH2">
        <f t="shared" ref="BH2:BH65" si="6">$E$13*(1+$AX2)</f>
        <v>0</v>
      </c>
      <c r="BI2" s="31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1" cm="1">
        <f t="array" ref="BJ2">$G$13+VLOOKUP($R2,武学奇术!$A:$ZZ,14,FALSE)+SUM(_xlfn.XLOOKUP($S2:$AL2,增益!$A:$A,增益!$N:$N,0))</f>
        <v>0.02</v>
      </c>
      <c r="BK2">
        <f t="shared" ref="BK2:BK65" si="7">$D$14*(1+$AX2)</f>
        <v>649.11</v>
      </c>
      <c r="BL2">
        <f t="shared" ref="BL2:BL65" si="8">$E$14*(1+$AX2)</f>
        <v>1812.09</v>
      </c>
      <c r="BM2" s="31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1" cm="1">
        <f t="array" ref="BN2">$G$14+VLOOKUP($R2,武学奇术!$A:$ZZ,16,FALSE)+SUM(_xlfn.XLOOKUP($S2:$AL2,增益!$A:$A,增益!$P:$P,0))</f>
        <v>0.26</v>
      </c>
      <c r="BO2" s="24">
        <f>MIN(IF(VLOOKUP($R2,武学奇术!$A:$ZZ,23,FALSE)=1,100%,$B$8),100%)</f>
        <v>0.9943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0.8985</v>
      </c>
      <c r="BQ2" s="24" cm="1">
        <f t="array" ref="BQ2">1+$B$13+VLOOKUP($R2,武学奇术!$A:$ZZ,18,FALSE)+SUM(_xlfn.XLOOKUP($S2:$AL2,增益!$A:$A,增益!$R:$R,0))</f>
        <v>1.61</v>
      </c>
      <c r="BR2" s="24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4" cm="1">
        <f t="array" ref="BS2">1+$B$14+VLOOKUP($R2,武学奇术!$A:$ZZ,20,FALSE)+SUM(_xlfn.XLOOKUP($S2:$AL2,增益!$A:$A,增益!$T:$T,0))</f>
        <v>1.35</v>
      </c>
      <c r="BT2" s="24">
        <f t="shared" ref="BT2:BT65" si="9">MIN((1-BR2)*BO2,BO2*BP2)</f>
        <v>0.89337855</v>
      </c>
      <c r="BU2" s="24">
        <f t="shared" ref="BU2:BU65" si="10">1-BR2-BT2-BV2</f>
        <v>0.01014186</v>
      </c>
      <c r="BV2" s="24">
        <f>IF(VLOOKUP($R2,武学奇术!$A:$ZZ,22,FALSE)=1,0,(1-$BO2))*(1-$BR2)</f>
        <v>0.00517959000000003</v>
      </c>
      <c r="BW2" s="24" cm="1">
        <f t="array" ref="BW2">SUM(_xlfn.XLOOKUP($S2:$AL2,增益!$A:$A,增益!$W:$W,0))+$I$5</f>
        <v>0.11</v>
      </c>
      <c r="BX2" s="24">
        <f>VLOOKUP($R2,武学奇术!$A:$ZZ,32,FALSE)</f>
        <v>0</v>
      </c>
      <c r="BY2" s="24" cm="1">
        <f t="array" ref="BY2">SUM(_xlfn.XLOOKUP($S2:$AL2,增益!$A:$A,增益!$X:$X,0))</f>
        <v>0</v>
      </c>
    </row>
    <row r="3" spans="1:77">
      <c r="A3" s="45" t="s">
        <v>89</v>
      </c>
      <c r="B3" s="46"/>
      <c r="C3" s="46"/>
      <c r="D3" s="46"/>
      <c r="E3" s="47"/>
      <c r="F3" s="44" t="s">
        <v>40</v>
      </c>
      <c r="G3" s="48">
        <f>B16+1.5%+IF($D$16="√",8%,0)+IF($E$22="征人归",8%,0)</f>
        <v>0.1042</v>
      </c>
      <c r="H3" s="44" t="s">
        <v>90</v>
      </c>
      <c r="I3" s="21">
        <f>25-IF(D17="√",7,0)-IF(F17="√",10,0)</f>
        <v>25</v>
      </c>
      <c r="K3" s="37">
        <f>$L3*VLOOKUP($R3,武学奇术!$A:$ZZ,31,FALSE)</f>
        <v>54729.8393654177</v>
      </c>
      <c r="L3" s="37">
        <f t="shared" si="0"/>
        <v>54729.8393654177</v>
      </c>
      <c r="M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*(1+$BX3)</f>
        <v>56091.6233619566</v>
      </c>
      <c r="N3" s="37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*(1+$BX3)</f>
        <v>45739.6674069299</v>
      </c>
      <c r="O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*(1+$BX3)</f>
        <v>30156.7867537401</v>
      </c>
      <c r="P3" s="37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*(1+$BX3)</f>
        <v>26432.3383912358</v>
      </c>
      <c r="Q3" s="38">
        <v>1</v>
      </c>
      <c r="R3" s="39" t="s">
        <v>78</v>
      </c>
      <c r="S3" s="39" t="s">
        <v>91</v>
      </c>
      <c r="T3" s="39" t="s">
        <v>80</v>
      </c>
      <c r="U3" s="39" t="s">
        <v>81</v>
      </c>
      <c r="V3" s="39" t="s">
        <v>82</v>
      </c>
      <c r="W3" s="39" t="s">
        <v>83</v>
      </c>
      <c r="X3" s="39" t="s">
        <v>84</v>
      </c>
      <c r="Y3" s="39" t="s">
        <v>84</v>
      </c>
      <c r="Z3" s="39" t="s">
        <v>84</v>
      </c>
      <c r="AA3" s="39" t="s">
        <v>84</v>
      </c>
      <c r="AB3" s="39" t="s">
        <v>86</v>
      </c>
      <c r="AC3" s="39" t="s">
        <v>84</v>
      </c>
      <c r="AD3" s="39" t="s">
        <v>93</v>
      </c>
      <c r="AE3" s="39" t="s">
        <v>84</v>
      </c>
      <c r="AF3" s="39" t="s">
        <v>88</v>
      </c>
      <c r="AG3" s="39" t="s">
        <v>94</v>
      </c>
      <c r="AH3" s="39" t="s">
        <v>84</v>
      </c>
      <c r="AI3" s="39" t="s">
        <v>84</v>
      </c>
      <c r="AJ3" s="39" t="s">
        <v>84</v>
      </c>
      <c r="AK3" s="39" t="s">
        <v>84</v>
      </c>
      <c r="AL3" s="39" t="s">
        <v>84</v>
      </c>
      <c r="AM3" t="str">
        <f>VLOOKUP($R3,武学奇术!$A:$ZZ,25,FALSE)</f>
        <v>群体奇术</v>
      </c>
      <c r="AN3" s="24">
        <f>VLOOKUP($R3,武学奇术!$A:$ZZ,26,FALSE)</f>
        <v>2.3774</v>
      </c>
      <c r="AO3" s="25">
        <f>VLOOKUP($R3,武学奇术!$A:$ZZ,27,FALSE)*(1+IF(OR($AM3=$F$4,$AM3=$F$5),$B$22,0))</f>
        <v>476</v>
      </c>
      <c r="AP3" s="24">
        <f>VLOOKUP($R3,武学奇术!$A:$ZZ,28,FALSE)</f>
        <v>3.5661</v>
      </c>
      <c r="AQ3" s="25">
        <f>VLOOKUP($R3,武学奇术!$A:$ZZ,29,FALSE)*(1+IF(OR($AM3=$F$4,$AM3=$F$5),$B$22,0))</f>
        <v>0</v>
      </c>
      <c r="AR3" s="24" cm="1">
        <f t="array" ref="AR3">$G$3+IFERROR(VLOOKUP($AM3,$F$4:$G$7,2,FALSE),0)+VLOOKUP($R3,武学奇术!$A:$ZZ,2,FALSE)+SUM(_xlfn.XLOOKUP($S3:$AL3,增益!$A:$A,增益!$B:$B,0))</f>
        <v>0.2842</v>
      </c>
      <c r="AS3" s="24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4274.25</v>
      </c>
      <c r="AU3" cm="1">
        <f t="array" ref="AU3">$E$10*(1+$AS3)+VLOOKUP($R3,武学奇术!$A:$ZZ,4,FALSE)+SUM(_xlfn.XLOOKUP($S3:$AL3,增益!$A:$A,增益!$D:$D,0))-$I$2</f>
        <v>4274.25</v>
      </c>
      <c r="AV3" s="31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0.3234</v>
      </c>
      <c r="AW3" s="31" cm="1">
        <f t="array" ref="AW3">$G$10+VLOOKUP($R3,武学奇术!$A:$ZZ,7,FALSE)+SUM(_xlfn.XLOOKUP($S3:$AL3,增益!$A:$A,增益!$G:$G,0))</f>
        <v>0.11</v>
      </c>
      <c r="AX3" s="24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1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1" cm="1">
        <f t="array" ref="BB3">$G$11+VLOOKUP($R3,武学奇术!$A:$ZZ,10,FALSE)+SUM(_xlfn.XLOOKUP($S3:$AL3,增益!$A:$A,增益!$J:$J,0))</f>
        <v>0.02</v>
      </c>
      <c r="BC3">
        <f t="shared" si="3"/>
        <v>0</v>
      </c>
      <c r="BD3">
        <f t="shared" si="4"/>
        <v>0</v>
      </c>
      <c r="BE3" s="31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1" cm="1">
        <f t="array" ref="BF3">$G$12+VLOOKUP($R3,武学奇术!$A:$ZZ,12,FALSE)+SUM(_xlfn.XLOOKUP($S3:$AL3,增益!$A:$A,增益!$L:$L,0))</f>
        <v>0.02</v>
      </c>
      <c r="BG3">
        <f t="shared" si="5"/>
        <v>0</v>
      </c>
      <c r="BH3">
        <f t="shared" si="6"/>
        <v>0</v>
      </c>
      <c r="BI3" s="31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-0.3</v>
      </c>
      <c r="BJ3" s="31" cm="1">
        <f t="array" ref="BJ3">$G$13+VLOOKUP($R3,武学奇术!$A:$ZZ,14,FALSE)+SUM(_xlfn.XLOOKUP($S3:$AL3,增益!$A:$A,增益!$N:$N,0))</f>
        <v>0.02</v>
      </c>
      <c r="BK3">
        <f t="shared" si="7"/>
        <v>649.11</v>
      </c>
      <c r="BL3">
        <f t="shared" si="8"/>
        <v>1812.09</v>
      </c>
      <c r="BM3" s="31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</v>
      </c>
      <c r="BN3" s="31" cm="1">
        <f t="array" ref="BN3">$G$14+VLOOKUP($R3,武学奇术!$A:$ZZ,16,FALSE)+SUM(_xlfn.XLOOKUP($S3:$AL3,增益!$A:$A,增益!$P:$P,0))</f>
        <v>0.26</v>
      </c>
      <c r="BO3" s="24">
        <f>MIN(IF(VLOOKUP($R3,武学奇术!$A:$ZZ,23,FALSE)=1,100%,$B$8),100%)</f>
        <v>0.9943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0.8985</v>
      </c>
      <c r="BQ3" s="24" cm="1">
        <f t="array" ref="BQ3">1+$B$13+VLOOKUP($R3,武学奇术!$A:$ZZ,18,FALSE)+SUM(_xlfn.XLOOKUP($S3:$AL3,增益!$A:$A,增益!$R:$R,0))</f>
        <v>1.86</v>
      </c>
      <c r="BR3" s="24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4" cm="1">
        <f t="array" ref="BS3">1+$B$14+VLOOKUP($R3,武学奇术!$A:$ZZ,20,FALSE)+SUM(_xlfn.XLOOKUP($S3:$AL3,增益!$A:$A,增益!$T:$T,0))</f>
        <v>1.35</v>
      </c>
      <c r="BT3" s="24">
        <f t="shared" si="9"/>
        <v>0.89337855</v>
      </c>
      <c r="BU3" s="24">
        <f t="shared" si="10"/>
        <v>0.01014186</v>
      </c>
      <c r="BV3" s="24">
        <f>IF(VLOOKUP($R3,武学奇术!$A:$ZZ,22,FALSE)=1,0,(1-$BO3))*(1-$BR3)</f>
        <v>0.00517959000000003</v>
      </c>
      <c r="BW3" s="24" cm="1">
        <f t="array" ref="BW3">SUM(_xlfn.XLOOKUP($S3:$AL3,增益!$A:$A,增益!$W:$W,0))+$I$5</f>
        <v>0.11</v>
      </c>
      <c r="BX3" s="24">
        <f>VLOOKUP($R3,武学奇术!$A:$ZZ,32,FALSE)</f>
        <v>0</v>
      </c>
      <c r="BY3" s="24" cm="1">
        <f t="array" ref="BY3">SUM(_xlfn.XLOOKUP($S3:$AL3,增益!$A:$A,增益!$X:$X,0))</f>
        <v>0</v>
      </c>
    </row>
    <row r="4" ht="14.25" spans="1:77">
      <c r="A4" s="49" t="s">
        <v>95</v>
      </c>
      <c r="B4" s="50"/>
      <c r="C4" s="50"/>
      <c r="D4" s="50"/>
      <c r="E4" s="51"/>
      <c r="F4" s="44" t="s">
        <v>96</v>
      </c>
      <c r="G4" s="48">
        <f>B15+B17</f>
        <v>0.1701</v>
      </c>
      <c r="H4" s="52" t="s">
        <v>97</v>
      </c>
      <c r="I4" s="14">
        <f>30</f>
        <v>30</v>
      </c>
      <c r="K4" s="37">
        <f>$L4*VLOOKUP($R4,武学奇术!$A:$ZZ,31,FALSE)</f>
        <v>55734.4154739637</v>
      </c>
      <c r="L4" s="37">
        <f t="shared" si="0"/>
        <v>55734.4154739637</v>
      </c>
      <c r="M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*(1+$BX4)</f>
        <v>57149.5217844043</v>
      </c>
      <c r="N4" s="37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*(1+$BX4)</f>
        <v>46324.8342650262</v>
      </c>
      <c r="O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*(1+$BX4)</f>
        <v>30561.2415959381</v>
      </c>
      <c r="P4" s="37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*(1+$BX4)</f>
        <v>26807.7911437087</v>
      </c>
      <c r="Q4" s="38">
        <v>1</v>
      </c>
      <c r="R4" s="39" t="s">
        <v>78</v>
      </c>
      <c r="S4" s="39" t="s">
        <v>98</v>
      </c>
      <c r="T4" s="39" t="s">
        <v>99</v>
      </c>
      <c r="U4" s="39" t="s">
        <v>81</v>
      </c>
      <c r="V4" s="39" t="s">
        <v>82</v>
      </c>
      <c r="W4" s="39" t="s">
        <v>83</v>
      </c>
      <c r="X4" s="39" t="s">
        <v>84</v>
      </c>
      <c r="Y4" s="39" t="s">
        <v>84</v>
      </c>
      <c r="Z4" s="39" t="s">
        <v>84</v>
      </c>
      <c r="AA4" s="39" t="s">
        <v>84</v>
      </c>
      <c r="AB4" s="39" t="s">
        <v>86</v>
      </c>
      <c r="AC4" s="39" t="s">
        <v>84</v>
      </c>
      <c r="AD4" s="39" t="s">
        <v>93</v>
      </c>
      <c r="AE4" s="39" t="s">
        <v>84</v>
      </c>
      <c r="AF4" s="39" t="s">
        <v>88</v>
      </c>
      <c r="AG4" s="39" t="s">
        <v>94</v>
      </c>
      <c r="AH4" s="39" t="s">
        <v>84</v>
      </c>
      <c r="AI4" s="39" t="s">
        <v>84</v>
      </c>
      <c r="AJ4" s="39" t="s">
        <v>84</v>
      </c>
      <c r="AK4" s="39" t="s">
        <v>84</v>
      </c>
      <c r="AL4" s="39" t="s">
        <v>84</v>
      </c>
      <c r="AM4" t="str">
        <f>VLOOKUP($R4,武学奇术!$A:$ZZ,25,FALSE)</f>
        <v>群体奇术</v>
      </c>
      <c r="AN4" s="24">
        <f>VLOOKUP($R4,武学奇术!$A:$ZZ,26,FALSE)</f>
        <v>2.3774</v>
      </c>
      <c r="AO4" s="25">
        <f>VLOOKUP($R4,武学奇术!$A:$ZZ,27,FALSE)*(1+IF(OR($AM4=$F$4,$AM4=$F$5),$B$22,0))</f>
        <v>476</v>
      </c>
      <c r="AP4" s="24">
        <f>VLOOKUP($R4,武学奇术!$A:$ZZ,28,FALSE)</f>
        <v>3.5661</v>
      </c>
      <c r="AQ4" s="25">
        <f>VLOOKUP($R4,武学奇术!$A:$ZZ,29,FALSE)*(1+IF(OR($AM4=$F$4,$AM4=$F$5),$B$22,0))</f>
        <v>0</v>
      </c>
      <c r="AR4" s="24" cm="1">
        <f t="array" ref="AR4">$G$3+IFERROR(VLOOKUP($AM4,$F$4:$G$7,2,FALSE),0)+VLOOKUP($R4,武学奇术!$A:$ZZ,2,FALSE)+SUM(_xlfn.XLOOKUP($S4:$AL4,增益!$A:$A,增益!$B:$B,0))</f>
        <v>0.2942</v>
      </c>
      <c r="AS4" s="24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4274.25</v>
      </c>
      <c r="AU4" cm="1">
        <f t="array" ref="AU4">$E$10*(1+$AS4)+VLOOKUP($R4,武学奇术!$A:$ZZ,4,FALSE)+SUM(_xlfn.XLOOKUP($S4:$AL4,增益!$A:$A,增益!$D:$D,0))-$I$2</f>
        <v>4274.25</v>
      </c>
      <c r="AV4" s="31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0.3334</v>
      </c>
      <c r="AW4" s="31" cm="1">
        <f t="array" ref="AW4">$G$10+VLOOKUP($R4,武学奇术!$A:$ZZ,7,FALSE)+SUM(_xlfn.XLOOKUP($S4:$AL4,增益!$A:$A,增益!$G:$G,0))</f>
        <v>0.11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1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1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1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1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1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-0.3</v>
      </c>
      <c r="BJ4" s="31" cm="1">
        <f t="array" ref="BJ4">$G$13+VLOOKUP($R4,武学奇术!$A:$ZZ,14,FALSE)+SUM(_xlfn.XLOOKUP($S4:$AL4,增益!$A:$A,增益!$N:$N,0))</f>
        <v>0.02</v>
      </c>
      <c r="BK4">
        <f t="shared" si="7"/>
        <v>649.11</v>
      </c>
      <c r="BL4">
        <f t="shared" si="8"/>
        <v>1812.09</v>
      </c>
      <c r="BM4" s="31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</v>
      </c>
      <c r="BN4" s="31" cm="1">
        <f t="array" ref="BN4">$G$14+VLOOKUP($R4,武学奇术!$A:$ZZ,16,FALSE)+SUM(_xlfn.XLOOKUP($S4:$AL4,增益!$A:$A,增益!$P:$P,0))</f>
        <v>0.26</v>
      </c>
      <c r="BO4" s="24">
        <f>MIN(IF(VLOOKUP($R4,武学奇术!$A:$ZZ,23,FALSE)=1,100%,$B$8),100%)</f>
        <v>0.9943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0.8985</v>
      </c>
      <c r="BQ4" s="24" cm="1">
        <f t="array" ref="BQ4">1+$B$13+VLOOKUP($R4,武学奇术!$A:$ZZ,18,FALSE)+SUM(_xlfn.XLOOKUP($S4:$AL4,增益!$A:$A,增益!$R:$R,0))</f>
        <v>1.87</v>
      </c>
      <c r="BR4" s="24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0.89337855</v>
      </c>
      <c r="BU4" s="24">
        <f t="shared" si="10"/>
        <v>0.01014186</v>
      </c>
      <c r="BV4" s="24">
        <f>IF(VLOOKUP($R4,武学奇术!$A:$ZZ,22,FALSE)=1,0,(1-$BO4))*(1-$BR4)</f>
        <v>0.00517959000000003</v>
      </c>
      <c r="BW4" s="24" cm="1">
        <f t="array" ref="BW4">SUM(_xlfn.XLOOKUP($S4:$AL4,增益!$A:$A,增益!$W:$W,0))+$I$5</f>
        <v>0.11</v>
      </c>
      <c r="BX4" s="24">
        <f>VLOOKUP($R4,武学奇术!$A:$ZZ,32,FALSE)</f>
        <v>0</v>
      </c>
      <c r="BY4" s="24" cm="1">
        <f t="array" ref="BY4">SUM(_xlfn.XLOOKUP($S4:$AL4,增益!$A:$A,增益!$X:$X,0))</f>
        <v>0</v>
      </c>
    </row>
    <row r="5" spans="1:77">
      <c r="A5" s="53" t="s">
        <v>101</v>
      </c>
      <c r="B5" s="54"/>
      <c r="C5" s="54"/>
      <c r="D5" s="54"/>
      <c r="E5" s="55"/>
      <c r="F5" s="44" t="s">
        <v>102</v>
      </c>
      <c r="G5" s="48">
        <f>B15+B18</f>
        <v>0.1701</v>
      </c>
      <c r="H5" t="s">
        <v>103</v>
      </c>
      <c r="I5" s="27">
        <v>0.06</v>
      </c>
      <c r="K5" s="37">
        <f>$L5*VLOOKUP($R5,武学奇术!$A:$ZZ,31,FALSE)</f>
        <v>56474.3197917368</v>
      </c>
      <c r="L5" s="37">
        <f t="shared" si="0"/>
        <v>56474.3197917368</v>
      </c>
      <c r="M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*(1+$BX5)</f>
        <v>57910.7542037363</v>
      </c>
      <c r="N5" s="37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*(1+$BX5)</f>
        <v>46913.5399022504</v>
      </c>
      <c r="O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*(1+$BX5)</f>
        <v>30968.3177560087</v>
      </c>
      <c r="P5" s="37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*(1+$BX5)</f>
        <v>27185.8652140541</v>
      </c>
      <c r="Q5" s="38">
        <v>1</v>
      </c>
      <c r="R5" s="39" t="s">
        <v>78</v>
      </c>
      <c r="S5" s="39" t="s">
        <v>104</v>
      </c>
      <c r="T5" s="39" t="s">
        <v>99</v>
      </c>
      <c r="U5" s="39" t="s">
        <v>81</v>
      </c>
      <c r="V5" s="39" t="s">
        <v>82</v>
      </c>
      <c r="W5" s="39" t="s">
        <v>83</v>
      </c>
      <c r="X5" s="39" t="s">
        <v>84</v>
      </c>
      <c r="Y5" s="39" t="s">
        <v>84</v>
      </c>
      <c r="Z5" s="39" t="s">
        <v>84</v>
      </c>
      <c r="AA5" s="39" t="s">
        <v>84</v>
      </c>
      <c r="AB5" s="39" t="s">
        <v>86</v>
      </c>
      <c r="AC5" s="39" t="s">
        <v>84</v>
      </c>
      <c r="AD5" s="39" t="s">
        <v>93</v>
      </c>
      <c r="AE5" s="39" t="s">
        <v>84</v>
      </c>
      <c r="AF5" s="39" t="s">
        <v>88</v>
      </c>
      <c r="AG5" s="39" t="s">
        <v>94</v>
      </c>
      <c r="AH5" s="39" t="s">
        <v>84</v>
      </c>
      <c r="AI5" s="39" t="s">
        <v>84</v>
      </c>
      <c r="AJ5" s="39" t="s">
        <v>84</v>
      </c>
      <c r="AK5" s="39" t="s">
        <v>84</v>
      </c>
      <c r="AL5" s="39" t="s">
        <v>84</v>
      </c>
      <c r="AM5" t="str">
        <f>VLOOKUP($R5,武学奇术!$A:$ZZ,25,FALSE)</f>
        <v>群体奇术</v>
      </c>
      <c r="AN5" s="24">
        <f>VLOOKUP($R5,武学奇术!$A:$ZZ,26,FALSE)</f>
        <v>2.3774</v>
      </c>
      <c r="AO5" s="25">
        <f>VLOOKUP($R5,武学奇术!$A:$ZZ,27,FALSE)*(1+IF(OR($AM5=$F$4,$AM5=$F$5),$B$22,0))</f>
        <v>476</v>
      </c>
      <c r="AP5" s="24">
        <f>VLOOKUP($R5,武学奇术!$A:$ZZ,28,FALSE)</f>
        <v>3.5661</v>
      </c>
      <c r="AQ5" s="25">
        <f>VLOOKUP($R5,武学奇术!$A:$ZZ,29,FALSE)*(1+IF(OR($AM5=$F$4,$AM5=$F$5),$B$22,0))</f>
        <v>0</v>
      </c>
      <c r="AR5" s="24" cm="1">
        <f t="array" ref="AR5">$G$3+IFERROR(VLOOKUP($AM5,$F$4:$G$7,2,FALSE),0)+VLOOKUP($R5,武学奇术!$A:$ZZ,2,FALSE)+SUM(_xlfn.XLOOKUP($S5:$AL5,增益!$A:$A,增益!$B:$B,0))</f>
        <v>0.3042</v>
      </c>
      <c r="AS5" s="24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4274.25</v>
      </c>
      <c r="AU5" cm="1">
        <f t="array" ref="AU5">$E$10*(1+$AS5)+VLOOKUP($R5,武学奇术!$A:$ZZ,4,FALSE)+SUM(_xlfn.XLOOKUP($S5:$AL5,增益!$A:$A,增益!$D:$D,0))-$I$2</f>
        <v>4274.25</v>
      </c>
      <c r="AV5" s="31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0.3434</v>
      </c>
      <c r="AW5" s="31" cm="1">
        <f t="array" ref="AW5">$G$10+VLOOKUP($R5,武学奇术!$A:$ZZ,7,FALSE)+SUM(_xlfn.XLOOKUP($S5:$AL5,增益!$A:$A,增益!$G:$G,0))</f>
        <v>0.11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1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1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1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1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1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-0.3</v>
      </c>
      <c r="BJ5" s="31" cm="1">
        <f t="array" ref="BJ5">$G$13+VLOOKUP($R5,武学奇术!$A:$ZZ,14,FALSE)+SUM(_xlfn.XLOOKUP($S5:$AL5,增益!$A:$A,增益!$N:$N,0))</f>
        <v>0.02</v>
      </c>
      <c r="BK5">
        <f t="shared" si="7"/>
        <v>649.11</v>
      </c>
      <c r="BL5">
        <f t="shared" si="8"/>
        <v>1812.09</v>
      </c>
      <c r="BM5" s="31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</v>
      </c>
      <c r="BN5" s="31" cm="1">
        <f t="array" ref="BN5">$G$14+VLOOKUP($R5,武学奇术!$A:$ZZ,16,FALSE)+SUM(_xlfn.XLOOKUP($S5:$AL5,增益!$A:$A,增益!$P:$P,0))</f>
        <v>0.26</v>
      </c>
      <c r="BO5" s="24">
        <f>MIN(IF(VLOOKUP($R5,武学奇术!$A:$ZZ,23,FALSE)=1,100%,$B$8),100%)</f>
        <v>0.9943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0.8985</v>
      </c>
      <c r="BQ5" s="24" cm="1">
        <f t="array" ref="BQ5">1+$B$13+VLOOKUP($R5,武学奇术!$A:$ZZ,18,FALSE)+SUM(_xlfn.XLOOKUP($S5:$AL5,增益!$A:$A,增益!$R:$R,0))</f>
        <v>1.87</v>
      </c>
      <c r="BR5" s="24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0.89337855</v>
      </c>
      <c r="BU5" s="24">
        <f t="shared" si="10"/>
        <v>0.01014186</v>
      </c>
      <c r="BV5" s="24">
        <f>IF(VLOOKUP($R5,武学奇术!$A:$ZZ,22,FALSE)=1,0,(1-$BO5))*(1-$BR5)</f>
        <v>0.00517959000000003</v>
      </c>
      <c r="BW5" s="24" cm="1">
        <f t="array" ref="BW5">SUM(_xlfn.XLOOKUP($S5:$AL5,增益!$A:$A,增益!$W:$W,0))+$I$5</f>
        <v>0.11</v>
      </c>
      <c r="BX5" s="24">
        <f>VLOOKUP($R5,武学奇术!$A:$ZZ,32,FALSE)</f>
        <v>0</v>
      </c>
      <c r="BY5" s="24" cm="1">
        <f t="array" ref="BY5">SUM(_xlfn.XLOOKUP($S5:$AL5,增益!$A:$A,增益!$X:$X,0))</f>
        <v>0</v>
      </c>
    </row>
    <row r="6" spans="1:77">
      <c r="A6" s="56" t="s">
        <v>5</v>
      </c>
      <c r="B6" s="57"/>
      <c r="C6" s="57"/>
      <c r="D6" s="57"/>
      <c r="E6" s="58"/>
      <c r="F6" s="44" t="s">
        <v>105</v>
      </c>
      <c r="G6" s="48">
        <f>B19</f>
        <v>0</v>
      </c>
      <c r="K6" s="37">
        <f>$L6*VLOOKUP($R6,武学奇术!$A:$ZZ,31,FALSE)</f>
        <v>56750.9840998648</v>
      </c>
      <c r="L6" s="37">
        <f t="shared" si="0"/>
        <v>56750.9840998648</v>
      </c>
      <c r="M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*(1+$BX6)</f>
        <v>58220.4373812964</v>
      </c>
      <c r="N6" s="37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*(1+$BX6)</f>
        <v>46913.5399022504</v>
      </c>
      <c r="O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*(1+$BX6)</f>
        <v>30968.3177560087</v>
      </c>
      <c r="P6" s="37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*(1+$BX6)</f>
        <v>27185.8652140541</v>
      </c>
      <c r="Q6" s="38">
        <v>1</v>
      </c>
      <c r="R6" s="39" t="s">
        <v>78</v>
      </c>
      <c r="S6" s="39" t="s">
        <v>104</v>
      </c>
      <c r="T6" s="39" t="s">
        <v>106</v>
      </c>
      <c r="U6" s="39" t="s">
        <v>81</v>
      </c>
      <c r="V6" s="39" t="s">
        <v>82</v>
      </c>
      <c r="W6" s="39" t="s">
        <v>83</v>
      </c>
      <c r="X6" s="39" t="s">
        <v>84</v>
      </c>
      <c r="Y6" s="39" t="s">
        <v>84</v>
      </c>
      <c r="Z6" s="39" t="s">
        <v>84</v>
      </c>
      <c r="AA6" s="39" t="s">
        <v>84</v>
      </c>
      <c r="AB6" s="39" t="s">
        <v>107</v>
      </c>
      <c r="AC6" s="39" t="s">
        <v>84</v>
      </c>
      <c r="AD6" s="39" t="s">
        <v>93</v>
      </c>
      <c r="AE6" s="39" t="s">
        <v>84</v>
      </c>
      <c r="AF6" s="39" t="s">
        <v>88</v>
      </c>
      <c r="AG6" s="39" t="s">
        <v>94</v>
      </c>
      <c r="AH6" s="39" t="s">
        <v>84</v>
      </c>
      <c r="AI6" s="39" t="s">
        <v>84</v>
      </c>
      <c r="AJ6" s="39" t="s">
        <v>84</v>
      </c>
      <c r="AK6" s="39" t="s">
        <v>84</v>
      </c>
      <c r="AL6" s="39" t="s">
        <v>84</v>
      </c>
      <c r="AM6" t="str">
        <f>VLOOKUP($R6,武学奇术!$A:$ZZ,25,FALSE)</f>
        <v>群体奇术</v>
      </c>
      <c r="AN6" s="24">
        <f>VLOOKUP($R6,武学奇术!$A:$ZZ,26,FALSE)</f>
        <v>2.3774</v>
      </c>
      <c r="AO6" s="25">
        <f>VLOOKUP($R6,武学奇术!$A:$ZZ,27,FALSE)*(1+IF(OR($AM6=$F$4,$AM6=$F$5),$B$22,0))</f>
        <v>476</v>
      </c>
      <c r="AP6" s="24">
        <f>VLOOKUP($R6,武学奇术!$A:$ZZ,28,FALSE)</f>
        <v>3.5661</v>
      </c>
      <c r="AQ6" s="25">
        <f>VLOOKUP($R6,武学奇术!$A:$ZZ,29,FALSE)*(1+IF(OR($AM6=$F$4,$AM6=$F$5),$B$22,0))</f>
        <v>0</v>
      </c>
      <c r="AR6" s="24" cm="1">
        <f t="array" ref="AR6">$G$3+IFERROR(VLOOKUP($AM6,$F$4:$G$7,2,FALSE),0)+VLOOKUP($R6,武学奇术!$A:$ZZ,2,FALSE)+SUM(_xlfn.XLOOKUP($S6:$AL6,增益!$A:$A,增益!$B:$B,0))</f>
        <v>0.3042</v>
      </c>
      <c r="AS6" s="24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4274.25</v>
      </c>
      <c r="AU6" cm="1">
        <f t="array" ref="AU6">$E$10*(1+$AS6)+VLOOKUP($R6,武学奇术!$A:$ZZ,4,FALSE)+SUM(_xlfn.XLOOKUP($S6:$AL6,增益!$A:$A,增益!$D:$D,0))-$I$2</f>
        <v>4274.25</v>
      </c>
      <c r="AV6" s="31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0.3434</v>
      </c>
      <c r="AW6" s="31" cm="1">
        <f t="array" ref="AW6">$G$10+VLOOKUP($R6,武学奇术!$A:$ZZ,7,FALSE)+SUM(_xlfn.XLOOKUP($S6:$AL6,增益!$A:$A,增益!$G:$G,0))</f>
        <v>0.11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1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1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1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1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1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-0.3</v>
      </c>
      <c r="BJ6" s="31" cm="1">
        <f t="array" ref="BJ6">$G$13+VLOOKUP($R6,武学奇术!$A:$ZZ,14,FALSE)+SUM(_xlfn.XLOOKUP($S6:$AL6,增益!$A:$A,增益!$N:$N,0))</f>
        <v>0.02</v>
      </c>
      <c r="BK6">
        <f t="shared" si="7"/>
        <v>649.11</v>
      </c>
      <c r="BL6">
        <f t="shared" si="8"/>
        <v>1812.09</v>
      </c>
      <c r="BM6" s="31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</v>
      </c>
      <c r="BN6" s="31" cm="1">
        <f t="array" ref="BN6">$G$14+VLOOKUP($R6,武学奇术!$A:$ZZ,16,FALSE)+SUM(_xlfn.XLOOKUP($S6:$AL6,增益!$A:$A,增益!$P:$P,0))</f>
        <v>0.26</v>
      </c>
      <c r="BO6" s="24">
        <f>MIN(IF(VLOOKUP($R6,武学奇术!$A:$ZZ,23,FALSE)=1,100%,$B$8),100%)</f>
        <v>0.9943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0.8985</v>
      </c>
      <c r="BQ6" s="24" cm="1">
        <f t="array" ref="BQ6">1+$B$13+VLOOKUP($R6,武学奇术!$A:$ZZ,18,FALSE)+SUM(_xlfn.XLOOKUP($S6:$AL6,增益!$A:$A,增益!$R:$R,0))</f>
        <v>1.88</v>
      </c>
      <c r="BR6" s="24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0.89337855</v>
      </c>
      <c r="BU6" s="24">
        <f t="shared" si="10"/>
        <v>0.01014186</v>
      </c>
      <c r="BV6" s="24">
        <f>IF(VLOOKUP($R6,武学奇术!$A:$ZZ,22,FALSE)=1,0,(1-$BO6))*(1-$BR6)</f>
        <v>0.00517959000000003</v>
      </c>
      <c r="BW6" s="24" cm="1">
        <f t="array" ref="BW6">SUM(_xlfn.XLOOKUP($S6:$AL6,增益!$A:$A,增益!$W:$W,0))+$I$5</f>
        <v>0.11</v>
      </c>
      <c r="BX6" s="24">
        <f>VLOOKUP($R6,武学奇术!$A:$ZZ,32,FALSE)</f>
        <v>0</v>
      </c>
      <c r="BY6" s="24" cm="1">
        <f t="array" ref="BY6">SUM(_xlfn.XLOOKUP($S6:$AL6,增益!$A:$A,增益!$X:$X,0))</f>
        <v>0</v>
      </c>
    </row>
    <row r="7" ht="14.25" spans="1:77">
      <c r="A7" s="40" t="s">
        <v>108</v>
      </c>
      <c r="B7" s="59"/>
      <c r="C7" s="59"/>
      <c r="D7" s="60"/>
      <c r="E7" s="61"/>
      <c r="F7" s="52" t="s">
        <v>109</v>
      </c>
      <c r="G7" s="62">
        <f>B20</f>
        <v>0</v>
      </c>
      <c r="K7" s="37">
        <f>$L7*VLOOKUP($R7,武学奇术!$A:$ZZ,31,FALSE)</f>
        <v>11476.1240201462</v>
      </c>
      <c r="L7" s="37">
        <f t="shared" si="0"/>
        <v>11476.1240201462</v>
      </c>
      <c r="M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*(1+$BX7)</f>
        <v>11558.0566413971</v>
      </c>
      <c r="N7" s="37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*(1+$BX7)</f>
        <v>11393.8013302761</v>
      </c>
      <c r="O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*(1+$BX7)</f>
        <v>7505.23158532281</v>
      </c>
      <c r="P7" s="37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*(1+$BX7)</f>
        <v>6570.61033340409</v>
      </c>
      <c r="Q7" s="38">
        <v>1</v>
      </c>
      <c r="R7" s="39" t="s">
        <v>110</v>
      </c>
      <c r="S7" s="39" t="s">
        <v>84</v>
      </c>
      <c r="T7" s="39" t="s">
        <v>84</v>
      </c>
      <c r="U7" s="39" t="s">
        <v>84</v>
      </c>
      <c r="V7" s="39" t="s">
        <v>84</v>
      </c>
      <c r="W7" s="39" t="s">
        <v>84</v>
      </c>
      <c r="X7" s="39" t="s">
        <v>84</v>
      </c>
      <c r="Y7" s="39" t="s">
        <v>84</v>
      </c>
      <c r="Z7" s="39" t="s">
        <v>84</v>
      </c>
      <c r="AA7" s="39" t="s">
        <v>84</v>
      </c>
      <c r="AB7" s="39" t="s">
        <v>111</v>
      </c>
      <c r="AC7" s="39" t="s">
        <v>84</v>
      </c>
      <c r="AD7" s="39" t="s">
        <v>84</v>
      </c>
      <c r="AE7" s="39" t="s">
        <v>84</v>
      </c>
      <c r="AF7" s="39" t="s">
        <v>88</v>
      </c>
      <c r="AG7" s="39" t="s">
        <v>84</v>
      </c>
      <c r="AH7" s="39" t="s">
        <v>84</v>
      </c>
      <c r="AI7" s="39" t="s">
        <v>84</v>
      </c>
      <c r="AJ7" s="39" t="s">
        <v>84</v>
      </c>
      <c r="AK7" s="39" t="s">
        <v>84</v>
      </c>
      <c r="AL7" s="39" t="s">
        <v>84</v>
      </c>
      <c r="AM7" t="str">
        <f>VLOOKUP($R7,武学奇术!$A:$ZZ,25,FALSE)</f>
        <v>双刀</v>
      </c>
      <c r="AN7" s="24">
        <f>VLOOKUP($R7,武学奇术!$A:$ZZ,26,FALSE)</f>
        <v>0.6587</v>
      </c>
      <c r="AO7" s="25">
        <f>VLOOKUP($R7,武学奇术!$A:$ZZ,27,FALSE)*(1+IF(OR($AM7=$F$4,$AM7=$F$5),$B$22,0))</f>
        <v>292.8</v>
      </c>
      <c r="AP7" s="24">
        <f>VLOOKUP($R7,武学奇术!$A:$ZZ,28,FALSE)</f>
        <v>0.9881</v>
      </c>
      <c r="AQ7" s="25">
        <f>VLOOKUP($R7,武学奇术!$A:$ZZ,29,FALSE)*(1+IF(OR($AM7=$F$4,$AM7=$F$5),$B$22,0))</f>
        <v>160</v>
      </c>
      <c r="AR7" s="24" cm="1">
        <f t="array" ref="AR7">$G$3+IFERROR(VLOOKUP($AM7,$F$4:$G$7,2,FALSE),0)+VLOOKUP($R7,武学奇术!$A:$ZZ,2,FALSE)+SUM(_xlfn.XLOOKUP($S7:$AL7,增益!$A:$A,增益!$B:$B,0))</f>
        <v>0.2743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4274.25</v>
      </c>
      <c r="AU7" cm="1">
        <f t="array" ref="AU7">$E$10*(1+$AS7)+VLOOKUP($R7,武学奇术!$A:$ZZ,4,FALSE)+SUM(_xlfn.XLOOKUP($S7:$AL7,增益!$A:$A,增益!$D:$D,0))-$I$2</f>
        <v>4274.25</v>
      </c>
      <c r="AV7" s="31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0.1684</v>
      </c>
      <c r="AW7" s="31" cm="1">
        <f t="array" ref="AW7">$G$10+VLOOKUP($R7,武学奇术!$A:$ZZ,7,FALSE)+SUM(_xlfn.XLOOKUP($S7:$AL7,增益!$A:$A,增益!$G:$G,0))</f>
        <v>0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1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1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1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1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1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1" cm="1">
        <f t="array" ref="BJ7">$G$13+VLOOKUP($R7,武学奇术!$A:$ZZ,14,FALSE)+SUM(_xlfn.XLOOKUP($S7:$AL7,增益!$A:$A,增益!$N:$N,0))</f>
        <v>0</v>
      </c>
      <c r="BK7">
        <f t="shared" si="7"/>
        <v>649.11</v>
      </c>
      <c r="BL7">
        <f t="shared" si="8"/>
        <v>1812.09</v>
      </c>
      <c r="BM7" s="31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1" cm="1">
        <f t="array" ref="BN7">$G$14+VLOOKUP($R7,武学奇术!$A:$ZZ,16,FALSE)+SUM(_xlfn.XLOOKUP($S7:$AL7,增益!$A:$A,增益!$P:$P,0))</f>
        <v>0.15</v>
      </c>
      <c r="BO7" s="24">
        <f>MIN(IF(VLOOKUP($R7,武学奇术!$A:$ZZ,23,FALSE)=1,100%,$B$8),100%)</f>
        <v>0.9943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0.8985</v>
      </c>
      <c r="BQ7" s="24" cm="1">
        <f t="array" ref="BQ7">1+$B$13+VLOOKUP($R7,武学奇术!$A:$ZZ,18,FALSE)+SUM(_xlfn.XLOOKUP($S7:$AL7,增益!$A:$A,增益!$R:$R,0))</f>
        <v>1.54</v>
      </c>
      <c r="BR7" s="24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0.89337855</v>
      </c>
      <c r="BU7" s="24">
        <f t="shared" si="10"/>
        <v>0.01014186</v>
      </c>
      <c r="BV7" s="24">
        <f>IF(VLOOKUP($R7,武学奇术!$A:$ZZ,22,FALSE)=1,0,(1-$BO7))*(1-$BR7)</f>
        <v>0.00517959000000003</v>
      </c>
      <c r="BW7" s="24" cm="1">
        <f t="array" ref="BW7">SUM(_xlfn.XLOOKUP($S7:$AL7,增益!$A:$A,增益!$W:$W,0))+$I$5</f>
        <v>0.11</v>
      </c>
      <c r="BX7" s="24">
        <f>VLOOKUP($R7,武学奇术!$A:$ZZ,32,FALSE)</f>
        <v>0</v>
      </c>
      <c r="BY7" s="24" cm="1">
        <f t="array" ref="BY7">SUM(_xlfn.XLOOKUP($S7:$AL7,增益!$A:$A,增益!$X:$X,0))</f>
        <v>0</v>
      </c>
    </row>
    <row r="8" spans="1:77">
      <c r="A8" s="63" t="s">
        <v>112</v>
      </c>
      <c r="B8" s="64">
        <f>期望!B8</f>
        <v>0.9943</v>
      </c>
      <c r="C8" s="65" t="s">
        <v>113</v>
      </c>
      <c r="D8" s="65"/>
      <c r="E8" s="65"/>
      <c r="F8" s="65"/>
      <c r="G8" s="36"/>
      <c r="H8" s="66" t="s">
        <v>114</v>
      </c>
      <c r="I8" s="18">
        <f>期望!I8</f>
        <v>88.6</v>
      </c>
      <c r="J8" s="67"/>
      <c r="K8" s="37">
        <f>$L8*VLOOKUP($R8,武学奇术!$A:$ZZ,31,FALSE)</f>
        <v>27735.1803095129</v>
      </c>
      <c r="L8" s="37">
        <f t="shared" si="0"/>
        <v>27735.1803095129</v>
      </c>
      <c r="M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*(1+$BX8)</f>
        <v>28042.367795498</v>
      </c>
      <c r="N8" s="37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*(1+$BX8)</f>
        <v>26564.5162070178</v>
      </c>
      <c r="O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*(1+$BX8)</f>
        <v>17526.4798721862</v>
      </c>
      <c r="P8" s="37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*(1+$BX8)</f>
        <v>15375.5403317666</v>
      </c>
      <c r="Q8" s="38">
        <v>1</v>
      </c>
      <c r="R8" s="39" t="s">
        <v>115</v>
      </c>
      <c r="S8" s="39" t="s">
        <v>116</v>
      </c>
      <c r="T8" s="39" t="s">
        <v>117</v>
      </c>
      <c r="U8" s="39" t="s">
        <v>81</v>
      </c>
      <c r="V8" s="39" t="s">
        <v>82</v>
      </c>
      <c r="W8" s="39" t="s">
        <v>83</v>
      </c>
      <c r="X8" s="39" t="s">
        <v>84</v>
      </c>
      <c r="Y8" s="39" t="s">
        <v>84</v>
      </c>
      <c r="Z8" s="39" t="s">
        <v>84</v>
      </c>
      <c r="AA8" s="39" t="s">
        <v>84</v>
      </c>
      <c r="AB8" s="39" t="s">
        <v>86</v>
      </c>
      <c r="AC8" s="39" t="s">
        <v>84</v>
      </c>
      <c r="AD8" s="39" t="s">
        <v>84</v>
      </c>
      <c r="AE8" s="39" t="s">
        <v>84</v>
      </c>
      <c r="AF8" s="39" t="s">
        <v>88</v>
      </c>
      <c r="AG8" s="39" t="s">
        <v>84</v>
      </c>
      <c r="AH8" s="39" t="s">
        <v>84</v>
      </c>
      <c r="AI8" s="39" t="s">
        <v>84</v>
      </c>
      <c r="AJ8" s="39" t="s">
        <v>84</v>
      </c>
      <c r="AK8" s="39" t="s">
        <v>84</v>
      </c>
      <c r="AL8" s="39" t="s">
        <v>84</v>
      </c>
      <c r="AM8" t="str">
        <f>VLOOKUP($R8,武学奇术!$A:$ZZ,25,FALSE)</f>
        <v>双刀</v>
      </c>
      <c r="AN8" s="24">
        <f>VLOOKUP($R8,武学奇术!$A:$ZZ,26,FALSE)</f>
        <v>1.3728</v>
      </c>
      <c r="AO8" s="25">
        <f>VLOOKUP($R8,武学奇术!$A:$ZZ,27,FALSE)*(1+IF(OR($AM8=$F$4,$AM8=$F$5),$B$22,0))</f>
        <v>609.44</v>
      </c>
      <c r="AP8" s="24">
        <f>VLOOKUP($R8,武学奇术!$A:$ZZ,28,FALSE)</f>
        <v>2.05933</v>
      </c>
      <c r="AQ8" s="25">
        <f>VLOOKUP($R8,武学奇术!$A:$ZZ,29,FALSE)*(1+IF(OR($AM8=$F$4,$AM8=$F$5),$B$22,0))</f>
        <v>332.8</v>
      </c>
      <c r="AR8" s="24" cm="1">
        <f t="array" ref="AR8">$G$3+IFERROR(VLOOKUP($AM8,$F$4:$G$7,2,FALSE),0)+VLOOKUP($R8,武学奇术!$A:$ZZ,2,FALSE)+SUM(_xlfn.XLOOKUP($S8:$AL8,增益!$A:$A,增益!$B:$B,0))</f>
        <v>0.2843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4274.25</v>
      </c>
      <c r="AU8" cm="1">
        <f t="array" ref="AU8">$E$10*(1+$AS8)+VLOOKUP($R8,武学奇术!$A:$ZZ,4,FALSE)+SUM(_xlfn.XLOOKUP($S8:$AL8,增益!$A:$A,增益!$D:$D,0))-$I$2</f>
        <v>4274.25</v>
      </c>
      <c r="AV8" s="31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0.1784</v>
      </c>
      <c r="AW8" s="31" cm="1">
        <f t="array" ref="AW8">$G$10+VLOOKUP($R8,武学奇术!$A:$ZZ,7,FALSE)+SUM(_xlfn.XLOOKUP($S8:$AL8,增益!$A:$A,增益!$G:$G,0))</f>
        <v>0.11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1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1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1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1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1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-0.3</v>
      </c>
      <c r="BJ8" s="31" cm="1">
        <f t="array" ref="BJ8">$G$13+VLOOKUP($R8,武学奇术!$A:$ZZ,14,FALSE)+SUM(_xlfn.XLOOKUP($S8:$AL8,增益!$A:$A,增益!$N:$N,0))</f>
        <v>0.02</v>
      </c>
      <c r="BK8">
        <f t="shared" si="7"/>
        <v>649.11</v>
      </c>
      <c r="BL8">
        <f t="shared" si="8"/>
        <v>1812.09</v>
      </c>
      <c r="BM8" s="31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</v>
      </c>
      <c r="BN8" s="31" cm="1">
        <f t="array" ref="BN8">$G$14+VLOOKUP($R8,武学奇术!$A:$ZZ,16,FALSE)+SUM(_xlfn.XLOOKUP($S8:$AL8,增益!$A:$A,增益!$P:$P,0))</f>
        <v>0.26</v>
      </c>
      <c r="BO8" s="24">
        <f>MIN(IF(VLOOKUP($R8,武学奇术!$A:$ZZ,23,FALSE)=1,100%,$B$8),100%)</f>
        <v>0.9943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0.8985</v>
      </c>
      <c r="BQ8" s="24" cm="1">
        <f t="array" ref="BQ8">1+$B$13+VLOOKUP($R8,武学奇术!$A:$ZZ,18,FALSE)+SUM(_xlfn.XLOOKUP($S8:$AL8,增益!$A:$A,增益!$R:$R,0))</f>
        <v>1.6</v>
      </c>
      <c r="BR8" s="24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0.89337855</v>
      </c>
      <c r="BU8" s="24">
        <f t="shared" si="10"/>
        <v>0.01014186</v>
      </c>
      <c r="BV8" s="24">
        <f>IF(VLOOKUP($R8,武学奇术!$A:$ZZ,22,FALSE)=1,0,(1-$BO8))*(1-$BR8)</f>
        <v>0.00517959000000003</v>
      </c>
      <c r="BW8" s="24" cm="1">
        <f t="array" ref="BW8">SUM(_xlfn.XLOOKUP($S8:$AL8,增益!$A:$A,增益!$W:$W,0))+$I$5</f>
        <v>0.11</v>
      </c>
      <c r="BX8" s="24">
        <f>VLOOKUP($R8,武学奇术!$A:$ZZ,32,FALSE)</f>
        <v>0</v>
      </c>
      <c r="BY8" s="24" cm="1">
        <f t="array" ref="BY8">SUM(_xlfn.XLOOKUP($S8:$AL8,增益!$A:$A,增益!$X:$X,0))</f>
        <v>0</v>
      </c>
    </row>
    <row r="9" ht="14.25" spans="1:77">
      <c r="A9" s="40" t="s">
        <v>118</v>
      </c>
      <c r="B9" s="68">
        <f>期望!B9</f>
        <v>0.7655</v>
      </c>
      <c r="C9" s="20"/>
      <c r="D9" t="s">
        <v>0</v>
      </c>
      <c r="E9" t="s">
        <v>1</v>
      </c>
      <c r="F9" s="38" t="s">
        <v>2</v>
      </c>
      <c r="G9" s="43" t="s">
        <v>3</v>
      </c>
      <c r="H9" s="69"/>
      <c r="I9" s="22"/>
      <c r="J9" s="70"/>
      <c r="K9" s="37">
        <f>$L9*VLOOKUP($R9,武学奇术!$A:$ZZ,31,FALSE)</f>
        <v>106101.254811526</v>
      </c>
      <c r="L9" s="37">
        <f t="shared" si="0"/>
        <v>106101.254811526</v>
      </c>
      <c r="M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*(1+$BX9)</f>
        <v>108944.500346414</v>
      </c>
      <c r="N9" s="37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*(1+$BX9)</f>
        <v>86860.0259148709</v>
      </c>
      <c r="O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*(1+$BX9)</f>
        <v>57339.2107086387</v>
      </c>
      <c r="P9" s="37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*(1+$BX9)</f>
        <v>50337.661480336</v>
      </c>
      <c r="Q9" s="38">
        <v>1</v>
      </c>
      <c r="R9" s="39" t="s">
        <v>119</v>
      </c>
      <c r="S9" s="39" t="s">
        <v>79</v>
      </c>
      <c r="T9" s="39" t="s">
        <v>117</v>
      </c>
      <c r="U9" s="39" t="s">
        <v>81</v>
      </c>
      <c r="V9" s="39" t="s">
        <v>82</v>
      </c>
      <c r="W9" s="39" t="s">
        <v>83</v>
      </c>
      <c r="X9" s="39" t="s">
        <v>84</v>
      </c>
      <c r="Y9" s="39" t="s">
        <v>84</v>
      </c>
      <c r="Z9" s="39" t="s">
        <v>84</v>
      </c>
      <c r="AA9" s="39" t="s">
        <v>84</v>
      </c>
      <c r="AB9" s="39" t="s">
        <v>86</v>
      </c>
      <c r="AC9" s="39" t="s">
        <v>84</v>
      </c>
      <c r="AD9" s="39" t="s">
        <v>84</v>
      </c>
      <c r="AE9" s="39" t="s">
        <v>84</v>
      </c>
      <c r="AF9" s="39" t="s">
        <v>88</v>
      </c>
      <c r="AG9" s="39" t="s">
        <v>84</v>
      </c>
      <c r="AH9" s="39" t="s">
        <v>84</v>
      </c>
      <c r="AI9" s="39" t="s">
        <v>84</v>
      </c>
      <c r="AJ9" s="39" t="s">
        <v>84</v>
      </c>
      <c r="AK9" s="39" t="s">
        <v>84</v>
      </c>
      <c r="AL9" s="39" t="s">
        <v>84</v>
      </c>
      <c r="AM9" t="str">
        <f>VLOOKUP($R9,武学奇术!$A:$ZZ,25,FALSE)</f>
        <v>拳甲</v>
      </c>
      <c r="AN9" s="24">
        <f>VLOOKUP($R9,武学奇术!$A:$ZZ,26,FALSE)</f>
        <v>3.0496</v>
      </c>
      <c r="AO9" s="25">
        <f>VLOOKUP($R9,武学奇术!$A:$ZZ,27,FALSE)*(1+IF(OR($AM9=$F$4,$AM9=$F$5),$B$22,0))</f>
        <v>1350.4</v>
      </c>
      <c r="AP9" s="24">
        <f>VLOOKUP($R9,武学奇术!$A:$ZZ,28,FALSE)</f>
        <v>4.5744</v>
      </c>
      <c r="AQ9" s="25">
        <f>VLOOKUP($R9,武学奇术!$A:$ZZ,29,FALSE)*(1+IF(OR($AM9=$F$4,$AM9=$F$5),$B$22,0))</f>
        <v>729.6</v>
      </c>
      <c r="AR9" s="24" cm="1">
        <f t="array" ref="AR9">$G$3+IFERROR(VLOOKUP($AM9,$F$4:$G$7,2,FALSE),0)+VLOOKUP($R9,武学奇术!$A:$ZZ,2,FALSE)+SUM(_xlfn.XLOOKUP($S9:$AL9,增益!$A:$A,增益!$B:$B,0))</f>
        <v>0.3443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4274.25</v>
      </c>
      <c r="AU9" cm="1">
        <f t="array" ref="AU9">$E$10*(1+$AS9)+VLOOKUP($R9,武学奇术!$A:$ZZ,4,FALSE)+SUM(_xlfn.XLOOKUP($S9:$AL9,增益!$A:$A,增益!$D:$D,0))-$I$2</f>
        <v>4274.25</v>
      </c>
      <c r="AV9" s="31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0.1884</v>
      </c>
      <c r="AW9" s="31" cm="1">
        <f t="array" ref="AW9">$G$10+VLOOKUP($R9,武学奇术!$A:$ZZ,7,FALSE)+SUM(_xlfn.XLOOKUP($S9:$AL9,增益!$A:$A,增益!$G:$G,0))</f>
        <v>0.11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1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1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1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1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1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1" cm="1">
        <f t="array" ref="BJ9">$G$13+VLOOKUP($R9,武学奇术!$A:$ZZ,14,FALSE)+SUM(_xlfn.XLOOKUP($S9:$AL9,增益!$A:$A,增益!$N:$N,0))</f>
        <v>0.02</v>
      </c>
      <c r="BK9">
        <f t="shared" si="7"/>
        <v>649.11</v>
      </c>
      <c r="BL9">
        <f t="shared" si="8"/>
        <v>1812.09</v>
      </c>
      <c r="BM9" s="31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1" cm="1">
        <f t="array" ref="BN9">$G$14+VLOOKUP($R9,武学奇术!$A:$ZZ,16,FALSE)+SUM(_xlfn.XLOOKUP($S9:$AL9,增益!$A:$A,增益!$P:$P,0))</f>
        <v>0.26</v>
      </c>
      <c r="BO9" s="24">
        <f>MIN(IF(VLOOKUP($R9,武学奇术!$A:$ZZ,23,FALSE)=1,100%,$B$8),100%)</f>
        <v>0.9943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0.8985</v>
      </c>
      <c r="BQ9" s="24" cm="1">
        <f t="array" ref="BQ9">1+$B$13+VLOOKUP($R9,武学奇术!$A:$ZZ,18,FALSE)+SUM(_xlfn.XLOOKUP($S9:$AL9,增益!$A:$A,增益!$R:$R,0))</f>
        <v>1.9</v>
      </c>
      <c r="BR9" s="24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0.89337855</v>
      </c>
      <c r="BU9" s="24">
        <f t="shared" si="10"/>
        <v>0.01014186</v>
      </c>
      <c r="BV9" s="24">
        <f>IF(VLOOKUP($R9,武学奇术!$A:$ZZ,22,FALSE)=1,0,(1-$BO9))*(1-$BR9)</f>
        <v>0.00517959000000003</v>
      </c>
      <c r="BW9" s="24" cm="1">
        <f t="array" ref="BW9">SUM(_xlfn.XLOOKUP($S9:$AL9,增益!$A:$A,增益!$W:$W,0))+$I$5</f>
        <v>0.11</v>
      </c>
      <c r="BX9" s="24">
        <f>VLOOKUP($R9,武学奇术!$A:$ZZ,32,FALSE)</f>
        <v>0.4</v>
      </c>
      <c r="BY9" s="24" cm="1">
        <f t="array" ref="BY9">SUM(_xlfn.XLOOKUP($S9:$AL9,增益!$A:$A,增益!$X:$X,0))</f>
        <v>0</v>
      </c>
    </row>
    <row r="10" spans="1:77">
      <c r="A10" s="40" t="s">
        <v>120</v>
      </c>
      <c r="B10" s="68">
        <f>期望!B10</f>
        <v>0.0913</v>
      </c>
      <c r="C10" s="20" t="s">
        <v>74</v>
      </c>
      <c r="D10" s="25">
        <f>期望!D10</f>
        <v>4961.25</v>
      </c>
      <c r="E10" s="25">
        <f>期望!E10</f>
        <v>4961.25</v>
      </c>
      <c r="F10" s="25">
        <f>期望!F10</f>
        <v>58.68</v>
      </c>
      <c r="G10" s="48">
        <f>期望!G10</f>
        <v>0</v>
      </c>
      <c r="H10" s="66" t="s">
        <v>121</v>
      </c>
      <c r="I10" s="71">
        <f>SUM(L:L)</f>
        <v>13931099.4870279</v>
      </c>
      <c r="J10" s="72"/>
      <c r="K10" s="37">
        <f>$L10*VLOOKUP($R10,武学奇术!$A:$ZZ,31,FALSE)</f>
        <v>54331.29972653</v>
      </c>
      <c r="L10" s="37">
        <f t="shared" si="0"/>
        <v>33957.0623290813</v>
      </c>
      <c r="M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*(1+$BX10)</f>
        <v>34314.9204376903</v>
      </c>
      <c r="N10" s="37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*(1+$BX10)</f>
        <v>32743.9998174762</v>
      </c>
      <c r="O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*(1+$BX10)</f>
        <v>21313.6151786896</v>
      </c>
      <c r="P10" s="37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*(1+$BX10)</f>
        <v>18372.4156777673</v>
      </c>
      <c r="Q10" s="38">
        <v>1</v>
      </c>
      <c r="R10" s="39" t="s">
        <v>122</v>
      </c>
      <c r="S10" s="39" t="s">
        <v>79</v>
      </c>
      <c r="T10" s="39" t="s">
        <v>80</v>
      </c>
      <c r="U10" s="39" t="s">
        <v>81</v>
      </c>
      <c r="V10" s="39" t="s">
        <v>82</v>
      </c>
      <c r="W10" s="39" t="s">
        <v>83</v>
      </c>
      <c r="X10" s="39" t="s">
        <v>84</v>
      </c>
      <c r="Y10" s="39" t="s">
        <v>84</v>
      </c>
      <c r="Z10" s="39" t="s">
        <v>84</v>
      </c>
      <c r="AA10" s="39" t="s">
        <v>84</v>
      </c>
      <c r="AB10" s="39" t="s">
        <v>86</v>
      </c>
      <c r="AC10" s="39" t="s">
        <v>84</v>
      </c>
      <c r="AD10" s="39" t="s">
        <v>84</v>
      </c>
      <c r="AE10" s="39" t="s">
        <v>84</v>
      </c>
      <c r="AF10" s="39" t="s">
        <v>88</v>
      </c>
      <c r="AG10" s="39" t="s">
        <v>84</v>
      </c>
      <c r="AH10" s="39" t="s">
        <v>84</v>
      </c>
      <c r="AI10" s="39" t="s">
        <v>84</v>
      </c>
      <c r="AJ10" s="39" t="s">
        <v>84</v>
      </c>
      <c r="AK10" s="39" t="s">
        <v>84</v>
      </c>
      <c r="AL10" s="39" t="s">
        <v>84</v>
      </c>
      <c r="AM10" t="str">
        <f>VLOOKUP($R10,武学奇术!$A:$ZZ,25,FALSE)</f>
        <v>拳甲</v>
      </c>
      <c r="AN10" s="24">
        <f>VLOOKUP($R10,武学奇术!$A:$ZZ,26,FALSE)</f>
        <v>1.862784</v>
      </c>
      <c r="AO10" s="25">
        <f>VLOOKUP($R10,武学奇术!$A:$ZZ,27,FALSE)*(1+IF(OR($AM10=$F$4,$AM10=$F$5),$B$22,0))</f>
        <v>0</v>
      </c>
      <c r="AP10" s="24">
        <f>VLOOKUP($R10,武学奇术!$A:$ZZ,28,FALSE)</f>
        <v>2.794176</v>
      </c>
      <c r="AQ10" s="25">
        <f>VLOOKUP($R10,武学奇术!$A:$ZZ,29,FALSE)*(1+IF(OR($AM10=$F$4,$AM10=$F$5),$B$22,0))</f>
        <v>0</v>
      </c>
      <c r="AR10" s="24" cm="1">
        <f t="array" ref="AR10">$G$3+IFERROR(VLOOKUP($AM10,$F$4:$G$7,2,FALSE),0)+VLOOKUP($R10,武学奇术!$A:$ZZ,2,FALSE)+SUM(_xlfn.XLOOKUP($S10:$AL10,增益!$A:$A,增益!$B:$B,0))</f>
        <v>0.2943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4274.25</v>
      </c>
      <c r="AU10" cm="1">
        <f t="array" ref="AU10">$E$10*(1+$AS10)+VLOOKUP($R10,武学奇术!$A:$ZZ,4,FALSE)+SUM(_xlfn.XLOOKUP($S10:$AL10,增益!$A:$A,增益!$D:$D,0))-$I$2</f>
        <v>4274.25</v>
      </c>
      <c r="AV10" s="31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0.1884</v>
      </c>
      <c r="AW10" s="31" cm="1">
        <f t="array" ref="AW10">$G$10+VLOOKUP($R10,武学奇术!$A:$ZZ,7,FALSE)+SUM(_xlfn.XLOOKUP($S10:$AL10,增益!$A:$A,增益!$G:$G,0))</f>
        <v>0.11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1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1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1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1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1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-0.3</v>
      </c>
      <c r="BJ10" s="31" cm="1">
        <f t="array" ref="BJ10">$G$13+VLOOKUP($R10,武学奇术!$A:$ZZ,14,FALSE)+SUM(_xlfn.XLOOKUP($S10:$AL10,增益!$A:$A,增益!$N:$N,0))</f>
        <v>0.02</v>
      </c>
      <c r="BK10">
        <f t="shared" si="7"/>
        <v>649.11</v>
      </c>
      <c r="BL10">
        <f t="shared" si="8"/>
        <v>1812.09</v>
      </c>
      <c r="BM10" s="31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</v>
      </c>
      <c r="BN10" s="31" cm="1">
        <f t="array" ref="BN10">$G$14+VLOOKUP($R10,武学奇术!$A:$ZZ,16,FALSE)+SUM(_xlfn.XLOOKUP($S10:$AL10,增益!$A:$A,增益!$P:$P,0))</f>
        <v>0.26</v>
      </c>
      <c r="BO10" s="24">
        <f>MIN(IF(VLOOKUP($R10,武学奇术!$A:$ZZ,23,FALSE)=1,100%,$B$8),100%)</f>
        <v>0.9943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0.8985</v>
      </c>
      <c r="BQ10" s="24" cm="1">
        <f t="array" ref="BQ10">1+$B$13+VLOOKUP($R10,武学奇术!$A:$ZZ,18,FALSE)+SUM(_xlfn.XLOOKUP($S10:$AL10,增益!$A:$A,增益!$R:$R,0))</f>
        <v>1.61</v>
      </c>
      <c r="BR10" s="24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0.89337855</v>
      </c>
      <c r="BU10" s="24">
        <f t="shared" si="10"/>
        <v>0.01014186</v>
      </c>
      <c r="BV10" s="24">
        <f>IF(VLOOKUP($R10,武学奇术!$A:$ZZ,22,FALSE)=1,0,(1-$BO10))*(1-$BR10)</f>
        <v>0.00517959000000003</v>
      </c>
      <c r="BW10" s="24" cm="1">
        <f t="array" ref="BW10">SUM(_xlfn.XLOOKUP($S10:$AL10,增益!$A:$A,增益!$W:$W,0))+$I$5</f>
        <v>0.11</v>
      </c>
      <c r="BX10" s="24">
        <f>VLOOKUP($R10,武学奇术!$A:$ZZ,32,FALSE)</f>
        <v>0</v>
      </c>
      <c r="BY10" s="24" cm="1">
        <f t="array" ref="BY10">SUM(_xlfn.XLOOKUP($S10:$AL10,增益!$A:$A,增益!$X:$X,0))</f>
        <v>0</v>
      </c>
    </row>
    <row r="11" ht="14.25" spans="1:77">
      <c r="A11" s="40" t="s">
        <v>123</v>
      </c>
      <c r="B11" s="68">
        <f>期望!B11</f>
        <v>0.133</v>
      </c>
      <c r="C11" s="20" t="s">
        <v>89</v>
      </c>
      <c r="D11" s="25">
        <f>期望!D11</f>
        <v>0</v>
      </c>
      <c r="E11" s="25">
        <f>期望!E11</f>
        <v>0</v>
      </c>
      <c r="F11" s="25">
        <f>期望!F11</f>
        <v>0</v>
      </c>
      <c r="G11" s="48">
        <f>期望!G11</f>
        <v>0</v>
      </c>
      <c r="H11" s="69"/>
      <c r="I11" s="73"/>
      <c r="J11" s="74"/>
      <c r="K11" s="37">
        <f>$L11*VLOOKUP($R11,武学奇术!$A:$ZZ,31,FALSE)</f>
        <v>39640.4746386643</v>
      </c>
      <c r="L11" s="37">
        <f t="shared" si="0"/>
        <v>39640.4746386643</v>
      </c>
      <c r="M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*(1+$BX11)</f>
        <v>40720.5403378841</v>
      </c>
      <c r="N11" s="37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*(1+$BX11)</f>
        <v>32294.0403638915</v>
      </c>
      <c r="O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*(1+$BX11)</f>
        <v>21319.6546271645</v>
      </c>
      <c r="P11" s="37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*(1+$BX11)</f>
        <v>18717.7978736686</v>
      </c>
      <c r="Q11" s="38">
        <v>1</v>
      </c>
      <c r="R11" s="39" t="s">
        <v>124</v>
      </c>
      <c r="S11" s="39" t="s">
        <v>79</v>
      </c>
      <c r="T11" s="39" t="s">
        <v>80</v>
      </c>
      <c r="U11" s="39" t="s">
        <v>81</v>
      </c>
      <c r="V11" s="39" t="s">
        <v>82</v>
      </c>
      <c r="W11" s="39" t="s">
        <v>83</v>
      </c>
      <c r="X11" s="39" t="s">
        <v>84</v>
      </c>
      <c r="Y11" s="39" t="s">
        <v>84</v>
      </c>
      <c r="Z11" s="39" t="s">
        <v>84</v>
      </c>
      <c r="AA11" s="39" t="s">
        <v>84</v>
      </c>
      <c r="AB11" s="39" t="s">
        <v>86</v>
      </c>
      <c r="AC11" s="39" t="s">
        <v>84</v>
      </c>
      <c r="AD11" s="39" t="s">
        <v>84</v>
      </c>
      <c r="AE11" s="39" t="s">
        <v>84</v>
      </c>
      <c r="AF11" s="39" t="s">
        <v>88</v>
      </c>
      <c r="AG11" s="39" t="s">
        <v>84</v>
      </c>
      <c r="AH11" s="39" t="s">
        <v>84</v>
      </c>
      <c r="AI11" s="39" t="s">
        <v>84</v>
      </c>
      <c r="AJ11" s="39" t="s">
        <v>84</v>
      </c>
      <c r="AK11" s="39" t="s">
        <v>84</v>
      </c>
      <c r="AL11" s="39" t="s">
        <v>84</v>
      </c>
      <c r="AM11" t="str">
        <f>VLOOKUP($R11,武学奇术!$A:$ZZ,25,FALSE)</f>
        <v>拳甲</v>
      </c>
      <c r="AN11" s="24">
        <f>VLOOKUP($R11,武学奇术!$A:$ZZ,26,FALSE)</f>
        <v>1.1333</v>
      </c>
      <c r="AO11" s="25">
        <f>VLOOKUP($R11,武学奇术!$A:$ZZ,27,FALSE)*(1+IF(OR($AM11=$F$4,$AM11=$F$5),$B$22,0))</f>
        <v>502.4</v>
      </c>
      <c r="AP11" s="24">
        <f>VLOOKUP($R11,武学奇术!$A:$ZZ,28,FALSE)</f>
        <v>1.6999</v>
      </c>
      <c r="AQ11" s="25">
        <f>VLOOKUP($R11,武学奇术!$A:$ZZ,29,FALSE)*(1+IF(OR($AM11=$F$4,$AM11=$F$5),$B$22,0))</f>
        <v>273.6</v>
      </c>
      <c r="AR11" s="24" cm="1">
        <f t="array" ref="AR11">$G$3+IFERROR(VLOOKUP($AM11,$F$4:$G$7,2,FALSE),0)+VLOOKUP($R11,武学奇术!$A:$ZZ,2,FALSE)+SUM(_xlfn.XLOOKUP($S11:$AL11,增益!$A:$A,增益!$B:$B,0))</f>
        <v>0.3443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4274.25</v>
      </c>
      <c r="AU11" cm="1">
        <f t="array" ref="AU11">$E$10*(1+$AS11)+VLOOKUP($R11,武学奇术!$A:$ZZ,4,FALSE)+SUM(_xlfn.XLOOKUP($S11:$AL11,增益!$A:$A,增益!$D:$D,0))-$I$2</f>
        <v>4274.25</v>
      </c>
      <c r="AV11" s="31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0.1884</v>
      </c>
      <c r="AW11" s="31" cm="1">
        <f t="array" ref="AW11">$G$10+VLOOKUP($R11,武学奇术!$A:$ZZ,7,FALSE)+SUM(_xlfn.XLOOKUP($S11:$AL11,增益!$A:$A,增益!$G:$G,0))</f>
        <v>0.11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1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1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1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1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1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-0.3</v>
      </c>
      <c r="BJ11" s="31" cm="1">
        <f t="array" ref="BJ11">$G$13+VLOOKUP($R11,武学奇术!$A:$ZZ,14,FALSE)+SUM(_xlfn.XLOOKUP($S11:$AL11,增益!$A:$A,增益!$N:$N,0))</f>
        <v>0.02</v>
      </c>
      <c r="BK11">
        <f t="shared" si="7"/>
        <v>649.11</v>
      </c>
      <c r="BL11">
        <f t="shared" si="8"/>
        <v>1812.09</v>
      </c>
      <c r="BM11" s="31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</v>
      </c>
      <c r="BN11" s="31" cm="1">
        <f t="array" ref="BN11">$G$14+VLOOKUP($R11,武学奇术!$A:$ZZ,16,FALSE)+SUM(_xlfn.XLOOKUP($S11:$AL11,增益!$A:$A,增益!$P:$P,0))</f>
        <v>0.26</v>
      </c>
      <c r="BO11" s="24">
        <f>MIN(IF(VLOOKUP($R11,武学奇术!$A:$ZZ,23,FALSE)=1,100%,$B$8),100%)</f>
        <v>0.9943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0.8985</v>
      </c>
      <c r="BQ11" s="24" cm="1">
        <f t="array" ref="BQ11">1+$B$13+VLOOKUP($R11,武学奇术!$A:$ZZ,18,FALSE)+SUM(_xlfn.XLOOKUP($S11:$AL11,增益!$A:$A,增益!$R:$R,0))</f>
        <v>1.91</v>
      </c>
      <c r="BR11" s="24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0.89337855</v>
      </c>
      <c r="BU11" s="24">
        <f t="shared" si="10"/>
        <v>0.01014186</v>
      </c>
      <c r="BV11" s="24">
        <f>IF(VLOOKUP($R11,武学奇术!$A:$ZZ,22,FALSE)=1,0,(1-$BO11))*(1-$BR11)</f>
        <v>0.00517959000000003</v>
      </c>
      <c r="BW11" s="24" cm="1">
        <f t="array" ref="BW11">SUM(_xlfn.XLOOKUP($S11:$AL11,增益!$A:$A,增益!$W:$W,0))+$I$5</f>
        <v>0.11</v>
      </c>
      <c r="BX11" s="24">
        <f>VLOOKUP($R11,武学奇术!$A:$ZZ,32,FALSE)</f>
        <v>0.4</v>
      </c>
      <c r="BY11" s="24" cm="1">
        <f t="array" ref="BY11">SUM(_xlfn.XLOOKUP($S11:$AL11,增益!$A:$A,增益!$X:$X,0))</f>
        <v>0</v>
      </c>
    </row>
    <row r="12" spans="1:77">
      <c r="A12" s="40" t="s">
        <v>125</v>
      </c>
      <c r="B12" s="68">
        <f>期望!B12</f>
        <v>0</v>
      </c>
      <c r="C12" s="20" t="s">
        <v>95</v>
      </c>
      <c r="D12" s="25">
        <f>期望!D12</f>
        <v>0</v>
      </c>
      <c r="E12" s="25">
        <f>期望!E12</f>
        <v>0</v>
      </c>
      <c r="F12" s="25">
        <f>期望!F12</f>
        <v>0</v>
      </c>
      <c r="G12" s="48">
        <f>期望!G12</f>
        <v>0</v>
      </c>
      <c r="H12" s="66" t="s">
        <v>126</v>
      </c>
      <c r="I12" s="37">
        <f>I10/I8</f>
        <v>157235.885858103</v>
      </c>
      <c r="J12" s="75"/>
      <c r="K12" s="37">
        <f>$L12*VLOOKUP($R12,武学奇术!$A:$ZZ,31,FALSE)</f>
        <v>27472.3057214616</v>
      </c>
      <c r="L12" s="37">
        <f t="shared" si="0"/>
        <v>27472.3057214616</v>
      </c>
      <c r="M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*(1+$BX12)</f>
        <v>28222.1870010965</v>
      </c>
      <c r="N12" s="37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*(1+$BX12)</f>
        <v>22366.939153916</v>
      </c>
      <c r="O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*(1+$BX12)</f>
        <v>14776.0141366997</v>
      </c>
      <c r="P12" s="37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*(1+$BX12)</f>
        <v>12983.9251964247</v>
      </c>
      <c r="Q12" s="38">
        <v>1</v>
      </c>
      <c r="R12" s="39" t="s">
        <v>127</v>
      </c>
      <c r="S12" s="39" t="s">
        <v>91</v>
      </c>
      <c r="T12" s="39" t="s">
        <v>80</v>
      </c>
      <c r="U12" s="39" t="s">
        <v>81</v>
      </c>
      <c r="V12" s="39" t="s">
        <v>82</v>
      </c>
      <c r="W12" s="39" t="s">
        <v>83</v>
      </c>
      <c r="X12" s="39" t="s">
        <v>84</v>
      </c>
      <c r="Y12" s="39" t="s">
        <v>84</v>
      </c>
      <c r="Z12" s="39" t="s">
        <v>84</v>
      </c>
      <c r="AA12" s="39" t="s">
        <v>84</v>
      </c>
      <c r="AB12" s="39" t="s">
        <v>86</v>
      </c>
      <c r="AC12" s="39" t="s">
        <v>84</v>
      </c>
      <c r="AD12" s="39" t="s">
        <v>84</v>
      </c>
      <c r="AE12" s="39" t="s">
        <v>84</v>
      </c>
      <c r="AF12" s="39" t="s">
        <v>88</v>
      </c>
      <c r="AG12" s="39" t="s">
        <v>84</v>
      </c>
      <c r="AH12" s="39" t="s">
        <v>84</v>
      </c>
      <c r="AI12" s="39" t="s">
        <v>84</v>
      </c>
      <c r="AJ12" s="39" t="s">
        <v>84</v>
      </c>
      <c r="AK12" s="39" t="s">
        <v>84</v>
      </c>
      <c r="AL12" s="39" t="s">
        <v>84</v>
      </c>
      <c r="AM12" t="str">
        <f>VLOOKUP($R12,武学奇术!$A:$ZZ,25,FALSE)</f>
        <v>拳甲</v>
      </c>
      <c r="AN12" s="24">
        <f>VLOOKUP($R12,武学奇术!$A:$ZZ,26,FALSE)</f>
        <v>0.7748</v>
      </c>
      <c r="AO12" s="25">
        <f>VLOOKUP($R12,武学奇术!$A:$ZZ,27,FALSE)*(1+IF(OR($AM12=$F$4,$AM12=$F$5),$B$22,0))</f>
        <v>345.6</v>
      </c>
      <c r="AP12" s="24">
        <f>VLOOKUP($R12,武学奇术!$A:$ZZ,28,FALSE)</f>
        <v>1.1622</v>
      </c>
      <c r="AQ12" s="25">
        <f>VLOOKUP($R12,武学奇术!$A:$ZZ,29,FALSE)*(1+IF(OR($AM12=$F$4,$AM12=$F$5),$B$22,0))</f>
        <v>187.2</v>
      </c>
      <c r="AR12" s="24" cm="1">
        <f t="array" ref="AR12">$G$3+IFERROR(VLOOKUP($AM12,$F$4:$G$7,2,FALSE),0)+VLOOKUP($R12,武学奇术!$A:$ZZ,2,FALSE)+SUM(_xlfn.XLOOKUP($S12:$AL12,增益!$A:$A,增益!$B:$B,0))</f>
        <v>0.3543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4274.25</v>
      </c>
      <c r="AU12" cm="1">
        <f t="array" ref="AU12">$E$10*(1+$AS12)+VLOOKUP($R12,武学奇术!$A:$ZZ,4,FALSE)+SUM(_xlfn.XLOOKUP($S12:$AL12,增益!$A:$A,增益!$D:$D,0))-$I$2</f>
        <v>4274.25</v>
      </c>
      <c r="AV12" s="31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0.1984</v>
      </c>
      <c r="AW12" s="31" cm="1">
        <f t="array" ref="AW12">$G$10+VLOOKUP($R12,武学奇术!$A:$ZZ,7,FALSE)+SUM(_xlfn.XLOOKUP($S12:$AL12,增益!$A:$A,增益!$G:$G,0))</f>
        <v>0.11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1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1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1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1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1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1" cm="1">
        <f t="array" ref="BJ12">$G$13+VLOOKUP($R12,武学奇术!$A:$ZZ,14,FALSE)+SUM(_xlfn.XLOOKUP($S12:$AL12,增益!$A:$A,增益!$N:$N,0))</f>
        <v>0.02</v>
      </c>
      <c r="BK12">
        <f t="shared" si="7"/>
        <v>649.11</v>
      </c>
      <c r="BL12">
        <f t="shared" si="8"/>
        <v>1812.09</v>
      </c>
      <c r="BM12" s="31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</v>
      </c>
      <c r="BN12" s="31" cm="1">
        <f t="array" ref="BN12">$G$14+VLOOKUP($R12,武学奇术!$A:$ZZ,16,FALSE)+SUM(_xlfn.XLOOKUP($S12:$AL12,增益!$A:$A,增益!$P:$P,0))</f>
        <v>0.26</v>
      </c>
      <c r="BO12" s="24">
        <f>MIN(IF(VLOOKUP($R12,武学奇术!$A:$ZZ,23,FALSE)=1,100%,$B$8),100%)</f>
        <v>0.9943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0.8985</v>
      </c>
      <c r="BQ12" s="24" cm="1">
        <f t="array" ref="BQ12">1+$B$13+VLOOKUP($R12,武学奇术!$A:$ZZ,18,FALSE)+SUM(_xlfn.XLOOKUP($S12:$AL12,增益!$A:$A,增益!$R:$R,0))</f>
        <v>1.91</v>
      </c>
      <c r="BR12" s="24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0.89337855</v>
      </c>
      <c r="BU12" s="24">
        <f t="shared" si="10"/>
        <v>0.01014186</v>
      </c>
      <c r="BV12" s="24">
        <f>IF(VLOOKUP($R12,武学奇术!$A:$ZZ,22,FALSE)=1,0,(1-$BO12))*(1-$BR12)</f>
        <v>0.00517959000000003</v>
      </c>
      <c r="BW12" s="24" cm="1">
        <f t="array" ref="BW12">SUM(_xlfn.XLOOKUP($S12:$AL12,增益!$A:$A,增益!$W:$W,0))+$I$5</f>
        <v>0.11</v>
      </c>
      <c r="BX12" s="24">
        <f>VLOOKUP($R12,武学奇术!$A:$ZZ,32,FALSE)</f>
        <v>0.4</v>
      </c>
      <c r="BY12" s="24" cm="1">
        <f t="array" ref="BY12">SUM(_xlfn.XLOOKUP($S12:$AL12,增益!$A:$A,增益!$X:$X,0))</f>
        <v>0</v>
      </c>
    </row>
    <row r="13" ht="14.25" spans="1:77">
      <c r="A13" s="40" t="s">
        <v>128</v>
      </c>
      <c r="B13" s="68">
        <f>期望!B13</f>
        <v>0.54</v>
      </c>
      <c r="C13" s="20" t="s">
        <v>101</v>
      </c>
      <c r="D13" s="25">
        <f>期望!D13</f>
        <v>0</v>
      </c>
      <c r="E13" s="25">
        <f>期望!E13</f>
        <v>0</v>
      </c>
      <c r="F13" s="25">
        <f>期望!F13</f>
        <v>0</v>
      </c>
      <c r="G13" s="48">
        <f>期望!G13</f>
        <v>0</v>
      </c>
      <c r="H13" s="69"/>
      <c r="I13" s="76"/>
      <c r="J13" s="74"/>
      <c r="K13" s="37">
        <f>$L13*VLOOKUP($R13,武学奇术!$A:$ZZ,31,FALSE)</f>
        <v>90948.7953039699</v>
      </c>
      <c r="L13" s="37">
        <f t="shared" si="0"/>
        <v>56842.9970649812</v>
      </c>
      <c r="M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*(1+$BX13)</f>
        <v>58373.297926306</v>
      </c>
      <c r="N13" s="37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*(1+$BX13)</f>
        <v>46499.4446887205</v>
      </c>
      <c r="O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*(1+$BX13)</f>
        <v>30561.9360870712</v>
      </c>
      <c r="P13" s="37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*(1+$BX13)</f>
        <v>26679.8390713865</v>
      </c>
      <c r="Q13" s="38">
        <v>1</v>
      </c>
      <c r="R13" s="39" t="s">
        <v>129</v>
      </c>
      <c r="S13" s="39" t="s">
        <v>98</v>
      </c>
      <c r="T13" s="39" t="s">
        <v>80</v>
      </c>
      <c r="U13" s="39" t="s">
        <v>81</v>
      </c>
      <c r="V13" s="39" t="s">
        <v>130</v>
      </c>
      <c r="W13" s="39" t="s">
        <v>83</v>
      </c>
      <c r="X13" s="39" t="s">
        <v>84</v>
      </c>
      <c r="Y13" s="39" t="s">
        <v>84</v>
      </c>
      <c r="Z13" s="39" t="s">
        <v>84</v>
      </c>
      <c r="AA13" s="39" t="s">
        <v>84</v>
      </c>
      <c r="AB13" s="39" t="s">
        <v>86</v>
      </c>
      <c r="AC13" s="39" t="s">
        <v>84</v>
      </c>
      <c r="AD13" s="39" t="s">
        <v>93</v>
      </c>
      <c r="AE13" s="39" t="s">
        <v>84</v>
      </c>
      <c r="AF13" s="39" t="s">
        <v>88</v>
      </c>
      <c r="AG13" s="39" t="s">
        <v>94</v>
      </c>
      <c r="AH13" s="39" t="s">
        <v>84</v>
      </c>
      <c r="AI13" s="39" t="s">
        <v>84</v>
      </c>
      <c r="AJ13" s="39" t="s">
        <v>84</v>
      </c>
      <c r="AK13" s="39" t="s">
        <v>84</v>
      </c>
      <c r="AL13" s="39" t="s">
        <v>84</v>
      </c>
      <c r="AM13" t="str">
        <f>VLOOKUP($R13,武学奇术!$A:$ZZ,25,FALSE)</f>
        <v>拳甲</v>
      </c>
      <c r="AN13" s="24">
        <f>VLOOKUP($R13,武学奇术!$A:$ZZ,26,FALSE)</f>
        <v>2.173248</v>
      </c>
      <c r="AO13" s="25">
        <f>VLOOKUP($R13,武学奇术!$A:$ZZ,27,FALSE)*(1+IF(OR($AM13=$F$4,$AM13=$F$5),$B$22,0))</f>
        <v>0</v>
      </c>
      <c r="AP13" s="24">
        <f>VLOOKUP($R13,武学奇术!$A:$ZZ,28,FALSE)</f>
        <v>3.259872</v>
      </c>
      <c r="AQ13" s="25">
        <f>VLOOKUP($R13,武学奇术!$A:$ZZ,29,FALSE)*(1+IF(OR($AM13=$F$4,$AM13=$F$5),$B$22,0))</f>
        <v>0</v>
      </c>
      <c r="AR13" s="24" cm="1">
        <f t="array" ref="AR13">$G$3+IFERROR(VLOOKUP($AM13,$F$4:$G$7,2,FALSE),0)+VLOOKUP($R13,武学奇术!$A:$ZZ,2,FALSE)+SUM(_xlfn.XLOOKUP($S13:$AL13,增益!$A:$A,增益!$B:$B,0))</f>
        <v>0.4643</v>
      </c>
      <c r="AS13" s="24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4274.25</v>
      </c>
      <c r="AU13" cm="1">
        <f t="array" ref="AU13">$E$10*(1+$AS13)+VLOOKUP($R13,武学奇术!$A:$ZZ,4,FALSE)+SUM(_xlfn.XLOOKUP($S13:$AL13,增益!$A:$A,增益!$D:$D,0))-$I$2</f>
        <v>4274.25</v>
      </c>
      <c r="AV13" s="31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0.3334</v>
      </c>
      <c r="AW13" s="31" cm="1">
        <f t="array" ref="AW13">$G$10+VLOOKUP($R13,武学奇术!$A:$ZZ,7,FALSE)+SUM(_xlfn.XLOOKUP($S13:$AL13,增益!$A:$A,增益!$G:$G,0))</f>
        <v>0.11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1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1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1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1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1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-0.3</v>
      </c>
      <c r="BJ13" s="31" cm="1">
        <f t="array" ref="BJ13">$G$13+VLOOKUP($R13,武学奇术!$A:$ZZ,14,FALSE)+SUM(_xlfn.XLOOKUP($S13:$AL13,增益!$A:$A,增益!$N:$N,0))</f>
        <v>0.02</v>
      </c>
      <c r="BK13">
        <f t="shared" si="7"/>
        <v>649.11</v>
      </c>
      <c r="BL13">
        <f t="shared" si="8"/>
        <v>1812.09</v>
      </c>
      <c r="BM13" s="31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</v>
      </c>
      <c r="BN13" s="31" cm="1">
        <f t="array" ref="BN13">$G$14+VLOOKUP($R13,武学奇术!$A:$ZZ,16,FALSE)+SUM(_xlfn.XLOOKUP($S13:$AL13,增益!$A:$A,增益!$P:$P,0))</f>
        <v>0.26</v>
      </c>
      <c r="BO13" s="24">
        <f>MIN(IF(VLOOKUP($R13,武学奇术!$A:$ZZ,23,FALSE)=1,100%,$B$8),100%)</f>
        <v>0.9943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0.8985</v>
      </c>
      <c r="BQ13" s="24" cm="1">
        <f t="array" ref="BQ13">1+$B$13+VLOOKUP($R13,武学奇术!$A:$ZZ,18,FALSE)+SUM(_xlfn.XLOOKUP($S13:$AL13,增益!$A:$A,增益!$R:$R,0))</f>
        <v>1.91</v>
      </c>
      <c r="BR13" s="24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0.89337855</v>
      </c>
      <c r="BU13" s="24">
        <f t="shared" si="10"/>
        <v>0.01014186</v>
      </c>
      <c r="BV13" s="24">
        <f>IF(VLOOKUP($R13,武学奇术!$A:$ZZ,22,FALSE)=1,0,(1-$BO13))*(1-$BR13)</f>
        <v>0.00517959000000003</v>
      </c>
      <c r="BW13" s="24" cm="1">
        <f t="array" ref="BW13">SUM(_xlfn.XLOOKUP($S13:$AL13,增益!$A:$A,增益!$W:$W,0))+$I$5</f>
        <v>0.11</v>
      </c>
      <c r="BX13" s="24">
        <f>VLOOKUP($R13,武学奇术!$A:$ZZ,32,FALSE)</f>
        <v>0</v>
      </c>
      <c r="BY13" s="24" cm="1">
        <f t="array" ref="BY13">SUM(_xlfn.XLOOKUP($S13:$AL13,增益!$A:$A,增益!$X:$X,0))</f>
        <v>0</v>
      </c>
    </row>
    <row r="14" ht="14.25" spans="1:77">
      <c r="A14" s="40" t="s">
        <v>131</v>
      </c>
      <c r="B14" s="68">
        <f>期望!B14</f>
        <v>0.35</v>
      </c>
      <c r="C14" s="13" t="s">
        <v>5</v>
      </c>
      <c r="D14" s="77">
        <f>期望!D14</f>
        <v>649.11</v>
      </c>
      <c r="E14" s="77">
        <f>期望!E14</f>
        <v>1812.09</v>
      </c>
      <c r="F14" s="77">
        <f>期望!F14</f>
        <v>30</v>
      </c>
      <c r="G14" s="62">
        <f>期望!G14</f>
        <v>0.15</v>
      </c>
      <c r="H14" s="35" t="s">
        <v>132</v>
      </c>
      <c r="I14" s="71">
        <f>I12+150000*8%</f>
        <v>169235.885858103</v>
      </c>
      <c r="J14" s="72"/>
      <c r="K14" s="37">
        <f>$L14*VLOOKUP($R14,武学奇术!$A:$ZZ,31,FALSE)</f>
        <v>360935.168923944</v>
      </c>
      <c r="L14" s="37">
        <f t="shared" si="0"/>
        <v>360935.168923944</v>
      </c>
      <c r="M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*(1+$BX14)</f>
        <v>375173.294962142</v>
      </c>
      <c r="N14" s="37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*(1+$BX14)</f>
        <v>253823.83238909</v>
      </c>
      <c r="O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*(1+$BX14)</f>
        <v>168996.979712677</v>
      </c>
      <c r="P14" s="37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*(1+$BX14)</f>
        <v>149976.305803806</v>
      </c>
      <c r="Q14" s="38">
        <v>1</v>
      </c>
      <c r="R14" s="39" t="s">
        <v>133</v>
      </c>
      <c r="S14" s="39" t="s">
        <v>98</v>
      </c>
      <c r="T14" s="39" t="s">
        <v>99</v>
      </c>
      <c r="U14" s="39" t="s">
        <v>81</v>
      </c>
      <c r="V14" s="39" t="s">
        <v>130</v>
      </c>
      <c r="W14" s="39" t="s">
        <v>83</v>
      </c>
      <c r="X14" s="39" t="s">
        <v>84</v>
      </c>
      <c r="Y14" s="39" t="s">
        <v>84</v>
      </c>
      <c r="Z14" s="39" t="s">
        <v>84</v>
      </c>
      <c r="AA14" s="39" t="s">
        <v>84</v>
      </c>
      <c r="AB14" s="39" t="s">
        <v>86</v>
      </c>
      <c r="AC14" s="39" t="s">
        <v>84</v>
      </c>
      <c r="AD14" s="39" t="s">
        <v>93</v>
      </c>
      <c r="AE14" s="39" t="s">
        <v>84</v>
      </c>
      <c r="AF14" s="39" t="s">
        <v>88</v>
      </c>
      <c r="AG14" s="39" t="s">
        <v>94</v>
      </c>
      <c r="AH14" s="39" t="s">
        <v>84</v>
      </c>
      <c r="AI14" s="39" t="s">
        <v>84</v>
      </c>
      <c r="AJ14" s="39" t="s">
        <v>84</v>
      </c>
      <c r="AK14" s="39" t="s">
        <v>84</v>
      </c>
      <c r="AL14" s="39" t="s">
        <v>84</v>
      </c>
      <c r="AM14" t="str">
        <f>VLOOKUP($R14,武学奇术!$A:$ZZ,25,FALSE)</f>
        <v>拳甲</v>
      </c>
      <c r="AN14" s="24">
        <f>VLOOKUP($R14,武学奇术!$A:$ZZ,26,FALSE)</f>
        <v>5.5691</v>
      </c>
      <c r="AO14" s="25">
        <f>VLOOKUP($R14,武学奇术!$A:$ZZ,27,FALSE)*(1+IF(OR($AM14=$F$4,$AM14=$F$5),$B$22,0))</f>
        <v>2470.4</v>
      </c>
      <c r="AP14" s="24">
        <f>VLOOKUP($R14,武学奇术!$A:$ZZ,28,FALSE)</f>
        <v>8.3537</v>
      </c>
      <c r="AQ14" s="25">
        <f>VLOOKUP($R14,武学奇术!$A:$ZZ,29,FALSE)*(1+IF(OR($AM14=$F$4,$AM14=$F$5),$B$22,0))</f>
        <v>1344</v>
      </c>
      <c r="AR14" s="24" cm="1">
        <f t="array" ref="AR14">$G$3+IFERROR(VLOOKUP($AM14,$F$4:$G$7,2,FALSE),0)+VLOOKUP($R14,武学奇术!$A:$ZZ,2,FALSE)+SUM(_xlfn.XLOOKUP($S14:$AL14,增益!$A:$A,增益!$B:$B,0))</f>
        <v>0.5143</v>
      </c>
      <c r="AS14" s="24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4274.25</v>
      </c>
      <c r="AU14" cm="1">
        <f t="array" ref="AU14">$E$10*(1+$AS14)+VLOOKUP($R14,武学奇术!$A:$ZZ,4,FALSE)+SUM(_xlfn.XLOOKUP($S14:$AL14,增益!$A:$A,增益!$D:$D,0))-$I$2</f>
        <v>4274.25</v>
      </c>
      <c r="AV14" s="31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0.3334</v>
      </c>
      <c r="AW14" s="31" cm="1">
        <f t="array" ref="AW14">$G$10+VLOOKUP($R14,武学奇术!$A:$ZZ,7,FALSE)+SUM(_xlfn.XLOOKUP($S14:$AL14,增益!$A:$A,增益!$G:$G,0))</f>
        <v>0.11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1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1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1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1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1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-0.3</v>
      </c>
      <c r="BJ14" s="31" cm="1">
        <f t="array" ref="BJ14">$G$13+VLOOKUP($R14,武学奇术!$A:$ZZ,14,FALSE)+SUM(_xlfn.XLOOKUP($S14:$AL14,增益!$A:$A,增益!$N:$N,0))</f>
        <v>0.02</v>
      </c>
      <c r="BK14">
        <f t="shared" si="7"/>
        <v>649.11</v>
      </c>
      <c r="BL14">
        <f t="shared" si="8"/>
        <v>1812.09</v>
      </c>
      <c r="BM14" s="31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</v>
      </c>
      <c r="BN14" s="31" cm="1">
        <f t="array" ref="BN14">$G$14+VLOOKUP($R14,武学奇术!$A:$ZZ,16,FALSE)+SUM(_xlfn.XLOOKUP($S14:$AL14,增益!$A:$A,增益!$P:$P,0))</f>
        <v>0.26</v>
      </c>
      <c r="BO14" s="24">
        <f>MIN(IF(VLOOKUP($R14,武学奇术!$A:$ZZ,23,FALSE)=1,100%,$B$8),100%)</f>
        <v>0.9943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0.8985</v>
      </c>
      <c r="BQ14" s="24" cm="1">
        <f t="array" ref="BQ14">1+$B$13+VLOOKUP($R14,武学奇术!$A:$ZZ,18,FALSE)+SUM(_xlfn.XLOOKUP($S14:$AL14,增益!$A:$A,增益!$R:$R,0))</f>
        <v>2.22</v>
      </c>
      <c r="BR14" s="24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0.89337855</v>
      </c>
      <c r="BU14" s="24">
        <f t="shared" si="10"/>
        <v>0.0153214500000001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0.11</v>
      </c>
      <c r="BX14" s="24">
        <f>VLOOKUP($R14,武学奇术!$A:$ZZ,32,FALSE)</f>
        <v>0.4</v>
      </c>
      <c r="BY14" s="24" cm="1">
        <f t="array" ref="BY14">SUM(_xlfn.XLOOKUP($S14:$AL14,增益!$A:$A,增益!$X:$X,0))</f>
        <v>0</v>
      </c>
    </row>
    <row r="15" ht="14.25" spans="1:77">
      <c r="A15" s="40" t="s">
        <v>134</v>
      </c>
      <c r="B15" s="68">
        <f>期望!B15</f>
        <v>0.0847</v>
      </c>
      <c r="C15" s="38" t="s">
        <v>135</v>
      </c>
      <c r="D15" s="38"/>
      <c r="F15" s="78"/>
      <c r="H15" s="79"/>
      <c r="I15" s="73"/>
      <c r="J15" s="74"/>
      <c r="K15" s="37">
        <f>$L15*VLOOKUP($R15,武学奇术!$A:$ZZ,31,FALSE)</f>
        <v>63177.5812162211</v>
      </c>
      <c r="L15" s="37">
        <f t="shared" si="0"/>
        <v>63177.5812162211</v>
      </c>
      <c r="M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*(1+$BX15)</f>
        <v>65672.0273444983</v>
      </c>
      <c r="N15" s="37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*(1+$BX15)</f>
        <v>44407.0274378478</v>
      </c>
      <c r="O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*(1+$BX15)</f>
        <v>29581.9942993235</v>
      </c>
      <c r="P15" s="37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*(1+$BX15)</f>
        <v>26269.8942002414</v>
      </c>
      <c r="Q15" s="38">
        <v>1</v>
      </c>
      <c r="R15" s="39" t="s">
        <v>136</v>
      </c>
      <c r="S15" s="39" t="s">
        <v>104</v>
      </c>
      <c r="T15" s="39" t="s">
        <v>99</v>
      </c>
      <c r="U15" s="39" t="s">
        <v>81</v>
      </c>
      <c r="V15" s="39" t="s">
        <v>130</v>
      </c>
      <c r="W15" s="39" t="s">
        <v>83</v>
      </c>
      <c r="X15" s="39" t="s">
        <v>84</v>
      </c>
      <c r="Y15" s="39" t="s">
        <v>84</v>
      </c>
      <c r="Z15" s="39" t="s">
        <v>84</v>
      </c>
      <c r="AA15" s="39" t="s">
        <v>84</v>
      </c>
      <c r="AB15" s="39" t="s">
        <v>86</v>
      </c>
      <c r="AC15" s="39" t="s">
        <v>84</v>
      </c>
      <c r="AD15" s="39" t="s">
        <v>93</v>
      </c>
      <c r="AE15" s="39" t="s">
        <v>84</v>
      </c>
      <c r="AF15" s="39" t="s">
        <v>88</v>
      </c>
      <c r="AG15" s="39" t="s">
        <v>94</v>
      </c>
      <c r="AH15" s="39" t="s">
        <v>84</v>
      </c>
      <c r="AI15" s="39" t="s">
        <v>84</v>
      </c>
      <c r="AJ15" s="39" t="s">
        <v>84</v>
      </c>
      <c r="AK15" s="39" t="s">
        <v>84</v>
      </c>
      <c r="AL15" s="39" t="s">
        <v>84</v>
      </c>
      <c r="AM15" t="str">
        <f>VLOOKUP($R15,武学奇术!$A:$ZZ,25,FALSE)</f>
        <v>拳甲</v>
      </c>
      <c r="AN15" s="24">
        <f>VLOOKUP($R15,武学奇术!$A:$ZZ,26,FALSE)</f>
        <v>0.9634</v>
      </c>
      <c r="AO15" s="25">
        <f>VLOOKUP($R15,武学奇术!$A:$ZZ,27,FALSE)*(1+IF(OR($AM15=$F$4,$AM15=$F$5),$B$22,0))</f>
        <v>427.2</v>
      </c>
      <c r="AP15" s="24">
        <f>VLOOKUP($R15,武学奇术!$A:$ZZ,28,FALSE)</f>
        <v>1.4451</v>
      </c>
      <c r="AQ15" s="25">
        <f>VLOOKUP($R15,武学奇术!$A:$ZZ,29,FALSE)*(1+IF(OR($AM15=$F$4,$AM15=$F$5),$B$22,0))</f>
        <v>232</v>
      </c>
      <c r="AR15" s="24" cm="1">
        <f t="array" ref="AR15">$G$3+IFERROR(VLOOKUP($AM15,$F$4:$G$7,2,FALSE),0)+VLOOKUP($R15,武学奇术!$A:$ZZ,2,FALSE)+SUM(_xlfn.XLOOKUP($S15:$AL15,增益!$A:$A,增益!$B:$B,0))</f>
        <v>0.5243</v>
      </c>
      <c r="AS15" s="24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4274.25</v>
      </c>
      <c r="AU15" cm="1">
        <f t="array" ref="AU15">$E$10*(1+$AS15)+VLOOKUP($R15,武学奇术!$A:$ZZ,4,FALSE)+SUM(_xlfn.XLOOKUP($S15:$AL15,增益!$A:$A,增益!$D:$D,0))-$I$2</f>
        <v>4274.25</v>
      </c>
      <c r="AV15" s="31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0.3434</v>
      </c>
      <c r="AW15" s="31" cm="1">
        <f t="array" ref="AW15">$G$10+VLOOKUP($R15,武学奇术!$A:$ZZ,7,FALSE)+SUM(_xlfn.XLOOKUP($S15:$AL15,增益!$A:$A,增益!$G:$G,0))</f>
        <v>0.11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1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1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1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1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1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-0.3</v>
      </c>
      <c r="BJ15" s="31" cm="1">
        <f t="array" ref="BJ15">$G$13+VLOOKUP($R15,武学奇术!$A:$ZZ,14,FALSE)+SUM(_xlfn.XLOOKUP($S15:$AL15,增益!$A:$A,增益!$N:$N,0))</f>
        <v>0.02</v>
      </c>
      <c r="BK15">
        <f t="shared" si="7"/>
        <v>649.11</v>
      </c>
      <c r="BL15">
        <f t="shared" si="8"/>
        <v>1812.09</v>
      </c>
      <c r="BM15" s="31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</v>
      </c>
      <c r="BN15" s="31" cm="1">
        <f t="array" ref="BN15">$G$14+VLOOKUP($R15,武学奇术!$A:$ZZ,16,FALSE)+SUM(_xlfn.XLOOKUP($S15:$AL15,增益!$A:$A,增益!$P:$P,0))</f>
        <v>0.26</v>
      </c>
      <c r="BO15" s="24">
        <f>MIN(IF(VLOOKUP($R15,武学奇术!$A:$ZZ,23,FALSE)=1,100%,$B$8),100%)</f>
        <v>0.9943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0.8985</v>
      </c>
      <c r="BQ15" s="24" cm="1">
        <f t="array" ref="BQ15">1+$B$13+VLOOKUP($R15,武学奇术!$A:$ZZ,18,FALSE)+SUM(_xlfn.XLOOKUP($S15:$AL15,增益!$A:$A,增益!$R:$R,0))</f>
        <v>2.22</v>
      </c>
      <c r="BR15" s="24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0.89337855</v>
      </c>
      <c r="BU15" s="24">
        <f t="shared" si="10"/>
        <v>0.0153214500000001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0.11</v>
      </c>
      <c r="BX15" s="24">
        <f>VLOOKUP($R15,武学奇术!$A:$ZZ,32,FALSE)</f>
        <v>0.4</v>
      </c>
      <c r="BY15" s="24" cm="1">
        <f t="array" ref="BY15">SUM(_xlfn.XLOOKUP($S15:$AL15,增益!$A:$A,增益!$X:$X,0))</f>
        <v>0</v>
      </c>
    </row>
    <row r="16" spans="1:77">
      <c r="A16" s="40" t="s">
        <v>137</v>
      </c>
      <c r="B16" s="68">
        <f>期望!B16</f>
        <v>0.0892</v>
      </c>
      <c r="C16" s="38" t="s">
        <v>138</v>
      </c>
      <c r="D16" s="78" t="s">
        <v>161</v>
      </c>
      <c r="E16" s="38" t="s">
        <v>140</v>
      </c>
      <c r="F16" s="78" t="s">
        <v>139</v>
      </c>
      <c r="H16" s="66" t="s">
        <v>141</v>
      </c>
      <c r="I16" s="80"/>
      <c r="J16" s="81"/>
      <c r="K16" s="37">
        <f>$L16*VLOOKUP($R16,武学奇术!$A:$ZZ,31,FALSE)</f>
        <v>60997.4802373449</v>
      </c>
      <c r="L16" s="37">
        <f t="shared" si="0"/>
        <v>60997.4802373449</v>
      </c>
      <c r="M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*(1+$BX16)</f>
        <v>63426.2667167936</v>
      </c>
      <c r="N16" s="37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*(1+$BX16)</f>
        <v>42694.8214301313</v>
      </c>
      <c r="O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*(1+$BX16)</f>
        <v>28442.272070311</v>
      </c>
      <c r="P16" s="37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*(1+$BX16)</f>
        <v>25258.750488673</v>
      </c>
      <c r="Q16" s="38">
        <v>1</v>
      </c>
      <c r="R16" s="39" t="s">
        <v>142</v>
      </c>
      <c r="S16" s="39" t="s">
        <v>104</v>
      </c>
      <c r="T16" s="39" t="s">
        <v>106</v>
      </c>
      <c r="U16" s="39" t="s">
        <v>81</v>
      </c>
      <c r="V16" s="39" t="s">
        <v>130</v>
      </c>
      <c r="W16" s="39" t="s">
        <v>83</v>
      </c>
      <c r="X16" s="39" t="s">
        <v>84</v>
      </c>
      <c r="Y16" s="39" t="s">
        <v>84</v>
      </c>
      <c r="Z16" s="39" t="s">
        <v>84</v>
      </c>
      <c r="AA16" s="39" t="s">
        <v>84</v>
      </c>
      <c r="AB16" s="39" t="s">
        <v>86</v>
      </c>
      <c r="AC16" s="39" t="s">
        <v>84</v>
      </c>
      <c r="AD16" s="39" t="s">
        <v>93</v>
      </c>
      <c r="AE16" s="39" t="s">
        <v>84</v>
      </c>
      <c r="AF16" s="39" t="s">
        <v>88</v>
      </c>
      <c r="AG16" s="39" t="s">
        <v>94</v>
      </c>
      <c r="AH16" s="39" t="s">
        <v>84</v>
      </c>
      <c r="AI16" s="39" t="s">
        <v>84</v>
      </c>
      <c r="AJ16" s="39" t="s">
        <v>84</v>
      </c>
      <c r="AK16" s="39" t="s">
        <v>84</v>
      </c>
      <c r="AL16" s="39" t="s">
        <v>84</v>
      </c>
      <c r="AM16" t="str">
        <f>VLOOKUP($R16,武学奇术!$A:$ZZ,25,FALSE)</f>
        <v>拳甲</v>
      </c>
      <c r="AN16" s="24">
        <f>VLOOKUP($R16,武学奇术!$A:$ZZ,26,FALSE)</f>
        <v>0.926</v>
      </c>
      <c r="AO16" s="25">
        <f>VLOOKUP($R16,武学奇术!$A:$ZZ,27,FALSE)*(1+IF(OR($AM16=$F$4,$AM16=$F$5),$B$22,0))</f>
        <v>411.2</v>
      </c>
      <c r="AP16" s="24">
        <f>VLOOKUP($R16,武学奇术!$A:$ZZ,28,FALSE)</f>
        <v>1.389</v>
      </c>
      <c r="AQ16" s="25">
        <f>VLOOKUP($R16,武学奇术!$A:$ZZ,29,FALSE)*(1+IF(OR($AM16=$F$4,$AM16=$F$5),$B$22,0))</f>
        <v>224</v>
      </c>
      <c r="AR16" s="24" cm="1">
        <f t="array" ref="AR16">$G$3+IFERROR(VLOOKUP($AM16,$F$4:$G$7,2,FALSE),0)+VLOOKUP($R16,武学奇术!$A:$ZZ,2,FALSE)+SUM(_xlfn.XLOOKUP($S16:$AL16,增益!$A:$A,增益!$B:$B,0))</f>
        <v>0.5243</v>
      </c>
      <c r="AS16" s="24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4274.25</v>
      </c>
      <c r="AU16" cm="1">
        <f t="array" ref="AU16">$E$10*(1+$AS16)+VLOOKUP($R16,武学奇术!$A:$ZZ,4,FALSE)+SUM(_xlfn.XLOOKUP($S16:$AL16,增益!$A:$A,增益!$D:$D,0))-$I$2</f>
        <v>4274.25</v>
      </c>
      <c r="AV16" s="31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0.3434</v>
      </c>
      <c r="AW16" s="31" cm="1">
        <f t="array" ref="AW16">$G$10+VLOOKUP($R16,武学奇术!$A:$ZZ,7,FALSE)+SUM(_xlfn.XLOOKUP($S16:$AL16,增益!$A:$A,增益!$G:$G,0))</f>
        <v>0.11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1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1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1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1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1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-0.3</v>
      </c>
      <c r="BJ16" s="31" cm="1">
        <f t="array" ref="BJ16">$G$13+VLOOKUP($R16,武学奇术!$A:$ZZ,14,FALSE)+SUM(_xlfn.XLOOKUP($S16:$AL16,增益!$A:$A,增益!$N:$N,0))</f>
        <v>0.02</v>
      </c>
      <c r="BK16">
        <f t="shared" si="7"/>
        <v>649.11</v>
      </c>
      <c r="BL16">
        <f t="shared" si="8"/>
        <v>1812.09</v>
      </c>
      <c r="BM16" s="31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</v>
      </c>
      <c r="BN16" s="31" cm="1">
        <f t="array" ref="BN16">$G$14+VLOOKUP($R16,武学奇术!$A:$ZZ,16,FALSE)+SUM(_xlfn.XLOOKUP($S16:$AL16,增益!$A:$A,增益!$P:$P,0))</f>
        <v>0.26</v>
      </c>
      <c r="BO16" s="24">
        <f>MIN(IF(VLOOKUP($R16,武学奇术!$A:$ZZ,23,FALSE)=1,100%,$B$8),100%)</f>
        <v>0.9943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0.8985</v>
      </c>
      <c r="BQ16" s="24" cm="1">
        <f t="array" ref="BQ16">1+$B$13+VLOOKUP($R16,武学奇术!$A:$ZZ,18,FALSE)+SUM(_xlfn.XLOOKUP($S16:$AL16,增益!$A:$A,增益!$R:$R,0))</f>
        <v>2.23</v>
      </c>
      <c r="BR16" s="24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0.89337855</v>
      </c>
      <c r="BU16" s="24">
        <f t="shared" si="10"/>
        <v>0.0153214500000001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0.11</v>
      </c>
      <c r="BX16" s="24">
        <f>VLOOKUP($R16,武学奇术!$A:$ZZ,32,FALSE)</f>
        <v>0.4</v>
      </c>
      <c r="BY16" s="24" cm="1">
        <f t="array" ref="BY16">SUM(_xlfn.XLOOKUP($S16:$AL16,增益!$A:$A,增益!$X:$X,0))</f>
        <v>0</v>
      </c>
    </row>
    <row r="17" ht="14.25" spans="1:77">
      <c r="A17" s="40" t="s">
        <v>143</v>
      </c>
      <c r="B17" s="68">
        <f>期望!B17</f>
        <v>0.0854</v>
      </c>
      <c r="C17" s="38" t="s">
        <v>144</v>
      </c>
      <c r="D17" s="78" t="s">
        <v>161</v>
      </c>
      <c r="E17" s="38" t="s">
        <v>145</v>
      </c>
      <c r="F17" s="78" t="s">
        <v>161</v>
      </c>
      <c r="H17" s="69"/>
      <c r="I17" s="82"/>
      <c r="J17" s="83"/>
      <c r="K17" s="37">
        <f>$L17*VLOOKUP($R17,武学奇术!$A:$ZZ,31,FALSE)</f>
        <v>74396.8856398817</v>
      </c>
      <c r="L17" s="37">
        <f t="shared" si="0"/>
        <v>74396.8856398817</v>
      </c>
      <c r="M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*(1+$BX17)</f>
        <v>77359.0367924173</v>
      </c>
      <c r="N17" s="37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*(1+$BX17)</f>
        <v>52075.3352289977</v>
      </c>
      <c r="O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*(1+$BX17)</f>
        <v>34690.1510279898</v>
      </c>
      <c r="P17" s="37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*(1+$BX17)</f>
        <v>30805.9796641295</v>
      </c>
      <c r="Q17" s="38">
        <v>1</v>
      </c>
      <c r="R17" s="39" t="s">
        <v>146</v>
      </c>
      <c r="S17" s="39" t="s">
        <v>104</v>
      </c>
      <c r="T17" s="39" t="s">
        <v>106</v>
      </c>
      <c r="U17" s="39" t="s">
        <v>81</v>
      </c>
      <c r="V17" s="39" t="s">
        <v>130</v>
      </c>
      <c r="W17" s="39" t="s">
        <v>83</v>
      </c>
      <c r="X17" s="39" t="s">
        <v>84</v>
      </c>
      <c r="Y17" s="39" t="s">
        <v>84</v>
      </c>
      <c r="Z17" s="39" t="s">
        <v>84</v>
      </c>
      <c r="AA17" s="39" t="s">
        <v>84</v>
      </c>
      <c r="AB17" s="39" t="s">
        <v>86</v>
      </c>
      <c r="AC17" s="39" t="s">
        <v>84</v>
      </c>
      <c r="AD17" s="39" t="s">
        <v>93</v>
      </c>
      <c r="AE17" s="39" t="s">
        <v>84</v>
      </c>
      <c r="AF17" s="39" t="s">
        <v>88</v>
      </c>
      <c r="AG17" s="39" t="s">
        <v>94</v>
      </c>
      <c r="AH17" s="39" t="s">
        <v>84</v>
      </c>
      <c r="AI17" s="39" t="s">
        <v>84</v>
      </c>
      <c r="AJ17" s="39" t="s">
        <v>84</v>
      </c>
      <c r="AK17" s="39" t="s">
        <v>84</v>
      </c>
      <c r="AL17" s="39" t="s">
        <v>84</v>
      </c>
      <c r="AM17" t="str">
        <f>VLOOKUP($R17,武学奇术!$A:$ZZ,25,FALSE)</f>
        <v>拳甲</v>
      </c>
      <c r="AN17" s="24">
        <f>VLOOKUP($R17,武学奇术!$A:$ZZ,26,FALSE)</f>
        <v>1.1298</v>
      </c>
      <c r="AO17" s="25">
        <f>VLOOKUP($R17,武学奇术!$A:$ZZ,27,FALSE)*(1+IF(OR($AM17=$F$4,$AM17=$F$5),$B$22,0))</f>
        <v>500.8</v>
      </c>
      <c r="AP17" s="24">
        <f>VLOOKUP($R17,武学奇术!$A:$ZZ,28,FALSE)</f>
        <v>1.6947</v>
      </c>
      <c r="AQ17" s="25">
        <f>VLOOKUP($R17,武学奇术!$A:$ZZ,29,FALSE)*(1+IF(OR($AM17=$F$4,$AM17=$F$5),$B$22,0))</f>
        <v>272</v>
      </c>
      <c r="AR17" s="24" cm="1">
        <f t="array" ref="AR17">$G$3+IFERROR(VLOOKUP($AM17,$F$4:$G$7,2,FALSE),0)+VLOOKUP($R17,武学奇术!$A:$ZZ,2,FALSE)+SUM(_xlfn.XLOOKUP($S17:$AL17,增益!$A:$A,增益!$B:$B,0))</f>
        <v>0.5243</v>
      </c>
      <c r="AS17" s="24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4274.25</v>
      </c>
      <c r="AU17" cm="1">
        <f t="array" ref="AU17">$E$10*(1+$AS17)+VLOOKUP($R17,武学奇术!$A:$ZZ,4,FALSE)+SUM(_xlfn.XLOOKUP($S17:$AL17,增益!$A:$A,增益!$D:$D,0))-$I$2</f>
        <v>4274.25</v>
      </c>
      <c r="AV17" s="31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0.3434</v>
      </c>
      <c r="AW17" s="31" cm="1">
        <f t="array" ref="AW17">$G$10+VLOOKUP($R17,武学奇术!$A:$ZZ,7,FALSE)+SUM(_xlfn.XLOOKUP($S17:$AL17,增益!$A:$A,增益!$G:$G,0))</f>
        <v>0.11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1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1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1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1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1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-0.3</v>
      </c>
      <c r="BJ17" s="31" cm="1">
        <f t="array" ref="BJ17">$G$13+VLOOKUP($R17,武学奇术!$A:$ZZ,14,FALSE)+SUM(_xlfn.XLOOKUP($S17:$AL17,增益!$A:$A,增益!$N:$N,0))</f>
        <v>0.02</v>
      </c>
      <c r="BK17">
        <f t="shared" si="7"/>
        <v>649.11</v>
      </c>
      <c r="BL17">
        <f t="shared" si="8"/>
        <v>1812.09</v>
      </c>
      <c r="BM17" s="31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</v>
      </c>
      <c r="BN17" s="31" cm="1">
        <f t="array" ref="BN17">$G$14+VLOOKUP($R17,武学奇术!$A:$ZZ,16,FALSE)+SUM(_xlfn.XLOOKUP($S17:$AL17,增益!$A:$A,增益!$P:$P,0))</f>
        <v>0.26</v>
      </c>
      <c r="BO17" s="24">
        <f>MIN(IF(VLOOKUP($R17,武学奇术!$A:$ZZ,23,FALSE)=1,100%,$B$8),100%)</f>
        <v>0.9943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0.8985</v>
      </c>
      <c r="BQ17" s="24" cm="1">
        <f t="array" ref="BQ17">1+$B$13+VLOOKUP($R17,武学奇术!$A:$ZZ,18,FALSE)+SUM(_xlfn.XLOOKUP($S17:$AL17,增益!$A:$A,增益!$R:$R,0))</f>
        <v>2.23</v>
      </c>
      <c r="BR17" s="24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0.89337855</v>
      </c>
      <c r="BU17" s="24">
        <f t="shared" si="10"/>
        <v>0.0153214500000001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0.11</v>
      </c>
      <c r="BX17" s="24">
        <f>VLOOKUP($R17,武学奇术!$A:$ZZ,32,FALSE)</f>
        <v>0.4</v>
      </c>
      <c r="BY17" s="24" cm="1">
        <f t="array" ref="BY17">SUM(_xlfn.XLOOKUP($S17:$AL17,增益!$A:$A,增益!$X:$X,0))</f>
        <v>0</v>
      </c>
    </row>
    <row r="18" spans="1:77">
      <c r="A18" s="40" t="s">
        <v>147</v>
      </c>
      <c r="B18" s="68">
        <f>期望!B18</f>
        <v>0.0854</v>
      </c>
      <c r="C18" s="38" t="s">
        <v>148</v>
      </c>
      <c r="D18" s="78" t="s">
        <v>161</v>
      </c>
      <c r="E18" s="38" t="s">
        <v>149</v>
      </c>
      <c r="F18" s="84">
        <v>0.5</v>
      </c>
      <c r="K18" s="37">
        <f>$L18*VLOOKUP($R18,武学奇术!$A:$ZZ,31,FALSE)</f>
        <v>167946.174100147</v>
      </c>
      <c r="L18" s="37">
        <f t="shared" si="0"/>
        <v>167946.174100147</v>
      </c>
      <c r="M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*(1+$BX18)</f>
        <v>174633.268828093</v>
      </c>
      <c r="N18" s="37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*(1+$BX18)</f>
        <v>117554.450560827</v>
      </c>
      <c r="O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*(1+$BX18)</f>
        <v>78310.882882553</v>
      </c>
      <c r="P18" s="37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*(1+$BX18)</f>
        <v>69544.3949793079</v>
      </c>
      <c r="Q18" s="38">
        <v>1</v>
      </c>
      <c r="R18" s="39" t="s">
        <v>151</v>
      </c>
      <c r="S18" s="39" t="s">
        <v>104</v>
      </c>
      <c r="T18" s="39" t="s">
        <v>106</v>
      </c>
      <c r="U18" s="39" t="s">
        <v>81</v>
      </c>
      <c r="V18" s="39" t="s">
        <v>130</v>
      </c>
      <c r="W18" s="39" t="s">
        <v>83</v>
      </c>
      <c r="X18" s="39" t="s">
        <v>84</v>
      </c>
      <c r="Y18" s="39" t="s">
        <v>84</v>
      </c>
      <c r="Z18" s="39" t="s">
        <v>84</v>
      </c>
      <c r="AA18" s="39" t="s">
        <v>84</v>
      </c>
      <c r="AB18" s="39" t="s">
        <v>86</v>
      </c>
      <c r="AC18" s="39" t="s">
        <v>84</v>
      </c>
      <c r="AD18" s="39" t="s">
        <v>93</v>
      </c>
      <c r="AE18" s="39" t="s">
        <v>84</v>
      </c>
      <c r="AF18" s="39" t="s">
        <v>88</v>
      </c>
      <c r="AG18" s="39" t="s">
        <v>94</v>
      </c>
      <c r="AH18" s="39" t="s">
        <v>84</v>
      </c>
      <c r="AI18" s="39" t="s">
        <v>84</v>
      </c>
      <c r="AJ18" s="39" t="s">
        <v>84</v>
      </c>
      <c r="AK18" s="39" t="s">
        <v>84</v>
      </c>
      <c r="AL18" s="39" t="s">
        <v>84</v>
      </c>
      <c r="AM18" t="str">
        <f>VLOOKUP($R18,武学奇术!$A:$ZZ,25,FALSE)</f>
        <v>拳甲</v>
      </c>
      <c r="AN18" s="24">
        <f>VLOOKUP($R18,武学奇术!$A:$ZZ,26,FALSE)</f>
        <v>2.5499</v>
      </c>
      <c r="AO18" s="25">
        <f>VLOOKUP($R18,武学奇术!$A:$ZZ,27,FALSE)*(1+IF(OR($AM18=$F$4,$AM18=$F$5),$B$22,0))</f>
        <v>1131.2</v>
      </c>
      <c r="AP18" s="24">
        <f>VLOOKUP($R18,武学奇术!$A:$ZZ,28,FALSE)</f>
        <v>3.8249</v>
      </c>
      <c r="AQ18" s="25">
        <f>VLOOKUP($R18,武学奇术!$A:$ZZ,29,FALSE)*(1+IF(OR($AM18=$F$4,$AM18=$F$5),$B$22,0))</f>
        <v>616</v>
      </c>
      <c r="AR18" s="24" cm="1">
        <f t="array" ref="AR18">$G$3+IFERROR(VLOOKUP($AM18,$F$4:$G$7,2,FALSE),0)+VLOOKUP($R18,武学奇术!$A:$ZZ,2,FALSE)+SUM(_xlfn.XLOOKUP($S18:$AL18,增益!$A:$A,增益!$B:$B,0))</f>
        <v>0.5243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4274.25</v>
      </c>
      <c r="AU18" cm="1">
        <f t="array" ref="AU18">$E$10*(1+$AS18)+VLOOKUP($R18,武学奇术!$A:$ZZ,4,FALSE)+SUM(_xlfn.XLOOKUP($S18:$AL18,增益!$A:$A,增益!$D:$D,0))-$I$2</f>
        <v>4274.25</v>
      </c>
      <c r="AV18" s="31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0.3434</v>
      </c>
      <c r="AW18" s="31" cm="1">
        <f t="array" ref="AW18">$G$10+VLOOKUP($R18,武学奇术!$A:$ZZ,7,FALSE)+SUM(_xlfn.XLOOKUP($S18:$AL18,增益!$A:$A,增益!$G:$G,0))</f>
        <v>0.11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1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1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1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1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1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1" cm="1">
        <f t="array" ref="BJ18">$G$13+VLOOKUP($R18,武学奇术!$A:$ZZ,14,FALSE)+SUM(_xlfn.XLOOKUP($S18:$AL18,增益!$A:$A,增益!$N:$N,0))</f>
        <v>0.02</v>
      </c>
      <c r="BK18">
        <f t="shared" si="7"/>
        <v>649.11</v>
      </c>
      <c r="BL18">
        <f t="shared" si="8"/>
        <v>1812.09</v>
      </c>
      <c r="BM18" s="31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1" cm="1">
        <f t="array" ref="BN18">$G$14+VLOOKUP($R18,武学奇术!$A:$ZZ,16,FALSE)+SUM(_xlfn.XLOOKUP($S18:$AL18,增益!$A:$A,增益!$P:$P,0))</f>
        <v>0.26</v>
      </c>
      <c r="BO18" s="24">
        <f>MIN(IF(VLOOKUP($R18,武学奇术!$A:$ZZ,23,FALSE)=1,100%,$B$8),100%)</f>
        <v>0.9943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0.8985</v>
      </c>
      <c r="BQ18" s="24" cm="1">
        <f t="array" ref="BQ18">1+$B$13+VLOOKUP($R18,武学奇术!$A:$ZZ,18,FALSE)+SUM(_xlfn.XLOOKUP($S18:$AL18,增益!$A:$A,增益!$R:$R,0))</f>
        <v>2.23</v>
      </c>
      <c r="BR18" s="24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0.89337855</v>
      </c>
      <c r="BU18" s="24">
        <f t="shared" si="10"/>
        <v>0.0153214500000001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0.11</v>
      </c>
      <c r="BX18" s="24">
        <f>VLOOKUP($R18,武学奇术!$A:$ZZ,32,FALSE)</f>
        <v>0.4</v>
      </c>
      <c r="BY18" s="24" cm="1">
        <f t="array" ref="BY18">SUM(_xlfn.XLOOKUP($S18:$AL18,增益!$A:$A,增益!$X:$X,0))</f>
        <v>0</v>
      </c>
    </row>
    <row r="19" spans="1:77">
      <c r="A19" s="40" t="s">
        <v>152</v>
      </c>
      <c r="B19" s="68">
        <f>期望!B19</f>
        <v>0</v>
      </c>
      <c r="C19" s="38" t="s">
        <v>153</v>
      </c>
      <c r="D19" s="78" t="s">
        <v>161</v>
      </c>
      <c r="K19" s="37">
        <f>$L19*VLOOKUP($R19,武学奇术!$A:$ZZ,31,FALSE)</f>
        <v>306832.234289941</v>
      </c>
      <c r="L19" s="37">
        <f t="shared" si="0"/>
        <v>306832.234289941</v>
      </c>
      <c r="M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*(1+$BX19)</f>
        <v>316050.340248191</v>
      </c>
      <c r="N19" s="37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*(1+$BX19)</f>
        <v>241336.347630604</v>
      </c>
      <c r="O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*(1+$BX19)</f>
        <v>159621.383963733</v>
      </c>
      <c r="P19" s="37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*(1+$BX19)</f>
        <v>140475.103015907</v>
      </c>
      <c r="Q19" s="38">
        <v>1</v>
      </c>
      <c r="R19" s="39" t="s">
        <v>133</v>
      </c>
      <c r="S19" s="39" t="s">
        <v>104</v>
      </c>
      <c r="T19" s="39" t="s">
        <v>106</v>
      </c>
      <c r="U19" s="39" t="s">
        <v>81</v>
      </c>
      <c r="V19" s="39" t="s">
        <v>130</v>
      </c>
      <c r="W19" s="39" t="s">
        <v>83</v>
      </c>
      <c r="X19" s="39" t="s">
        <v>84</v>
      </c>
      <c r="Y19" s="39" t="s">
        <v>84</v>
      </c>
      <c r="Z19" s="39" t="s">
        <v>84</v>
      </c>
      <c r="AA19" s="39" t="s">
        <v>84</v>
      </c>
      <c r="AB19" s="39" t="s">
        <v>107</v>
      </c>
      <c r="AC19" s="39" t="s">
        <v>84</v>
      </c>
      <c r="AD19" s="39" t="s">
        <v>84</v>
      </c>
      <c r="AE19" s="39" t="s">
        <v>84</v>
      </c>
      <c r="AF19" s="39" t="s">
        <v>88</v>
      </c>
      <c r="AG19" s="39" t="s">
        <v>94</v>
      </c>
      <c r="AH19" s="39" t="s">
        <v>84</v>
      </c>
      <c r="AI19" s="39" t="s">
        <v>84</v>
      </c>
      <c r="AJ19" s="39" t="s">
        <v>84</v>
      </c>
      <c r="AK19" s="39" t="s">
        <v>84</v>
      </c>
      <c r="AL19" s="39" t="s">
        <v>84</v>
      </c>
      <c r="AM19" t="str">
        <f>VLOOKUP($R19,武学奇术!$A:$ZZ,25,FALSE)</f>
        <v>拳甲</v>
      </c>
      <c r="AN19" s="24">
        <f>VLOOKUP($R19,武学奇术!$A:$ZZ,26,FALSE)</f>
        <v>5.5691</v>
      </c>
      <c r="AO19" s="25">
        <f>VLOOKUP($R19,武学奇术!$A:$ZZ,27,FALSE)*(1+IF(OR($AM19=$F$4,$AM19=$F$5),$B$22,0))</f>
        <v>2470.4</v>
      </c>
      <c r="AP19" s="24">
        <f>VLOOKUP($R19,武学奇术!$A:$ZZ,28,FALSE)</f>
        <v>8.3537</v>
      </c>
      <c r="AQ19" s="25">
        <f>VLOOKUP($R19,武学奇术!$A:$ZZ,29,FALSE)*(1+IF(OR($AM19=$F$4,$AM19=$F$5),$B$22,0))</f>
        <v>1344</v>
      </c>
      <c r="AR19" s="24" cm="1">
        <f t="array" ref="AR19">$G$3+IFERROR(VLOOKUP($AM19,$F$4:$G$7,2,FALSE),0)+VLOOKUP($R19,武学奇术!$A:$ZZ,2,FALSE)+SUM(_xlfn.XLOOKUP($S19:$AL19,增益!$A:$A,增益!$B:$B,0))</f>
        <v>0.5243</v>
      </c>
      <c r="AS19" s="24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4274.25</v>
      </c>
      <c r="AU19" cm="1">
        <f t="array" ref="AU19">$E$10*(1+$AS19)+VLOOKUP($R19,武学奇术!$A:$ZZ,4,FALSE)+SUM(_xlfn.XLOOKUP($S19:$AL19,增益!$A:$A,增益!$D:$D,0))-$I$2</f>
        <v>4274.25</v>
      </c>
      <c r="AV19" s="31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0.2184</v>
      </c>
      <c r="AW19" s="31" cm="1">
        <f t="array" ref="AW19">$G$10+VLOOKUP($R19,武学奇术!$A:$ZZ,7,FALSE)+SUM(_xlfn.XLOOKUP($S19:$AL19,增益!$A:$A,增益!$G:$G,0))</f>
        <v>0.11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1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1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1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1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1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31" cm="1">
        <f t="array" ref="BJ19">$G$13+VLOOKUP($R19,武学奇术!$A:$ZZ,14,FALSE)+SUM(_xlfn.XLOOKUP($S19:$AL19,增益!$A:$A,增益!$N:$N,0))</f>
        <v>0.02</v>
      </c>
      <c r="BK19">
        <f t="shared" si="7"/>
        <v>649.11</v>
      </c>
      <c r="BL19">
        <f t="shared" si="8"/>
        <v>1812.09</v>
      </c>
      <c r="BM19" s="31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31" cm="1">
        <f t="array" ref="BN19">$G$14+VLOOKUP($R19,武学奇术!$A:$ZZ,16,FALSE)+SUM(_xlfn.XLOOKUP($S19:$AL19,增益!$A:$A,增益!$P:$P,0))</f>
        <v>0.26</v>
      </c>
      <c r="BO19" s="24">
        <f>MIN(IF(VLOOKUP($R19,武学奇术!$A:$ZZ,23,FALSE)=1,100%,$B$8),100%)</f>
        <v>0.9943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0.8985</v>
      </c>
      <c r="BQ19" s="24" cm="1">
        <f t="array" ref="BQ19">1+$B$13+VLOOKUP($R19,武学奇术!$A:$ZZ,18,FALSE)+SUM(_xlfn.XLOOKUP($S19:$AL19,增益!$A:$A,增益!$R:$R,0))</f>
        <v>1.98</v>
      </c>
      <c r="BR19" s="24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0.0913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0.89337855</v>
      </c>
      <c r="BU19" s="24">
        <f t="shared" si="10"/>
        <v>0.0153214500000001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0.11</v>
      </c>
      <c r="BX19" s="24">
        <f>VLOOKUP($R19,武学奇术!$A:$ZZ,32,FALSE)</f>
        <v>0.4</v>
      </c>
      <c r="BY19" s="24" cm="1">
        <f t="array" ref="BY19">SUM(_xlfn.XLOOKUP($S19:$AL19,增益!$A:$A,增益!$X:$X,0))</f>
        <v>0</v>
      </c>
    </row>
    <row r="20" spans="1:77">
      <c r="A20" s="40" t="s">
        <v>154</v>
      </c>
      <c r="B20" s="68">
        <f>期望!B20</f>
        <v>0</v>
      </c>
      <c r="C20" s="38" t="s">
        <v>155</v>
      </c>
      <c r="D20" s="78" t="s">
        <v>161</v>
      </c>
      <c r="K20" s="37">
        <f>$L20*VLOOKUP($R20,武学奇术!$A:$ZZ,31,FALSE)</f>
        <v>169281.649069091</v>
      </c>
      <c r="L20" s="37">
        <f t="shared" si="0"/>
        <v>169281.649069091</v>
      </c>
      <c r="M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*(1+$BX20)</f>
        <v>174436.938025101</v>
      </c>
      <c r="N20" s="37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*(1+$BX20)</f>
        <v>132534.520864842</v>
      </c>
      <c r="O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*(1+$BX20)</f>
        <v>87656.7527764325</v>
      </c>
      <c r="P20" s="37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*(1+$BX20)</f>
        <v>77139.786393723</v>
      </c>
      <c r="Q20" s="38">
        <v>1</v>
      </c>
      <c r="R20" s="39" t="s">
        <v>157</v>
      </c>
      <c r="S20" s="39" t="s">
        <v>104</v>
      </c>
      <c r="T20" s="39" t="s">
        <v>158</v>
      </c>
      <c r="U20" s="39" t="s">
        <v>81</v>
      </c>
      <c r="V20" s="39" t="s">
        <v>130</v>
      </c>
      <c r="W20" s="39" t="s">
        <v>83</v>
      </c>
      <c r="X20" s="39" t="s">
        <v>84</v>
      </c>
      <c r="Y20" s="39" t="s">
        <v>84</v>
      </c>
      <c r="Z20" s="39" t="s">
        <v>84</v>
      </c>
      <c r="AA20" s="39" t="s">
        <v>84</v>
      </c>
      <c r="AB20" s="39" t="s">
        <v>107</v>
      </c>
      <c r="AC20" s="39" t="s">
        <v>84</v>
      </c>
      <c r="AD20" s="39" t="s">
        <v>84</v>
      </c>
      <c r="AE20" s="39" t="s">
        <v>84</v>
      </c>
      <c r="AF20" s="39" t="s">
        <v>88</v>
      </c>
      <c r="AG20" s="39" t="s">
        <v>94</v>
      </c>
      <c r="AH20" s="39" t="s">
        <v>84</v>
      </c>
      <c r="AI20" s="39" t="s">
        <v>84</v>
      </c>
      <c r="AJ20" s="39" t="s">
        <v>84</v>
      </c>
      <c r="AK20" s="39" t="s">
        <v>84</v>
      </c>
      <c r="AL20" s="39" t="s">
        <v>84</v>
      </c>
      <c r="AM20" t="str">
        <f>VLOOKUP($R20,武学奇术!$A:$ZZ,25,FALSE)</f>
        <v>双刀</v>
      </c>
      <c r="AN20" s="24">
        <f>VLOOKUP($R20,武学奇术!$A:$ZZ,26,FALSE)</f>
        <v>2.85516</v>
      </c>
      <c r="AO20" s="25">
        <f>VLOOKUP($R20,武学奇术!$A:$ZZ,27,FALSE)*(1+IF(OR($AM20=$F$4,$AM20=$F$5),$B$22,0))</f>
        <v>1263.36</v>
      </c>
      <c r="AP20" s="24">
        <f>VLOOKUP($R20,武学奇术!$A:$ZZ,28,FALSE)</f>
        <v>4.28274</v>
      </c>
      <c r="AQ20" s="25">
        <f>VLOOKUP($R20,武学奇术!$A:$ZZ,29,FALSE)*(1+IF(OR($AM20=$F$4,$AM20=$F$5),$B$22,0))</f>
        <v>687.68</v>
      </c>
      <c r="AR20" s="24" cm="1">
        <f t="array" ref="AR20">$G$3+IFERROR(VLOOKUP($AM20,$F$4:$G$7,2,FALSE),0)+VLOOKUP($R20,武学奇术!$A:$ZZ,2,FALSE)+SUM(_xlfn.XLOOKUP($S20:$AL20,增益!$A:$A,增益!$B:$B,0))</f>
        <v>0.5243</v>
      </c>
      <c r="AS20" s="24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4274.25</v>
      </c>
      <c r="AU20" cm="1">
        <f t="array" ref="AU20">$E$10*(1+$AS20)+VLOOKUP($R20,武学奇术!$A:$ZZ,4,FALSE)+SUM(_xlfn.XLOOKUP($S20:$AL20,增益!$A:$A,增益!$D:$D,0))-$I$2</f>
        <v>4274.25</v>
      </c>
      <c r="AV20" s="31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0.2184</v>
      </c>
      <c r="AW20" s="31" cm="1">
        <f t="array" ref="AW20">$G$10+VLOOKUP($R20,武学奇术!$A:$ZZ,7,FALSE)+SUM(_xlfn.XLOOKUP($S20:$AL20,增益!$A:$A,增益!$G:$G,0))</f>
        <v>0.11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1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1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1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1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1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-0.3</v>
      </c>
      <c r="BJ20" s="31" cm="1">
        <f t="array" ref="BJ20">$G$13+VLOOKUP($R20,武学奇术!$A:$ZZ,14,FALSE)+SUM(_xlfn.XLOOKUP($S20:$AL20,增益!$A:$A,增益!$N:$N,0))</f>
        <v>0.02</v>
      </c>
      <c r="BK20">
        <f t="shared" si="7"/>
        <v>649.11</v>
      </c>
      <c r="BL20">
        <f t="shared" si="8"/>
        <v>1812.09</v>
      </c>
      <c r="BM20" s="31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</v>
      </c>
      <c r="BN20" s="31" cm="1">
        <f t="array" ref="BN20">$G$14+VLOOKUP($R20,武学奇术!$A:$ZZ,16,FALSE)+SUM(_xlfn.XLOOKUP($S20:$AL20,增益!$A:$A,增益!$P:$P,0))</f>
        <v>0.26</v>
      </c>
      <c r="BO20" s="24">
        <f>MIN(IF(VLOOKUP($R20,武学奇术!$A:$ZZ,23,FALSE)=1,100%,$B$8),100%)</f>
        <v>0.9943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0.8985</v>
      </c>
      <c r="BQ20" s="24" cm="1">
        <f t="array" ref="BQ20">1+$B$13+VLOOKUP($R20,武学奇术!$A:$ZZ,18,FALSE)+SUM(_xlfn.XLOOKUP($S20:$AL20,增益!$A:$A,增益!$R:$R,0))</f>
        <v>1.99</v>
      </c>
      <c r="BR20" s="24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0.0913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0.89337855</v>
      </c>
      <c r="BU20" s="24">
        <f t="shared" si="10"/>
        <v>0.0153214500000001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0.11</v>
      </c>
      <c r="BX20" s="24">
        <f>VLOOKUP($R20,武学奇术!$A:$ZZ,32,FALSE)</f>
        <v>0.5</v>
      </c>
      <c r="BY20" s="24" cm="1">
        <f t="array" ref="BY20">SUM(_xlfn.XLOOKUP($S20:$AL20,增益!$A:$A,增益!$X:$X,0))</f>
        <v>0</v>
      </c>
    </row>
    <row r="21" ht="14.25" spans="1:77">
      <c r="A21" s="85" t="s">
        <v>210</v>
      </c>
      <c r="B21" s="86">
        <f>期望!B21</f>
        <v>0.3206</v>
      </c>
      <c r="C21" s="38" t="s">
        <v>160</v>
      </c>
      <c r="D21" s="78" t="s">
        <v>161</v>
      </c>
      <c r="E21" s="38" t="s">
        <v>162</v>
      </c>
      <c r="F21" s="38"/>
      <c r="K21" s="37">
        <f>$L21*VLOOKUP($R21,武学奇术!$A:$ZZ,31,FALSE)</f>
        <v>203459.927960151</v>
      </c>
      <c r="L21" s="37">
        <f t="shared" si="0"/>
        <v>203459.927960151</v>
      </c>
      <c r="M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*(1+$BX21)</f>
        <v>209655.936876385</v>
      </c>
      <c r="N21" s="37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*(1+$BX21)</f>
        <v>159294.892229319</v>
      </c>
      <c r="O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*(1+$BX21)</f>
        <v>105354.742148937</v>
      </c>
      <c r="P21" s="37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*(1+$BX21)</f>
        <v>92713.2678317121</v>
      </c>
      <c r="Q21" s="38">
        <v>1</v>
      </c>
      <c r="R21" s="39" t="s">
        <v>163</v>
      </c>
      <c r="S21" s="39" t="s">
        <v>104</v>
      </c>
      <c r="T21" s="39" t="s">
        <v>158</v>
      </c>
      <c r="U21" s="39" t="s">
        <v>81</v>
      </c>
      <c r="V21" s="39" t="s">
        <v>130</v>
      </c>
      <c r="W21" s="39" t="s">
        <v>83</v>
      </c>
      <c r="X21" s="39" t="s">
        <v>84</v>
      </c>
      <c r="Y21" s="39" t="s">
        <v>84</v>
      </c>
      <c r="Z21" s="39" t="s">
        <v>84</v>
      </c>
      <c r="AA21" s="39" t="s">
        <v>84</v>
      </c>
      <c r="AB21" s="39" t="s">
        <v>107</v>
      </c>
      <c r="AC21" s="39" t="s">
        <v>84</v>
      </c>
      <c r="AD21" s="39" t="s">
        <v>84</v>
      </c>
      <c r="AE21" s="39" t="s">
        <v>84</v>
      </c>
      <c r="AF21" s="39" t="s">
        <v>88</v>
      </c>
      <c r="AG21" s="39" t="s">
        <v>84</v>
      </c>
      <c r="AH21" s="39" t="s">
        <v>84</v>
      </c>
      <c r="AI21" s="39" t="s">
        <v>84</v>
      </c>
      <c r="AJ21" s="39" t="s">
        <v>84</v>
      </c>
      <c r="AK21" s="39" t="s">
        <v>84</v>
      </c>
      <c r="AL21" s="39" t="s">
        <v>84</v>
      </c>
      <c r="AM21" t="str">
        <f>VLOOKUP($R21,武学奇术!$A:$ZZ,25,FALSE)</f>
        <v>双刀</v>
      </c>
      <c r="AN21" s="24">
        <f>VLOOKUP($R21,武学奇术!$A:$ZZ,26,FALSE)</f>
        <v>3.80688</v>
      </c>
      <c r="AO21" s="25">
        <f>VLOOKUP($R21,武学奇术!$A:$ZZ,27,FALSE)*(1+IF(OR($AM21=$F$4,$AM21=$F$5),$B$22,0))</f>
        <v>1684.48</v>
      </c>
      <c r="AP21" s="24">
        <f>VLOOKUP($R21,武学奇术!$A:$ZZ,28,FALSE)</f>
        <v>5.70976</v>
      </c>
      <c r="AQ21" s="25">
        <f>VLOOKUP($R21,武学奇术!$A:$ZZ,29,FALSE)*(1+IF(OR($AM21=$F$4,$AM21=$F$5),$B$22,0))</f>
        <v>913.92</v>
      </c>
      <c r="AR21" s="24" cm="1">
        <f t="array" ref="AR21">$G$3+IFERROR(VLOOKUP($AM21,$F$4:$G$7,2,FALSE),0)+VLOOKUP($R21,武学奇术!$A:$ZZ,2,FALSE)+SUM(_xlfn.XLOOKUP($S21:$AL21,增益!$A:$A,增益!$B:$B,0))</f>
        <v>0.3743</v>
      </c>
      <c r="AS21" s="24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4274.25</v>
      </c>
      <c r="AU21" cm="1">
        <f t="array" ref="AU21">$E$10*(1+$AS21)+VLOOKUP($R21,武学奇术!$A:$ZZ,4,FALSE)+SUM(_xlfn.XLOOKUP($S21:$AL21,增益!$A:$A,增益!$D:$D,0))-$I$2</f>
        <v>4274.25</v>
      </c>
      <c r="AV21" s="31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0.2184</v>
      </c>
      <c r="AW21" s="31" cm="1">
        <f t="array" ref="AW21">$G$10+VLOOKUP($R21,武学奇术!$A:$ZZ,7,FALSE)+SUM(_xlfn.XLOOKUP($S21:$AL21,增益!$A:$A,增益!$G:$G,0))</f>
        <v>0.11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1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1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1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1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1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-0.3</v>
      </c>
      <c r="BJ21" s="31" cm="1">
        <f t="array" ref="BJ21">$G$13+VLOOKUP($R21,武学奇术!$A:$ZZ,14,FALSE)+SUM(_xlfn.XLOOKUP($S21:$AL21,增益!$A:$A,增益!$N:$N,0))</f>
        <v>0.02</v>
      </c>
      <c r="BK21">
        <f t="shared" si="7"/>
        <v>649.11</v>
      </c>
      <c r="BL21">
        <f t="shared" si="8"/>
        <v>1812.09</v>
      </c>
      <c r="BM21" s="31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</v>
      </c>
      <c r="BN21" s="31" cm="1">
        <f t="array" ref="BN21">$G$14+VLOOKUP($R21,武学奇术!$A:$ZZ,16,FALSE)+SUM(_xlfn.XLOOKUP($S21:$AL21,增益!$A:$A,增益!$P:$P,0))</f>
        <v>0.26</v>
      </c>
      <c r="BO21" s="24">
        <f>MIN(IF(VLOOKUP($R21,武学奇术!$A:$ZZ,23,FALSE)=1,100%,$B$8),100%)</f>
        <v>0.9943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0.8985</v>
      </c>
      <c r="BQ21" s="24" cm="1">
        <f t="array" ref="BQ21">1+$B$13+VLOOKUP($R21,武学奇术!$A:$ZZ,18,FALSE)+SUM(_xlfn.XLOOKUP($S21:$AL21,增益!$A:$A,增益!$R:$R,0))</f>
        <v>1.99</v>
      </c>
      <c r="BR21" s="24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0.89337855</v>
      </c>
      <c r="BU21" s="24">
        <f t="shared" si="10"/>
        <v>0.0153214500000001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0.11</v>
      </c>
      <c r="BX21" s="24">
        <f>VLOOKUP($R21,武学奇术!$A:$ZZ,32,FALSE)</f>
        <v>0.5</v>
      </c>
      <c r="BY21" s="24" cm="1">
        <f t="array" ref="BY21">SUM(_xlfn.XLOOKUP($S21:$AL21,增益!$A:$A,增益!$X:$X,0))</f>
        <v>0</v>
      </c>
    </row>
    <row r="22" spans="1:77">
      <c r="A22" t="s">
        <v>164</v>
      </c>
      <c r="B22" s="27">
        <f>期望!B22</f>
        <v>0.6</v>
      </c>
      <c r="E22" s="38" t="str">
        <f>期望!E22</f>
        <v>断石之构</v>
      </c>
      <c r="F22" s="38"/>
      <c r="K22" s="37">
        <f>$L22*VLOOKUP($R22,武学奇术!$A:$ZZ,31,FALSE)</f>
        <v>152623.348629306</v>
      </c>
      <c r="L22" s="37">
        <f t="shared" si="0"/>
        <v>152623.348629306</v>
      </c>
      <c r="M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*(1+$BX22)</f>
        <v>157271.327119265</v>
      </c>
      <c r="N22" s="37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*(1+$BX22)</f>
        <v>119492.351915339</v>
      </c>
      <c r="O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*(1+$BX22)</f>
        <v>79030.8176478719</v>
      </c>
      <c r="P22" s="37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*(1+$BX22)</f>
        <v>69548.782025122</v>
      </c>
      <c r="Q22" s="38">
        <v>1</v>
      </c>
      <c r="R22" s="39" t="s">
        <v>166</v>
      </c>
      <c r="S22" s="39" t="s">
        <v>104</v>
      </c>
      <c r="T22" s="39" t="s">
        <v>158</v>
      </c>
      <c r="U22" s="39" t="s">
        <v>81</v>
      </c>
      <c r="V22" s="39" t="s">
        <v>130</v>
      </c>
      <c r="W22" s="39" t="s">
        <v>83</v>
      </c>
      <c r="X22" s="39" t="s">
        <v>84</v>
      </c>
      <c r="Y22" s="39" t="s">
        <v>84</v>
      </c>
      <c r="Z22" s="39" t="s">
        <v>84</v>
      </c>
      <c r="AA22" s="39" t="s">
        <v>84</v>
      </c>
      <c r="AB22" s="39" t="s">
        <v>107</v>
      </c>
      <c r="AC22" s="39" t="s">
        <v>84</v>
      </c>
      <c r="AD22" s="39" t="s">
        <v>84</v>
      </c>
      <c r="AE22" s="39" t="s">
        <v>84</v>
      </c>
      <c r="AF22" s="39" t="s">
        <v>88</v>
      </c>
      <c r="AG22" s="39" t="s">
        <v>84</v>
      </c>
      <c r="AH22" s="39" t="s">
        <v>84</v>
      </c>
      <c r="AI22" s="39" t="s">
        <v>84</v>
      </c>
      <c r="AJ22" s="39" t="s">
        <v>84</v>
      </c>
      <c r="AK22" s="39" t="s">
        <v>84</v>
      </c>
      <c r="AL22" s="39" t="s">
        <v>84</v>
      </c>
      <c r="AM22" t="str">
        <f>VLOOKUP($R22,武学奇术!$A:$ZZ,25,FALSE)</f>
        <v>双刀</v>
      </c>
      <c r="AN22" s="24">
        <f>VLOOKUP($R22,武学奇术!$A:$ZZ,26,FALSE)</f>
        <v>2.85516</v>
      </c>
      <c r="AO22" s="25">
        <f>VLOOKUP($R22,武学奇术!$A:$ZZ,27,FALSE)*(1+IF(OR($AM22=$F$4,$AM22=$F$5),$B$22,0))</f>
        <v>1263.36</v>
      </c>
      <c r="AP22" s="24">
        <f>VLOOKUP($R22,武学奇术!$A:$ZZ,28,FALSE)</f>
        <v>4.28274</v>
      </c>
      <c r="AQ22" s="25">
        <f>VLOOKUP($R22,武学奇术!$A:$ZZ,29,FALSE)*(1+IF(OR($AM22=$F$4,$AM22=$F$5),$B$22,0))</f>
        <v>687.68</v>
      </c>
      <c r="AR22" s="24" cm="1">
        <f t="array" ref="AR22">$G$3+IFERROR(VLOOKUP($AM22,$F$4:$G$7,2,FALSE),0)+VLOOKUP($R22,武学奇术!$A:$ZZ,2,FALSE)+SUM(_xlfn.XLOOKUP($S22:$AL22,增益!$A:$A,增益!$B:$B,0))</f>
        <v>0.3743</v>
      </c>
      <c r="AS22" s="24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4274.25</v>
      </c>
      <c r="AU22" cm="1">
        <f t="array" ref="AU22">$E$10*(1+$AS22)+VLOOKUP($R22,武学奇术!$A:$ZZ,4,FALSE)+SUM(_xlfn.XLOOKUP($S22:$AL22,增益!$A:$A,增益!$D:$D,0))-$I$2</f>
        <v>4274.25</v>
      </c>
      <c r="AV22" s="31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0.2184</v>
      </c>
      <c r="AW22" s="31" cm="1">
        <f t="array" ref="AW22">$G$10+VLOOKUP($R22,武学奇术!$A:$ZZ,7,FALSE)+SUM(_xlfn.XLOOKUP($S22:$AL22,增益!$A:$A,增益!$G:$G,0))</f>
        <v>0.11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1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1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1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1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1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-0.3</v>
      </c>
      <c r="BJ22" s="31" cm="1">
        <f t="array" ref="BJ22">$G$13+VLOOKUP($R22,武学奇术!$A:$ZZ,14,FALSE)+SUM(_xlfn.XLOOKUP($S22:$AL22,增益!$A:$A,增益!$N:$N,0))</f>
        <v>0.02</v>
      </c>
      <c r="BK22">
        <f t="shared" si="7"/>
        <v>649.11</v>
      </c>
      <c r="BL22">
        <f t="shared" si="8"/>
        <v>1812.09</v>
      </c>
      <c r="BM22" s="31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</v>
      </c>
      <c r="BN22" s="31" cm="1">
        <f t="array" ref="BN22">$G$14+VLOOKUP($R22,武学奇术!$A:$ZZ,16,FALSE)+SUM(_xlfn.XLOOKUP($S22:$AL22,增益!$A:$A,增益!$P:$P,0))</f>
        <v>0.26</v>
      </c>
      <c r="BO22" s="24">
        <f>MIN(IF(VLOOKUP($R22,武学奇术!$A:$ZZ,23,FALSE)=1,100%,$B$8),100%)</f>
        <v>0.9943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0.8985</v>
      </c>
      <c r="BQ22" s="24" cm="1">
        <f t="array" ref="BQ22">1+$B$13+VLOOKUP($R22,武学奇术!$A:$ZZ,18,FALSE)+SUM(_xlfn.XLOOKUP($S22:$AL22,增益!$A:$A,增益!$R:$R,0))</f>
        <v>1.99</v>
      </c>
      <c r="BR22" s="24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0.89337855</v>
      </c>
      <c r="BU22" s="24">
        <f t="shared" si="10"/>
        <v>0.0153214500000001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0.11</v>
      </c>
      <c r="BX22" s="24">
        <f>VLOOKUP($R22,武学奇术!$A:$ZZ,32,FALSE)</f>
        <v>0.5</v>
      </c>
      <c r="BY22" s="24" cm="1">
        <f t="array" ref="BY22">SUM(_xlfn.XLOOKUP($S22:$AL22,增益!$A:$A,增益!$X:$X,0))</f>
        <v>0</v>
      </c>
    </row>
    <row r="23" spans="1:77">
      <c r="A23" t="s">
        <v>167</v>
      </c>
      <c r="B23" s="87">
        <f>期望!B23</f>
        <v>240</v>
      </c>
      <c r="E23" s="38" t="s">
        <v>168</v>
      </c>
      <c r="F23" s="38"/>
      <c r="K23" s="37">
        <f>$L23*VLOOKUP($R23,武学奇术!$A:$ZZ,31,FALSE)</f>
        <v>25287.9322024174</v>
      </c>
      <c r="L23" s="37">
        <f t="shared" si="0"/>
        <v>25287.9322024174</v>
      </c>
      <c r="M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*(1+$BX23)</f>
        <v>25571.6752561712</v>
      </c>
      <c r="N23" s="37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*(1+$BX23)</f>
        <v>24182.6358743325</v>
      </c>
      <c r="O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*(1+$BX23)</f>
        <v>15982.297035107</v>
      </c>
      <c r="P23" s="37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*(1+$BX23)</f>
        <v>14051.5304595973</v>
      </c>
      <c r="Q23" s="38">
        <v>1</v>
      </c>
      <c r="R23" s="39" t="s">
        <v>169</v>
      </c>
      <c r="S23" s="39" t="s">
        <v>104</v>
      </c>
      <c r="T23" s="39" t="s">
        <v>170</v>
      </c>
      <c r="U23" s="39" t="s">
        <v>81</v>
      </c>
      <c r="V23" s="39" t="s">
        <v>84</v>
      </c>
      <c r="W23" s="39" t="s">
        <v>84</v>
      </c>
      <c r="X23" s="39" t="s">
        <v>84</v>
      </c>
      <c r="Y23" s="39" t="s">
        <v>84</v>
      </c>
      <c r="Z23" s="39" t="s">
        <v>84</v>
      </c>
      <c r="AA23" s="39" t="s">
        <v>84</v>
      </c>
      <c r="AB23" s="39" t="s">
        <v>171</v>
      </c>
      <c r="AC23" s="39" t="s">
        <v>84</v>
      </c>
      <c r="AD23" s="39" t="s">
        <v>84</v>
      </c>
      <c r="AE23" s="39" t="s">
        <v>84</v>
      </c>
      <c r="AF23" s="39" t="s">
        <v>88</v>
      </c>
      <c r="AG23" s="39" t="s">
        <v>84</v>
      </c>
      <c r="AH23" s="39" t="s">
        <v>84</v>
      </c>
      <c r="AI23" s="39" t="s">
        <v>84</v>
      </c>
      <c r="AJ23" s="39" t="s">
        <v>84</v>
      </c>
      <c r="AK23" s="39" t="s">
        <v>84</v>
      </c>
      <c r="AL23" s="39" t="s">
        <v>84</v>
      </c>
      <c r="AM23" t="str">
        <f>VLOOKUP($R23,武学奇术!$A:$ZZ,25,FALSE)</f>
        <v>拳甲</v>
      </c>
      <c r="AN23" s="24">
        <f>VLOOKUP($R23,武学奇术!$A:$ZZ,26,FALSE)</f>
        <v>0.9193</v>
      </c>
      <c r="AO23" s="25">
        <f>VLOOKUP($R23,武学奇术!$A:$ZZ,27,FALSE)*(1+IF(OR($AM23=$F$4,$AM23=$F$5),$B$22,0))</f>
        <v>408</v>
      </c>
      <c r="AP23" s="24">
        <f>VLOOKUP($R23,武学奇术!$A:$ZZ,28,FALSE)</f>
        <v>1.379</v>
      </c>
      <c r="AQ23" s="25">
        <f>VLOOKUP($R23,武学奇术!$A:$ZZ,29,FALSE)*(1+IF(OR($AM23=$F$4,$AM23=$F$5),$B$22,0))</f>
        <v>222.4</v>
      </c>
      <c r="AR23" s="24" cm="1">
        <f t="array" ref="AR23">$G$3+IFERROR(VLOOKUP($AM23,$F$4:$G$7,2,FALSE),0)+VLOOKUP($R23,武学奇术!$A:$ZZ,2,FALSE)+SUM(_xlfn.XLOOKUP($S23:$AL23,增益!$A:$A,增益!$B:$B,0))</f>
        <v>0.3243</v>
      </c>
      <c r="AS23" s="24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4274.25</v>
      </c>
      <c r="AU23" cm="1">
        <f t="array" ref="AU23">$E$10*(1+$AS23)+VLOOKUP($R23,武学奇术!$A:$ZZ,4,FALSE)+SUM(_xlfn.XLOOKUP($S23:$AL23,增益!$A:$A,增益!$D:$D,0))-$I$2</f>
        <v>4274.25</v>
      </c>
      <c r="AV23" s="31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0.2184</v>
      </c>
      <c r="AW23" s="31" cm="1">
        <f t="array" ref="AW23">$G$10+VLOOKUP($R23,武学奇术!$A:$ZZ,7,FALSE)+SUM(_xlfn.XLOOKUP($S23:$AL23,增益!$A:$A,增益!$G:$G,0))</f>
        <v>0.02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1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1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31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1" cm="1">
        <f t="array" ref="BF23">$G$12+VLOOKUP($R23,武学奇术!$A:$ZZ,12,FALSE)+SUM(_xlfn.XLOOKUP($S23:$AL23,增益!$A:$A,增益!$L:$L,0))</f>
        <v>0.02</v>
      </c>
      <c r="BG23">
        <f t="shared" si="5"/>
        <v>0</v>
      </c>
      <c r="BH23">
        <f t="shared" si="6"/>
        <v>0</v>
      </c>
      <c r="BI23" s="31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31" cm="1">
        <f t="array" ref="BJ23">$G$13+VLOOKUP($R23,武学奇术!$A:$ZZ,14,FALSE)+SUM(_xlfn.XLOOKUP($S23:$AL23,增益!$A:$A,增益!$N:$N,0))</f>
        <v>0.02</v>
      </c>
      <c r="BK23">
        <f t="shared" si="7"/>
        <v>649.11</v>
      </c>
      <c r="BL23">
        <f t="shared" si="8"/>
        <v>1812.09</v>
      </c>
      <c r="BM23" s="31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31" cm="1">
        <f t="array" ref="BN23">$G$14+VLOOKUP($R23,武学奇术!$A:$ZZ,16,FALSE)+SUM(_xlfn.XLOOKUP($S23:$AL23,增益!$A:$A,增益!$P:$P,0))</f>
        <v>0.17</v>
      </c>
      <c r="BO23" s="24">
        <f>MIN(IF(VLOOKUP($R23,武学奇术!$A:$ZZ,23,FALSE)=1,100%,$B$8),100%)</f>
        <v>0.9943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0.8985</v>
      </c>
      <c r="BQ23" s="24" cm="1">
        <f t="array" ref="BQ23">1+$B$13+VLOOKUP($R23,武学奇术!$A:$ZZ,18,FALSE)+SUM(_xlfn.XLOOKUP($S23:$AL23,增益!$A:$A,增益!$R:$R,0))</f>
        <v>1.6</v>
      </c>
      <c r="BR23" s="24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0.89337855</v>
      </c>
      <c r="BU23" s="24">
        <f t="shared" si="10"/>
        <v>0.01014186</v>
      </c>
      <c r="BV23" s="24">
        <f>IF(VLOOKUP($R23,武学奇术!$A:$ZZ,22,FALSE)=1,0,(1-$BO23))*(1-$BR23)</f>
        <v>0.00517959000000003</v>
      </c>
      <c r="BW23" s="24" cm="1">
        <f t="array" ref="BW23">SUM(_xlfn.XLOOKUP($S23:$AL23,增益!$A:$A,增益!$W:$W,0))+$I$5</f>
        <v>0.11</v>
      </c>
      <c r="BX23" s="24">
        <f>VLOOKUP($R23,武学奇术!$A:$ZZ,32,FALSE)</f>
        <v>0.4</v>
      </c>
      <c r="BY23" s="24" cm="1">
        <f t="array" ref="BY23">SUM(_xlfn.XLOOKUP($S23:$AL23,增益!$A:$A,增益!$X:$X,0))</f>
        <v>0</v>
      </c>
    </row>
    <row r="24" spans="1:77">
      <c r="B24" s="87">
        <f>期望!B24</f>
        <v>480</v>
      </c>
      <c r="E24" s="88" t="str">
        <f>期望!E24</f>
        <v>易水歌</v>
      </c>
      <c r="F24" s="88"/>
      <c r="K24" s="37">
        <f>$L24*VLOOKUP($R24,武学奇术!$A:$ZZ,31,FALSE)</f>
        <v>33897.2180211055</v>
      </c>
      <c r="L24" s="37">
        <f t="shared" si="0"/>
        <v>33897.2180211055</v>
      </c>
      <c r="M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*(1+$BX24)</f>
        <v>34277.5751758549</v>
      </c>
      <c r="N24" s="37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*(1+$BX24)</f>
        <v>32415.4814777837</v>
      </c>
      <c r="O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*(1+$BX24)</f>
        <v>21423.4844849093</v>
      </c>
      <c r="P24" s="37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*(1+$BX24)</f>
        <v>18835.5012084973</v>
      </c>
      <c r="Q24" s="38">
        <v>1</v>
      </c>
      <c r="R24" s="39" t="s">
        <v>173</v>
      </c>
      <c r="S24" s="39" t="s">
        <v>104</v>
      </c>
      <c r="T24" s="39" t="s">
        <v>170</v>
      </c>
      <c r="U24" s="39" t="s">
        <v>81</v>
      </c>
      <c r="V24" s="39" t="s">
        <v>84</v>
      </c>
      <c r="W24" s="39" t="s">
        <v>84</v>
      </c>
      <c r="X24" s="39" t="s">
        <v>84</v>
      </c>
      <c r="Y24" s="39" t="s">
        <v>84</v>
      </c>
      <c r="Z24" s="39" t="s">
        <v>84</v>
      </c>
      <c r="AA24" s="39" t="s">
        <v>84</v>
      </c>
      <c r="AB24" s="39" t="s">
        <v>171</v>
      </c>
      <c r="AC24" s="39" t="s">
        <v>84</v>
      </c>
      <c r="AD24" s="39" t="s">
        <v>84</v>
      </c>
      <c r="AE24" s="39" t="s">
        <v>84</v>
      </c>
      <c r="AF24" s="39" t="s">
        <v>88</v>
      </c>
      <c r="AG24" s="39" t="s">
        <v>84</v>
      </c>
      <c r="AH24" s="39" t="s">
        <v>84</v>
      </c>
      <c r="AI24" s="39" t="s">
        <v>84</v>
      </c>
      <c r="AJ24" s="39" t="s">
        <v>84</v>
      </c>
      <c r="AK24" s="39" t="s">
        <v>84</v>
      </c>
      <c r="AL24" s="39" t="s">
        <v>84</v>
      </c>
      <c r="AM24" t="str">
        <f>VLOOKUP($R24,武学奇术!$A:$ZZ,25,FALSE)</f>
        <v>拳甲</v>
      </c>
      <c r="AN24" s="24">
        <f>VLOOKUP($R24,武学奇术!$A:$ZZ,26,FALSE)</f>
        <v>1.2324</v>
      </c>
      <c r="AO24" s="25">
        <f>VLOOKUP($R24,武学奇术!$A:$ZZ,27,FALSE)*(1+IF(OR($AM24=$F$4,$AM24=$F$5),$B$22,0))</f>
        <v>547.2</v>
      </c>
      <c r="AP24" s="24">
        <f>VLOOKUP($R24,武学奇术!$A:$ZZ,28,FALSE)</f>
        <v>1.8484</v>
      </c>
      <c r="AQ24" s="25">
        <f>VLOOKUP($R24,武学奇术!$A:$ZZ,29,FALSE)*(1+IF(OR($AM24=$F$4,$AM24=$F$5),$B$22,0))</f>
        <v>297.6</v>
      </c>
      <c r="AR24" s="24" cm="1">
        <f t="array" ref="AR24">$G$3+IFERROR(VLOOKUP($AM24,$F$4:$G$7,2,FALSE),0)+VLOOKUP($R24,武学奇术!$A:$ZZ,2,FALSE)+SUM(_xlfn.XLOOKUP($S24:$AL24,增益!$A:$A,增益!$B:$B,0))</f>
        <v>0.3243</v>
      </c>
      <c r="AS24" s="24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4274.25</v>
      </c>
      <c r="AU24" cm="1">
        <f t="array" ref="AU24">$E$10*(1+$AS24)+VLOOKUP($R24,武学奇术!$A:$ZZ,4,FALSE)+SUM(_xlfn.XLOOKUP($S24:$AL24,增益!$A:$A,增益!$D:$D,0))-$I$2</f>
        <v>4274.25</v>
      </c>
      <c r="AV24" s="31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0.2184</v>
      </c>
      <c r="AW24" s="31" cm="1">
        <f t="array" ref="AW24">$G$10+VLOOKUP($R24,武学奇术!$A:$ZZ,7,FALSE)+SUM(_xlfn.XLOOKUP($S24:$AL24,增益!$A:$A,增益!$G:$G,0))</f>
        <v>0.02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1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1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1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1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1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1" cm="1">
        <f t="array" ref="BJ24">$G$13+VLOOKUP($R24,武学奇术!$A:$ZZ,14,FALSE)+SUM(_xlfn.XLOOKUP($S24:$AL24,增益!$A:$A,增益!$N:$N,0))</f>
        <v>0.02</v>
      </c>
      <c r="BK24">
        <f t="shared" si="7"/>
        <v>649.11</v>
      </c>
      <c r="BL24">
        <f t="shared" si="8"/>
        <v>1812.09</v>
      </c>
      <c r="BM24" s="31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1" cm="1">
        <f t="array" ref="BN24">$G$14+VLOOKUP($R24,武学奇术!$A:$ZZ,16,FALSE)+SUM(_xlfn.XLOOKUP($S24:$AL24,增益!$A:$A,增益!$P:$P,0))</f>
        <v>0.17</v>
      </c>
      <c r="BO24" s="24">
        <f>MIN(IF(VLOOKUP($R24,武学奇术!$A:$ZZ,23,FALSE)=1,100%,$B$8),100%)</f>
        <v>0.9943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0.8985</v>
      </c>
      <c r="BQ24" s="24" cm="1">
        <f t="array" ref="BQ24">1+$B$13+VLOOKUP($R24,武学奇术!$A:$ZZ,18,FALSE)+SUM(_xlfn.XLOOKUP($S24:$AL24,增益!$A:$A,增益!$R:$R,0))</f>
        <v>1.6</v>
      </c>
      <c r="BR24" s="24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0.89337855</v>
      </c>
      <c r="BU24" s="24">
        <f t="shared" si="10"/>
        <v>0.01014186</v>
      </c>
      <c r="BV24" s="24">
        <f>IF(VLOOKUP($R24,武学奇术!$A:$ZZ,22,FALSE)=1,0,(1-$BO24))*(1-$BR24)</f>
        <v>0.00517959000000003</v>
      </c>
      <c r="BW24" s="24" cm="1">
        <f t="array" ref="BW24">SUM(_xlfn.XLOOKUP($S24:$AL24,增益!$A:$A,增益!$W:$W,0))+$I$5</f>
        <v>0.11</v>
      </c>
      <c r="BX24" s="24">
        <f>VLOOKUP($R24,武学奇术!$A:$ZZ,32,FALSE)</f>
        <v>0.4</v>
      </c>
      <c r="BY24" s="24" cm="1">
        <f t="array" ref="BY24">SUM(_xlfn.XLOOKUP($S24:$AL24,增益!$A:$A,增益!$X:$X,0))</f>
        <v>0</v>
      </c>
    </row>
    <row r="25" spans="1:77">
      <c r="K25" s="37">
        <f>$L25*VLOOKUP($R25,武学奇术!$A:$ZZ,31,FALSE)</f>
        <v>57843.1246020251</v>
      </c>
      <c r="L25" s="37">
        <f t="shared" si="0"/>
        <v>36151.9528762657</v>
      </c>
      <c r="M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*(1+$BX25)</f>
        <v>36625.668491043</v>
      </c>
      <c r="N25" s="37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*(1+$BX25)</f>
        <v>34029.1085713459</v>
      </c>
      <c r="O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*(1+$BX25)</f>
        <v>22197.3748430563</v>
      </c>
      <c r="P25" s="37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*(1+$BX25)</f>
        <v>19188.0025962268</v>
      </c>
      <c r="Q25" s="38">
        <v>1</v>
      </c>
      <c r="R25" s="39" t="s">
        <v>122</v>
      </c>
      <c r="S25" s="39" t="s">
        <v>104</v>
      </c>
      <c r="T25" s="39" t="s">
        <v>170</v>
      </c>
      <c r="U25" s="39" t="s">
        <v>81</v>
      </c>
      <c r="V25" s="39" t="s">
        <v>82</v>
      </c>
      <c r="W25" s="39" t="s">
        <v>83</v>
      </c>
      <c r="X25" s="39" t="s">
        <v>84</v>
      </c>
      <c r="Y25" s="39" t="s">
        <v>84</v>
      </c>
      <c r="Z25" s="39" t="s">
        <v>84</v>
      </c>
      <c r="AA25" s="39" t="s">
        <v>84</v>
      </c>
      <c r="AB25" s="39" t="s">
        <v>107</v>
      </c>
      <c r="AC25" s="39" t="s">
        <v>84</v>
      </c>
      <c r="AD25" s="39" t="s">
        <v>84</v>
      </c>
      <c r="AE25" s="39" t="s">
        <v>84</v>
      </c>
      <c r="AF25" s="39" t="s">
        <v>88</v>
      </c>
      <c r="AG25" s="39" t="s">
        <v>84</v>
      </c>
      <c r="AH25" s="39" t="s">
        <v>84</v>
      </c>
      <c r="AI25" s="39" t="s">
        <v>84</v>
      </c>
      <c r="AJ25" s="39" t="s">
        <v>84</v>
      </c>
      <c r="AK25" s="39" t="s">
        <v>84</v>
      </c>
      <c r="AL25" s="39" t="s">
        <v>84</v>
      </c>
      <c r="AM25" t="str">
        <f>VLOOKUP($R25,武学奇术!$A:$ZZ,25,FALSE)</f>
        <v>拳甲</v>
      </c>
      <c r="AN25" s="24">
        <f>VLOOKUP($R25,武学奇术!$A:$ZZ,26,FALSE)</f>
        <v>1.862784</v>
      </c>
      <c r="AO25" s="25">
        <f>VLOOKUP($R25,武学奇术!$A:$ZZ,27,FALSE)*(1+IF(OR($AM25=$F$4,$AM25=$F$5),$B$22,0))</f>
        <v>0</v>
      </c>
      <c r="AP25" s="24">
        <f>VLOOKUP($R25,武学奇术!$A:$ZZ,28,FALSE)</f>
        <v>2.794176</v>
      </c>
      <c r="AQ25" s="25">
        <f>VLOOKUP($R25,武学奇术!$A:$ZZ,29,FALSE)*(1+IF(OR($AM25=$F$4,$AM25=$F$5),$B$22,0))</f>
        <v>0</v>
      </c>
      <c r="AR25" s="24" cm="1">
        <f t="array" ref="AR25">$G$3+IFERROR(VLOOKUP($AM25,$F$4:$G$7,2,FALSE),0)+VLOOKUP($R25,武学奇术!$A:$ZZ,2,FALSE)+SUM(_xlfn.XLOOKUP($S25:$AL25,增益!$A:$A,增益!$B:$B,0))</f>
        <v>0.3243</v>
      </c>
      <c r="AS25" s="24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4274.25</v>
      </c>
      <c r="AU25" cm="1">
        <f t="array" ref="AU25">$E$10*(1+$AS25)+VLOOKUP($R25,武学奇术!$A:$ZZ,4,FALSE)+SUM(_xlfn.XLOOKUP($S25:$AL25,增益!$A:$A,增益!$D:$D,0))-$I$2</f>
        <v>4274.25</v>
      </c>
      <c r="AV25" s="31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0.2184</v>
      </c>
      <c r="AW25" s="31" cm="1">
        <f t="array" ref="AW25">$G$10+VLOOKUP($R25,武学奇术!$A:$ZZ,7,FALSE)+SUM(_xlfn.XLOOKUP($S25:$AL25,增益!$A:$A,增益!$G:$G,0))</f>
        <v>0.11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1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1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1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1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1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1" cm="1">
        <f t="array" ref="BJ25">$G$13+VLOOKUP($R25,武学奇术!$A:$ZZ,14,FALSE)+SUM(_xlfn.XLOOKUP($S25:$AL25,增益!$A:$A,增益!$N:$N,0))</f>
        <v>0.02</v>
      </c>
      <c r="BK25">
        <f t="shared" si="7"/>
        <v>649.11</v>
      </c>
      <c r="BL25">
        <f t="shared" si="8"/>
        <v>1812.09</v>
      </c>
      <c r="BM25" s="31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</v>
      </c>
      <c r="BN25" s="31" cm="1">
        <f t="array" ref="BN25">$G$14+VLOOKUP($R25,武学奇术!$A:$ZZ,16,FALSE)+SUM(_xlfn.XLOOKUP($S25:$AL25,增益!$A:$A,增益!$P:$P,0))</f>
        <v>0.26</v>
      </c>
      <c r="BO25" s="24">
        <f>MIN(IF(VLOOKUP($R25,武学奇术!$A:$ZZ,23,FALSE)=1,100%,$B$8),100%)</f>
        <v>0.9943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0.8985</v>
      </c>
      <c r="BQ25" s="24" cm="1">
        <f t="array" ref="BQ25">1+$B$13+VLOOKUP($R25,武学奇术!$A:$ZZ,18,FALSE)+SUM(_xlfn.XLOOKUP($S25:$AL25,增益!$A:$A,增益!$R:$R,0))</f>
        <v>1.65</v>
      </c>
      <c r="BR25" s="24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0.89337855</v>
      </c>
      <c r="BU25" s="24">
        <f t="shared" si="10"/>
        <v>0.01014186</v>
      </c>
      <c r="BV25" s="24">
        <f>IF(VLOOKUP($R25,武学奇术!$A:$ZZ,22,FALSE)=1,0,(1-$BO25))*(1-$BR25)</f>
        <v>0.00517959000000003</v>
      </c>
      <c r="BW25" s="24" cm="1">
        <f t="array" ref="BW25">SUM(_xlfn.XLOOKUP($S25:$AL25,增益!$A:$A,增益!$W:$W,0))+$I$5</f>
        <v>0.11</v>
      </c>
      <c r="BX25" s="24">
        <f>VLOOKUP($R25,武学奇术!$A:$ZZ,32,FALSE)</f>
        <v>0</v>
      </c>
      <c r="BY25" s="24" cm="1">
        <f t="array" ref="BY25">SUM(_xlfn.XLOOKUP($S25:$AL25,增益!$A:$A,增益!$X:$X,0))</f>
        <v>0</v>
      </c>
    </row>
    <row r="26" spans="1:77">
      <c r="F26" s="4"/>
      <c r="G26" s="4"/>
      <c r="K26" s="37">
        <f>$L26*VLOOKUP($R26,武学奇术!$A:$ZZ,31,FALSE)</f>
        <v>42217.1573934629</v>
      </c>
      <c r="L26" s="37">
        <f t="shared" si="0"/>
        <v>42217.1573934629</v>
      </c>
      <c r="M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*(1+$BX26)</f>
        <v>43464.2876918748</v>
      </c>
      <c r="N26" s="37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*(1+$BX26)</f>
        <v>33528.0302163863</v>
      </c>
      <c r="O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*(1+$BX26)</f>
        <v>22175.6569856504</v>
      </c>
      <c r="P26" s="37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*(1+$BX26)</f>
        <v>19515.7360332369</v>
      </c>
      <c r="Q26" s="38">
        <v>1</v>
      </c>
      <c r="R26" s="39" t="s">
        <v>124</v>
      </c>
      <c r="S26" s="39" t="s">
        <v>104</v>
      </c>
      <c r="T26" s="39" t="s">
        <v>175</v>
      </c>
      <c r="U26" s="39" t="s">
        <v>81</v>
      </c>
      <c r="V26" s="39" t="s">
        <v>82</v>
      </c>
      <c r="W26" s="39" t="s">
        <v>83</v>
      </c>
      <c r="X26" s="39" t="s">
        <v>84</v>
      </c>
      <c r="Y26" s="39" t="s">
        <v>84</v>
      </c>
      <c r="Z26" s="39" t="s">
        <v>84</v>
      </c>
      <c r="AA26" s="39" t="s">
        <v>84</v>
      </c>
      <c r="AB26" s="39" t="s">
        <v>107</v>
      </c>
      <c r="AC26" s="39" t="s">
        <v>84</v>
      </c>
      <c r="AD26" s="39" t="s">
        <v>84</v>
      </c>
      <c r="AE26" s="39" t="s">
        <v>84</v>
      </c>
      <c r="AF26" s="39" t="s">
        <v>88</v>
      </c>
      <c r="AG26" s="39" t="s">
        <v>84</v>
      </c>
      <c r="AH26" s="39" t="s">
        <v>84</v>
      </c>
      <c r="AI26" s="39" t="s">
        <v>84</v>
      </c>
      <c r="AJ26" s="39" t="s">
        <v>84</v>
      </c>
      <c r="AK26" s="39" t="s">
        <v>84</v>
      </c>
      <c r="AL26" s="39" t="s">
        <v>84</v>
      </c>
      <c r="AM26" t="str">
        <f>VLOOKUP($R26,武学奇术!$A:$ZZ,25,FALSE)</f>
        <v>拳甲</v>
      </c>
      <c r="AN26" s="24">
        <f>VLOOKUP($R26,武学奇术!$A:$ZZ,26,FALSE)</f>
        <v>1.1333</v>
      </c>
      <c r="AO26" s="25">
        <f>VLOOKUP($R26,武学奇术!$A:$ZZ,27,FALSE)*(1+IF(OR($AM26=$F$4,$AM26=$F$5),$B$22,0))</f>
        <v>502.4</v>
      </c>
      <c r="AP26" s="24">
        <f>VLOOKUP($R26,武学奇术!$A:$ZZ,28,FALSE)</f>
        <v>1.6999</v>
      </c>
      <c r="AQ26" s="25">
        <f>VLOOKUP($R26,武学奇术!$A:$ZZ,29,FALSE)*(1+IF(OR($AM26=$F$4,$AM26=$F$5),$B$22,0))</f>
        <v>273.6</v>
      </c>
      <c r="AR26" s="24" cm="1">
        <f t="array" ref="AR26">$G$3+IFERROR(VLOOKUP($AM26,$F$4:$G$7,2,FALSE),0)+VLOOKUP($R26,武学奇术!$A:$ZZ,2,FALSE)+SUM(_xlfn.XLOOKUP($S26:$AL26,增益!$A:$A,增益!$B:$B,0))</f>
        <v>0.3743</v>
      </c>
      <c r="AS26" s="24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4274.25</v>
      </c>
      <c r="AU26" cm="1">
        <f t="array" ref="AU26">$E$10*(1+$AS26)+VLOOKUP($R26,武学奇术!$A:$ZZ,4,FALSE)+SUM(_xlfn.XLOOKUP($S26:$AL26,增益!$A:$A,增益!$D:$D,0))-$I$2</f>
        <v>4274.25</v>
      </c>
      <c r="AV26" s="31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0.2184</v>
      </c>
      <c r="AW26" s="31" cm="1">
        <f t="array" ref="AW26">$G$10+VLOOKUP($R26,武学奇术!$A:$ZZ,7,FALSE)+SUM(_xlfn.XLOOKUP($S26:$AL26,增益!$A:$A,增益!$G:$G,0))</f>
        <v>0.11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1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1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1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1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1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1" cm="1">
        <f t="array" ref="BJ26">$G$13+VLOOKUP($R26,武学奇术!$A:$ZZ,14,FALSE)+SUM(_xlfn.XLOOKUP($S26:$AL26,增益!$A:$A,增益!$N:$N,0))</f>
        <v>0.02</v>
      </c>
      <c r="BK26">
        <f t="shared" si="7"/>
        <v>649.11</v>
      </c>
      <c r="BL26">
        <f t="shared" si="8"/>
        <v>1812.09</v>
      </c>
      <c r="BM26" s="31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1" cm="1">
        <f t="array" ref="BN26">$G$14+VLOOKUP($R26,武学奇术!$A:$ZZ,16,FALSE)+SUM(_xlfn.XLOOKUP($S26:$AL26,增益!$A:$A,增益!$P:$P,0))</f>
        <v>0.26</v>
      </c>
      <c r="BO26" s="24">
        <f>MIN(IF(VLOOKUP($R26,武学奇术!$A:$ZZ,23,FALSE)=1,100%,$B$8),100%)</f>
        <v>0.9943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0.8985</v>
      </c>
      <c r="BQ26" s="24" cm="1">
        <f t="array" ref="BQ26">1+$B$13+VLOOKUP($R26,武学奇术!$A:$ZZ,18,FALSE)+SUM(_xlfn.XLOOKUP($S26:$AL26,增益!$A:$A,增益!$R:$R,0))</f>
        <v>1.96</v>
      </c>
      <c r="BR26" s="24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0.89337855</v>
      </c>
      <c r="BU26" s="24">
        <f t="shared" si="10"/>
        <v>0.01014186</v>
      </c>
      <c r="BV26" s="24">
        <f>IF(VLOOKUP($R26,武学奇术!$A:$ZZ,22,FALSE)=1,0,(1-$BO26))*(1-$BR26)</f>
        <v>0.00517959000000003</v>
      </c>
      <c r="BW26" s="24" cm="1">
        <f t="array" ref="BW26">SUM(_xlfn.XLOOKUP($S26:$AL26,增益!$A:$A,增益!$W:$W,0))+$I$5</f>
        <v>0.11</v>
      </c>
      <c r="BX26" s="24">
        <f>VLOOKUP($R26,武学奇术!$A:$ZZ,32,FALSE)</f>
        <v>0.4</v>
      </c>
      <c r="BY26" s="24" cm="1">
        <f t="array" ref="BY26">SUM(_xlfn.XLOOKUP($S26:$AL26,增益!$A:$A,增益!$X:$X,0))</f>
        <v>0</v>
      </c>
    </row>
    <row r="27" spans="1:77">
      <c r="K27" s="37">
        <f>$L27*VLOOKUP($R27,武学奇术!$A:$ZZ,31,FALSE)</f>
        <v>28875.4395863026</v>
      </c>
      <c r="L27" s="37">
        <f t="shared" si="0"/>
        <v>28875.4395863026</v>
      </c>
      <c r="M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*(1+$BX27)</f>
        <v>29728.5377506745</v>
      </c>
      <c r="N27" s="37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*(1+$BX27)</f>
        <v>22931.3368047909</v>
      </c>
      <c r="O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*(1+$BX27)</f>
        <v>15167.6213013646</v>
      </c>
      <c r="P27" s="37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*(1+$BX27)</f>
        <v>13349.0671917728</v>
      </c>
      <c r="Q27" s="38">
        <v>1</v>
      </c>
      <c r="R27" s="39" t="s">
        <v>127</v>
      </c>
      <c r="S27" s="39" t="s">
        <v>104</v>
      </c>
      <c r="T27" s="39" t="s">
        <v>175</v>
      </c>
      <c r="U27" s="39" t="s">
        <v>81</v>
      </c>
      <c r="V27" s="39" t="s">
        <v>82</v>
      </c>
      <c r="W27" s="39" t="s">
        <v>83</v>
      </c>
      <c r="X27" s="39" t="s">
        <v>84</v>
      </c>
      <c r="Y27" s="39" t="s">
        <v>84</v>
      </c>
      <c r="Z27" s="39" t="s">
        <v>84</v>
      </c>
      <c r="AA27" s="39" t="s">
        <v>84</v>
      </c>
      <c r="AB27" s="39" t="s">
        <v>107</v>
      </c>
      <c r="AC27" s="39" t="s">
        <v>84</v>
      </c>
      <c r="AD27" s="39" t="s">
        <v>84</v>
      </c>
      <c r="AE27" s="39" t="s">
        <v>84</v>
      </c>
      <c r="AF27" s="39" t="s">
        <v>88</v>
      </c>
      <c r="AG27" s="39" t="s">
        <v>84</v>
      </c>
      <c r="AH27" s="39" t="s">
        <v>84</v>
      </c>
      <c r="AI27" s="39" t="s">
        <v>84</v>
      </c>
      <c r="AJ27" s="39" t="s">
        <v>84</v>
      </c>
      <c r="AK27" s="39" t="s">
        <v>84</v>
      </c>
      <c r="AL27" s="39" t="s">
        <v>84</v>
      </c>
      <c r="AM27" t="str">
        <f>VLOOKUP($R27,武学奇术!$A:$ZZ,25,FALSE)</f>
        <v>拳甲</v>
      </c>
      <c r="AN27" s="24">
        <f>VLOOKUP($R27,武学奇术!$A:$ZZ,26,FALSE)</f>
        <v>0.7748</v>
      </c>
      <c r="AO27" s="25">
        <f>VLOOKUP($R27,武学奇术!$A:$ZZ,27,FALSE)*(1+IF(OR($AM27=$F$4,$AM27=$F$5),$B$22,0))</f>
        <v>345.6</v>
      </c>
      <c r="AP27" s="24">
        <f>VLOOKUP($R27,武学奇术!$A:$ZZ,28,FALSE)</f>
        <v>1.1622</v>
      </c>
      <c r="AQ27" s="25">
        <f>VLOOKUP($R27,武学奇术!$A:$ZZ,29,FALSE)*(1+IF(OR($AM27=$F$4,$AM27=$F$5),$B$22,0))</f>
        <v>187.2</v>
      </c>
      <c r="AR27" s="24" cm="1">
        <f t="array" ref="AR27">$G$3+IFERROR(VLOOKUP($AM27,$F$4:$G$7,2,FALSE),0)+VLOOKUP($R27,武学奇术!$A:$ZZ,2,FALSE)+SUM(_xlfn.XLOOKUP($S27:$AL27,增益!$A:$A,增益!$B:$B,0))</f>
        <v>0.3743</v>
      </c>
      <c r="AS27" s="24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4274.25</v>
      </c>
      <c r="AU27" cm="1">
        <f t="array" ref="AU27">$E$10*(1+$AS27)+VLOOKUP($R27,武学奇术!$A:$ZZ,4,FALSE)+SUM(_xlfn.XLOOKUP($S27:$AL27,增益!$A:$A,增益!$D:$D,0))-$I$2</f>
        <v>4274.25</v>
      </c>
      <c r="AV27" s="31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0.2184</v>
      </c>
      <c r="AW27" s="31" cm="1">
        <f t="array" ref="AW27">$G$10+VLOOKUP($R27,武学奇术!$A:$ZZ,7,FALSE)+SUM(_xlfn.XLOOKUP($S27:$AL27,增益!$A:$A,增益!$G:$G,0))</f>
        <v>0.11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1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1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1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1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1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1" cm="1">
        <f t="array" ref="BJ27">$G$13+VLOOKUP($R27,武学奇术!$A:$ZZ,14,FALSE)+SUM(_xlfn.XLOOKUP($S27:$AL27,增益!$A:$A,增益!$N:$N,0))</f>
        <v>0.02</v>
      </c>
      <c r="BK27">
        <f t="shared" si="7"/>
        <v>649.11</v>
      </c>
      <c r="BL27">
        <f t="shared" si="8"/>
        <v>1812.09</v>
      </c>
      <c r="BM27" s="31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</v>
      </c>
      <c r="BN27" s="31" cm="1">
        <f t="array" ref="BN27">$G$14+VLOOKUP($R27,武学奇术!$A:$ZZ,16,FALSE)+SUM(_xlfn.XLOOKUP($S27:$AL27,增益!$A:$A,增益!$P:$P,0))</f>
        <v>0.26</v>
      </c>
      <c r="BO27" s="24">
        <f>MIN(IF(VLOOKUP($R27,武学奇术!$A:$ZZ,23,FALSE)=1,100%,$B$8),100%)</f>
        <v>0.9943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0.8985</v>
      </c>
      <c r="BQ27" s="24" cm="1">
        <f t="array" ref="BQ27">1+$B$13+VLOOKUP($R27,武学奇术!$A:$ZZ,18,FALSE)+SUM(_xlfn.XLOOKUP($S27:$AL27,增益!$A:$A,增益!$R:$R,0))</f>
        <v>1.96</v>
      </c>
      <c r="BR27" s="24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0.89337855</v>
      </c>
      <c r="BU27" s="24">
        <f t="shared" si="10"/>
        <v>0.01014186</v>
      </c>
      <c r="BV27" s="24">
        <f>IF(VLOOKUP($R27,武学奇术!$A:$ZZ,22,FALSE)=1,0,(1-$BO27))*(1-$BR27)</f>
        <v>0.00517959000000003</v>
      </c>
      <c r="BW27" s="24" cm="1">
        <f t="array" ref="BW27">SUM(_xlfn.XLOOKUP($S27:$AL27,增益!$A:$A,增益!$W:$W,0))+$I$5</f>
        <v>0.11</v>
      </c>
      <c r="BX27" s="24">
        <f>VLOOKUP($R27,武学奇术!$A:$ZZ,32,FALSE)</f>
        <v>0.4</v>
      </c>
      <c r="BY27" s="24" cm="1">
        <f t="array" ref="BY27">SUM(_xlfn.XLOOKUP($S27:$AL27,增益!$A:$A,增益!$X:$X,0))</f>
        <v>0</v>
      </c>
    </row>
    <row r="28" spans="1:77">
      <c r="A28" s="4"/>
      <c r="B28" s="4"/>
      <c r="K28" s="37">
        <f>$L28*VLOOKUP($R28,武学奇术!$A:$ZZ,31,FALSE)</f>
        <v>58160.4151388427</v>
      </c>
      <c r="L28" s="37">
        <f t="shared" si="0"/>
        <v>36350.2594617767</v>
      </c>
      <c r="M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*(1+$BX28)</f>
        <v>36847.6422394735</v>
      </c>
      <c r="N28" s="37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*(1+$BX28)</f>
        <v>34029.1085713459</v>
      </c>
      <c r="O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*(1+$BX28)</f>
        <v>22197.3748430563</v>
      </c>
      <c r="P28" s="37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*(1+$BX28)</f>
        <v>19188.0025962268</v>
      </c>
      <c r="Q28" s="38">
        <v>1</v>
      </c>
      <c r="R28" s="39" t="s">
        <v>122</v>
      </c>
      <c r="S28" s="39" t="s">
        <v>104</v>
      </c>
      <c r="T28" s="39" t="s">
        <v>175</v>
      </c>
      <c r="U28" s="39" t="s">
        <v>81</v>
      </c>
      <c r="V28" s="39" t="s">
        <v>82</v>
      </c>
      <c r="W28" s="39" t="s">
        <v>83</v>
      </c>
      <c r="X28" s="39" t="s">
        <v>84</v>
      </c>
      <c r="Y28" s="39" t="s">
        <v>84</v>
      </c>
      <c r="Z28" s="39" t="s">
        <v>84</v>
      </c>
      <c r="AA28" s="39" t="s">
        <v>84</v>
      </c>
      <c r="AB28" s="39" t="s">
        <v>107</v>
      </c>
      <c r="AC28" s="39" t="s">
        <v>84</v>
      </c>
      <c r="AD28" s="39" t="s">
        <v>84</v>
      </c>
      <c r="AE28" s="39" t="s">
        <v>84</v>
      </c>
      <c r="AF28" s="39" t="s">
        <v>88</v>
      </c>
      <c r="AG28" s="39" t="s">
        <v>84</v>
      </c>
      <c r="AH28" s="39" t="s">
        <v>84</v>
      </c>
      <c r="AI28" s="39" t="s">
        <v>84</v>
      </c>
      <c r="AJ28" s="39" t="s">
        <v>84</v>
      </c>
      <c r="AK28" s="39" t="s">
        <v>84</v>
      </c>
      <c r="AL28" s="39" t="s">
        <v>84</v>
      </c>
      <c r="AM28" t="str">
        <f>VLOOKUP($R28,武学奇术!$A:$ZZ,25,FALSE)</f>
        <v>拳甲</v>
      </c>
      <c r="AN28" s="24">
        <f>VLOOKUP($R28,武学奇术!$A:$ZZ,26,FALSE)</f>
        <v>1.862784</v>
      </c>
      <c r="AO28" s="25">
        <f>VLOOKUP($R28,武学奇术!$A:$ZZ,27,FALSE)*(1+IF(OR($AM28=$F$4,$AM28=$F$5),$B$22,0))</f>
        <v>0</v>
      </c>
      <c r="AP28" s="24">
        <f>VLOOKUP($R28,武学奇术!$A:$ZZ,28,FALSE)</f>
        <v>2.794176</v>
      </c>
      <c r="AQ28" s="25">
        <f>VLOOKUP($R28,武学奇术!$A:$ZZ,29,FALSE)*(1+IF(OR($AM28=$F$4,$AM28=$F$5),$B$22,0))</f>
        <v>0</v>
      </c>
      <c r="AR28" s="24" cm="1">
        <f t="array" ref="AR28">$G$3+IFERROR(VLOOKUP($AM28,$F$4:$G$7,2,FALSE),0)+VLOOKUP($R28,武学奇术!$A:$ZZ,2,FALSE)+SUM(_xlfn.XLOOKUP($S28:$AL28,增益!$A:$A,增益!$B:$B,0))</f>
        <v>0.3243</v>
      </c>
      <c r="AS28" s="24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4274.25</v>
      </c>
      <c r="AU28" cm="1">
        <f t="array" ref="AU28">$E$10*(1+$AS28)+VLOOKUP($R28,武学奇术!$A:$ZZ,4,FALSE)+SUM(_xlfn.XLOOKUP($S28:$AL28,增益!$A:$A,增益!$D:$D,0))-$I$2</f>
        <v>4274.25</v>
      </c>
      <c r="AV28" s="31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0.2184</v>
      </c>
      <c r="AW28" s="31" cm="1">
        <f t="array" ref="AW28">$G$10+VLOOKUP($R28,武学奇术!$A:$ZZ,7,FALSE)+SUM(_xlfn.XLOOKUP($S28:$AL28,增益!$A:$A,增益!$G:$G,0))</f>
        <v>0.11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1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1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1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1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1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1" cm="1">
        <f t="array" ref="BJ28">$G$13+VLOOKUP($R28,武学奇术!$A:$ZZ,14,FALSE)+SUM(_xlfn.XLOOKUP($S28:$AL28,增益!$A:$A,增益!$N:$N,0))</f>
        <v>0.02</v>
      </c>
      <c r="BK28">
        <f t="shared" si="7"/>
        <v>649.11</v>
      </c>
      <c r="BL28">
        <f t="shared" si="8"/>
        <v>1812.09</v>
      </c>
      <c r="BM28" s="31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1" cm="1">
        <f t="array" ref="BN28">$G$14+VLOOKUP($R28,武学奇术!$A:$ZZ,16,FALSE)+SUM(_xlfn.XLOOKUP($S28:$AL28,增益!$A:$A,增益!$P:$P,0))</f>
        <v>0.26</v>
      </c>
      <c r="BO28" s="24">
        <f>MIN(IF(VLOOKUP($R28,武学奇术!$A:$ZZ,23,FALSE)=1,100%,$B$8),100%)</f>
        <v>0.9943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0.8985</v>
      </c>
      <c r="BQ28" s="24" cm="1">
        <f t="array" ref="BQ28">1+$B$13+VLOOKUP($R28,武学奇术!$A:$ZZ,18,FALSE)+SUM(_xlfn.XLOOKUP($S28:$AL28,增益!$A:$A,增益!$R:$R,0))</f>
        <v>1.66</v>
      </c>
      <c r="BR28" s="24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0.89337855</v>
      </c>
      <c r="BU28" s="24">
        <f t="shared" si="10"/>
        <v>0.01014186</v>
      </c>
      <c r="BV28" s="24">
        <f>IF(VLOOKUP($R28,武学奇术!$A:$ZZ,22,FALSE)=1,0,(1-$BO28))*(1-$BR28)</f>
        <v>0.00517959000000003</v>
      </c>
      <c r="BW28" s="24" cm="1">
        <f t="array" ref="BW28">SUM(_xlfn.XLOOKUP($S28:$AL28,增益!$A:$A,增益!$W:$W,0))+$I$5</f>
        <v>0.11</v>
      </c>
      <c r="BX28" s="24">
        <f>VLOOKUP($R28,武学奇术!$A:$ZZ,32,FALSE)</f>
        <v>0</v>
      </c>
      <c r="BY28" s="24" cm="1">
        <f t="array" ref="BY28">SUM(_xlfn.XLOOKUP($S28:$AL28,增益!$A:$A,增益!$X:$X,0))</f>
        <v>0</v>
      </c>
    </row>
    <row r="29" spans="1:77">
      <c r="K29" s="37">
        <f>$L29*VLOOKUP($R29,武学奇术!$A:$ZZ,31,FALSE)</f>
        <v>30253.2410474106</v>
      </c>
      <c r="L29" s="37">
        <f t="shared" si="0"/>
        <v>30253.2410474106</v>
      </c>
      <c r="M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*(1+$BX29)</f>
        <v>30701.8496865655</v>
      </c>
      <c r="N29" s="37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*(1+$BX29)</f>
        <v>27962.5790561522</v>
      </c>
      <c r="O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*(1+$BX29)</f>
        <v>18495.0901726298</v>
      </c>
      <c r="P29" s="37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*(1+$BX29)</f>
        <v>16277.158822184</v>
      </c>
      <c r="Q29" s="38">
        <v>1</v>
      </c>
      <c r="R29" s="39" t="s">
        <v>115</v>
      </c>
      <c r="S29" s="39" t="s">
        <v>104</v>
      </c>
      <c r="T29" s="39" t="s">
        <v>175</v>
      </c>
      <c r="U29" s="39" t="s">
        <v>81</v>
      </c>
      <c r="V29" s="39" t="s">
        <v>82</v>
      </c>
      <c r="W29" s="39" t="s">
        <v>83</v>
      </c>
      <c r="X29" s="39" t="s">
        <v>84</v>
      </c>
      <c r="Y29" s="39" t="s">
        <v>84</v>
      </c>
      <c r="Z29" s="39" t="s">
        <v>84</v>
      </c>
      <c r="AA29" s="39" t="s">
        <v>84</v>
      </c>
      <c r="AB29" s="39" t="s">
        <v>107</v>
      </c>
      <c r="AC29" s="39" t="s">
        <v>84</v>
      </c>
      <c r="AD29" s="39" t="s">
        <v>84</v>
      </c>
      <c r="AE29" s="39" t="s">
        <v>84</v>
      </c>
      <c r="AF29" s="39" t="s">
        <v>88</v>
      </c>
      <c r="AG29" s="39" t="s">
        <v>84</v>
      </c>
      <c r="AH29" s="39" t="s">
        <v>84</v>
      </c>
      <c r="AI29" s="39" t="s">
        <v>84</v>
      </c>
      <c r="AJ29" s="39" t="s">
        <v>84</v>
      </c>
      <c r="AK29" s="39" t="s">
        <v>84</v>
      </c>
      <c r="AL29" s="39" t="s">
        <v>84</v>
      </c>
      <c r="AM29" t="str">
        <f>VLOOKUP($R29,武学奇术!$A:$ZZ,25,FALSE)</f>
        <v>双刀</v>
      </c>
      <c r="AN29" s="24">
        <f>VLOOKUP($R29,武学奇术!$A:$ZZ,26,FALSE)</f>
        <v>1.3728</v>
      </c>
      <c r="AO29" s="25">
        <f>VLOOKUP($R29,武学奇术!$A:$ZZ,27,FALSE)*(1+IF(OR($AM29=$F$4,$AM29=$F$5),$B$22,0))</f>
        <v>609.44</v>
      </c>
      <c r="AP29" s="24">
        <f>VLOOKUP($R29,武学奇术!$A:$ZZ,28,FALSE)</f>
        <v>2.05933</v>
      </c>
      <c r="AQ29" s="25">
        <f>VLOOKUP($R29,武学奇术!$A:$ZZ,29,FALSE)*(1+IF(OR($AM29=$F$4,$AM29=$F$5),$B$22,0))</f>
        <v>332.8</v>
      </c>
      <c r="AR29" s="24" cm="1">
        <f t="array" ref="AR29">$G$3+IFERROR(VLOOKUP($AM29,$F$4:$G$7,2,FALSE),0)+VLOOKUP($R29,武学奇术!$A:$ZZ,2,FALSE)+SUM(_xlfn.XLOOKUP($S29:$AL29,增益!$A:$A,增益!$B:$B,0))</f>
        <v>0.3243</v>
      </c>
      <c r="AS29" s="24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4274.25</v>
      </c>
      <c r="AU29" cm="1">
        <f t="array" ref="AU29">$E$10*(1+$AS29)+VLOOKUP($R29,武学奇术!$A:$ZZ,4,FALSE)+SUM(_xlfn.XLOOKUP($S29:$AL29,增益!$A:$A,增益!$D:$D,0))-$I$2</f>
        <v>4274.25</v>
      </c>
      <c r="AV29" s="31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0.2184</v>
      </c>
      <c r="AW29" s="31" cm="1">
        <f t="array" ref="AW29">$G$10+VLOOKUP($R29,武学奇术!$A:$ZZ,7,FALSE)+SUM(_xlfn.XLOOKUP($S29:$AL29,增益!$A:$A,增益!$G:$G,0))</f>
        <v>0.11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1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1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1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1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1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1" cm="1">
        <f t="array" ref="BJ29">$G$13+VLOOKUP($R29,武学奇术!$A:$ZZ,14,FALSE)+SUM(_xlfn.XLOOKUP($S29:$AL29,增益!$A:$A,增益!$N:$N,0))</f>
        <v>0.02</v>
      </c>
      <c r="BK29">
        <f t="shared" si="7"/>
        <v>649.11</v>
      </c>
      <c r="BL29">
        <f t="shared" si="8"/>
        <v>1812.09</v>
      </c>
      <c r="BM29" s="31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</v>
      </c>
      <c r="BN29" s="31" cm="1">
        <f t="array" ref="BN29">$G$14+VLOOKUP($R29,武学奇术!$A:$ZZ,16,FALSE)+SUM(_xlfn.XLOOKUP($S29:$AL29,增益!$A:$A,增益!$P:$P,0))</f>
        <v>0.26</v>
      </c>
      <c r="BO29" s="24">
        <f>MIN(IF(VLOOKUP($R29,武学奇术!$A:$ZZ,23,FALSE)=1,100%,$B$8),100%)</f>
        <v>0.9943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0.8985</v>
      </c>
      <c r="BQ29" s="24" cm="1">
        <f t="array" ref="BQ29">1+$B$13+VLOOKUP($R29,武学奇术!$A:$ZZ,18,FALSE)+SUM(_xlfn.XLOOKUP($S29:$AL29,增益!$A:$A,增益!$R:$R,0))</f>
        <v>1.66</v>
      </c>
      <c r="BR29" s="24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0.89337855</v>
      </c>
      <c r="BU29" s="24">
        <f t="shared" si="10"/>
        <v>0.01014186</v>
      </c>
      <c r="BV29" s="24">
        <f>IF(VLOOKUP($R29,武学奇术!$A:$ZZ,22,FALSE)=1,0,(1-$BO29))*(1-$BR29)</f>
        <v>0.00517959000000003</v>
      </c>
      <c r="BW29" s="24" cm="1">
        <f t="array" ref="BW29">SUM(_xlfn.XLOOKUP($S29:$AL29,增益!$A:$A,增益!$W:$W,0))+$I$5</f>
        <v>0.11</v>
      </c>
      <c r="BX29" s="24">
        <f>VLOOKUP($R29,武学奇术!$A:$ZZ,32,FALSE)</f>
        <v>0</v>
      </c>
      <c r="BY29" s="24" cm="1">
        <f t="array" ref="BY29">SUM(_xlfn.XLOOKUP($S29:$AL29,增益!$A:$A,增益!$X:$X,0))</f>
        <v>0</v>
      </c>
    </row>
    <row r="30" spans="1:77">
      <c r="K30" s="37">
        <f>$L30*VLOOKUP($R30,武学奇术!$A:$ZZ,31,FALSE)</f>
        <v>216474.849866093</v>
      </c>
      <c r="L30" s="89">
        <f>SUM(L9,L11:L12,L14:L22,L26:L27)*0.2*(1+BY30)</f>
        <v>432949.699732186</v>
      </c>
      <c r="M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*(1+$BX30)</f>
        <v>0</v>
      </c>
      <c r="N30" s="37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*(1+$BX30)</f>
        <v>0</v>
      </c>
      <c r="O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*(1+$BX30)</f>
        <v>0</v>
      </c>
      <c r="P30" s="37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*(1+$BX30)</f>
        <v>0</v>
      </c>
      <c r="Q30" s="38">
        <v>1</v>
      </c>
      <c r="R30" s="39" t="s">
        <v>180</v>
      </c>
      <c r="S30" s="39" t="s">
        <v>181</v>
      </c>
      <c r="T30" s="39" t="s">
        <v>84</v>
      </c>
      <c r="U30" s="39" t="s">
        <v>84</v>
      </c>
      <c r="V30" s="39" t="s">
        <v>84</v>
      </c>
      <c r="W30" s="39" t="s">
        <v>84</v>
      </c>
      <c r="X30" s="39" t="s">
        <v>84</v>
      </c>
      <c r="Y30" s="39" t="s">
        <v>84</v>
      </c>
      <c r="Z30" s="39" t="s">
        <v>84</v>
      </c>
      <c r="AA30" s="39" t="s">
        <v>84</v>
      </c>
      <c r="AB30" s="39" t="s">
        <v>84</v>
      </c>
      <c r="AC30" s="39" t="s">
        <v>84</v>
      </c>
      <c r="AD30" s="39" t="s">
        <v>84</v>
      </c>
      <c r="AE30" s="39" t="s">
        <v>84</v>
      </c>
      <c r="AF30" s="39" t="s">
        <v>88</v>
      </c>
      <c r="AG30" s="39" t="s">
        <v>84</v>
      </c>
      <c r="AH30" s="39" t="s">
        <v>84</v>
      </c>
      <c r="AI30" s="39" t="s">
        <v>84</v>
      </c>
      <c r="AJ30" s="39" t="s">
        <v>84</v>
      </c>
      <c r="AK30" s="39" t="s">
        <v>84</v>
      </c>
      <c r="AL30" s="39" t="s">
        <v>84</v>
      </c>
      <c r="AM30" t="str">
        <f>VLOOKUP($R30,武学奇术!$A:$ZZ,25,FALSE)</f>
        <v>心法</v>
      </c>
      <c r="AN30" s="24">
        <f>VLOOKUP($R30,武学奇术!$A:$ZZ,26,FALSE)</f>
        <v>0</v>
      </c>
      <c r="AO30" s="25">
        <f>VLOOKUP($R30,武学奇术!$A:$ZZ,27,FALSE)*(1+IF(OR($AM30=$F$4,$AM30=$F$5),$B$22,0))</f>
        <v>0</v>
      </c>
      <c r="AP30" s="24">
        <f>VLOOKUP($R30,武学奇术!$A:$ZZ,28,FALSE)</f>
        <v>0</v>
      </c>
      <c r="AQ30" s="25">
        <f>VLOOKUP($R30,武学奇术!$A:$ZZ,29,FALSE)*(1+IF(OR($AM30=$F$4,$AM30=$F$5),$B$22,0))</f>
        <v>0</v>
      </c>
      <c r="AR30" s="24" cm="1">
        <f t="array" ref="AR30">$G$3+IFERROR(VLOOKUP($AM30,$F$4:$G$7,2,FALSE),0)+VLOOKUP($R30,武学奇术!$A:$ZZ,2,FALSE)+SUM(_xlfn.XLOOKUP($S30:$AL30,增益!$A:$A,增益!$B:$B,0))</f>
        <v>0.1042</v>
      </c>
      <c r="AS30" s="24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4274.25</v>
      </c>
      <c r="AU30" cm="1">
        <f t="array" ref="AU30">$E$10*(1+$AS30)+VLOOKUP($R30,武学奇术!$A:$ZZ,4,FALSE)+SUM(_xlfn.XLOOKUP($S30:$AL30,增益!$A:$A,增益!$D:$D,0))-$I$2</f>
        <v>4274.25</v>
      </c>
      <c r="AV30" s="31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0.1684</v>
      </c>
      <c r="AW30" s="31" cm="1">
        <f t="array" ref="AW30">$G$10+VLOOKUP($R30,武学奇术!$A:$ZZ,7,FALSE)+SUM(_xlfn.XLOOKUP($S30:$AL30,增益!$A:$A,增益!$G:$G,0))</f>
        <v>0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1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1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1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1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1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1" cm="1">
        <f t="array" ref="BJ30">$G$13+VLOOKUP($R30,武学奇术!$A:$ZZ,14,FALSE)+SUM(_xlfn.XLOOKUP($S30:$AL30,增益!$A:$A,增益!$N:$N,0))</f>
        <v>0</v>
      </c>
      <c r="BK30">
        <f t="shared" si="7"/>
        <v>649.11</v>
      </c>
      <c r="BL30">
        <f t="shared" si="8"/>
        <v>1812.09</v>
      </c>
      <c r="BM30" s="31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1" cm="1">
        <f t="array" ref="BN30">$G$14+VLOOKUP($R30,武学奇术!$A:$ZZ,16,FALSE)+SUM(_xlfn.XLOOKUP($S30:$AL30,增益!$A:$A,增益!$P:$P,0))</f>
        <v>0.15</v>
      </c>
      <c r="BO30" s="24">
        <f>MIN(IF(VLOOKUP($R30,武学奇术!$A:$ZZ,23,FALSE)=1,100%,$B$8),100%)</f>
        <v>0.9943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0.8985</v>
      </c>
      <c r="BQ30" s="24" cm="1">
        <f t="array" ref="BQ30">1+$B$13+VLOOKUP($R30,武学奇术!$A:$ZZ,18,FALSE)+SUM(_xlfn.XLOOKUP($S30:$AL30,增益!$A:$A,增益!$R:$R,0))</f>
        <v>1.54</v>
      </c>
      <c r="BR30" s="24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0.89337855</v>
      </c>
      <c r="BU30" s="24">
        <f t="shared" si="10"/>
        <v>0.01014186</v>
      </c>
      <c r="BV30" s="24">
        <f>IF(VLOOKUP($R30,武学奇术!$A:$ZZ,22,FALSE)=1,0,(1-$BO30))*(1-$BR30)</f>
        <v>0.00517959000000003</v>
      </c>
      <c r="BW30" s="24" cm="1">
        <f t="array" ref="BW30">SUM(_xlfn.XLOOKUP($S30:$AL30,增益!$A:$A,增益!$W:$W,0))+$I$5</f>
        <v>0.11</v>
      </c>
      <c r="BX30" s="24">
        <f>VLOOKUP($R30,武学奇术!$A:$ZZ,32,FALSE)</f>
        <v>0</v>
      </c>
      <c r="BY30" s="24" cm="1">
        <f t="array" ref="BY30">SUM(_xlfn.XLOOKUP($S30:$AL30,增益!$A:$A,增益!$X:$X,0))</f>
        <v>0.2</v>
      </c>
    </row>
    <row r="31" spans="1:77">
      <c r="K31" s="37">
        <f>$L31*VLOOKUP($R31,武学奇术!$A:$ZZ,31,FALSE)</f>
        <v>17993.4503110236</v>
      </c>
      <c r="L31" s="37">
        <f t="shared" ref="L31:L57" si="11">($M31*$BT31+$N31*$BR31+$O31*$BU31+$P31*$BV31)</f>
        <v>17993.4503110236</v>
      </c>
      <c r="M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*(1+$BX31)</f>
        <v>18319.9671394761</v>
      </c>
      <c r="N31" s="37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*(1+$BX31)</f>
        <v>16103.0471744368</v>
      </c>
      <c r="O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*(1+$BX31)</f>
        <v>10651.1436857419</v>
      </c>
      <c r="P31" s="37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*(1+$BX31)</f>
        <v>9374.1042793084</v>
      </c>
      <c r="Q31" s="38">
        <v>1</v>
      </c>
      <c r="R31" s="39" t="s">
        <v>185</v>
      </c>
      <c r="S31" s="39" t="s">
        <v>104</v>
      </c>
      <c r="T31" s="39" t="s">
        <v>186</v>
      </c>
      <c r="U31" s="39" t="s">
        <v>81</v>
      </c>
      <c r="V31" s="39" t="s">
        <v>130</v>
      </c>
      <c r="W31" s="39" t="s">
        <v>83</v>
      </c>
      <c r="X31" s="39" t="s">
        <v>84</v>
      </c>
      <c r="Y31" s="39" t="s">
        <v>84</v>
      </c>
      <c r="Z31" s="39" t="s">
        <v>84</v>
      </c>
      <c r="AA31" s="39" t="s">
        <v>84</v>
      </c>
      <c r="AB31" s="39" t="s">
        <v>187</v>
      </c>
      <c r="AC31" s="39" t="s">
        <v>84</v>
      </c>
      <c r="AD31" s="39" t="s">
        <v>84</v>
      </c>
      <c r="AE31" s="39" t="s">
        <v>84</v>
      </c>
      <c r="AF31" s="39" t="s">
        <v>88</v>
      </c>
      <c r="AG31" s="39" t="s">
        <v>84</v>
      </c>
      <c r="AH31" s="39" t="s">
        <v>84</v>
      </c>
      <c r="AI31" s="39" t="s">
        <v>84</v>
      </c>
      <c r="AJ31" s="39" t="s">
        <v>84</v>
      </c>
      <c r="AK31" s="39" t="s">
        <v>84</v>
      </c>
      <c r="AL31" s="39" t="s">
        <v>84</v>
      </c>
      <c r="AM31" t="str">
        <f>VLOOKUP($R31,武学奇术!$A:$ZZ,25,FALSE)</f>
        <v>双刀</v>
      </c>
      <c r="AN31" s="24">
        <f>VLOOKUP($R31,武学奇术!$A:$ZZ,26,FALSE)</f>
        <v>0.79044</v>
      </c>
      <c r="AO31" s="25">
        <f>VLOOKUP($R31,武学奇术!$A:$ZZ,27,FALSE)*(1+IF(OR($AM31=$F$4,$AM31=$F$5),$B$22,0))</f>
        <v>351.36</v>
      </c>
      <c r="AP31" s="24">
        <f>VLOOKUP($R31,武学奇术!$A:$ZZ,28,FALSE)</f>
        <v>1.18572</v>
      </c>
      <c r="AQ31" s="25">
        <f>VLOOKUP($R31,武学奇术!$A:$ZZ,29,FALSE)*(1+IF(OR($AM31=$F$4,$AM31=$F$5),$B$22,0))</f>
        <v>192</v>
      </c>
      <c r="AR31" s="24" cm="1">
        <f t="array" ref="AR31">$G$3+IFERROR(VLOOKUP($AM31,$F$4:$G$7,2,FALSE),0)+VLOOKUP($R31,武学奇术!$A:$ZZ,2,FALSE)+SUM(_xlfn.XLOOKUP($S31:$AL31,增益!$A:$A,增益!$B:$B,0))</f>
        <v>0.3243</v>
      </c>
      <c r="AS31" s="24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4274.25</v>
      </c>
      <c r="AU31" cm="1">
        <f t="array" ref="AU31">$E$10*(1+$AS31)+VLOOKUP($R31,武学奇术!$A:$ZZ,4,FALSE)+SUM(_xlfn.XLOOKUP($S31:$AL31,增益!$A:$A,增益!$D:$D,0))-$I$2</f>
        <v>4274.25</v>
      </c>
      <c r="AV31" s="31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0.2184</v>
      </c>
      <c r="AW31" s="31" cm="1">
        <f t="array" ref="AW31">$G$10+VLOOKUP($R31,武学奇术!$A:$ZZ,7,FALSE)+SUM(_xlfn.XLOOKUP($S31:$AL31,增益!$A:$A,增益!$G:$G,0))</f>
        <v>0.11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1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1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1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1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1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1" cm="1">
        <f t="array" ref="BJ31">$G$13+VLOOKUP($R31,武学奇术!$A:$ZZ,14,FALSE)+SUM(_xlfn.XLOOKUP($S31:$AL31,增益!$A:$A,增益!$N:$N,0))</f>
        <v>0.02</v>
      </c>
      <c r="BK31">
        <f t="shared" si="7"/>
        <v>649.11</v>
      </c>
      <c r="BL31">
        <f t="shared" si="8"/>
        <v>1812.09</v>
      </c>
      <c r="BM31" s="31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1" cm="1">
        <f t="array" ref="BN31">$G$14+VLOOKUP($R31,武学奇术!$A:$ZZ,16,FALSE)+SUM(_xlfn.XLOOKUP($S31:$AL31,增益!$A:$A,增益!$P:$P,0))</f>
        <v>0.26</v>
      </c>
      <c r="BO31" s="24">
        <f>MIN(IF(VLOOKUP($R31,武学奇术!$A:$ZZ,23,FALSE)=1,100%,$B$8),100%)</f>
        <v>0.9943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0.8985</v>
      </c>
      <c r="BQ31" s="24" cm="1">
        <f t="array" ref="BQ31">1+$B$13+VLOOKUP($R31,武学奇术!$A:$ZZ,18,FALSE)+SUM(_xlfn.XLOOKUP($S31:$AL31,增益!$A:$A,增益!$R:$R,0))</f>
        <v>1.72</v>
      </c>
      <c r="BR31" s="24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0.89337855</v>
      </c>
      <c r="BU31" s="24">
        <f t="shared" si="10"/>
        <v>0.01014186</v>
      </c>
      <c r="BV31" s="24">
        <f>IF(VLOOKUP($R31,武学奇术!$A:$ZZ,22,FALSE)=1,0,(1-$BO31))*(1-$BR31)</f>
        <v>0.00517959000000003</v>
      </c>
      <c r="BW31" s="24" cm="1">
        <f t="array" ref="BW31">SUM(_xlfn.XLOOKUP($S31:$AL31,增益!$A:$A,增益!$W:$W,0))+$I$5</f>
        <v>0.11</v>
      </c>
      <c r="BX31" s="24">
        <f>VLOOKUP($R31,武学奇术!$A:$ZZ,32,FALSE)</f>
        <v>0</v>
      </c>
      <c r="BY31" s="24" cm="1">
        <f t="array" ref="BY31">SUM(_xlfn.XLOOKUP($S31:$AL31,增益!$A:$A,增益!$X:$X,0))</f>
        <v>0</v>
      </c>
    </row>
    <row r="32" spans="1:77">
      <c r="K32" s="37">
        <f>$L32*VLOOKUP($R32,武学奇术!$A:$ZZ,31,FALSE)</f>
        <v>154741.481747573</v>
      </c>
      <c r="L32" s="37">
        <f t="shared" si="11"/>
        <v>154741.481747573</v>
      </c>
      <c r="M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*(1+$BX32)</f>
        <v>159642.251648701</v>
      </c>
      <c r="N32" s="37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*(1+$BX32)</f>
        <v>119492.351915339</v>
      </c>
      <c r="O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*(1+$BX32)</f>
        <v>79030.8176478719</v>
      </c>
      <c r="P32" s="37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*(1+$BX32)</f>
        <v>69548.782025122</v>
      </c>
      <c r="Q32" s="38">
        <v>1</v>
      </c>
      <c r="R32" s="39" t="s">
        <v>157</v>
      </c>
      <c r="S32" s="39" t="s">
        <v>104</v>
      </c>
      <c r="T32" s="39" t="s">
        <v>186</v>
      </c>
      <c r="U32" s="39" t="s">
        <v>81</v>
      </c>
      <c r="V32" s="39" t="s">
        <v>130</v>
      </c>
      <c r="W32" s="39" t="s">
        <v>83</v>
      </c>
      <c r="X32" s="39" t="s">
        <v>84</v>
      </c>
      <c r="Y32" s="39" t="s">
        <v>84</v>
      </c>
      <c r="Z32" s="39" t="s">
        <v>84</v>
      </c>
      <c r="AA32" s="39" t="s">
        <v>84</v>
      </c>
      <c r="AB32" s="39" t="s">
        <v>187</v>
      </c>
      <c r="AC32" s="39" t="s">
        <v>84</v>
      </c>
      <c r="AD32" s="39" t="s">
        <v>84</v>
      </c>
      <c r="AE32" s="39" t="s">
        <v>84</v>
      </c>
      <c r="AF32" s="39" t="s">
        <v>88</v>
      </c>
      <c r="AG32" s="39" t="s">
        <v>84</v>
      </c>
      <c r="AH32" s="39" t="s">
        <v>84</v>
      </c>
      <c r="AI32" s="39" t="s">
        <v>84</v>
      </c>
      <c r="AJ32" s="39" t="s">
        <v>84</v>
      </c>
      <c r="AK32" s="39" t="s">
        <v>84</v>
      </c>
      <c r="AL32" s="39" t="s">
        <v>84</v>
      </c>
      <c r="AM32" t="str">
        <f>VLOOKUP($R32,武学奇术!$A:$ZZ,25,FALSE)</f>
        <v>双刀</v>
      </c>
      <c r="AN32" s="24">
        <f>VLOOKUP($R32,武学奇术!$A:$ZZ,26,FALSE)</f>
        <v>2.85516</v>
      </c>
      <c r="AO32" s="25">
        <f>VLOOKUP($R32,武学奇术!$A:$ZZ,27,FALSE)*(1+IF(OR($AM32=$F$4,$AM32=$F$5),$B$22,0))</f>
        <v>1263.36</v>
      </c>
      <c r="AP32" s="24">
        <f>VLOOKUP($R32,武学奇术!$A:$ZZ,28,FALSE)</f>
        <v>4.28274</v>
      </c>
      <c r="AQ32" s="25">
        <f>VLOOKUP($R32,武学奇术!$A:$ZZ,29,FALSE)*(1+IF(OR($AM32=$F$4,$AM32=$F$5),$B$22,0))</f>
        <v>687.68</v>
      </c>
      <c r="AR32" s="24" cm="1">
        <f t="array" ref="AR32">$G$3+IFERROR(VLOOKUP($AM32,$F$4:$G$7,2,FALSE),0)+VLOOKUP($R32,武学奇术!$A:$ZZ,2,FALSE)+SUM(_xlfn.XLOOKUP($S32:$AL32,增益!$A:$A,增益!$B:$B,0))</f>
        <v>0.3743</v>
      </c>
      <c r="AS32" s="24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4274.25</v>
      </c>
      <c r="AU32" cm="1">
        <f t="array" ref="AU32">$E$10*(1+$AS32)+VLOOKUP($R32,武学奇术!$A:$ZZ,4,FALSE)+SUM(_xlfn.XLOOKUP($S32:$AL32,增益!$A:$A,增益!$D:$D,0))-$I$2</f>
        <v>4274.25</v>
      </c>
      <c r="AV32" s="31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0.2184</v>
      </c>
      <c r="AW32" s="31" cm="1">
        <f t="array" ref="AW32">$G$10+VLOOKUP($R32,武学奇术!$A:$ZZ,7,FALSE)+SUM(_xlfn.XLOOKUP($S32:$AL32,增益!$A:$A,增益!$G:$G,0))</f>
        <v>0.11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1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1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1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1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1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-0.3</v>
      </c>
      <c r="BJ32" s="31" cm="1">
        <f t="array" ref="BJ32">$G$13+VLOOKUP($R32,武学奇术!$A:$ZZ,14,FALSE)+SUM(_xlfn.XLOOKUP($S32:$AL32,增益!$A:$A,增益!$N:$N,0))</f>
        <v>0.02</v>
      </c>
      <c r="BK32">
        <f t="shared" si="7"/>
        <v>649.11</v>
      </c>
      <c r="BL32">
        <f t="shared" si="8"/>
        <v>1812.09</v>
      </c>
      <c r="BM32" s="31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</v>
      </c>
      <c r="BN32" s="31" cm="1">
        <f t="array" ref="BN32">$G$14+VLOOKUP($R32,武学奇术!$A:$ZZ,16,FALSE)+SUM(_xlfn.XLOOKUP($S32:$AL32,增益!$A:$A,增益!$P:$P,0))</f>
        <v>0.26</v>
      </c>
      <c r="BO32" s="24">
        <f>MIN(IF(VLOOKUP($R32,武学奇术!$A:$ZZ,23,FALSE)=1,100%,$B$8),100%)</f>
        <v>0.9943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0.8985</v>
      </c>
      <c r="BQ32" s="24" cm="1">
        <f t="array" ref="BQ32">1+$B$13+VLOOKUP($R32,武学奇术!$A:$ZZ,18,FALSE)+SUM(_xlfn.XLOOKUP($S32:$AL32,增益!$A:$A,增益!$R:$R,0))</f>
        <v>2.02</v>
      </c>
      <c r="BR32" s="24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0.89337855</v>
      </c>
      <c r="BU32" s="24">
        <f t="shared" si="10"/>
        <v>0.0153214500000001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0.11</v>
      </c>
      <c r="BX32" s="24">
        <f>VLOOKUP($R32,武学奇术!$A:$ZZ,32,FALSE)</f>
        <v>0.5</v>
      </c>
      <c r="BY32" s="24" cm="1">
        <f t="array" ref="BY32">SUM(_xlfn.XLOOKUP($S32:$AL32,增益!$A:$A,增益!$X:$X,0))</f>
        <v>0</v>
      </c>
    </row>
    <row r="33" spans="1:77">
      <c r="K33" s="37">
        <f>$L33*VLOOKUP($R33,武学奇术!$A:$ZZ,31,FALSE)</f>
        <v>206283.57796345</v>
      </c>
      <c r="L33" s="37">
        <f t="shared" si="11"/>
        <v>206283.57796345</v>
      </c>
      <c r="M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*(1+$BX33)</f>
        <v>212816.579140853</v>
      </c>
      <c r="N33" s="37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*(1+$BX33)</f>
        <v>159294.892229319</v>
      </c>
      <c r="O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*(1+$BX33)</f>
        <v>105354.742148937</v>
      </c>
      <c r="P33" s="37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*(1+$BX33)</f>
        <v>92713.2678317121</v>
      </c>
      <c r="Q33" s="38">
        <v>1</v>
      </c>
      <c r="R33" s="39" t="s">
        <v>163</v>
      </c>
      <c r="S33" s="39" t="s">
        <v>104</v>
      </c>
      <c r="T33" s="39" t="s">
        <v>186</v>
      </c>
      <c r="U33" s="39" t="s">
        <v>81</v>
      </c>
      <c r="V33" s="39" t="s">
        <v>130</v>
      </c>
      <c r="W33" s="39" t="s">
        <v>83</v>
      </c>
      <c r="X33" s="39" t="s">
        <v>84</v>
      </c>
      <c r="Y33" s="39" t="s">
        <v>84</v>
      </c>
      <c r="Z33" s="39" t="s">
        <v>84</v>
      </c>
      <c r="AA33" s="39" t="s">
        <v>84</v>
      </c>
      <c r="AB33" s="39" t="s">
        <v>187</v>
      </c>
      <c r="AC33" s="39" t="s">
        <v>84</v>
      </c>
      <c r="AD33" s="39" t="s">
        <v>84</v>
      </c>
      <c r="AE33" s="39" t="s">
        <v>84</v>
      </c>
      <c r="AF33" s="39" t="s">
        <v>88</v>
      </c>
      <c r="AG33" s="39" t="s">
        <v>84</v>
      </c>
      <c r="AH33" s="39" t="s">
        <v>84</v>
      </c>
      <c r="AI33" s="39" t="s">
        <v>84</v>
      </c>
      <c r="AJ33" s="39" t="s">
        <v>84</v>
      </c>
      <c r="AK33" s="39" t="s">
        <v>84</v>
      </c>
      <c r="AL33" s="39" t="s">
        <v>84</v>
      </c>
      <c r="AM33" t="str">
        <f>VLOOKUP($R33,武学奇术!$A:$ZZ,25,FALSE)</f>
        <v>双刀</v>
      </c>
      <c r="AN33" s="24">
        <f>VLOOKUP($R33,武学奇术!$A:$ZZ,26,FALSE)</f>
        <v>3.80688</v>
      </c>
      <c r="AO33" s="25">
        <f>VLOOKUP($R33,武学奇术!$A:$ZZ,27,FALSE)*(1+IF(OR($AM33=$F$4,$AM33=$F$5),$B$22,0))</f>
        <v>1684.48</v>
      </c>
      <c r="AP33" s="24">
        <f>VLOOKUP($R33,武学奇术!$A:$ZZ,28,FALSE)</f>
        <v>5.70976</v>
      </c>
      <c r="AQ33" s="25">
        <f>VLOOKUP($R33,武学奇术!$A:$ZZ,29,FALSE)*(1+IF(OR($AM33=$F$4,$AM33=$F$5),$B$22,0))</f>
        <v>913.92</v>
      </c>
      <c r="AR33" s="24" cm="1">
        <f t="array" ref="AR33">$G$3+IFERROR(VLOOKUP($AM33,$F$4:$G$7,2,FALSE),0)+VLOOKUP($R33,武学奇术!$A:$ZZ,2,FALSE)+SUM(_xlfn.XLOOKUP($S33:$AL33,增益!$A:$A,增益!$B:$B,0))</f>
        <v>0.3743</v>
      </c>
      <c r="AS33" s="24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4274.25</v>
      </c>
      <c r="AU33" cm="1">
        <f t="array" ref="AU33">$E$10*(1+$AS33)+VLOOKUP($R33,武学奇术!$A:$ZZ,4,FALSE)+SUM(_xlfn.XLOOKUP($S33:$AL33,增益!$A:$A,增益!$D:$D,0))-$I$2</f>
        <v>4274.25</v>
      </c>
      <c r="AV33" s="31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0.2184</v>
      </c>
      <c r="AW33" s="31" cm="1">
        <f t="array" ref="AW33">$G$10+VLOOKUP($R33,武学奇术!$A:$ZZ,7,FALSE)+SUM(_xlfn.XLOOKUP($S33:$AL33,增益!$A:$A,增益!$G:$G,0))</f>
        <v>0.11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1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1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1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1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1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-0.3</v>
      </c>
      <c r="BJ33" s="31" cm="1">
        <f t="array" ref="BJ33">$G$13+VLOOKUP($R33,武学奇术!$A:$ZZ,14,FALSE)+SUM(_xlfn.XLOOKUP($S33:$AL33,增益!$A:$A,增益!$N:$N,0))</f>
        <v>0.02</v>
      </c>
      <c r="BK33">
        <f t="shared" si="7"/>
        <v>649.11</v>
      </c>
      <c r="BL33">
        <f t="shared" si="8"/>
        <v>1812.09</v>
      </c>
      <c r="BM33" s="31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</v>
      </c>
      <c r="BN33" s="31" cm="1">
        <f t="array" ref="BN33">$G$14+VLOOKUP($R33,武学奇术!$A:$ZZ,16,FALSE)+SUM(_xlfn.XLOOKUP($S33:$AL33,增益!$A:$A,增益!$P:$P,0))</f>
        <v>0.26</v>
      </c>
      <c r="BO33" s="24">
        <f>MIN(IF(VLOOKUP($R33,武学奇术!$A:$ZZ,23,FALSE)=1,100%,$B$8),100%)</f>
        <v>0.9943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0.8985</v>
      </c>
      <c r="BQ33" s="24" cm="1">
        <f t="array" ref="BQ33">1+$B$13+VLOOKUP($R33,武学奇术!$A:$ZZ,18,FALSE)+SUM(_xlfn.XLOOKUP($S33:$AL33,增益!$A:$A,增益!$R:$R,0))</f>
        <v>2.02</v>
      </c>
      <c r="BR33" s="24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0.89337855</v>
      </c>
      <c r="BU33" s="24">
        <f t="shared" si="10"/>
        <v>0.0153214500000001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0.11</v>
      </c>
      <c r="BX33" s="24">
        <f>VLOOKUP($R33,武学奇术!$A:$ZZ,32,FALSE)</f>
        <v>0.5</v>
      </c>
      <c r="BY33" s="24" cm="1">
        <f t="array" ref="BY33">SUM(_xlfn.XLOOKUP($S33:$AL33,增益!$A:$A,增益!$X:$X,0))</f>
        <v>0</v>
      </c>
    </row>
    <row r="34" spans="1:77">
      <c r="F34" s="4"/>
      <c r="G34" s="90"/>
      <c r="K34" s="37">
        <f>$L34*VLOOKUP($R34,武学奇术!$A:$ZZ,31,FALSE)</f>
        <v>154741.481747573</v>
      </c>
      <c r="L34" s="37">
        <f t="shared" si="11"/>
        <v>154741.481747573</v>
      </c>
      <c r="M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*(1+$BX34)</f>
        <v>159642.251648701</v>
      </c>
      <c r="N34" s="37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*(1+$BX34)</f>
        <v>119492.351915339</v>
      </c>
      <c r="O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*(1+$BX34)</f>
        <v>79030.8176478719</v>
      </c>
      <c r="P34" s="37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*(1+$BX34)</f>
        <v>69548.782025122</v>
      </c>
      <c r="Q34" s="38">
        <v>1</v>
      </c>
      <c r="R34" s="39" t="s">
        <v>166</v>
      </c>
      <c r="S34" s="39" t="s">
        <v>104</v>
      </c>
      <c r="T34" s="39" t="s">
        <v>186</v>
      </c>
      <c r="U34" s="39" t="s">
        <v>81</v>
      </c>
      <c r="V34" s="39" t="s">
        <v>130</v>
      </c>
      <c r="W34" s="39" t="s">
        <v>83</v>
      </c>
      <c r="X34" s="39" t="s">
        <v>84</v>
      </c>
      <c r="Y34" s="39" t="s">
        <v>84</v>
      </c>
      <c r="Z34" s="39" t="s">
        <v>84</v>
      </c>
      <c r="AA34" s="39" t="s">
        <v>84</v>
      </c>
      <c r="AB34" s="39" t="s">
        <v>187</v>
      </c>
      <c r="AC34" s="39" t="s">
        <v>84</v>
      </c>
      <c r="AD34" s="39" t="s">
        <v>84</v>
      </c>
      <c r="AE34" s="39" t="s">
        <v>84</v>
      </c>
      <c r="AF34" s="39" t="s">
        <v>88</v>
      </c>
      <c r="AG34" s="39" t="s">
        <v>84</v>
      </c>
      <c r="AH34" s="39" t="s">
        <v>84</v>
      </c>
      <c r="AI34" s="39" t="s">
        <v>84</v>
      </c>
      <c r="AJ34" s="39" t="s">
        <v>84</v>
      </c>
      <c r="AK34" s="39" t="s">
        <v>84</v>
      </c>
      <c r="AL34" s="39" t="s">
        <v>84</v>
      </c>
      <c r="AM34" t="str">
        <f>VLOOKUP($R34,武学奇术!$A:$ZZ,25,FALSE)</f>
        <v>双刀</v>
      </c>
      <c r="AN34" s="24">
        <f>VLOOKUP($R34,武学奇术!$A:$ZZ,26,FALSE)</f>
        <v>2.85516</v>
      </c>
      <c r="AO34" s="25">
        <f>VLOOKUP($R34,武学奇术!$A:$ZZ,27,FALSE)*(1+IF(OR($AM34=$F$4,$AM34=$F$5),$B$22,0))</f>
        <v>1263.36</v>
      </c>
      <c r="AP34" s="24">
        <f>VLOOKUP($R34,武学奇术!$A:$ZZ,28,FALSE)</f>
        <v>4.28274</v>
      </c>
      <c r="AQ34" s="25">
        <f>VLOOKUP($R34,武学奇术!$A:$ZZ,29,FALSE)*(1+IF(OR($AM34=$F$4,$AM34=$F$5),$B$22,0))</f>
        <v>687.68</v>
      </c>
      <c r="AR34" s="24" cm="1">
        <f t="array" ref="AR34">$G$3+IFERROR(VLOOKUP($AM34,$F$4:$G$7,2,FALSE),0)+VLOOKUP($R34,武学奇术!$A:$ZZ,2,FALSE)+SUM(_xlfn.XLOOKUP($S34:$AL34,增益!$A:$A,增益!$B:$B,0))</f>
        <v>0.3743</v>
      </c>
      <c r="AS34" s="24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4274.25</v>
      </c>
      <c r="AU34" cm="1">
        <f t="array" ref="AU34">$E$10*(1+$AS34)+VLOOKUP($R34,武学奇术!$A:$ZZ,4,FALSE)+SUM(_xlfn.XLOOKUP($S34:$AL34,增益!$A:$A,增益!$D:$D,0))-$I$2</f>
        <v>4274.25</v>
      </c>
      <c r="AV34" s="31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0.2184</v>
      </c>
      <c r="AW34" s="31" cm="1">
        <f t="array" ref="AW34">$G$10+VLOOKUP($R34,武学奇术!$A:$ZZ,7,FALSE)+SUM(_xlfn.XLOOKUP($S34:$AL34,增益!$A:$A,增益!$G:$G,0))</f>
        <v>0.11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1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1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1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1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1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1" cm="1">
        <f t="array" ref="BJ34">$G$13+VLOOKUP($R34,武学奇术!$A:$ZZ,14,FALSE)+SUM(_xlfn.XLOOKUP($S34:$AL34,增益!$A:$A,增益!$N:$N,0))</f>
        <v>0.02</v>
      </c>
      <c r="BK34">
        <f t="shared" si="7"/>
        <v>649.11</v>
      </c>
      <c r="BL34">
        <f t="shared" si="8"/>
        <v>1812.09</v>
      </c>
      <c r="BM34" s="31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1" cm="1">
        <f t="array" ref="BN34">$G$14+VLOOKUP($R34,武学奇术!$A:$ZZ,16,FALSE)+SUM(_xlfn.XLOOKUP($S34:$AL34,增益!$A:$A,增益!$P:$P,0))</f>
        <v>0.26</v>
      </c>
      <c r="BO34" s="24">
        <f>MIN(IF(VLOOKUP($R34,武学奇术!$A:$ZZ,23,FALSE)=1,100%,$B$8),100%)</f>
        <v>0.9943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0.8985</v>
      </c>
      <c r="BQ34" s="24" cm="1">
        <f t="array" ref="BQ34">1+$B$13+VLOOKUP($R34,武学奇术!$A:$ZZ,18,FALSE)+SUM(_xlfn.XLOOKUP($S34:$AL34,增益!$A:$A,增益!$R:$R,0))</f>
        <v>2.02</v>
      </c>
      <c r="BR34" s="24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0.89337855</v>
      </c>
      <c r="BU34" s="24">
        <f t="shared" si="10"/>
        <v>0.0153214500000001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0.11</v>
      </c>
      <c r="BX34" s="24">
        <f>VLOOKUP($R34,武学奇术!$A:$ZZ,32,FALSE)</f>
        <v>0.5</v>
      </c>
      <c r="BY34" s="24" cm="1">
        <f t="array" ref="BY34">SUM(_xlfn.XLOOKUP($S34:$AL34,增益!$A:$A,增益!$X:$X,0))</f>
        <v>0</v>
      </c>
    </row>
    <row r="35" spans="1:77">
      <c r="F35" s="4"/>
      <c r="G35" s="4"/>
      <c r="K35" s="37">
        <f>$L35*VLOOKUP($R35,武学奇术!$A:$ZZ,31,FALSE)</f>
        <v>283066.626019529</v>
      </c>
      <c r="L35" s="37">
        <f t="shared" si="11"/>
        <v>283066.626019529</v>
      </c>
      <c r="M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*(1+$BX35)</f>
        <v>292144.831071414</v>
      </c>
      <c r="N35" s="37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*(1+$BX35)</f>
        <v>217587.445088722</v>
      </c>
      <c r="O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*(1+$BX35)</f>
        <v>143913.709887396</v>
      </c>
      <c r="P35" s="37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*(1+$BX35)</f>
        <v>126651.534523887</v>
      </c>
      <c r="Q35" s="38">
        <v>1</v>
      </c>
      <c r="R35" s="39" t="s">
        <v>133</v>
      </c>
      <c r="S35" s="39" t="s">
        <v>104</v>
      </c>
      <c r="T35" s="39" t="s">
        <v>192</v>
      </c>
      <c r="U35" s="39" t="s">
        <v>81</v>
      </c>
      <c r="V35" s="39" t="s">
        <v>130</v>
      </c>
      <c r="W35" s="39" t="s">
        <v>83</v>
      </c>
      <c r="X35" s="39" t="s">
        <v>84</v>
      </c>
      <c r="Y35" s="39" t="s">
        <v>84</v>
      </c>
      <c r="Z35" s="39" t="s">
        <v>84</v>
      </c>
      <c r="AA35" s="39" t="s">
        <v>84</v>
      </c>
      <c r="AB35" s="39" t="s">
        <v>187</v>
      </c>
      <c r="AC35" s="39" t="s">
        <v>84</v>
      </c>
      <c r="AD35" s="39" t="s">
        <v>84</v>
      </c>
      <c r="AE35" s="39" t="s">
        <v>84</v>
      </c>
      <c r="AF35" s="39" t="s">
        <v>88</v>
      </c>
      <c r="AG35" s="39" t="s">
        <v>84</v>
      </c>
      <c r="AH35" s="39" t="s">
        <v>84</v>
      </c>
      <c r="AI35" s="39" t="s">
        <v>84</v>
      </c>
      <c r="AJ35" s="39" t="s">
        <v>84</v>
      </c>
      <c r="AK35" s="39" t="s">
        <v>84</v>
      </c>
      <c r="AL35" s="39" t="s">
        <v>84</v>
      </c>
      <c r="AM35" t="str">
        <f>VLOOKUP($R35,武学奇术!$A:$ZZ,25,FALSE)</f>
        <v>拳甲</v>
      </c>
      <c r="AN35" s="24">
        <f>VLOOKUP($R35,武学奇术!$A:$ZZ,26,FALSE)</f>
        <v>5.5691</v>
      </c>
      <c r="AO35" s="25">
        <f>VLOOKUP($R35,武学奇术!$A:$ZZ,27,FALSE)*(1+IF(OR($AM35=$F$4,$AM35=$F$5),$B$22,0))</f>
        <v>2470.4</v>
      </c>
      <c r="AP35" s="24">
        <f>VLOOKUP($R35,武学奇术!$A:$ZZ,28,FALSE)</f>
        <v>8.3537</v>
      </c>
      <c r="AQ35" s="25">
        <f>VLOOKUP($R35,武学奇术!$A:$ZZ,29,FALSE)*(1+IF(OR($AM35=$F$4,$AM35=$F$5),$B$22,0))</f>
        <v>1344</v>
      </c>
      <c r="AR35" s="24" cm="1">
        <f t="array" ref="AR35">$G$3+IFERROR(VLOOKUP($AM35,$F$4:$G$7,2,FALSE),0)+VLOOKUP($R35,武学奇术!$A:$ZZ,2,FALSE)+SUM(_xlfn.XLOOKUP($S35:$AL35,增益!$A:$A,增益!$B:$B,0))</f>
        <v>0.3743</v>
      </c>
      <c r="AS35" s="24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4274.25</v>
      </c>
      <c r="AU35" cm="1">
        <f t="array" ref="AU35">$E$10*(1+$AS35)+VLOOKUP($R35,武学奇术!$A:$ZZ,4,FALSE)+SUM(_xlfn.XLOOKUP($S35:$AL35,增益!$A:$A,增益!$D:$D,0))-$I$2</f>
        <v>4274.25</v>
      </c>
      <c r="AV35" s="31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0.2184</v>
      </c>
      <c r="AW35" s="31" cm="1">
        <f t="array" ref="AW35">$G$10+VLOOKUP($R35,武学奇术!$A:$ZZ,7,FALSE)+SUM(_xlfn.XLOOKUP($S35:$AL35,增益!$A:$A,增益!$G:$G,0))</f>
        <v>0.11</v>
      </c>
      <c r="AX35" s="24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1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1" cm="1">
        <f t="array" ref="BB35">$G$11+VLOOKUP($R35,武学奇术!$A:$ZZ,10,FALSE)+SUM(_xlfn.XLOOKUP($S35:$AL35,增益!$A:$A,增益!$J:$J,0))</f>
        <v>0.02</v>
      </c>
      <c r="BC35">
        <f t="shared" si="3"/>
        <v>0</v>
      </c>
      <c r="BD35">
        <f t="shared" si="4"/>
        <v>0</v>
      </c>
      <c r="BE35" s="31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1" cm="1">
        <f t="array" ref="BF35">$G$12+VLOOKUP($R35,武学奇术!$A:$ZZ,12,FALSE)+SUM(_xlfn.XLOOKUP($S35:$AL35,增益!$A:$A,增益!$L:$L,0))</f>
        <v>0.02</v>
      </c>
      <c r="BG35">
        <f t="shared" si="5"/>
        <v>0</v>
      </c>
      <c r="BH35">
        <f t="shared" si="6"/>
        <v>0</v>
      </c>
      <c r="BI35" s="31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1" cm="1">
        <f t="array" ref="BJ35">$G$13+VLOOKUP($R35,武学奇术!$A:$ZZ,14,FALSE)+SUM(_xlfn.XLOOKUP($S35:$AL35,增益!$A:$A,增益!$N:$N,0))</f>
        <v>0.02</v>
      </c>
      <c r="BK35">
        <f t="shared" si="7"/>
        <v>649.11</v>
      </c>
      <c r="BL35">
        <f t="shared" si="8"/>
        <v>1812.09</v>
      </c>
      <c r="BM35" s="31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1" cm="1">
        <f t="array" ref="BN35">$G$14+VLOOKUP($R35,武学奇术!$A:$ZZ,16,FALSE)+SUM(_xlfn.XLOOKUP($S35:$AL35,增益!$A:$A,增益!$P:$P,0))</f>
        <v>0.26</v>
      </c>
      <c r="BO35" s="24">
        <f>MIN(IF(VLOOKUP($R35,武学奇术!$A:$ZZ,23,FALSE)=1,100%,$B$8),100%)</f>
        <v>0.9943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0.8985</v>
      </c>
      <c r="BQ35" s="24" cm="1">
        <f t="array" ref="BQ35">1+$B$13+VLOOKUP($R35,武学奇术!$A:$ZZ,18,FALSE)+SUM(_xlfn.XLOOKUP($S35:$AL35,增益!$A:$A,增益!$R:$R,0))</f>
        <v>2.03</v>
      </c>
      <c r="BR35" s="24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4" cm="1">
        <f t="array" ref="BS35">1+$B$14+VLOOKUP($R35,武学奇术!$A:$ZZ,20,FALSE)+SUM(_xlfn.XLOOKUP($S35:$AL35,增益!$A:$A,增益!$T:$T,0))</f>
        <v>1.35</v>
      </c>
      <c r="BT35" s="24">
        <f t="shared" si="9"/>
        <v>0.89337855</v>
      </c>
      <c r="BU35" s="24">
        <f t="shared" si="10"/>
        <v>0.0153214500000001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0.11</v>
      </c>
      <c r="BX35" s="24">
        <f>VLOOKUP($R35,武学奇术!$A:$ZZ,32,FALSE)</f>
        <v>0.4</v>
      </c>
      <c r="BY35" s="24" cm="1">
        <f t="array" ref="BY35">SUM(_xlfn.XLOOKUP($S35:$AL35,增益!$A:$A,增益!$X:$X,0))</f>
        <v>0</v>
      </c>
    </row>
    <row r="36" spans="1:77">
      <c r="F36" s="4"/>
      <c r="G36" s="90"/>
      <c r="K36" s="37">
        <f>$L36*VLOOKUP($R36,武学奇术!$A:$ZZ,31,FALSE)</f>
        <v>284352.320234173</v>
      </c>
      <c r="L36" s="37">
        <f t="shared" si="11"/>
        <v>284352.320234173</v>
      </c>
      <c r="M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*(1+$BX36)</f>
        <v>293583.968170288</v>
      </c>
      <c r="N36" s="37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*(1+$BX36)</f>
        <v>217587.445088722</v>
      </c>
      <c r="O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*(1+$BX36)</f>
        <v>143913.709887396</v>
      </c>
      <c r="P36" s="37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*(1+$BX36)</f>
        <v>126651.534523887</v>
      </c>
      <c r="Q36" s="38">
        <v>1</v>
      </c>
      <c r="R36" s="39" t="s">
        <v>133</v>
      </c>
      <c r="S36" s="39" t="s">
        <v>104</v>
      </c>
      <c r="T36" s="39" t="s">
        <v>194</v>
      </c>
      <c r="U36" s="39" t="s">
        <v>81</v>
      </c>
      <c r="V36" s="39" t="s">
        <v>130</v>
      </c>
      <c r="W36" s="39" t="s">
        <v>83</v>
      </c>
      <c r="X36" s="39" t="s">
        <v>84</v>
      </c>
      <c r="Y36" s="39" t="s">
        <v>84</v>
      </c>
      <c r="Z36" s="39" t="s">
        <v>84</v>
      </c>
      <c r="AA36" s="39" t="s">
        <v>84</v>
      </c>
      <c r="AB36" s="39" t="s">
        <v>187</v>
      </c>
      <c r="AC36" s="39" t="s">
        <v>84</v>
      </c>
      <c r="AD36" s="39" t="s">
        <v>84</v>
      </c>
      <c r="AE36" s="39" t="s">
        <v>84</v>
      </c>
      <c r="AF36" s="39" t="s">
        <v>88</v>
      </c>
      <c r="AG36" s="39" t="s">
        <v>84</v>
      </c>
      <c r="AH36" s="39" t="s">
        <v>84</v>
      </c>
      <c r="AI36" s="39" t="s">
        <v>84</v>
      </c>
      <c r="AJ36" s="39" t="s">
        <v>84</v>
      </c>
      <c r="AK36" s="39" t="s">
        <v>84</v>
      </c>
      <c r="AL36" s="39" t="s">
        <v>84</v>
      </c>
      <c r="AM36" t="str">
        <f>VLOOKUP($R36,武学奇术!$A:$ZZ,25,FALSE)</f>
        <v>拳甲</v>
      </c>
      <c r="AN36" s="24">
        <f>VLOOKUP($R36,武学奇术!$A:$ZZ,26,FALSE)</f>
        <v>5.5691</v>
      </c>
      <c r="AO36" s="25">
        <f>VLOOKUP($R36,武学奇术!$A:$ZZ,27,FALSE)*(1+IF(OR($AM36=$F$4,$AM36=$F$5),$B$22,0))</f>
        <v>2470.4</v>
      </c>
      <c r="AP36" s="24">
        <f>VLOOKUP($R36,武学奇术!$A:$ZZ,28,FALSE)</f>
        <v>8.3537</v>
      </c>
      <c r="AQ36" s="25">
        <f>VLOOKUP($R36,武学奇术!$A:$ZZ,29,FALSE)*(1+IF(OR($AM36=$F$4,$AM36=$F$5),$B$22,0))</f>
        <v>1344</v>
      </c>
      <c r="AR36" s="24" cm="1">
        <f t="array" ref="AR36">$G$3+IFERROR(VLOOKUP($AM36,$F$4:$G$7,2,FALSE),0)+VLOOKUP($R36,武学奇术!$A:$ZZ,2,FALSE)+SUM(_xlfn.XLOOKUP($S36:$AL36,增益!$A:$A,增益!$B:$B,0))</f>
        <v>0.3743</v>
      </c>
      <c r="AS36" s="24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4274.25</v>
      </c>
      <c r="AU36" cm="1">
        <f t="array" ref="AU36">$E$10*(1+$AS36)+VLOOKUP($R36,武学奇术!$A:$ZZ,4,FALSE)+SUM(_xlfn.XLOOKUP($S36:$AL36,增益!$A:$A,增益!$D:$D,0))-$I$2</f>
        <v>4274.25</v>
      </c>
      <c r="AV36" s="31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0.2184</v>
      </c>
      <c r="AW36" s="31" cm="1">
        <f t="array" ref="AW36">$G$10+VLOOKUP($R36,武学奇术!$A:$ZZ,7,FALSE)+SUM(_xlfn.XLOOKUP($S36:$AL36,增益!$A:$A,增益!$G:$G,0))</f>
        <v>0.11</v>
      </c>
      <c r="AX36" s="24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1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1" cm="1">
        <f t="array" ref="BB36">$G$11+VLOOKUP($R36,武学奇术!$A:$ZZ,10,FALSE)+SUM(_xlfn.XLOOKUP($S36:$AL36,增益!$A:$A,增益!$J:$J,0))</f>
        <v>0.02</v>
      </c>
      <c r="BC36">
        <f t="shared" si="3"/>
        <v>0</v>
      </c>
      <c r="BD36">
        <f t="shared" si="4"/>
        <v>0</v>
      </c>
      <c r="BE36" s="31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1" cm="1">
        <f t="array" ref="BF36">$G$12+VLOOKUP($R36,武学奇术!$A:$ZZ,12,FALSE)+SUM(_xlfn.XLOOKUP($S36:$AL36,增益!$A:$A,增益!$L:$L,0))</f>
        <v>0.02</v>
      </c>
      <c r="BG36">
        <f t="shared" si="5"/>
        <v>0</v>
      </c>
      <c r="BH36">
        <f t="shared" si="6"/>
        <v>0</v>
      </c>
      <c r="BI36" s="31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1" cm="1">
        <f t="array" ref="BJ36">$G$13+VLOOKUP($R36,武学奇术!$A:$ZZ,14,FALSE)+SUM(_xlfn.XLOOKUP($S36:$AL36,增益!$A:$A,增益!$N:$N,0))</f>
        <v>0.02</v>
      </c>
      <c r="BK36">
        <f t="shared" si="7"/>
        <v>649.11</v>
      </c>
      <c r="BL36">
        <f t="shared" si="8"/>
        <v>1812.09</v>
      </c>
      <c r="BM36" s="31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1" cm="1">
        <f t="array" ref="BN36">$G$14+VLOOKUP($R36,武学奇术!$A:$ZZ,16,FALSE)+SUM(_xlfn.XLOOKUP($S36:$AL36,增益!$A:$A,增益!$P:$P,0))</f>
        <v>0.26</v>
      </c>
      <c r="BO36" s="24">
        <f>MIN(IF(VLOOKUP($R36,武学奇术!$A:$ZZ,23,FALSE)=1,100%,$B$8),100%)</f>
        <v>0.9943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0.8985</v>
      </c>
      <c r="BQ36" s="24" cm="1">
        <f t="array" ref="BQ36">1+$B$13+VLOOKUP($R36,武学奇术!$A:$ZZ,18,FALSE)+SUM(_xlfn.XLOOKUP($S36:$AL36,增益!$A:$A,增益!$R:$R,0))</f>
        <v>2.04</v>
      </c>
      <c r="BR36" s="24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4" cm="1">
        <f t="array" ref="BS36">1+$B$14+VLOOKUP($R36,武学奇术!$A:$ZZ,20,FALSE)+SUM(_xlfn.XLOOKUP($S36:$AL36,增益!$A:$A,增益!$T:$T,0))</f>
        <v>1.35</v>
      </c>
      <c r="BT36" s="24">
        <f t="shared" si="9"/>
        <v>0.89337855</v>
      </c>
      <c r="BU36" s="24">
        <f t="shared" si="10"/>
        <v>0.0153214500000001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0.11</v>
      </c>
      <c r="BX36" s="24">
        <f>VLOOKUP($R36,武学奇术!$A:$ZZ,32,FALSE)</f>
        <v>0.4</v>
      </c>
      <c r="BY36" s="24" cm="1">
        <f t="array" ref="BY36">SUM(_xlfn.XLOOKUP($S36:$AL36,增益!$A:$A,增益!$X:$X,0))</f>
        <v>0</v>
      </c>
    </row>
    <row r="37" spans="1:77">
      <c r="A37" s="4"/>
      <c r="B37" s="90"/>
      <c r="K37" s="37">
        <f>$L37*VLOOKUP($R37,武学奇术!$A:$ZZ,31,FALSE)</f>
        <v>53614.6934896228</v>
      </c>
      <c r="L37" s="37">
        <f t="shared" si="11"/>
        <v>53614.6934896228</v>
      </c>
      <c r="M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*(1+$BX37)</f>
        <v>55355.2705254226</v>
      </c>
      <c r="N37" s="37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*(1+$BX37)</f>
        <v>41026.6768831737</v>
      </c>
      <c r="O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*(1+$BX37)</f>
        <v>27134.9365320699</v>
      </c>
      <c r="P37" s="37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*(1+$BX37)</f>
        <v>23879.7420395667</v>
      </c>
      <c r="Q37" s="38">
        <v>1</v>
      </c>
      <c r="R37" s="39" t="s">
        <v>136</v>
      </c>
      <c r="S37" s="39" t="s">
        <v>104</v>
      </c>
      <c r="T37" s="39" t="s">
        <v>194</v>
      </c>
      <c r="U37" s="39" t="s">
        <v>81</v>
      </c>
      <c r="V37" s="39" t="s">
        <v>130</v>
      </c>
      <c r="W37" s="39" t="s">
        <v>83</v>
      </c>
      <c r="X37" s="39" t="s">
        <v>84</v>
      </c>
      <c r="Y37" s="39" t="s">
        <v>84</v>
      </c>
      <c r="Z37" s="39" t="s">
        <v>195</v>
      </c>
      <c r="AA37" s="39" t="s">
        <v>84</v>
      </c>
      <c r="AB37" s="39" t="s">
        <v>197</v>
      </c>
      <c r="AC37" s="39" t="s">
        <v>84</v>
      </c>
      <c r="AD37" s="39" t="s">
        <v>84</v>
      </c>
      <c r="AE37" s="39" t="s">
        <v>84</v>
      </c>
      <c r="AF37" s="39" t="s">
        <v>88</v>
      </c>
      <c r="AG37" s="39" t="s">
        <v>84</v>
      </c>
      <c r="AH37" s="39" t="s">
        <v>84</v>
      </c>
      <c r="AI37" s="39" t="s">
        <v>84</v>
      </c>
      <c r="AJ37" s="39" t="s">
        <v>84</v>
      </c>
      <c r="AK37" s="39" t="s">
        <v>84</v>
      </c>
      <c r="AL37" s="39" t="s">
        <v>84</v>
      </c>
      <c r="AM37" t="str">
        <f>VLOOKUP($R37,武学奇术!$A:$ZZ,25,FALSE)</f>
        <v>拳甲</v>
      </c>
      <c r="AN37" s="24">
        <f>VLOOKUP($R37,武学奇术!$A:$ZZ,26,FALSE)</f>
        <v>0.9634</v>
      </c>
      <c r="AO37" s="25">
        <f>VLOOKUP($R37,武学奇术!$A:$ZZ,27,FALSE)*(1+IF(OR($AM37=$F$4,$AM37=$F$5),$B$22,0))</f>
        <v>427.2</v>
      </c>
      <c r="AP37" s="24">
        <f>VLOOKUP($R37,武学奇术!$A:$ZZ,28,FALSE)</f>
        <v>1.4451</v>
      </c>
      <c r="AQ37" s="25">
        <f>VLOOKUP($R37,武学奇术!$A:$ZZ,29,FALSE)*(1+IF(OR($AM37=$F$4,$AM37=$F$5),$B$22,0))</f>
        <v>232</v>
      </c>
      <c r="AR37" s="24" cm="1">
        <f t="array" ref="AR37">$G$3+IFERROR(VLOOKUP($AM37,$F$4:$G$7,2,FALSE),0)+VLOOKUP($R37,武学奇术!$A:$ZZ,2,FALSE)+SUM(_xlfn.XLOOKUP($S37:$AL37,增益!$A:$A,增益!$B:$B,0))</f>
        <v>0.3743</v>
      </c>
      <c r="AS37" s="24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4274.25</v>
      </c>
      <c r="AU37" cm="1">
        <f t="array" ref="AU37">$E$10*(1+$AS37)+VLOOKUP($R37,武学奇术!$A:$ZZ,4,FALSE)+SUM(_xlfn.XLOOKUP($S37:$AL37,增益!$A:$A,增益!$D:$D,0))-$I$2</f>
        <v>4274.25</v>
      </c>
      <c r="AV37" s="31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0.2184</v>
      </c>
      <c r="AW37" s="31" cm="1">
        <f t="array" ref="AW37">$G$10+VLOOKUP($R37,武学奇术!$A:$ZZ,7,FALSE)+SUM(_xlfn.XLOOKUP($S37:$AL37,增益!$A:$A,增益!$G:$G,0))</f>
        <v>0.11</v>
      </c>
      <c r="AX37" s="24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1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1" cm="1">
        <f t="array" ref="BB37">$G$11+VLOOKUP($R37,武学奇术!$A:$ZZ,10,FALSE)+SUM(_xlfn.XLOOKUP($S37:$AL37,增益!$A:$A,增益!$J:$J,0))</f>
        <v>0.02</v>
      </c>
      <c r="BC37">
        <f t="shared" si="3"/>
        <v>0</v>
      </c>
      <c r="BD37">
        <f t="shared" si="4"/>
        <v>0</v>
      </c>
      <c r="BE37" s="31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1" cm="1">
        <f t="array" ref="BF37">$G$12+VLOOKUP($R37,武学奇术!$A:$ZZ,12,FALSE)+SUM(_xlfn.XLOOKUP($S37:$AL37,增益!$A:$A,增益!$L:$L,0))</f>
        <v>0.02</v>
      </c>
      <c r="BG37">
        <f t="shared" si="5"/>
        <v>0</v>
      </c>
      <c r="BH37">
        <f t="shared" si="6"/>
        <v>0</v>
      </c>
      <c r="BI37" s="31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1" cm="1">
        <f t="array" ref="BJ37">$G$13+VLOOKUP($R37,武学奇术!$A:$ZZ,14,FALSE)+SUM(_xlfn.XLOOKUP($S37:$AL37,增益!$A:$A,增益!$N:$N,0))</f>
        <v>0.02</v>
      </c>
      <c r="BK37">
        <f t="shared" si="7"/>
        <v>649.11</v>
      </c>
      <c r="BL37">
        <f t="shared" si="8"/>
        <v>1812.09</v>
      </c>
      <c r="BM37" s="31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1" cm="1">
        <f t="array" ref="BN37">$G$14+VLOOKUP($R37,武学奇术!$A:$ZZ,16,FALSE)+SUM(_xlfn.XLOOKUP($S37:$AL37,增益!$A:$A,增益!$P:$P,0))</f>
        <v>0.26</v>
      </c>
      <c r="BO37" s="24">
        <f>MIN(IF(VLOOKUP($R37,武学奇术!$A:$ZZ,23,FALSE)=1,100%,$B$8),100%)</f>
        <v>0.9943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0.8985</v>
      </c>
      <c r="BQ37" s="24" cm="1">
        <f t="array" ref="BQ37">1+$B$13+VLOOKUP($R37,武学奇术!$A:$ZZ,18,FALSE)+SUM(_xlfn.XLOOKUP($S37:$AL37,增益!$A:$A,增益!$R:$R,0))</f>
        <v>2.04</v>
      </c>
      <c r="BR37" s="24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4" cm="1">
        <f t="array" ref="BS37">1+$B$14+VLOOKUP($R37,武学奇术!$A:$ZZ,20,FALSE)+SUM(_xlfn.XLOOKUP($S37:$AL37,增益!$A:$A,增益!$T:$T,0))</f>
        <v>1.35</v>
      </c>
      <c r="BT37" s="24">
        <f t="shared" si="9"/>
        <v>0.89337855</v>
      </c>
      <c r="BU37" s="24">
        <f t="shared" si="10"/>
        <v>0.0153214500000001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0.21</v>
      </c>
      <c r="BX37" s="24">
        <f>VLOOKUP($R37,武学奇术!$A:$ZZ,32,FALSE)</f>
        <v>0.4</v>
      </c>
      <c r="BY37" s="24" cm="1">
        <f t="array" ref="BY37">SUM(_xlfn.XLOOKUP($S37:$AL37,增益!$A:$A,增益!$X:$X,0))</f>
        <v>0</v>
      </c>
    </row>
    <row r="38" spans="1:77">
      <c r="A38" s="4"/>
      <c r="B38" s="4"/>
      <c r="F38" s="4"/>
      <c r="G38" s="90"/>
      <c r="K38" s="37">
        <f>$L38*VLOOKUP($R38,武学奇术!$A:$ZZ,31,FALSE)</f>
        <v>53462.6167993362</v>
      </c>
      <c r="L38" s="37">
        <f t="shared" si="11"/>
        <v>53462.6167993362</v>
      </c>
      <c r="M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*(1+$BX38)</f>
        <v>55306.7726589357</v>
      </c>
      <c r="N38" s="37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*(1+$BX38)</f>
        <v>39948.3842609849</v>
      </c>
      <c r="O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*(1+$BX38)</f>
        <v>26462.5706502085</v>
      </c>
      <c r="P38" s="37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*(1+$BX38)</f>
        <v>23333.7455515393</v>
      </c>
      <c r="Q38" s="38">
        <v>1</v>
      </c>
      <c r="R38" s="39" t="s">
        <v>142</v>
      </c>
      <c r="S38" s="39" t="s">
        <v>104</v>
      </c>
      <c r="T38" s="39" t="s">
        <v>194</v>
      </c>
      <c r="U38" s="39" t="s">
        <v>81</v>
      </c>
      <c r="V38" s="39" t="s">
        <v>130</v>
      </c>
      <c r="W38" s="39" t="s">
        <v>83</v>
      </c>
      <c r="X38" s="39" t="s">
        <v>84</v>
      </c>
      <c r="Y38" s="39" t="s">
        <v>84</v>
      </c>
      <c r="Z38" s="39" t="s">
        <v>195</v>
      </c>
      <c r="AA38" s="39" t="s">
        <v>84</v>
      </c>
      <c r="AB38" s="39" t="s">
        <v>197</v>
      </c>
      <c r="AC38" s="39" t="s">
        <v>84</v>
      </c>
      <c r="AD38" s="39" t="s">
        <v>198</v>
      </c>
      <c r="AE38" s="39" t="s">
        <v>84</v>
      </c>
      <c r="AF38" s="39" t="s">
        <v>88</v>
      </c>
      <c r="AG38" s="39" t="s">
        <v>84</v>
      </c>
      <c r="AH38" s="39" t="s">
        <v>84</v>
      </c>
      <c r="AI38" s="39" t="s">
        <v>84</v>
      </c>
      <c r="AJ38" s="39" t="s">
        <v>84</v>
      </c>
      <c r="AK38" s="39" t="s">
        <v>84</v>
      </c>
      <c r="AL38" s="39" t="s">
        <v>84</v>
      </c>
      <c r="AM38" t="str">
        <f>VLOOKUP($R38,武学奇术!$A:$ZZ,25,FALSE)</f>
        <v>拳甲</v>
      </c>
      <c r="AN38" s="24">
        <f>VLOOKUP($R38,武学奇术!$A:$ZZ,26,FALSE)</f>
        <v>0.926</v>
      </c>
      <c r="AO38" s="25">
        <f>VLOOKUP($R38,武学奇术!$A:$ZZ,27,FALSE)*(1+IF(OR($AM38=$F$4,$AM38=$F$5),$B$22,0))</f>
        <v>411.2</v>
      </c>
      <c r="AP38" s="24">
        <f>VLOOKUP($R38,武学奇术!$A:$ZZ,28,FALSE)</f>
        <v>1.389</v>
      </c>
      <c r="AQ38" s="25">
        <f>VLOOKUP($R38,武学奇术!$A:$ZZ,29,FALSE)*(1+IF(OR($AM38=$F$4,$AM38=$F$5),$B$22,0))</f>
        <v>224</v>
      </c>
      <c r="AR38" s="24" cm="1">
        <f t="array" ref="AR38">$G$3+IFERROR(VLOOKUP($AM38,$F$4:$G$7,2,FALSE),0)+VLOOKUP($R38,武学奇术!$A:$ZZ,2,FALSE)+SUM(_xlfn.XLOOKUP($S38:$AL38,增益!$A:$A,增益!$B:$B,0))</f>
        <v>0.3743</v>
      </c>
      <c r="AS38" s="24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4274.25</v>
      </c>
      <c r="AU38" cm="1">
        <f t="array" ref="AU38">$E$10*(1+$AS38)+VLOOKUP($R38,武学奇术!$A:$ZZ,4,FALSE)+SUM(_xlfn.XLOOKUP($S38:$AL38,增益!$A:$A,增益!$D:$D,0))-$I$2</f>
        <v>4274.25</v>
      </c>
      <c r="AV38" s="31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0.2434</v>
      </c>
      <c r="AW38" s="31" cm="1">
        <f t="array" ref="AW38">$G$10+VLOOKUP($R38,武学奇术!$A:$ZZ,7,FALSE)+SUM(_xlfn.XLOOKUP($S38:$AL38,增益!$A:$A,增益!$G:$G,0))</f>
        <v>0.11</v>
      </c>
      <c r="AX38" s="24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1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1" cm="1">
        <f t="array" ref="BB38">$G$11+VLOOKUP($R38,武学奇术!$A:$ZZ,10,FALSE)+SUM(_xlfn.XLOOKUP($S38:$AL38,增益!$A:$A,增益!$J:$J,0))</f>
        <v>0.02</v>
      </c>
      <c r="BC38">
        <f t="shared" si="3"/>
        <v>0</v>
      </c>
      <c r="BD38">
        <f t="shared" si="4"/>
        <v>0</v>
      </c>
      <c r="BE38" s="31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1" cm="1">
        <f t="array" ref="BF38">$G$12+VLOOKUP($R38,武学奇术!$A:$ZZ,12,FALSE)+SUM(_xlfn.XLOOKUP($S38:$AL38,增益!$A:$A,增益!$L:$L,0))</f>
        <v>0.02</v>
      </c>
      <c r="BG38">
        <f t="shared" si="5"/>
        <v>0</v>
      </c>
      <c r="BH38">
        <f t="shared" si="6"/>
        <v>0</v>
      </c>
      <c r="BI38" s="31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1" cm="1">
        <f t="array" ref="BJ38">$G$13+VLOOKUP($R38,武学奇术!$A:$ZZ,14,FALSE)+SUM(_xlfn.XLOOKUP($S38:$AL38,增益!$A:$A,增益!$N:$N,0))</f>
        <v>0.02</v>
      </c>
      <c r="BK38">
        <f t="shared" si="7"/>
        <v>649.11</v>
      </c>
      <c r="BL38">
        <f t="shared" si="8"/>
        <v>1812.09</v>
      </c>
      <c r="BM38" s="31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1" cm="1">
        <f t="array" ref="BN38">$G$14+VLOOKUP($R38,武学奇术!$A:$ZZ,16,FALSE)+SUM(_xlfn.XLOOKUP($S38:$AL38,增益!$A:$A,增益!$P:$P,0))</f>
        <v>0.26</v>
      </c>
      <c r="BO38" s="24">
        <f>MIN(IF(VLOOKUP($R38,武学奇术!$A:$ZZ,23,FALSE)=1,100%,$B$8),100%)</f>
        <v>0.9943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0.8985</v>
      </c>
      <c r="BQ38" s="24" cm="1">
        <f t="array" ref="BQ38">1+$B$13+VLOOKUP($R38,武学奇术!$A:$ZZ,18,FALSE)+SUM(_xlfn.XLOOKUP($S38:$AL38,增益!$A:$A,增益!$R:$R,0))</f>
        <v>2.09</v>
      </c>
      <c r="BR38" s="24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4" cm="1">
        <f t="array" ref="BS38">1+$B$14+VLOOKUP($R38,武学奇术!$A:$ZZ,20,FALSE)+SUM(_xlfn.XLOOKUP($S38:$AL38,增益!$A:$A,增益!$T:$T,0))</f>
        <v>1.35</v>
      </c>
      <c r="BT38" s="24">
        <f t="shared" si="9"/>
        <v>0.89337855</v>
      </c>
      <c r="BU38" s="24">
        <f t="shared" si="10"/>
        <v>0.0153214500000001</v>
      </c>
      <c r="BV38" s="24">
        <f>IF(VLOOKUP($R38,武学奇术!$A:$ZZ,22,FALSE)=1,0,(1-$BO38))*(1-$BR38)</f>
        <v>0</v>
      </c>
      <c r="BW38" s="24" cm="1">
        <f t="array" ref="BW38">SUM(_xlfn.XLOOKUP($S38:$AL38,增益!$A:$A,增益!$W:$W,0))+$I$5</f>
        <v>0.21</v>
      </c>
      <c r="BX38" s="24">
        <f>VLOOKUP($R38,武学奇术!$A:$ZZ,32,FALSE)</f>
        <v>0.4</v>
      </c>
      <c r="BY38" s="24" cm="1">
        <f t="array" ref="BY38">SUM(_xlfn.XLOOKUP($S38:$AL38,增益!$A:$A,增益!$X:$X,0))</f>
        <v>0</v>
      </c>
    </row>
    <row r="39" spans="1:77">
      <c r="A39" s="4"/>
      <c r="B39" s="90"/>
      <c r="F39" s="4"/>
      <c r="G39" s="90"/>
      <c r="K39" s="37">
        <f>$L39*VLOOKUP($R39,武学奇术!$A:$ZZ,31,FALSE)</f>
        <v>67580.2738010869</v>
      </c>
      <c r="L39" s="37">
        <f t="shared" si="11"/>
        <v>67580.2738010869</v>
      </c>
      <c r="M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*(1+$BX39)</f>
        <v>70042.1471149736</v>
      </c>
      <c r="N39" s="37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*(1+$BX39)</f>
        <v>49339.006492425</v>
      </c>
      <c r="O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*(1+$BX39)</f>
        <v>32729.9752873709</v>
      </c>
      <c r="P39" s="37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*(1+$BX39)</f>
        <v>28912.5383581306</v>
      </c>
      <c r="Q39" s="38">
        <v>1</v>
      </c>
      <c r="R39" s="39" t="s">
        <v>146</v>
      </c>
      <c r="S39" s="39" t="s">
        <v>104</v>
      </c>
      <c r="T39" s="39" t="s">
        <v>194</v>
      </c>
      <c r="U39" s="39" t="s">
        <v>81</v>
      </c>
      <c r="V39" s="39" t="s">
        <v>130</v>
      </c>
      <c r="W39" s="39" t="s">
        <v>83</v>
      </c>
      <c r="X39" s="39" t="s">
        <v>84</v>
      </c>
      <c r="Y39" s="39" t="s">
        <v>84</v>
      </c>
      <c r="Z39" s="39" t="s">
        <v>195</v>
      </c>
      <c r="AA39" s="39" t="s">
        <v>84</v>
      </c>
      <c r="AB39" s="39" t="s">
        <v>197</v>
      </c>
      <c r="AC39" s="39" t="s">
        <v>84</v>
      </c>
      <c r="AD39" s="39" t="s">
        <v>199</v>
      </c>
      <c r="AE39" s="39" t="s">
        <v>84</v>
      </c>
      <c r="AF39" s="39" t="s">
        <v>88</v>
      </c>
      <c r="AG39" s="39" t="s">
        <v>84</v>
      </c>
      <c r="AH39" s="39" t="s">
        <v>84</v>
      </c>
      <c r="AI39" s="39" t="s">
        <v>84</v>
      </c>
      <c r="AJ39" s="39" t="s">
        <v>84</v>
      </c>
      <c r="AK39" s="39" t="s">
        <v>84</v>
      </c>
      <c r="AL39" s="39" t="s">
        <v>84</v>
      </c>
      <c r="AM39" t="str">
        <f>VLOOKUP($R39,武学奇术!$A:$ZZ,25,FALSE)</f>
        <v>拳甲</v>
      </c>
      <c r="AN39" s="24">
        <f>VLOOKUP($R39,武学奇术!$A:$ZZ,26,FALSE)</f>
        <v>1.1298</v>
      </c>
      <c r="AO39" s="25">
        <f>VLOOKUP($R39,武学奇术!$A:$ZZ,27,FALSE)*(1+IF(OR($AM39=$F$4,$AM39=$F$5),$B$22,0))</f>
        <v>500.8</v>
      </c>
      <c r="AP39" s="24">
        <f>VLOOKUP($R39,武学奇术!$A:$ZZ,28,FALSE)</f>
        <v>1.6947</v>
      </c>
      <c r="AQ39" s="25">
        <f>VLOOKUP($R39,武学奇术!$A:$ZZ,29,FALSE)*(1+IF(OR($AM39=$F$4,$AM39=$F$5),$B$22,0))</f>
        <v>272</v>
      </c>
      <c r="AR39" s="24" cm="1">
        <f t="array" ref="AR39">$G$3+IFERROR(VLOOKUP($AM39,$F$4:$G$7,2,FALSE),0)+VLOOKUP($R39,武学奇术!$A:$ZZ,2,FALSE)+SUM(_xlfn.XLOOKUP($S39:$AL39,增益!$A:$A,增益!$B:$B,0))</f>
        <v>0.3743</v>
      </c>
      <c r="AS39" s="24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4274.25</v>
      </c>
      <c r="AU39" cm="1">
        <f t="array" ref="AU39">$E$10*(1+$AS39)+VLOOKUP($R39,武学奇术!$A:$ZZ,4,FALSE)+SUM(_xlfn.XLOOKUP($S39:$AL39,增益!$A:$A,增益!$D:$D,0))-$I$2</f>
        <v>4274.25</v>
      </c>
      <c r="AV39" s="31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0.2684</v>
      </c>
      <c r="AW39" s="31" cm="1">
        <f t="array" ref="AW39">$G$10+VLOOKUP($R39,武学奇术!$A:$ZZ,7,FALSE)+SUM(_xlfn.XLOOKUP($S39:$AL39,增益!$A:$A,增益!$G:$G,0))</f>
        <v>0.11</v>
      </c>
      <c r="AX39" s="24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1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1" cm="1">
        <f t="array" ref="BB39">$G$11+VLOOKUP($R39,武学奇术!$A:$ZZ,10,FALSE)+SUM(_xlfn.XLOOKUP($S39:$AL39,增益!$A:$A,增益!$J:$J,0))</f>
        <v>0.02</v>
      </c>
      <c r="BC39">
        <f t="shared" si="3"/>
        <v>0</v>
      </c>
      <c r="BD39">
        <f t="shared" si="4"/>
        <v>0</v>
      </c>
      <c r="BE39" s="31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1" cm="1">
        <f t="array" ref="BF39">$G$12+VLOOKUP($R39,武学奇术!$A:$ZZ,12,FALSE)+SUM(_xlfn.XLOOKUP($S39:$AL39,增益!$A:$A,增益!$L:$L,0))</f>
        <v>0.02</v>
      </c>
      <c r="BG39">
        <f t="shared" si="5"/>
        <v>0</v>
      </c>
      <c r="BH39">
        <f t="shared" si="6"/>
        <v>0</v>
      </c>
      <c r="BI39" s="31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-0.3</v>
      </c>
      <c r="BJ39" s="31" cm="1">
        <f t="array" ref="BJ39">$G$13+VLOOKUP($R39,武学奇术!$A:$ZZ,14,FALSE)+SUM(_xlfn.XLOOKUP($S39:$AL39,增益!$A:$A,增益!$N:$N,0))</f>
        <v>0.02</v>
      </c>
      <c r="BK39">
        <f t="shared" si="7"/>
        <v>649.11</v>
      </c>
      <c r="BL39">
        <f t="shared" si="8"/>
        <v>1812.09</v>
      </c>
      <c r="BM39" s="31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</v>
      </c>
      <c r="BN39" s="31" cm="1">
        <f t="array" ref="BN39">$G$14+VLOOKUP($R39,武学奇术!$A:$ZZ,16,FALSE)+SUM(_xlfn.XLOOKUP($S39:$AL39,增益!$A:$A,增益!$P:$P,0))</f>
        <v>0.26</v>
      </c>
      <c r="BO39" s="24">
        <f>MIN(IF(VLOOKUP($R39,武学奇术!$A:$ZZ,23,FALSE)=1,100%,$B$8),100%)</f>
        <v>0.9943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0.8985</v>
      </c>
      <c r="BQ39" s="24" cm="1">
        <f t="array" ref="BQ39">1+$B$13+VLOOKUP($R39,武学奇术!$A:$ZZ,18,FALSE)+SUM(_xlfn.XLOOKUP($S39:$AL39,增益!$A:$A,增益!$R:$R,0))</f>
        <v>2.14</v>
      </c>
      <c r="BR39" s="24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4" cm="1">
        <f t="array" ref="BS39">1+$B$14+VLOOKUP($R39,武学奇术!$A:$ZZ,20,FALSE)+SUM(_xlfn.XLOOKUP($S39:$AL39,增益!$A:$A,增益!$T:$T,0))</f>
        <v>1.35</v>
      </c>
      <c r="BT39" s="24">
        <f t="shared" si="9"/>
        <v>0.89337855</v>
      </c>
      <c r="BU39" s="24">
        <f t="shared" si="10"/>
        <v>0.0153214500000001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0.21</v>
      </c>
      <c r="BX39" s="24">
        <f>VLOOKUP($R39,武学奇术!$A:$ZZ,32,FALSE)</f>
        <v>0.4</v>
      </c>
      <c r="BY39" s="24" cm="1">
        <f t="array" ref="BY39">SUM(_xlfn.XLOOKUP($S39:$AL39,增益!$A:$A,增益!$X:$X,0))</f>
        <v>0</v>
      </c>
    </row>
    <row r="40" spans="1:77">
      <c r="F40" s="4"/>
      <c r="G40" s="4"/>
      <c r="K40" s="37">
        <f>$L40*VLOOKUP($R40,武学奇术!$A:$ZZ,31,FALSE)</f>
        <v>163552.118754762</v>
      </c>
      <c r="L40" s="37">
        <f t="shared" si="11"/>
        <v>163552.118754762</v>
      </c>
      <c r="M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*(1+$BX40)</f>
        <v>170103.485184844</v>
      </c>
      <c r="N40" s="37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*(1+$BX40)</f>
        <v>114149.14964483</v>
      </c>
      <c r="O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*(1+$BX40)</f>
        <v>75939.0558860913</v>
      </c>
      <c r="P40" s="37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*(1+$BX40)</f>
        <v>67323.1861093454</v>
      </c>
      <c r="Q40" s="38">
        <v>1</v>
      </c>
      <c r="R40" s="39" t="s">
        <v>151</v>
      </c>
      <c r="S40" s="39" t="s">
        <v>104</v>
      </c>
      <c r="T40" s="39" t="s">
        <v>194</v>
      </c>
      <c r="U40" s="39" t="s">
        <v>81</v>
      </c>
      <c r="V40" s="39" t="s">
        <v>130</v>
      </c>
      <c r="W40" s="39" t="s">
        <v>83</v>
      </c>
      <c r="X40" s="39" t="s">
        <v>84</v>
      </c>
      <c r="Y40" s="39" t="s">
        <v>84</v>
      </c>
      <c r="Z40" s="39" t="s">
        <v>195</v>
      </c>
      <c r="AA40" s="39" t="s">
        <v>84</v>
      </c>
      <c r="AB40" s="39" t="s">
        <v>197</v>
      </c>
      <c r="AC40" s="39" t="s">
        <v>84</v>
      </c>
      <c r="AD40" s="39" t="s">
        <v>201</v>
      </c>
      <c r="AE40" s="39" t="s">
        <v>84</v>
      </c>
      <c r="AF40" s="39" t="s">
        <v>88</v>
      </c>
      <c r="AG40" s="39" t="s">
        <v>84</v>
      </c>
      <c r="AH40" s="39" t="s">
        <v>84</v>
      </c>
      <c r="AI40" s="39" t="s">
        <v>84</v>
      </c>
      <c r="AJ40" s="39" t="s">
        <v>84</v>
      </c>
      <c r="AK40" s="39" t="s">
        <v>84</v>
      </c>
      <c r="AL40" s="39" t="s">
        <v>84</v>
      </c>
      <c r="AM40" t="str">
        <f>VLOOKUP($R40,武学奇术!$A:$ZZ,25,FALSE)</f>
        <v>拳甲</v>
      </c>
      <c r="AN40" s="24">
        <f>VLOOKUP($R40,武学奇术!$A:$ZZ,26,FALSE)</f>
        <v>2.5499</v>
      </c>
      <c r="AO40" s="25">
        <f>VLOOKUP($R40,武学奇术!$A:$ZZ,27,FALSE)*(1+IF(OR($AM40=$F$4,$AM40=$F$5),$B$22,0))</f>
        <v>1131.2</v>
      </c>
      <c r="AP40" s="24">
        <f>VLOOKUP($R40,武学奇术!$A:$ZZ,28,FALSE)</f>
        <v>3.8249</v>
      </c>
      <c r="AQ40" s="25">
        <f>VLOOKUP($R40,武学奇术!$A:$ZZ,29,FALSE)*(1+IF(OR($AM40=$F$4,$AM40=$F$5),$B$22,0))</f>
        <v>616</v>
      </c>
      <c r="AR40" s="24" cm="1">
        <f t="array" ref="AR40">$G$3+IFERROR(VLOOKUP($AM40,$F$4:$G$7,2,FALSE),0)+VLOOKUP($R40,武学奇术!$A:$ZZ,2,FALSE)+SUM(_xlfn.XLOOKUP($S40:$AL40,增益!$A:$A,增益!$B:$B,0))</f>
        <v>0.3743</v>
      </c>
      <c r="AS40" s="24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4274.25</v>
      </c>
      <c r="AU40" cm="1">
        <f t="array" ref="AU40">$E$10*(1+$AS40)+VLOOKUP($R40,武学奇术!$A:$ZZ,4,FALSE)+SUM(_xlfn.XLOOKUP($S40:$AL40,增益!$A:$A,增益!$D:$D,0))-$I$2</f>
        <v>4274.25</v>
      </c>
      <c r="AV40" s="31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0.3184</v>
      </c>
      <c r="AW40" s="31" cm="1">
        <f t="array" ref="AW40">$G$10+VLOOKUP($R40,武学奇术!$A:$ZZ,7,FALSE)+SUM(_xlfn.XLOOKUP($S40:$AL40,增益!$A:$A,增益!$G:$G,0))</f>
        <v>0.11</v>
      </c>
      <c r="AX40" s="24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1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1" cm="1">
        <f t="array" ref="BB40">$G$11+VLOOKUP($R40,武学奇术!$A:$ZZ,10,FALSE)+SUM(_xlfn.XLOOKUP($S40:$AL40,增益!$A:$A,增益!$J:$J,0))</f>
        <v>0.02</v>
      </c>
      <c r="BC40">
        <f t="shared" si="3"/>
        <v>0</v>
      </c>
      <c r="BD40">
        <f t="shared" si="4"/>
        <v>0</v>
      </c>
      <c r="BE40" s="31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1" cm="1">
        <f t="array" ref="BF40">$G$12+VLOOKUP($R40,武学奇术!$A:$ZZ,12,FALSE)+SUM(_xlfn.XLOOKUP($S40:$AL40,增益!$A:$A,增益!$L:$L,0))</f>
        <v>0.02</v>
      </c>
      <c r="BG40">
        <f t="shared" si="5"/>
        <v>0</v>
      </c>
      <c r="BH40">
        <f t="shared" si="6"/>
        <v>0</v>
      </c>
      <c r="BI40" s="31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1" cm="1">
        <f t="array" ref="BJ40">$G$13+VLOOKUP($R40,武学奇术!$A:$ZZ,14,FALSE)+SUM(_xlfn.XLOOKUP($S40:$AL40,增益!$A:$A,增益!$N:$N,0))</f>
        <v>0.02</v>
      </c>
      <c r="BK40">
        <f t="shared" si="7"/>
        <v>649.11</v>
      </c>
      <c r="BL40">
        <f t="shared" si="8"/>
        <v>1812.09</v>
      </c>
      <c r="BM40" s="31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1" cm="1">
        <f t="array" ref="BN40">$G$14+VLOOKUP($R40,武学奇术!$A:$ZZ,16,FALSE)+SUM(_xlfn.XLOOKUP($S40:$AL40,增益!$A:$A,增益!$P:$P,0))</f>
        <v>0.26</v>
      </c>
      <c r="BO40" s="24">
        <f>MIN(IF(VLOOKUP($R40,武学奇术!$A:$ZZ,23,FALSE)=1,100%,$B$8),100%)</f>
        <v>0.9943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0.8985</v>
      </c>
      <c r="BQ40" s="24" cm="1">
        <f t="array" ref="BQ40">1+$B$13+VLOOKUP($R40,武学奇术!$A:$ZZ,18,FALSE)+SUM(_xlfn.XLOOKUP($S40:$AL40,增益!$A:$A,增益!$R:$R,0))</f>
        <v>2.24</v>
      </c>
      <c r="BR40" s="24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4" cm="1">
        <f t="array" ref="BS40">1+$B$14+VLOOKUP($R40,武学奇术!$A:$ZZ,20,FALSE)+SUM(_xlfn.XLOOKUP($S40:$AL40,增益!$A:$A,增益!$T:$T,0))</f>
        <v>1.35</v>
      </c>
      <c r="BT40" s="24">
        <f t="shared" si="9"/>
        <v>0.89337855</v>
      </c>
      <c r="BU40" s="24">
        <f t="shared" si="10"/>
        <v>0.0153214500000001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0.21</v>
      </c>
      <c r="BX40" s="24">
        <f>VLOOKUP($R40,武学奇术!$A:$ZZ,32,FALSE)</f>
        <v>0.4</v>
      </c>
      <c r="BY40" s="24" cm="1">
        <f t="array" ref="BY40">SUM(_xlfn.XLOOKUP($S40:$AL40,增益!$A:$A,增益!$X:$X,0))</f>
        <v>0</v>
      </c>
    </row>
    <row r="41" spans="1:77">
      <c r="A41" s="4"/>
      <c r="B41" s="90"/>
      <c r="F41" s="4"/>
      <c r="G41" s="4"/>
      <c r="K41" s="37">
        <f>$L41*VLOOKUP($R41,武学奇术!$A:$ZZ,31,FALSE)</f>
        <v>34346.4996057711</v>
      </c>
      <c r="L41" s="37">
        <f t="shared" si="11"/>
        <v>34346.4996057711</v>
      </c>
      <c r="M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*(1+$BX41)</f>
        <v>35272.5825169533</v>
      </c>
      <c r="N41" s="37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*(1+$BX41)</f>
        <v>28036.0596366482</v>
      </c>
      <c r="O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*(1+$BX41)</f>
        <v>18662.7420724621</v>
      </c>
      <c r="P41" s="37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*(1+$BX41)</f>
        <v>16558.0325622218</v>
      </c>
      <c r="Q41" s="38">
        <v>1</v>
      </c>
      <c r="R41" s="39" t="s">
        <v>169</v>
      </c>
      <c r="S41" s="39" t="s">
        <v>104</v>
      </c>
      <c r="T41" s="39" t="s">
        <v>194</v>
      </c>
      <c r="U41" s="39" t="s">
        <v>81</v>
      </c>
      <c r="V41" s="39" t="s">
        <v>84</v>
      </c>
      <c r="W41" s="39" t="s">
        <v>84</v>
      </c>
      <c r="X41" s="39" t="s">
        <v>84</v>
      </c>
      <c r="Y41" s="39" t="s">
        <v>84</v>
      </c>
      <c r="Z41" s="39" t="s">
        <v>195</v>
      </c>
      <c r="AA41" s="39" t="s">
        <v>84</v>
      </c>
      <c r="AB41" s="39" t="s">
        <v>197</v>
      </c>
      <c r="AC41" s="39" t="s">
        <v>84</v>
      </c>
      <c r="AD41" s="39" t="s">
        <v>93</v>
      </c>
      <c r="AE41" s="39" t="s">
        <v>84</v>
      </c>
      <c r="AF41" s="39" t="s">
        <v>88</v>
      </c>
      <c r="AG41" s="39" t="s">
        <v>84</v>
      </c>
      <c r="AH41" s="39" t="s">
        <v>84</v>
      </c>
      <c r="AI41" s="39" t="s">
        <v>84</v>
      </c>
      <c r="AJ41" s="39" t="s">
        <v>84</v>
      </c>
      <c r="AK41" s="39" t="s">
        <v>84</v>
      </c>
      <c r="AL41" s="39" t="s">
        <v>84</v>
      </c>
      <c r="AM41" t="str">
        <f>VLOOKUP($R41,武学奇术!$A:$ZZ,25,FALSE)</f>
        <v>拳甲</v>
      </c>
      <c r="AN41" s="24">
        <f>VLOOKUP($R41,武学奇术!$A:$ZZ,26,FALSE)</f>
        <v>0.9193</v>
      </c>
      <c r="AO41" s="25">
        <f>VLOOKUP($R41,武学奇术!$A:$ZZ,27,FALSE)*(1+IF(OR($AM41=$F$4,$AM41=$F$5),$B$22,0))</f>
        <v>408</v>
      </c>
      <c r="AP41" s="24">
        <f>VLOOKUP($R41,武学奇术!$A:$ZZ,28,FALSE)</f>
        <v>1.379</v>
      </c>
      <c r="AQ41" s="25">
        <f>VLOOKUP($R41,武学奇术!$A:$ZZ,29,FALSE)*(1+IF(OR($AM41=$F$4,$AM41=$F$5),$B$22,0))</f>
        <v>222.4</v>
      </c>
      <c r="AR41" s="24" cm="1">
        <f t="array" ref="AR41">$G$3+IFERROR(VLOOKUP($AM41,$F$4:$G$7,2,FALSE),0)+VLOOKUP($R41,武学奇术!$A:$ZZ,2,FALSE)+SUM(_xlfn.XLOOKUP($S41:$AL41,增益!$A:$A,增益!$B:$B,0))</f>
        <v>0.3243</v>
      </c>
      <c r="AS41" s="24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4274.25</v>
      </c>
      <c r="AU41" cm="1">
        <f t="array" ref="AU41">$E$10*(1+$AS41)+VLOOKUP($R41,武学奇术!$A:$ZZ,4,FALSE)+SUM(_xlfn.XLOOKUP($S41:$AL41,增益!$A:$A,增益!$D:$D,0))-$I$2</f>
        <v>4274.25</v>
      </c>
      <c r="AV41" s="31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0.3434</v>
      </c>
      <c r="AW41" s="31" cm="1">
        <f t="array" ref="AW41">$G$10+VLOOKUP($R41,武学奇术!$A:$ZZ,7,FALSE)+SUM(_xlfn.XLOOKUP($S41:$AL41,增益!$A:$A,增益!$G:$G,0))</f>
        <v>0.02</v>
      </c>
      <c r="AX41" s="24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1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1" cm="1">
        <f t="array" ref="BB41">$G$11+VLOOKUP($R41,武学奇术!$A:$ZZ,10,FALSE)+SUM(_xlfn.XLOOKUP($S41:$AL41,增益!$A:$A,增益!$J:$J,0))</f>
        <v>0.02</v>
      </c>
      <c r="BC41">
        <f t="shared" si="3"/>
        <v>0</v>
      </c>
      <c r="BD41">
        <f t="shared" si="4"/>
        <v>0</v>
      </c>
      <c r="BE41" s="31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1" cm="1">
        <f t="array" ref="BF41">$G$12+VLOOKUP($R41,武学奇术!$A:$ZZ,12,FALSE)+SUM(_xlfn.XLOOKUP($S41:$AL41,增益!$A:$A,增益!$L:$L,0))</f>
        <v>0.02</v>
      </c>
      <c r="BG41">
        <f t="shared" si="5"/>
        <v>0</v>
      </c>
      <c r="BH41">
        <f t="shared" si="6"/>
        <v>0</v>
      </c>
      <c r="BI41" s="31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-0.3</v>
      </c>
      <c r="BJ41" s="31" cm="1">
        <f t="array" ref="BJ41">$G$13+VLOOKUP($R41,武学奇术!$A:$ZZ,14,FALSE)+SUM(_xlfn.XLOOKUP($S41:$AL41,增益!$A:$A,增益!$N:$N,0))</f>
        <v>0.02</v>
      </c>
      <c r="BK41">
        <f t="shared" si="7"/>
        <v>649.11</v>
      </c>
      <c r="BL41">
        <f t="shared" si="8"/>
        <v>1812.09</v>
      </c>
      <c r="BM41" s="31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</v>
      </c>
      <c r="BN41" s="31" cm="1">
        <f t="array" ref="BN41">$G$14+VLOOKUP($R41,武学奇术!$A:$ZZ,16,FALSE)+SUM(_xlfn.XLOOKUP($S41:$AL41,增益!$A:$A,增益!$P:$P,0))</f>
        <v>0.17</v>
      </c>
      <c r="BO41" s="24">
        <f>MIN(IF(VLOOKUP($R41,武学奇术!$A:$ZZ,23,FALSE)=1,100%,$B$8),100%)</f>
        <v>0.9943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0.8985</v>
      </c>
      <c r="BQ41" s="24" cm="1">
        <f t="array" ref="BQ41">1+$B$13+VLOOKUP($R41,武学奇术!$A:$ZZ,18,FALSE)+SUM(_xlfn.XLOOKUP($S41:$AL41,增益!$A:$A,增益!$R:$R,0))</f>
        <v>1.89</v>
      </c>
      <c r="BR41" s="24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4" cm="1">
        <f t="array" ref="BS41">1+$B$14+VLOOKUP($R41,武学奇术!$A:$ZZ,20,FALSE)+SUM(_xlfn.XLOOKUP($S41:$AL41,增益!$A:$A,增益!$T:$T,0))</f>
        <v>1.35</v>
      </c>
      <c r="BT41" s="24">
        <f t="shared" si="9"/>
        <v>0.89337855</v>
      </c>
      <c r="BU41" s="24">
        <f t="shared" si="10"/>
        <v>0.01014186</v>
      </c>
      <c r="BV41" s="24">
        <f>IF(VLOOKUP($R41,武学奇术!$A:$ZZ,22,FALSE)=1,0,(1-$BO41))*(1-$BR41)</f>
        <v>0.00517959000000003</v>
      </c>
      <c r="BW41" s="24" cm="1">
        <f t="array" ref="BW41">SUM(_xlfn.XLOOKUP($S41:$AL41,增益!$A:$A,增益!$W:$W,0))+$I$5</f>
        <v>0.21</v>
      </c>
      <c r="BX41" s="24">
        <f>VLOOKUP($R41,武学奇术!$A:$ZZ,32,FALSE)</f>
        <v>0.4</v>
      </c>
      <c r="BY41" s="24" cm="1">
        <f t="array" ref="BY41">SUM(_xlfn.XLOOKUP($S41:$AL41,增益!$A:$A,增益!$X:$X,0))</f>
        <v>0</v>
      </c>
    </row>
    <row r="42" spans="1:77">
      <c r="A42" s="4"/>
      <c r="B42" s="90"/>
      <c r="F42" s="4"/>
      <c r="G42" s="4"/>
      <c r="K42" s="37">
        <f>$L42*VLOOKUP($R42,武学奇术!$A:$ZZ,31,FALSE)</f>
        <v>369490.579525987</v>
      </c>
      <c r="L42" s="37">
        <f t="shared" si="11"/>
        <v>369490.579525987</v>
      </c>
      <c r="M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*(1+$BX42)</f>
        <v>384918.985378632</v>
      </c>
      <c r="N42" s="37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*(1+$BX42)</f>
        <v>252320.696292061</v>
      </c>
      <c r="O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*(1+$BX42)</f>
        <v>168086.893178442</v>
      </c>
      <c r="P42" s="37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*(1+$BX42)</f>
        <v>149269.566881283</v>
      </c>
      <c r="Q42" s="38">
        <v>1</v>
      </c>
      <c r="R42" s="39" t="s">
        <v>133</v>
      </c>
      <c r="S42" s="39" t="s">
        <v>104</v>
      </c>
      <c r="T42" s="39" t="s">
        <v>194</v>
      </c>
      <c r="U42" s="39" t="s">
        <v>81</v>
      </c>
      <c r="V42" s="39" t="s">
        <v>130</v>
      </c>
      <c r="W42" s="39" t="s">
        <v>83</v>
      </c>
      <c r="X42" s="39" t="s">
        <v>84</v>
      </c>
      <c r="Y42" s="39" t="s">
        <v>84</v>
      </c>
      <c r="Z42" s="39" t="s">
        <v>195</v>
      </c>
      <c r="AA42" s="39" t="s">
        <v>84</v>
      </c>
      <c r="AB42" s="39" t="s">
        <v>197</v>
      </c>
      <c r="AC42" s="39" t="s">
        <v>84</v>
      </c>
      <c r="AD42" s="39" t="s">
        <v>93</v>
      </c>
      <c r="AE42" s="39" t="s">
        <v>84</v>
      </c>
      <c r="AF42" s="39" t="s">
        <v>88</v>
      </c>
      <c r="AG42" s="39" t="s">
        <v>84</v>
      </c>
      <c r="AH42" s="39" t="s">
        <v>84</v>
      </c>
      <c r="AI42" s="39" t="s">
        <v>84</v>
      </c>
      <c r="AJ42" s="39" t="s">
        <v>84</v>
      </c>
      <c r="AK42" s="39" t="s">
        <v>84</v>
      </c>
      <c r="AL42" s="39" t="s">
        <v>84</v>
      </c>
      <c r="AM42" t="str">
        <f>VLOOKUP($R42,武学奇术!$A:$ZZ,25,FALSE)</f>
        <v>拳甲</v>
      </c>
      <c r="AN42" s="24">
        <f>VLOOKUP($R42,武学奇术!$A:$ZZ,26,FALSE)</f>
        <v>5.5691</v>
      </c>
      <c r="AO42" s="25">
        <f>VLOOKUP($R42,武学奇术!$A:$ZZ,27,FALSE)*(1+IF(OR($AM42=$F$4,$AM42=$F$5),$B$22,0))</f>
        <v>2470.4</v>
      </c>
      <c r="AP42" s="24">
        <f>VLOOKUP($R42,武学奇术!$A:$ZZ,28,FALSE)</f>
        <v>8.3537</v>
      </c>
      <c r="AQ42" s="25">
        <f>VLOOKUP($R42,武学奇术!$A:$ZZ,29,FALSE)*(1+IF(OR($AM42=$F$4,$AM42=$F$5),$B$22,0))</f>
        <v>1344</v>
      </c>
      <c r="AR42" s="24" cm="1">
        <f t="array" ref="AR42">$G$3+IFERROR(VLOOKUP($AM42,$F$4:$G$7,2,FALSE),0)+VLOOKUP($R42,武学奇术!$A:$ZZ,2,FALSE)+SUM(_xlfn.XLOOKUP($S42:$AL42,增益!$A:$A,增益!$B:$B,0))</f>
        <v>0.3743</v>
      </c>
      <c r="AS42" s="24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4274.25</v>
      </c>
      <c r="AU42" cm="1">
        <f t="array" ref="AU42">$E$10*(1+$AS42)+VLOOKUP($R42,武学奇术!$A:$ZZ,4,FALSE)+SUM(_xlfn.XLOOKUP($S42:$AL42,增益!$A:$A,增益!$D:$D,0))-$I$2</f>
        <v>4274.25</v>
      </c>
      <c r="AV42" s="31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0.3434</v>
      </c>
      <c r="AW42" s="31" cm="1">
        <f t="array" ref="AW42">$G$10+VLOOKUP($R42,武学奇术!$A:$ZZ,7,FALSE)+SUM(_xlfn.XLOOKUP($S42:$AL42,增益!$A:$A,增益!$G:$G,0))</f>
        <v>0.11</v>
      </c>
      <c r="AX42" s="24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1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1" cm="1">
        <f t="array" ref="BB42">$G$11+VLOOKUP($R42,武学奇术!$A:$ZZ,10,FALSE)+SUM(_xlfn.XLOOKUP($S42:$AL42,增益!$A:$A,增益!$J:$J,0))</f>
        <v>0.02</v>
      </c>
      <c r="BC42">
        <f t="shared" si="3"/>
        <v>0</v>
      </c>
      <c r="BD42">
        <f t="shared" si="4"/>
        <v>0</v>
      </c>
      <c r="BE42" s="31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1" cm="1">
        <f t="array" ref="BF42">$G$12+VLOOKUP($R42,武学奇术!$A:$ZZ,12,FALSE)+SUM(_xlfn.XLOOKUP($S42:$AL42,增益!$A:$A,增益!$L:$L,0))</f>
        <v>0.02</v>
      </c>
      <c r="BG42">
        <f t="shared" si="5"/>
        <v>0</v>
      </c>
      <c r="BH42">
        <f t="shared" si="6"/>
        <v>0</v>
      </c>
      <c r="BI42" s="31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-0.3</v>
      </c>
      <c r="BJ42" s="31" cm="1">
        <f t="array" ref="BJ42">$G$13+VLOOKUP($R42,武学奇术!$A:$ZZ,14,FALSE)+SUM(_xlfn.XLOOKUP($S42:$AL42,增益!$A:$A,增益!$N:$N,0))</f>
        <v>0.02</v>
      </c>
      <c r="BK42">
        <f t="shared" si="7"/>
        <v>649.11</v>
      </c>
      <c r="BL42">
        <f t="shared" si="8"/>
        <v>1812.09</v>
      </c>
      <c r="BM42" s="31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</v>
      </c>
      <c r="BN42" s="31" cm="1">
        <f t="array" ref="BN42">$G$14+VLOOKUP($R42,武学奇术!$A:$ZZ,16,FALSE)+SUM(_xlfn.XLOOKUP($S42:$AL42,增益!$A:$A,增益!$P:$P,0))</f>
        <v>0.26</v>
      </c>
      <c r="BO42" s="24">
        <f>MIN(IF(VLOOKUP($R42,武学奇术!$A:$ZZ,23,FALSE)=1,100%,$B$8),100%)</f>
        <v>0.9943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0.8985</v>
      </c>
      <c r="BQ42" s="24" cm="1">
        <f t="array" ref="BQ42">1+$B$13+VLOOKUP($R42,武学奇术!$A:$ZZ,18,FALSE)+SUM(_xlfn.XLOOKUP($S42:$AL42,增益!$A:$A,增益!$R:$R,0))</f>
        <v>2.29</v>
      </c>
      <c r="BR42" s="24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4" cm="1">
        <f t="array" ref="BS42">1+$B$14+VLOOKUP($R42,武学奇术!$A:$ZZ,20,FALSE)+SUM(_xlfn.XLOOKUP($S42:$AL42,增益!$A:$A,增益!$T:$T,0))</f>
        <v>1.35</v>
      </c>
      <c r="BT42" s="24">
        <f t="shared" si="9"/>
        <v>0.89337855</v>
      </c>
      <c r="BU42" s="24">
        <f t="shared" si="10"/>
        <v>0.0153214500000001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0.21</v>
      </c>
      <c r="BX42" s="24">
        <f>VLOOKUP($R42,武学奇术!$A:$ZZ,32,FALSE)</f>
        <v>0.4</v>
      </c>
      <c r="BY42" s="24" cm="1">
        <f t="array" ref="BY42">SUM(_xlfn.XLOOKUP($S42:$AL42,增益!$A:$A,增益!$X:$X,0))</f>
        <v>0</v>
      </c>
    </row>
    <row r="43" spans="1:77">
      <c r="A43" s="4"/>
      <c r="B43" s="4"/>
      <c r="F43" s="4"/>
      <c r="G43" s="90"/>
      <c r="K43" s="37">
        <f>$L43*VLOOKUP($R43,武学奇术!$A:$ZZ,31,FALSE)</f>
        <v>369490.579525987</v>
      </c>
      <c r="L43" s="37">
        <f t="shared" si="11"/>
        <v>369490.579525987</v>
      </c>
      <c r="M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*(1+$BX43)</f>
        <v>384918.985378632</v>
      </c>
      <c r="N43" s="37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*(1+$BX43)</f>
        <v>252320.696292061</v>
      </c>
      <c r="O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*(1+$BX43)</f>
        <v>168086.893178442</v>
      </c>
      <c r="P43" s="37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*(1+$BX43)</f>
        <v>149269.566881283</v>
      </c>
      <c r="Q43" s="38">
        <v>1</v>
      </c>
      <c r="R43" s="39" t="s">
        <v>133</v>
      </c>
      <c r="S43" s="39" t="s">
        <v>104</v>
      </c>
      <c r="T43" s="39" t="s">
        <v>194</v>
      </c>
      <c r="U43" s="39" t="s">
        <v>81</v>
      </c>
      <c r="V43" s="39" t="s">
        <v>130</v>
      </c>
      <c r="W43" s="39" t="s">
        <v>83</v>
      </c>
      <c r="X43" s="39" t="s">
        <v>84</v>
      </c>
      <c r="Y43" s="39" t="s">
        <v>84</v>
      </c>
      <c r="Z43" s="39" t="s">
        <v>195</v>
      </c>
      <c r="AA43" s="39" t="s">
        <v>84</v>
      </c>
      <c r="AB43" s="39" t="s">
        <v>197</v>
      </c>
      <c r="AC43" s="39" t="s">
        <v>84</v>
      </c>
      <c r="AD43" s="39" t="s">
        <v>93</v>
      </c>
      <c r="AE43" s="39" t="s">
        <v>84</v>
      </c>
      <c r="AF43" s="39" t="s">
        <v>88</v>
      </c>
      <c r="AG43" s="39" t="s">
        <v>84</v>
      </c>
      <c r="AH43" s="39" t="s">
        <v>84</v>
      </c>
      <c r="AI43" s="39" t="s">
        <v>84</v>
      </c>
      <c r="AJ43" s="39" t="s">
        <v>84</v>
      </c>
      <c r="AK43" s="39" t="s">
        <v>84</v>
      </c>
      <c r="AL43" s="39" t="s">
        <v>84</v>
      </c>
      <c r="AM43" t="str">
        <f>VLOOKUP($R43,武学奇术!$A:$ZZ,25,FALSE)</f>
        <v>拳甲</v>
      </c>
      <c r="AN43" s="24">
        <f>VLOOKUP($R43,武学奇术!$A:$ZZ,26,FALSE)</f>
        <v>5.5691</v>
      </c>
      <c r="AO43" s="25">
        <f>VLOOKUP($R43,武学奇术!$A:$ZZ,27,FALSE)*(1+IF(OR($AM43=$F$4,$AM43=$F$5),$B$22,0))</f>
        <v>2470.4</v>
      </c>
      <c r="AP43" s="24">
        <f>VLOOKUP($R43,武学奇术!$A:$ZZ,28,FALSE)</f>
        <v>8.3537</v>
      </c>
      <c r="AQ43" s="25">
        <f>VLOOKUP($R43,武学奇术!$A:$ZZ,29,FALSE)*(1+IF(OR($AM43=$F$4,$AM43=$F$5),$B$22,0))</f>
        <v>1344</v>
      </c>
      <c r="AR43" s="24" cm="1">
        <f t="array" ref="AR43">$G$3+IFERROR(VLOOKUP($AM43,$F$4:$G$7,2,FALSE),0)+VLOOKUP($R43,武学奇术!$A:$ZZ,2,FALSE)+SUM(_xlfn.XLOOKUP($S43:$AL43,增益!$A:$A,增益!$B:$B,0))</f>
        <v>0.3743</v>
      </c>
      <c r="AS43" s="24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4274.25</v>
      </c>
      <c r="AU43" cm="1">
        <f t="array" ref="AU43">$E$10*(1+$AS43)+VLOOKUP($R43,武学奇术!$A:$ZZ,4,FALSE)+SUM(_xlfn.XLOOKUP($S43:$AL43,增益!$A:$A,增益!$D:$D,0))-$I$2</f>
        <v>4274.25</v>
      </c>
      <c r="AV43" s="31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0.3434</v>
      </c>
      <c r="AW43" s="31" cm="1">
        <f t="array" ref="AW43">$G$10+VLOOKUP($R43,武学奇术!$A:$ZZ,7,FALSE)+SUM(_xlfn.XLOOKUP($S43:$AL43,增益!$A:$A,增益!$G:$G,0))</f>
        <v>0.11</v>
      </c>
      <c r="AX43" s="24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1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1" cm="1">
        <f t="array" ref="BB43">$G$11+VLOOKUP($R43,武学奇术!$A:$ZZ,10,FALSE)+SUM(_xlfn.XLOOKUP($S43:$AL43,增益!$A:$A,增益!$J:$J,0))</f>
        <v>0.02</v>
      </c>
      <c r="BC43">
        <f t="shared" si="3"/>
        <v>0</v>
      </c>
      <c r="BD43">
        <f t="shared" si="4"/>
        <v>0</v>
      </c>
      <c r="BE43" s="31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1" cm="1">
        <f t="array" ref="BF43">$G$12+VLOOKUP($R43,武学奇术!$A:$ZZ,12,FALSE)+SUM(_xlfn.XLOOKUP($S43:$AL43,增益!$A:$A,增益!$L:$L,0))</f>
        <v>0.02</v>
      </c>
      <c r="BG43">
        <f t="shared" si="5"/>
        <v>0</v>
      </c>
      <c r="BH43">
        <f t="shared" si="6"/>
        <v>0</v>
      </c>
      <c r="BI43" s="31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-0.3</v>
      </c>
      <c r="BJ43" s="31" cm="1">
        <f t="array" ref="BJ43">$G$13+VLOOKUP($R43,武学奇术!$A:$ZZ,14,FALSE)+SUM(_xlfn.XLOOKUP($S43:$AL43,增益!$A:$A,增益!$N:$N,0))</f>
        <v>0.02</v>
      </c>
      <c r="BK43">
        <f t="shared" si="7"/>
        <v>649.11</v>
      </c>
      <c r="BL43">
        <f t="shared" si="8"/>
        <v>1812.09</v>
      </c>
      <c r="BM43" s="31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</v>
      </c>
      <c r="BN43" s="31" cm="1">
        <f t="array" ref="BN43">$G$14+VLOOKUP($R43,武学奇术!$A:$ZZ,16,FALSE)+SUM(_xlfn.XLOOKUP($S43:$AL43,增益!$A:$A,增益!$P:$P,0))</f>
        <v>0.26</v>
      </c>
      <c r="BO43" s="24">
        <f>MIN(IF(VLOOKUP($R43,武学奇术!$A:$ZZ,23,FALSE)=1,100%,$B$8),100%)</f>
        <v>0.9943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0.8985</v>
      </c>
      <c r="BQ43" s="24" cm="1">
        <f t="array" ref="BQ43">1+$B$13+VLOOKUP($R43,武学奇术!$A:$ZZ,18,FALSE)+SUM(_xlfn.XLOOKUP($S43:$AL43,增益!$A:$A,增益!$R:$R,0))</f>
        <v>2.29</v>
      </c>
      <c r="BR43" s="24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4" cm="1">
        <f t="array" ref="BS43">1+$B$14+VLOOKUP($R43,武学奇术!$A:$ZZ,20,FALSE)+SUM(_xlfn.XLOOKUP($S43:$AL43,增益!$A:$A,增益!$T:$T,0))</f>
        <v>1.35</v>
      </c>
      <c r="BT43" s="24">
        <f t="shared" si="9"/>
        <v>0.89337855</v>
      </c>
      <c r="BU43" s="24">
        <f t="shared" si="10"/>
        <v>0.0153214500000001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0.21</v>
      </c>
      <c r="BX43" s="24">
        <f>VLOOKUP($R43,武学奇术!$A:$ZZ,32,FALSE)</f>
        <v>0.4</v>
      </c>
      <c r="BY43" s="24" cm="1">
        <f t="array" ref="BY43">SUM(_xlfn.XLOOKUP($S43:$AL43,增益!$A:$A,增益!$X:$X,0))</f>
        <v>0</v>
      </c>
    </row>
    <row r="44" spans="1:77">
      <c r="A44" s="4"/>
      <c r="B44" s="4"/>
      <c r="K44" s="37">
        <f>$L44*VLOOKUP($R44,武学奇术!$A:$ZZ,31,FALSE)</f>
        <v>63910.2893264746</v>
      </c>
      <c r="L44" s="37">
        <f t="shared" si="11"/>
        <v>63910.2893264746</v>
      </c>
      <c r="M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*(1+$BX44)</f>
        <v>66578.8699830855</v>
      </c>
      <c r="N44" s="37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*(1+$BX44)</f>
        <v>43644.064738314</v>
      </c>
      <c r="O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*(1+$BX44)</f>
        <v>29073.7423506924</v>
      </c>
      <c r="P44" s="37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*(1+$BX44)</f>
        <v>25818.5478581892</v>
      </c>
      <c r="Q44" s="38">
        <v>1</v>
      </c>
      <c r="R44" s="39" t="s">
        <v>136</v>
      </c>
      <c r="S44" s="39" t="s">
        <v>104</v>
      </c>
      <c r="T44" s="39" t="s">
        <v>194</v>
      </c>
      <c r="U44" s="39" t="s">
        <v>81</v>
      </c>
      <c r="V44" s="39" t="s">
        <v>130</v>
      </c>
      <c r="W44" s="39" t="s">
        <v>83</v>
      </c>
      <c r="X44" s="39" t="s">
        <v>84</v>
      </c>
      <c r="Y44" s="39" t="s">
        <v>84</v>
      </c>
      <c r="Z44" s="39" t="s">
        <v>195</v>
      </c>
      <c r="AA44" s="39" t="s">
        <v>84</v>
      </c>
      <c r="AB44" s="39" t="s">
        <v>197</v>
      </c>
      <c r="AC44" s="39" t="s">
        <v>84</v>
      </c>
      <c r="AD44" s="39" t="s">
        <v>93</v>
      </c>
      <c r="AE44" s="39" t="s">
        <v>84</v>
      </c>
      <c r="AF44" s="39" t="s">
        <v>88</v>
      </c>
      <c r="AG44" s="39" t="s">
        <v>84</v>
      </c>
      <c r="AH44" s="39" t="s">
        <v>84</v>
      </c>
      <c r="AI44" s="39" t="s">
        <v>84</v>
      </c>
      <c r="AJ44" s="39" t="s">
        <v>84</v>
      </c>
      <c r="AK44" s="39" t="s">
        <v>84</v>
      </c>
      <c r="AL44" s="39" t="s">
        <v>84</v>
      </c>
      <c r="AM44" t="str">
        <f>VLOOKUP($R44,武学奇术!$A:$ZZ,25,FALSE)</f>
        <v>拳甲</v>
      </c>
      <c r="AN44" s="24">
        <f>VLOOKUP($R44,武学奇术!$A:$ZZ,26,FALSE)</f>
        <v>0.9634</v>
      </c>
      <c r="AO44" s="25">
        <f>VLOOKUP($R44,武学奇术!$A:$ZZ,27,FALSE)*(1+IF(OR($AM44=$F$4,$AM44=$F$5),$B$22,0))</f>
        <v>427.2</v>
      </c>
      <c r="AP44" s="24">
        <f>VLOOKUP($R44,武学奇术!$A:$ZZ,28,FALSE)</f>
        <v>1.4451</v>
      </c>
      <c r="AQ44" s="25">
        <f>VLOOKUP($R44,武学奇术!$A:$ZZ,29,FALSE)*(1+IF(OR($AM44=$F$4,$AM44=$F$5),$B$22,0))</f>
        <v>232</v>
      </c>
      <c r="AR44" s="24" cm="1">
        <f t="array" ref="AR44">$G$3+IFERROR(VLOOKUP($AM44,$F$4:$G$7,2,FALSE),0)+VLOOKUP($R44,武学奇术!$A:$ZZ,2,FALSE)+SUM(_xlfn.XLOOKUP($S44:$AL44,增益!$A:$A,增益!$B:$B,0))</f>
        <v>0.3743</v>
      </c>
      <c r="AS44" s="24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4274.25</v>
      </c>
      <c r="AU44" cm="1">
        <f t="array" ref="AU44">$E$10*(1+$AS44)+VLOOKUP($R44,武学奇术!$A:$ZZ,4,FALSE)+SUM(_xlfn.XLOOKUP($S44:$AL44,增益!$A:$A,增益!$D:$D,0))-$I$2</f>
        <v>4274.25</v>
      </c>
      <c r="AV44" s="31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0.3434</v>
      </c>
      <c r="AW44" s="31" cm="1">
        <f t="array" ref="AW44">$G$10+VLOOKUP($R44,武学奇术!$A:$ZZ,7,FALSE)+SUM(_xlfn.XLOOKUP($S44:$AL44,增益!$A:$A,增益!$G:$G,0))</f>
        <v>0.11</v>
      </c>
      <c r="AX44" s="24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1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1" cm="1">
        <f t="array" ref="BB44">$G$11+VLOOKUP($R44,武学奇术!$A:$ZZ,10,FALSE)+SUM(_xlfn.XLOOKUP($S44:$AL44,增益!$A:$A,增益!$J:$J,0))</f>
        <v>0.02</v>
      </c>
      <c r="BC44">
        <f t="shared" si="3"/>
        <v>0</v>
      </c>
      <c r="BD44">
        <f t="shared" si="4"/>
        <v>0</v>
      </c>
      <c r="BE44" s="31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1" cm="1">
        <f t="array" ref="BF44">$G$12+VLOOKUP($R44,武学奇术!$A:$ZZ,12,FALSE)+SUM(_xlfn.XLOOKUP($S44:$AL44,增益!$A:$A,增益!$L:$L,0))</f>
        <v>0.02</v>
      </c>
      <c r="BG44">
        <f t="shared" si="5"/>
        <v>0</v>
      </c>
      <c r="BH44">
        <f t="shared" si="6"/>
        <v>0</v>
      </c>
      <c r="BI44" s="31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1" cm="1">
        <f t="array" ref="BJ44">$G$13+VLOOKUP($R44,武学奇术!$A:$ZZ,14,FALSE)+SUM(_xlfn.XLOOKUP($S44:$AL44,增益!$A:$A,增益!$N:$N,0))</f>
        <v>0.02</v>
      </c>
      <c r="BK44">
        <f t="shared" si="7"/>
        <v>649.11</v>
      </c>
      <c r="BL44">
        <f t="shared" si="8"/>
        <v>1812.09</v>
      </c>
      <c r="BM44" s="31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1" cm="1">
        <f t="array" ref="BN44">$G$14+VLOOKUP($R44,武学奇术!$A:$ZZ,16,FALSE)+SUM(_xlfn.XLOOKUP($S44:$AL44,增益!$A:$A,增益!$P:$P,0))</f>
        <v>0.26</v>
      </c>
      <c r="BO44" s="24">
        <f>MIN(IF(VLOOKUP($R44,武学奇术!$A:$ZZ,23,FALSE)=1,100%,$B$8),100%)</f>
        <v>0.9943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0.8985</v>
      </c>
      <c r="BQ44" s="24" cm="1">
        <f t="array" ref="BQ44">1+$B$13+VLOOKUP($R44,武学奇术!$A:$ZZ,18,FALSE)+SUM(_xlfn.XLOOKUP($S44:$AL44,增益!$A:$A,增益!$R:$R,0))</f>
        <v>2.29</v>
      </c>
      <c r="BR44" s="24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4" cm="1">
        <f t="array" ref="BS44">1+$B$14+VLOOKUP($R44,武学奇术!$A:$ZZ,20,FALSE)+SUM(_xlfn.XLOOKUP($S44:$AL44,增益!$A:$A,增益!$T:$T,0))</f>
        <v>1.35</v>
      </c>
      <c r="BT44" s="24">
        <f t="shared" si="9"/>
        <v>0.89337855</v>
      </c>
      <c r="BU44" s="24">
        <f t="shared" si="10"/>
        <v>0.0153214500000001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0.21</v>
      </c>
      <c r="BX44" s="24">
        <f>VLOOKUP($R44,武学奇术!$A:$ZZ,32,FALSE)</f>
        <v>0.4</v>
      </c>
      <c r="BY44" s="24" cm="1">
        <f t="array" ref="BY44">SUM(_xlfn.XLOOKUP($S44:$AL44,增益!$A:$A,增益!$X:$X,0))</f>
        <v>0</v>
      </c>
    </row>
    <row r="45" spans="1:77">
      <c r="A45" s="4"/>
      <c r="B45" s="4"/>
      <c r="K45" s="37">
        <f>$L45*VLOOKUP($R45,武学奇术!$A:$ZZ,31,FALSE)</f>
        <v>61447.8637869469</v>
      </c>
      <c r="L45" s="37">
        <f t="shared" si="11"/>
        <v>61447.8637869469</v>
      </c>
      <c r="M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*(1+$BX45)</f>
        <v>64013.7481953367</v>
      </c>
      <c r="N45" s="37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*(1+$BX45)</f>
        <v>41961.2763564369</v>
      </c>
      <c r="O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*(1+$BX45)</f>
        <v>27953.6018320247</v>
      </c>
      <c r="P45" s="37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*(1+$BX45)</f>
        <v>24824.7767333555</v>
      </c>
      <c r="Q45" s="38">
        <v>1</v>
      </c>
      <c r="R45" s="39" t="s">
        <v>142</v>
      </c>
      <c r="S45" s="39" t="s">
        <v>104</v>
      </c>
      <c r="T45" s="39" t="s">
        <v>194</v>
      </c>
      <c r="U45" s="39" t="s">
        <v>81</v>
      </c>
      <c r="V45" s="39" t="s">
        <v>130</v>
      </c>
      <c r="W45" s="39" t="s">
        <v>83</v>
      </c>
      <c r="X45" s="39" t="s">
        <v>84</v>
      </c>
      <c r="Y45" s="39" t="s">
        <v>84</v>
      </c>
      <c r="Z45" s="39" t="s">
        <v>195</v>
      </c>
      <c r="AA45" s="39" t="s">
        <v>84</v>
      </c>
      <c r="AB45" s="39" t="s">
        <v>197</v>
      </c>
      <c r="AC45" s="39" t="s">
        <v>84</v>
      </c>
      <c r="AD45" s="39" t="s">
        <v>93</v>
      </c>
      <c r="AE45" s="39" t="s">
        <v>84</v>
      </c>
      <c r="AF45" s="39" t="s">
        <v>88</v>
      </c>
      <c r="AG45" s="39" t="s">
        <v>84</v>
      </c>
      <c r="AH45" s="39" t="s">
        <v>84</v>
      </c>
      <c r="AI45" s="39" t="s">
        <v>84</v>
      </c>
      <c r="AJ45" s="39" t="s">
        <v>84</v>
      </c>
      <c r="AK45" s="39" t="s">
        <v>84</v>
      </c>
      <c r="AL45" s="39" t="s">
        <v>84</v>
      </c>
      <c r="AM45" t="str">
        <f>VLOOKUP($R45,武学奇术!$A:$ZZ,25,FALSE)</f>
        <v>拳甲</v>
      </c>
      <c r="AN45" s="24">
        <f>VLOOKUP($R45,武学奇术!$A:$ZZ,26,FALSE)</f>
        <v>0.926</v>
      </c>
      <c r="AO45" s="25">
        <f>VLOOKUP($R45,武学奇术!$A:$ZZ,27,FALSE)*(1+IF(OR($AM45=$F$4,$AM45=$F$5),$B$22,0))</f>
        <v>411.2</v>
      </c>
      <c r="AP45" s="24">
        <f>VLOOKUP($R45,武学奇术!$A:$ZZ,28,FALSE)</f>
        <v>1.389</v>
      </c>
      <c r="AQ45" s="25">
        <f>VLOOKUP($R45,武学奇术!$A:$ZZ,29,FALSE)*(1+IF(OR($AM45=$F$4,$AM45=$F$5),$B$22,0))</f>
        <v>224</v>
      </c>
      <c r="AR45" s="24" cm="1">
        <f t="array" ref="AR45">$G$3+IFERROR(VLOOKUP($AM45,$F$4:$G$7,2,FALSE),0)+VLOOKUP($R45,武学奇术!$A:$ZZ,2,FALSE)+SUM(_xlfn.XLOOKUP($S45:$AL45,增益!$A:$A,增益!$B:$B,0))</f>
        <v>0.3743</v>
      </c>
      <c r="AS45" s="24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4274.25</v>
      </c>
      <c r="AU45" cm="1">
        <f t="array" ref="AU45">$E$10*(1+$AS45)+VLOOKUP($R45,武学奇术!$A:$ZZ,4,FALSE)+SUM(_xlfn.XLOOKUP($S45:$AL45,增益!$A:$A,增益!$D:$D,0))-$I$2</f>
        <v>4274.25</v>
      </c>
      <c r="AV45" s="31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0.3434</v>
      </c>
      <c r="AW45" s="31" cm="1">
        <f t="array" ref="AW45">$G$10+VLOOKUP($R45,武学奇术!$A:$ZZ,7,FALSE)+SUM(_xlfn.XLOOKUP($S45:$AL45,增益!$A:$A,增益!$G:$G,0))</f>
        <v>0.11</v>
      </c>
      <c r="AX45" s="24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1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1" cm="1">
        <f t="array" ref="BB45">$G$11+VLOOKUP($R45,武学奇术!$A:$ZZ,10,FALSE)+SUM(_xlfn.XLOOKUP($S45:$AL45,增益!$A:$A,增益!$J:$J,0))</f>
        <v>0.02</v>
      </c>
      <c r="BC45">
        <f t="shared" si="3"/>
        <v>0</v>
      </c>
      <c r="BD45">
        <f t="shared" si="4"/>
        <v>0</v>
      </c>
      <c r="BE45" s="31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1" cm="1">
        <f t="array" ref="BF45">$G$12+VLOOKUP($R45,武学奇术!$A:$ZZ,12,FALSE)+SUM(_xlfn.XLOOKUP($S45:$AL45,增益!$A:$A,增益!$L:$L,0))</f>
        <v>0.02</v>
      </c>
      <c r="BG45">
        <f t="shared" si="5"/>
        <v>0</v>
      </c>
      <c r="BH45">
        <f t="shared" si="6"/>
        <v>0</v>
      </c>
      <c r="BI45" s="31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-0.3</v>
      </c>
      <c r="BJ45" s="31" cm="1">
        <f t="array" ref="BJ45">$G$13+VLOOKUP($R45,武学奇术!$A:$ZZ,14,FALSE)+SUM(_xlfn.XLOOKUP($S45:$AL45,增益!$A:$A,增益!$N:$N,0))</f>
        <v>0.02</v>
      </c>
      <c r="BK45">
        <f t="shared" si="7"/>
        <v>649.11</v>
      </c>
      <c r="BL45">
        <f t="shared" si="8"/>
        <v>1812.09</v>
      </c>
      <c r="BM45" s="31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</v>
      </c>
      <c r="BN45" s="31" cm="1">
        <f t="array" ref="BN45">$G$14+VLOOKUP($R45,武学奇术!$A:$ZZ,16,FALSE)+SUM(_xlfn.XLOOKUP($S45:$AL45,增益!$A:$A,增益!$P:$P,0))</f>
        <v>0.26</v>
      </c>
      <c r="BO45" s="24">
        <f>MIN(IF(VLOOKUP($R45,武学奇术!$A:$ZZ,23,FALSE)=1,100%,$B$8),100%)</f>
        <v>0.9943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0.8985</v>
      </c>
      <c r="BQ45" s="24" cm="1">
        <f t="array" ref="BQ45">1+$B$13+VLOOKUP($R45,武学奇术!$A:$ZZ,18,FALSE)+SUM(_xlfn.XLOOKUP($S45:$AL45,增益!$A:$A,增益!$R:$R,0))</f>
        <v>2.29</v>
      </c>
      <c r="BR45" s="24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24" cm="1">
        <f t="array" ref="BS45">1+$B$14+VLOOKUP($R45,武学奇术!$A:$ZZ,20,FALSE)+SUM(_xlfn.XLOOKUP($S45:$AL45,增益!$A:$A,增益!$T:$T,0))</f>
        <v>1.35</v>
      </c>
      <c r="BT45" s="24">
        <f t="shared" si="9"/>
        <v>0.89337855</v>
      </c>
      <c r="BU45" s="24">
        <f t="shared" si="10"/>
        <v>0.0153214500000001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0.21</v>
      </c>
      <c r="BX45" s="24">
        <f>VLOOKUP($R45,武学奇术!$A:$ZZ,32,FALSE)</f>
        <v>0.4</v>
      </c>
      <c r="BY45" s="24" cm="1">
        <f t="array" ref="BY45">SUM(_xlfn.XLOOKUP($S45:$AL45,增益!$A:$A,增益!$X:$X,0))</f>
        <v>0</v>
      </c>
    </row>
    <row r="46" spans="1:77">
      <c r="A46" s="4"/>
      <c r="B46" s="90"/>
      <c r="F46" s="4"/>
      <c r="G46" s="90"/>
      <c r="K46" s="37">
        <f>$L46*VLOOKUP($R46,武学奇术!$A:$ZZ,31,FALSE)</f>
        <v>74946.2015749773</v>
      </c>
      <c r="L46" s="37">
        <f t="shared" si="11"/>
        <v>74946.2015749773</v>
      </c>
      <c r="M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*(1+$BX46)</f>
        <v>78075.569605493</v>
      </c>
      <c r="N46" s="37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*(1+$BX46)</f>
        <v>51180.6223729965</v>
      </c>
      <c r="O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*(1+$BX46)</f>
        <v>34094.1351989053</v>
      </c>
      <c r="P46" s="37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*(1+$BX46)</f>
        <v>30276.698269665</v>
      </c>
      <c r="Q46" s="38">
        <v>1</v>
      </c>
      <c r="R46" s="39" t="s">
        <v>146</v>
      </c>
      <c r="S46" s="39" t="s">
        <v>104</v>
      </c>
      <c r="T46" s="39" t="s">
        <v>194</v>
      </c>
      <c r="U46" s="39" t="s">
        <v>81</v>
      </c>
      <c r="V46" s="39" t="s">
        <v>130</v>
      </c>
      <c r="W46" s="39" t="s">
        <v>83</v>
      </c>
      <c r="X46" s="39" t="s">
        <v>84</v>
      </c>
      <c r="Y46" s="39" t="s">
        <v>84</v>
      </c>
      <c r="Z46" s="39" t="s">
        <v>195</v>
      </c>
      <c r="AA46" s="39" t="s">
        <v>84</v>
      </c>
      <c r="AB46" s="39" t="s">
        <v>197</v>
      </c>
      <c r="AC46" s="39" t="s">
        <v>84</v>
      </c>
      <c r="AD46" s="39" t="s">
        <v>93</v>
      </c>
      <c r="AE46" s="39" t="s">
        <v>84</v>
      </c>
      <c r="AF46" s="39" t="s">
        <v>88</v>
      </c>
      <c r="AG46" s="39" t="s">
        <v>84</v>
      </c>
      <c r="AH46" s="39" t="s">
        <v>84</v>
      </c>
      <c r="AI46" s="39" t="s">
        <v>84</v>
      </c>
      <c r="AJ46" s="39" t="s">
        <v>84</v>
      </c>
      <c r="AK46" s="39" t="s">
        <v>84</v>
      </c>
      <c r="AL46" s="39" t="s">
        <v>84</v>
      </c>
      <c r="AM46" t="str">
        <f>VLOOKUP($R46,武学奇术!$A:$ZZ,25,FALSE)</f>
        <v>拳甲</v>
      </c>
      <c r="AN46" s="24">
        <f>VLOOKUP($R46,武学奇术!$A:$ZZ,26,FALSE)</f>
        <v>1.1298</v>
      </c>
      <c r="AO46" s="25">
        <f>VLOOKUP($R46,武学奇术!$A:$ZZ,27,FALSE)*(1+IF(OR($AM46=$F$4,$AM46=$F$5),$B$22,0))</f>
        <v>500.8</v>
      </c>
      <c r="AP46" s="24">
        <f>VLOOKUP($R46,武学奇术!$A:$ZZ,28,FALSE)</f>
        <v>1.6947</v>
      </c>
      <c r="AQ46" s="25">
        <f>VLOOKUP($R46,武学奇术!$A:$ZZ,29,FALSE)*(1+IF(OR($AM46=$F$4,$AM46=$F$5),$B$22,0))</f>
        <v>272</v>
      </c>
      <c r="AR46" s="24" cm="1">
        <f t="array" ref="AR46">$G$3+IFERROR(VLOOKUP($AM46,$F$4:$G$7,2,FALSE),0)+VLOOKUP($R46,武学奇术!$A:$ZZ,2,FALSE)+SUM(_xlfn.XLOOKUP($S46:$AL46,增益!$A:$A,增益!$B:$B,0))</f>
        <v>0.3743</v>
      </c>
      <c r="AS46" s="24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4274.25</v>
      </c>
      <c r="AU46" cm="1">
        <f t="array" ref="AU46">$E$10*(1+$AS46)+VLOOKUP($R46,武学奇术!$A:$ZZ,4,FALSE)+SUM(_xlfn.XLOOKUP($S46:$AL46,增益!$A:$A,增益!$D:$D,0))-$I$2</f>
        <v>4274.25</v>
      </c>
      <c r="AV46" s="31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0.3434</v>
      </c>
      <c r="AW46" s="31" cm="1">
        <f t="array" ref="AW46">$G$10+VLOOKUP($R46,武学奇术!$A:$ZZ,7,FALSE)+SUM(_xlfn.XLOOKUP($S46:$AL46,增益!$A:$A,增益!$G:$G,0))</f>
        <v>0.11</v>
      </c>
      <c r="AX46" s="24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1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1" cm="1">
        <f t="array" ref="BB46">$G$11+VLOOKUP($R46,武学奇术!$A:$ZZ,10,FALSE)+SUM(_xlfn.XLOOKUP($S46:$AL46,增益!$A:$A,增益!$J:$J,0))</f>
        <v>0.02</v>
      </c>
      <c r="BC46">
        <f t="shared" si="3"/>
        <v>0</v>
      </c>
      <c r="BD46">
        <f t="shared" si="4"/>
        <v>0</v>
      </c>
      <c r="BE46" s="31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1" cm="1">
        <f t="array" ref="BF46">$G$12+VLOOKUP($R46,武学奇术!$A:$ZZ,12,FALSE)+SUM(_xlfn.XLOOKUP($S46:$AL46,增益!$A:$A,增益!$L:$L,0))</f>
        <v>0.02</v>
      </c>
      <c r="BG46">
        <f t="shared" si="5"/>
        <v>0</v>
      </c>
      <c r="BH46">
        <f t="shared" si="6"/>
        <v>0</v>
      </c>
      <c r="BI46" s="31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1" cm="1">
        <f t="array" ref="BJ46">$G$13+VLOOKUP($R46,武学奇术!$A:$ZZ,14,FALSE)+SUM(_xlfn.XLOOKUP($S46:$AL46,增益!$A:$A,增益!$N:$N,0))</f>
        <v>0.02</v>
      </c>
      <c r="BK46">
        <f t="shared" si="7"/>
        <v>649.11</v>
      </c>
      <c r="BL46">
        <f t="shared" si="8"/>
        <v>1812.09</v>
      </c>
      <c r="BM46" s="31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1" cm="1">
        <f t="array" ref="BN46">$G$14+VLOOKUP($R46,武学奇术!$A:$ZZ,16,FALSE)+SUM(_xlfn.XLOOKUP($S46:$AL46,增益!$A:$A,增益!$P:$P,0))</f>
        <v>0.26</v>
      </c>
      <c r="BO46" s="24">
        <f>MIN(IF(VLOOKUP($R46,武学奇术!$A:$ZZ,23,FALSE)=1,100%,$B$8),100%)</f>
        <v>0.9943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0.8985</v>
      </c>
      <c r="BQ46" s="24" cm="1">
        <f t="array" ref="BQ46">1+$B$13+VLOOKUP($R46,武学奇术!$A:$ZZ,18,FALSE)+SUM(_xlfn.XLOOKUP($S46:$AL46,增益!$A:$A,增益!$R:$R,0))</f>
        <v>2.29</v>
      </c>
      <c r="BR46" s="24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24" cm="1">
        <f t="array" ref="BS46">1+$B$14+VLOOKUP($R46,武学奇术!$A:$ZZ,20,FALSE)+SUM(_xlfn.XLOOKUP($S46:$AL46,增益!$A:$A,增益!$T:$T,0))</f>
        <v>1.35</v>
      </c>
      <c r="BT46" s="24">
        <f t="shared" si="9"/>
        <v>0.89337855</v>
      </c>
      <c r="BU46" s="24">
        <f t="shared" si="10"/>
        <v>0.0153214500000001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0.21</v>
      </c>
      <c r="BX46" s="24">
        <f>VLOOKUP($R46,武学奇术!$A:$ZZ,32,FALSE)</f>
        <v>0.4</v>
      </c>
      <c r="BY46" s="24" cm="1">
        <f t="array" ref="BY46">SUM(_xlfn.XLOOKUP($S46:$AL46,增益!$A:$A,增益!$X:$X,0))</f>
        <v>0</v>
      </c>
    </row>
    <row r="47" spans="1:77">
      <c r="K47" s="37">
        <f>$L47*VLOOKUP($R47,武学奇术!$A:$ZZ,31,FALSE)</f>
        <v>169186.224837588</v>
      </c>
      <c r="L47" s="37">
        <f t="shared" si="11"/>
        <v>169186.224837588</v>
      </c>
      <c r="M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*(1+$BX47)</f>
        <v>176250.797594717</v>
      </c>
      <c r="N47" s="37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*(1+$BX47)</f>
        <v>115534.732824313</v>
      </c>
      <c r="O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*(1+$BX47)</f>
        <v>76965.4137968195</v>
      </c>
      <c r="P47" s="37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*(1+$BX47)</f>
        <v>68349.5440200736</v>
      </c>
      <c r="Q47" s="38">
        <v>1</v>
      </c>
      <c r="R47" s="39" t="s">
        <v>151</v>
      </c>
      <c r="S47" s="39" t="s">
        <v>104</v>
      </c>
      <c r="T47" s="39" t="s">
        <v>194</v>
      </c>
      <c r="U47" s="39" t="s">
        <v>81</v>
      </c>
      <c r="V47" s="39" t="s">
        <v>130</v>
      </c>
      <c r="W47" s="39" t="s">
        <v>83</v>
      </c>
      <c r="X47" s="39" t="s">
        <v>84</v>
      </c>
      <c r="Y47" s="39" t="s">
        <v>84</v>
      </c>
      <c r="Z47" s="39" t="s">
        <v>195</v>
      </c>
      <c r="AA47" s="39" t="s">
        <v>84</v>
      </c>
      <c r="AB47" s="39" t="s">
        <v>204</v>
      </c>
      <c r="AC47" s="39" t="s">
        <v>84</v>
      </c>
      <c r="AD47" s="39" t="s">
        <v>93</v>
      </c>
      <c r="AE47" s="39" t="s">
        <v>84</v>
      </c>
      <c r="AF47" s="39" t="s">
        <v>88</v>
      </c>
      <c r="AG47" s="39" t="s">
        <v>84</v>
      </c>
      <c r="AH47" s="39" t="s">
        <v>84</v>
      </c>
      <c r="AI47" s="39" t="s">
        <v>84</v>
      </c>
      <c r="AJ47" s="39" t="s">
        <v>84</v>
      </c>
      <c r="AK47" s="39" t="s">
        <v>84</v>
      </c>
      <c r="AL47" s="39" t="s">
        <v>84</v>
      </c>
      <c r="AM47" t="str">
        <f>VLOOKUP($R47,武学奇术!$A:$ZZ,25,FALSE)</f>
        <v>拳甲</v>
      </c>
      <c r="AN47" s="24">
        <f>VLOOKUP($R47,武学奇术!$A:$ZZ,26,FALSE)</f>
        <v>2.5499</v>
      </c>
      <c r="AO47" s="25">
        <f>VLOOKUP($R47,武学奇术!$A:$ZZ,27,FALSE)*(1+IF(OR($AM47=$F$4,$AM47=$F$5),$B$22,0))</f>
        <v>1131.2</v>
      </c>
      <c r="AP47" s="24">
        <f>VLOOKUP($R47,武学奇术!$A:$ZZ,28,FALSE)</f>
        <v>3.8249</v>
      </c>
      <c r="AQ47" s="25">
        <f>VLOOKUP($R47,武学奇术!$A:$ZZ,29,FALSE)*(1+IF(OR($AM47=$F$4,$AM47=$F$5),$B$22,0))</f>
        <v>616</v>
      </c>
      <c r="AR47" s="24" cm="1">
        <f t="array" ref="AR47">$G$3+IFERROR(VLOOKUP($AM47,$F$4:$G$7,2,FALSE),0)+VLOOKUP($R47,武学奇术!$A:$ZZ,2,FALSE)+SUM(_xlfn.XLOOKUP($S47:$AL47,增益!$A:$A,增益!$B:$B,0))</f>
        <v>0.3743</v>
      </c>
      <c r="AS47" s="24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4274.25</v>
      </c>
      <c r="AU47" cm="1">
        <f t="array" ref="AU47">$E$10*(1+$AS47)+VLOOKUP($R47,武学奇术!$A:$ZZ,4,FALSE)+SUM(_xlfn.XLOOKUP($S47:$AL47,增益!$A:$A,增益!$D:$D,0))-$I$2</f>
        <v>4274.25</v>
      </c>
      <c r="AV47" s="31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0.3434</v>
      </c>
      <c r="AW47" s="31" cm="1">
        <f t="array" ref="AW47">$G$10+VLOOKUP($R47,武学奇术!$A:$ZZ,7,FALSE)+SUM(_xlfn.XLOOKUP($S47:$AL47,增益!$A:$A,增益!$G:$G,0))</f>
        <v>0.11</v>
      </c>
      <c r="AX47" s="24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1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1" cm="1">
        <f t="array" ref="BB47">$G$11+VLOOKUP($R47,武学奇术!$A:$ZZ,10,FALSE)+SUM(_xlfn.XLOOKUP($S47:$AL47,增益!$A:$A,增益!$J:$J,0))</f>
        <v>0.02</v>
      </c>
      <c r="BC47">
        <f t="shared" si="3"/>
        <v>0</v>
      </c>
      <c r="BD47">
        <f t="shared" si="4"/>
        <v>0</v>
      </c>
      <c r="BE47" s="31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1" cm="1">
        <f t="array" ref="BF47">$G$12+VLOOKUP($R47,武学奇术!$A:$ZZ,12,FALSE)+SUM(_xlfn.XLOOKUP($S47:$AL47,增益!$A:$A,增益!$L:$L,0))</f>
        <v>0.02</v>
      </c>
      <c r="BG47">
        <f t="shared" si="5"/>
        <v>0</v>
      </c>
      <c r="BH47">
        <f t="shared" si="6"/>
        <v>0</v>
      </c>
      <c r="BI47" s="31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1" cm="1">
        <f t="array" ref="BJ47">$G$13+VLOOKUP($R47,武学奇术!$A:$ZZ,14,FALSE)+SUM(_xlfn.XLOOKUP($S47:$AL47,增益!$A:$A,增益!$N:$N,0))</f>
        <v>0.02</v>
      </c>
      <c r="BK47">
        <f t="shared" si="7"/>
        <v>649.11</v>
      </c>
      <c r="BL47">
        <f t="shared" si="8"/>
        <v>1812.09</v>
      </c>
      <c r="BM47" s="31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1" cm="1">
        <f t="array" ref="BN47">$G$14+VLOOKUP($R47,武学奇术!$A:$ZZ,16,FALSE)+SUM(_xlfn.XLOOKUP($S47:$AL47,增益!$A:$A,增益!$P:$P,0))</f>
        <v>0.26</v>
      </c>
      <c r="BO47" s="24">
        <f>MIN(IF(VLOOKUP($R47,武学奇术!$A:$ZZ,23,FALSE)=1,100%,$B$8),100%)</f>
        <v>0.9943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0.8985</v>
      </c>
      <c r="BQ47" s="24" cm="1">
        <f t="array" ref="BQ47">1+$B$13+VLOOKUP($R47,武学奇术!$A:$ZZ,18,FALSE)+SUM(_xlfn.XLOOKUP($S47:$AL47,增益!$A:$A,增益!$R:$R,0))</f>
        <v>2.29</v>
      </c>
      <c r="BR47" s="24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4" cm="1">
        <f t="array" ref="BS47">1+$B$14+VLOOKUP($R47,武学奇术!$A:$ZZ,20,FALSE)+SUM(_xlfn.XLOOKUP($S47:$AL47,增益!$A:$A,增益!$T:$T,0))</f>
        <v>1.35</v>
      </c>
      <c r="BT47" s="24">
        <f t="shared" si="9"/>
        <v>0.89337855</v>
      </c>
      <c r="BU47" s="24">
        <f t="shared" si="10"/>
        <v>0.0153214500000001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0.21</v>
      </c>
      <c r="BX47" s="24">
        <f>VLOOKUP($R47,武学奇术!$A:$ZZ,32,FALSE)</f>
        <v>0.4</v>
      </c>
      <c r="BY47" s="24" cm="1">
        <f t="array" ref="BY47">SUM(_xlfn.XLOOKUP($S47:$AL47,增益!$A:$A,增益!$X:$X,0))</f>
        <v>0</v>
      </c>
    </row>
    <row r="48" spans="1:77">
      <c r="F48" s="4"/>
      <c r="G48" s="4"/>
      <c r="K48" s="37">
        <f>$L48*VLOOKUP($R48,武学奇术!$A:$ZZ,31,FALSE)</f>
        <v>202908.013651828</v>
      </c>
      <c r="L48" s="37">
        <f t="shared" si="11"/>
        <v>202908.013651828</v>
      </c>
      <c r="M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*(1+$BX48)</f>
        <v>211380.278231113</v>
      </c>
      <c r="N48" s="37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*(1+$BX48)</f>
        <v>138566.796417592</v>
      </c>
      <c r="O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*(1+$BX48)</f>
        <v>92305.7983541978</v>
      </c>
      <c r="P48" s="37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*(1+$BX48)</f>
        <v>81969.5252879569</v>
      </c>
      <c r="Q48" s="38">
        <v>1</v>
      </c>
      <c r="R48" s="39" t="s">
        <v>157</v>
      </c>
      <c r="S48" s="39" t="s">
        <v>104</v>
      </c>
      <c r="T48" s="39" t="s">
        <v>194</v>
      </c>
      <c r="U48" s="39" t="s">
        <v>81</v>
      </c>
      <c r="V48" s="39" t="s">
        <v>130</v>
      </c>
      <c r="W48" s="39" t="s">
        <v>83</v>
      </c>
      <c r="X48" s="39" t="s">
        <v>84</v>
      </c>
      <c r="Y48" s="39" t="s">
        <v>84</v>
      </c>
      <c r="Z48" s="39" t="s">
        <v>195</v>
      </c>
      <c r="AA48" s="39" t="s">
        <v>84</v>
      </c>
      <c r="AB48" s="39" t="s">
        <v>204</v>
      </c>
      <c r="AC48" s="39" t="s">
        <v>84</v>
      </c>
      <c r="AD48" s="39" t="s">
        <v>93</v>
      </c>
      <c r="AE48" s="39" t="s">
        <v>84</v>
      </c>
      <c r="AF48" s="39" t="s">
        <v>88</v>
      </c>
      <c r="AG48" s="39" t="s">
        <v>84</v>
      </c>
      <c r="AH48" s="39" t="s">
        <v>84</v>
      </c>
      <c r="AI48" s="39" t="s">
        <v>84</v>
      </c>
      <c r="AJ48" s="39" t="s">
        <v>84</v>
      </c>
      <c r="AK48" s="39" t="s">
        <v>84</v>
      </c>
      <c r="AL48" s="39" t="s">
        <v>84</v>
      </c>
      <c r="AM48" t="str">
        <f>VLOOKUP($R48,武学奇术!$A:$ZZ,25,FALSE)</f>
        <v>双刀</v>
      </c>
      <c r="AN48" s="24">
        <f>VLOOKUP($R48,武学奇术!$A:$ZZ,26,FALSE)</f>
        <v>2.85516</v>
      </c>
      <c r="AO48" s="25">
        <f>VLOOKUP($R48,武学奇术!$A:$ZZ,27,FALSE)*(1+IF(OR($AM48=$F$4,$AM48=$F$5),$B$22,0))</f>
        <v>1263.36</v>
      </c>
      <c r="AP48" s="24">
        <f>VLOOKUP($R48,武学奇术!$A:$ZZ,28,FALSE)</f>
        <v>4.28274</v>
      </c>
      <c r="AQ48" s="25">
        <f>VLOOKUP($R48,武学奇术!$A:$ZZ,29,FALSE)*(1+IF(OR($AM48=$F$4,$AM48=$F$5),$B$22,0))</f>
        <v>687.68</v>
      </c>
      <c r="AR48" s="24" cm="1">
        <f t="array" ref="AR48">$G$3+IFERROR(VLOOKUP($AM48,$F$4:$G$7,2,FALSE),0)+VLOOKUP($R48,武学奇术!$A:$ZZ,2,FALSE)+SUM(_xlfn.XLOOKUP($S48:$AL48,增益!$A:$A,增益!$B:$B,0))</f>
        <v>0.3743</v>
      </c>
      <c r="AS48" s="24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4274.25</v>
      </c>
      <c r="AU48" cm="1">
        <f t="array" ref="AU48">$E$10*(1+$AS48)+VLOOKUP($R48,武学奇术!$A:$ZZ,4,FALSE)+SUM(_xlfn.XLOOKUP($S48:$AL48,增益!$A:$A,增益!$D:$D,0))-$I$2</f>
        <v>4274.25</v>
      </c>
      <c r="AV48" s="31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0.3434</v>
      </c>
      <c r="AW48" s="31" cm="1">
        <f t="array" ref="AW48">$G$10+VLOOKUP($R48,武学奇术!$A:$ZZ,7,FALSE)+SUM(_xlfn.XLOOKUP($S48:$AL48,增益!$A:$A,增益!$G:$G,0))</f>
        <v>0.11</v>
      </c>
      <c r="AX48" s="24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1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1" cm="1">
        <f t="array" ref="BB48">$G$11+VLOOKUP($R48,武学奇术!$A:$ZZ,10,FALSE)+SUM(_xlfn.XLOOKUP($S48:$AL48,增益!$A:$A,增益!$J:$J,0))</f>
        <v>0.02</v>
      </c>
      <c r="BC48">
        <f t="shared" si="3"/>
        <v>0</v>
      </c>
      <c r="BD48">
        <f t="shared" si="4"/>
        <v>0</v>
      </c>
      <c r="BE48" s="31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1" cm="1">
        <f t="array" ref="BF48">$G$12+VLOOKUP($R48,武学奇术!$A:$ZZ,12,FALSE)+SUM(_xlfn.XLOOKUP($S48:$AL48,增益!$A:$A,增益!$L:$L,0))</f>
        <v>0.02</v>
      </c>
      <c r="BG48">
        <f t="shared" si="5"/>
        <v>0</v>
      </c>
      <c r="BH48">
        <f t="shared" si="6"/>
        <v>0</v>
      </c>
      <c r="BI48" s="31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1" cm="1">
        <f t="array" ref="BJ48">$G$13+VLOOKUP($R48,武学奇术!$A:$ZZ,14,FALSE)+SUM(_xlfn.XLOOKUP($S48:$AL48,增益!$A:$A,增益!$N:$N,0))</f>
        <v>0.02</v>
      </c>
      <c r="BK48">
        <f t="shared" si="7"/>
        <v>649.11</v>
      </c>
      <c r="BL48">
        <f t="shared" si="8"/>
        <v>1812.09</v>
      </c>
      <c r="BM48" s="31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</v>
      </c>
      <c r="BN48" s="31" cm="1">
        <f t="array" ref="BN48">$G$14+VLOOKUP($R48,武学奇术!$A:$ZZ,16,FALSE)+SUM(_xlfn.XLOOKUP($S48:$AL48,增益!$A:$A,增益!$P:$P,0))</f>
        <v>0.26</v>
      </c>
      <c r="BO48" s="24">
        <f>MIN(IF(VLOOKUP($R48,武学奇术!$A:$ZZ,23,FALSE)=1,100%,$B$8),100%)</f>
        <v>0.9943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0.8985</v>
      </c>
      <c r="BQ48" s="24" cm="1">
        <f t="array" ref="BQ48">1+$B$13+VLOOKUP($R48,武学奇术!$A:$ZZ,18,FALSE)+SUM(_xlfn.XLOOKUP($S48:$AL48,增益!$A:$A,增益!$R:$R,0))</f>
        <v>2.29</v>
      </c>
      <c r="BR48" s="24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4" cm="1">
        <f t="array" ref="BS48">1+$B$14+VLOOKUP($R48,武学奇术!$A:$ZZ,20,FALSE)+SUM(_xlfn.XLOOKUP($S48:$AL48,增益!$A:$A,增益!$T:$T,0))</f>
        <v>1.35</v>
      </c>
      <c r="BT48" s="24">
        <f t="shared" si="9"/>
        <v>0.89337855</v>
      </c>
      <c r="BU48" s="24">
        <f t="shared" si="10"/>
        <v>0.0153214500000001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0.21</v>
      </c>
      <c r="BX48" s="24">
        <f>VLOOKUP($R48,武学奇术!$A:$ZZ,32,FALSE)</f>
        <v>0.5</v>
      </c>
      <c r="BY48" s="24" cm="1">
        <f t="array" ref="BY48">SUM(_xlfn.XLOOKUP($S48:$AL48,增益!$A:$A,增益!$X:$X,0))</f>
        <v>0</v>
      </c>
    </row>
    <row r="49" spans="1:77">
      <c r="A49" s="4"/>
      <c r="B49" s="90"/>
      <c r="K49" s="37">
        <f>$L49*VLOOKUP($R49,武学奇术!$A:$ZZ,31,FALSE)</f>
        <v>248141.863344148</v>
      </c>
      <c r="L49" s="37">
        <f t="shared" si="11"/>
        <v>248141.863344148</v>
      </c>
      <c r="M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*(1+$BX49)</f>
        <v>258502.707968501</v>
      </c>
      <c r="N49" s="37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*(1+$BX49)</f>
        <v>169458.416423222</v>
      </c>
      <c r="O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*(1+$BX49)</f>
        <v>112883.278588865</v>
      </c>
      <c r="P49" s="37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*(1+$BX49)</f>
        <v>100241.80427164</v>
      </c>
      <c r="Q49" s="38">
        <v>1</v>
      </c>
      <c r="R49" s="39" t="s">
        <v>163</v>
      </c>
      <c r="S49" s="39" t="s">
        <v>104</v>
      </c>
      <c r="T49" s="39" t="s">
        <v>194</v>
      </c>
      <c r="U49" s="39" t="s">
        <v>81</v>
      </c>
      <c r="V49" s="39" t="s">
        <v>130</v>
      </c>
      <c r="W49" s="39" t="s">
        <v>83</v>
      </c>
      <c r="X49" s="39" t="s">
        <v>84</v>
      </c>
      <c r="Y49" s="39" t="s">
        <v>84</v>
      </c>
      <c r="Z49" s="39" t="s">
        <v>84</v>
      </c>
      <c r="AA49" s="39" t="s">
        <v>84</v>
      </c>
      <c r="AB49" s="39" t="s">
        <v>204</v>
      </c>
      <c r="AC49" s="39" t="s">
        <v>84</v>
      </c>
      <c r="AD49" s="39" t="s">
        <v>93</v>
      </c>
      <c r="AE49" s="39" t="s">
        <v>84</v>
      </c>
      <c r="AF49" s="39" t="s">
        <v>88</v>
      </c>
      <c r="AG49" s="39" t="s">
        <v>84</v>
      </c>
      <c r="AH49" s="39" t="s">
        <v>84</v>
      </c>
      <c r="AI49" s="39" t="s">
        <v>84</v>
      </c>
      <c r="AJ49" s="39" t="s">
        <v>84</v>
      </c>
      <c r="AK49" s="39" t="s">
        <v>84</v>
      </c>
      <c r="AL49" s="39" t="s">
        <v>84</v>
      </c>
      <c r="AM49" t="str">
        <f>VLOOKUP($R49,武学奇术!$A:$ZZ,25,FALSE)</f>
        <v>双刀</v>
      </c>
      <c r="AN49" s="24">
        <f>VLOOKUP($R49,武学奇术!$A:$ZZ,26,FALSE)</f>
        <v>3.80688</v>
      </c>
      <c r="AO49" s="25">
        <f>VLOOKUP($R49,武学奇术!$A:$ZZ,27,FALSE)*(1+IF(OR($AM49=$F$4,$AM49=$F$5),$B$22,0))</f>
        <v>1684.48</v>
      </c>
      <c r="AP49" s="24">
        <f>VLOOKUP($R49,武学奇术!$A:$ZZ,28,FALSE)</f>
        <v>5.70976</v>
      </c>
      <c r="AQ49" s="25">
        <f>VLOOKUP($R49,武学奇术!$A:$ZZ,29,FALSE)*(1+IF(OR($AM49=$F$4,$AM49=$F$5),$B$22,0))</f>
        <v>913.92</v>
      </c>
      <c r="AR49" s="24" cm="1">
        <f t="array" ref="AR49">$G$3+IFERROR(VLOOKUP($AM49,$F$4:$G$7,2,FALSE),0)+VLOOKUP($R49,武学奇术!$A:$ZZ,2,FALSE)+SUM(_xlfn.XLOOKUP($S49:$AL49,增益!$A:$A,增益!$B:$B,0))</f>
        <v>0.3743</v>
      </c>
      <c r="AS49" s="24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4274.25</v>
      </c>
      <c r="AU49" cm="1">
        <f t="array" ref="AU49">$E$10*(1+$AS49)+VLOOKUP($R49,武学奇术!$A:$ZZ,4,FALSE)+SUM(_xlfn.XLOOKUP($S49:$AL49,增益!$A:$A,增益!$D:$D,0))-$I$2</f>
        <v>4274.25</v>
      </c>
      <c r="AV49" s="31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0.3434</v>
      </c>
      <c r="AW49" s="31" cm="1">
        <f t="array" ref="AW49">$G$10+VLOOKUP($R49,武学奇术!$A:$ZZ,7,FALSE)+SUM(_xlfn.XLOOKUP($S49:$AL49,增益!$A:$A,增益!$G:$G,0))</f>
        <v>0.11</v>
      </c>
      <c r="AX49" s="24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1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1" cm="1">
        <f t="array" ref="BB49">$G$11+VLOOKUP($R49,武学奇术!$A:$ZZ,10,FALSE)+SUM(_xlfn.XLOOKUP($S49:$AL49,增益!$A:$A,增益!$J:$J,0))</f>
        <v>0.02</v>
      </c>
      <c r="BC49">
        <f t="shared" si="3"/>
        <v>0</v>
      </c>
      <c r="BD49">
        <f t="shared" si="4"/>
        <v>0</v>
      </c>
      <c r="BE49" s="31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1" cm="1">
        <f t="array" ref="BF49">$G$12+VLOOKUP($R49,武学奇术!$A:$ZZ,12,FALSE)+SUM(_xlfn.XLOOKUP($S49:$AL49,增益!$A:$A,增益!$L:$L,0))</f>
        <v>0.02</v>
      </c>
      <c r="BG49">
        <f t="shared" si="5"/>
        <v>0</v>
      </c>
      <c r="BH49">
        <f t="shared" si="6"/>
        <v>0</v>
      </c>
      <c r="BI49" s="31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1" cm="1">
        <f t="array" ref="BJ49">$G$13+VLOOKUP($R49,武学奇术!$A:$ZZ,14,FALSE)+SUM(_xlfn.XLOOKUP($S49:$AL49,增益!$A:$A,增益!$N:$N,0))</f>
        <v>0.02</v>
      </c>
      <c r="BK49">
        <f t="shared" si="7"/>
        <v>649.11</v>
      </c>
      <c r="BL49">
        <f t="shared" si="8"/>
        <v>1812.09</v>
      </c>
      <c r="BM49" s="31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1" cm="1">
        <f t="array" ref="BN49">$G$14+VLOOKUP($R49,武学奇术!$A:$ZZ,16,FALSE)+SUM(_xlfn.XLOOKUP($S49:$AL49,增益!$A:$A,增益!$P:$P,0))</f>
        <v>0.26</v>
      </c>
      <c r="BO49" s="24">
        <f>MIN(IF(VLOOKUP($R49,武学奇术!$A:$ZZ,23,FALSE)=1,100%,$B$8),100%)</f>
        <v>0.9943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0.8985</v>
      </c>
      <c r="BQ49" s="24" cm="1">
        <f t="array" ref="BQ49">1+$B$13+VLOOKUP($R49,武学奇术!$A:$ZZ,18,FALSE)+SUM(_xlfn.XLOOKUP($S49:$AL49,增益!$A:$A,增益!$R:$R,0))</f>
        <v>2.29</v>
      </c>
      <c r="BR49" s="24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4" cm="1">
        <f t="array" ref="BS49">1+$B$14+VLOOKUP($R49,武学奇术!$A:$ZZ,20,FALSE)+SUM(_xlfn.XLOOKUP($S49:$AL49,增益!$A:$A,增益!$T:$T,0))</f>
        <v>1.35</v>
      </c>
      <c r="BT49" s="24">
        <f t="shared" si="9"/>
        <v>0.89337855</v>
      </c>
      <c r="BU49" s="24">
        <f t="shared" si="10"/>
        <v>0.0153214500000001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0.11</v>
      </c>
      <c r="BX49" s="24">
        <f>VLOOKUP($R49,武学奇术!$A:$ZZ,32,FALSE)</f>
        <v>0.5</v>
      </c>
      <c r="BY49" s="24" cm="1">
        <f t="array" ref="BY49">SUM(_xlfn.XLOOKUP($S49:$AL49,增益!$A:$A,增益!$X:$X,0))</f>
        <v>0</v>
      </c>
    </row>
    <row r="50" spans="1:77">
      <c r="K50" s="37">
        <f>$L50*VLOOKUP($R50,武学奇术!$A:$ZZ,31,FALSE)</f>
        <v>186138.756325231</v>
      </c>
      <c r="L50" s="37">
        <f t="shared" si="11"/>
        <v>186138.756325231</v>
      </c>
      <c r="M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*(1+$BX50)</f>
        <v>193910.833749203</v>
      </c>
      <c r="N50" s="37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*(1+$BX50)</f>
        <v>127114.995060766</v>
      </c>
      <c r="O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*(1+$BX50)</f>
        <v>84677.2199778178</v>
      </c>
      <c r="P50" s="37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*(1+$BX50)</f>
        <v>75195.1843550679</v>
      </c>
      <c r="Q50" s="38">
        <v>1</v>
      </c>
      <c r="R50" s="39" t="s">
        <v>166</v>
      </c>
      <c r="S50" s="39" t="s">
        <v>104</v>
      </c>
      <c r="T50" s="39" t="s">
        <v>194</v>
      </c>
      <c r="U50" s="39" t="s">
        <v>81</v>
      </c>
      <c r="V50" s="39" t="s">
        <v>130</v>
      </c>
      <c r="W50" s="39" t="s">
        <v>83</v>
      </c>
      <c r="X50" s="39" t="s">
        <v>84</v>
      </c>
      <c r="Y50" s="39" t="s">
        <v>84</v>
      </c>
      <c r="Z50" s="39" t="s">
        <v>84</v>
      </c>
      <c r="AA50" s="39" t="s">
        <v>84</v>
      </c>
      <c r="AB50" s="39" t="s">
        <v>204</v>
      </c>
      <c r="AC50" s="39" t="s">
        <v>84</v>
      </c>
      <c r="AD50" s="39" t="s">
        <v>93</v>
      </c>
      <c r="AE50" s="39" t="s">
        <v>84</v>
      </c>
      <c r="AF50" s="39" t="s">
        <v>88</v>
      </c>
      <c r="AG50" s="39" t="s">
        <v>84</v>
      </c>
      <c r="AH50" s="39" t="s">
        <v>84</v>
      </c>
      <c r="AI50" s="39" t="s">
        <v>84</v>
      </c>
      <c r="AJ50" s="39" t="s">
        <v>84</v>
      </c>
      <c r="AK50" s="39" t="s">
        <v>84</v>
      </c>
      <c r="AL50" s="39" t="s">
        <v>84</v>
      </c>
      <c r="AM50" t="str">
        <f>VLOOKUP($R50,武学奇术!$A:$ZZ,25,FALSE)</f>
        <v>双刀</v>
      </c>
      <c r="AN50" s="24">
        <f>VLOOKUP($R50,武学奇术!$A:$ZZ,26,FALSE)</f>
        <v>2.85516</v>
      </c>
      <c r="AO50" s="25">
        <f>VLOOKUP($R50,武学奇术!$A:$ZZ,27,FALSE)*(1+IF(OR($AM50=$F$4,$AM50=$F$5),$B$22,0))</f>
        <v>1263.36</v>
      </c>
      <c r="AP50" s="24">
        <f>VLOOKUP($R50,武学奇术!$A:$ZZ,28,FALSE)</f>
        <v>4.28274</v>
      </c>
      <c r="AQ50" s="25">
        <f>VLOOKUP($R50,武学奇术!$A:$ZZ,29,FALSE)*(1+IF(OR($AM50=$F$4,$AM50=$F$5),$B$22,0))</f>
        <v>687.68</v>
      </c>
      <c r="AR50" s="24" cm="1">
        <f t="array" ref="AR50">$G$3+IFERROR(VLOOKUP($AM50,$F$4:$G$7,2,FALSE),0)+VLOOKUP($R50,武学奇术!$A:$ZZ,2,FALSE)+SUM(_xlfn.XLOOKUP($S50:$AL50,增益!$A:$A,增益!$B:$B,0))</f>
        <v>0.3743</v>
      </c>
      <c r="AS50" s="24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4274.25</v>
      </c>
      <c r="AU50" cm="1">
        <f t="array" ref="AU50">$E$10*(1+$AS50)+VLOOKUP($R50,武学奇术!$A:$ZZ,4,FALSE)+SUM(_xlfn.XLOOKUP($S50:$AL50,增益!$A:$A,增益!$D:$D,0))-$I$2</f>
        <v>4274.25</v>
      </c>
      <c r="AV50" s="31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0.3434</v>
      </c>
      <c r="AW50" s="31" cm="1">
        <f t="array" ref="AW50">$G$10+VLOOKUP($R50,武学奇术!$A:$ZZ,7,FALSE)+SUM(_xlfn.XLOOKUP($S50:$AL50,增益!$A:$A,增益!$G:$G,0))</f>
        <v>0.11</v>
      </c>
      <c r="AX50" s="24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1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1" cm="1">
        <f t="array" ref="BB50">$G$11+VLOOKUP($R50,武学奇术!$A:$ZZ,10,FALSE)+SUM(_xlfn.XLOOKUP($S50:$AL50,增益!$A:$A,增益!$J:$J,0))</f>
        <v>0.02</v>
      </c>
      <c r="BC50">
        <f t="shared" si="3"/>
        <v>0</v>
      </c>
      <c r="BD50">
        <f t="shared" si="4"/>
        <v>0</v>
      </c>
      <c r="BE50" s="31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1" cm="1">
        <f t="array" ref="BF50">$G$12+VLOOKUP($R50,武学奇术!$A:$ZZ,12,FALSE)+SUM(_xlfn.XLOOKUP($S50:$AL50,增益!$A:$A,增益!$L:$L,0))</f>
        <v>0.02</v>
      </c>
      <c r="BG50">
        <f t="shared" si="5"/>
        <v>0</v>
      </c>
      <c r="BH50">
        <f t="shared" si="6"/>
        <v>0</v>
      </c>
      <c r="BI50" s="31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1" cm="1">
        <f t="array" ref="BJ50">$G$13+VLOOKUP($R50,武学奇术!$A:$ZZ,14,FALSE)+SUM(_xlfn.XLOOKUP($S50:$AL50,增益!$A:$A,增益!$N:$N,0))</f>
        <v>0.02</v>
      </c>
      <c r="BK50">
        <f t="shared" si="7"/>
        <v>649.11</v>
      </c>
      <c r="BL50">
        <f t="shared" si="8"/>
        <v>1812.09</v>
      </c>
      <c r="BM50" s="31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1" cm="1">
        <f t="array" ref="BN50">$G$14+VLOOKUP($R50,武学奇术!$A:$ZZ,16,FALSE)+SUM(_xlfn.XLOOKUP($S50:$AL50,增益!$A:$A,增益!$P:$P,0))</f>
        <v>0.26</v>
      </c>
      <c r="BO50" s="24">
        <f>MIN(IF(VLOOKUP($R50,武学奇术!$A:$ZZ,23,FALSE)=1,100%,$B$8),100%)</f>
        <v>0.9943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0.8985</v>
      </c>
      <c r="BQ50" s="24" cm="1">
        <f t="array" ref="BQ50">1+$B$13+VLOOKUP($R50,武学奇术!$A:$ZZ,18,FALSE)+SUM(_xlfn.XLOOKUP($S50:$AL50,增益!$A:$A,增益!$R:$R,0))</f>
        <v>2.29</v>
      </c>
      <c r="BR50" s="24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4" cm="1">
        <f t="array" ref="BS50">1+$B$14+VLOOKUP($R50,武学奇术!$A:$ZZ,20,FALSE)+SUM(_xlfn.XLOOKUP($S50:$AL50,增益!$A:$A,增益!$T:$T,0))</f>
        <v>1.35</v>
      </c>
      <c r="BT50" s="24">
        <f t="shared" si="9"/>
        <v>0.89337855</v>
      </c>
      <c r="BU50" s="24">
        <f t="shared" si="10"/>
        <v>0.0153214500000001</v>
      </c>
      <c r="BV50" s="24">
        <f>IF(VLOOKUP($R50,武学奇术!$A:$ZZ,22,FALSE)=1,0,(1-$BO50))*(1-$BR50)</f>
        <v>0</v>
      </c>
      <c r="BW50" s="24" cm="1">
        <f t="array" ref="BW50">SUM(_xlfn.XLOOKUP($S50:$AL50,增益!$A:$A,增益!$W:$W,0))+$I$5</f>
        <v>0.11</v>
      </c>
      <c r="BX50" s="24">
        <f>VLOOKUP($R50,武学奇术!$A:$ZZ,32,FALSE)</f>
        <v>0.5</v>
      </c>
      <c r="BY50" s="24" cm="1">
        <f t="array" ref="BY50">SUM(_xlfn.XLOOKUP($S50:$AL50,增益!$A:$A,增益!$X:$X,0))</f>
        <v>0</v>
      </c>
    </row>
    <row r="51" spans="1:77">
      <c r="A51" s="4"/>
      <c r="B51" s="4"/>
      <c r="F51" s="4"/>
      <c r="G51" s="4"/>
      <c r="K51" s="37">
        <f>$L51*VLOOKUP($R51,武学奇术!$A:$ZZ,31,FALSE)</f>
        <v>31507.9459193437</v>
      </c>
      <c r="L51" s="37">
        <f t="shared" si="11"/>
        <v>31507.9459193437</v>
      </c>
      <c r="M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*(1+$BX51)</f>
        <v>32357.4930527423</v>
      </c>
      <c r="N51" s="37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*(1+$BX51)</f>
        <v>25719.0299146112</v>
      </c>
      <c r="O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*(1+$BX51)</f>
        <v>17120.3666945727</v>
      </c>
      <c r="P51" s="37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*(1+$BX51)</f>
        <v>15189.600119063</v>
      </c>
      <c r="Q51" s="38">
        <v>1</v>
      </c>
      <c r="R51" s="39" t="s">
        <v>169</v>
      </c>
      <c r="S51" s="39" t="s">
        <v>104</v>
      </c>
      <c r="T51" s="39" t="s">
        <v>194</v>
      </c>
      <c r="U51" s="39" t="s">
        <v>81</v>
      </c>
      <c r="V51" s="39" t="s">
        <v>84</v>
      </c>
      <c r="W51" s="39" t="s">
        <v>84</v>
      </c>
      <c r="X51" s="39" t="s">
        <v>84</v>
      </c>
      <c r="Y51" s="39" t="s">
        <v>84</v>
      </c>
      <c r="Z51" s="39" t="s">
        <v>84</v>
      </c>
      <c r="AA51" s="39" t="s">
        <v>84</v>
      </c>
      <c r="AB51" s="39" t="s">
        <v>205</v>
      </c>
      <c r="AC51" s="39" t="s">
        <v>84</v>
      </c>
      <c r="AD51" s="39" t="s">
        <v>93</v>
      </c>
      <c r="AE51" s="39" t="s">
        <v>84</v>
      </c>
      <c r="AF51" s="39" t="s">
        <v>88</v>
      </c>
      <c r="AG51" s="39" t="s">
        <v>84</v>
      </c>
      <c r="AH51" s="39" t="s">
        <v>84</v>
      </c>
      <c r="AI51" s="39" t="s">
        <v>84</v>
      </c>
      <c r="AJ51" s="39" t="s">
        <v>84</v>
      </c>
      <c r="AK51" s="39" t="s">
        <v>84</v>
      </c>
      <c r="AL51" s="39" t="s">
        <v>84</v>
      </c>
      <c r="AM51" t="str">
        <f>VLOOKUP($R51,武学奇术!$A:$ZZ,25,FALSE)</f>
        <v>拳甲</v>
      </c>
      <c r="AN51" s="24">
        <f>VLOOKUP($R51,武学奇术!$A:$ZZ,26,FALSE)</f>
        <v>0.9193</v>
      </c>
      <c r="AO51" s="25">
        <f>VLOOKUP($R51,武学奇术!$A:$ZZ,27,FALSE)*(1+IF(OR($AM51=$F$4,$AM51=$F$5),$B$22,0))</f>
        <v>408</v>
      </c>
      <c r="AP51" s="24">
        <f>VLOOKUP($R51,武学奇术!$A:$ZZ,28,FALSE)</f>
        <v>1.379</v>
      </c>
      <c r="AQ51" s="25">
        <f>VLOOKUP($R51,武学奇术!$A:$ZZ,29,FALSE)*(1+IF(OR($AM51=$F$4,$AM51=$F$5),$B$22,0))</f>
        <v>222.4</v>
      </c>
      <c r="AR51" s="24" cm="1">
        <f t="array" ref="AR51">$G$3+IFERROR(VLOOKUP($AM51,$F$4:$G$7,2,FALSE),0)+VLOOKUP($R51,武学奇术!$A:$ZZ,2,FALSE)+SUM(_xlfn.XLOOKUP($S51:$AL51,增益!$A:$A,增益!$B:$B,0))</f>
        <v>0.3243</v>
      </c>
      <c r="AS51" s="24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4274.25</v>
      </c>
      <c r="AU51" cm="1">
        <f t="array" ref="AU51">$E$10*(1+$AS51)+VLOOKUP($R51,武学奇术!$A:$ZZ,4,FALSE)+SUM(_xlfn.XLOOKUP($S51:$AL51,增益!$A:$A,增益!$D:$D,0))-$I$2</f>
        <v>4274.25</v>
      </c>
      <c r="AV51" s="31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0.3434</v>
      </c>
      <c r="AW51" s="31" cm="1">
        <f t="array" ref="AW51">$G$10+VLOOKUP($R51,武学奇术!$A:$ZZ,7,FALSE)+SUM(_xlfn.XLOOKUP($S51:$AL51,增益!$A:$A,增益!$G:$G,0))</f>
        <v>0.02</v>
      </c>
      <c r="AX51" s="24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1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1" cm="1">
        <f t="array" ref="BB51">$G$11+VLOOKUP($R51,武学奇术!$A:$ZZ,10,FALSE)+SUM(_xlfn.XLOOKUP($S51:$AL51,增益!$A:$A,增益!$J:$J,0))</f>
        <v>0.02</v>
      </c>
      <c r="BC51">
        <f t="shared" si="3"/>
        <v>0</v>
      </c>
      <c r="BD51">
        <f t="shared" si="4"/>
        <v>0</v>
      </c>
      <c r="BE51" s="31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1" cm="1">
        <f t="array" ref="BF51">$G$12+VLOOKUP($R51,武学奇术!$A:$ZZ,12,FALSE)+SUM(_xlfn.XLOOKUP($S51:$AL51,增益!$A:$A,增益!$L:$L,0))</f>
        <v>0.02</v>
      </c>
      <c r="BG51">
        <f t="shared" si="5"/>
        <v>0</v>
      </c>
      <c r="BH51">
        <f t="shared" si="6"/>
        <v>0</v>
      </c>
      <c r="BI51" s="31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1" cm="1">
        <f t="array" ref="BJ51">$G$13+VLOOKUP($R51,武学奇术!$A:$ZZ,14,FALSE)+SUM(_xlfn.XLOOKUP($S51:$AL51,增益!$A:$A,增益!$N:$N,0))</f>
        <v>0.02</v>
      </c>
      <c r="BK51">
        <f t="shared" si="7"/>
        <v>649.11</v>
      </c>
      <c r="BL51">
        <f t="shared" si="8"/>
        <v>1812.09</v>
      </c>
      <c r="BM51" s="31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1" cm="1">
        <f t="array" ref="BN51">$G$14+VLOOKUP($R51,武学奇术!$A:$ZZ,16,FALSE)+SUM(_xlfn.XLOOKUP($S51:$AL51,增益!$A:$A,增益!$P:$P,0))</f>
        <v>0.17</v>
      </c>
      <c r="BO51" s="24">
        <f>MIN(IF(VLOOKUP($R51,武学奇术!$A:$ZZ,23,FALSE)=1,100%,$B$8),100%)</f>
        <v>0.9943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0.8985</v>
      </c>
      <c r="BQ51" s="24" cm="1">
        <f t="array" ref="BQ51">1+$B$13+VLOOKUP($R51,武学奇术!$A:$ZZ,18,FALSE)+SUM(_xlfn.XLOOKUP($S51:$AL51,增益!$A:$A,增益!$R:$R,0))</f>
        <v>1.89</v>
      </c>
      <c r="BR51" s="24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24" cm="1">
        <f t="array" ref="BS51">1+$B$14+VLOOKUP($R51,武学奇术!$A:$ZZ,20,FALSE)+SUM(_xlfn.XLOOKUP($S51:$AL51,增益!$A:$A,增益!$T:$T,0))</f>
        <v>1.35</v>
      </c>
      <c r="BT51" s="24">
        <f t="shared" si="9"/>
        <v>0.89337855</v>
      </c>
      <c r="BU51" s="24">
        <f t="shared" si="10"/>
        <v>0.01014186</v>
      </c>
      <c r="BV51" s="24">
        <f>IF(VLOOKUP($R51,武学奇术!$A:$ZZ,22,FALSE)=1,0,(1-$BO51))*(1-$BR51)</f>
        <v>0.00517959000000003</v>
      </c>
      <c r="BW51" s="24" cm="1">
        <f t="array" ref="BW51">SUM(_xlfn.XLOOKUP($S51:$AL51,增益!$A:$A,增益!$W:$W,0))+$I$5</f>
        <v>0.11</v>
      </c>
      <c r="BX51" s="24">
        <f>VLOOKUP($R51,武学奇术!$A:$ZZ,32,FALSE)</f>
        <v>0.4</v>
      </c>
      <c r="BY51" s="24" cm="1">
        <f t="array" ref="BY51">SUM(_xlfn.XLOOKUP($S51:$AL51,增益!$A:$A,增益!$X:$X,0))</f>
        <v>0</v>
      </c>
    </row>
    <row r="52" spans="1:77">
      <c r="F52" s="4"/>
      <c r="G52" s="90"/>
      <c r="K52" s="37">
        <f>$L52*VLOOKUP($R52,武学奇术!$A:$ZZ,31,FALSE)</f>
        <v>42235.2359725221</v>
      </c>
      <c r="L52" s="37">
        <f t="shared" si="11"/>
        <v>42235.2359725221</v>
      </c>
      <c r="M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*(1+$BX52)</f>
        <v>43374.0393216291</v>
      </c>
      <c r="N52" s="37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*(1+$BX52)</f>
        <v>34475.2340814627</v>
      </c>
      <c r="O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*(1+$BX52)</f>
        <v>22949.2271543011</v>
      </c>
      <c r="P52" s="37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*(1+$BX52)</f>
        <v>20361.2438778892</v>
      </c>
      <c r="Q52" s="38">
        <v>1</v>
      </c>
      <c r="R52" s="39" t="s">
        <v>173</v>
      </c>
      <c r="S52" s="39" t="s">
        <v>104</v>
      </c>
      <c r="T52" s="39" t="s">
        <v>194</v>
      </c>
      <c r="U52" s="39" t="s">
        <v>81</v>
      </c>
      <c r="V52" s="39" t="s">
        <v>84</v>
      </c>
      <c r="W52" s="39" t="s">
        <v>84</v>
      </c>
      <c r="X52" s="39" t="s">
        <v>84</v>
      </c>
      <c r="Y52" s="39" t="s">
        <v>84</v>
      </c>
      <c r="Z52" s="39" t="s">
        <v>84</v>
      </c>
      <c r="AA52" s="39" t="s">
        <v>84</v>
      </c>
      <c r="AB52" s="39" t="s">
        <v>205</v>
      </c>
      <c r="AC52" s="39" t="s">
        <v>84</v>
      </c>
      <c r="AD52" s="39" t="s">
        <v>93</v>
      </c>
      <c r="AE52" s="39" t="s">
        <v>84</v>
      </c>
      <c r="AF52" s="39" t="s">
        <v>88</v>
      </c>
      <c r="AG52" s="39" t="s">
        <v>84</v>
      </c>
      <c r="AH52" s="39" t="s">
        <v>84</v>
      </c>
      <c r="AI52" s="39" t="s">
        <v>84</v>
      </c>
      <c r="AJ52" s="39" t="s">
        <v>84</v>
      </c>
      <c r="AK52" s="39" t="s">
        <v>84</v>
      </c>
      <c r="AL52" s="39" t="s">
        <v>84</v>
      </c>
      <c r="AM52" t="str">
        <f>VLOOKUP($R52,武学奇术!$A:$ZZ,25,FALSE)</f>
        <v>拳甲</v>
      </c>
      <c r="AN52" s="24">
        <f>VLOOKUP($R52,武学奇术!$A:$ZZ,26,FALSE)</f>
        <v>1.2324</v>
      </c>
      <c r="AO52" s="25">
        <f>VLOOKUP($R52,武学奇术!$A:$ZZ,27,FALSE)*(1+IF(OR($AM52=$F$4,$AM52=$F$5),$B$22,0))</f>
        <v>547.2</v>
      </c>
      <c r="AP52" s="24">
        <f>VLOOKUP($R52,武学奇术!$A:$ZZ,28,FALSE)</f>
        <v>1.8484</v>
      </c>
      <c r="AQ52" s="25">
        <f>VLOOKUP($R52,武学奇术!$A:$ZZ,29,FALSE)*(1+IF(OR($AM52=$F$4,$AM52=$F$5),$B$22,0))</f>
        <v>297.6</v>
      </c>
      <c r="AR52" s="24" cm="1">
        <f t="array" ref="AR52">$G$3+IFERROR(VLOOKUP($AM52,$F$4:$G$7,2,FALSE),0)+VLOOKUP($R52,武学奇术!$A:$ZZ,2,FALSE)+SUM(_xlfn.XLOOKUP($S52:$AL52,增益!$A:$A,增益!$B:$B,0))</f>
        <v>0.3243</v>
      </c>
      <c r="AS52" s="24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4274.25</v>
      </c>
      <c r="AU52" cm="1">
        <f t="array" ref="AU52">$E$10*(1+$AS52)+VLOOKUP($R52,武学奇术!$A:$ZZ,4,FALSE)+SUM(_xlfn.XLOOKUP($S52:$AL52,增益!$A:$A,增益!$D:$D,0))-$I$2</f>
        <v>4274.25</v>
      </c>
      <c r="AV52" s="31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0.3434</v>
      </c>
      <c r="AW52" s="31" cm="1">
        <f t="array" ref="AW52">$G$10+VLOOKUP($R52,武学奇术!$A:$ZZ,7,FALSE)+SUM(_xlfn.XLOOKUP($S52:$AL52,增益!$A:$A,增益!$G:$G,0))</f>
        <v>0.02</v>
      </c>
      <c r="AX52" s="24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1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1" cm="1">
        <f t="array" ref="BB52">$G$11+VLOOKUP($R52,武学奇术!$A:$ZZ,10,FALSE)+SUM(_xlfn.XLOOKUP($S52:$AL52,增益!$A:$A,增益!$J:$J,0))</f>
        <v>0.02</v>
      </c>
      <c r="BC52">
        <f t="shared" si="3"/>
        <v>0</v>
      </c>
      <c r="BD52">
        <f t="shared" si="4"/>
        <v>0</v>
      </c>
      <c r="BE52" s="31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1" cm="1">
        <f t="array" ref="BF52">$G$12+VLOOKUP($R52,武学奇术!$A:$ZZ,12,FALSE)+SUM(_xlfn.XLOOKUP($S52:$AL52,增益!$A:$A,增益!$L:$L,0))</f>
        <v>0.02</v>
      </c>
      <c r="BG52">
        <f t="shared" si="5"/>
        <v>0</v>
      </c>
      <c r="BH52">
        <f t="shared" si="6"/>
        <v>0</v>
      </c>
      <c r="BI52" s="31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1" cm="1">
        <f t="array" ref="BJ52">$G$13+VLOOKUP($R52,武学奇术!$A:$ZZ,14,FALSE)+SUM(_xlfn.XLOOKUP($S52:$AL52,增益!$A:$A,增益!$N:$N,0))</f>
        <v>0.02</v>
      </c>
      <c r="BK52">
        <f t="shared" si="7"/>
        <v>649.11</v>
      </c>
      <c r="BL52">
        <f t="shared" si="8"/>
        <v>1812.09</v>
      </c>
      <c r="BM52" s="31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1" cm="1">
        <f t="array" ref="BN52">$G$14+VLOOKUP($R52,武学奇术!$A:$ZZ,16,FALSE)+SUM(_xlfn.XLOOKUP($S52:$AL52,增益!$A:$A,增益!$P:$P,0))</f>
        <v>0.17</v>
      </c>
      <c r="BO52" s="24">
        <f>MIN(IF(VLOOKUP($R52,武学奇术!$A:$ZZ,23,FALSE)=1,100%,$B$8),100%)</f>
        <v>0.9943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0.8985</v>
      </c>
      <c r="BQ52" s="24" cm="1">
        <f t="array" ref="BQ52">1+$B$13+VLOOKUP($R52,武学奇术!$A:$ZZ,18,FALSE)+SUM(_xlfn.XLOOKUP($S52:$AL52,增益!$A:$A,增益!$R:$R,0))</f>
        <v>1.89</v>
      </c>
      <c r="BR52" s="24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24" cm="1">
        <f t="array" ref="BS52">1+$B$14+VLOOKUP($R52,武学奇术!$A:$ZZ,20,FALSE)+SUM(_xlfn.XLOOKUP($S52:$AL52,增益!$A:$A,增益!$T:$T,0))</f>
        <v>1.35</v>
      </c>
      <c r="BT52" s="24">
        <f t="shared" si="9"/>
        <v>0.89337855</v>
      </c>
      <c r="BU52" s="24">
        <f t="shared" si="10"/>
        <v>0.01014186</v>
      </c>
      <c r="BV52" s="24">
        <f>IF(VLOOKUP($R52,武学奇术!$A:$ZZ,22,FALSE)=1,0,(1-$BO52))*(1-$BR52)</f>
        <v>0.00517959000000003</v>
      </c>
      <c r="BW52" s="24" cm="1">
        <f t="array" ref="BW52">SUM(_xlfn.XLOOKUP($S52:$AL52,增益!$A:$A,增益!$W:$W,0))+$I$5</f>
        <v>0.11</v>
      </c>
      <c r="BX52" s="24">
        <f>VLOOKUP($R52,武学奇术!$A:$ZZ,32,FALSE)</f>
        <v>0.4</v>
      </c>
      <c r="BY52" s="24" cm="1">
        <f t="array" ref="BY52">SUM(_xlfn.XLOOKUP($S52:$AL52,增益!$A:$A,增益!$X:$X,0))</f>
        <v>0</v>
      </c>
    </row>
    <row r="53" spans="1:77">
      <c r="K53" s="37">
        <f>$L53*VLOOKUP($R53,武学奇术!$A:$ZZ,31,FALSE)</f>
        <v>71907.8175451981</v>
      </c>
      <c r="L53" s="37">
        <f t="shared" si="11"/>
        <v>44942.3859657488</v>
      </c>
      <c r="M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*(1+$BX53)</f>
        <v>46213.3129997109</v>
      </c>
      <c r="N53" s="37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*(1+$BX53)</f>
        <v>36221.4012701321</v>
      </c>
      <c r="O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*(1+$BX53)</f>
        <v>23821.2953606757</v>
      </c>
      <c r="P53" s="37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*(1+$BX53)</f>
        <v>20811.9231138462</v>
      </c>
      <c r="Q53" s="38">
        <v>1</v>
      </c>
      <c r="R53" s="39" t="s">
        <v>122</v>
      </c>
      <c r="S53" s="39" t="s">
        <v>104</v>
      </c>
      <c r="T53" s="39" t="s">
        <v>194</v>
      </c>
      <c r="U53" s="39" t="s">
        <v>81</v>
      </c>
      <c r="V53" s="39" t="s">
        <v>82</v>
      </c>
      <c r="W53" s="39" t="s">
        <v>83</v>
      </c>
      <c r="X53" s="39" t="s">
        <v>84</v>
      </c>
      <c r="Y53" s="39" t="s">
        <v>84</v>
      </c>
      <c r="Z53" s="39" t="s">
        <v>84</v>
      </c>
      <c r="AA53" s="39" t="s">
        <v>84</v>
      </c>
      <c r="AB53" s="39" t="s">
        <v>204</v>
      </c>
      <c r="AC53" s="39" t="s">
        <v>84</v>
      </c>
      <c r="AD53" s="39" t="s">
        <v>93</v>
      </c>
      <c r="AE53" s="39" t="s">
        <v>84</v>
      </c>
      <c r="AF53" s="39" t="s">
        <v>88</v>
      </c>
      <c r="AG53" s="39" t="s">
        <v>84</v>
      </c>
      <c r="AH53" s="39" t="s">
        <v>84</v>
      </c>
      <c r="AI53" s="39" t="s">
        <v>84</v>
      </c>
      <c r="AJ53" s="39" t="s">
        <v>84</v>
      </c>
      <c r="AK53" s="39" t="s">
        <v>84</v>
      </c>
      <c r="AL53" s="39" t="s">
        <v>84</v>
      </c>
      <c r="AM53" t="str">
        <f>VLOOKUP($R53,武学奇术!$A:$ZZ,25,FALSE)</f>
        <v>拳甲</v>
      </c>
      <c r="AN53" s="24">
        <f>VLOOKUP($R53,武学奇术!$A:$ZZ,26,FALSE)</f>
        <v>1.862784</v>
      </c>
      <c r="AO53" s="25">
        <f>VLOOKUP($R53,武学奇术!$A:$ZZ,27,FALSE)*(1+IF(OR($AM53=$F$4,$AM53=$F$5),$B$22,0))</f>
        <v>0</v>
      </c>
      <c r="AP53" s="24">
        <f>VLOOKUP($R53,武学奇术!$A:$ZZ,28,FALSE)</f>
        <v>2.794176</v>
      </c>
      <c r="AQ53" s="25">
        <f>VLOOKUP($R53,武学奇术!$A:$ZZ,29,FALSE)*(1+IF(OR($AM53=$F$4,$AM53=$F$5),$B$22,0))</f>
        <v>0</v>
      </c>
      <c r="AR53" s="24" cm="1">
        <f t="array" ref="AR53">$G$3+IFERROR(VLOOKUP($AM53,$F$4:$G$7,2,FALSE),0)+VLOOKUP($R53,武学奇术!$A:$ZZ,2,FALSE)+SUM(_xlfn.XLOOKUP($S53:$AL53,增益!$A:$A,增益!$B:$B,0))</f>
        <v>0.3243</v>
      </c>
      <c r="AS53" s="24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4274.25</v>
      </c>
      <c r="AU53" cm="1">
        <f t="array" ref="AU53">$E$10*(1+$AS53)+VLOOKUP($R53,武学奇术!$A:$ZZ,4,FALSE)+SUM(_xlfn.XLOOKUP($S53:$AL53,增益!$A:$A,增益!$D:$D,0))-$I$2</f>
        <v>4274.25</v>
      </c>
      <c r="AV53" s="31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0.3434</v>
      </c>
      <c r="AW53" s="31" cm="1">
        <f t="array" ref="AW53">$G$10+VLOOKUP($R53,武学奇术!$A:$ZZ,7,FALSE)+SUM(_xlfn.XLOOKUP($S53:$AL53,增益!$A:$A,增益!$G:$G,0))</f>
        <v>0.11</v>
      </c>
      <c r="AX53" s="24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1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1" cm="1">
        <f t="array" ref="BB53">$G$11+VLOOKUP($R53,武学奇术!$A:$ZZ,10,FALSE)+SUM(_xlfn.XLOOKUP($S53:$AL53,增益!$A:$A,增益!$J:$J,0))</f>
        <v>0.02</v>
      </c>
      <c r="BC53">
        <f t="shared" si="3"/>
        <v>0</v>
      </c>
      <c r="BD53">
        <f t="shared" si="4"/>
        <v>0</v>
      </c>
      <c r="BE53" s="31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1" cm="1">
        <f t="array" ref="BF53">$G$12+VLOOKUP($R53,武学奇术!$A:$ZZ,12,FALSE)+SUM(_xlfn.XLOOKUP($S53:$AL53,增益!$A:$A,增益!$L:$L,0))</f>
        <v>0.02</v>
      </c>
      <c r="BG53">
        <f t="shared" si="5"/>
        <v>0</v>
      </c>
      <c r="BH53">
        <f t="shared" si="6"/>
        <v>0</v>
      </c>
      <c r="BI53" s="31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1" cm="1">
        <f t="array" ref="BJ53">$G$13+VLOOKUP($R53,武学奇术!$A:$ZZ,14,FALSE)+SUM(_xlfn.XLOOKUP($S53:$AL53,增益!$A:$A,增益!$N:$N,0))</f>
        <v>0.02</v>
      </c>
      <c r="BK53">
        <f t="shared" si="7"/>
        <v>649.11</v>
      </c>
      <c r="BL53">
        <f t="shared" si="8"/>
        <v>1812.09</v>
      </c>
      <c r="BM53" s="31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1" cm="1">
        <f t="array" ref="BN53">$G$14+VLOOKUP($R53,武学奇术!$A:$ZZ,16,FALSE)+SUM(_xlfn.XLOOKUP($S53:$AL53,增益!$A:$A,增益!$P:$P,0))</f>
        <v>0.26</v>
      </c>
      <c r="BO53" s="24">
        <f>MIN(IF(VLOOKUP($R53,武学奇术!$A:$ZZ,23,FALSE)=1,100%,$B$8),100%)</f>
        <v>0.9943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0.8985</v>
      </c>
      <c r="BQ53" s="24" cm="1">
        <f t="array" ref="BQ53">1+$B$13+VLOOKUP($R53,武学奇术!$A:$ZZ,18,FALSE)+SUM(_xlfn.XLOOKUP($S53:$AL53,增益!$A:$A,增益!$R:$R,0))</f>
        <v>1.94</v>
      </c>
      <c r="BR53" s="24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4" cm="1">
        <f t="array" ref="BS53">1+$B$14+VLOOKUP($R53,武学奇术!$A:$ZZ,20,FALSE)+SUM(_xlfn.XLOOKUP($S53:$AL53,增益!$A:$A,增益!$T:$T,0))</f>
        <v>1.35</v>
      </c>
      <c r="BT53" s="24">
        <f t="shared" si="9"/>
        <v>0.89337855</v>
      </c>
      <c r="BU53" s="24">
        <f t="shared" si="10"/>
        <v>0.01014186</v>
      </c>
      <c r="BV53" s="24">
        <f>IF(VLOOKUP($R53,武学奇术!$A:$ZZ,22,FALSE)=1,0,(1-$BO53))*(1-$BR53)</f>
        <v>0.00517959000000003</v>
      </c>
      <c r="BW53" s="24" cm="1">
        <f t="array" ref="BW53">SUM(_xlfn.XLOOKUP($S53:$AL53,增益!$A:$A,增益!$W:$W,0))+$I$5</f>
        <v>0.11</v>
      </c>
      <c r="BX53" s="24">
        <f>VLOOKUP($R53,武学奇术!$A:$ZZ,32,FALSE)</f>
        <v>0</v>
      </c>
      <c r="BY53" s="24" cm="1">
        <f t="array" ref="BY53">SUM(_xlfn.XLOOKUP($S53:$AL53,增益!$A:$A,增益!$X:$X,0))</f>
        <v>0</v>
      </c>
    </row>
    <row r="54" spans="1:77">
      <c r="A54" s="4"/>
      <c r="B54" s="4"/>
      <c r="K54" s="37">
        <f>$L54*VLOOKUP($R54,武学奇术!$A:$ZZ,31,FALSE)</f>
        <v>42811.495081957</v>
      </c>
      <c r="L54" s="37">
        <f t="shared" si="11"/>
        <v>42811.495081957</v>
      </c>
      <c r="M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*(1+$BX54)</f>
        <v>44129.5574014443</v>
      </c>
      <c r="N54" s="37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*(1+$BX54)</f>
        <v>33528.0302163863</v>
      </c>
      <c r="O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*(1+$BX54)</f>
        <v>22175.6569856504</v>
      </c>
      <c r="P54" s="37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*(1+$BX54)</f>
        <v>19515.7360332369</v>
      </c>
      <c r="Q54" s="38">
        <v>1</v>
      </c>
      <c r="R54" s="39" t="s">
        <v>124</v>
      </c>
      <c r="S54" s="39" t="s">
        <v>104</v>
      </c>
      <c r="T54" s="39" t="s">
        <v>194</v>
      </c>
      <c r="U54" s="39" t="s">
        <v>81</v>
      </c>
      <c r="V54" s="39" t="s">
        <v>82</v>
      </c>
      <c r="W54" s="39" t="s">
        <v>83</v>
      </c>
      <c r="X54" s="39" t="s">
        <v>84</v>
      </c>
      <c r="Y54" s="39" t="s">
        <v>84</v>
      </c>
      <c r="Z54" s="39" t="s">
        <v>84</v>
      </c>
      <c r="AA54" s="39" t="s">
        <v>84</v>
      </c>
      <c r="AB54" s="39" t="s">
        <v>204</v>
      </c>
      <c r="AC54" s="39" t="s">
        <v>84</v>
      </c>
      <c r="AD54" s="39" t="s">
        <v>84</v>
      </c>
      <c r="AE54" s="39" t="s">
        <v>84</v>
      </c>
      <c r="AF54" s="39" t="s">
        <v>88</v>
      </c>
      <c r="AG54" s="39" t="s">
        <v>84</v>
      </c>
      <c r="AH54" s="39" t="s">
        <v>84</v>
      </c>
      <c r="AI54" s="39" t="s">
        <v>84</v>
      </c>
      <c r="AJ54" s="39" t="s">
        <v>84</v>
      </c>
      <c r="AK54" s="39" t="s">
        <v>84</v>
      </c>
      <c r="AL54" s="39" t="s">
        <v>84</v>
      </c>
      <c r="AM54" t="str">
        <f>VLOOKUP($R54,武学奇术!$A:$ZZ,25,FALSE)</f>
        <v>拳甲</v>
      </c>
      <c r="AN54" s="24">
        <f>VLOOKUP($R54,武学奇术!$A:$ZZ,26,FALSE)</f>
        <v>1.1333</v>
      </c>
      <c r="AO54" s="25">
        <f>VLOOKUP($R54,武学奇术!$A:$ZZ,27,FALSE)*(1+IF(OR($AM54=$F$4,$AM54=$F$5),$B$22,0))</f>
        <v>502.4</v>
      </c>
      <c r="AP54" s="24">
        <f>VLOOKUP($R54,武学奇术!$A:$ZZ,28,FALSE)</f>
        <v>1.6999</v>
      </c>
      <c r="AQ54" s="25">
        <f>VLOOKUP($R54,武学奇术!$A:$ZZ,29,FALSE)*(1+IF(OR($AM54=$F$4,$AM54=$F$5),$B$22,0))</f>
        <v>273.6</v>
      </c>
      <c r="AR54" s="24" cm="1">
        <f t="array" ref="AR54">$G$3+IFERROR(VLOOKUP($AM54,$F$4:$G$7,2,FALSE),0)+VLOOKUP($R54,武学奇术!$A:$ZZ,2,FALSE)+SUM(_xlfn.XLOOKUP($S54:$AL54,增益!$A:$A,增益!$B:$B,0))</f>
        <v>0.3743</v>
      </c>
      <c r="AS54" s="24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4274.25</v>
      </c>
      <c r="AU54" cm="1">
        <f t="array" ref="AU54">$E$10*(1+$AS54)+VLOOKUP($R54,武学奇术!$A:$ZZ,4,FALSE)+SUM(_xlfn.XLOOKUP($S54:$AL54,增益!$A:$A,增益!$D:$D,0))-$I$2</f>
        <v>4274.25</v>
      </c>
      <c r="AV54" s="31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0.2184</v>
      </c>
      <c r="AW54" s="31" cm="1">
        <f t="array" ref="AW54">$G$10+VLOOKUP($R54,武学奇术!$A:$ZZ,7,FALSE)+SUM(_xlfn.XLOOKUP($S54:$AL54,增益!$A:$A,增益!$G:$G,0))</f>
        <v>0.11</v>
      </c>
      <c r="AX54" s="24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1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1" cm="1">
        <f t="array" ref="BB54">$G$11+VLOOKUP($R54,武学奇术!$A:$ZZ,10,FALSE)+SUM(_xlfn.XLOOKUP($S54:$AL54,增益!$A:$A,增益!$J:$J,0))</f>
        <v>0.02</v>
      </c>
      <c r="BC54">
        <f t="shared" si="3"/>
        <v>0</v>
      </c>
      <c r="BD54">
        <f t="shared" si="4"/>
        <v>0</v>
      </c>
      <c r="BE54" s="31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1" cm="1">
        <f t="array" ref="BF54">$G$12+VLOOKUP($R54,武学奇术!$A:$ZZ,12,FALSE)+SUM(_xlfn.XLOOKUP($S54:$AL54,增益!$A:$A,增益!$L:$L,0))</f>
        <v>0.02</v>
      </c>
      <c r="BG54">
        <f t="shared" si="5"/>
        <v>0</v>
      </c>
      <c r="BH54">
        <f t="shared" si="6"/>
        <v>0</v>
      </c>
      <c r="BI54" s="31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-0.3</v>
      </c>
      <c r="BJ54" s="31" cm="1">
        <f t="array" ref="BJ54">$G$13+VLOOKUP($R54,武学奇术!$A:$ZZ,14,FALSE)+SUM(_xlfn.XLOOKUP($S54:$AL54,增益!$A:$A,增益!$N:$N,0))</f>
        <v>0.02</v>
      </c>
      <c r="BK54">
        <f t="shared" si="7"/>
        <v>649.11</v>
      </c>
      <c r="BL54">
        <f t="shared" si="8"/>
        <v>1812.09</v>
      </c>
      <c r="BM54" s="31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</v>
      </c>
      <c r="BN54" s="31" cm="1">
        <f t="array" ref="BN54">$G$14+VLOOKUP($R54,武学奇术!$A:$ZZ,16,FALSE)+SUM(_xlfn.XLOOKUP($S54:$AL54,增益!$A:$A,增益!$P:$P,0))</f>
        <v>0.26</v>
      </c>
      <c r="BO54" s="24">
        <f>MIN(IF(VLOOKUP($R54,武学奇术!$A:$ZZ,23,FALSE)=1,100%,$B$8),100%)</f>
        <v>0.9943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0.8985</v>
      </c>
      <c r="BQ54" s="24" cm="1">
        <f t="array" ref="BQ54">1+$B$13+VLOOKUP($R54,武学奇术!$A:$ZZ,18,FALSE)+SUM(_xlfn.XLOOKUP($S54:$AL54,增益!$A:$A,增益!$R:$R,0))</f>
        <v>1.99</v>
      </c>
      <c r="BR54" s="24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4" cm="1">
        <f t="array" ref="BS54">1+$B$14+VLOOKUP($R54,武学奇术!$A:$ZZ,20,FALSE)+SUM(_xlfn.XLOOKUP($S54:$AL54,增益!$A:$A,增益!$T:$T,0))</f>
        <v>1.35</v>
      </c>
      <c r="BT54" s="24">
        <f t="shared" si="9"/>
        <v>0.89337855</v>
      </c>
      <c r="BU54" s="24">
        <f t="shared" si="10"/>
        <v>0.01014186</v>
      </c>
      <c r="BV54" s="24">
        <f>IF(VLOOKUP($R54,武学奇术!$A:$ZZ,22,FALSE)=1,0,(1-$BO54))*(1-$BR54)</f>
        <v>0.00517959000000003</v>
      </c>
      <c r="BW54" s="24" cm="1">
        <f t="array" ref="BW54">SUM(_xlfn.XLOOKUP($S54:$AL54,增益!$A:$A,增益!$W:$W,0))+$I$5</f>
        <v>0.11</v>
      </c>
      <c r="BX54" s="24">
        <f>VLOOKUP($R54,武学奇术!$A:$ZZ,32,FALSE)</f>
        <v>0.4</v>
      </c>
      <c r="BY54" s="24" cm="1">
        <f t="array" ref="BY54">SUM(_xlfn.XLOOKUP($S54:$AL54,增益!$A:$A,增益!$X:$X,0))</f>
        <v>0</v>
      </c>
    </row>
    <row r="55" spans="1:77">
      <c r="A55" s="4"/>
      <c r="B55" s="90"/>
      <c r="F55" s="4"/>
      <c r="G55" s="90"/>
      <c r="K55" s="37">
        <f>$L55*VLOOKUP($R55,武学奇术!$A:$ZZ,31,FALSE)</f>
        <v>29281.9524120574</v>
      </c>
      <c r="L55" s="37">
        <f t="shared" si="11"/>
        <v>29281.9524120574</v>
      </c>
      <c r="M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*(1+$BX55)</f>
        <v>30183.5663897154</v>
      </c>
      <c r="N55" s="37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*(1+$BX55)</f>
        <v>22931.3368047909</v>
      </c>
      <c r="O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*(1+$BX55)</f>
        <v>15167.6213013646</v>
      </c>
      <c r="P55" s="37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*(1+$BX55)</f>
        <v>13349.0671917728</v>
      </c>
      <c r="Q55" s="38">
        <v>1</v>
      </c>
      <c r="R55" s="39" t="s">
        <v>127</v>
      </c>
      <c r="S55" s="39" t="s">
        <v>104</v>
      </c>
      <c r="T55" s="39" t="s">
        <v>194</v>
      </c>
      <c r="U55" s="39" t="s">
        <v>81</v>
      </c>
      <c r="V55" s="39" t="s">
        <v>82</v>
      </c>
      <c r="W55" s="39" t="s">
        <v>83</v>
      </c>
      <c r="X55" s="39" t="s">
        <v>84</v>
      </c>
      <c r="Y55" s="39" t="s">
        <v>84</v>
      </c>
      <c r="Z55" s="39" t="s">
        <v>84</v>
      </c>
      <c r="AA55" s="39" t="s">
        <v>84</v>
      </c>
      <c r="AB55" s="39" t="s">
        <v>204</v>
      </c>
      <c r="AC55" s="39" t="s">
        <v>84</v>
      </c>
      <c r="AD55" s="39" t="s">
        <v>84</v>
      </c>
      <c r="AE55" s="39" t="s">
        <v>84</v>
      </c>
      <c r="AF55" s="39" t="s">
        <v>88</v>
      </c>
      <c r="AG55" s="39" t="s">
        <v>84</v>
      </c>
      <c r="AH55" s="39" t="s">
        <v>84</v>
      </c>
      <c r="AI55" s="39" t="s">
        <v>84</v>
      </c>
      <c r="AJ55" s="39" t="s">
        <v>84</v>
      </c>
      <c r="AK55" s="39" t="s">
        <v>84</v>
      </c>
      <c r="AL55" s="39" t="s">
        <v>84</v>
      </c>
      <c r="AM55" t="str">
        <f>VLOOKUP($R55,武学奇术!$A:$ZZ,25,FALSE)</f>
        <v>拳甲</v>
      </c>
      <c r="AN55" s="24">
        <f>VLOOKUP($R55,武学奇术!$A:$ZZ,26,FALSE)</f>
        <v>0.7748</v>
      </c>
      <c r="AO55" s="25">
        <f>VLOOKUP($R55,武学奇术!$A:$ZZ,27,FALSE)*(1+IF(OR($AM55=$F$4,$AM55=$F$5),$B$22,0))</f>
        <v>345.6</v>
      </c>
      <c r="AP55" s="24">
        <f>VLOOKUP($R55,武学奇术!$A:$ZZ,28,FALSE)</f>
        <v>1.1622</v>
      </c>
      <c r="AQ55" s="25">
        <f>VLOOKUP($R55,武学奇术!$A:$ZZ,29,FALSE)*(1+IF(OR($AM55=$F$4,$AM55=$F$5),$B$22,0))</f>
        <v>187.2</v>
      </c>
      <c r="AR55" s="24" cm="1">
        <f t="array" ref="AR55">$G$3+IFERROR(VLOOKUP($AM55,$F$4:$G$7,2,FALSE),0)+VLOOKUP($R55,武学奇术!$A:$ZZ,2,FALSE)+SUM(_xlfn.XLOOKUP($S55:$AL55,增益!$A:$A,增益!$B:$B,0))</f>
        <v>0.3743</v>
      </c>
      <c r="AS55" s="24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4274.25</v>
      </c>
      <c r="AU55" cm="1">
        <f t="array" ref="AU55">$E$10*(1+$AS55)+VLOOKUP($R55,武学奇术!$A:$ZZ,4,FALSE)+SUM(_xlfn.XLOOKUP($S55:$AL55,增益!$A:$A,增益!$D:$D,0))-$I$2</f>
        <v>4274.25</v>
      </c>
      <c r="AV55" s="31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0.2184</v>
      </c>
      <c r="AW55" s="31" cm="1">
        <f t="array" ref="AW55">$G$10+VLOOKUP($R55,武学奇术!$A:$ZZ,7,FALSE)+SUM(_xlfn.XLOOKUP($S55:$AL55,增益!$A:$A,增益!$G:$G,0))</f>
        <v>0.11</v>
      </c>
      <c r="AX55" s="24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1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1" cm="1">
        <f t="array" ref="BB55">$G$11+VLOOKUP($R55,武学奇术!$A:$ZZ,10,FALSE)+SUM(_xlfn.XLOOKUP($S55:$AL55,增益!$A:$A,增益!$J:$J,0))</f>
        <v>0.02</v>
      </c>
      <c r="BC55">
        <f t="shared" si="3"/>
        <v>0</v>
      </c>
      <c r="BD55">
        <f t="shared" si="4"/>
        <v>0</v>
      </c>
      <c r="BE55" s="31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1" cm="1">
        <f t="array" ref="BF55">$G$12+VLOOKUP($R55,武学奇术!$A:$ZZ,12,FALSE)+SUM(_xlfn.XLOOKUP($S55:$AL55,增益!$A:$A,增益!$L:$L,0))</f>
        <v>0.02</v>
      </c>
      <c r="BG55">
        <f t="shared" si="5"/>
        <v>0</v>
      </c>
      <c r="BH55">
        <f t="shared" si="6"/>
        <v>0</v>
      </c>
      <c r="BI55" s="31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-0.3</v>
      </c>
      <c r="BJ55" s="31" cm="1">
        <f t="array" ref="BJ55">$G$13+VLOOKUP($R55,武学奇术!$A:$ZZ,14,FALSE)+SUM(_xlfn.XLOOKUP($S55:$AL55,增益!$A:$A,增益!$N:$N,0))</f>
        <v>0.02</v>
      </c>
      <c r="BK55">
        <f t="shared" si="7"/>
        <v>649.11</v>
      </c>
      <c r="BL55">
        <f t="shared" si="8"/>
        <v>1812.09</v>
      </c>
      <c r="BM55" s="31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</v>
      </c>
      <c r="BN55" s="31" cm="1">
        <f t="array" ref="BN55">$G$14+VLOOKUP($R55,武学奇术!$A:$ZZ,16,FALSE)+SUM(_xlfn.XLOOKUP($S55:$AL55,增益!$A:$A,增益!$P:$P,0))</f>
        <v>0.26</v>
      </c>
      <c r="BO55" s="24">
        <f>MIN(IF(VLOOKUP($R55,武学奇术!$A:$ZZ,23,FALSE)=1,100%,$B$8),100%)</f>
        <v>0.9943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0.8985</v>
      </c>
      <c r="BQ55" s="24" cm="1">
        <f t="array" ref="BQ55">1+$B$13+VLOOKUP($R55,武学奇术!$A:$ZZ,18,FALSE)+SUM(_xlfn.XLOOKUP($S55:$AL55,增益!$A:$A,增益!$R:$R,0))</f>
        <v>1.99</v>
      </c>
      <c r="BR55" s="24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4" cm="1">
        <f t="array" ref="BS55">1+$B$14+VLOOKUP($R55,武学奇术!$A:$ZZ,20,FALSE)+SUM(_xlfn.XLOOKUP($S55:$AL55,增益!$A:$A,增益!$T:$T,0))</f>
        <v>1.35</v>
      </c>
      <c r="BT55" s="24">
        <f t="shared" si="9"/>
        <v>0.89337855</v>
      </c>
      <c r="BU55" s="24">
        <f t="shared" si="10"/>
        <v>0.01014186</v>
      </c>
      <c r="BV55" s="24">
        <f>IF(VLOOKUP($R55,武学奇术!$A:$ZZ,22,FALSE)=1,0,(1-$BO55))*(1-$BR55)</f>
        <v>0.00517959000000003</v>
      </c>
      <c r="BW55" s="24" cm="1">
        <f t="array" ref="BW55">SUM(_xlfn.XLOOKUP($S55:$AL55,增益!$A:$A,增益!$W:$W,0))+$I$5</f>
        <v>0.11</v>
      </c>
      <c r="BX55" s="24">
        <f>VLOOKUP($R55,武学奇术!$A:$ZZ,32,FALSE)</f>
        <v>0.4</v>
      </c>
      <c r="BY55" s="24" cm="1">
        <f t="array" ref="BY55">SUM(_xlfn.XLOOKUP($S55:$AL55,增益!$A:$A,增益!$X:$X,0))</f>
        <v>0</v>
      </c>
    </row>
    <row r="56" spans="1:77">
      <c r="K56" s="37">
        <f>$L56*VLOOKUP($R56,武学奇术!$A:$ZZ,31,FALSE)</f>
        <v>59112.2867492953</v>
      </c>
      <c r="L56" s="37">
        <f t="shared" si="11"/>
        <v>36945.1792183096</v>
      </c>
      <c r="M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*(1+$BX56)</f>
        <v>37513.5634847652</v>
      </c>
      <c r="N56" s="37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*(1+$BX56)</f>
        <v>34029.1085713459</v>
      </c>
      <c r="O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*(1+$BX56)</f>
        <v>22197.3748430563</v>
      </c>
      <c r="P56" s="37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*(1+$BX56)</f>
        <v>19188.0025962268</v>
      </c>
      <c r="Q56" s="38">
        <v>1</v>
      </c>
      <c r="R56" s="39" t="s">
        <v>122</v>
      </c>
      <c r="S56" s="39" t="s">
        <v>104</v>
      </c>
      <c r="T56" s="39" t="s">
        <v>194</v>
      </c>
      <c r="U56" s="39" t="s">
        <v>81</v>
      </c>
      <c r="V56" s="39" t="s">
        <v>82</v>
      </c>
      <c r="W56" s="39" t="s">
        <v>83</v>
      </c>
      <c r="X56" s="39" t="s">
        <v>84</v>
      </c>
      <c r="Y56" s="39" t="s">
        <v>84</v>
      </c>
      <c r="Z56" s="39" t="s">
        <v>84</v>
      </c>
      <c r="AA56" s="39" t="s">
        <v>84</v>
      </c>
      <c r="AB56" s="39" t="s">
        <v>204</v>
      </c>
      <c r="AC56" s="39" t="s">
        <v>84</v>
      </c>
      <c r="AD56" s="39" t="s">
        <v>84</v>
      </c>
      <c r="AE56" s="39" t="s">
        <v>84</v>
      </c>
      <c r="AF56" s="39" t="s">
        <v>88</v>
      </c>
      <c r="AG56" s="39" t="s">
        <v>84</v>
      </c>
      <c r="AH56" s="39" t="s">
        <v>84</v>
      </c>
      <c r="AI56" s="39" t="s">
        <v>84</v>
      </c>
      <c r="AJ56" s="39" t="s">
        <v>84</v>
      </c>
      <c r="AK56" s="39" t="s">
        <v>84</v>
      </c>
      <c r="AL56" s="39" t="s">
        <v>84</v>
      </c>
      <c r="AM56" t="str">
        <f>VLOOKUP($R56,武学奇术!$A:$ZZ,25,FALSE)</f>
        <v>拳甲</v>
      </c>
      <c r="AN56" s="24">
        <f>VLOOKUP($R56,武学奇术!$A:$ZZ,26,FALSE)</f>
        <v>1.862784</v>
      </c>
      <c r="AO56" s="25">
        <f>VLOOKUP($R56,武学奇术!$A:$ZZ,27,FALSE)*(1+IF(OR($AM56=$F$4,$AM56=$F$5),$B$22,0))</f>
        <v>0</v>
      </c>
      <c r="AP56" s="24">
        <f>VLOOKUP($R56,武学奇术!$A:$ZZ,28,FALSE)</f>
        <v>2.794176</v>
      </c>
      <c r="AQ56" s="25">
        <f>VLOOKUP($R56,武学奇术!$A:$ZZ,29,FALSE)*(1+IF(OR($AM56=$F$4,$AM56=$F$5),$B$22,0))</f>
        <v>0</v>
      </c>
      <c r="AR56" s="24" cm="1">
        <f t="array" ref="AR56">$G$3+IFERROR(VLOOKUP($AM56,$F$4:$G$7,2,FALSE),0)+VLOOKUP($R56,武学奇术!$A:$ZZ,2,FALSE)+SUM(_xlfn.XLOOKUP($S56:$AL56,增益!$A:$A,增益!$B:$B,0))</f>
        <v>0.3243</v>
      </c>
      <c r="AS56" s="24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4274.25</v>
      </c>
      <c r="AU56" cm="1">
        <f t="array" ref="AU56">$E$10*(1+$AS56)+VLOOKUP($R56,武学奇术!$A:$ZZ,4,FALSE)+SUM(_xlfn.XLOOKUP($S56:$AL56,增益!$A:$A,增益!$D:$D,0))-$I$2</f>
        <v>4274.25</v>
      </c>
      <c r="AV56" s="31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0.2184</v>
      </c>
      <c r="AW56" s="31" cm="1">
        <f t="array" ref="AW56">$G$10+VLOOKUP($R56,武学奇术!$A:$ZZ,7,FALSE)+SUM(_xlfn.XLOOKUP($S56:$AL56,增益!$A:$A,增益!$G:$G,0))</f>
        <v>0.11</v>
      </c>
      <c r="AX56" s="24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1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1" cm="1">
        <f t="array" ref="BB56">$G$11+VLOOKUP($R56,武学奇术!$A:$ZZ,10,FALSE)+SUM(_xlfn.XLOOKUP($S56:$AL56,增益!$A:$A,增益!$J:$J,0))</f>
        <v>0.02</v>
      </c>
      <c r="BC56">
        <f t="shared" si="3"/>
        <v>0</v>
      </c>
      <c r="BD56">
        <f t="shared" si="4"/>
        <v>0</v>
      </c>
      <c r="BE56" s="31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1" cm="1">
        <f t="array" ref="BF56">$G$12+VLOOKUP($R56,武学奇术!$A:$ZZ,12,FALSE)+SUM(_xlfn.XLOOKUP($S56:$AL56,增益!$A:$A,增益!$L:$L,0))</f>
        <v>0.02</v>
      </c>
      <c r="BG56">
        <f t="shared" si="5"/>
        <v>0</v>
      </c>
      <c r="BH56">
        <f t="shared" si="6"/>
        <v>0</v>
      </c>
      <c r="BI56" s="31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-0.3</v>
      </c>
      <c r="BJ56" s="31" cm="1">
        <f t="array" ref="BJ56">$G$13+VLOOKUP($R56,武学奇术!$A:$ZZ,14,FALSE)+SUM(_xlfn.XLOOKUP($S56:$AL56,增益!$A:$A,增益!$N:$N,0))</f>
        <v>0.02</v>
      </c>
      <c r="BK56">
        <f t="shared" si="7"/>
        <v>649.11</v>
      </c>
      <c r="BL56">
        <f t="shared" si="8"/>
        <v>1812.09</v>
      </c>
      <c r="BM56" s="31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</v>
      </c>
      <c r="BN56" s="31" cm="1">
        <f t="array" ref="BN56">$G$14+VLOOKUP($R56,武学奇术!$A:$ZZ,16,FALSE)+SUM(_xlfn.XLOOKUP($S56:$AL56,增益!$A:$A,增益!$P:$P,0))</f>
        <v>0.26</v>
      </c>
      <c r="BO56" s="24">
        <f>MIN(IF(VLOOKUP($R56,武学奇术!$A:$ZZ,23,FALSE)=1,100%,$B$8),100%)</f>
        <v>0.9943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0.8985</v>
      </c>
      <c r="BQ56" s="24" cm="1">
        <f t="array" ref="BQ56">1+$B$13+VLOOKUP($R56,武学奇术!$A:$ZZ,18,FALSE)+SUM(_xlfn.XLOOKUP($S56:$AL56,增益!$A:$A,增益!$R:$R,0))</f>
        <v>1.69</v>
      </c>
      <c r="BR56" s="24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4" cm="1">
        <f t="array" ref="BS56">1+$B$14+VLOOKUP($R56,武学奇术!$A:$ZZ,20,FALSE)+SUM(_xlfn.XLOOKUP($S56:$AL56,增益!$A:$A,增益!$T:$T,0))</f>
        <v>1.35</v>
      </c>
      <c r="BT56" s="24">
        <f t="shared" si="9"/>
        <v>0.89337855</v>
      </c>
      <c r="BU56" s="24">
        <f t="shared" si="10"/>
        <v>0.01014186</v>
      </c>
      <c r="BV56" s="24">
        <f>IF(VLOOKUP($R56,武学奇术!$A:$ZZ,22,FALSE)=1,0,(1-$BO56))*(1-$BR56)</f>
        <v>0.00517959000000003</v>
      </c>
      <c r="BW56" s="24" cm="1">
        <f t="array" ref="BW56">SUM(_xlfn.XLOOKUP($S56:$AL56,增益!$A:$A,增益!$W:$W,0))+$I$5</f>
        <v>0.11</v>
      </c>
      <c r="BX56" s="24">
        <f>VLOOKUP($R56,武学奇术!$A:$ZZ,32,FALSE)</f>
        <v>0</v>
      </c>
      <c r="BY56" s="24" cm="1">
        <f t="array" ref="BY56">SUM(_xlfn.XLOOKUP($S56:$AL56,增益!$A:$A,增益!$X:$X,0))</f>
        <v>0</v>
      </c>
    </row>
    <row r="57" spans="1:77">
      <c r="D57" s="4"/>
      <c r="E57" s="4"/>
      <c r="F57" s="4"/>
      <c r="G57" s="90"/>
      <c r="K57" s="37">
        <f>$L57*VLOOKUP($R57,武学奇术!$A:$ZZ,31,FALSE)</f>
        <v>30748.9345526269</v>
      </c>
      <c r="L57" s="37">
        <f t="shared" si="11"/>
        <v>30748.9345526269</v>
      </c>
      <c r="M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*(1+$BX57)</f>
        <v>31256.7023917444</v>
      </c>
      <c r="N57" s="37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*(1+$BX57)</f>
        <v>27962.5790561522</v>
      </c>
      <c r="O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*(1+$BX57)</f>
        <v>18495.0901726298</v>
      </c>
      <c r="P57" s="37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*(1+$BX57)</f>
        <v>16277.158822184</v>
      </c>
      <c r="Q57" s="38">
        <v>1</v>
      </c>
      <c r="R57" s="39" t="s">
        <v>115</v>
      </c>
      <c r="S57" s="39" t="s">
        <v>104</v>
      </c>
      <c r="T57" s="39" t="s">
        <v>194</v>
      </c>
      <c r="U57" s="39" t="s">
        <v>81</v>
      </c>
      <c r="V57" s="39" t="s">
        <v>82</v>
      </c>
      <c r="W57" s="39" t="s">
        <v>83</v>
      </c>
      <c r="X57" s="39" t="s">
        <v>84</v>
      </c>
      <c r="Y57" s="39" t="s">
        <v>84</v>
      </c>
      <c r="Z57" s="39" t="s">
        <v>84</v>
      </c>
      <c r="AA57" s="39" t="s">
        <v>84</v>
      </c>
      <c r="AB57" s="39" t="s">
        <v>204</v>
      </c>
      <c r="AC57" s="39" t="s">
        <v>84</v>
      </c>
      <c r="AD57" s="39" t="s">
        <v>84</v>
      </c>
      <c r="AE57" s="39" t="s">
        <v>84</v>
      </c>
      <c r="AF57" s="39" t="s">
        <v>88</v>
      </c>
      <c r="AG57" s="39" t="s">
        <v>84</v>
      </c>
      <c r="AH57" s="39" t="s">
        <v>84</v>
      </c>
      <c r="AI57" s="39" t="s">
        <v>84</v>
      </c>
      <c r="AJ57" s="39" t="s">
        <v>84</v>
      </c>
      <c r="AK57" s="39" t="s">
        <v>84</v>
      </c>
      <c r="AL57" s="39" t="s">
        <v>84</v>
      </c>
      <c r="AM57" t="str">
        <f>VLOOKUP($R57,武学奇术!$A:$ZZ,25,FALSE)</f>
        <v>双刀</v>
      </c>
      <c r="AN57" s="24">
        <f>VLOOKUP($R57,武学奇术!$A:$ZZ,26,FALSE)</f>
        <v>1.3728</v>
      </c>
      <c r="AO57" s="25">
        <f>VLOOKUP($R57,武学奇术!$A:$ZZ,27,FALSE)*(1+IF(OR($AM57=$F$4,$AM57=$F$5),$B$22,0))</f>
        <v>609.44</v>
      </c>
      <c r="AP57" s="24">
        <f>VLOOKUP($R57,武学奇术!$A:$ZZ,28,FALSE)</f>
        <v>2.05933</v>
      </c>
      <c r="AQ57" s="25">
        <f>VLOOKUP($R57,武学奇术!$A:$ZZ,29,FALSE)*(1+IF(OR($AM57=$F$4,$AM57=$F$5),$B$22,0))</f>
        <v>332.8</v>
      </c>
      <c r="AR57" s="24" cm="1">
        <f t="array" ref="AR57">$G$3+IFERROR(VLOOKUP($AM57,$F$4:$G$7,2,FALSE),0)+VLOOKUP($R57,武学奇术!$A:$ZZ,2,FALSE)+SUM(_xlfn.XLOOKUP($S57:$AL57,增益!$A:$A,增益!$B:$B,0))</f>
        <v>0.3243</v>
      </c>
      <c r="AS57" s="24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4274.25</v>
      </c>
      <c r="AU57" cm="1">
        <f t="array" ref="AU57">$E$10*(1+$AS57)+VLOOKUP($R57,武学奇术!$A:$ZZ,4,FALSE)+SUM(_xlfn.XLOOKUP($S57:$AL57,增益!$A:$A,增益!$D:$D,0))-$I$2</f>
        <v>4274.25</v>
      </c>
      <c r="AV57" s="31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0.2184</v>
      </c>
      <c r="AW57" s="31" cm="1">
        <f t="array" ref="AW57">$G$10+VLOOKUP($R57,武学奇术!$A:$ZZ,7,FALSE)+SUM(_xlfn.XLOOKUP($S57:$AL57,增益!$A:$A,增益!$G:$G,0))</f>
        <v>0.11</v>
      </c>
      <c r="AX57" s="24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1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1" cm="1">
        <f t="array" ref="BB57">$G$11+VLOOKUP($R57,武学奇术!$A:$ZZ,10,FALSE)+SUM(_xlfn.XLOOKUP($S57:$AL57,增益!$A:$A,增益!$J:$J,0))</f>
        <v>0.02</v>
      </c>
      <c r="BC57">
        <f t="shared" si="3"/>
        <v>0</v>
      </c>
      <c r="BD57">
        <f t="shared" si="4"/>
        <v>0</v>
      </c>
      <c r="BE57" s="31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1" cm="1">
        <f t="array" ref="BF57">$G$12+VLOOKUP($R57,武学奇术!$A:$ZZ,12,FALSE)+SUM(_xlfn.XLOOKUP($S57:$AL57,增益!$A:$A,增益!$L:$L,0))</f>
        <v>0.02</v>
      </c>
      <c r="BG57">
        <f t="shared" si="5"/>
        <v>0</v>
      </c>
      <c r="BH57">
        <f t="shared" si="6"/>
        <v>0</v>
      </c>
      <c r="BI57" s="31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-0.3</v>
      </c>
      <c r="BJ57" s="31" cm="1">
        <f t="array" ref="BJ57">$G$13+VLOOKUP($R57,武学奇术!$A:$ZZ,14,FALSE)+SUM(_xlfn.XLOOKUP($S57:$AL57,增益!$A:$A,增益!$N:$N,0))</f>
        <v>0.02</v>
      </c>
      <c r="BK57">
        <f t="shared" si="7"/>
        <v>649.11</v>
      </c>
      <c r="BL57">
        <f t="shared" si="8"/>
        <v>1812.09</v>
      </c>
      <c r="BM57" s="31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</v>
      </c>
      <c r="BN57" s="31" cm="1">
        <f t="array" ref="BN57">$G$14+VLOOKUP($R57,武学奇术!$A:$ZZ,16,FALSE)+SUM(_xlfn.XLOOKUP($S57:$AL57,增益!$A:$A,增益!$P:$P,0))</f>
        <v>0.26</v>
      </c>
      <c r="BO57" s="24">
        <f>MIN(IF(VLOOKUP($R57,武学奇术!$A:$ZZ,23,FALSE)=1,100%,$B$8),100%)</f>
        <v>0.9943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0.8985</v>
      </c>
      <c r="BQ57" s="24" cm="1">
        <f t="array" ref="BQ57">1+$B$13+VLOOKUP($R57,武学奇术!$A:$ZZ,18,FALSE)+SUM(_xlfn.XLOOKUP($S57:$AL57,增益!$A:$A,增益!$R:$R,0))</f>
        <v>1.69</v>
      </c>
      <c r="BR57" s="24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4" cm="1">
        <f t="array" ref="BS57">1+$B$14+VLOOKUP($R57,武学奇术!$A:$ZZ,20,FALSE)+SUM(_xlfn.XLOOKUP($S57:$AL57,增益!$A:$A,增益!$T:$T,0))</f>
        <v>1.35</v>
      </c>
      <c r="BT57" s="24">
        <f t="shared" si="9"/>
        <v>0.89337855</v>
      </c>
      <c r="BU57" s="24">
        <f t="shared" si="10"/>
        <v>0.01014186</v>
      </c>
      <c r="BV57" s="24">
        <f>IF(VLOOKUP($R57,武学奇术!$A:$ZZ,22,FALSE)=1,0,(1-$BO57))*(1-$BR57)</f>
        <v>0.00517959000000003</v>
      </c>
      <c r="BW57" s="24" cm="1">
        <f t="array" ref="BW57">SUM(_xlfn.XLOOKUP($S57:$AL57,增益!$A:$A,增益!$W:$W,0))+$I$5</f>
        <v>0.11</v>
      </c>
      <c r="BX57" s="24">
        <f>VLOOKUP($R57,武学奇术!$A:$ZZ,32,FALSE)</f>
        <v>0</v>
      </c>
      <c r="BY57" s="24" cm="1">
        <f t="array" ref="BY57">SUM(_xlfn.XLOOKUP($S57:$AL57,增益!$A:$A,增益!$X:$X,0))</f>
        <v>0</v>
      </c>
    </row>
    <row r="58" spans="1:77">
      <c r="A58" s="4"/>
      <c r="B58" s="90"/>
      <c r="F58" s="4"/>
      <c r="G58" s="4"/>
      <c r="K58" s="37">
        <f>$L58*VLOOKUP($R58,武学奇术!$A:$ZZ,31,FALSE)</f>
        <v>397547.063021059</v>
      </c>
      <c r="L58" s="89">
        <f>SUM(L32:L40,L42:L52,L54:L55)*0.2*(1+BY58)</f>
        <v>795094.126042117</v>
      </c>
      <c r="M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*(1+$BX58)</f>
        <v>0</v>
      </c>
      <c r="N58" s="37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*(1+$BX58)</f>
        <v>0</v>
      </c>
      <c r="O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*(1+$BX58)</f>
        <v>0</v>
      </c>
      <c r="P58" s="37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*(1+$BX58)</f>
        <v>0</v>
      </c>
      <c r="Q58" s="38">
        <v>1</v>
      </c>
      <c r="R58" s="39" t="s">
        <v>180</v>
      </c>
      <c r="S58" s="39" t="s">
        <v>181</v>
      </c>
      <c r="T58" s="39" t="s">
        <v>84</v>
      </c>
      <c r="U58" s="39" t="s">
        <v>84</v>
      </c>
      <c r="V58" s="39" t="s">
        <v>84</v>
      </c>
      <c r="W58" s="39" t="s">
        <v>84</v>
      </c>
      <c r="X58" s="39" t="s">
        <v>84</v>
      </c>
      <c r="Y58" s="39" t="s">
        <v>84</v>
      </c>
      <c r="Z58" s="39" t="s">
        <v>84</v>
      </c>
      <c r="AA58" s="39" t="s">
        <v>84</v>
      </c>
      <c r="AB58" s="39" t="s">
        <v>84</v>
      </c>
      <c r="AC58" s="39" t="s">
        <v>84</v>
      </c>
      <c r="AD58" s="39" t="s">
        <v>84</v>
      </c>
      <c r="AE58" s="39" t="s">
        <v>84</v>
      </c>
      <c r="AF58" s="39" t="s">
        <v>88</v>
      </c>
      <c r="AG58" s="39" t="s">
        <v>84</v>
      </c>
      <c r="AH58" s="39" t="s">
        <v>84</v>
      </c>
      <c r="AI58" s="39" t="s">
        <v>84</v>
      </c>
      <c r="AJ58" s="39" t="s">
        <v>84</v>
      </c>
      <c r="AK58" s="39" t="s">
        <v>84</v>
      </c>
      <c r="AL58" s="39" t="s">
        <v>84</v>
      </c>
      <c r="AM58" t="str">
        <f>VLOOKUP($R58,武学奇术!$A:$ZZ,25,FALSE)</f>
        <v>心法</v>
      </c>
      <c r="AN58" s="24">
        <f>VLOOKUP($R58,武学奇术!$A:$ZZ,26,FALSE)</f>
        <v>0</v>
      </c>
      <c r="AO58" s="25">
        <f>VLOOKUP($R58,武学奇术!$A:$ZZ,27,FALSE)*(1+IF(OR($AM58=$F$4,$AM58=$F$5),$B$22,0))</f>
        <v>0</v>
      </c>
      <c r="AP58" s="24">
        <f>VLOOKUP($R58,武学奇术!$A:$ZZ,28,FALSE)</f>
        <v>0</v>
      </c>
      <c r="AQ58" s="25">
        <f>VLOOKUP($R58,武学奇术!$A:$ZZ,29,FALSE)*(1+IF(OR($AM58=$F$4,$AM58=$F$5),$B$22,0))</f>
        <v>0</v>
      </c>
      <c r="AR58" s="24" cm="1">
        <f t="array" ref="AR58">$G$3+IFERROR(VLOOKUP($AM58,$F$4:$G$7,2,FALSE),0)+VLOOKUP($R58,武学奇术!$A:$ZZ,2,FALSE)+SUM(_xlfn.XLOOKUP($S58:$AL58,增益!$A:$A,增益!$B:$B,0))</f>
        <v>0.1042</v>
      </c>
      <c r="AS58" s="24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4274.25</v>
      </c>
      <c r="AU58" cm="1">
        <f t="array" ref="AU58">$E$10*(1+$AS58)+VLOOKUP($R58,武学奇术!$A:$ZZ,4,FALSE)+SUM(_xlfn.XLOOKUP($S58:$AL58,增益!$A:$A,增益!$D:$D,0))-$I$2</f>
        <v>4274.25</v>
      </c>
      <c r="AV58" s="31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0.1684</v>
      </c>
      <c r="AW58" s="31" cm="1">
        <f t="array" ref="AW58">$G$10+VLOOKUP($R58,武学奇术!$A:$ZZ,7,FALSE)+SUM(_xlfn.XLOOKUP($S58:$AL58,增益!$A:$A,增益!$G:$G,0))</f>
        <v>0</v>
      </c>
      <c r="AX58" s="24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1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1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1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1" cm="1">
        <f t="array" ref="BF58">$G$12+VLOOKUP($R58,武学奇术!$A:$ZZ,12,FALSE)+SUM(_xlfn.XLOOKUP($S58:$AL58,增益!$A:$A,增益!$L:$L,0))</f>
        <v>0</v>
      </c>
      <c r="BG58">
        <f t="shared" si="5"/>
        <v>0</v>
      </c>
      <c r="BH58">
        <f t="shared" si="6"/>
        <v>0</v>
      </c>
      <c r="BI58" s="31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-0.3</v>
      </c>
      <c r="BJ58" s="31" cm="1">
        <f t="array" ref="BJ58">$G$13+VLOOKUP($R58,武学奇术!$A:$ZZ,14,FALSE)+SUM(_xlfn.XLOOKUP($S58:$AL58,增益!$A:$A,增益!$N:$N,0))</f>
        <v>0</v>
      </c>
      <c r="BK58">
        <f t="shared" si="7"/>
        <v>649.11</v>
      </c>
      <c r="BL58">
        <f t="shared" si="8"/>
        <v>1812.09</v>
      </c>
      <c r="BM58" s="31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</v>
      </c>
      <c r="BN58" s="31" cm="1">
        <f t="array" ref="BN58">$G$14+VLOOKUP($R58,武学奇术!$A:$ZZ,16,FALSE)+SUM(_xlfn.XLOOKUP($S58:$AL58,增益!$A:$A,增益!$P:$P,0))</f>
        <v>0.15</v>
      </c>
      <c r="BO58" s="24">
        <f>MIN(IF(VLOOKUP($R58,武学奇术!$A:$ZZ,23,FALSE)=1,100%,$B$8),100%)</f>
        <v>0.9943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0.8985</v>
      </c>
      <c r="BQ58" s="24" cm="1">
        <f t="array" ref="BQ58">1+$B$13+VLOOKUP($R58,武学奇术!$A:$ZZ,18,FALSE)+SUM(_xlfn.XLOOKUP($S58:$AL58,增益!$A:$A,增益!$R:$R,0))</f>
        <v>1.54</v>
      </c>
      <c r="BR58" s="24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4" cm="1">
        <f t="array" ref="BS58">1+$B$14+VLOOKUP($R58,武学奇术!$A:$ZZ,20,FALSE)+SUM(_xlfn.XLOOKUP($S58:$AL58,增益!$A:$A,增益!$T:$T,0))</f>
        <v>1.35</v>
      </c>
      <c r="BT58" s="24">
        <f t="shared" si="9"/>
        <v>0.89337855</v>
      </c>
      <c r="BU58" s="24">
        <f t="shared" si="10"/>
        <v>0.01014186</v>
      </c>
      <c r="BV58" s="24">
        <f>IF(VLOOKUP($R58,武学奇术!$A:$ZZ,22,FALSE)=1,0,(1-$BO58))*(1-$BR58)</f>
        <v>0.00517959000000003</v>
      </c>
      <c r="BW58" s="24" cm="1">
        <f t="array" ref="BW58">SUM(_xlfn.XLOOKUP($S58:$AL58,增益!$A:$A,增益!$W:$W,0))+$I$5</f>
        <v>0.11</v>
      </c>
      <c r="BX58" s="24">
        <f>VLOOKUP($R58,武学奇术!$A:$ZZ,32,FALSE)</f>
        <v>0</v>
      </c>
      <c r="BY58" s="24" cm="1">
        <f t="array" ref="BY58">SUM(_xlfn.XLOOKUP($S58:$AL58,增益!$A:$A,增益!$X:$X,0))</f>
        <v>0.2</v>
      </c>
    </row>
    <row r="59" spans="1:77">
      <c r="F59" s="4"/>
      <c r="G59" s="4"/>
      <c r="K59" s="37">
        <f>$L59*VLOOKUP($R59,武学奇术!$A:$ZZ,31,FALSE)</f>
        <v>18183.7603770598</v>
      </c>
      <c r="L59" s="37">
        <f t="shared" ref="L59:L72" si="12">($M59*$BT59+$N59*$BR59+$O59*$BU59+$P59*$BV59)</f>
        <v>18183.7603770598</v>
      </c>
      <c r="M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*(1+$BX59)</f>
        <v>18532.9900131909</v>
      </c>
      <c r="N59" s="37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*(1+$BX59)</f>
        <v>16103.0471744368</v>
      </c>
      <c r="O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*(1+$BX59)</f>
        <v>10651.1436857419</v>
      </c>
      <c r="P59" s="37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*(1+$BX59)</f>
        <v>9374.1042793084</v>
      </c>
      <c r="Q59" s="38">
        <v>1</v>
      </c>
      <c r="R59" s="39" t="s">
        <v>185</v>
      </c>
      <c r="S59" s="39" t="s">
        <v>104</v>
      </c>
      <c r="T59" s="39" t="s">
        <v>194</v>
      </c>
      <c r="U59" s="39" t="s">
        <v>81</v>
      </c>
      <c r="V59" s="39" t="s">
        <v>130</v>
      </c>
      <c r="W59" s="39" t="s">
        <v>83</v>
      </c>
      <c r="X59" s="39" t="s">
        <v>84</v>
      </c>
      <c r="Y59" s="39" t="s">
        <v>84</v>
      </c>
      <c r="Z59" s="39" t="s">
        <v>84</v>
      </c>
      <c r="AA59" s="39" t="s">
        <v>84</v>
      </c>
      <c r="AB59" s="39" t="s">
        <v>204</v>
      </c>
      <c r="AC59" s="39" t="s">
        <v>84</v>
      </c>
      <c r="AD59" s="39" t="s">
        <v>84</v>
      </c>
      <c r="AE59" s="39" t="s">
        <v>84</v>
      </c>
      <c r="AF59" s="39" t="s">
        <v>88</v>
      </c>
      <c r="AG59" s="39" t="s">
        <v>84</v>
      </c>
      <c r="AH59" s="39" t="s">
        <v>84</v>
      </c>
      <c r="AI59" s="39" t="s">
        <v>84</v>
      </c>
      <c r="AJ59" s="39" t="s">
        <v>84</v>
      </c>
      <c r="AK59" s="39" t="s">
        <v>84</v>
      </c>
      <c r="AL59" s="39" t="s">
        <v>84</v>
      </c>
      <c r="AM59" t="str">
        <f>VLOOKUP($R59,武学奇术!$A:$ZZ,25,FALSE)</f>
        <v>双刀</v>
      </c>
      <c r="AN59" s="24">
        <f>VLOOKUP($R59,武学奇术!$A:$ZZ,26,FALSE)</f>
        <v>0.79044</v>
      </c>
      <c r="AO59" s="25">
        <f>VLOOKUP($R59,武学奇术!$A:$ZZ,27,FALSE)*(1+IF(OR($AM59=$F$4,$AM59=$F$5),$B$22,0))</f>
        <v>351.36</v>
      </c>
      <c r="AP59" s="24">
        <f>VLOOKUP($R59,武学奇术!$A:$ZZ,28,FALSE)</f>
        <v>1.18572</v>
      </c>
      <c r="AQ59" s="25">
        <f>VLOOKUP($R59,武学奇术!$A:$ZZ,29,FALSE)*(1+IF(OR($AM59=$F$4,$AM59=$F$5),$B$22,0))</f>
        <v>192</v>
      </c>
      <c r="AR59" s="24" cm="1">
        <f t="array" ref="AR59">$G$3+IFERROR(VLOOKUP($AM59,$F$4:$G$7,2,FALSE),0)+VLOOKUP($R59,武学奇术!$A:$ZZ,2,FALSE)+SUM(_xlfn.XLOOKUP($S59:$AL59,增益!$A:$A,增益!$B:$B,0))</f>
        <v>0.3243</v>
      </c>
      <c r="AS59" s="24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4274.25</v>
      </c>
      <c r="AU59" cm="1">
        <f t="array" ref="AU59">$E$10*(1+$AS59)+VLOOKUP($R59,武学奇术!$A:$ZZ,4,FALSE)+SUM(_xlfn.XLOOKUP($S59:$AL59,增益!$A:$A,增益!$D:$D,0))-$I$2</f>
        <v>4274.25</v>
      </c>
      <c r="AV59" s="31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0.2184</v>
      </c>
      <c r="AW59" s="31" cm="1">
        <f t="array" ref="AW59">$G$10+VLOOKUP($R59,武学奇术!$A:$ZZ,7,FALSE)+SUM(_xlfn.XLOOKUP($S59:$AL59,增益!$A:$A,增益!$G:$G,0))</f>
        <v>0.11</v>
      </c>
      <c r="AX59" s="24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1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1" cm="1">
        <f t="array" ref="BB59">$G$11+VLOOKUP($R59,武学奇术!$A:$ZZ,10,FALSE)+SUM(_xlfn.XLOOKUP($S59:$AL59,增益!$A:$A,增益!$J:$J,0))</f>
        <v>0.02</v>
      </c>
      <c r="BC59">
        <f t="shared" si="3"/>
        <v>0</v>
      </c>
      <c r="BD59">
        <f t="shared" si="4"/>
        <v>0</v>
      </c>
      <c r="BE59" s="31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1" cm="1">
        <f t="array" ref="BF59">$G$12+VLOOKUP($R59,武学奇术!$A:$ZZ,12,FALSE)+SUM(_xlfn.XLOOKUP($S59:$AL59,增益!$A:$A,增益!$L:$L,0))</f>
        <v>0.02</v>
      </c>
      <c r="BG59">
        <f t="shared" si="5"/>
        <v>0</v>
      </c>
      <c r="BH59">
        <f t="shared" si="6"/>
        <v>0</v>
      </c>
      <c r="BI59" s="31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1" cm="1">
        <f t="array" ref="BJ59">$G$13+VLOOKUP($R59,武学奇术!$A:$ZZ,14,FALSE)+SUM(_xlfn.XLOOKUP($S59:$AL59,增益!$A:$A,增益!$N:$N,0))</f>
        <v>0.02</v>
      </c>
      <c r="BK59">
        <f t="shared" si="7"/>
        <v>649.11</v>
      </c>
      <c r="BL59">
        <f t="shared" si="8"/>
        <v>1812.09</v>
      </c>
      <c r="BM59" s="31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1" cm="1">
        <f t="array" ref="BN59">$G$14+VLOOKUP($R59,武学奇术!$A:$ZZ,16,FALSE)+SUM(_xlfn.XLOOKUP($S59:$AL59,增益!$A:$A,增益!$P:$P,0))</f>
        <v>0.26</v>
      </c>
      <c r="BO59" s="24">
        <f>MIN(IF(VLOOKUP($R59,武学奇术!$A:$ZZ,23,FALSE)=1,100%,$B$8),100%)</f>
        <v>0.9943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0.8985</v>
      </c>
      <c r="BQ59" s="24" cm="1">
        <f t="array" ref="BQ59">1+$B$13+VLOOKUP($R59,武学奇术!$A:$ZZ,18,FALSE)+SUM(_xlfn.XLOOKUP($S59:$AL59,增益!$A:$A,增益!$R:$R,0))</f>
        <v>1.74</v>
      </c>
      <c r="BR59" s="24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4" cm="1">
        <f t="array" ref="BS59">1+$B$14+VLOOKUP($R59,武学奇术!$A:$ZZ,20,FALSE)+SUM(_xlfn.XLOOKUP($S59:$AL59,增益!$A:$A,增益!$T:$T,0))</f>
        <v>1.35</v>
      </c>
      <c r="BT59" s="24">
        <f t="shared" si="9"/>
        <v>0.89337855</v>
      </c>
      <c r="BU59" s="24">
        <f t="shared" si="10"/>
        <v>0.01014186</v>
      </c>
      <c r="BV59" s="24">
        <f>IF(VLOOKUP($R59,武学奇术!$A:$ZZ,22,FALSE)=1,0,(1-$BO59))*(1-$BR59)</f>
        <v>0.00517959000000003</v>
      </c>
      <c r="BW59" s="24" cm="1">
        <f t="array" ref="BW59">SUM(_xlfn.XLOOKUP($S59:$AL59,增益!$A:$A,增益!$W:$W,0))+$I$5</f>
        <v>0.11</v>
      </c>
      <c r="BX59" s="24">
        <f>VLOOKUP($R59,武学奇术!$A:$ZZ,32,FALSE)</f>
        <v>0</v>
      </c>
      <c r="BY59" s="24" cm="1">
        <f t="array" ref="BY59">SUM(_xlfn.XLOOKUP($S59:$AL59,增益!$A:$A,增益!$X:$X,0))</f>
        <v>0</v>
      </c>
    </row>
    <row r="60" spans="1:77">
      <c r="A60" s="4"/>
      <c r="B60" s="90"/>
      <c r="F60" s="4"/>
      <c r="G60" s="4"/>
      <c r="K60" s="37">
        <f>$L60*VLOOKUP($R60,武学奇术!$A:$ZZ,31,FALSE)</f>
        <v>156153.570493085</v>
      </c>
      <c r="L60" s="37">
        <f t="shared" si="12"/>
        <v>156153.570493085</v>
      </c>
      <c r="M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*(1+$BX60)</f>
        <v>161222.868001659</v>
      </c>
      <c r="N60" s="37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*(1+$BX60)</f>
        <v>119492.351915339</v>
      </c>
      <c r="O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*(1+$BX60)</f>
        <v>79030.8176478719</v>
      </c>
      <c r="P60" s="37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*(1+$BX60)</f>
        <v>69548.782025122</v>
      </c>
      <c r="Q60" s="38">
        <v>1</v>
      </c>
      <c r="R60" s="39" t="s">
        <v>157</v>
      </c>
      <c r="S60" s="39" t="s">
        <v>104</v>
      </c>
      <c r="T60" s="39" t="s">
        <v>194</v>
      </c>
      <c r="U60" s="39" t="s">
        <v>81</v>
      </c>
      <c r="V60" s="39" t="s">
        <v>130</v>
      </c>
      <c r="W60" s="39" t="s">
        <v>83</v>
      </c>
      <c r="X60" s="39" t="s">
        <v>84</v>
      </c>
      <c r="Y60" s="39" t="s">
        <v>84</v>
      </c>
      <c r="Z60" s="39" t="s">
        <v>84</v>
      </c>
      <c r="AA60" s="39" t="s">
        <v>84</v>
      </c>
      <c r="AB60" s="39" t="s">
        <v>204</v>
      </c>
      <c r="AC60" s="39" t="s">
        <v>84</v>
      </c>
      <c r="AD60" s="39" t="s">
        <v>84</v>
      </c>
      <c r="AE60" s="39" t="s">
        <v>84</v>
      </c>
      <c r="AF60" s="39" t="s">
        <v>88</v>
      </c>
      <c r="AG60" s="39" t="s">
        <v>84</v>
      </c>
      <c r="AH60" s="39" t="s">
        <v>84</v>
      </c>
      <c r="AI60" s="39" t="s">
        <v>84</v>
      </c>
      <c r="AJ60" s="39" t="s">
        <v>84</v>
      </c>
      <c r="AK60" s="39" t="s">
        <v>84</v>
      </c>
      <c r="AL60" s="39" t="s">
        <v>84</v>
      </c>
      <c r="AM60" t="str">
        <f>VLOOKUP($R60,武学奇术!$A:$ZZ,25,FALSE)</f>
        <v>双刀</v>
      </c>
      <c r="AN60" s="24">
        <f>VLOOKUP($R60,武学奇术!$A:$ZZ,26,FALSE)</f>
        <v>2.85516</v>
      </c>
      <c r="AO60" s="25">
        <f>VLOOKUP($R60,武学奇术!$A:$ZZ,27,FALSE)*(1+IF(OR($AM60=$F$4,$AM60=$F$5),$B$22,0))</f>
        <v>1263.36</v>
      </c>
      <c r="AP60" s="24">
        <f>VLOOKUP($R60,武学奇术!$A:$ZZ,28,FALSE)</f>
        <v>4.28274</v>
      </c>
      <c r="AQ60" s="25">
        <f>VLOOKUP($R60,武学奇术!$A:$ZZ,29,FALSE)*(1+IF(OR($AM60=$F$4,$AM60=$F$5),$B$22,0))</f>
        <v>687.68</v>
      </c>
      <c r="AR60" s="24" cm="1">
        <f t="array" ref="AR60">$G$3+IFERROR(VLOOKUP($AM60,$F$4:$G$7,2,FALSE),0)+VLOOKUP($R60,武学奇术!$A:$ZZ,2,FALSE)+SUM(_xlfn.XLOOKUP($S60:$AL60,增益!$A:$A,增益!$B:$B,0))</f>
        <v>0.3743</v>
      </c>
      <c r="AS60" s="24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4274.25</v>
      </c>
      <c r="AU60" cm="1">
        <f t="array" ref="AU60">$E$10*(1+$AS60)+VLOOKUP($R60,武学奇术!$A:$ZZ,4,FALSE)+SUM(_xlfn.XLOOKUP($S60:$AL60,增益!$A:$A,增益!$D:$D,0))-$I$2</f>
        <v>4274.25</v>
      </c>
      <c r="AV60" s="31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0.2184</v>
      </c>
      <c r="AW60" s="31" cm="1">
        <f t="array" ref="AW60">$G$10+VLOOKUP($R60,武学奇术!$A:$ZZ,7,FALSE)+SUM(_xlfn.XLOOKUP($S60:$AL60,增益!$A:$A,增益!$G:$G,0))</f>
        <v>0.11</v>
      </c>
      <c r="AX60" s="24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1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1" cm="1">
        <f t="array" ref="BB60">$G$11+VLOOKUP($R60,武学奇术!$A:$ZZ,10,FALSE)+SUM(_xlfn.XLOOKUP($S60:$AL60,增益!$A:$A,增益!$J:$J,0))</f>
        <v>0.02</v>
      </c>
      <c r="BC60">
        <f t="shared" si="3"/>
        <v>0</v>
      </c>
      <c r="BD60">
        <f t="shared" si="4"/>
        <v>0</v>
      </c>
      <c r="BE60" s="31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1" cm="1">
        <f t="array" ref="BF60">$G$12+VLOOKUP($R60,武学奇术!$A:$ZZ,12,FALSE)+SUM(_xlfn.XLOOKUP($S60:$AL60,增益!$A:$A,增益!$L:$L,0))</f>
        <v>0.02</v>
      </c>
      <c r="BG60">
        <f t="shared" si="5"/>
        <v>0</v>
      </c>
      <c r="BH60">
        <f t="shared" si="6"/>
        <v>0</v>
      </c>
      <c r="BI60" s="31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1" cm="1">
        <f t="array" ref="BJ60">$G$13+VLOOKUP($R60,武学奇术!$A:$ZZ,14,FALSE)+SUM(_xlfn.XLOOKUP($S60:$AL60,增益!$A:$A,增益!$N:$N,0))</f>
        <v>0.02</v>
      </c>
      <c r="BK60">
        <f t="shared" si="7"/>
        <v>649.11</v>
      </c>
      <c r="BL60">
        <f t="shared" si="8"/>
        <v>1812.09</v>
      </c>
      <c r="BM60" s="31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1" cm="1">
        <f t="array" ref="BN60">$G$14+VLOOKUP($R60,武学奇术!$A:$ZZ,16,FALSE)+SUM(_xlfn.XLOOKUP($S60:$AL60,增益!$A:$A,增益!$P:$P,0))</f>
        <v>0.26</v>
      </c>
      <c r="BO60" s="24">
        <f>MIN(IF(VLOOKUP($R60,武学奇术!$A:$ZZ,23,FALSE)=1,100%,$B$8),100%)</f>
        <v>0.9943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0.8985</v>
      </c>
      <c r="BQ60" s="24" cm="1">
        <f t="array" ref="BQ60">1+$B$13+VLOOKUP($R60,武学奇术!$A:$ZZ,18,FALSE)+SUM(_xlfn.XLOOKUP($S60:$AL60,增益!$A:$A,增益!$R:$R,0))</f>
        <v>2.04</v>
      </c>
      <c r="BR60" s="24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4" cm="1">
        <f t="array" ref="BS60">1+$B$14+VLOOKUP($R60,武学奇术!$A:$ZZ,20,FALSE)+SUM(_xlfn.XLOOKUP($S60:$AL60,增益!$A:$A,增益!$T:$T,0))</f>
        <v>1.35</v>
      </c>
      <c r="BT60" s="24">
        <f t="shared" si="9"/>
        <v>0.89337855</v>
      </c>
      <c r="BU60" s="24">
        <f t="shared" si="10"/>
        <v>0.0153214500000001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0.11</v>
      </c>
      <c r="BX60" s="24">
        <f>VLOOKUP($R60,武学奇术!$A:$ZZ,32,FALSE)</f>
        <v>0.5</v>
      </c>
      <c r="BY60" s="24" cm="1">
        <f t="array" ref="BY60">SUM(_xlfn.XLOOKUP($S60:$AL60,增益!$A:$A,增益!$X:$X,0))</f>
        <v>0</v>
      </c>
    </row>
    <row r="61" spans="1:77">
      <c r="A61" s="4"/>
      <c r="B61" s="4"/>
      <c r="F61" s="4"/>
      <c r="G61" s="90"/>
      <c r="K61" s="37">
        <f>$L61*VLOOKUP($R61,武学奇术!$A:$ZZ,31,FALSE)</f>
        <v>208166.011298983</v>
      </c>
      <c r="L61" s="37">
        <f t="shared" si="12"/>
        <v>208166.011298983</v>
      </c>
      <c r="M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*(1+$BX61)</f>
        <v>214923.673983832</v>
      </c>
      <c r="N61" s="37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*(1+$BX61)</f>
        <v>159294.892229319</v>
      </c>
      <c r="O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*(1+$BX61)</f>
        <v>105354.742148937</v>
      </c>
      <c r="P61" s="37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*(1+$BX61)</f>
        <v>92713.2678317121</v>
      </c>
      <c r="Q61" s="38">
        <v>1</v>
      </c>
      <c r="R61" s="39" t="s">
        <v>163</v>
      </c>
      <c r="S61" s="39" t="s">
        <v>104</v>
      </c>
      <c r="T61" s="39" t="s">
        <v>194</v>
      </c>
      <c r="U61" s="39" t="s">
        <v>81</v>
      </c>
      <c r="V61" s="39" t="s">
        <v>130</v>
      </c>
      <c r="W61" s="39" t="s">
        <v>83</v>
      </c>
      <c r="X61" s="39" t="s">
        <v>84</v>
      </c>
      <c r="Y61" s="39" t="s">
        <v>84</v>
      </c>
      <c r="Z61" s="39" t="s">
        <v>84</v>
      </c>
      <c r="AA61" s="39" t="s">
        <v>84</v>
      </c>
      <c r="AB61" s="39" t="s">
        <v>204</v>
      </c>
      <c r="AC61" s="39" t="s">
        <v>84</v>
      </c>
      <c r="AD61" s="39" t="s">
        <v>84</v>
      </c>
      <c r="AE61" s="39" t="s">
        <v>84</v>
      </c>
      <c r="AF61" s="39" t="s">
        <v>88</v>
      </c>
      <c r="AG61" s="39" t="s">
        <v>84</v>
      </c>
      <c r="AH61" s="39" t="s">
        <v>84</v>
      </c>
      <c r="AI61" s="39" t="s">
        <v>84</v>
      </c>
      <c r="AJ61" s="39" t="s">
        <v>84</v>
      </c>
      <c r="AK61" s="39" t="s">
        <v>84</v>
      </c>
      <c r="AL61" s="39" t="s">
        <v>84</v>
      </c>
      <c r="AM61" t="str">
        <f>VLOOKUP($R61,武学奇术!$A:$ZZ,25,FALSE)</f>
        <v>双刀</v>
      </c>
      <c r="AN61" s="24">
        <f>VLOOKUP($R61,武学奇术!$A:$ZZ,26,FALSE)</f>
        <v>3.80688</v>
      </c>
      <c r="AO61" s="25">
        <f>VLOOKUP($R61,武学奇术!$A:$ZZ,27,FALSE)*(1+IF(OR($AM61=$F$4,$AM61=$F$5),$B$22,0))</f>
        <v>1684.48</v>
      </c>
      <c r="AP61" s="24">
        <f>VLOOKUP($R61,武学奇术!$A:$ZZ,28,FALSE)</f>
        <v>5.70976</v>
      </c>
      <c r="AQ61" s="25">
        <f>VLOOKUP($R61,武学奇术!$A:$ZZ,29,FALSE)*(1+IF(OR($AM61=$F$4,$AM61=$F$5),$B$22,0))</f>
        <v>913.92</v>
      </c>
      <c r="AR61" s="24" cm="1">
        <f t="array" ref="AR61">$G$3+IFERROR(VLOOKUP($AM61,$F$4:$G$7,2,FALSE),0)+VLOOKUP($R61,武学奇术!$A:$ZZ,2,FALSE)+SUM(_xlfn.XLOOKUP($S61:$AL61,增益!$A:$A,增益!$B:$B,0))</f>
        <v>0.3743</v>
      </c>
      <c r="AS61" s="24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4274.25</v>
      </c>
      <c r="AU61" cm="1">
        <f t="array" ref="AU61">$E$10*(1+$AS61)+VLOOKUP($R61,武学奇术!$A:$ZZ,4,FALSE)+SUM(_xlfn.XLOOKUP($S61:$AL61,增益!$A:$A,增益!$D:$D,0))-$I$2</f>
        <v>4274.25</v>
      </c>
      <c r="AV61" s="31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0.2184</v>
      </c>
      <c r="AW61" s="31" cm="1">
        <f t="array" ref="AW61">$G$10+VLOOKUP($R61,武学奇术!$A:$ZZ,7,FALSE)+SUM(_xlfn.XLOOKUP($S61:$AL61,增益!$A:$A,增益!$G:$G,0))</f>
        <v>0.11</v>
      </c>
      <c r="AX61" s="24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1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1" cm="1">
        <f t="array" ref="BB61">$G$11+VLOOKUP($R61,武学奇术!$A:$ZZ,10,FALSE)+SUM(_xlfn.XLOOKUP($S61:$AL61,增益!$A:$A,增益!$J:$J,0))</f>
        <v>0.02</v>
      </c>
      <c r="BC61">
        <f t="shared" si="3"/>
        <v>0</v>
      </c>
      <c r="BD61">
        <f t="shared" si="4"/>
        <v>0</v>
      </c>
      <c r="BE61" s="31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1" cm="1">
        <f t="array" ref="BF61">$G$12+VLOOKUP($R61,武学奇术!$A:$ZZ,12,FALSE)+SUM(_xlfn.XLOOKUP($S61:$AL61,增益!$A:$A,增益!$L:$L,0))</f>
        <v>0.02</v>
      </c>
      <c r="BG61">
        <f t="shared" si="5"/>
        <v>0</v>
      </c>
      <c r="BH61">
        <f t="shared" si="6"/>
        <v>0</v>
      </c>
      <c r="BI61" s="31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1" cm="1">
        <f t="array" ref="BJ61">$G$13+VLOOKUP($R61,武学奇术!$A:$ZZ,14,FALSE)+SUM(_xlfn.XLOOKUP($S61:$AL61,增益!$A:$A,增益!$N:$N,0))</f>
        <v>0.02</v>
      </c>
      <c r="BK61">
        <f t="shared" si="7"/>
        <v>649.11</v>
      </c>
      <c r="BL61">
        <f t="shared" si="8"/>
        <v>1812.09</v>
      </c>
      <c r="BM61" s="31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1" cm="1">
        <f t="array" ref="BN61">$G$14+VLOOKUP($R61,武学奇术!$A:$ZZ,16,FALSE)+SUM(_xlfn.XLOOKUP($S61:$AL61,增益!$A:$A,增益!$P:$P,0))</f>
        <v>0.26</v>
      </c>
      <c r="BO61" s="24">
        <f>MIN(IF(VLOOKUP($R61,武学奇术!$A:$ZZ,23,FALSE)=1,100%,$B$8),100%)</f>
        <v>0.9943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0.8985</v>
      </c>
      <c r="BQ61" s="24" cm="1">
        <f t="array" ref="BQ61">1+$B$13+VLOOKUP($R61,武学奇术!$A:$ZZ,18,FALSE)+SUM(_xlfn.XLOOKUP($S61:$AL61,增益!$A:$A,增益!$R:$R,0))</f>
        <v>2.04</v>
      </c>
      <c r="BR61" s="24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4" cm="1">
        <f t="array" ref="BS61">1+$B$14+VLOOKUP($R61,武学奇术!$A:$ZZ,20,FALSE)+SUM(_xlfn.XLOOKUP($S61:$AL61,增益!$A:$A,增益!$T:$T,0))</f>
        <v>1.35</v>
      </c>
      <c r="BT61" s="24">
        <f t="shared" si="9"/>
        <v>0.89337855</v>
      </c>
      <c r="BU61" s="24">
        <f t="shared" si="10"/>
        <v>0.0153214500000001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0.11</v>
      </c>
      <c r="BX61" s="24">
        <f>VLOOKUP($R61,武学奇术!$A:$ZZ,32,FALSE)</f>
        <v>0.5</v>
      </c>
      <c r="BY61" s="24" cm="1">
        <f t="array" ref="BY61">SUM(_xlfn.XLOOKUP($S61:$AL61,增益!$A:$A,增益!$X:$X,0))</f>
        <v>0</v>
      </c>
    </row>
    <row r="62" spans="1:77">
      <c r="A62" s="4"/>
      <c r="B62" s="4"/>
      <c r="K62" s="37">
        <f>$L62*VLOOKUP($R62,武学奇术!$A:$ZZ,31,FALSE)</f>
        <v>156153.570493085</v>
      </c>
      <c r="L62" s="37">
        <f t="shared" si="12"/>
        <v>156153.570493085</v>
      </c>
      <c r="M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*(1+$BX62)</f>
        <v>161222.868001659</v>
      </c>
      <c r="N62" s="37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*(1+$BX62)</f>
        <v>119492.351915339</v>
      </c>
      <c r="O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*(1+$BX62)</f>
        <v>79030.8176478719</v>
      </c>
      <c r="P62" s="37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*(1+$BX62)</f>
        <v>69548.782025122</v>
      </c>
      <c r="Q62" s="38">
        <v>1</v>
      </c>
      <c r="R62" s="39" t="s">
        <v>166</v>
      </c>
      <c r="S62" s="39" t="s">
        <v>104</v>
      </c>
      <c r="T62" s="39" t="s">
        <v>194</v>
      </c>
      <c r="U62" s="39" t="s">
        <v>81</v>
      </c>
      <c r="V62" s="39" t="s">
        <v>130</v>
      </c>
      <c r="W62" s="39" t="s">
        <v>83</v>
      </c>
      <c r="X62" s="39" t="s">
        <v>84</v>
      </c>
      <c r="Y62" s="39" t="s">
        <v>84</v>
      </c>
      <c r="Z62" s="39" t="s">
        <v>84</v>
      </c>
      <c r="AA62" s="39" t="s">
        <v>84</v>
      </c>
      <c r="AB62" s="39" t="s">
        <v>204</v>
      </c>
      <c r="AC62" s="39" t="s">
        <v>84</v>
      </c>
      <c r="AD62" s="39" t="s">
        <v>84</v>
      </c>
      <c r="AE62" s="39" t="s">
        <v>84</v>
      </c>
      <c r="AF62" s="39" t="s">
        <v>88</v>
      </c>
      <c r="AG62" s="39" t="s">
        <v>84</v>
      </c>
      <c r="AH62" s="39" t="s">
        <v>84</v>
      </c>
      <c r="AI62" s="39" t="s">
        <v>84</v>
      </c>
      <c r="AJ62" s="39" t="s">
        <v>84</v>
      </c>
      <c r="AK62" s="39" t="s">
        <v>84</v>
      </c>
      <c r="AL62" s="39" t="s">
        <v>84</v>
      </c>
      <c r="AM62" t="str">
        <f>VLOOKUP($R62,武学奇术!$A:$ZZ,25,FALSE)</f>
        <v>双刀</v>
      </c>
      <c r="AN62" s="24">
        <f>VLOOKUP($R62,武学奇术!$A:$ZZ,26,FALSE)</f>
        <v>2.85516</v>
      </c>
      <c r="AO62" s="25">
        <f>VLOOKUP($R62,武学奇术!$A:$ZZ,27,FALSE)*(1+IF(OR($AM62=$F$4,$AM62=$F$5),$B$22,0))</f>
        <v>1263.36</v>
      </c>
      <c r="AP62" s="24">
        <f>VLOOKUP($R62,武学奇术!$A:$ZZ,28,FALSE)</f>
        <v>4.28274</v>
      </c>
      <c r="AQ62" s="25">
        <f>VLOOKUP($R62,武学奇术!$A:$ZZ,29,FALSE)*(1+IF(OR($AM62=$F$4,$AM62=$F$5),$B$22,0))</f>
        <v>687.68</v>
      </c>
      <c r="AR62" s="24" cm="1">
        <f t="array" ref="AR62">$G$3+IFERROR(VLOOKUP($AM62,$F$4:$G$7,2,FALSE),0)+VLOOKUP($R62,武学奇术!$A:$ZZ,2,FALSE)+SUM(_xlfn.XLOOKUP($S62:$AL62,增益!$A:$A,增益!$B:$B,0))</f>
        <v>0.3743</v>
      </c>
      <c r="AS62" s="24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4274.25</v>
      </c>
      <c r="AU62" cm="1">
        <f t="array" ref="AU62">$E$10*(1+$AS62)+VLOOKUP($R62,武学奇术!$A:$ZZ,4,FALSE)+SUM(_xlfn.XLOOKUP($S62:$AL62,增益!$A:$A,增益!$D:$D,0))-$I$2</f>
        <v>4274.25</v>
      </c>
      <c r="AV62" s="31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0.2184</v>
      </c>
      <c r="AW62" s="31" cm="1">
        <f t="array" ref="AW62">$G$10+VLOOKUP($R62,武学奇术!$A:$ZZ,7,FALSE)+SUM(_xlfn.XLOOKUP($S62:$AL62,增益!$A:$A,增益!$G:$G,0))</f>
        <v>0.11</v>
      </c>
      <c r="AX62" s="24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1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1" cm="1">
        <f t="array" ref="BB62">$G$11+VLOOKUP($R62,武学奇术!$A:$ZZ,10,FALSE)+SUM(_xlfn.XLOOKUP($S62:$AL62,增益!$A:$A,增益!$J:$J,0))</f>
        <v>0.02</v>
      </c>
      <c r="BC62">
        <f t="shared" si="3"/>
        <v>0</v>
      </c>
      <c r="BD62">
        <f t="shared" si="4"/>
        <v>0</v>
      </c>
      <c r="BE62" s="31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1" cm="1">
        <f t="array" ref="BF62">$G$12+VLOOKUP($R62,武学奇术!$A:$ZZ,12,FALSE)+SUM(_xlfn.XLOOKUP($S62:$AL62,增益!$A:$A,增益!$L:$L,0))</f>
        <v>0.02</v>
      </c>
      <c r="BG62">
        <f t="shared" si="5"/>
        <v>0</v>
      </c>
      <c r="BH62">
        <f t="shared" si="6"/>
        <v>0</v>
      </c>
      <c r="BI62" s="31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1" cm="1">
        <f t="array" ref="BJ62">$G$13+VLOOKUP($R62,武学奇术!$A:$ZZ,14,FALSE)+SUM(_xlfn.XLOOKUP($S62:$AL62,增益!$A:$A,增益!$N:$N,0))</f>
        <v>0.02</v>
      </c>
      <c r="BK62">
        <f t="shared" si="7"/>
        <v>649.11</v>
      </c>
      <c r="BL62">
        <f t="shared" si="8"/>
        <v>1812.09</v>
      </c>
      <c r="BM62" s="31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1" cm="1">
        <f t="array" ref="BN62">$G$14+VLOOKUP($R62,武学奇术!$A:$ZZ,16,FALSE)+SUM(_xlfn.XLOOKUP($S62:$AL62,增益!$A:$A,增益!$P:$P,0))</f>
        <v>0.26</v>
      </c>
      <c r="BO62" s="24">
        <f>MIN(IF(VLOOKUP($R62,武学奇术!$A:$ZZ,23,FALSE)=1,100%,$B$8),100%)</f>
        <v>0.9943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0.8985</v>
      </c>
      <c r="BQ62" s="24" cm="1">
        <f t="array" ref="BQ62">1+$B$13+VLOOKUP($R62,武学奇术!$A:$ZZ,18,FALSE)+SUM(_xlfn.XLOOKUP($S62:$AL62,增益!$A:$A,增益!$R:$R,0))</f>
        <v>2.04</v>
      </c>
      <c r="BR62" s="24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4" cm="1">
        <f t="array" ref="BS62">1+$B$14+VLOOKUP($R62,武学奇术!$A:$ZZ,20,FALSE)+SUM(_xlfn.XLOOKUP($S62:$AL62,增益!$A:$A,增益!$T:$T,0))</f>
        <v>1.35</v>
      </c>
      <c r="BT62" s="24">
        <f t="shared" si="9"/>
        <v>0.89337855</v>
      </c>
      <c r="BU62" s="24">
        <f t="shared" si="10"/>
        <v>0.0153214500000001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0.11</v>
      </c>
      <c r="BX62" s="24">
        <f>VLOOKUP($R62,武学奇术!$A:$ZZ,32,FALSE)</f>
        <v>0.5</v>
      </c>
      <c r="BY62" s="24" cm="1">
        <f t="array" ref="BY62">SUM(_xlfn.XLOOKUP($S62:$AL62,增益!$A:$A,增益!$X:$X,0))</f>
        <v>0</v>
      </c>
    </row>
    <row r="63" spans="1:77">
      <c r="A63" s="4"/>
      <c r="B63" s="4"/>
      <c r="K63" s="37">
        <f>$L63*VLOOKUP($R63,武学奇术!$A:$ZZ,31,FALSE)</f>
        <v>284352.320234173</v>
      </c>
      <c r="L63" s="37">
        <f t="shared" si="12"/>
        <v>284352.320234173</v>
      </c>
      <c r="M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*(1+$BX63)</f>
        <v>293583.968170288</v>
      </c>
      <c r="N63" s="37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*(1+$BX63)</f>
        <v>217587.445088722</v>
      </c>
      <c r="O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*(1+$BX63)</f>
        <v>143913.709887396</v>
      </c>
      <c r="P63" s="37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*(1+$BX63)</f>
        <v>126651.534523887</v>
      </c>
      <c r="Q63" s="38">
        <v>1</v>
      </c>
      <c r="R63" s="39" t="s">
        <v>133</v>
      </c>
      <c r="S63" s="39" t="s">
        <v>104</v>
      </c>
      <c r="T63" s="39" t="s">
        <v>194</v>
      </c>
      <c r="U63" s="39" t="s">
        <v>81</v>
      </c>
      <c r="V63" s="39" t="s">
        <v>130</v>
      </c>
      <c r="W63" s="39" t="s">
        <v>83</v>
      </c>
      <c r="X63" s="39" t="s">
        <v>84</v>
      </c>
      <c r="Y63" s="39" t="s">
        <v>84</v>
      </c>
      <c r="Z63" s="39" t="s">
        <v>84</v>
      </c>
      <c r="AA63" s="39" t="s">
        <v>84</v>
      </c>
      <c r="AB63" s="39" t="s">
        <v>204</v>
      </c>
      <c r="AC63" s="39" t="s">
        <v>84</v>
      </c>
      <c r="AD63" s="39" t="s">
        <v>84</v>
      </c>
      <c r="AE63" s="39" t="s">
        <v>84</v>
      </c>
      <c r="AF63" s="39" t="s">
        <v>88</v>
      </c>
      <c r="AG63" s="39" t="s">
        <v>84</v>
      </c>
      <c r="AH63" s="39" t="s">
        <v>84</v>
      </c>
      <c r="AI63" s="39" t="s">
        <v>84</v>
      </c>
      <c r="AJ63" s="39" t="s">
        <v>84</v>
      </c>
      <c r="AK63" s="39" t="s">
        <v>84</v>
      </c>
      <c r="AL63" s="39" t="s">
        <v>84</v>
      </c>
      <c r="AM63" t="str">
        <f>VLOOKUP($R63,武学奇术!$A:$ZZ,25,FALSE)</f>
        <v>拳甲</v>
      </c>
      <c r="AN63" s="24">
        <f>VLOOKUP($R63,武学奇术!$A:$ZZ,26,FALSE)</f>
        <v>5.5691</v>
      </c>
      <c r="AO63" s="25">
        <f>VLOOKUP($R63,武学奇术!$A:$ZZ,27,FALSE)*(1+IF(OR($AM63=$F$4,$AM63=$F$5),$B$22,0))</f>
        <v>2470.4</v>
      </c>
      <c r="AP63" s="24">
        <f>VLOOKUP($R63,武学奇术!$A:$ZZ,28,FALSE)</f>
        <v>8.3537</v>
      </c>
      <c r="AQ63" s="25">
        <f>VLOOKUP($R63,武学奇术!$A:$ZZ,29,FALSE)*(1+IF(OR($AM63=$F$4,$AM63=$F$5),$B$22,0))</f>
        <v>1344</v>
      </c>
      <c r="AR63" s="24" cm="1">
        <f t="array" ref="AR63">$G$3+IFERROR(VLOOKUP($AM63,$F$4:$G$7,2,FALSE),0)+VLOOKUP($R63,武学奇术!$A:$ZZ,2,FALSE)+SUM(_xlfn.XLOOKUP($S63:$AL63,增益!$A:$A,增益!$B:$B,0))</f>
        <v>0.3743</v>
      </c>
      <c r="AS63" s="24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4274.25</v>
      </c>
      <c r="AU63" cm="1">
        <f t="array" ref="AU63">$E$10*(1+$AS63)+VLOOKUP($R63,武学奇术!$A:$ZZ,4,FALSE)+SUM(_xlfn.XLOOKUP($S63:$AL63,增益!$A:$A,增益!$D:$D,0))-$I$2</f>
        <v>4274.25</v>
      </c>
      <c r="AV63" s="31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0.2184</v>
      </c>
      <c r="AW63" s="31" cm="1">
        <f t="array" ref="AW63">$G$10+VLOOKUP($R63,武学奇术!$A:$ZZ,7,FALSE)+SUM(_xlfn.XLOOKUP($S63:$AL63,增益!$A:$A,增益!$G:$G,0))</f>
        <v>0.11</v>
      </c>
      <c r="AX63" s="24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1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1" cm="1">
        <f t="array" ref="BB63">$G$11+VLOOKUP($R63,武学奇术!$A:$ZZ,10,FALSE)+SUM(_xlfn.XLOOKUP($S63:$AL63,增益!$A:$A,增益!$J:$J,0))</f>
        <v>0.02</v>
      </c>
      <c r="BC63">
        <f t="shared" si="3"/>
        <v>0</v>
      </c>
      <c r="BD63">
        <f t="shared" si="4"/>
        <v>0</v>
      </c>
      <c r="BE63" s="31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1" cm="1">
        <f t="array" ref="BF63">$G$12+VLOOKUP($R63,武学奇术!$A:$ZZ,12,FALSE)+SUM(_xlfn.XLOOKUP($S63:$AL63,增益!$A:$A,增益!$L:$L,0))</f>
        <v>0.02</v>
      </c>
      <c r="BG63">
        <f t="shared" si="5"/>
        <v>0</v>
      </c>
      <c r="BH63">
        <f t="shared" si="6"/>
        <v>0</v>
      </c>
      <c r="BI63" s="31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1" cm="1">
        <f t="array" ref="BJ63">$G$13+VLOOKUP($R63,武学奇术!$A:$ZZ,14,FALSE)+SUM(_xlfn.XLOOKUP($S63:$AL63,增益!$A:$A,增益!$N:$N,0))</f>
        <v>0.02</v>
      </c>
      <c r="BK63">
        <f t="shared" si="7"/>
        <v>649.11</v>
      </c>
      <c r="BL63">
        <f t="shared" si="8"/>
        <v>1812.09</v>
      </c>
      <c r="BM63" s="31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31" cm="1">
        <f t="array" ref="BN63">$G$14+VLOOKUP($R63,武学奇术!$A:$ZZ,16,FALSE)+SUM(_xlfn.XLOOKUP($S63:$AL63,增益!$A:$A,增益!$P:$P,0))</f>
        <v>0.26</v>
      </c>
      <c r="BO63" s="24">
        <f>MIN(IF(VLOOKUP($R63,武学奇术!$A:$ZZ,23,FALSE)=1,100%,$B$8),100%)</f>
        <v>0.9943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0.8985</v>
      </c>
      <c r="BQ63" s="24" cm="1">
        <f t="array" ref="BQ63">1+$B$13+VLOOKUP($R63,武学奇术!$A:$ZZ,18,FALSE)+SUM(_xlfn.XLOOKUP($S63:$AL63,增益!$A:$A,增益!$R:$R,0))</f>
        <v>2.04</v>
      </c>
      <c r="BR63" s="24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4" cm="1">
        <f t="array" ref="BS63">1+$B$14+VLOOKUP($R63,武学奇术!$A:$ZZ,20,FALSE)+SUM(_xlfn.XLOOKUP($S63:$AL63,增益!$A:$A,增益!$T:$T,0))</f>
        <v>1.35</v>
      </c>
      <c r="BT63" s="24">
        <f t="shared" si="9"/>
        <v>0.89337855</v>
      </c>
      <c r="BU63" s="24">
        <f t="shared" si="10"/>
        <v>0.0153214500000001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0.11</v>
      </c>
      <c r="BX63" s="24">
        <f>VLOOKUP($R63,武学奇术!$A:$ZZ,32,FALSE)</f>
        <v>0.4</v>
      </c>
      <c r="BY63" s="24" cm="1">
        <f t="array" ref="BY63">SUM(_xlfn.XLOOKUP($S63:$AL63,增益!$A:$A,增益!$X:$X,0))</f>
        <v>0</v>
      </c>
    </row>
    <row r="64" spans="1:77">
      <c r="A64" s="4"/>
      <c r="B64" s="90"/>
      <c r="F64" s="4"/>
      <c r="G64" s="90"/>
      <c r="K64" s="37">
        <f>$L64*VLOOKUP($R64,武学奇术!$A:$ZZ,31,FALSE)</f>
        <v>284352.320234173</v>
      </c>
      <c r="L64" s="37">
        <f t="shared" si="12"/>
        <v>284352.320234173</v>
      </c>
      <c r="M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*(1+$BX64)</f>
        <v>293583.968170288</v>
      </c>
      <c r="N64" s="37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*(1+$BX64)</f>
        <v>217587.445088722</v>
      </c>
      <c r="O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*(1+$BX64)</f>
        <v>143913.709887396</v>
      </c>
      <c r="P64" s="37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*(1+$BX64)</f>
        <v>126651.534523887</v>
      </c>
      <c r="Q64" s="38">
        <v>1</v>
      </c>
      <c r="R64" s="39" t="s">
        <v>133</v>
      </c>
      <c r="S64" s="39" t="s">
        <v>104</v>
      </c>
      <c r="T64" s="39" t="s">
        <v>194</v>
      </c>
      <c r="U64" s="39" t="s">
        <v>81</v>
      </c>
      <c r="V64" s="39" t="s">
        <v>130</v>
      </c>
      <c r="W64" s="39" t="s">
        <v>83</v>
      </c>
      <c r="X64" s="39" t="s">
        <v>84</v>
      </c>
      <c r="Y64" s="39" t="s">
        <v>84</v>
      </c>
      <c r="Z64" s="39" t="s">
        <v>84</v>
      </c>
      <c r="AA64" s="39" t="s">
        <v>84</v>
      </c>
      <c r="AB64" s="39" t="s">
        <v>204</v>
      </c>
      <c r="AC64" s="39" t="s">
        <v>84</v>
      </c>
      <c r="AD64" s="39" t="s">
        <v>84</v>
      </c>
      <c r="AE64" s="39" t="s">
        <v>84</v>
      </c>
      <c r="AF64" s="39" t="s">
        <v>88</v>
      </c>
      <c r="AG64" s="39" t="s">
        <v>84</v>
      </c>
      <c r="AH64" s="39" t="s">
        <v>84</v>
      </c>
      <c r="AI64" s="39" t="s">
        <v>84</v>
      </c>
      <c r="AJ64" s="39" t="s">
        <v>84</v>
      </c>
      <c r="AK64" s="39" t="s">
        <v>84</v>
      </c>
      <c r="AL64" s="39" t="s">
        <v>84</v>
      </c>
      <c r="AM64" t="str">
        <f>VLOOKUP($R64,武学奇术!$A:$ZZ,25,FALSE)</f>
        <v>拳甲</v>
      </c>
      <c r="AN64" s="24">
        <f>VLOOKUP($R64,武学奇术!$A:$ZZ,26,FALSE)</f>
        <v>5.5691</v>
      </c>
      <c r="AO64" s="25">
        <f>VLOOKUP($R64,武学奇术!$A:$ZZ,27,FALSE)*(1+IF(OR($AM64=$F$4,$AM64=$F$5),$B$22,0))</f>
        <v>2470.4</v>
      </c>
      <c r="AP64" s="24">
        <f>VLOOKUP($R64,武学奇术!$A:$ZZ,28,FALSE)</f>
        <v>8.3537</v>
      </c>
      <c r="AQ64" s="25">
        <f>VLOOKUP($R64,武学奇术!$A:$ZZ,29,FALSE)*(1+IF(OR($AM64=$F$4,$AM64=$F$5),$B$22,0))</f>
        <v>1344</v>
      </c>
      <c r="AR64" s="24" cm="1">
        <f t="array" ref="AR64">$G$3+IFERROR(VLOOKUP($AM64,$F$4:$G$7,2,FALSE),0)+VLOOKUP($R64,武学奇术!$A:$ZZ,2,FALSE)+SUM(_xlfn.XLOOKUP($S64:$AL64,增益!$A:$A,增益!$B:$B,0))</f>
        <v>0.3743</v>
      </c>
      <c r="AS64" s="24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4274.25</v>
      </c>
      <c r="AU64" cm="1">
        <f t="array" ref="AU64">$E$10*(1+$AS64)+VLOOKUP($R64,武学奇术!$A:$ZZ,4,FALSE)+SUM(_xlfn.XLOOKUP($S64:$AL64,增益!$A:$A,增益!$D:$D,0))-$I$2</f>
        <v>4274.25</v>
      </c>
      <c r="AV64" s="31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0.2184</v>
      </c>
      <c r="AW64" s="31" cm="1">
        <f t="array" ref="AW64">$G$10+VLOOKUP($R64,武学奇术!$A:$ZZ,7,FALSE)+SUM(_xlfn.XLOOKUP($S64:$AL64,增益!$A:$A,增益!$G:$G,0))</f>
        <v>0.11</v>
      </c>
      <c r="AX64" s="24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1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1" cm="1">
        <f t="array" ref="BB64">$G$11+VLOOKUP($R64,武学奇术!$A:$ZZ,10,FALSE)+SUM(_xlfn.XLOOKUP($S64:$AL64,增益!$A:$A,增益!$J:$J,0))</f>
        <v>0.02</v>
      </c>
      <c r="BC64">
        <f t="shared" si="3"/>
        <v>0</v>
      </c>
      <c r="BD64">
        <f t="shared" si="4"/>
        <v>0</v>
      </c>
      <c r="BE64" s="31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1" cm="1">
        <f t="array" ref="BF64">$G$12+VLOOKUP($R64,武学奇术!$A:$ZZ,12,FALSE)+SUM(_xlfn.XLOOKUP($S64:$AL64,增益!$A:$A,增益!$L:$L,0))</f>
        <v>0.02</v>
      </c>
      <c r="BG64">
        <f t="shared" si="5"/>
        <v>0</v>
      </c>
      <c r="BH64">
        <f t="shared" si="6"/>
        <v>0</v>
      </c>
      <c r="BI64" s="31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-0.3</v>
      </c>
      <c r="BJ64" s="31" cm="1">
        <f t="array" ref="BJ64">$G$13+VLOOKUP($R64,武学奇术!$A:$ZZ,14,FALSE)+SUM(_xlfn.XLOOKUP($S64:$AL64,增益!$A:$A,增益!$N:$N,0))</f>
        <v>0.02</v>
      </c>
      <c r="BK64">
        <f t="shared" si="7"/>
        <v>649.11</v>
      </c>
      <c r="BL64">
        <f t="shared" si="8"/>
        <v>1812.09</v>
      </c>
      <c r="BM64" s="31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</v>
      </c>
      <c r="BN64" s="31" cm="1">
        <f t="array" ref="BN64">$G$14+VLOOKUP($R64,武学奇术!$A:$ZZ,16,FALSE)+SUM(_xlfn.XLOOKUP($S64:$AL64,增益!$A:$A,增益!$P:$P,0))</f>
        <v>0.26</v>
      </c>
      <c r="BO64" s="24">
        <f>MIN(IF(VLOOKUP($R64,武学奇术!$A:$ZZ,23,FALSE)=1,100%,$B$8),100%)</f>
        <v>0.9943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0.8985</v>
      </c>
      <c r="BQ64" s="24" cm="1">
        <f t="array" ref="BQ64">1+$B$13+VLOOKUP($R64,武学奇术!$A:$ZZ,18,FALSE)+SUM(_xlfn.XLOOKUP($S64:$AL64,增益!$A:$A,增益!$R:$R,0))</f>
        <v>2.04</v>
      </c>
      <c r="BR64" s="24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4" cm="1">
        <f t="array" ref="BS64">1+$B$14+VLOOKUP($R64,武学奇术!$A:$ZZ,20,FALSE)+SUM(_xlfn.XLOOKUP($S64:$AL64,增益!$A:$A,增益!$T:$T,0))</f>
        <v>1.35</v>
      </c>
      <c r="BT64" s="24">
        <f t="shared" si="9"/>
        <v>0.89337855</v>
      </c>
      <c r="BU64" s="24">
        <f t="shared" si="10"/>
        <v>0.0153214500000001</v>
      </c>
      <c r="BV64" s="24">
        <f>IF(VLOOKUP($R64,武学奇术!$A:$ZZ,22,FALSE)=1,0,(1-$BO64))*(1-$BR64)</f>
        <v>0</v>
      </c>
      <c r="BW64" s="24" cm="1">
        <f t="array" ref="BW64">SUM(_xlfn.XLOOKUP($S64:$AL64,增益!$A:$A,增益!$W:$W,0))+$I$5</f>
        <v>0.11</v>
      </c>
      <c r="BX64" s="24">
        <f>VLOOKUP($R64,武学奇术!$A:$ZZ,32,FALSE)</f>
        <v>0.4</v>
      </c>
      <c r="BY64" s="24" cm="1">
        <f t="array" ref="BY64">SUM(_xlfn.XLOOKUP($S64:$AL64,增益!$A:$A,增益!$X:$X,0))</f>
        <v>0</v>
      </c>
    </row>
    <row r="65" spans="1:77">
      <c r="K65" s="37">
        <f>$L65*VLOOKUP($R65,武学奇术!$A:$ZZ,31,FALSE)</f>
        <v>284352.320234173</v>
      </c>
      <c r="L65" s="37">
        <f t="shared" si="12"/>
        <v>284352.320234173</v>
      </c>
      <c r="M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*(1+$BX65)</f>
        <v>293583.968170288</v>
      </c>
      <c r="N65" s="37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*(1+$BX65)</f>
        <v>217587.445088722</v>
      </c>
      <c r="O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*(1+$BX65)</f>
        <v>143913.709887396</v>
      </c>
      <c r="P65" s="37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*(1+$BX65)</f>
        <v>126651.534523887</v>
      </c>
      <c r="Q65" s="38">
        <v>1</v>
      </c>
      <c r="R65" s="39" t="s">
        <v>133</v>
      </c>
      <c r="S65" s="39" t="s">
        <v>104</v>
      </c>
      <c r="T65" s="39" t="s">
        <v>194</v>
      </c>
      <c r="U65" s="39" t="s">
        <v>81</v>
      </c>
      <c r="V65" s="39" t="s">
        <v>130</v>
      </c>
      <c r="W65" s="39" t="s">
        <v>83</v>
      </c>
      <c r="X65" s="39" t="s">
        <v>84</v>
      </c>
      <c r="Y65" s="39" t="s">
        <v>84</v>
      </c>
      <c r="Z65" s="39" t="s">
        <v>84</v>
      </c>
      <c r="AA65" s="39" t="s">
        <v>84</v>
      </c>
      <c r="AB65" s="39" t="s">
        <v>204</v>
      </c>
      <c r="AC65" s="39" t="s">
        <v>84</v>
      </c>
      <c r="AD65" s="39" t="s">
        <v>84</v>
      </c>
      <c r="AE65" s="39" t="s">
        <v>84</v>
      </c>
      <c r="AF65" s="39" t="s">
        <v>88</v>
      </c>
      <c r="AG65" s="39" t="s">
        <v>84</v>
      </c>
      <c r="AH65" s="39" t="s">
        <v>84</v>
      </c>
      <c r="AI65" s="39" t="s">
        <v>84</v>
      </c>
      <c r="AJ65" s="39" t="s">
        <v>84</v>
      </c>
      <c r="AK65" s="39" t="s">
        <v>84</v>
      </c>
      <c r="AL65" s="39" t="s">
        <v>84</v>
      </c>
      <c r="AM65" t="str">
        <f>VLOOKUP($R65,武学奇术!$A:$ZZ,25,FALSE)</f>
        <v>拳甲</v>
      </c>
      <c r="AN65" s="24">
        <f>VLOOKUP($R65,武学奇术!$A:$ZZ,26,FALSE)</f>
        <v>5.5691</v>
      </c>
      <c r="AO65" s="25">
        <f>VLOOKUP($R65,武学奇术!$A:$ZZ,27,FALSE)*(1+IF(OR($AM65=$F$4,$AM65=$F$5),$B$22,0))</f>
        <v>2470.4</v>
      </c>
      <c r="AP65" s="24">
        <f>VLOOKUP($R65,武学奇术!$A:$ZZ,28,FALSE)</f>
        <v>8.3537</v>
      </c>
      <c r="AQ65" s="25">
        <f>VLOOKUP($R65,武学奇术!$A:$ZZ,29,FALSE)*(1+IF(OR($AM65=$F$4,$AM65=$F$5),$B$22,0))</f>
        <v>1344</v>
      </c>
      <c r="AR65" s="24" cm="1">
        <f t="array" ref="AR65">$G$3+IFERROR(VLOOKUP($AM65,$F$4:$G$7,2,FALSE),0)+VLOOKUP($R65,武学奇术!$A:$ZZ,2,FALSE)+SUM(_xlfn.XLOOKUP($S65:$AL65,增益!$A:$A,增益!$B:$B,0))</f>
        <v>0.3743</v>
      </c>
      <c r="AS65" s="24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4274.25</v>
      </c>
      <c r="AU65" cm="1">
        <f t="array" ref="AU65">$E$10*(1+$AS65)+VLOOKUP($R65,武学奇术!$A:$ZZ,4,FALSE)+SUM(_xlfn.XLOOKUP($S65:$AL65,增益!$A:$A,增益!$D:$D,0))-$I$2</f>
        <v>4274.25</v>
      </c>
      <c r="AV65" s="31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0.2184</v>
      </c>
      <c r="AW65" s="31" cm="1">
        <f t="array" ref="AW65">$G$10+VLOOKUP($R65,武学奇术!$A:$ZZ,7,FALSE)+SUM(_xlfn.XLOOKUP($S65:$AL65,增益!$A:$A,增益!$G:$G,0))</f>
        <v>0.11</v>
      </c>
      <c r="AX65" s="24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1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1" cm="1">
        <f t="array" ref="BB65">$G$11+VLOOKUP($R65,武学奇术!$A:$ZZ,10,FALSE)+SUM(_xlfn.XLOOKUP($S65:$AL65,增益!$A:$A,增益!$J:$J,0))</f>
        <v>0.02</v>
      </c>
      <c r="BC65">
        <f t="shared" si="3"/>
        <v>0</v>
      </c>
      <c r="BD65">
        <f t="shared" si="4"/>
        <v>0</v>
      </c>
      <c r="BE65" s="31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1" cm="1">
        <f t="array" ref="BF65">$G$12+VLOOKUP($R65,武学奇术!$A:$ZZ,12,FALSE)+SUM(_xlfn.XLOOKUP($S65:$AL65,增益!$A:$A,增益!$L:$L,0))</f>
        <v>0.02</v>
      </c>
      <c r="BG65">
        <f t="shared" si="5"/>
        <v>0</v>
      </c>
      <c r="BH65">
        <f t="shared" si="6"/>
        <v>0</v>
      </c>
      <c r="BI65" s="31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1" cm="1">
        <f t="array" ref="BJ65">$G$13+VLOOKUP($R65,武学奇术!$A:$ZZ,14,FALSE)+SUM(_xlfn.XLOOKUP($S65:$AL65,增益!$A:$A,增益!$N:$N,0))</f>
        <v>0.02</v>
      </c>
      <c r="BK65">
        <f t="shared" si="7"/>
        <v>649.11</v>
      </c>
      <c r="BL65">
        <f t="shared" si="8"/>
        <v>1812.09</v>
      </c>
      <c r="BM65" s="31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1" cm="1">
        <f t="array" ref="BN65">$G$14+VLOOKUP($R65,武学奇术!$A:$ZZ,16,FALSE)+SUM(_xlfn.XLOOKUP($S65:$AL65,增益!$A:$A,增益!$P:$P,0))</f>
        <v>0.26</v>
      </c>
      <c r="BO65" s="24">
        <f>MIN(IF(VLOOKUP($R65,武学奇术!$A:$ZZ,23,FALSE)=1,100%,$B$8),100%)</f>
        <v>0.9943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0.8985</v>
      </c>
      <c r="BQ65" s="24" cm="1">
        <f t="array" ref="BQ65">1+$B$13+VLOOKUP($R65,武学奇术!$A:$ZZ,18,FALSE)+SUM(_xlfn.XLOOKUP($S65:$AL65,增益!$A:$A,增益!$R:$R,0))</f>
        <v>2.04</v>
      </c>
      <c r="BR65" s="24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4" cm="1">
        <f t="array" ref="BS65">1+$B$14+VLOOKUP($R65,武学奇术!$A:$ZZ,20,FALSE)+SUM(_xlfn.XLOOKUP($S65:$AL65,增益!$A:$A,增益!$T:$T,0))</f>
        <v>1.35</v>
      </c>
      <c r="BT65" s="24">
        <f t="shared" si="9"/>
        <v>0.89337855</v>
      </c>
      <c r="BU65" s="24">
        <f t="shared" si="10"/>
        <v>0.0153214500000001</v>
      </c>
      <c r="BV65" s="24">
        <f>IF(VLOOKUP($R65,武学奇术!$A:$ZZ,22,FALSE)=1,0,(1-$BO65))*(1-$BR65)</f>
        <v>0</v>
      </c>
      <c r="BW65" s="24" cm="1">
        <f t="array" ref="BW65">SUM(_xlfn.XLOOKUP($S65:$AL65,增益!$A:$A,增益!$W:$W,0))+$I$5</f>
        <v>0.11</v>
      </c>
      <c r="BX65" s="24">
        <f>VLOOKUP($R65,武学奇术!$A:$ZZ,32,FALSE)</f>
        <v>0.4</v>
      </c>
      <c r="BY65" s="24" cm="1">
        <f t="array" ref="BY65">SUM(_xlfn.XLOOKUP($S65:$AL65,增益!$A:$A,增益!$X:$X,0))</f>
        <v>0</v>
      </c>
    </row>
    <row r="66" spans="1:77">
      <c r="F66" s="4"/>
      <c r="G66" s="4"/>
      <c r="K66" s="37">
        <f>$L66*VLOOKUP($R66,武学奇术!$A:$ZZ,31,FALSE)</f>
        <v>25859.0618564531</v>
      </c>
      <c r="L66" s="37">
        <f t="shared" si="12"/>
        <v>25859.0618564531</v>
      </c>
      <c r="M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*(1+$BX66)</f>
        <v>26210.9671375755</v>
      </c>
      <c r="N66" s="37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*(1+$BX66)</f>
        <v>24182.6358743325</v>
      </c>
      <c r="O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*(1+$BX66)</f>
        <v>15982.297035107</v>
      </c>
      <c r="P66" s="37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*(1+$BX66)</f>
        <v>14051.5304595973</v>
      </c>
      <c r="Q66" s="38">
        <v>1</v>
      </c>
      <c r="R66" s="39" t="s">
        <v>169</v>
      </c>
      <c r="S66" s="39" t="s">
        <v>104</v>
      </c>
      <c r="T66" s="39" t="s">
        <v>194</v>
      </c>
      <c r="U66" s="39" t="s">
        <v>81</v>
      </c>
      <c r="V66" s="39" t="s">
        <v>84</v>
      </c>
      <c r="W66" s="39" t="s">
        <v>84</v>
      </c>
      <c r="X66" s="39" t="s">
        <v>84</v>
      </c>
      <c r="Y66" s="39" t="s">
        <v>84</v>
      </c>
      <c r="Z66" s="39" t="s">
        <v>84</v>
      </c>
      <c r="AA66" s="39" t="s">
        <v>84</v>
      </c>
      <c r="AB66" s="39" t="s">
        <v>205</v>
      </c>
      <c r="AC66" s="39" t="s">
        <v>84</v>
      </c>
      <c r="AD66" s="39" t="s">
        <v>84</v>
      </c>
      <c r="AE66" s="39" t="s">
        <v>84</v>
      </c>
      <c r="AF66" s="39" t="s">
        <v>88</v>
      </c>
      <c r="AG66" s="39" t="s">
        <v>84</v>
      </c>
      <c r="AH66" s="39" t="s">
        <v>84</v>
      </c>
      <c r="AI66" s="39" t="s">
        <v>84</v>
      </c>
      <c r="AJ66" s="39" t="s">
        <v>84</v>
      </c>
      <c r="AK66" s="39" t="s">
        <v>84</v>
      </c>
      <c r="AL66" s="39" t="s">
        <v>84</v>
      </c>
      <c r="AM66" t="str">
        <f>VLOOKUP($R66,武学奇术!$A:$ZZ,25,FALSE)</f>
        <v>拳甲</v>
      </c>
      <c r="AN66" s="24">
        <f>VLOOKUP($R66,武学奇术!$A:$ZZ,26,FALSE)</f>
        <v>0.9193</v>
      </c>
      <c r="AO66" s="25">
        <f>VLOOKUP($R66,武学奇术!$A:$ZZ,27,FALSE)*(1+IF(OR($AM66=$F$4,$AM66=$F$5),$B$22,0))</f>
        <v>408</v>
      </c>
      <c r="AP66" s="24">
        <f>VLOOKUP($R66,武学奇术!$A:$ZZ,28,FALSE)</f>
        <v>1.379</v>
      </c>
      <c r="AQ66" s="25">
        <f>VLOOKUP($R66,武学奇术!$A:$ZZ,29,FALSE)*(1+IF(OR($AM66=$F$4,$AM66=$F$5),$B$22,0))</f>
        <v>222.4</v>
      </c>
      <c r="AR66" s="24" cm="1">
        <f t="array" ref="AR66">$G$3+IFERROR(VLOOKUP($AM66,$F$4:$G$7,2,FALSE),0)+VLOOKUP($R66,武学奇术!$A:$ZZ,2,FALSE)+SUM(_xlfn.XLOOKUP($S66:$AL66,增益!$A:$A,增益!$B:$B,0))</f>
        <v>0.3243</v>
      </c>
      <c r="AS66" s="24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4274.25</v>
      </c>
      <c r="AU66" cm="1">
        <f t="array" ref="AU66">$E$10*(1+$AS66)+VLOOKUP($R66,武学奇术!$A:$ZZ,4,FALSE)+SUM(_xlfn.XLOOKUP($S66:$AL66,增益!$A:$A,增益!$D:$D,0))-$I$2</f>
        <v>4274.25</v>
      </c>
      <c r="AV66" s="31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0.2184</v>
      </c>
      <c r="AW66" s="31" cm="1">
        <f t="array" ref="AW66">$G$10+VLOOKUP($R66,武学奇术!$A:$ZZ,7,FALSE)+SUM(_xlfn.XLOOKUP($S66:$AL66,增益!$A:$A,增益!$G:$G,0))</f>
        <v>0.02</v>
      </c>
      <c r="AX66" s="24" cm="1">
        <f t="array" ref="AX66">VLOOKUP($R66,武学奇术!$A:$ZZ,8,FALSE)+SUM(_xlfn.XLOOKUP($S66:$AL66,增益!$A:$A,增益!$H:$H,0))</f>
        <v>0</v>
      </c>
      <c r="AY66">
        <f t="shared" ref="AY66:AY129" si="13">$D$11*(1+$AX66)</f>
        <v>0</v>
      </c>
      <c r="AZ66">
        <f t="shared" ref="AZ66:AZ129" si="14">$E$11*(1+$AX66)</f>
        <v>0</v>
      </c>
      <c r="BA66" s="31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1" cm="1">
        <f t="array" ref="BB66">$G$11+VLOOKUP($R66,武学奇术!$A:$ZZ,10,FALSE)+SUM(_xlfn.XLOOKUP($S66:$AL66,增益!$A:$A,增益!$J:$J,0))</f>
        <v>0.02</v>
      </c>
      <c r="BC66">
        <f t="shared" ref="BC66:BC129" si="15">$D$12*(1+$AX66)</f>
        <v>0</v>
      </c>
      <c r="BD66">
        <f t="shared" ref="BD66:BD129" si="16">$E$12*(1+$AX66)</f>
        <v>0</v>
      </c>
      <c r="BE66" s="31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1" cm="1">
        <f t="array" ref="BF66">$G$12+VLOOKUP($R66,武学奇术!$A:$ZZ,12,FALSE)+SUM(_xlfn.XLOOKUP($S66:$AL66,增益!$A:$A,增益!$L:$L,0))</f>
        <v>0.02</v>
      </c>
      <c r="BG66">
        <f t="shared" ref="BG66:BG129" si="17">$D$13*(1+$AX66)</f>
        <v>0</v>
      </c>
      <c r="BH66">
        <f t="shared" ref="BH66:BH129" si="18">$E$13*(1+$AX66)</f>
        <v>0</v>
      </c>
      <c r="BI66" s="31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-0.3</v>
      </c>
      <c r="BJ66" s="31" cm="1">
        <f t="array" ref="BJ66">$G$13+VLOOKUP($R66,武学奇术!$A:$ZZ,14,FALSE)+SUM(_xlfn.XLOOKUP($S66:$AL66,增益!$A:$A,增益!$N:$N,0))</f>
        <v>0.02</v>
      </c>
      <c r="BK66">
        <f t="shared" ref="BK66:BK129" si="19">$D$14*(1+$AX66)</f>
        <v>649.11</v>
      </c>
      <c r="BL66">
        <f t="shared" ref="BL66:BL129" si="20">$E$14*(1+$AX66)</f>
        <v>1812.09</v>
      </c>
      <c r="BM66" s="31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</v>
      </c>
      <c r="BN66" s="31" cm="1">
        <f t="array" ref="BN66">$G$14+VLOOKUP($R66,武学奇术!$A:$ZZ,16,FALSE)+SUM(_xlfn.XLOOKUP($S66:$AL66,增益!$A:$A,增益!$P:$P,0))</f>
        <v>0.17</v>
      </c>
      <c r="BO66" s="24">
        <f>MIN(IF(VLOOKUP($R66,武学奇术!$A:$ZZ,23,FALSE)=1,100%,$B$8),100%)</f>
        <v>0.9943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0.8985</v>
      </c>
      <c r="BQ66" s="24" cm="1">
        <f t="array" ref="BQ66">1+$B$13+VLOOKUP($R66,武学奇术!$A:$ZZ,18,FALSE)+SUM(_xlfn.XLOOKUP($S66:$AL66,增益!$A:$A,增益!$R:$R,0))</f>
        <v>1.64</v>
      </c>
      <c r="BR66" s="24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4" cm="1">
        <f t="array" ref="BS66">1+$B$14+VLOOKUP($R66,武学奇术!$A:$ZZ,20,FALSE)+SUM(_xlfn.XLOOKUP($S66:$AL66,增益!$A:$A,增益!$T:$T,0))</f>
        <v>1.35</v>
      </c>
      <c r="BT66" s="24">
        <f t="shared" ref="BT66:BT129" si="21">MIN((1-BR66)*BO66,BO66*BP66)</f>
        <v>0.89337855</v>
      </c>
      <c r="BU66" s="24">
        <f t="shared" ref="BU66:BU129" si="22">1-BR66-BT66-BV66</f>
        <v>0.01014186</v>
      </c>
      <c r="BV66" s="24">
        <f>IF(VLOOKUP($R66,武学奇术!$A:$ZZ,22,FALSE)=1,0,(1-$BO66))*(1-$BR66)</f>
        <v>0.00517959000000003</v>
      </c>
      <c r="BW66" s="24" cm="1">
        <f t="array" ref="BW66">SUM(_xlfn.XLOOKUP($S66:$AL66,增益!$A:$A,增益!$W:$W,0))+$I$5</f>
        <v>0.11</v>
      </c>
      <c r="BX66" s="24">
        <f>VLOOKUP($R66,武学奇术!$A:$ZZ,32,FALSE)</f>
        <v>0.4</v>
      </c>
      <c r="BY66" s="24" cm="1">
        <f t="array" ref="BY66">SUM(_xlfn.XLOOKUP($S66:$AL66,增益!$A:$A,增益!$X:$X,0))</f>
        <v>0</v>
      </c>
    </row>
    <row r="67" spans="1:77">
      <c r="A67" s="4"/>
      <c r="B67" s="90"/>
      <c r="K67" s="37">
        <f>$L67*VLOOKUP($R67,武学奇术!$A:$ZZ,31,FALSE)</f>
        <v>34662.7892813086</v>
      </c>
      <c r="L67" s="37">
        <f t="shared" si="12"/>
        <v>34662.7892813086</v>
      </c>
      <c r="M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*(1+$BX67)</f>
        <v>35134.5145552513</v>
      </c>
      <c r="N67" s="37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*(1+$BX67)</f>
        <v>32415.4814777837</v>
      </c>
      <c r="O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*(1+$BX67)</f>
        <v>21423.4844849093</v>
      </c>
      <c r="P67" s="37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*(1+$BX67)</f>
        <v>18835.5012084973</v>
      </c>
      <c r="Q67" s="38">
        <v>1</v>
      </c>
      <c r="R67" s="39" t="s">
        <v>173</v>
      </c>
      <c r="S67" s="39" t="s">
        <v>104</v>
      </c>
      <c r="T67" s="39" t="s">
        <v>194</v>
      </c>
      <c r="U67" s="39" t="s">
        <v>81</v>
      </c>
      <c r="V67" s="39" t="s">
        <v>84</v>
      </c>
      <c r="W67" s="39" t="s">
        <v>84</v>
      </c>
      <c r="X67" s="39" t="s">
        <v>84</v>
      </c>
      <c r="Y67" s="39" t="s">
        <v>84</v>
      </c>
      <c r="Z67" s="39" t="s">
        <v>84</v>
      </c>
      <c r="AA67" s="39" t="s">
        <v>84</v>
      </c>
      <c r="AB67" s="39" t="s">
        <v>205</v>
      </c>
      <c r="AC67" s="39" t="s">
        <v>84</v>
      </c>
      <c r="AD67" s="39" t="s">
        <v>84</v>
      </c>
      <c r="AE67" s="39" t="s">
        <v>84</v>
      </c>
      <c r="AF67" s="39" t="s">
        <v>88</v>
      </c>
      <c r="AG67" s="39" t="s">
        <v>84</v>
      </c>
      <c r="AH67" s="39" t="s">
        <v>84</v>
      </c>
      <c r="AI67" s="39" t="s">
        <v>84</v>
      </c>
      <c r="AJ67" s="39" t="s">
        <v>84</v>
      </c>
      <c r="AK67" s="39" t="s">
        <v>84</v>
      </c>
      <c r="AL67" s="39" t="s">
        <v>84</v>
      </c>
      <c r="AM67" t="str">
        <f>VLOOKUP($R67,武学奇术!$A:$ZZ,25,FALSE)</f>
        <v>拳甲</v>
      </c>
      <c r="AN67" s="24">
        <f>VLOOKUP($R67,武学奇术!$A:$ZZ,26,FALSE)</f>
        <v>1.2324</v>
      </c>
      <c r="AO67" s="25">
        <f>VLOOKUP($R67,武学奇术!$A:$ZZ,27,FALSE)*(1+IF(OR($AM67=$F$4,$AM67=$F$5),$B$22,0))</f>
        <v>547.2</v>
      </c>
      <c r="AP67" s="24">
        <f>VLOOKUP($R67,武学奇术!$A:$ZZ,28,FALSE)</f>
        <v>1.8484</v>
      </c>
      <c r="AQ67" s="25">
        <f>VLOOKUP($R67,武学奇术!$A:$ZZ,29,FALSE)*(1+IF(OR($AM67=$F$4,$AM67=$F$5),$B$22,0))</f>
        <v>297.6</v>
      </c>
      <c r="AR67" s="24" cm="1">
        <f t="array" ref="AR67">$G$3+IFERROR(VLOOKUP($AM67,$F$4:$G$7,2,FALSE),0)+VLOOKUP($R67,武学奇术!$A:$ZZ,2,FALSE)+SUM(_xlfn.XLOOKUP($S67:$AL67,增益!$A:$A,增益!$B:$B,0))</f>
        <v>0.3243</v>
      </c>
      <c r="AS67" s="24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4274.25</v>
      </c>
      <c r="AU67" cm="1">
        <f t="array" ref="AU67">$E$10*(1+$AS67)+VLOOKUP($R67,武学奇术!$A:$ZZ,4,FALSE)+SUM(_xlfn.XLOOKUP($S67:$AL67,增益!$A:$A,增益!$D:$D,0))-$I$2</f>
        <v>4274.25</v>
      </c>
      <c r="AV67" s="31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0.2184</v>
      </c>
      <c r="AW67" s="31" cm="1">
        <f t="array" ref="AW67">$G$10+VLOOKUP($R67,武学奇术!$A:$ZZ,7,FALSE)+SUM(_xlfn.XLOOKUP($S67:$AL67,增益!$A:$A,增益!$G:$G,0))</f>
        <v>0.02</v>
      </c>
      <c r="AX67" s="24" cm="1">
        <f t="array" ref="AX67">VLOOKUP($R67,武学奇术!$A:$ZZ,8,FALSE)+SUM(_xlfn.XLOOKUP($S67:$AL67,增益!$A:$A,增益!$H:$H,0))</f>
        <v>0</v>
      </c>
      <c r="AY67">
        <f t="shared" si="13"/>
        <v>0</v>
      </c>
      <c r="AZ67">
        <f t="shared" si="14"/>
        <v>0</v>
      </c>
      <c r="BA67" s="31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1" cm="1">
        <f t="array" ref="BB67">$G$11+VLOOKUP($R67,武学奇术!$A:$ZZ,10,FALSE)+SUM(_xlfn.XLOOKUP($S67:$AL67,增益!$A:$A,增益!$J:$J,0))</f>
        <v>0.02</v>
      </c>
      <c r="BC67">
        <f t="shared" si="15"/>
        <v>0</v>
      </c>
      <c r="BD67">
        <f t="shared" si="16"/>
        <v>0</v>
      </c>
      <c r="BE67" s="31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1" cm="1">
        <f t="array" ref="BF67">$G$12+VLOOKUP($R67,武学奇术!$A:$ZZ,12,FALSE)+SUM(_xlfn.XLOOKUP($S67:$AL67,增益!$A:$A,增益!$L:$L,0))</f>
        <v>0.02</v>
      </c>
      <c r="BG67">
        <f t="shared" si="17"/>
        <v>0</v>
      </c>
      <c r="BH67">
        <f t="shared" si="18"/>
        <v>0</v>
      </c>
      <c r="BI67" s="31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1" cm="1">
        <f t="array" ref="BJ67">$G$13+VLOOKUP($R67,武学奇术!$A:$ZZ,14,FALSE)+SUM(_xlfn.XLOOKUP($S67:$AL67,增益!$A:$A,增益!$N:$N,0))</f>
        <v>0.02</v>
      </c>
      <c r="BK67">
        <f t="shared" si="19"/>
        <v>649.11</v>
      </c>
      <c r="BL67">
        <f t="shared" si="20"/>
        <v>1812.09</v>
      </c>
      <c r="BM67" s="31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1" cm="1">
        <f t="array" ref="BN67">$G$14+VLOOKUP($R67,武学奇术!$A:$ZZ,16,FALSE)+SUM(_xlfn.XLOOKUP($S67:$AL67,增益!$A:$A,增益!$P:$P,0))</f>
        <v>0.17</v>
      </c>
      <c r="BO67" s="24">
        <f>MIN(IF(VLOOKUP($R67,武学奇术!$A:$ZZ,23,FALSE)=1,100%,$B$8),100%)</f>
        <v>0.9943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0.8985</v>
      </c>
      <c r="BQ67" s="24" cm="1">
        <f t="array" ref="BQ67">1+$B$13+VLOOKUP($R67,武学奇术!$A:$ZZ,18,FALSE)+SUM(_xlfn.XLOOKUP($S67:$AL67,增益!$A:$A,增益!$R:$R,0))</f>
        <v>1.64</v>
      </c>
      <c r="BR67" s="24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4" cm="1">
        <f t="array" ref="BS67">1+$B$14+VLOOKUP($R67,武学奇术!$A:$ZZ,20,FALSE)+SUM(_xlfn.XLOOKUP($S67:$AL67,增益!$A:$A,增益!$T:$T,0))</f>
        <v>1.35</v>
      </c>
      <c r="BT67" s="24">
        <f t="shared" si="21"/>
        <v>0.89337855</v>
      </c>
      <c r="BU67" s="24">
        <f t="shared" si="22"/>
        <v>0.01014186</v>
      </c>
      <c r="BV67" s="24">
        <f>IF(VLOOKUP($R67,武学奇术!$A:$ZZ,22,FALSE)=1,0,(1-$BO67))*(1-$BR67)</f>
        <v>0.00517959000000003</v>
      </c>
      <c r="BW67" s="24" cm="1">
        <f t="array" ref="BW67">SUM(_xlfn.XLOOKUP($S67:$AL67,增益!$A:$A,增益!$W:$W,0))+$I$5</f>
        <v>0.11</v>
      </c>
      <c r="BX67" s="24">
        <f>VLOOKUP($R67,武学奇术!$A:$ZZ,32,FALSE)</f>
        <v>0.4</v>
      </c>
      <c r="BY67" s="24" cm="1">
        <f t="array" ref="BY67">SUM(_xlfn.XLOOKUP($S67:$AL67,增益!$A:$A,增益!$X:$X,0))</f>
        <v>0</v>
      </c>
    </row>
    <row r="68" spans="1:77">
      <c r="K68" s="37">
        <f>$L68*VLOOKUP($R68,武学奇术!$A:$ZZ,31,FALSE)</f>
        <v>59112.2867492953</v>
      </c>
      <c r="L68" s="37">
        <f t="shared" si="12"/>
        <v>36945.1792183096</v>
      </c>
      <c r="M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*(1+$BX68)</f>
        <v>37513.5634847652</v>
      </c>
      <c r="N68" s="37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*(1+$BX68)</f>
        <v>34029.1085713459</v>
      </c>
      <c r="O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*(1+$BX68)</f>
        <v>22197.3748430563</v>
      </c>
      <c r="P68" s="37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*(1+$BX68)</f>
        <v>19188.0025962268</v>
      </c>
      <c r="Q68" s="38">
        <v>1</v>
      </c>
      <c r="R68" s="39" t="s">
        <v>122</v>
      </c>
      <c r="S68" s="39" t="s">
        <v>104</v>
      </c>
      <c r="T68" s="39" t="s">
        <v>194</v>
      </c>
      <c r="U68" s="39" t="s">
        <v>81</v>
      </c>
      <c r="V68" s="39" t="s">
        <v>82</v>
      </c>
      <c r="W68" s="39" t="s">
        <v>83</v>
      </c>
      <c r="X68" s="39" t="s">
        <v>84</v>
      </c>
      <c r="Y68" s="39" t="s">
        <v>84</v>
      </c>
      <c r="Z68" s="39" t="s">
        <v>84</v>
      </c>
      <c r="AA68" s="39" t="s">
        <v>84</v>
      </c>
      <c r="AB68" s="39" t="s">
        <v>204</v>
      </c>
      <c r="AC68" s="39" t="s">
        <v>84</v>
      </c>
      <c r="AD68" s="39" t="s">
        <v>84</v>
      </c>
      <c r="AE68" s="39" t="s">
        <v>84</v>
      </c>
      <c r="AF68" s="39" t="s">
        <v>88</v>
      </c>
      <c r="AG68" s="39" t="s">
        <v>84</v>
      </c>
      <c r="AH68" s="39" t="s">
        <v>84</v>
      </c>
      <c r="AI68" s="39" t="s">
        <v>84</v>
      </c>
      <c r="AJ68" s="39" t="s">
        <v>84</v>
      </c>
      <c r="AK68" s="39" t="s">
        <v>84</v>
      </c>
      <c r="AL68" s="39" t="s">
        <v>84</v>
      </c>
      <c r="AM68" t="str">
        <f>VLOOKUP($R68,武学奇术!$A:$ZZ,25,FALSE)</f>
        <v>拳甲</v>
      </c>
      <c r="AN68" s="24">
        <f>VLOOKUP($R68,武学奇术!$A:$ZZ,26,FALSE)</f>
        <v>1.862784</v>
      </c>
      <c r="AO68" s="25">
        <f>VLOOKUP($R68,武学奇术!$A:$ZZ,27,FALSE)*(1+IF(OR($AM68=$F$4,$AM68=$F$5),$B$22,0))</f>
        <v>0</v>
      </c>
      <c r="AP68" s="24">
        <f>VLOOKUP($R68,武学奇术!$A:$ZZ,28,FALSE)</f>
        <v>2.794176</v>
      </c>
      <c r="AQ68" s="25">
        <f>VLOOKUP($R68,武学奇术!$A:$ZZ,29,FALSE)*(1+IF(OR($AM68=$F$4,$AM68=$F$5),$B$22,0))</f>
        <v>0</v>
      </c>
      <c r="AR68" s="24" cm="1">
        <f t="array" ref="AR68">$G$3+IFERROR(VLOOKUP($AM68,$F$4:$G$7,2,FALSE),0)+VLOOKUP($R68,武学奇术!$A:$ZZ,2,FALSE)+SUM(_xlfn.XLOOKUP($S68:$AL68,增益!$A:$A,增益!$B:$B,0))</f>
        <v>0.3243</v>
      </c>
      <c r="AS68" s="24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4274.25</v>
      </c>
      <c r="AU68" cm="1">
        <f t="array" ref="AU68">$E$10*(1+$AS68)+VLOOKUP($R68,武学奇术!$A:$ZZ,4,FALSE)+SUM(_xlfn.XLOOKUP($S68:$AL68,增益!$A:$A,增益!$D:$D,0))-$I$2</f>
        <v>4274.25</v>
      </c>
      <c r="AV68" s="31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0.2184</v>
      </c>
      <c r="AW68" s="31" cm="1">
        <f t="array" ref="AW68">$G$10+VLOOKUP($R68,武学奇术!$A:$ZZ,7,FALSE)+SUM(_xlfn.XLOOKUP($S68:$AL68,增益!$A:$A,增益!$G:$G,0))</f>
        <v>0.11</v>
      </c>
      <c r="AX68" s="24" cm="1">
        <f t="array" ref="AX68">VLOOKUP($R68,武学奇术!$A:$ZZ,8,FALSE)+SUM(_xlfn.XLOOKUP($S68:$AL68,增益!$A:$A,增益!$H:$H,0))</f>
        <v>0</v>
      </c>
      <c r="AY68">
        <f t="shared" si="13"/>
        <v>0</v>
      </c>
      <c r="AZ68">
        <f t="shared" si="14"/>
        <v>0</v>
      </c>
      <c r="BA68" s="31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1" cm="1">
        <f t="array" ref="BB68">$G$11+VLOOKUP($R68,武学奇术!$A:$ZZ,10,FALSE)+SUM(_xlfn.XLOOKUP($S68:$AL68,增益!$A:$A,增益!$J:$J,0))</f>
        <v>0.02</v>
      </c>
      <c r="BC68">
        <f t="shared" si="15"/>
        <v>0</v>
      </c>
      <c r="BD68">
        <f t="shared" si="16"/>
        <v>0</v>
      </c>
      <c r="BE68" s="31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1" cm="1">
        <f t="array" ref="BF68">$G$12+VLOOKUP($R68,武学奇术!$A:$ZZ,12,FALSE)+SUM(_xlfn.XLOOKUP($S68:$AL68,增益!$A:$A,增益!$L:$L,0))</f>
        <v>0.02</v>
      </c>
      <c r="BG68">
        <f t="shared" si="17"/>
        <v>0</v>
      </c>
      <c r="BH68">
        <f t="shared" si="18"/>
        <v>0</v>
      </c>
      <c r="BI68" s="31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1" cm="1">
        <f t="array" ref="BJ68">$G$13+VLOOKUP($R68,武学奇术!$A:$ZZ,14,FALSE)+SUM(_xlfn.XLOOKUP($S68:$AL68,增益!$A:$A,增益!$N:$N,0))</f>
        <v>0.02</v>
      </c>
      <c r="BK68">
        <f t="shared" si="19"/>
        <v>649.11</v>
      </c>
      <c r="BL68">
        <f t="shared" si="20"/>
        <v>1812.09</v>
      </c>
      <c r="BM68" s="31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1" cm="1">
        <f t="array" ref="BN68">$G$14+VLOOKUP($R68,武学奇术!$A:$ZZ,16,FALSE)+SUM(_xlfn.XLOOKUP($S68:$AL68,增益!$A:$A,增益!$P:$P,0))</f>
        <v>0.26</v>
      </c>
      <c r="BO68" s="24">
        <f>MIN(IF(VLOOKUP($R68,武学奇术!$A:$ZZ,23,FALSE)=1,100%,$B$8),100%)</f>
        <v>0.9943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0.8985</v>
      </c>
      <c r="BQ68" s="24" cm="1">
        <f t="array" ref="BQ68">1+$B$13+VLOOKUP($R68,武学奇术!$A:$ZZ,18,FALSE)+SUM(_xlfn.XLOOKUP($S68:$AL68,增益!$A:$A,增益!$R:$R,0))</f>
        <v>1.69</v>
      </c>
      <c r="BR68" s="24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0.0913</v>
      </c>
      <c r="BS68" s="24" cm="1">
        <f t="array" ref="BS68">1+$B$14+VLOOKUP($R68,武学奇术!$A:$ZZ,20,FALSE)+SUM(_xlfn.XLOOKUP($S68:$AL68,增益!$A:$A,增益!$T:$T,0))</f>
        <v>1.35</v>
      </c>
      <c r="BT68" s="24">
        <f t="shared" si="21"/>
        <v>0.89337855</v>
      </c>
      <c r="BU68" s="24">
        <f t="shared" si="22"/>
        <v>0.01014186</v>
      </c>
      <c r="BV68" s="24">
        <f>IF(VLOOKUP($R68,武学奇术!$A:$ZZ,22,FALSE)=1,0,(1-$BO68))*(1-$BR68)</f>
        <v>0.00517959000000003</v>
      </c>
      <c r="BW68" s="24" cm="1">
        <f t="array" ref="BW68">SUM(_xlfn.XLOOKUP($S68:$AL68,增益!$A:$A,增益!$W:$W,0))+$I$5</f>
        <v>0.11</v>
      </c>
      <c r="BX68" s="24">
        <f>VLOOKUP($R68,武学奇术!$A:$ZZ,32,FALSE)</f>
        <v>0</v>
      </c>
      <c r="BY68" s="24" cm="1">
        <f t="array" ref="BY68">SUM(_xlfn.XLOOKUP($S68:$AL68,增益!$A:$A,增益!$X:$X,0))</f>
        <v>0</v>
      </c>
    </row>
    <row r="69" spans="1:77">
      <c r="A69" s="4"/>
      <c r="B69" s="4"/>
      <c r="F69" s="4"/>
      <c r="G69" s="4"/>
      <c r="K69" s="37">
        <f>$L69*VLOOKUP($R69,武学奇术!$A:$ZZ,31,FALSE)</f>
        <v>42811.495081957</v>
      </c>
      <c r="L69" s="37">
        <f t="shared" si="12"/>
        <v>42811.495081957</v>
      </c>
      <c r="M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*(1+$BX69)</f>
        <v>44129.5574014443</v>
      </c>
      <c r="N69" s="37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*(1+$BX69)</f>
        <v>33528.0302163863</v>
      </c>
      <c r="O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*(1+$BX69)</f>
        <v>22175.6569856504</v>
      </c>
      <c r="P69" s="37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*(1+$BX69)</f>
        <v>19515.7360332369</v>
      </c>
      <c r="Q69" s="38">
        <v>1</v>
      </c>
      <c r="R69" s="39" t="s">
        <v>124</v>
      </c>
      <c r="S69" s="39" t="s">
        <v>104</v>
      </c>
      <c r="T69" s="39" t="s">
        <v>194</v>
      </c>
      <c r="U69" s="39" t="s">
        <v>81</v>
      </c>
      <c r="V69" s="39" t="s">
        <v>82</v>
      </c>
      <c r="W69" s="39" t="s">
        <v>83</v>
      </c>
      <c r="X69" s="39" t="s">
        <v>84</v>
      </c>
      <c r="Y69" s="39" t="s">
        <v>84</v>
      </c>
      <c r="Z69" s="39" t="s">
        <v>84</v>
      </c>
      <c r="AA69" s="39" t="s">
        <v>84</v>
      </c>
      <c r="AB69" s="39" t="s">
        <v>204</v>
      </c>
      <c r="AC69" s="39" t="s">
        <v>84</v>
      </c>
      <c r="AD69" s="39" t="s">
        <v>84</v>
      </c>
      <c r="AE69" s="39" t="s">
        <v>84</v>
      </c>
      <c r="AF69" s="39" t="s">
        <v>88</v>
      </c>
      <c r="AG69" s="39" t="s">
        <v>84</v>
      </c>
      <c r="AH69" s="39" t="s">
        <v>84</v>
      </c>
      <c r="AI69" s="39" t="s">
        <v>84</v>
      </c>
      <c r="AJ69" s="39" t="s">
        <v>84</v>
      </c>
      <c r="AK69" s="39" t="s">
        <v>84</v>
      </c>
      <c r="AL69" s="39" t="s">
        <v>84</v>
      </c>
      <c r="AM69" t="str">
        <f>VLOOKUP($R69,武学奇术!$A:$ZZ,25,FALSE)</f>
        <v>拳甲</v>
      </c>
      <c r="AN69" s="24">
        <f>VLOOKUP($R69,武学奇术!$A:$ZZ,26,FALSE)</f>
        <v>1.1333</v>
      </c>
      <c r="AO69" s="25">
        <f>VLOOKUP($R69,武学奇术!$A:$ZZ,27,FALSE)*(1+IF(OR($AM69=$F$4,$AM69=$F$5),$B$22,0))</f>
        <v>502.4</v>
      </c>
      <c r="AP69" s="24">
        <f>VLOOKUP($R69,武学奇术!$A:$ZZ,28,FALSE)</f>
        <v>1.6999</v>
      </c>
      <c r="AQ69" s="25">
        <f>VLOOKUP($R69,武学奇术!$A:$ZZ,29,FALSE)*(1+IF(OR($AM69=$F$4,$AM69=$F$5),$B$22,0))</f>
        <v>273.6</v>
      </c>
      <c r="AR69" s="24" cm="1">
        <f t="array" ref="AR69">$G$3+IFERROR(VLOOKUP($AM69,$F$4:$G$7,2,FALSE),0)+VLOOKUP($R69,武学奇术!$A:$ZZ,2,FALSE)+SUM(_xlfn.XLOOKUP($S69:$AL69,增益!$A:$A,增益!$B:$B,0))</f>
        <v>0.3743</v>
      </c>
      <c r="AS69" s="24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4274.25</v>
      </c>
      <c r="AU69" cm="1">
        <f t="array" ref="AU69">$E$10*(1+$AS69)+VLOOKUP($R69,武学奇术!$A:$ZZ,4,FALSE)+SUM(_xlfn.XLOOKUP($S69:$AL69,增益!$A:$A,增益!$D:$D,0))-$I$2</f>
        <v>4274.25</v>
      </c>
      <c r="AV69" s="31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0.2184</v>
      </c>
      <c r="AW69" s="31" cm="1">
        <f t="array" ref="AW69">$G$10+VLOOKUP($R69,武学奇术!$A:$ZZ,7,FALSE)+SUM(_xlfn.XLOOKUP($S69:$AL69,增益!$A:$A,增益!$G:$G,0))</f>
        <v>0.11</v>
      </c>
      <c r="AX69" s="24" cm="1">
        <f t="array" ref="AX69">VLOOKUP($R69,武学奇术!$A:$ZZ,8,FALSE)+SUM(_xlfn.XLOOKUP($S69:$AL69,增益!$A:$A,增益!$H:$H,0))</f>
        <v>0</v>
      </c>
      <c r="AY69">
        <f t="shared" si="13"/>
        <v>0</v>
      </c>
      <c r="AZ69">
        <f t="shared" si="14"/>
        <v>0</v>
      </c>
      <c r="BA69" s="31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1" cm="1">
        <f t="array" ref="BB69">$G$11+VLOOKUP($R69,武学奇术!$A:$ZZ,10,FALSE)+SUM(_xlfn.XLOOKUP($S69:$AL69,增益!$A:$A,增益!$J:$J,0))</f>
        <v>0.02</v>
      </c>
      <c r="BC69">
        <f t="shared" si="15"/>
        <v>0</v>
      </c>
      <c r="BD69">
        <f t="shared" si="16"/>
        <v>0</v>
      </c>
      <c r="BE69" s="31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1" cm="1">
        <f t="array" ref="BF69">$G$12+VLOOKUP($R69,武学奇术!$A:$ZZ,12,FALSE)+SUM(_xlfn.XLOOKUP($S69:$AL69,增益!$A:$A,增益!$L:$L,0))</f>
        <v>0.02</v>
      </c>
      <c r="BG69">
        <f t="shared" si="17"/>
        <v>0</v>
      </c>
      <c r="BH69">
        <f t="shared" si="18"/>
        <v>0</v>
      </c>
      <c r="BI69" s="31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1" cm="1">
        <f t="array" ref="BJ69">$G$13+VLOOKUP($R69,武学奇术!$A:$ZZ,14,FALSE)+SUM(_xlfn.XLOOKUP($S69:$AL69,增益!$A:$A,增益!$N:$N,0))</f>
        <v>0.02</v>
      </c>
      <c r="BK69">
        <f t="shared" si="19"/>
        <v>649.11</v>
      </c>
      <c r="BL69">
        <f t="shared" si="20"/>
        <v>1812.09</v>
      </c>
      <c r="BM69" s="31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1" cm="1">
        <f t="array" ref="BN69">$G$14+VLOOKUP($R69,武学奇术!$A:$ZZ,16,FALSE)+SUM(_xlfn.XLOOKUP($S69:$AL69,增益!$A:$A,增益!$P:$P,0))</f>
        <v>0.26</v>
      </c>
      <c r="BO69" s="24">
        <f>MIN(IF(VLOOKUP($R69,武学奇术!$A:$ZZ,23,FALSE)=1,100%,$B$8),100%)</f>
        <v>0.9943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0.8985</v>
      </c>
      <c r="BQ69" s="24" cm="1">
        <f t="array" ref="BQ69">1+$B$13+VLOOKUP($R69,武学奇术!$A:$ZZ,18,FALSE)+SUM(_xlfn.XLOOKUP($S69:$AL69,增益!$A:$A,增益!$R:$R,0))</f>
        <v>1.99</v>
      </c>
      <c r="BR69" s="24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4" cm="1">
        <f t="array" ref="BS69">1+$B$14+VLOOKUP($R69,武学奇术!$A:$ZZ,20,FALSE)+SUM(_xlfn.XLOOKUP($S69:$AL69,增益!$A:$A,增益!$T:$T,0))</f>
        <v>1.35</v>
      </c>
      <c r="BT69" s="24">
        <f t="shared" si="21"/>
        <v>0.89337855</v>
      </c>
      <c r="BU69" s="24">
        <f t="shared" si="22"/>
        <v>0.01014186</v>
      </c>
      <c r="BV69" s="24">
        <f>IF(VLOOKUP($R69,武学奇术!$A:$ZZ,22,FALSE)=1,0,(1-$BO69))*(1-$BR69)</f>
        <v>0.00517959000000003</v>
      </c>
      <c r="BW69" s="24" cm="1">
        <f t="array" ref="BW69">SUM(_xlfn.XLOOKUP($S69:$AL69,增益!$A:$A,增益!$W:$W,0))+$I$5</f>
        <v>0.11</v>
      </c>
      <c r="BX69" s="24">
        <f>VLOOKUP($R69,武学奇术!$A:$ZZ,32,FALSE)</f>
        <v>0.4</v>
      </c>
      <c r="BY69" s="24" cm="1">
        <f t="array" ref="BY69">SUM(_xlfn.XLOOKUP($S69:$AL69,增益!$A:$A,增益!$X:$X,0))</f>
        <v>0</v>
      </c>
    </row>
    <row r="70" spans="1:77">
      <c r="F70" s="4"/>
      <c r="G70" s="90"/>
      <c r="K70" s="37">
        <f>$L70*VLOOKUP($R70,武学奇术!$A:$ZZ,31,FALSE)</f>
        <v>29281.9524120574</v>
      </c>
      <c r="L70" s="37">
        <f t="shared" si="12"/>
        <v>29281.9524120574</v>
      </c>
      <c r="M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*(1+$BX70)</f>
        <v>30183.5663897154</v>
      </c>
      <c r="N70" s="37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*(1+$BX70)</f>
        <v>22931.3368047909</v>
      </c>
      <c r="O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*(1+$BX70)</f>
        <v>15167.6213013646</v>
      </c>
      <c r="P70" s="37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*(1+$BX70)</f>
        <v>13349.0671917728</v>
      </c>
      <c r="Q70" s="38">
        <v>1</v>
      </c>
      <c r="R70" s="39" t="s">
        <v>127</v>
      </c>
      <c r="S70" s="39" t="s">
        <v>104</v>
      </c>
      <c r="T70" s="39" t="s">
        <v>194</v>
      </c>
      <c r="U70" s="39" t="s">
        <v>81</v>
      </c>
      <c r="V70" s="39" t="s">
        <v>82</v>
      </c>
      <c r="W70" s="39" t="s">
        <v>83</v>
      </c>
      <c r="X70" s="39" t="s">
        <v>84</v>
      </c>
      <c r="Y70" s="39" t="s">
        <v>84</v>
      </c>
      <c r="Z70" s="39" t="s">
        <v>84</v>
      </c>
      <c r="AA70" s="39" t="s">
        <v>84</v>
      </c>
      <c r="AB70" s="39" t="s">
        <v>204</v>
      </c>
      <c r="AC70" s="39" t="s">
        <v>84</v>
      </c>
      <c r="AD70" s="39" t="s">
        <v>84</v>
      </c>
      <c r="AE70" s="39" t="s">
        <v>84</v>
      </c>
      <c r="AF70" s="39" t="s">
        <v>88</v>
      </c>
      <c r="AG70" s="39" t="s">
        <v>84</v>
      </c>
      <c r="AH70" s="39" t="s">
        <v>84</v>
      </c>
      <c r="AI70" s="39" t="s">
        <v>84</v>
      </c>
      <c r="AJ70" s="39" t="s">
        <v>84</v>
      </c>
      <c r="AK70" s="39" t="s">
        <v>84</v>
      </c>
      <c r="AL70" s="39" t="s">
        <v>84</v>
      </c>
      <c r="AM70" t="str">
        <f>VLOOKUP($R70,武学奇术!$A:$ZZ,25,FALSE)</f>
        <v>拳甲</v>
      </c>
      <c r="AN70" s="24">
        <f>VLOOKUP($R70,武学奇术!$A:$ZZ,26,FALSE)</f>
        <v>0.7748</v>
      </c>
      <c r="AO70" s="25">
        <f>VLOOKUP($R70,武学奇术!$A:$ZZ,27,FALSE)*(1+IF(OR($AM70=$F$4,$AM70=$F$5),$B$22,0))</f>
        <v>345.6</v>
      </c>
      <c r="AP70" s="24">
        <f>VLOOKUP($R70,武学奇术!$A:$ZZ,28,FALSE)</f>
        <v>1.1622</v>
      </c>
      <c r="AQ70" s="25">
        <f>VLOOKUP($R70,武学奇术!$A:$ZZ,29,FALSE)*(1+IF(OR($AM70=$F$4,$AM70=$F$5),$B$22,0))</f>
        <v>187.2</v>
      </c>
      <c r="AR70" s="24" cm="1">
        <f t="array" ref="AR70">$G$3+IFERROR(VLOOKUP($AM70,$F$4:$G$7,2,FALSE),0)+VLOOKUP($R70,武学奇术!$A:$ZZ,2,FALSE)+SUM(_xlfn.XLOOKUP($S70:$AL70,增益!$A:$A,增益!$B:$B,0))</f>
        <v>0.3743</v>
      </c>
      <c r="AS70" s="24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4274.25</v>
      </c>
      <c r="AU70" cm="1">
        <f t="array" ref="AU70">$E$10*(1+$AS70)+VLOOKUP($R70,武学奇术!$A:$ZZ,4,FALSE)+SUM(_xlfn.XLOOKUP($S70:$AL70,增益!$A:$A,增益!$D:$D,0))-$I$2</f>
        <v>4274.25</v>
      </c>
      <c r="AV70" s="31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0.2184</v>
      </c>
      <c r="AW70" s="31" cm="1">
        <f t="array" ref="AW70">$G$10+VLOOKUP($R70,武学奇术!$A:$ZZ,7,FALSE)+SUM(_xlfn.XLOOKUP($S70:$AL70,增益!$A:$A,增益!$G:$G,0))</f>
        <v>0.11</v>
      </c>
      <c r="AX70" s="24" cm="1">
        <f t="array" ref="AX70">VLOOKUP($R70,武学奇术!$A:$ZZ,8,FALSE)+SUM(_xlfn.XLOOKUP($S70:$AL70,增益!$A:$A,增益!$H:$H,0))</f>
        <v>0</v>
      </c>
      <c r="AY70">
        <f t="shared" si="13"/>
        <v>0</v>
      </c>
      <c r="AZ70">
        <f t="shared" si="14"/>
        <v>0</v>
      </c>
      <c r="BA70" s="31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1" cm="1">
        <f t="array" ref="BB70">$G$11+VLOOKUP($R70,武学奇术!$A:$ZZ,10,FALSE)+SUM(_xlfn.XLOOKUP($S70:$AL70,增益!$A:$A,增益!$J:$J,0))</f>
        <v>0.02</v>
      </c>
      <c r="BC70">
        <f t="shared" si="15"/>
        <v>0</v>
      </c>
      <c r="BD70">
        <f t="shared" si="16"/>
        <v>0</v>
      </c>
      <c r="BE70" s="31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1" cm="1">
        <f t="array" ref="BF70">$G$12+VLOOKUP($R70,武学奇术!$A:$ZZ,12,FALSE)+SUM(_xlfn.XLOOKUP($S70:$AL70,增益!$A:$A,增益!$L:$L,0))</f>
        <v>0.02</v>
      </c>
      <c r="BG70">
        <f t="shared" si="17"/>
        <v>0</v>
      </c>
      <c r="BH70">
        <f t="shared" si="18"/>
        <v>0</v>
      </c>
      <c r="BI70" s="31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1" cm="1">
        <f t="array" ref="BJ70">$G$13+VLOOKUP($R70,武学奇术!$A:$ZZ,14,FALSE)+SUM(_xlfn.XLOOKUP($S70:$AL70,增益!$A:$A,增益!$N:$N,0))</f>
        <v>0.02</v>
      </c>
      <c r="BK70">
        <f t="shared" si="19"/>
        <v>649.11</v>
      </c>
      <c r="BL70">
        <f t="shared" si="20"/>
        <v>1812.09</v>
      </c>
      <c r="BM70" s="31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1" cm="1">
        <f t="array" ref="BN70">$G$14+VLOOKUP($R70,武学奇术!$A:$ZZ,16,FALSE)+SUM(_xlfn.XLOOKUP($S70:$AL70,增益!$A:$A,增益!$P:$P,0))</f>
        <v>0.26</v>
      </c>
      <c r="BO70" s="24">
        <f>MIN(IF(VLOOKUP($R70,武学奇术!$A:$ZZ,23,FALSE)=1,100%,$B$8),100%)</f>
        <v>0.9943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0.8985</v>
      </c>
      <c r="BQ70" s="24" cm="1">
        <f t="array" ref="BQ70">1+$B$13+VLOOKUP($R70,武学奇术!$A:$ZZ,18,FALSE)+SUM(_xlfn.XLOOKUP($S70:$AL70,增益!$A:$A,增益!$R:$R,0))</f>
        <v>1.99</v>
      </c>
      <c r="BR70" s="24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4" cm="1">
        <f t="array" ref="BS70">1+$B$14+VLOOKUP($R70,武学奇术!$A:$ZZ,20,FALSE)+SUM(_xlfn.XLOOKUP($S70:$AL70,增益!$A:$A,增益!$T:$T,0))</f>
        <v>1.35</v>
      </c>
      <c r="BT70" s="24">
        <f t="shared" si="21"/>
        <v>0.89337855</v>
      </c>
      <c r="BU70" s="24">
        <f t="shared" si="22"/>
        <v>0.01014186</v>
      </c>
      <c r="BV70" s="24">
        <f>IF(VLOOKUP($R70,武学奇术!$A:$ZZ,22,FALSE)=1,0,(1-$BO70))*(1-$BR70)</f>
        <v>0.00517959000000003</v>
      </c>
      <c r="BW70" s="24" cm="1">
        <f t="array" ref="BW70">SUM(_xlfn.XLOOKUP($S70:$AL70,增益!$A:$A,增益!$W:$W,0))+$I$5</f>
        <v>0.11</v>
      </c>
      <c r="BX70" s="24">
        <f>VLOOKUP($R70,武学奇术!$A:$ZZ,32,FALSE)</f>
        <v>0.4</v>
      </c>
      <c r="BY70" s="24" cm="1">
        <f t="array" ref="BY70">SUM(_xlfn.XLOOKUP($S70:$AL70,增益!$A:$A,增益!$X:$X,0))</f>
        <v>0</v>
      </c>
    </row>
    <row r="71" spans="1:77">
      <c r="K71" s="37">
        <f>$L71*VLOOKUP($R71,武学奇术!$A:$ZZ,31,FALSE)</f>
        <v>80052.6281106136</v>
      </c>
      <c r="L71" s="37">
        <f t="shared" si="12"/>
        <v>50032.8925691335</v>
      </c>
      <c r="M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*(1+$BX71)</f>
        <v>51447.7741867204</v>
      </c>
      <c r="N71" s="37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*(1+$BX71)</f>
        <v>40324.1047289555</v>
      </c>
      <c r="O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*(1+$BX71)</f>
        <v>26519.4712302682</v>
      </c>
      <c r="P71" s="37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*(1+$BX71)</f>
        <v>23169.2352539028</v>
      </c>
      <c r="Q71" s="38">
        <v>1</v>
      </c>
      <c r="R71" s="39" t="s">
        <v>122</v>
      </c>
      <c r="S71" s="39" t="s">
        <v>104</v>
      </c>
      <c r="T71" s="39" t="s">
        <v>194</v>
      </c>
      <c r="U71" s="39" t="s">
        <v>81</v>
      </c>
      <c r="V71" s="39" t="s">
        <v>82</v>
      </c>
      <c r="W71" s="39" t="s">
        <v>83</v>
      </c>
      <c r="X71" s="39" t="s">
        <v>84</v>
      </c>
      <c r="Y71" s="39" t="s">
        <v>84</v>
      </c>
      <c r="Z71" s="39" t="s">
        <v>84</v>
      </c>
      <c r="AA71" s="39" t="s">
        <v>84</v>
      </c>
      <c r="AB71" s="39" t="s">
        <v>204</v>
      </c>
      <c r="AC71" s="39" t="s">
        <v>84</v>
      </c>
      <c r="AD71" s="39" t="s">
        <v>93</v>
      </c>
      <c r="AE71" s="39" t="s">
        <v>84</v>
      </c>
      <c r="AF71" s="39" t="s">
        <v>88</v>
      </c>
      <c r="AG71" s="39" t="s">
        <v>94</v>
      </c>
      <c r="AH71" s="39" t="s">
        <v>84</v>
      </c>
      <c r="AI71" s="39" t="s">
        <v>84</v>
      </c>
      <c r="AJ71" s="39" t="s">
        <v>84</v>
      </c>
      <c r="AK71" s="39" t="s">
        <v>84</v>
      </c>
      <c r="AL71" s="39" t="s">
        <v>84</v>
      </c>
      <c r="AM71" t="str">
        <f>VLOOKUP($R71,武学奇术!$A:$ZZ,25,FALSE)</f>
        <v>拳甲</v>
      </c>
      <c r="AN71" s="24">
        <f>VLOOKUP($R71,武学奇术!$A:$ZZ,26,FALSE)</f>
        <v>1.862784</v>
      </c>
      <c r="AO71" s="25">
        <f>VLOOKUP($R71,武学奇术!$A:$ZZ,27,FALSE)*(1+IF(OR($AM71=$F$4,$AM71=$F$5),$B$22,0))</f>
        <v>0</v>
      </c>
      <c r="AP71" s="24">
        <f>VLOOKUP($R71,武学奇术!$A:$ZZ,28,FALSE)</f>
        <v>2.794176</v>
      </c>
      <c r="AQ71" s="25">
        <f>VLOOKUP($R71,武学奇术!$A:$ZZ,29,FALSE)*(1+IF(OR($AM71=$F$4,$AM71=$F$5),$B$22,0))</f>
        <v>0</v>
      </c>
      <c r="AR71" s="24" cm="1">
        <f t="array" ref="AR71">$G$3+IFERROR(VLOOKUP($AM71,$F$4:$G$7,2,FALSE),0)+VLOOKUP($R71,武学奇术!$A:$ZZ,2,FALSE)+SUM(_xlfn.XLOOKUP($S71:$AL71,增益!$A:$A,增益!$B:$B,0))</f>
        <v>0.4743</v>
      </c>
      <c r="AS71" s="24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4274.25</v>
      </c>
      <c r="AU71" cm="1">
        <f t="array" ref="AU71">$E$10*(1+$AS71)+VLOOKUP($R71,武学奇术!$A:$ZZ,4,FALSE)+SUM(_xlfn.XLOOKUP($S71:$AL71,增益!$A:$A,增益!$D:$D,0))-$I$2</f>
        <v>4274.25</v>
      </c>
      <c r="AV71" s="31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0.3434</v>
      </c>
      <c r="AW71" s="31" cm="1">
        <f t="array" ref="AW71">$G$10+VLOOKUP($R71,武学奇术!$A:$ZZ,7,FALSE)+SUM(_xlfn.XLOOKUP($S71:$AL71,增益!$A:$A,增益!$G:$G,0))</f>
        <v>0.11</v>
      </c>
      <c r="AX71" s="24" cm="1">
        <f t="array" ref="AX71">VLOOKUP($R71,武学奇术!$A:$ZZ,8,FALSE)+SUM(_xlfn.XLOOKUP($S71:$AL71,增益!$A:$A,增益!$H:$H,0))</f>
        <v>0</v>
      </c>
      <c r="AY71">
        <f t="shared" si="13"/>
        <v>0</v>
      </c>
      <c r="AZ71">
        <f t="shared" si="14"/>
        <v>0</v>
      </c>
      <c r="BA71" s="31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1" cm="1">
        <f t="array" ref="BB71">$G$11+VLOOKUP($R71,武学奇术!$A:$ZZ,10,FALSE)+SUM(_xlfn.XLOOKUP($S71:$AL71,增益!$A:$A,增益!$J:$J,0))</f>
        <v>0.02</v>
      </c>
      <c r="BC71">
        <f t="shared" si="15"/>
        <v>0</v>
      </c>
      <c r="BD71">
        <f t="shared" si="16"/>
        <v>0</v>
      </c>
      <c r="BE71" s="31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1" cm="1">
        <f t="array" ref="BF71">$G$12+VLOOKUP($R71,武学奇术!$A:$ZZ,12,FALSE)+SUM(_xlfn.XLOOKUP($S71:$AL71,增益!$A:$A,增益!$L:$L,0))</f>
        <v>0.02</v>
      </c>
      <c r="BG71">
        <f t="shared" si="17"/>
        <v>0</v>
      </c>
      <c r="BH71">
        <f t="shared" si="18"/>
        <v>0</v>
      </c>
      <c r="BI71" s="31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-0.3</v>
      </c>
      <c r="BJ71" s="31" cm="1">
        <f t="array" ref="BJ71">$G$13+VLOOKUP($R71,武学奇术!$A:$ZZ,14,FALSE)+SUM(_xlfn.XLOOKUP($S71:$AL71,增益!$A:$A,增益!$N:$N,0))</f>
        <v>0.02</v>
      </c>
      <c r="BK71">
        <f t="shared" si="19"/>
        <v>649.11</v>
      </c>
      <c r="BL71">
        <f t="shared" si="20"/>
        <v>1812.09</v>
      </c>
      <c r="BM71" s="31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</v>
      </c>
      <c r="BN71" s="31" cm="1">
        <f t="array" ref="BN71">$G$14+VLOOKUP($R71,武学奇术!$A:$ZZ,16,FALSE)+SUM(_xlfn.XLOOKUP($S71:$AL71,增益!$A:$A,增益!$P:$P,0))</f>
        <v>0.26</v>
      </c>
      <c r="BO71" s="24">
        <f>MIN(IF(VLOOKUP($R71,武学奇术!$A:$ZZ,23,FALSE)=1,100%,$B$8),100%)</f>
        <v>0.9943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0.8985</v>
      </c>
      <c r="BQ71" s="24" cm="1">
        <f t="array" ref="BQ71">1+$B$13+VLOOKUP($R71,武学奇术!$A:$ZZ,18,FALSE)+SUM(_xlfn.XLOOKUP($S71:$AL71,增益!$A:$A,增益!$R:$R,0))</f>
        <v>1.94</v>
      </c>
      <c r="BR71" s="24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4" cm="1">
        <f t="array" ref="BS71">1+$B$14+VLOOKUP($R71,武学奇术!$A:$ZZ,20,FALSE)+SUM(_xlfn.XLOOKUP($S71:$AL71,增益!$A:$A,增益!$T:$T,0))</f>
        <v>1.35</v>
      </c>
      <c r="BT71" s="24">
        <f t="shared" si="21"/>
        <v>0.89337855</v>
      </c>
      <c r="BU71" s="24">
        <f t="shared" si="22"/>
        <v>0.01014186</v>
      </c>
      <c r="BV71" s="24">
        <f>IF(VLOOKUP($R71,武学奇术!$A:$ZZ,22,FALSE)=1,0,(1-$BO71))*(1-$BR71)</f>
        <v>0.00517959000000003</v>
      </c>
      <c r="BW71" s="24" cm="1">
        <f t="array" ref="BW71">SUM(_xlfn.XLOOKUP($S71:$AL71,增益!$A:$A,增益!$W:$W,0))+$I$5</f>
        <v>0.11</v>
      </c>
      <c r="BX71" s="24">
        <f>VLOOKUP($R71,武学奇术!$A:$ZZ,32,FALSE)</f>
        <v>0</v>
      </c>
      <c r="BY71" s="24" cm="1">
        <f t="array" ref="BY71">SUM(_xlfn.XLOOKUP($S71:$AL71,增益!$A:$A,增益!$X:$X,0))</f>
        <v>0</v>
      </c>
    </row>
    <row r="72" spans="1:77">
      <c r="A72" s="4"/>
      <c r="B72" s="4"/>
      <c r="F72" s="4"/>
      <c r="G72" s="90"/>
      <c r="K72" s="37">
        <f>$L72*VLOOKUP($R72,武学奇术!$A:$ZZ,31,FALSE)</f>
        <v>41583.2047613897</v>
      </c>
      <c r="L72" s="37">
        <f t="shared" si="12"/>
        <v>41583.2047613897</v>
      </c>
      <c r="M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*(1+$BX72)</f>
        <v>42797.7230829021</v>
      </c>
      <c r="N72" s="37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*(1+$BX72)</f>
        <v>33115.2740633796</v>
      </c>
      <c r="O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*(1+$BX72)</f>
        <v>22060.6820014959</v>
      </c>
      <c r="P72" s="37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*(1+$BX72)</f>
        <v>19591.5313634514</v>
      </c>
      <c r="Q72" s="38">
        <v>1</v>
      </c>
      <c r="R72" s="39" t="s">
        <v>115</v>
      </c>
      <c r="S72" s="39" t="s">
        <v>104</v>
      </c>
      <c r="T72" s="39" t="s">
        <v>194</v>
      </c>
      <c r="U72" s="39" t="s">
        <v>81</v>
      </c>
      <c r="V72" s="39" t="s">
        <v>82</v>
      </c>
      <c r="W72" s="39" t="s">
        <v>83</v>
      </c>
      <c r="X72" s="39" t="s">
        <v>84</v>
      </c>
      <c r="Y72" s="39" t="s">
        <v>84</v>
      </c>
      <c r="Z72" s="39" t="s">
        <v>84</v>
      </c>
      <c r="AA72" s="39" t="s">
        <v>84</v>
      </c>
      <c r="AB72" s="39" t="s">
        <v>204</v>
      </c>
      <c r="AC72" s="39" t="s">
        <v>84</v>
      </c>
      <c r="AD72" s="39" t="s">
        <v>93</v>
      </c>
      <c r="AE72" s="39" t="s">
        <v>84</v>
      </c>
      <c r="AF72" s="39" t="s">
        <v>88</v>
      </c>
      <c r="AG72" s="39" t="s">
        <v>94</v>
      </c>
      <c r="AH72" s="39" t="s">
        <v>84</v>
      </c>
      <c r="AI72" s="39" t="s">
        <v>84</v>
      </c>
      <c r="AJ72" s="39" t="s">
        <v>84</v>
      </c>
      <c r="AK72" s="39" t="s">
        <v>84</v>
      </c>
      <c r="AL72" s="39" t="s">
        <v>84</v>
      </c>
      <c r="AM72" t="str">
        <f>VLOOKUP($R72,武学奇术!$A:$ZZ,25,FALSE)</f>
        <v>双刀</v>
      </c>
      <c r="AN72" s="24">
        <f>VLOOKUP($R72,武学奇术!$A:$ZZ,26,FALSE)</f>
        <v>1.3728</v>
      </c>
      <c r="AO72" s="25">
        <f>VLOOKUP($R72,武学奇术!$A:$ZZ,27,FALSE)*(1+IF(OR($AM72=$F$4,$AM72=$F$5),$B$22,0))</f>
        <v>609.44</v>
      </c>
      <c r="AP72" s="24">
        <f>VLOOKUP($R72,武学奇术!$A:$ZZ,28,FALSE)</f>
        <v>2.05933</v>
      </c>
      <c r="AQ72" s="25">
        <f>VLOOKUP($R72,武学奇术!$A:$ZZ,29,FALSE)*(1+IF(OR($AM72=$F$4,$AM72=$F$5),$B$22,0))</f>
        <v>332.8</v>
      </c>
      <c r="AR72" s="24" cm="1">
        <f t="array" ref="AR72">$G$3+IFERROR(VLOOKUP($AM72,$F$4:$G$7,2,FALSE),0)+VLOOKUP($R72,武学奇术!$A:$ZZ,2,FALSE)+SUM(_xlfn.XLOOKUP($S72:$AL72,增益!$A:$A,增益!$B:$B,0))</f>
        <v>0.4743</v>
      </c>
      <c r="AS72" s="24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4274.25</v>
      </c>
      <c r="AU72" cm="1">
        <f t="array" ref="AU72">$E$10*(1+$AS72)+VLOOKUP($R72,武学奇术!$A:$ZZ,4,FALSE)+SUM(_xlfn.XLOOKUP($S72:$AL72,增益!$A:$A,增益!$D:$D,0))-$I$2</f>
        <v>4274.25</v>
      </c>
      <c r="AV72" s="31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0.3434</v>
      </c>
      <c r="AW72" s="31" cm="1">
        <f t="array" ref="AW72">$G$10+VLOOKUP($R72,武学奇术!$A:$ZZ,7,FALSE)+SUM(_xlfn.XLOOKUP($S72:$AL72,增益!$A:$A,增益!$G:$G,0))</f>
        <v>0.11</v>
      </c>
      <c r="AX72" s="24" cm="1">
        <f t="array" ref="AX72">VLOOKUP($R72,武学奇术!$A:$ZZ,8,FALSE)+SUM(_xlfn.XLOOKUP($S72:$AL72,增益!$A:$A,增益!$H:$H,0))</f>
        <v>0</v>
      </c>
      <c r="AY72">
        <f t="shared" si="13"/>
        <v>0</v>
      </c>
      <c r="AZ72">
        <f t="shared" si="14"/>
        <v>0</v>
      </c>
      <c r="BA72" s="31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1" cm="1">
        <f t="array" ref="BB72">$G$11+VLOOKUP($R72,武学奇术!$A:$ZZ,10,FALSE)+SUM(_xlfn.XLOOKUP($S72:$AL72,增益!$A:$A,增益!$J:$J,0))</f>
        <v>0.02</v>
      </c>
      <c r="BC72">
        <f t="shared" si="15"/>
        <v>0</v>
      </c>
      <c r="BD72">
        <f t="shared" si="16"/>
        <v>0</v>
      </c>
      <c r="BE72" s="31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1" cm="1">
        <f t="array" ref="BF72">$G$12+VLOOKUP($R72,武学奇术!$A:$ZZ,12,FALSE)+SUM(_xlfn.XLOOKUP($S72:$AL72,增益!$A:$A,增益!$L:$L,0))</f>
        <v>0.02</v>
      </c>
      <c r="BG72">
        <f t="shared" si="17"/>
        <v>0</v>
      </c>
      <c r="BH72">
        <f t="shared" si="18"/>
        <v>0</v>
      </c>
      <c r="BI72" s="31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-0.3</v>
      </c>
      <c r="BJ72" s="31" cm="1">
        <f t="array" ref="BJ72">$G$13+VLOOKUP($R72,武学奇术!$A:$ZZ,14,FALSE)+SUM(_xlfn.XLOOKUP($S72:$AL72,增益!$A:$A,增益!$N:$N,0))</f>
        <v>0.02</v>
      </c>
      <c r="BK72">
        <f t="shared" si="19"/>
        <v>649.11</v>
      </c>
      <c r="BL72">
        <f t="shared" si="20"/>
        <v>1812.09</v>
      </c>
      <c r="BM72" s="31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</v>
      </c>
      <c r="BN72" s="31" cm="1">
        <f t="array" ref="BN72">$G$14+VLOOKUP($R72,武学奇术!$A:$ZZ,16,FALSE)+SUM(_xlfn.XLOOKUP($S72:$AL72,增益!$A:$A,增益!$P:$P,0))</f>
        <v>0.26</v>
      </c>
      <c r="BO72" s="24">
        <f>MIN(IF(VLOOKUP($R72,武学奇术!$A:$ZZ,23,FALSE)=1,100%,$B$8),100%)</f>
        <v>0.9943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0.8985</v>
      </c>
      <c r="BQ72" s="24" cm="1">
        <f t="array" ref="BQ72">1+$B$13+VLOOKUP($R72,武学奇术!$A:$ZZ,18,FALSE)+SUM(_xlfn.XLOOKUP($S72:$AL72,增益!$A:$A,增益!$R:$R,0))</f>
        <v>1.94</v>
      </c>
      <c r="BR72" s="24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4" cm="1">
        <f t="array" ref="BS72">1+$B$14+VLOOKUP($R72,武学奇术!$A:$ZZ,20,FALSE)+SUM(_xlfn.XLOOKUP($S72:$AL72,增益!$A:$A,增益!$T:$T,0))</f>
        <v>1.35</v>
      </c>
      <c r="BT72" s="24">
        <f t="shared" si="21"/>
        <v>0.89337855</v>
      </c>
      <c r="BU72" s="24">
        <f t="shared" si="22"/>
        <v>0.01014186</v>
      </c>
      <c r="BV72" s="24">
        <f>IF(VLOOKUP($R72,武学奇术!$A:$ZZ,22,FALSE)=1,0,(1-$BO72))*(1-$BR72)</f>
        <v>0.00517959000000003</v>
      </c>
      <c r="BW72" s="24" cm="1">
        <f t="array" ref="BW72">SUM(_xlfn.XLOOKUP($S72:$AL72,增益!$A:$A,增益!$W:$W,0))+$I$5</f>
        <v>0.11</v>
      </c>
      <c r="BX72" s="24">
        <f>VLOOKUP($R72,武学奇术!$A:$ZZ,32,FALSE)</f>
        <v>0</v>
      </c>
      <c r="BY72" s="24" cm="1">
        <f t="array" ref="BY72">SUM(_xlfn.XLOOKUP($S72:$AL72,增益!$A:$A,增益!$X:$X,0))</f>
        <v>0</v>
      </c>
    </row>
    <row r="73" spans="1:77">
      <c r="A73" s="4"/>
      <c r="B73" s="90"/>
      <c r="K73" s="37">
        <f>$L73*VLOOKUP($R73,武学奇术!$A:$ZZ,31,FALSE)</f>
        <v>173474.827257802</v>
      </c>
      <c r="L73" s="89">
        <f>SUM(L60:L65,L69:L70)*0.2*(1+BY73)</f>
        <v>346949.654515604</v>
      </c>
      <c r="M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*(1+$BX73)</f>
        <v>0</v>
      </c>
      <c r="N73" s="37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*(1+$BX73)</f>
        <v>0</v>
      </c>
      <c r="O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*(1+$BX73)</f>
        <v>0</v>
      </c>
      <c r="P73" s="37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*(1+$BX73)</f>
        <v>0</v>
      </c>
      <c r="Q73" s="38">
        <v>1</v>
      </c>
      <c r="R73" s="39" t="s">
        <v>180</v>
      </c>
      <c r="S73" s="39" t="s">
        <v>181</v>
      </c>
      <c r="T73" s="39" t="s">
        <v>84</v>
      </c>
      <c r="U73" s="39" t="s">
        <v>84</v>
      </c>
      <c r="V73" s="39" t="s">
        <v>84</v>
      </c>
      <c r="W73" s="39" t="s">
        <v>84</v>
      </c>
      <c r="X73" s="39" t="s">
        <v>84</v>
      </c>
      <c r="Y73" s="39" t="s">
        <v>84</v>
      </c>
      <c r="Z73" s="39" t="s">
        <v>84</v>
      </c>
      <c r="AA73" s="39" t="s">
        <v>84</v>
      </c>
      <c r="AB73" s="39" t="s">
        <v>84</v>
      </c>
      <c r="AC73" s="39" t="s">
        <v>84</v>
      </c>
      <c r="AD73" s="39" t="s">
        <v>84</v>
      </c>
      <c r="AE73" s="39" t="s">
        <v>84</v>
      </c>
      <c r="AF73" s="39" t="s">
        <v>88</v>
      </c>
      <c r="AG73" s="39" t="s">
        <v>94</v>
      </c>
      <c r="AH73" s="39" t="s">
        <v>84</v>
      </c>
      <c r="AI73" s="39" t="s">
        <v>84</v>
      </c>
      <c r="AJ73" s="39" t="s">
        <v>84</v>
      </c>
      <c r="AK73" s="39" t="s">
        <v>84</v>
      </c>
      <c r="AL73" s="39" t="s">
        <v>84</v>
      </c>
      <c r="AM73" t="str">
        <f>VLOOKUP($R73,武学奇术!$A:$ZZ,25,FALSE)</f>
        <v>心法</v>
      </c>
      <c r="AN73" s="24">
        <f>VLOOKUP($R73,武学奇术!$A:$ZZ,26,FALSE)</f>
        <v>0</v>
      </c>
      <c r="AO73" s="25">
        <f>VLOOKUP($R73,武学奇术!$A:$ZZ,27,FALSE)*(1+IF(OR($AM73=$F$4,$AM73=$F$5),$B$22,0))</f>
        <v>0</v>
      </c>
      <c r="AP73" s="24">
        <f>VLOOKUP($R73,武学奇术!$A:$ZZ,28,FALSE)</f>
        <v>0</v>
      </c>
      <c r="AQ73" s="25">
        <f>VLOOKUP($R73,武学奇术!$A:$ZZ,29,FALSE)*(1+IF(OR($AM73=$F$4,$AM73=$F$5),$B$22,0))</f>
        <v>0</v>
      </c>
      <c r="AR73" s="24" cm="1">
        <f t="array" ref="AR73">$G$3+IFERROR(VLOOKUP($AM73,$F$4:$G$7,2,FALSE),0)+VLOOKUP($R73,武学奇术!$A:$ZZ,2,FALSE)+SUM(_xlfn.XLOOKUP($S73:$AL73,增益!$A:$A,增益!$B:$B,0))</f>
        <v>0.2542</v>
      </c>
      <c r="AS73" s="24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4274.25</v>
      </c>
      <c r="AU73" cm="1">
        <f t="array" ref="AU73">$E$10*(1+$AS73)+VLOOKUP($R73,武学奇术!$A:$ZZ,4,FALSE)+SUM(_xlfn.XLOOKUP($S73:$AL73,增益!$A:$A,增益!$D:$D,0))-$I$2</f>
        <v>4274.25</v>
      </c>
      <c r="AV73" s="31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0.1684</v>
      </c>
      <c r="AW73" s="31" cm="1">
        <f t="array" ref="AW73">$G$10+VLOOKUP($R73,武学奇术!$A:$ZZ,7,FALSE)+SUM(_xlfn.XLOOKUP($S73:$AL73,增益!$A:$A,增益!$G:$G,0))</f>
        <v>0</v>
      </c>
      <c r="AX73" s="24" cm="1">
        <f t="array" ref="AX73">VLOOKUP($R73,武学奇术!$A:$ZZ,8,FALSE)+SUM(_xlfn.XLOOKUP($S73:$AL73,增益!$A:$A,增益!$H:$H,0))</f>
        <v>0</v>
      </c>
      <c r="AY73">
        <f t="shared" si="13"/>
        <v>0</v>
      </c>
      <c r="AZ73">
        <f t="shared" si="14"/>
        <v>0</v>
      </c>
      <c r="BA73" s="31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1" cm="1">
        <f t="array" ref="BB73">$G$11+VLOOKUP($R73,武学奇术!$A:$ZZ,10,FALSE)+SUM(_xlfn.XLOOKUP($S73:$AL73,增益!$A:$A,增益!$J:$J,0))</f>
        <v>0</v>
      </c>
      <c r="BC73">
        <f t="shared" si="15"/>
        <v>0</v>
      </c>
      <c r="BD73">
        <f t="shared" si="16"/>
        <v>0</v>
      </c>
      <c r="BE73" s="31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1" cm="1">
        <f t="array" ref="BF73">$G$12+VLOOKUP($R73,武学奇术!$A:$ZZ,12,FALSE)+SUM(_xlfn.XLOOKUP($S73:$AL73,增益!$A:$A,增益!$L:$L,0))</f>
        <v>0</v>
      </c>
      <c r="BG73">
        <f t="shared" si="17"/>
        <v>0</v>
      </c>
      <c r="BH73">
        <f t="shared" si="18"/>
        <v>0</v>
      </c>
      <c r="BI73" s="31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31" cm="1">
        <f t="array" ref="BJ73">$G$13+VLOOKUP($R73,武学奇术!$A:$ZZ,14,FALSE)+SUM(_xlfn.XLOOKUP($S73:$AL73,增益!$A:$A,增益!$N:$N,0))</f>
        <v>0</v>
      </c>
      <c r="BK73">
        <f t="shared" si="19"/>
        <v>649.11</v>
      </c>
      <c r="BL73">
        <f t="shared" si="20"/>
        <v>1812.09</v>
      </c>
      <c r="BM73" s="31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31" cm="1">
        <f t="array" ref="BN73">$G$14+VLOOKUP($R73,武学奇术!$A:$ZZ,16,FALSE)+SUM(_xlfn.XLOOKUP($S73:$AL73,增益!$A:$A,增益!$P:$P,0))</f>
        <v>0.15</v>
      </c>
      <c r="BO73" s="24">
        <f>MIN(IF(VLOOKUP($R73,武学奇术!$A:$ZZ,23,FALSE)=1,100%,$B$8),100%)</f>
        <v>0.9943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0.8985</v>
      </c>
      <c r="BQ73" s="24" cm="1">
        <f t="array" ref="BQ73">1+$B$13+VLOOKUP($R73,武学奇术!$A:$ZZ,18,FALSE)+SUM(_xlfn.XLOOKUP($S73:$AL73,增益!$A:$A,增益!$R:$R,0))</f>
        <v>1.54</v>
      </c>
      <c r="BR73" s="24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4" cm="1">
        <f t="array" ref="BS73">1+$B$14+VLOOKUP($R73,武学奇术!$A:$ZZ,20,FALSE)+SUM(_xlfn.XLOOKUP($S73:$AL73,增益!$A:$A,增益!$T:$T,0))</f>
        <v>1.35</v>
      </c>
      <c r="BT73" s="24">
        <f t="shared" si="21"/>
        <v>0.89337855</v>
      </c>
      <c r="BU73" s="24">
        <f t="shared" si="22"/>
        <v>0.01014186</v>
      </c>
      <c r="BV73" s="24">
        <f>IF(VLOOKUP($R73,武学奇术!$A:$ZZ,22,FALSE)=1,0,(1-$BO73))*(1-$BR73)</f>
        <v>0.00517959000000003</v>
      </c>
      <c r="BW73" s="24" cm="1">
        <f t="array" ref="BW73">SUM(_xlfn.XLOOKUP($S73:$AL73,增益!$A:$A,增益!$W:$W,0))+$I$5</f>
        <v>0.11</v>
      </c>
      <c r="BX73" s="24">
        <f>VLOOKUP($R73,武学奇术!$A:$ZZ,32,FALSE)</f>
        <v>0</v>
      </c>
      <c r="BY73" s="24" cm="1">
        <f t="array" ref="BY73">SUM(_xlfn.XLOOKUP($S73:$AL73,增益!$A:$A,增益!$X:$X,0))</f>
        <v>0.2</v>
      </c>
    </row>
    <row r="74" spans="1:77">
      <c r="F74" s="4"/>
      <c r="G74" s="90"/>
      <c r="K74" s="37">
        <f>$L74*VLOOKUP($R74,武学奇术!$A:$ZZ,31,FALSE)</f>
        <v>24514.7361847043</v>
      </c>
      <c r="L74" s="37">
        <f t="shared" ref="L74:L92" si="23">($M74*$BT74+$N74*$BR74+$O74*$BU74+$P74*$BV74)</f>
        <v>24514.7361847043</v>
      </c>
      <c r="M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*(1+$BX74)</f>
        <v>25281.922997581</v>
      </c>
      <c r="N74" s="37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*(1+$BX74)</f>
        <v>19070.3298252098</v>
      </c>
      <c r="O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*(1+$BX74)</f>
        <v>12704.4839183824</v>
      </c>
      <c r="P74" s="37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*(1+$BX74)</f>
        <v>11282.7975958687</v>
      </c>
      <c r="Q74" s="38">
        <v>1</v>
      </c>
      <c r="R74" s="39" t="s">
        <v>185</v>
      </c>
      <c r="S74" s="39" t="s">
        <v>104</v>
      </c>
      <c r="T74" s="39" t="s">
        <v>194</v>
      </c>
      <c r="U74" s="39" t="s">
        <v>81</v>
      </c>
      <c r="V74" s="39" t="s">
        <v>130</v>
      </c>
      <c r="W74" s="39" t="s">
        <v>83</v>
      </c>
      <c r="X74" s="39" t="s">
        <v>84</v>
      </c>
      <c r="Y74" s="39" t="s">
        <v>84</v>
      </c>
      <c r="Z74" s="39" t="s">
        <v>84</v>
      </c>
      <c r="AA74" s="39" t="s">
        <v>84</v>
      </c>
      <c r="AB74" s="39" t="s">
        <v>204</v>
      </c>
      <c r="AC74" s="39" t="s">
        <v>84</v>
      </c>
      <c r="AD74" s="39" t="s">
        <v>93</v>
      </c>
      <c r="AE74" s="39" t="s">
        <v>84</v>
      </c>
      <c r="AF74" s="39" t="s">
        <v>88</v>
      </c>
      <c r="AG74" s="39" t="s">
        <v>94</v>
      </c>
      <c r="AH74" s="39" t="s">
        <v>84</v>
      </c>
      <c r="AI74" s="39" t="s">
        <v>84</v>
      </c>
      <c r="AJ74" s="39" t="s">
        <v>84</v>
      </c>
      <c r="AK74" s="39" t="s">
        <v>84</v>
      </c>
      <c r="AL74" s="39" t="s">
        <v>84</v>
      </c>
      <c r="AM74" t="str">
        <f>VLOOKUP($R74,武学奇术!$A:$ZZ,25,FALSE)</f>
        <v>双刀</v>
      </c>
      <c r="AN74" s="24">
        <f>VLOOKUP($R74,武学奇术!$A:$ZZ,26,FALSE)</f>
        <v>0.79044</v>
      </c>
      <c r="AO74" s="25">
        <f>VLOOKUP($R74,武学奇术!$A:$ZZ,27,FALSE)*(1+IF(OR($AM74=$F$4,$AM74=$F$5),$B$22,0))</f>
        <v>351.36</v>
      </c>
      <c r="AP74" s="24">
        <f>VLOOKUP($R74,武学奇术!$A:$ZZ,28,FALSE)</f>
        <v>1.18572</v>
      </c>
      <c r="AQ74" s="25">
        <f>VLOOKUP($R74,武学奇术!$A:$ZZ,29,FALSE)*(1+IF(OR($AM74=$F$4,$AM74=$F$5),$B$22,0))</f>
        <v>192</v>
      </c>
      <c r="AR74" s="24" cm="1">
        <f t="array" ref="AR74">$G$3+IFERROR(VLOOKUP($AM74,$F$4:$G$7,2,FALSE),0)+VLOOKUP($R74,武学奇术!$A:$ZZ,2,FALSE)+SUM(_xlfn.XLOOKUP($S74:$AL74,增益!$A:$A,增益!$B:$B,0))</f>
        <v>0.4743</v>
      </c>
      <c r="AS74" s="24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4274.25</v>
      </c>
      <c r="AU74" cm="1">
        <f t="array" ref="AU74">$E$10*(1+$AS74)+VLOOKUP($R74,武学奇术!$A:$ZZ,4,FALSE)+SUM(_xlfn.XLOOKUP($S74:$AL74,增益!$A:$A,增益!$D:$D,0))-$I$2</f>
        <v>4274.25</v>
      </c>
      <c r="AV74" s="31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0.3434</v>
      </c>
      <c r="AW74" s="31" cm="1">
        <f t="array" ref="AW74">$G$10+VLOOKUP($R74,武学奇术!$A:$ZZ,7,FALSE)+SUM(_xlfn.XLOOKUP($S74:$AL74,增益!$A:$A,增益!$G:$G,0))</f>
        <v>0.11</v>
      </c>
      <c r="AX74" s="24" cm="1">
        <f t="array" ref="AX74">VLOOKUP($R74,武学奇术!$A:$ZZ,8,FALSE)+SUM(_xlfn.XLOOKUP($S74:$AL74,增益!$A:$A,增益!$H:$H,0))</f>
        <v>0</v>
      </c>
      <c r="AY74">
        <f t="shared" si="13"/>
        <v>0</v>
      </c>
      <c r="AZ74">
        <f t="shared" si="14"/>
        <v>0</v>
      </c>
      <c r="BA74" s="31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1" cm="1">
        <f t="array" ref="BB74">$G$11+VLOOKUP($R74,武学奇术!$A:$ZZ,10,FALSE)+SUM(_xlfn.XLOOKUP($S74:$AL74,增益!$A:$A,增益!$J:$J,0))</f>
        <v>0.02</v>
      </c>
      <c r="BC74">
        <f t="shared" si="15"/>
        <v>0</v>
      </c>
      <c r="BD74">
        <f t="shared" si="16"/>
        <v>0</v>
      </c>
      <c r="BE74" s="31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1" cm="1">
        <f t="array" ref="BF74">$G$12+VLOOKUP($R74,武学奇术!$A:$ZZ,12,FALSE)+SUM(_xlfn.XLOOKUP($S74:$AL74,增益!$A:$A,增益!$L:$L,0))</f>
        <v>0.02</v>
      </c>
      <c r="BG74">
        <f t="shared" si="17"/>
        <v>0</v>
      </c>
      <c r="BH74">
        <f t="shared" si="18"/>
        <v>0</v>
      </c>
      <c r="BI74" s="31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-0.3</v>
      </c>
      <c r="BJ74" s="31" cm="1">
        <f t="array" ref="BJ74">$G$13+VLOOKUP($R74,武学奇术!$A:$ZZ,14,FALSE)+SUM(_xlfn.XLOOKUP($S74:$AL74,增益!$A:$A,增益!$N:$N,0))</f>
        <v>0.02</v>
      </c>
      <c r="BK74">
        <f t="shared" si="19"/>
        <v>649.11</v>
      </c>
      <c r="BL74">
        <f t="shared" si="20"/>
        <v>1812.09</v>
      </c>
      <c r="BM74" s="31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</v>
      </c>
      <c r="BN74" s="31" cm="1">
        <f t="array" ref="BN74">$G$14+VLOOKUP($R74,武学奇术!$A:$ZZ,16,FALSE)+SUM(_xlfn.XLOOKUP($S74:$AL74,增益!$A:$A,增益!$P:$P,0))</f>
        <v>0.26</v>
      </c>
      <c r="BO74" s="24">
        <f>MIN(IF(VLOOKUP($R74,武学奇术!$A:$ZZ,23,FALSE)=1,100%,$B$8),100%)</f>
        <v>0.9943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0.8985</v>
      </c>
      <c r="BQ74" s="24" cm="1">
        <f t="array" ref="BQ74">1+$B$13+VLOOKUP($R74,武学奇术!$A:$ZZ,18,FALSE)+SUM(_xlfn.XLOOKUP($S74:$AL74,增益!$A:$A,增益!$R:$R,0))</f>
        <v>1.99</v>
      </c>
      <c r="BR74" s="24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4" cm="1">
        <f t="array" ref="BS74">1+$B$14+VLOOKUP($R74,武学奇术!$A:$ZZ,20,FALSE)+SUM(_xlfn.XLOOKUP($S74:$AL74,增益!$A:$A,增益!$T:$T,0))</f>
        <v>1.35</v>
      </c>
      <c r="BT74" s="24">
        <f t="shared" si="21"/>
        <v>0.89337855</v>
      </c>
      <c r="BU74" s="24">
        <f t="shared" si="22"/>
        <v>0.01014186</v>
      </c>
      <c r="BV74" s="24">
        <f>IF(VLOOKUP($R74,武学奇术!$A:$ZZ,22,FALSE)=1,0,(1-$BO74))*(1-$BR74)</f>
        <v>0.00517959000000003</v>
      </c>
      <c r="BW74" s="24" cm="1">
        <f t="array" ref="BW74">SUM(_xlfn.XLOOKUP($S74:$AL74,增益!$A:$A,增益!$W:$W,0))+$I$5</f>
        <v>0.11</v>
      </c>
      <c r="BX74" s="24">
        <f>VLOOKUP($R74,武学奇术!$A:$ZZ,32,FALSE)</f>
        <v>0</v>
      </c>
      <c r="BY74" s="24" cm="1">
        <f t="array" ref="BY74">SUM(_xlfn.XLOOKUP($S74:$AL74,增益!$A:$A,增益!$X:$X,0))</f>
        <v>0</v>
      </c>
    </row>
    <row r="75" spans="1:77">
      <c r="A75" s="4"/>
      <c r="B75" s="90"/>
      <c r="F75" s="4"/>
      <c r="G75" s="4"/>
      <c r="K75" s="37">
        <f>$L75*VLOOKUP($R75,武学奇术!$A:$ZZ,31,FALSE)</f>
        <v>59794.2914892731</v>
      </c>
      <c r="L75" s="37">
        <f t="shared" si="23"/>
        <v>59794.2914892731</v>
      </c>
      <c r="M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*(1+$BX75)</f>
        <v>61626.9523344573</v>
      </c>
      <c r="N75" s="37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*(1+$BX75)</f>
        <v>46913.5399022504</v>
      </c>
      <c r="O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*(1+$BX75)</f>
        <v>30968.3177560087</v>
      </c>
      <c r="P75" s="37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*(1+$BX75)</f>
        <v>27185.8652140541</v>
      </c>
      <c r="Q75" s="38">
        <v>1</v>
      </c>
      <c r="R75" s="39" t="s">
        <v>78</v>
      </c>
      <c r="S75" s="39" t="s">
        <v>104</v>
      </c>
      <c r="T75" s="39" t="s">
        <v>194</v>
      </c>
      <c r="U75" s="39" t="s">
        <v>81</v>
      </c>
      <c r="V75" s="39" t="s">
        <v>130</v>
      </c>
      <c r="W75" s="39" t="s">
        <v>83</v>
      </c>
      <c r="X75" s="39" t="s">
        <v>84</v>
      </c>
      <c r="Y75" s="39" t="s">
        <v>84</v>
      </c>
      <c r="Z75" s="39" t="s">
        <v>84</v>
      </c>
      <c r="AA75" s="39" t="s">
        <v>84</v>
      </c>
      <c r="AB75" s="39" t="s">
        <v>204</v>
      </c>
      <c r="AC75" s="39" t="s">
        <v>84</v>
      </c>
      <c r="AD75" s="39" t="s">
        <v>93</v>
      </c>
      <c r="AE75" s="39" t="s">
        <v>84</v>
      </c>
      <c r="AF75" s="39" t="s">
        <v>88</v>
      </c>
      <c r="AG75" s="39" t="s">
        <v>94</v>
      </c>
      <c r="AH75" s="39" t="s">
        <v>84</v>
      </c>
      <c r="AI75" s="39" t="s">
        <v>84</v>
      </c>
      <c r="AJ75" s="39" t="s">
        <v>84</v>
      </c>
      <c r="AK75" s="39" t="s">
        <v>84</v>
      </c>
      <c r="AL75" s="39" t="s">
        <v>84</v>
      </c>
      <c r="AM75" t="str">
        <f>VLOOKUP($R75,武学奇术!$A:$ZZ,25,FALSE)</f>
        <v>群体奇术</v>
      </c>
      <c r="AN75" s="24">
        <f>VLOOKUP($R75,武学奇术!$A:$ZZ,26,FALSE)</f>
        <v>2.3774</v>
      </c>
      <c r="AO75" s="25">
        <f>VLOOKUP($R75,武学奇术!$A:$ZZ,27,FALSE)*(1+IF(OR($AM75=$F$4,$AM75=$F$5),$B$22,0))</f>
        <v>476</v>
      </c>
      <c r="AP75" s="24">
        <f>VLOOKUP($R75,武学奇术!$A:$ZZ,28,FALSE)</f>
        <v>3.5661</v>
      </c>
      <c r="AQ75" s="25">
        <f>VLOOKUP($R75,武学奇术!$A:$ZZ,29,FALSE)*(1+IF(OR($AM75=$F$4,$AM75=$F$5),$B$22,0))</f>
        <v>0</v>
      </c>
      <c r="AR75" s="24" cm="1">
        <f t="array" ref="AR75">$G$3+IFERROR(VLOOKUP($AM75,$F$4:$G$7,2,FALSE),0)+VLOOKUP($R75,武学奇术!$A:$ZZ,2,FALSE)+SUM(_xlfn.XLOOKUP($S75:$AL75,增益!$A:$A,增益!$B:$B,0))</f>
        <v>0.3042</v>
      </c>
      <c r="AS75" s="24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4274.25</v>
      </c>
      <c r="AU75" cm="1">
        <f t="array" ref="AU75">$E$10*(1+$AS75)+VLOOKUP($R75,武学奇术!$A:$ZZ,4,FALSE)+SUM(_xlfn.XLOOKUP($S75:$AL75,增益!$A:$A,增益!$D:$D,0))-$I$2</f>
        <v>4274.25</v>
      </c>
      <c r="AV75" s="31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0.3434</v>
      </c>
      <c r="AW75" s="31" cm="1">
        <f t="array" ref="AW75">$G$10+VLOOKUP($R75,武学奇术!$A:$ZZ,7,FALSE)+SUM(_xlfn.XLOOKUP($S75:$AL75,增益!$A:$A,增益!$G:$G,0))</f>
        <v>0.11</v>
      </c>
      <c r="AX75" s="24" cm="1">
        <f t="array" ref="AX75">VLOOKUP($R75,武学奇术!$A:$ZZ,8,FALSE)+SUM(_xlfn.XLOOKUP($S75:$AL75,增益!$A:$A,增益!$H:$H,0))</f>
        <v>0</v>
      </c>
      <c r="AY75">
        <f t="shared" si="13"/>
        <v>0</v>
      </c>
      <c r="AZ75">
        <f t="shared" si="14"/>
        <v>0</v>
      </c>
      <c r="BA75" s="31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1" cm="1">
        <f t="array" ref="BB75">$G$11+VLOOKUP($R75,武学奇术!$A:$ZZ,10,FALSE)+SUM(_xlfn.XLOOKUP($S75:$AL75,增益!$A:$A,增益!$J:$J,0))</f>
        <v>0.02</v>
      </c>
      <c r="BC75">
        <f t="shared" si="15"/>
        <v>0</v>
      </c>
      <c r="BD75">
        <f t="shared" si="16"/>
        <v>0</v>
      </c>
      <c r="BE75" s="31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1" cm="1">
        <f t="array" ref="BF75">$G$12+VLOOKUP($R75,武学奇术!$A:$ZZ,12,FALSE)+SUM(_xlfn.XLOOKUP($S75:$AL75,增益!$A:$A,增益!$L:$L,0))</f>
        <v>0.02</v>
      </c>
      <c r="BG75">
        <f t="shared" si="17"/>
        <v>0</v>
      </c>
      <c r="BH75">
        <f t="shared" si="18"/>
        <v>0</v>
      </c>
      <c r="BI75" s="31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1" cm="1">
        <f t="array" ref="BJ75">$G$13+VLOOKUP($R75,武学奇术!$A:$ZZ,14,FALSE)+SUM(_xlfn.XLOOKUP($S75:$AL75,增益!$A:$A,增益!$N:$N,0))</f>
        <v>0.02</v>
      </c>
      <c r="BK75">
        <f t="shared" si="19"/>
        <v>649.11</v>
      </c>
      <c r="BL75">
        <f t="shared" si="20"/>
        <v>1812.09</v>
      </c>
      <c r="BM75" s="31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1" cm="1">
        <f t="array" ref="BN75">$G$14+VLOOKUP($R75,武学奇术!$A:$ZZ,16,FALSE)+SUM(_xlfn.XLOOKUP($S75:$AL75,增益!$A:$A,增益!$P:$P,0))</f>
        <v>0.26</v>
      </c>
      <c r="BO75" s="24">
        <f>MIN(IF(VLOOKUP($R75,武学奇术!$A:$ZZ,23,FALSE)=1,100%,$B$8),100%)</f>
        <v>0.9943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0.8985</v>
      </c>
      <c r="BQ75" s="24" cm="1">
        <f t="array" ref="BQ75">1+$B$13+VLOOKUP($R75,武学奇术!$A:$ZZ,18,FALSE)+SUM(_xlfn.XLOOKUP($S75:$AL75,增益!$A:$A,增益!$R:$R,0))</f>
        <v>1.99</v>
      </c>
      <c r="BR75" s="24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4" cm="1">
        <f t="array" ref="BS75">1+$B$14+VLOOKUP($R75,武学奇术!$A:$ZZ,20,FALSE)+SUM(_xlfn.XLOOKUP($S75:$AL75,增益!$A:$A,增益!$T:$T,0))</f>
        <v>1.35</v>
      </c>
      <c r="BT75" s="24">
        <f t="shared" si="21"/>
        <v>0.89337855</v>
      </c>
      <c r="BU75" s="24">
        <f t="shared" si="22"/>
        <v>0.01014186</v>
      </c>
      <c r="BV75" s="24">
        <f>IF(VLOOKUP($R75,武学奇术!$A:$ZZ,22,FALSE)=1,0,(1-$BO75))*(1-$BR75)</f>
        <v>0.00517959000000003</v>
      </c>
      <c r="BW75" s="24" cm="1">
        <f t="array" ref="BW75">SUM(_xlfn.XLOOKUP($S75:$AL75,增益!$A:$A,增益!$W:$W,0))+$I$5</f>
        <v>0.11</v>
      </c>
      <c r="BX75" s="24">
        <f>VLOOKUP($R75,武学奇术!$A:$ZZ,32,FALSE)</f>
        <v>0</v>
      </c>
      <c r="BY75" s="24" cm="1">
        <f t="array" ref="BY75">SUM(_xlfn.XLOOKUP($S75:$AL75,增益!$A:$A,增益!$X:$X,0))</f>
        <v>0</v>
      </c>
    </row>
    <row r="76" spans="1:77">
      <c r="F76" s="4"/>
      <c r="G76" s="4"/>
      <c r="K76" s="37">
        <f>$L76*VLOOKUP($R76,武学奇术!$A:$ZZ,31,FALSE)</f>
        <v>59794.2914892731</v>
      </c>
      <c r="L76" s="37">
        <f t="shared" si="23"/>
        <v>59794.2914892731</v>
      </c>
      <c r="M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*(1+$BX76)</f>
        <v>61626.9523344573</v>
      </c>
      <c r="N76" s="37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*(1+$BX76)</f>
        <v>46913.5399022504</v>
      </c>
      <c r="O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*(1+$BX76)</f>
        <v>30968.3177560087</v>
      </c>
      <c r="P76" s="37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*(1+$BX76)</f>
        <v>27185.8652140541</v>
      </c>
      <c r="Q76" s="38">
        <v>1</v>
      </c>
      <c r="R76" s="39" t="s">
        <v>78</v>
      </c>
      <c r="S76" s="39" t="s">
        <v>104</v>
      </c>
      <c r="T76" s="39" t="s">
        <v>194</v>
      </c>
      <c r="U76" s="39" t="s">
        <v>81</v>
      </c>
      <c r="V76" s="39" t="s">
        <v>130</v>
      </c>
      <c r="W76" s="39" t="s">
        <v>83</v>
      </c>
      <c r="X76" s="39" t="s">
        <v>84</v>
      </c>
      <c r="Y76" s="39" t="s">
        <v>84</v>
      </c>
      <c r="Z76" s="39" t="s">
        <v>84</v>
      </c>
      <c r="AA76" s="39" t="s">
        <v>84</v>
      </c>
      <c r="AB76" s="39" t="s">
        <v>204</v>
      </c>
      <c r="AC76" s="39" t="s">
        <v>84</v>
      </c>
      <c r="AD76" s="39" t="s">
        <v>93</v>
      </c>
      <c r="AE76" s="39" t="s">
        <v>84</v>
      </c>
      <c r="AF76" s="39" t="s">
        <v>88</v>
      </c>
      <c r="AG76" s="39" t="s">
        <v>94</v>
      </c>
      <c r="AH76" s="39" t="s">
        <v>84</v>
      </c>
      <c r="AI76" s="39" t="s">
        <v>84</v>
      </c>
      <c r="AJ76" s="39" t="s">
        <v>84</v>
      </c>
      <c r="AK76" s="39" t="s">
        <v>84</v>
      </c>
      <c r="AL76" s="39" t="s">
        <v>84</v>
      </c>
      <c r="AM76" t="str">
        <f>VLOOKUP($R76,武学奇术!$A:$ZZ,25,FALSE)</f>
        <v>群体奇术</v>
      </c>
      <c r="AN76" s="24">
        <f>VLOOKUP($R76,武学奇术!$A:$ZZ,26,FALSE)</f>
        <v>2.3774</v>
      </c>
      <c r="AO76" s="25">
        <f>VLOOKUP($R76,武学奇术!$A:$ZZ,27,FALSE)*(1+IF(OR($AM76=$F$4,$AM76=$F$5),$B$22,0))</f>
        <v>476</v>
      </c>
      <c r="AP76" s="24">
        <f>VLOOKUP($R76,武学奇术!$A:$ZZ,28,FALSE)</f>
        <v>3.5661</v>
      </c>
      <c r="AQ76" s="25">
        <f>VLOOKUP($R76,武学奇术!$A:$ZZ,29,FALSE)*(1+IF(OR($AM76=$F$4,$AM76=$F$5),$B$22,0))</f>
        <v>0</v>
      </c>
      <c r="AR76" s="24" cm="1">
        <f t="array" ref="AR76">$G$3+IFERROR(VLOOKUP($AM76,$F$4:$G$7,2,FALSE),0)+VLOOKUP($R76,武学奇术!$A:$ZZ,2,FALSE)+SUM(_xlfn.XLOOKUP($S76:$AL76,增益!$A:$A,增益!$B:$B,0))</f>
        <v>0.3042</v>
      </c>
      <c r="AS76" s="24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4274.25</v>
      </c>
      <c r="AU76" cm="1">
        <f t="array" ref="AU76">$E$10*(1+$AS76)+VLOOKUP($R76,武学奇术!$A:$ZZ,4,FALSE)+SUM(_xlfn.XLOOKUP($S76:$AL76,增益!$A:$A,增益!$D:$D,0))-$I$2</f>
        <v>4274.25</v>
      </c>
      <c r="AV76" s="31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0.3434</v>
      </c>
      <c r="AW76" s="31" cm="1">
        <f t="array" ref="AW76">$G$10+VLOOKUP($R76,武学奇术!$A:$ZZ,7,FALSE)+SUM(_xlfn.XLOOKUP($S76:$AL76,增益!$A:$A,增益!$G:$G,0))</f>
        <v>0.11</v>
      </c>
      <c r="AX76" s="24" cm="1">
        <f t="array" ref="AX76">VLOOKUP($R76,武学奇术!$A:$ZZ,8,FALSE)+SUM(_xlfn.XLOOKUP($S76:$AL76,增益!$A:$A,增益!$H:$H,0))</f>
        <v>0</v>
      </c>
      <c r="AY76">
        <f t="shared" si="13"/>
        <v>0</v>
      </c>
      <c r="AZ76">
        <f t="shared" si="14"/>
        <v>0</v>
      </c>
      <c r="BA76" s="31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1" cm="1">
        <f t="array" ref="BB76">$G$11+VLOOKUP($R76,武学奇术!$A:$ZZ,10,FALSE)+SUM(_xlfn.XLOOKUP($S76:$AL76,增益!$A:$A,增益!$J:$J,0))</f>
        <v>0.02</v>
      </c>
      <c r="BC76">
        <f t="shared" si="15"/>
        <v>0</v>
      </c>
      <c r="BD76">
        <f t="shared" si="16"/>
        <v>0</v>
      </c>
      <c r="BE76" s="31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1" cm="1">
        <f t="array" ref="BF76">$G$12+VLOOKUP($R76,武学奇术!$A:$ZZ,12,FALSE)+SUM(_xlfn.XLOOKUP($S76:$AL76,增益!$A:$A,增益!$L:$L,0))</f>
        <v>0.02</v>
      </c>
      <c r="BG76">
        <f t="shared" si="17"/>
        <v>0</v>
      </c>
      <c r="BH76">
        <f t="shared" si="18"/>
        <v>0</v>
      </c>
      <c r="BI76" s="31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-0.3</v>
      </c>
      <c r="BJ76" s="31" cm="1">
        <f t="array" ref="BJ76">$G$13+VLOOKUP($R76,武学奇术!$A:$ZZ,14,FALSE)+SUM(_xlfn.XLOOKUP($S76:$AL76,增益!$A:$A,增益!$N:$N,0))</f>
        <v>0.02</v>
      </c>
      <c r="BK76">
        <f t="shared" si="19"/>
        <v>649.11</v>
      </c>
      <c r="BL76">
        <f t="shared" si="20"/>
        <v>1812.09</v>
      </c>
      <c r="BM76" s="31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</v>
      </c>
      <c r="BN76" s="31" cm="1">
        <f t="array" ref="BN76">$G$14+VLOOKUP($R76,武学奇术!$A:$ZZ,16,FALSE)+SUM(_xlfn.XLOOKUP($S76:$AL76,增益!$A:$A,增益!$P:$P,0))</f>
        <v>0.26</v>
      </c>
      <c r="BO76" s="24">
        <f>MIN(IF(VLOOKUP($R76,武学奇术!$A:$ZZ,23,FALSE)=1,100%,$B$8),100%)</f>
        <v>0.9943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0.8985</v>
      </c>
      <c r="BQ76" s="24" cm="1">
        <f t="array" ref="BQ76">1+$B$13+VLOOKUP($R76,武学奇术!$A:$ZZ,18,FALSE)+SUM(_xlfn.XLOOKUP($S76:$AL76,增益!$A:$A,增益!$R:$R,0))</f>
        <v>1.99</v>
      </c>
      <c r="BR76" s="24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4" cm="1">
        <f t="array" ref="BS76">1+$B$14+VLOOKUP($R76,武学奇术!$A:$ZZ,20,FALSE)+SUM(_xlfn.XLOOKUP($S76:$AL76,增益!$A:$A,增益!$T:$T,0))</f>
        <v>1.35</v>
      </c>
      <c r="BT76" s="24">
        <f t="shared" si="21"/>
        <v>0.89337855</v>
      </c>
      <c r="BU76" s="24">
        <f t="shared" si="22"/>
        <v>0.01014186</v>
      </c>
      <c r="BV76" s="24">
        <f>IF(VLOOKUP($R76,武学奇术!$A:$ZZ,22,FALSE)=1,0,(1-$BO76))*(1-$BR76)</f>
        <v>0.00517959000000003</v>
      </c>
      <c r="BW76" s="24" cm="1">
        <f t="array" ref="BW76">SUM(_xlfn.XLOOKUP($S76:$AL76,增益!$A:$A,增益!$W:$W,0))+$I$5</f>
        <v>0.11</v>
      </c>
      <c r="BX76" s="24">
        <f>VLOOKUP($R76,武学奇术!$A:$ZZ,32,FALSE)</f>
        <v>0</v>
      </c>
      <c r="BY76" s="24" cm="1">
        <f t="array" ref="BY76">SUM(_xlfn.XLOOKUP($S76:$AL76,增益!$A:$A,增益!$X:$X,0))</f>
        <v>0</v>
      </c>
    </row>
    <row r="77" spans="1:77">
      <c r="A77" s="4"/>
      <c r="B77" s="90"/>
      <c r="K77" s="37">
        <f>$L77*VLOOKUP($R77,武学奇术!$A:$ZZ,31,FALSE)</f>
        <v>65181.1645964148</v>
      </c>
      <c r="L77" s="37">
        <f t="shared" si="23"/>
        <v>65181.1645964148</v>
      </c>
      <c r="M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*(1+$BX77)</f>
        <v>67178.9300222462</v>
      </c>
      <c r="N77" s="37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*(1+$BX77)</f>
        <v>51139.9849384892</v>
      </c>
      <c r="O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*(1+$BX77)</f>
        <v>33758.2562925861</v>
      </c>
      <c r="P77" s="37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*(1+$BX77)</f>
        <v>29635.0422603653</v>
      </c>
      <c r="Q77" s="38">
        <v>1</v>
      </c>
      <c r="R77" s="39" t="s">
        <v>78</v>
      </c>
      <c r="S77" s="39" t="s">
        <v>104</v>
      </c>
      <c r="T77" s="39" t="s">
        <v>194</v>
      </c>
      <c r="U77" s="39" t="s">
        <v>81</v>
      </c>
      <c r="V77" s="39" t="s">
        <v>130</v>
      </c>
      <c r="W77" s="39" t="s">
        <v>83</v>
      </c>
      <c r="X77" s="39" t="s">
        <v>84</v>
      </c>
      <c r="Y77" s="39" t="s">
        <v>84</v>
      </c>
      <c r="Z77" s="39" t="s">
        <v>195</v>
      </c>
      <c r="AA77" s="39" t="s">
        <v>84</v>
      </c>
      <c r="AB77" s="39" t="s">
        <v>204</v>
      </c>
      <c r="AC77" s="39" t="s">
        <v>84</v>
      </c>
      <c r="AD77" s="39" t="s">
        <v>93</v>
      </c>
      <c r="AE77" s="39" t="s">
        <v>84</v>
      </c>
      <c r="AF77" s="39" t="s">
        <v>88</v>
      </c>
      <c r="AG77" s="39" t="s">
        <v>94</v>
      </c>
      <c r="AH77" s="39" t="s">
        <v>84</v>
      </c>
      <c r="AI77" s="39" t="s">
        <v>84</v>
      </c>
      <c r="AJ77" s="39" t="s">
        <v>84</v>
      </c>
      <c r="AK77" s="39" t="s">
        <v>84</v>
      </c>
      <c r="AL77" s="39" t="s">
        <v>84</v>
      </c>
      <c r="AM77" t="str">
        <f>VLOOKUP($R77,武学奇术!$A:$ZZ,25,FALSE)</f>
        <v>群体奇术</v>
      </c>
      <c r="AN77" s="24">
        <f>VLOOKUP($R77,武学奇术!$A:$ZZ,26,FALSE)</f>
        <v>2.3774</v>
      </c>
      <c r="AO77" s="25">
        <f>VLOOKUP($R77,武学奇术!$A:$ZZ,27,FALSE)*(1+IF(OR($AM77=$F$4,$AM77=$F$5),$B$22,0))</f>
        <v>476</v>
      </c>
      <c r="AP77" s="24">
        <f>VLOOKUP($R77,武学奇术!$A:$ZZ,28,FALSE)</f>
        <v>3.5661</v>
      </c>
      <c r="AQ77" s="25">
        <f>VLOOKUP($R77,武学奇术!$A:$ZZ,29,FALSE)*(1+IF(OR($AM77=$F$4,$AM77=$F$5),$B$22,0))</f>
        <v>0</v>
      </c>
      <c r="AR77" s="24" cm="1">
        <f t="array" ref="AR77">$G$3+IFERROR(VLOOKUP($AM77,$F$4:$G$7,2,FALSE),0)+VLOOKUP($R77,武学奇术!$A:$ZZ,2,FALSE)+SUM(_xlfn.XLOOKUP($S77:$AL77,增益!$A:$A,增益!$B:$B,0))</f>
        <v>0.3042</v>
      </c>
      <c r="AS77" s="24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4274.25</v>
      </c>
      <c r="AU77" cm="1">
        <f t="array" ref="AU77">$E$10*(1+$AS77)+VLOOKUP($R77,武学奇术!$A:$ZZ,4,FALSE)+SUM(_xlfn.XLOOKUP($S77:$AL77,增益!$A:$A,增益!$D:$D,0))-$I$2</f>
        <v>4274.25</v>
      </c>
      <c r="AV77" s="31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0.3434</v>
      </c>
      <c r="AW77" s="31" cm="1">
        <f t="array" ref="AW77">$G$10+VLOOKUP($R77,武学奇术!$A:$ZZ,7,FALSE)+SUM(_xlfn.XLOOKUP($S77:$AL77,增益!$A:$A,增益!$G:$G,0))</f>
        <v>0.11</v>
      </c>
      <c r="AX77" s="24" cm="1">
        <f t="array" ref="AX77">VLOOKUP($R77,武学奇术!$A:$ZZ,8,FALSE)+SUM(_xlfn.XLOOKUP($S77:$AL77,增益!$A:$A,增益!$H:$H,0))</f>
        <v>0</v>
      </c>
      <c r="AY77">
        <f t="shared" si="13"/>
        <v>0</v>
      </c>
      <c r="AZ77">
        <f t="shared" si="14"/>
        <v>0</v>
      </c>
      <c r="BA77" s="31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1" cm="1">
        <f t="array" ref="BB77">$G$11+VLOOKUP($R77,武学奇术!$A:$ZZ,10,FALSE)+SUM(_xlfn.XLOOKUP($S77:$AL77,增益!$A:$A,增益!$J:$J,0))</f>
        <v>0.02</v>
      </c>
      <c r="BC77">
        <f t="shared" si="15"/>
        <v>0</v>
      </c>
      <c r="BD77">
        <f t="shared" si="16"/>
        <v>0</v>
      </c>
      <c r="BE77" s="31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1" cm="1">
        <f t="array" ref="BF77">$G$12+VLOOKUP($R77,武学奇术!$A:$ZZ,12,FALSE)+SUM(_xlfn.XLOOKUP($S77:$AL77,增益!$A:$A,增益!$L:$L,0))</f>
        <v>0.02</v>
      </c>
      <c r="BG77">
        <f t="shared" si="17"/>
        <v>0</v>
      </c>
      <c r="BH77">
        <f t="shared" si="18"/>
        <v>0</v>
      </c>
      <c r="BI77" s="31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1" cm="1">
        <f t="array" ref="BJ77">$G$13+VLOOKUP($R77,武学奇术!$A:$ZZ,14,FALSE)+SUM(_xlfn.XLOOKUP($S77:$AL77,增益!$A:$A,增益!$N:$N,0))</f>
        <v>0.02</v>
      </c>
      <c r="BK77">
        <f t="shared" si="19"/>
        <v>649.11</v>
      </c>
      <c r="BL77">
        <f t="shared" si="20"/>
        <v>1812.09</v>
      </c>
      <c r="BM77" s="31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1" cm="1">
        <f t="array" ref="BN77">$G$14+VLOOKUP($R77,武学奇术!$A:$ZZ,16,FALSE)+SUM(_xlfn.XLOOKUP($S77:$AL77,增益!$A:$A,增益!$P:$P,0))</f>
        <v>0.26</v>
      </c>
      <c r="BO77" s="24">
        <f>MIN(IF(VLOOKUP($R77,武学奇术!$A:$ZZ,23,FALSE)=1,100%,$B$8),100%)</f>
        <v>0.9943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0.8985</v>
      </c>
      <c r="BQ77" s="24" cm="1">
        <f t="array" ref="BQ77">1+$B$13+VLOOKUP($R77,武学奇术!$A:$ZZ,18,FALSE)+SUM(_xlfn.XLOOKUP($S77:$AL77,增益!$A:$A,增益!$R:$R,0))</f>
        <v>1.99</v>
      </c>
      <c r="BR77" s="24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4" cm="1">
        <f t="array" ref="BS77">1+$B$14+VLOOKUP($R77,武学奇术!$A:$ZZ,20,FALSE)+SUM(_xlfn.XLOOKUP($S77:$AL77,增益!$A:$A,增益!$T:$T,0))</f>
        <v>1.35</v>
      </c>
      <c r="BT77" s="24">
        <f t="shared" si="21"/>
        <v>0.89337855</v>
      </c>
      <c r="BU77" s="24">
        <f t="shared" si="22"/>
        <v>0.01014186</v>
      </c>
      <c r="BV77" s="24">
        <f>IF(VLOOKUP($R77,武学奇术!$A:$ZZ,22,FALSE)=1,0,(1-$BO77))*(1-$BR77)</f>
        <v>0.00517959000000003</v>
      </c>
      <c r="BW77" s="24" cm="1">
        <f t="array" ref="BW77">SUM(_xlfn.XLOOKUP($S77:$AL77,增益!$A:$A,增益!$W:$W,0))+$I$5</f>
        <v>0.21</v>
      </c>
      <c r="BX77" s="24">
        <f>VLOOKUP($R77,武学奇术!$A:$ZZ,32,FALSE)</f>
        <v>0</v>
      </c>
      <c r="BY77" s="24" cm="1">
        <f t="array" ref="BY77">SUM(_xlfn.XLOOKUP($S77:$AL77,增益!$A:$A,增益!$X:$X,0))</f>
        <v>0</v>
      </c>
    </row>
    <row r="78" spans="1:77">
      <c r="A78" s="4"/>
      <c r="B78" s="4"/>
      <c r="K78" s="37">
        <f>$L78*VLOOKUP($R78,武学奇术!$A:$ZZ,31,FALSE)</f>
        <v>65181.1645964148</v>
      </c>
      <c r="L78" s="37">
        <f t="shared" si="23"/>
        <v>65181.1645964148</v>
      </c>
      <c r="M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*(1+$BX78)</f>
        <v>67178.9300222462</v>
      </c>
      <c r="N78" s="37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*(1+$BX78)</f>
        <v>51139.9849384892</v>
      </c>
      <c r="O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*(1+$BX78)</f>
        <v>33758.2562925861</v>
      </c>
      <c r="P78" s="37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*(1+$BX78)</f>
        <v>29635.0422603653</v>
      </c>
      <c r="Q78" s="38">
        <v>1</v>
      </c>
      <c r="R78" s="39" t="s">
        <v>78</v>
      </c>
      <c r="S78" s="39" t="s">
        <v>104</v>
      </c>
      <c r="T78" s="39" t="s">
        <v>194</v>
      </c>
      <c r="U78" s="39" t="s">
        <v>81</v>
      </c>
      <c r="V78" s="39" t="s">
        <v>130</v>
      </c>
      <c r="W78" s="39" t="s">
        <v>83</v>
      </c>
      <c r="X78" s="39" t="s">
        <v>84</v>
      </c>
      <c r="Y78" s="39" t="s">
        <v>84</v>
      </c>
      <c r="Z78" s="39" t="s">
        <v>195</v>
      </c>
      <c r="AA78" s="39" t="s">
        <v>84</v>
      </c>
      <c r="AB78" s="39" t="s">
        <v>204</v>
      </c>
      <c r="AC78" s="39" t="s">
        <v>84</v>
      </c>
      <c r="AD78" s="39" t="s">
        <v>93</v>
      </c>
      <c r="AE78" s="39" t="s">
        <v>84</v>
      </c>
      <c r="AF78" s="39" t="s">
        <v>88</v>
      </c>
      <c r="AG78" s="39" t="s">
        <v>94</v>
      </c>
      <c r="AH78" s="39" t="s">
        <v>84</v>
      </c>
      <c r="AI78" s="39" t="s">
        <v>84</v>
      </c>
      <c r="AJ78" s="39" t="s">
        <v>84</v>
      </c>
      <c r="AK78" s="39" t="s">
        <v>84</v>
      </c>
      <c r="AL78" s="39" t="s">
        <v>84</v>
      </c>
      <c r="AM78" t="str">
        <f>VLOOKUP($R78,武学奇术!$A:$ZZ,25,FALSE)</f>
        <v>群体奇术</v>
      </c>
      <c r="AN78" s="24">
        <f>VLOOKUP($R78,武学奇术!$A:$ZZ,26,FALSE)</f>
        <v>2.3774</v>
      </c>
      <c r="AO78" s="25">
        <f>VLOOKUP($R78,武学奇术!$A:$ZZ,27,FALSE)*(1+IF(OR($AM78=$F$4,$AM78=$F$5),$B$22,0))</f>
        <v>476</v>
      </c>
      <c r="AP78" s="24">
        <f>VLOOKUP($R78,武学奇术!$A:$ZZ,28,FALSE)</f>
        <v>3.5661</v>
      </c>
      <c r="AQ78" s="25">
        <f>VLOOKUP($R78,武学奇术!$A:$ZZ,29,FALSE)*(1+IF(OR($AM78=$F$4,$AM78=$F$5),$B$22,0))</f>
        <v>0</v>
      </c>
      <c r="AR78" s="24" cm="1">
        <f t="array" ref="AR78">$G$3+IFERROR(VLOOKUP($AM78,$F$4:$G$7,2,FALSE),0)+VLOOKUP($R78,武学奇术!$A:$ZZ,2,FALSE)+SUM(_xlfn.XLOOKUP($S78:$AL78,增益!$A:$A,增益!$B:$B,0))</f>
        <v>0.3042</v>
      </c>
      <c r="AS78" s="24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4274.25</v>
      </c>
      <c r="AU78" cm="1">
        <f t="array" ref="AU78">$E$10*(1+$AS78)+VLOOKUP($R78,武学奇术!$A:$ZZ,4,FALSE)+SUM(_xlfn.XLOOKUP($S78:$AL78,增益!$A:$A,增益!$D:$D,0))-$I$2</f>
        <v>4274.25</v>
      </c>
      <c r="AV78" s="31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0.3434</v>
      </c>
      <c r="AW78" s="31" cm="1">
        <f t="array" ref="AW78">$G$10+VLOOKUP($R78,武学奇术!$A:$ZZ,7,FALSE)+SUM(_xlfn.XLOOKUP($S78:$AL78,增益!$A:$A,增益!$G:$G,0))</f>
        <v>0.11</v>
      </c>
      <c r="AX78" s="24" cm="1">
        <f t="array" ref="AX78">VLOOKUP($R78,武学奇术!$A:$ZZ,8,FALSE)+SUM(_xlfn.XLOOKUP($S78:$AL78,增益!$A:$A,增益!$H:$H,0))</f>
        <v>0</v>
      </c>
      <c r="AY78">
        <f t="shared" si="13"/>
        <v>0</v>
      </c>
      <c r="AZ78">
        <f t="shared" si="14"/>
        <v>0</v>
      </c>
      <c r="BA78" s="31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1" cm="1">
        <f t="array" ref="BB78">$G$11+VLOOKUP($R78,武学奇术!$A:$ZZ,10,FALSE)+SUM(_xlfn.XLOOKUP($S78:$AL78,增益!$A:$A,增益!$J:$J,0))</f>
        <v>0.02</v>
      </c>
      <c r="BC78">
        <f t="shared" si="15"/>
        <v>0</v>
      </c>
      <c r="BD78">
        <f t="shared" si="16"/>
        <v>0</v>
      </c>
      <c r="BE78" s="31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1" cm="1">
        <f t="array" ref="BF78">$G$12+VLOOKUP($R78,武学奇术!$A:$ZZ,12,FALSE)+SUM(_xlfn.XLOOKUP($S78:$AL78,增益!$A:$A,增益!$L:$L,0))</f>
        <v>0.02</v>
      </c>
      <c r="BG78">
        <f t="shared" si="17"/>
        <v>0</v>
      </c>
      <c r="BH78">
        <f t="shared" si="18"/>
        <v>0</v>
      </c>
      <c r="BI78" s="31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1" cm="1">
        <f t="array" ref="BJ78">$G$13+VLOOKUP($R78,武学奇术!$A:$ZZ,14,FALSE)+SUM(_xlfn.XLOOKUP($S78:$AL78,增益!$A:$A,增益!$N:$N,0))</f>
        <v>0.02</v>
      </c>
      <c r="BK78">
        <f t="shared" si="19"/>
        <v>649.11</v>
      </c>
      <c r="BL78">
        <f t="shared" si="20"/>
        <v>1812.09</v>
      </c>
      <c r="BM78" s="31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1" cm="1">
        <f t="array" ref="BN78">$G$14+VLOOKUP($R78,武学奇术!$A:$ZZ,16,FALSE)+SUM(_xlfn.XLOOKUP($S78:$AL78,增益!$A:$A,增益!$P:$P,0))</f>
        <v>0.26</v>
      </c>
      <c r="BO78" s="24">
        <f>MIN(IF(VLOOKUP($R78,武学奇术!$A:$ZZ,23,FALSE)=1,100%,$B$8),100%)</f>
        <v>0.9943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0.8985</v>
      </c>
      <c r="BQ78" s="24" cm="1">
        <f t="array" ref="BQ78">1+$B$13+VLOOKUP($R78,武学奇术!$A:$ZZ,18,FALSE)+SUM(_xlfn.XLOOKUP($S78:$AL78,增益!$A:$A,增益!$R:$R,0))</f>
        <v>1.99</v>
      </c>
      <c r="BR78" s="24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4" cm="1">
        <f t="array" ref="BS78">1+$B$14+VLOOKUP($R78,武学奇术!$A:$ZZ,20,FALSE)+SUM(_xlfn.XLOOKUP($S78:$AL78,增益!$A:$A,增益!$T:$T,0))</f>
        <v>1.35</v>
      </c>
      <c r="BT78" s="24">
        <f t="shared" si="21"/>
        <v>0.89337855</v>
      </c>
      <c r="BU78" s="24">
        <f t="shared" si="22"/>
        <v>0.01014186</v>
      </c>
      <c r="BV78" s="24">
        <f>IF(VLOOKUP($R78,武学奇术!$A:$ZZ,22,FALSE)=1,0,(1-$BO78))*(1-$BR78)</f>
        <v>0.00517959000000003</v>
      </c>
      <c r="BW78" s="24" cm="1">
        <f t="array" ref="BW78">SUM(_xlfn.XLOOKUP($S78:$AL78,增益!$A:$A,增益!$W:$W,0))+$I$5</f>
        <v>0.21</v>
      </c>
      <c r="BX78" s="24">
        <f>VLOOKUP($R78,武学奇术!$A:$ZZ,32,FALSE)</f>
        <v>0</v>
      </c>
      <c r="BY78" s="24" cm="1">
        <f t="array" ref="BY78">SUM(_xlfn.XLOOKUP($S78:$AL78,增益!$A:$A,增益!$X:$X,0))</f>
        <v>0</v>
      </c>
    </row>
    <row r="79" spans="1:77">
      <c r="A79" s="4"/>
      <c r="B79" s="4"/>
      <c r="K79" s="37">
        <f>$L79*VLOOKUP($R79,武学奇术!$A:$ZZ,31,FALSE)</f>
        <v>65181.1645964148</v>
      </c>
      <c r="L79" s="37">
        <f t="shared" si="23"/>
        <v>65181.1645964148</v>
      </c>
      <c r="M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*(1+$BX79)</f>
        <v>67178.9300222462</v>
      </c>
      <c r="N79" s="37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*(1+$BX79)</f>
        <v>51139.9849384892</v>
      </c>
      <c r="O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*(1+$BX79)</f>
        <v>33758.2562925861</v>
      </c>
      <c r="P79" s="37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*(1+$BX79)</f>
        <v>29635.0422603653</v>
      </c>
      <c r="Q79" s="38">
        <v>1</v>
      </c>
      <c r="R79" s="39" t="s">
        <v>78</v>
      </c>
      <c r="S79" s="39" t="s">
        <v>104</v>
      </c>
      <c r="T79" s="39" t="s">
        <v>194</v>
      </c>
      <c r="U79" s="39" t="s">
        <v>81</v>
      </c>
      <c r="V79" s="39" t="s">
        <v>130</v>
      </c>
      <c r="W79" s="39" t="s">
        <v>83</v>
      </c>
      <c r="X79" s="39" t="s">
        <v>84</v>
      </c>
      <c r="Y79" s="39" t="s">
        <v>84</v>
      </c>
      <c r="Z79" s="39" t="s">
        <v>195</v>
      </c>
      <c r="AA79" s="39" t="s">
        <v>84</v>
      </c>
      <c r="AB79" s="39" t="s">
        <v>204</v>
      </c>
      <c r="AC79" s="39" t="s">
        <v>84</v>
      </c>
      <c r="AD79" s="39" t="s">
        <v>93</v>
      </c>
      <c r="AE79" s="39" t="s">
        <v>84</v>
      </c>
      <c r="AF79" s="39" t="s">
        <v>88</v>
      </c>
      <c r="AG79" s="39" t="s">
        <v>94</v>
      </c>
      <c r="AH79" s="39" t="s">
        <v>84</v>
      </c>
      <c r="AI79" s="39" t="s">
        <v>84</v>
      </c>
      <c r="AJ79" s="39" t="s">
        <v>84</v>
      </c>
      <c r="AK79" s="39" t="s">
        <v>84</v>
      </c>
      <c r="AL79" s="39" t="s">
        <v>84</v>
      </c>
      <c r="AM79" t="str">
        <f>VLOOKUP($R79,武学奇术!$A:$ZZ,25,FALSE)</f>
        <v>群体奇术</v>
      </c>
      <c r="AN79" s="24">
        <f>VLOOKUP($R79,武学奇术!$A:$ZZ,26,FALSE)</f>
        <v>2.3774</v>
      </c>
      <c r="AO79" s="25">
        <f>VLOOKUP($R79,武学奇术!$A:$ZZ,27,FALSE)*(1+IF(OR($AM79=$F$4,$AM79=$F$5),$B$22,0))</f>
        <v>476</v>
      </c>
      <c r="AP79" s="24">
        <f>VLOOKUP($R79,武学奇术!$A:$ZZ,28,FALSE)</f>
        <v>3.5661</v>
      </c>
      <c r="AQ79" s="25">
        <f>VLOOKUP($R79,武学奇术!$A:$ZZ,29,FALSE)*(1+IF(OR($AM79=$F$4,$AM79=$F$5),$B$22,0))</f>
        <v>0</v>
      </c>
      <c r="AR79" s="24" cm="1">
        <f t="array" ref="AR79">$G$3+IFERROR(VLOOKUP($AM79,$F$4:$G$7,2,FALSE),0)+VLOOKUP($R79,武学奇术!$A:$ZZ,2,FALSE)+SUM(_xlfn.XLOOKUP($S79:$AL79,增益!$A:$A,增益!$B:$B,0))</f>
        <v>0.3042</v>
      </c>
      <c r="AS79" s="24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4274.25</v>
      </c>
      <c r="AU79" cm="1">
        <f t="array" ref="AU79">$E$10*(1+$AS79)+VLOOKUP($R79,武学奇术!$A:$ZZ,4,FALSE)+SUM(_xlfn.XLOOKUP($S79:$AL79,增益!$A:$A,增益!$D:$D,0))-$I$2</f>
        <v>4274.25</v>
      </c>
      <c r="AV79" s="31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0.3434</v>
      </c>
      <c r="AW79" s="31" cm="1">
        <f t="array" ref="AW79">$G$10+VLOOKUP($R79,武学奇术!$A:$ZZ,7,FALSE)+SUM(_xlfn.XLOOKUP($S79:$AL79,增益!$A:$A,增益!$G:$G,0))</f>
        <v>0.11</v>
      </c>
      <c r="AX79" s="24" cm="1">
        <f t="array" ref="AX79">VLOOKUP($R79,武学奇术!$A:$ZZ,8,FALSE)+SUM(_xlfn.XLOOKUP($S79:$AL79,增益!$A:$A,增益!$H:$H,0))</f>
        <v>0</v>
      </c>
      <c r="AY79">
        <f t="shared" si="13"/>
        <v>0</v>
      </c>
      <c r="AZ79">
        <f t="shared" si="14"/>
        <v>0</v>
      </c>
      <c r="BA79" s="31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1" cm="1">
        <f t="array" ref="BB79">$G$11+VLOOKUP($R79,武学奇术!$A:$ZZ,10,FALSE)+SUM(_xlfn.XLOOKUP($S79:$AL79,增益!$A:$A,增益!$J:$J,0))</f>
        <v>0.02</v>
      </c>
      <c r="BC79">
        <f t="shared" si="15"/>
        <v>0</v>
      </c>
      <c r="BD79">
        <f t="shared" si="16"/>
        <v>0</v>
      </c>
      <c r="BE79" s="31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1" cm="1">
        <f t="array" ref="BF79">$G$12+VLOOKUP($R79,武学奇术!$A:$ZZ,12,FALSE)+SUM(_xlfn.XLOOKUP($S79:$AL79,增益!$A:$A,增益!$L:$L,0))</f>
        <v>0.02</v>
      </c>
      <c r="BG79">
        <f t="shared" si="17"/>
        <v>0</v>
      </c>
      <c r="BH79">
        <f t="shared" si="18"/>
        <v>0</v>
      </c>
      <c r="BI79" s="31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1" cm="1">
        <f t="array" ref="BJ79">$G$13+VLOOKUP($R79,武学奇术!$A:$ZZ,14,FALSE)+SUM(_xlfn.XLOOKUP($S79:$AL79,增益!$A:$A,增益!$N:$N,0))</f>
        <v>0.02</v>
      </c>
      <c r="BK79">
        <f t="shared" si="19"/>
        <v>649.11</v>
      </c>
      <c r="BL79">
        <f t="shared" si="20"/>
        <v>1812.09</v>
      </c>
      <c r="BM79" s="31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1" cm="1">
        <f t="array" ref="BN79">$G$14+VLOOKUP($R79,武学奇术!$A:$ZZ,16,FALSE)+SUM(_xlfn.XLOOKUP($S79:$AL79,增益!$A:$A,增益!$P:$P,0))</f>
        <v>0.26</v>
      </c>
      <c r="BO79" s="24">
        <f>MIN(IF(VLOOKUP($R79,武学奇术!$A:$ZZ,23,FALSE)=1,100%,$B$8),100%)</f>
        <v>0.9943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0.8985</v>
      </c>
      <c r="BQ79" s="24" cm="1">
        <f t="array" ref="BQ79">1+$B$13+VLOOKUP($R79,武学奇术!$A:$ZZ,18,FALSE)+SUM(_xlfn.XLOOKUP($S79:$AL79,增益!$A:$A,增益!$R:$R,0))</f>
        <v>1.99</v>
      </c>
      <c r="BR79" s="24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4" cm="1">
        <f t="array" ref="BS79">1+$B$14+VLOOKUP($R79,武学奇术!$A:$ZZ,20,FALSE)+SUM(_xlfn.XLOOKUP($S79:$AL79,增益!$A:$A,增益!$T:$T,0))</f>
        <v>1.35</v>
      </c>
      <c r="BT79" s="24">
        <f t="shared" si="21"/>
        <v>0.89337855</v>
      </c>
      <c r="BU79" s="24">
        <f t="shared" si="22"/>
        <v>0.01014186</v>
      </c>
      <c r="BV79" s="24">
        <f>IF(VLOOKUP($R79,武学奇术!$A:$ZZ,22,FALSE)=1,0,(1-$BO79))*(1-$BR79)</f>
        <v>0.00517959000000003</v>
      </c>
      <c r="BW79" s="24" cm="1">
        <f t="array" ref="BW79">SUM(_xlfn.XLOOKUP($S79:$AL79,增益!$A:$A,增益!$W:$W,0))+$I$5</f>
        <v>0.21</v>
      </c>
      <c r="BX79" s="24">
        <f>VLOOKUP($R79,武学奇术!$A:$ZZ,32,FALSE)</f>
        <v>0</v>
      </c>
      <c r="BY79" s="24" cm="1">
        <f t="array" ref="BY79">SUM(_xlfn.XLOOKUP($S79:$AL79,增益!$A:$A,增益!$X:$X,0))</f>
        <v>0</v>
      </c>
    </row>
    <row r="80" spans="1:77">
      <c r="A80" s="4"/>
      <c r="B80" s="90"/>
      <c r="K80" s="37">
        <f>$L80*VLOOKUP($R80,武学奇术!$A:$ZZ,31,FALSE)</f>
        <v>206455.145358764</v>
      </c>
      <c r="L80" s="37">
        <f t="shared" si="23"/>
        <v>206455.145358764</v>
      </c>
      <c r="M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*(1+$BX80)</f>
        <v>215075.517633639</v>
      </c>
      <c r="N80" s="37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*(1+$BX80)</f>
        <v>140989.148636489</v>
      </c>
      <c r="O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*(1+$BX80)</f>
        <v>93919.4400146894</v>
      </c>
      <c r="P80" s="37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*(1+$BX80)</f>
        <v>83402.4736319799</v>
      </c>
      <c r="Q80" s="38">
        <v>1</v>
      </c>
      <c r="R80" s="39" t="s">
        <v>157</v>
      </c>
      <c r="S80" s="39" t="s">
        <v>104</v>
      </c>
      <c r="T80" s="39" t="s">
        <v>194</v>
      </c>
      <c r="U80" s="39" t="s">
        <v>81</v>
      </c>
      <c r="V80" s="39" t="s">
        <v>130</v>
      </c>
      <c r="W80" s="39" t="s">
        <v>83</v>
      </c>
      <c r="X80" s="39" t="s">
        <v>84</v>
      </c>
      <c r="Y80" s="39" t="s">
        <v>84</v>
      </c>
      <c r="Z80" s="39" t="s">
        <v>84</v>
      </c>
      <c r="AA80" s="39" t="s">
        <v>84</v>
      </c>
      <c r="AB80" s="39" t="s">
        <v>204</v>
      </c>
      <c r="AC80" s="39" t="s">
        <v>84</v>
      </c>
      <c r="AD80" s="39" t="s">
        <v>93</v>
      </c>
      <c r="AE80" s="39" t="s">
        <v>84</v>
      </c>
      <c r="AF80" s="39" t="s">
        <v>88</v>
      </c>
      <c r="AG80" s="39" t="s">
        <v>94</v>
      </c>
      <c r="AH80" s="39" t="s">
        <v>84</v>
      </c>
      <c r="AI80" s="39" t="s">
        <v>84</v>
      </c>
      <c r="AJ80" s="39" t="s">
        <v>84</v>
      </c>
      <c r="AK80" s="39" t="s">
        <v>84</v>
      </c>
      <c r="AL80" s="39" t="s">
        <v>84</v>
      </c>
      <c r="AM80" t="str">
        <f>VLOOKUP($R80,武学奇术!$A:$ZZ,25,FALSE)</f>
        <v>双刀</v>
      </c>
      <c r="AN80" s="24">
        <f>VLOOKUP($R80,武学奇术!$A:$ZZ,26,FALSE)</f>
        <v>2.85516</v>
      </c>
      <c r="AO80" s="25">
        <f>VLOOKUP($R80,武学奇术!$A:$ZZ,27,FALSE)*(1+IF(OR($AM80=$F$4,$AM80=$F$5),$B$22,0))</f>
        <v>1263.36</v>
      </c>
      <c r="AP80" s="24">
        <f>VLOOKUP($R80,武学奇术!$A:$ZZ,28,FALSE)</f>
        <v>4.28274</v>
      </c>
      <c r="AQ80" s="25">
        <f>VLOOKUP($R80,武学奇术!$A:$ZZ,29,FALSE)*(1+IF(OR($AM80=$F$4,$AM80=$F$5),$B$22,0))</f>
        <v>687.68</v>
      </c>
      <c r="AR80" s="24" cm="1">
        <f t="array" ref="AR80">$G$3+IFERROR(VLOOKUP($AM80,$F$4:$G$7,2,FALSE),0)+VLOOKUP($R80,武学奇术!$A:$ZZ,2,FALSE)+SUM(_xlfn.XLOOKUP($S80:$AL80,增益!$A:$A,增益!$B:$B,0))</f>
        <v>0.5243</v>
      </c>
      <c r="AS80" s="24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4274.25</v>
      </c>
      <c r="AU80" cm="1">
        <f t="array" ref="AU80">$E$10*(1+$AS80)+VLOOKUP($R80,武学奇术!$A:$ZZ,4,FALSE)+SUM(_xlfn.XLOOKUP($S80:$AL80,增益!$A:$A,增益!$D:$D,0))-$I$2</f>
        <v>4274.25</v>
      </c>
      <c r="AV80" s="31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0.3434</v>
      </c>
      <c r="AW80" s="31" cm="1">
        <f t="array" ref="AW80">$G$10+VLOOKUP($R80,武学奇术!$A:$ZZ,7,FALSE)+SUM(_xlfn.XLOOKUP($S80:$AL80,增益!$A:$A,增益!$G:$G,0))</f>
        <v>0.11</v>
      </c>
      <c r="AX80" s="24" cm="1">
        <f t="array" ref="AX80">VLOOKUP($R80,武学奇术!$A:$ZZ,8,FALSE)+SUM(_xlfn.XLOOKUP($S80:$AL80,增益!$A:$A,增益!$H:$H,0))</f>
        <v>0</v>
      </c>
      <c r="AY80">
        <f t="shared" si="13"/>
        <v>0</v>
      </c>
      <c r="AZ80">
        <f t="shared" si="14"/>
        <v>0</v>
      </c>
      <c r="BA80" s="31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1" cm="1">
        <f t="array" ref="BB80">$G$11+VLOOKUP($R80,武学奇术!$A:$ZZ,10,FALSE)+SUM(_xlfn.XLOOKUP($S80:$AL80,增益!$A:$A,增益!$J:$J,0))</f>
        <v>0.02</v>
      </c>
      <c r="BC80">
        <f t="shared" si="15"/>
        <v>0</v>
      </c>
      <c r="BD80">
        <f t="shared" si="16"/>
        <v>0</v>
      </c>
      <c r="BE80" s="31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1" cm="1">
        <f t="array" ref="BF80">$G$12+VLOOKUP($R80,武学奇术!$A:$ZZ,12,FALSE)+SUM(_xlfn.XLOOKUP($S80:$AL80,增益!$A:$A,增益!$L:$L,0))</f>
        <v>0.02</v>
      </c>
      <c r="BG80">
        <f t="shared" si="17"/>
        <v>0</v>
      </c>
      <c r="BH80">
        <f t="shared" si="18"/>
        <v>0</v>
      </c>
      <c r="BI80" s="31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1" cm="1">
        <f t="array" ref="BJ80">$G$13+VLOOKUP($R80,武学奇术!$A:$ZZ,14,FALSE)+SUM(_xlfn.XLOOKUP($S80:$AL80,增益!$A:$A,增益!$N:$N,0))</f>
        <v>0.02</v>
      </c>
      <c r="BK80">
        <f t="shared" si="19"/>
        <v>649.11</v>
      </c>
      <c r="BL80">
        <f t="shared" si="20"/>
        <v>1812.09</v>
      </c>
      <c r="BM80" s="31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</v>
      </c>
      <c r="BN80" s="31" cm="1">
        <f t="array" ref="BN80">$G$14+VLOOKUP($R80,武学奇术!$A:$ZZ,16,FALSE)+SUM(_xlfn.XLOOKUP($S80:$AL80,增益!$A:$A,增益!$P:$P,0))</f>
        <v>0.26</v>
      </c>
      <c r="BO80" s="24">
        <f>MIN(IF(VLOOKUP($R80,武学奇术!$A:$ZZ,23,FALSE)=1,100%,$B$8),100%)</f>
        <v>0.9943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0.8985</v>
      </c>
      <c r="BQ80" s="24" cm="1">
        <f t="array" ref="BQ80">1+$B$13+VLOOKUP($R80,武学奇术!$A:$ZZ,18,FALSE)+SUM(_xlfn.XLOOKUP($S80:$AL80,增益!$A:$A,增益!$R:$R,0))</f>
        <v>2.29</v>
      </c>
      <c r="BR80" s="24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4" cm="1">
        <f t="array" ref="BS80">1+$B$14+VLOOKUP($R80,武学奇术!$A:$ZZ,20,FALSE)+SUM(_xlfn.XLOOKUP($S80:$AL80,增益!$A:$A,增益!$T:$T,0))</f>
        <v>1.35</v>
      </c>
      <c r="BT80" s="24">
        <f t="shared" si="21"/>
        <v>0.89337855</v>
      </c>
      <c r="BU80" s="24">
        <f t="shared" si="22"/>
        <v>0.0153214500000001</v>
      </c>
      <c r="BV80" s="24">
        <f>IF(VLOOKUP($R80,武学奇术!$A:$ZZ,22,FALSE)=1,0,(1-$BO80))*(1-$BR80)</f>
        <v>0</v>
      </c>
      <c r="BW80" s="24" cm="1">
        <f t="array" ref="BW80">SUM(_xlfn.XLOOKUP($S80:$AL80,增益!$A:$A,增益!$W:$W,0))+$I$5</f>
        <v>0.11</v>
      </c>
      <c r="BX80" s="24">
        <f>VLOOKUP($R80,武学奇术!$A:$ZZ,32,FALSE)</f>
        <v>0.5</v>
      </c>
      <c r="BY80" s="24" cm="1">
        <f t="array" ref="BY80">SUM(_xlfn.XLOOKUP($S80:$AL80,增益!$A:$A,增益!$X:$X,0))</f>
        <v>0</v>
      </c>
    </row>
    <row r="81" spans="1:77">
      <c r="K81" s="37">
        <f>$L81*VLOOKUP($R81,武学奇术!$A:$ZZ,31,FALSE)</f>
        <v>275225.672921113</v>
      </c>
      <c r="L81" s="37">
        <f t="shared" si="23"/>
        <v>275225.672921113</v>
      </c>
      <c r="M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*(1+$BX81)</f>
        <v>286717.367209769</v>
      </c>
      <c r="N81" s="37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*(1+$BX81)</f>
        <v>187954.20516184</v>
      </c>
      <c r="O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*(1+$BX81)</f>
        <v>125204.090484615</v>
      </c>
      <c r="P81" s="37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*(1+$BX81)</f>
        <v>111182.843812312</v>
      </c>
      <c r="Q81" s="38">
        <v>1</v>
      </c>
      <c r="R81" s="39" t="s">
        <v>163</v>
      </c>
      <c r="S81" s="39" t="s">
        <v>104</v>
      </c>
      <c r="T81" s="39" t="s">
        <v>194</v>
      </c>
      <c r="U81" s="39" t="s">
        <v>81</v>
      </c>
      <c r="V81" s="39" t="s">
        <v>130</v>
      </c>
      <c r="W81" s="39" t="s">
        <v>83</v>
      </c>
      <c r="X81" s="39" t="s">
        <v>84</v>
      </c>
      <c r="Y81" s="39" t="s">
        <v>84</v>
      </c>
      <c r="Z81" s="39" t="s">
        <v>84</v>
      </c>
      <c r="AA81" s="39" t="s">
        <v>84</v>
      </c>
      <c r="AB81" s="39" t="s">
        <v>204</v>
      </c>
      <c r="AC81" s="39" t="s">
        <v>84</v>
      </c>
      <c r="AD81" s="39" t="s">
        <v>93</v>
      </c>
      <c r="AE81" s="39" t="s">
        <v>84</v>
      </c>
      <c r="AF81" s="39" t="s">
        <v>88</v>
      </c>
      <c r="AG81" s="39" t="s">
        <v>94</v>
      </c>
      <c r="AH81" s="39" t="s">
        <v>84</v>
      </c>
      <c r="AI81" s="39" t="s">
        <v>84</v>
      </c>
      <c r="AJ81" s="39" t="s">
        <v>84</v>
      </c>
      <c r="AK81" s="39" t="s">
        <v>84</v>
      </c>
      <c r="AL81" s="39" t="s">
        <v>84</v>
      </c>
      <c r="AM81" t="str">
        <f>VLOOKUP($R81,武学奇术!$A:$ZZ,25,FALSE)</f>
        <v>双刀</v>
      </c>
      <c r="AN81" s="24">
        <f>VLOOKUP($R81,武学奇术!$A:$ZZ,26,FALSE)</f>
        <v>3.80688</v>
      </c>
      <c r="AO81" s="25">
        <f>VLOOKUP($R81,武学奇术!$A:$ZZ,27,FALSE)*(1+IF(OR($AM81=$F$4,$AM81=$F$5),$B$22,0))</f>
        <v>1684.48</v>
      </c>
      <c r="AP81" s="24">
        <f>VLOOKUP($R81,武学奇术!$A:$ZZ,28,FALSE)</f>
        <v>5.70976</v>
      </c>
      <c r="AQ81" s="25">
        <f>VLOOKUP($R81,武学奇术!$A:$ZZ,29,FALSE)*(1+IF(OR($AM81=$F$4,$AM81=$F$5),$B$22,0))</f>
        <v>913.92</v>
      </c>
      <c r="AR81" s="24" cm="1">
        <f t="array" ref="AR81">$G$3+IFERROR(VLOOKUP($AM81,$F$4:$G$7,2,FALSE),0)+VLOOKUP($R81,武学奇术!$A:$ZZ,2,FALSE)+SUM(_xlfn.XLOOKUP($S81:$AL81,增益!$A:$A,增益!$B:$B,0))</f>
        <v>0.5243</v>
      </c>
      <c r="AS81" s="24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4274.25</v>
      </c>
      <c r="AU81" cm="1">
        <f t="array" ref="AU81">$E$10*(1+$AS81)+VLOOKUP($R81,武学奇术!$A:$ZZ,4,FALSE)+SUM(_xlfn.XLOOKUP($S81:$AL81,增益!$A:$A,增益!$D:$D,0))-$I$2</f>
        <v>4274.25</v>
      </c>
      <c r="AV81" s="31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0.3434</v>
      </c>
      <c r="AW81" s="31" cm="1">
        <f t="array" ref="AW81">$G$10+VLOOKUP($R81,武学奇术!$A:$ZZ,7,FALSE)+SUM(_xlfn.XLOOKUP($S81:$AL81,增益!$A:$A,增益!$G:$G,0))</f>
        <v>0.11</v>
      </c>
      <c r="AX81" s="24" cm="1">
        <f t="array" ref="AX81">VLOOKUP($R81,武学奇术!$A:$ZZ,8,FALSE)+SUM(_xlfn.XLOOKUP($S81:$AL81,增益!$A:$A,增益!$H:$H,0))</f>
        <v>0</v>
      </c>
      <c r="AY81">
        <f t="shared" si="13"/>
        <v>0</v>
      </c>
      <c r="AZ81">
        <f t="shared" si="14"/>
        <v>0</v>
      </c>
      <c r="BA81" s="31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1" cm="1">
        <f t="array" ref="BB81">$G$11+VLOOKUP($R81,武学奇术!$A:$ZZ,10,FALSE)+SUM(_xlfn.XLOOKUP($S81:$AL81,增益!$A:$A,增益!$J:$J,0))</f>
        <v>0.02</v>
      </c>
      <c r="BC81">
        <f t="shared" si="15"/>
        <v>0</v>
      </c>
      <c r="BD81">
        <f t="shared" si="16"/>
        <v>0</v>
      </c>
      <c r="BE81" s="31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1" cm="1">
        <f t="array" ref="BF81">$G$12+VLOOKUP($R81,武学奇术!$A:$ZZ,12,FALSE)+SUM(_xlfn.XLOOKUP($S81:$AL81,增益!$A:$A,增益!$L:$L,0))</f>
        <v>0.02</v>
      </c>
      <c r="BG81">
        <f t="shared" si="17"/>
        <v>0</v>
      </c>
      <c r="BH81">
        <f t="shared" si="18"/>
        <v>0</v>
      </c>
      <c r="BI81" s="31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-0.3</v>
      </c>
      <c r="BJ81" s="31" cm="1">
        <f t="array" ref="BJ81">$G$13+VLOOKUP($R81,武学奇术!$A:$ZZ,14,FALSE)+SUM(_xlfn.XLOOKUP($S81:$AL81,增益!$A:$A,增益!$N:$N,0))</f>
        <v>0.02</v>
      </c>
      <c r="BK81">
        <f t="shared" si="19"/>
        <v>649.11</v>
      </c>
      <c r="BL81">
        <f t="shared" si="20"/>
        <v>1812.09</v>
      </c>
      <c r="BM81" s="31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</v>
      </c>
      <c r="BN81" s="31" cm="1">
        <f t="array" ref="BN81">$G$14+VLOOKUP($R81,武学奇术!$A:$ZZ,16,FALSE)+SUM(_xlfn.XLOOKUP($S81:$AL81,增益!$A:$A,增益!$P:$P,0))</f>
        <v>0.26</v>
      </c>
      <c r="BO81" s="24">
        <f>MIN(IF(VLOOKUP($R81,武学奇术!$A:$ZZ,23,FALSE)=1,100%,$B$8),100%)</f>
        <v>0.9943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0.8985</v>
      </c>
      <c r="BQ81" s="24" cm="1">
        <f t="array" ref="BQ81">1+$B$13+VLOOKUP($R81,武学奇术!$A:$ZZ,18,FALSE)+SUM(_xlfn.XLOOKUP($S81:$AL81,增益!$A:$A,增益!$R:$R,0))</f>
        <v>2.29</v>
      </c>
      <c r="BR81" s="24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4" cm="1">
        <f t="array" ref="BS81">1+$B$14+VLOOKUP($R81,武学奇术!$A:$ZZ,20,FALSE)+SUM(_xlfn.XLOOKUP($S81:$AL81,增益!$A:$A,增益!$T:$T,0))</f>
        <v>1.35</v>
      </c>
      <c r="BT81" s="24">
        <f t="shared" si="21"/>
        <v>0.89337855</v>
      </c>
      <c r="BU81" s="24">
        <f t="shared" si="22"/>
        <v>0.0153214500000001</v>
      </c>
      <c r="BV81" s="24">
        <f>IF(VLOOKUP($R81,武学奇术!$A:$ZZ,22,FALSE)=1,0,(1-$BO81))*(1-$BR81)</f>
        <v>0</v>
      </c>
      <c r="BW81" s="24" cm="1">
        <f t="array" ref="BW81">SUM(_xlfn.XLOOKUP($S81:$AL81,增益!$A:$A,增益!$W:$W,0))+$I$5</f>
        <v>0.11</v>
      </c>
      <c r="BX81" s="24">
        <f>VLOOKUP($R81,武学奇术!$A:$ZZ,32,FALSE)</f>
        <v>0.5</v>
      </c>
      <c r="BY81" s="24" cm="1">
        <f t="array" ref="BY81">SUM(_xlfn.XLOOKUP($S81:$AL81,增益!$A:$A,增益!$X:$X,0))</f>
        <v>0</v>
      </c>
    </row>
    <row r="82" spans="1:77">
      <c r="A82" s="4"/>
      <c r="B82" s="4"/>
      <c r="K82" s="37">
        <f>$L82*VLOOKUP($R82,武学奇术!$A:$ZZ,31,FALSE)</f>
        <v>225054.708003698</v>
      </c>
      <c r="L82" s="37">
        <f t="shared" si="23"/>
        <v>225054.708003698</v>
      </c>
      <c r="M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*(1+$BX82)</f>
        <v>234451.690393426</v>
      </c>
      <c r="N82" s="37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*(1+$BX82)</f>
        <v>153690.873738875</v>
      </c>
      <c r="O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*(1+$BX82)</f>
        <v>102380.650826824</v>
      </c>
      <c r="P82" s="37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*(1+$BX82)</f>
        <v>90916.2099952213</v>
      </c>
      <c r="Q82" s="38">
        <v>1</v>
      </c>
      <c r="R82" s="39" t="s">
        <v>166</v>
      </c>
      <c r="S82" s="39" t="s">
        <v>104</v>
      </c>
      <c r="T82" s="39" t="s">
        <v>194</v>
      </c>
      <c r="U82" s="39" t="s">
        <v>81</v>
      </c>
      <c r="V82" s="39" t="s">
        <v>130</v>
      </c>
      <c r="W82" s="39" t="s">
        <v>83</v>
      </c>
      <c r="X82" s="39" t="s">
        <v>84</v>
      </c>
      <c r="Y82" s="39" t="s">
        <v>84</v>
      </c>
      <c r="Z82" s="39" t="s">
        <v>195</v>
      </c>
      <c r="AA82" s="39" t="s">
        <v>84</v>
      </c>
      <c r="AB82" s="39" t="s">
        <v>204</v>
      </c>
      <c r="AC82" s="39" t="s">
        <v>84</v>
      </c>
      <c r="AD82" s="39" t="s">
        <v>93</v>
      </c>
      <c r="AE82" s="39" t="s">
        <v>84</v>
      </c>
      <c r="AF82" s="39" t="s">
        <v>88</v>
      </c>
      <c r="AG82" s="39" t="s">
        <v>94</v>
      </c>
      <c r="AH82" s="39" t="s">
        <v>84</v>
      </c>
      <c r="AI82" s="39" t="s">
        <v>84</v>
      </c>
      <c r="AJ82" s="39" t="s">
        <v>84</v>
      </c>
      <c r="AK82" s="39" t="s">
        <v>84</v>
      </c>
      <c r="AL82" s="39" t="s">
        <v>84</v>
      </c>
      <c r="AM82" t="str">
        <f>VLOOKUP($R82,武学奇术!$A:$ZZ,25,FALSE)</f>
        <v>双刀</v>
      </c>
      <c r="AN82" s="24">
        <f>VLOOKUP($R82,武学奇术!$A:$ZZ,26,FALSE)</f>
        <v>2.85516</v>
      </c>
      <c r="AO82" s="25">
        <f>VLOOKUP($R82,武学奇术!$A:$ZZ,27,FALSE)*(1+IF(OR($AM82=$F$4,$AM82=$F$5),$B$22,0))</f>
        <v>1263.36</v>
      </c>
      <c r="AP82" s="24">
        <f>VLOOKUP($R82,武学奇术!$A:$ZZ,28,FALSE)</f>
        <v>4.28274</v>
      </c>
      <c r="AQ82" s="25">
        <f>VLOOKUP($R82,武学奇术!$A:$ZZ,29,FALSE)*(1+IF(OR($AM82=$F$4,$AM82=$F$5),$B$22,0))</f>
        <v>687.68</v>
      </c>
      <c r="AR82" s="24" cm="1">
        <f t="array" ref="AR82">$G$3+IFERROR(VLOOKUP($AM82,$F$4:$G$7,2,FALSE),0)+VLOOKUP($R82,武学奇术!$A:$ZZ,2,FALSE)+SUM(_xlfn.XLOOKUP($S82:$AL82,增益!$A:$A,增益!$B:$B,0))</f>
        <v>0.5243</v>
      </c>
      <c r="AS82" s="24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4274.25</v>
      </c>
      <c r="AU82" cm="1">
        <f t="array" ref="AU82">$E$10*(1+$AS82)+VLOOKUP($R82,武学奇术!$A:$ZZ,4,FALSE)+SUM(_xlfn.XLOOKUP($S82:$AL82,增益!$A:$A,增益!$D:$D,0))-$I$2</f>
        <v>4274.25</v>
      </c>
      <c r="AV82" s="31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0.3434</v>
      </c>
      <c r="AW82" s="31" cm="1">
        <f t="array" ref="AW82">$G$10+VLOOKUP($R82,武学奇术!$A:$ZZ,7,FALSE)+SUM(_xlfn.XLOOKUP($S82:$AL82,增益!$A:$A,增益!$G:$G,0))</f>
        <v>0.11</v>
      </c>
      <c r="AX82" s="24" cm="1">
        <f t="array" ref="AX82">VLOOKUP($R82,武学奇术!$A:$ZZ,8,FALSE)+SUM(_xlfn.XLOOKUP($S82:$AL82,增益!$A:$A,增益!$H:$H,0))</f>
        <v>0</v>
      </c>
      <c r="AY82">
        <f t="shared" si="13"/>
        <v>0</v>
      </c>
      <c r="AZ82">
        <f t="shared" si="14"/>
        <v>0</v>
      </c>
      <c r="BA82" s="31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1" cm="1">
        <f t="array" ref="BB82">$G$11+VLOOKUP($R82,武学奇术!$A:$ZZ,10,FALSE)+SUM(_xlfn.XLOOKUP($S82:$AL82,增益!$A:$A,增益!$J:$J,0))</f>
        <v>0.02</v>
      </c>
      <c r="BC82">
        <f t="shared" si="15"/>
        <v>0</v>
      </c>
      <c r="BD82">
        <f t="shared" si="16"/>
        <v>0</v>
      </c>
      <c r="BE82" s="31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1" cm="1">
        <f t="array" ref="BF82">$G$12+VLOOKUP($R82,武学奇术!$A:$ZZ,12,FALSE)+SUM(_xlfn.XLOOKUP($S82:$AL82,增益!$A:$A,增益!$L:$L,0))</f>
        <v>0.02</v>
      </c>
      <c r="BG82">
        <f t="shared" si="17"/>
        <v>0</v>
      </c>
      <c r="BH82">
        <f t="shared" si="18"/>
        <v>0</v>
      </c>
      <c r="BI82" s="31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1" cm="1">
        <f t="array" ref="BJ82">$G$13+VLOOKUP($R82,武学奇术!$A:$ZZ,14,FALSE)+SUM(_xlfn.XLOOKUP($S82:$AL82,增益!$A:$A,增益!$N:$N,0))</f>
        <v>0.02</v>
      </c>
      <c r="BK82">
        <f t="shared" si="19"/>
        <v>649.11</v>
      </c>
      <c r="BL82">
        <f t="shared" si="20"/>
        <v>1812.09</v>
      </c>
      <c r="BM82" s="31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</v>
      </c>
      <c r="BN82" s="31" cm="1">
        <f t="array" ref="BN82">$G$14+VLOOKUP($R82,武学奇术!$A:$ZZ,16,FALSE)+SUM(_xlfn.XLOOKUP($S82:$AL82,增益!$A:$A,增益!$P:$P,0))</f>
        <v>0.26</v>
      </c>
      <c r="BO82" s="24">
        <f>MIN(IF(VLOOKUP($R82,武学奇术!$A:$ZZ,23,FALSE)=1,100%,$B$8),100%)</f>
        <v>0.9943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0.8985</v>
      </c>
      <c r="BQ82" s="24" cm="1">
        <f t="array" ref="BQ82">1+$B$13+VLOOKUP($R82,武学奇术!$A:$ZZ,18,FALSE)+SUM(_xlfn.XLOOKUP($S82:$AL82,增益!$A:$A,增益!$R:$R,0))</f>
        <v>2.29</v>
      </c>
      <c r="BR82" s="24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4" cm="1">
        <f t="array" ref="BS82">1+$B$14+VLOOKUP($R82,武学奇术!$A:$ZZ,20,FALSE)+SUM(_xlfn.XLOOKUP($S82:$AL82,增益!$A:$A,增益!$T:$T,0))</f>
        <v>1.35</v>
      </c>
      <c r="BT82" s="24">
        <f t="shared" si="21"/>
        <v>0.89337855</v>
      </c>
      <c r="BU82" s="24">
        <f t="shared" si="22"/>
        <v>0.0153214500000001</v>
      </c>
      <c r="BV82" s="24">
        <f>IF(VLOOKUP($R82,武学奇术!$A:$ZZ,22,FALSE)=1,0,(1-$BO82))*(1-$BR82)</f>
        <v>0</v>
      </c>
      <c r="BW82" s="24" cm="1">
        <f t="array" ref="BW82">SUM(_xlfn.XLOOKUP($S82:$AL82,增益!$A:$A,增益!$W:$W,0))+$I$5</f>
        <v>0.21</v>
      </c>
      <c r="BX82" s="24">
        <f>VLOOKUP($R82,武学奇术!$A:$ZZ,32,FALSE)</f>
        <v>0.5</v>
      </c>
      <c r="BY82" s="24" cm="1">
        <f t="array" ref="BY82">SUM(_xlfn.XLOOKUP($S82:$AL82,增益!$A:$A,增益!$X:$X,0))</f>
        <v>0</v>
      </c>
    </row>
    <row r="83" spans="1:77">
      <c r="A83" s="4"/>
      <c r="B83" s="90"/>
      <c r="K83" s="37">
        <f>$L83*VLOOKUP($R83,武学奇术!$A:$ZZ,31,FALSE)</f>
        <v>70885.8720951358</v>
      </c>
      <c r="L83" s="37">
        <f t="shared" si="23"/>
        <v>70885.8720951358</v>
      </c>
      <c r="M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*(1+$BX83)</f>
        <v>73845.7189225186</v>
      </c>
      <c r="N83" s="37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*(1+$BX83)</f>
        <v>48407.6605403566</v>
      </c>
      <c r="O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*(1+$BX83)</f>
        <v>32247.0388307941</v>
      </c>
      <c r="P83" s="37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*(1+$BX83)</f>
        <v>28636.5513353982</v>
      </c>
      <c r="Q83" s="38">
        <v>1</v>
      </c>
      <c r="R83" s="39" t="s">
        <v>136</v>
      </c>
      <c r="S83" s="39" t="s">
        <v>104</v>
      </c>
      <c r="T83" s="39" t="s">
        <v>194</v>
      </c>
      <c r="U83" s="39" t="s">
        <v>81</v>
      </c>
      <c r="V83" s="39" t="s">
        <v>130</v>
      </c>
      <c r="W83" s="39" t="s">
        <v>83</v>
      </c>
      <c r="X83" s="39" t="s">
        <v>84</v>
      </c>
      <c r="Y83" s="39" t="s">
        <v>84</v>
      </c>
      <c r="Z83" s="39" t="s">
        <v>195</v>
      </c>
      <c r="AA83" s="39" t="s">
        <v>84</v>
      </c>
      <c r="AB83" s="39" t="s">
        <v>204</v>
      </c>
      <c r="AC83" s="39" t="s">
        <v>84</v>
      </c>
      <c r="AD83" s="39" t="s">
        <v>93</v>
      </c>
      <c r="AE83" s="39" t="s">
        <v>84</v>
      </c>
      <c r="AF83" s="39" t="s">
        <v>88</v>
      </c>
      <c r="AG83" s="39" t="s">
        <v>94</v>
      </c>
      <c r="AH83" s="39" t="s">
        <v>84</v>
      </c>
      <c r="AI83" s="39" t="s">
        <v>84</v>
      </c>
      <c r="AJ83" s="39" t="s">
        <v>84</v>
      </c>
      <c r="AK83" s="39" t="s">
        <v>84</v>
      </c>
      <c r="AL83" s="39" t="s">
        <v>84</v>
      </c>
      <c r="AM83" t="str">
        <f>VLOOKUP($R83,武学奇术!$A:$ZZ,25,FALSE)</f>
        <v>拳甲</v>
      </c>
      <c r="AN83" s="24">
        <f>VLOOKUP($R83,武学奇术!$A:$ZZ,26,FALSE)</f>
        <v>0.9634</v>
      </c>
      <c r="AO83" s="25">
        <f>VLOOKUP($R83,武学奇术!$A:$ZZ,27,FALSE)*(1+IF(OR($AM83=$F$4,$AM83=$F$5),$B$22,0))</f>
        <v>427.2</v>
      </c>
      <c r="AP83" s="24">
        <f>VLOOKUP($R83,武学奇术!$A:$ZZ,28,FALSE)</f>
        <v>1.4451</v>
      </c>
      <c r="AQ83" s="25">
        <f>VLOOKUP($R83,武学奇术!$A:$ZZ,29,FALSE)*(1+IF(OR($AM83=$F$4,$AM83=$F$5),$B$22,0))</f>
        <v>232</v>
      </c>
      <c r="AR83" s="24" cm="1">
        <f t="array" ref="AR83">$G$3+IFERROR(VLOOKUP($AM83,$F$4:$G$7,2,FALSE),0)+VLOOKUP($R83,武学奇术!$A:$ZZ,2,FALSE)+SUM(_xlfn.XLOOKUP($S83:$AL83,增益!$A:$A,增益!$B:$B,0))</f>
        <v>0.5243</v>
      </c>
      <c r="AS83" s="24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4274.25</v>
      </c>
      <c r="AU83" cm="1">
        <f t="array" ref="AU83">$E$10*(1+$AS83)+VLOOKUP($R83,武学奇术!$A:$ZZ,4,FALSE)+SUM(_xlfn.XLOOKUP($S83:$AL83,增益!$A:$A,增益!$D:$D,0))-$I$2</f>
        <v>4274.25</v>
      </c>
      <c r="AV83" s="31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0.3434</v>
      </c>
      <c r="AW83" s="31" cm="1">
        <f t="array" ref="AW83">$G$10+VLOOKUP($R83,武学奇术!$A:$ZZ,7,FALSE)+SUM(_xlfn.XLOOKUP($S83:$AL83,增益!$A:$A,增益!$G:$G,0))</f>
        <v>0.11</v>
      </c>
      <c r="AX83" s="24" cm="1">
        <f t="array" ref="AX83">VLOOKUP($R83,武学奇术!$A:$ZZ,8,FALSE)+SUM(_xlfn.XLOOKUP($S83:$AL83,增益!$A:$A,增益!$H:$H,0))</f>
        <v>0</v>
      </c>
      <c r="AY83">
        <f t="shared" si="13"/>
        <v>0</v>
      </c>
      <c r="AZ83">
        <f t="shared" si="14"/>
        <v>0</v>
      </c>
      <c r="BA83" s="31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1" cm="1">
        <f t="array" ref="BB83">$G$11+VLOOKUP($R83,武学奇术!$A:$ZZ,10,FALSE)+SUM(_xlfn.XLOOKUP($S83:$AL83,增益!$A:$A,增益!$J:$J,0))</f>
        <v>0.02</v>
      </c>
      <c r="BC83">
        <f t="shared" si="15"/>
        <v>0</v>
      </c>
      <c r="BD83">
        <f t="shared" si="16"/>
        <v>0</v>
      </c>
      <c r="BE83" s="31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1" cm="1">
        <f t="array" ref="BF83">$G$12+VLOOKUP($R83,武学奇术!$A:$ZZ,12,FALSE)+SUM(_xlfn.XLOOKUP($S83:$AL83,增益!$A:$A,增益!$L:$L,0))</f>
        <v>0.02</v>
      </c>
      <c r="BG83">
        <f t="shared" si="17"/>
        <v>0</v>
      </c>
      <c r="BH83">
        <f t="shared" si="18"/>
        <v>0</v>
      </c>
      <c r="BI83" s="31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-0.3</v>
      </c>
      <c r="BJ83" s="31" cm="1">
        <f t="array" ref="BJ83">$G$13+VLOOKUP($R83,武学奇术!$A:$ZZ,14,FALSE)+SUM(_xlfn.XLOOKUP($S83:$AL83,增益!$A:$A,增益!$N:$N,0))</f>
        <v>0.02</v>
      </c>
      <c r="BK83">
        <f t="shared" si="19"/>
        <v>649.11</v>
      </c>
      <c r="BL83">
        <f t="shared" si="20"/>
        <v>1812.09</v>
      </c>
      <c r="BM83" s="31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</v>
      </c>
      <c r="BN83" s="31" cm="1">
        <f t="array" ref="BN83">$G$14+VLOOKUP($R83,武学奇术!$A:$ZZ,16,FALSE)+SUM(_xlfn.XLOOKUP($S83:$AL83,增益!$A:$A,增益!$P:$P,0))</f>
        <v>0.26</v>
      </c>
      <c r="BO83" s="24">
        <f>MIN(IF(VLOOKUP($R83,武学奇术!$A:$ZZ,23,FALSE)=1,100%,$B$8),100%)</f>
        <v>0.9943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0.8985</v>
      </c>
      <c r="BQ83" s="24" cm="1">
        <f t="array" ref="BQ83">1+$B$13+VLOOKUP($R83,武学奇术!$A:$ZZ,18,FALSE)+SUM(_xlfn.XLOOKUP($S83:$AL83,增益!$A:$A,增益!$R:$R,0))</f>
        <v>2.29</v>
      </c>
      <c r="BR83" s="24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4" cm="1">
        <f t="array" ref="BS83">1+$B$14+VLOOKUP($R83,武学奇术!$A:$ZZ,20,FALSE)+SUM(_xlfn.XLOOKUP($S83:$AL83,增益!$A:$A,增益!$T:$T,0))</f>
        <v>1.35</v>
      </c>
      <c r="BT83" s="24">
        <f t="shared" si="21"/>
        <v>0.89337855</v>
      </c>
      <c r="BU83" s="24">
        <f t="shared" si="22"/>
        <v>0.0153214500000001</v>
      </c>
      <c r="BV83" s="24">
        <f>IF(VLOOKUP($R83,武学奇术!$A:$ZZ,22,FALSE)=1,0,(1-$BO83))*(1-$BR83)</f>
        <v>0</v>
      </c>
      <c r="BW83" s="24" cm="1">
        <f t="array" ref="BW83">SUM(_xlfn.XLOOKUP($S83:$AL83,增益!$A:$A,增益!$W:$W,0))+$I$5</f>
        <v>0.21</v>
      </c>
      <c r="BX83" s="24">
        <f>VLOOKUP($R83,武学奇术!$A:$ZZ,32,FALSE)</f>
        <v>0.4</v>
      </c>
      <c r="BY83" s="24" cm="1">
        <f t="array" ref="BY83">SUM(_xlfn.XLOOKUP($S83:$AL83,增益!$A:$A,增益!$X:$X,0))</f>
        <v>0</v>
      </c>
    </row>
    <row r="84" spans="1:77">
      <c r="K84" s="37">
        <f>$L84*VLOOKUP($R84,武学奇术!$A:$ZZ,31,FALSE)</f>
        <v>68154.6814890804</v>
      </c>
      <c r="L84" s="37">
        <f t="shared" si="23"/>
        <v>68154.6814890804</v>
      </c>
      <c r="M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*(1+$BX84)</f>
        <v>71000.6231347971</v>
      </c>
      <c r="N84" s="37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*(1+$BX84)</f>
        <v>46541.2017391521</v>
      </c>
      <c r="O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*(1+$BX84)</f>
        <v>31004.6389234922</v>
      </c>
      <c r="P84" s="37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*(1+$BX84)</f>
        <v>27534.3135957606</v>
      </c>
      <c r="Q84" s="38">
        <v>1</v>
      </c>
      <c r="R84" s="39" t="s">
        <v>142</v>
      </c>
      <c r="S84" s="39" t="s">
        <v>104</v>
      </c>
      <c r="T84" s="39" t="s">
        <v>194</v>
      </c>
      <c r="U84" s="39" t="s">
        <v>81</v>
      </c>
      <c r="V84" s="39" t="s">
        <v>130</v>
      </c>
      <c r="W84" s="39" t="s">
        <v>83</v>
      </c>
      <c r="X84" s="39" t="s">
        <v>84</v>
      </c>
      <c r="Y84" s="39" t="s">
        <v>84</v>
      </c>
      <c r="Z84" s="39" t="s">
        <v>195</v>
      </c>
      <c r="AA84" s="39" t="s">
        <v>84</v>
      </c>
      <c r="AB84" s="39" t="s">
        <v>204</v>
      </c>
      <c r="AC84" s="39" t="s">
        <v>84</v>
      </c>
      <c r="AD84" s="39" t="s">
        <v>93</v>
      </c>
      <c r="AE84" s="39" t="s">
        <v>84</v>
      </c>
      <c r="AF84" s="39" t="s">
        <v>88</v>
      </c>
      <c r="AG84" s="39" t="s">
        <v>94</v>
      </c>
      <c r="AH84" s="39" t="s">
        <v>84</v>
      </c>
      <c r="AI84" s="39" t="s">
        <v>84</v>
      </c>
      <c r="AJ84" s="39" t="s">
        <v>84</v>
      </c>
      <c r="AK84" s="39" t="s">
        <v>84</v>
      </c>
      <c r="AL84" s="39" t="s">
        <v>84</v>
      </c>
      <c r="AM84" t="str">
        <f>VLOOKUP($R84,武学奇术!$A:$ZZ,25,FALSE)</f>
        <v>拳甲</v>
      </c>
      <c r="AN84" s="24">
        <f>VLOOKUP($R84,武学奇术!$A:$ZZ,26,FALSE)</f>
        <v>0.926</v>
      </c>
      <c r="AO84" s="25">
        <f>VLOOKUP($R84,武学奇术!$A:$ZZ,27,FALSE)*(1+IF(OR($AM84=$F$4,$AM84=$F$5),$B$22,0))</f>
        <v>411.2</v>
      </c>
      <c r="AP84" s="24">
        <f>VLOOKUP($R84,武学奇术!$A:$ZZ,28,FALSE)</f>
        <v>1.389</v>
      </c>
      <c r="AQ84" s="25">
        <f>VLOOKUP($R84,武学奇术!$A:$ZZ,29,FALSE)*(1+IF(OR($AM84=$F$4,$AM84=$F$5),$B$22,0))</f>
        <v>224</v>
      </c>
      <c r="AR84" s="24" cm="1">
        <f t="array" ref="AR84">$G$3+IFERROR(VLOOKUP($AM84,$F$4:$G$7,2,FALSE),0)+VLOOKUP($R84,武学奇术!$A:$ZZ,2,FALSE)+SUM(_xlfn.XLOOKUP($S84:$AL84,增益!$A:$A,增益!$B:$B,0))</f>
        <v>0.5243</v>
      </c>
      <c r="AS84" s="24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4274.25</v>
      </c>
      <c r="AU84" cm="1">
        <f t="array" ref="AU84">$E$10*(1+$AS84)+VLOOKUP($R84,武学奇术!$A:$ZZ,4,FALSE)+SUM(_xlfn.XLOOKUP($S84:$AL84,增益!$A:$A,增益!$D:$D,0))-$I$2</f>
        <v>4274.25</v>
      </c>
      <c r="AV84" s="31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0.3434</v>
      </c>
      <c r="AW84" s="31" cm="1">
        <f t="array" ref="AW84">$G$10+VLOOKUP($R84,武学奇术!$A:$ZZ,7,FALSE)+SUM(_xlfn.XLOOKUP($S84:$AL84,增益!$A:$A,增益!$G:$G,0))</f>
        <v>0.11</v>
      </c>
      <c r="AX84" s="24" cm="1">
        <f t="array" ref="AX84">VLOOKUP($R84,武学奇术!$A:$ZZ,8,FALSE)+SUM(_xlfn.XLOOKUP($S84:$AL84,增益!$A:$A,增益!$H:$H,0))</f>
        <v>0</v>
      </c>
      <c r="AY84">
        <f t="shared" si="13"/>
        <v>0</v>
      </c>
      <c r="AZ84">
        <f t="shared" si="14"/>
        <v>0</v>
      </c>
      <c r="BA84" s="31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1" cm="1">
        <f t="array" ref="BB84">$G$11+VLOOKUP($R84,武学奇术!$A:$ZZ,10,FALSE)+SUM(_xlfn.XLOOKUP($S84:$AL84,增益!$A:$A,增益!$J:$J,0))</f>
        <v>0.02</v>
      </c>
      <c r="BC84">
        <f t="shared" si="15"/>
        <v>0</v>
      </c>
      <c r="BD84">
        <f t="shared" si="16"/>
        <v>0</v>
      </c>
      <c r="BE84" s="31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1" cm="1">
        <f t="array" ref="BF84">$G$12+VLOOKUP($R84,武学奇术!$A:$ZZ,12,FALSE)+SUM(_xlfn.XLOOKUP($S84:$AL84,增益!$A:$A,增益!$L:$L,0))</f>
        <v>0.02</v>
      </c>
      <c r="BG84">
        <f t="shared" si="17"/>
        <v>0</v>
      </c>
      <c r="BH84">
        <f t="shared" si="18"/>
        <v>0</v>
      </c>
      <c r="BI84" s="31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-0.3</v>
      </c>
      <c r="BJ84" s="31" cm="1">
        <f t="array" ref="BJ84">$G$13+VLOOKUP($R84,武学奇术!$A:$ZZ,14,FALSE)+SUM(_xlfn.XLOOKUP($S84:$AL84,增益!$A:$A,增益!$N:$N,0))</f>
        <v>0.02</v>
      </c>
      <c r="BK84">
        <f t="shared" si="19"/>
        <v>649.11</v>
      </c>
      <c r="BL84">
        <f t="shared" si="20"/>
        <v>1812.09</v>
      </c>
      <c r="BM84" s="31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</v>
      </c>
      <c r="BN84" s="31" cm="1">
        <f t="array" ref="BN84">$G$14+VLOOKUP($R84,武学奇术!$A:$ZZ,16,FALSE)+SUM(_xlfn.XLOOKUP($S84:$AL84,增益!$A:$A,增益!$P:$P,0))</f>
        <v>0.26</v>
      </c>
      <c r="BO84" s="24">
        <f>MIN(IF(VLOOKUP($R84,武学奇术!$A:$ZZ,23,FALSE)=1,100%,$B$8),100%)</f>
        <v>0.9943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0.8985</v>
      </c>
      <c r="BQ84" s="24" cm="1">
        <f t="array" ref="BQ84">1+$B$13+VLOOKUP($R84,武学奇术!$A:$ZZ,18,FALSE)+SUM(_xlfn.XLOOKUP($S84:$AL84,增益!$A:$A,增益!$R:$R,0))</f>
        <v>2.29</v>
      </c>
      <c r="BR84" s="24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4" cm="1">
        <f t="array" ref="BS84">1+$B$14+VLOOKUP($R84,武学奇术!$A:$ZZ,20,FALSE)+SUM(_xlfn.XLOOKUP($S84:$AL84,增益!$A:$A,增益!$T:$T,0))</f>
        <v>1.35</v>
      </c>
      <c r="BT84" s="24">
        <f t="shared" si="21"/>
        <v>0.89337855</v>
      </c>
      <c r="BU84" s="24">
        <f t="shared" si="22"/>
        <v>0.0153214500000001</v>
      </c>
      <c r="BV84" s="24">
        <f>IF(VLOOKUP($R84,武学奇术!$A:$ZZ,22,FALSE)=1,0,(1-$BO84))*(1-$BR84)</f>
        <v>0</v>
      </c>
      <c r="BW84" s="24" cm="1">
        <f t="array" ref="BW84">SUM(_xlfn.XLOOKUP($S84:$AL84,增益!$A:$A,增益!$W:$W,0))+$I$5</f>
        <v>0.21</v>
      </c>
      <c r="BX84" s="24">
        <f>VLOOKUP($R84,武学奇术!$A:$ZZ,32,FALSE)</f>
        <v>0.4</v>
      </c>
      <c r="BY84" s="24" cm="1">
        <f t="array" ref="BY84">SUM(_xlfn.XLOOKUP($S84:$AL84,增益!$A:$A,增益!$X:$X,0))</f>
        <v>0</v>
      </c>
    </row>
    <row r="85" spans="1:77">
      <c r="A85" s="4"/>
      <c r="B85" s="4"/>
      <c r="K85" s="37">
        <f>$L85*VLOOKUP($R85,武学奇术!$A:$ZZ,31,FALSE)</f>
        <v>83126.3152592141</v>
      </c>
      <c r="L85" s="37">
        <f t="shared" si="23"/>
        <v>83126.3152592141</v>
      </c>
      <c r="M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*(1+$BX85)</f>
        <v>86597.2427778891</v>
      </c>
      <c r="N85" s="37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*(1+$BX85)</f>
        <v>56766.8068712497</v>
      </c>
      <c r="O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*(1+$BX85)</f>
        <v>37815.3898593402</v>
      </c>
      <c r="P85" s="37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*(1+$BX85)</f>
        <v>33581.2931473844</v>
      </c>
      <c r="Q85" s="38">
        <v>1</v>
      </c>
      <c r="R85" s="39" t="s">
        <v>146</v>
      </c>
      <c r="S85" s="39" t="s">
        <v>104</v>
      </c>
      <c r="T85" s="39" t="s">
        <v>194</v>
      </c>
      <c r="U85" s="39" t="s">
        <v>81</v>
      </c>
      <c r="V85" s="39" t="s">
        <v>130</v>
      </c>
      <c r="W85" s="39" t="s">
        <v>83</v>
      </c>
      <c r="X85" s="39" t="s">
        <v>84</v>
      </c>
      <c r="Y85" s="39" t="s">
        <v>84</v>
      </c>
      <c r="Z85" s="39" t="s">
        <v>195</v>
      </c>
      <c r="AA85" s="39" t="s">
        <v>84</v>
      </c>
      <c r="AB85" s="39" t="s">
        <v>204</v>
      </c>
      <c r="AC85" s="39" t="s">
        <v>84</v>
      </c>
      <c r="AD85" s="39" t="s">
        <v>93</v>
      </c>
      <c r="AE85" s="39" t="s">
        <v>84</v>
      </c>
      <c r="AF85" s="39" t="s">
        <v>88</v>
      </c>
      <c r="AG85" s="39" t="s">
        <v>94</v>
      </c>
      <c r="AH85" s="39" t="s">
        <v>84</v>
      </c>
      <c r="AI85" s="39" t="s">
        <v>84</v>
      </c>
      <c r="AJ85" s="39" t="s">
        <v>84</v>
      </c>
      <c r="AK85" s="39" t="s">
        <v>84</v>
      </c>
      <c r="AL85" s="39" t="s">
        <v>84</v>
      </c>
      <c r="AM85" t="str">
        <f>VLOOKUP($R85,武学奇术!$A:$ZZ,25,FALSE)</f>
        <v>拳甲</v>
      </c>
      <c r="AN85" s="24">
        <f>VLOOKUP($R85,武学奇术!$A:$ZZ,26,FALSE)</f>
        <v>1.1298</v>
      </c>
      <c r="AO85" s="25">
        <f>VLOOKUP($R85,武学奇术!$A:$ZZ,27,FALSE)*(1+IF(OR($AM85=$F$4,$AM85=$F$5),$B$22,0))</f>
        <v>500.8</v>
      </c>
      <c r="AP85" s="24">
        <f>VLOOKUP($R85,武学奇术!$A:$ZZ,28,FALSE)</f>
        <v>1.6947</v>
      </c>
      <c r="AQ85" s="25">
        <f>VLOOKUP($R85,武学奇术!$A:$ZZ,29,FALSE)*(1+IF(OR($AM85=$F$4,$AM85=$F$5),$B$22,0))</f>
        <v>272</v>
      </c>
      <c r="AR85" s="24" cm="1">
        <f t="array" ref="AR85">$G$3+IFERROR(VLOOKUP($AM85,$F$4:$G$7,2,FALSE),0)+VLOOKUP($R85,武学奇术!$A:$ZZ,2,FALSE)+SUM(_xlfn.XLOOKUP($S85:$AL85,增益!$A:$A,增益!$B:$B,0))</f>
        <v>0.5243</v>
      </c>
      <c r="AS85" s="24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4274.25</v>
      </c>
      <c r="AU85" cm="1">
        <f t="array" ref="AU85">$E$10*(1+$AS85)+VLOOKUP($R85,武学奇术!$A:$ZZ,4,FALSE)+SUM(_xlfn.XLOOKUP($S85:$AL85,增益!$A:$A,增益!$D:$D,0))-$I$2</f>
        <v>4274.25</v>
      </c>
      <c r="AV85" s="31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0.3434</v>
      </c>
      <c r="AW85" s="31" cm="1">
        <f t="array" ref="AW85">$G$10+VLOOKUP($R85,武学奇术!$A:$ZZ,7,FALSE)+SUM(_xlfn.XLOOKUP($S85:$AL85,增益!$A:$A,增益!$G:$G,0))</f>
        <v>0.11</v>
      </c>
      <c r="AX85" s="24" cm="1">
        <f t="array" ref="AX85">VLOOKUP($R85,武学奇术!$A:$ZZ,8,FALSE)+SUM(_xlfn.XLOOKUP($S85:$AL85,增益!$A:$A,增益!$H:$H,0))</f>
        <v>0</v>
      </c>
      <c r="AY85">
        <f t="shared" si="13"/>
        <v>0</v>
      </c>
      <c r="AZ85">
        <f t="shared" si="14"/>
        <v>0</v>
      </c>
      <c r="BA85" s="31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1" cm="1">
        <f t="array" ref="BB85">$G$11+VLOOKUP($R85,武学奇术!$A:$ZZ,10,FALSE)+SUM(_xlfn.XLOOKUP($S85:$AL85,增益!$A:$A,增益!$J:$J,0))</f>
        <v>0.02</v>
      </c>
      <c r="BC85">
        <f t="shared" si="15"/>
        <v>0</v>
      </c>
      <c r="BD85">
        <f t="shared" si="16"/>
        <v>0</v>
      </c>
      <c r="BE85" s="31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1" cm="1">
        <f t="array" ref="BF85">$G$12+VLOOKUP($R85,武学奇术!$A:$ZZ,12,FALSE)+SUM(_xlfn.XLOOKUP($S85:$AL85,增益!$A:$A,增益!$L:$L,0))</f>
        <v>0.02</v>
      </c>
      <c r="BG85">
        <f t="shared" si="17"/>
        <v>0</v>
      </c>
      <c r="BH85">
        <f t="shared" si="18"/>
        <v>0</v>
      </c>
      <c r="BI85" s="31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31" cm="1">
        <f t="array" ref="BJ85">$G$13+VLOOKUP($R85,武学奇术!$A:$ZZ,14,FALSE)+SUM(_xlfn.XLOOKUP($S85:$AL85,增益!$A:$A,增益!$N:$N,0))</f>
        <v>0.02</v>
      </c>
      <c r="BK85">
        <f t="shared" si="19"/>
        <v>649.11</v>
      </c>
      <c r="BL85">
        <f t="shared" si="20"/>
        <v>1812.09</v>
      </c>
      <c r="BM85" s="31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31" cm="1">
        <f t="array" ref="BN85">$G$14+VLOOKUP($R85,武学奇术!$A:$ZZ,16,FALSE)+SUM(_xlfn.XLOOKUP($S85:$AL85,增益!$A:$A,增益!$P:$P,0))</f>
        <v>0.26</v>
      </c>
      <c r="BO85" s="24">
        <f>MIN(IF(VLOOKUP($R85,武学奇术!$A:$ZZ,23,FALSE)=1,100%,$B$8),100%)</f>
        <v>0.9943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0.8985</v>
      </c>
      <c r="BQ85" s="24" cm="1">
        <f t="array" ref="BQ85">1+$B$13+VLOOKUP($R85,武学奇术!$A:$ZZ,18,FALSE)+SUM(_xlfn.XLOOKUP($S85:$AL85,增益!$A:$A,增益!$R:$R,0))</f>
        <v>2.29</v>
      </c>
      <c r="BR85" s="24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4" cm="1">
        <f t="array" ref="BS85">1+$B$14+VLOOKUP($R85,武学奇术!$A:$ZZ,20,FALSE)+SUM(_xlfn.XLOOKUP($S85:$AL85,增益!$A:$A,增益!$T:$T,0))</f>
        <v>1.35</v>
      </c>
      <c r="BT85" s="24">
        <f t="shared" si="21"/>
        <v>0.89337855</v>
      </c>
      <c r="BU85" s="24">
        <f t="shared" si="22"/>
        <v>0.0153214500000001</v>
      </c>
      <c r="BV85" s="24">
        <f>IF(VLOOKUP($R85,武学奇术!$A:$ZZ,22,FALSE)=1,0,(1-$BO85))*(1-$BR85)</f>
        <v>0</v>
      </c>
      <c r="BW85" s="24" cm="1">
        <f t="array" ref="BW85">SUM(_xlfn.XLOOKUP($S85:$AL85,增益!$A:$A,增益!$W:$W,0))+$I$5</f>
        <v>0.21</v>
      </c>
      <c r="BX85" s="24">
        <f>VLOOKUP($R85,武学奇术!$A:$ZZ,32,FALSE)</f>
        <v>0.4</v>
      </c>
      <c r="BY85" s="24" cm="1">
        <f t="array" ref="BY85">SUM(_xlfn.XLOOKUP($S85:$AL85,增益!$A:$A,增益!$X:$X,0))</f>
        <v>0</v>
      </c>
    </row>
    <row r="86" spans="1:77">
      <c r="K86" s="37">
        <f>$L86*VLOOKUP($R86,武学奇术!$A:$ZZ,31,FALSE)</f>
        <v>187652.304824228</v>
      </c>
      <c r="L86" s="37">
        <f t="shared" si="23"/>
        <v>187652.304824228</v>
      </c>
      <c r="M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*(1+$BX86)</f>
        <v>195487.950792132</v>
      </c>
      <c r="N86" s="37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*(1+$BX86)</f>
        <v>128144.941602343</v>
      </c>
      <c r="O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*(1+$BX86)</f>
        <v>85365.9173764767</v>
      </c>
      <c r="P86" s="37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*(1+$BX86)</f>
        <v>75809.6557882546</v>
      </c>
      <c r="Q86" s="38">
        <v>1</v>
      </c>
      <c r="R86" s="39" t="s">
        <v>151</v>
      </c>
      <c r="S86" s="39" t="s">
        <v>104</v>
      </c>
      <c r="T86" s="39" t="s">
        <v>194</v>
      </c>
      <c r="U86" s="39" t="s">
        <v>81</v>
      </c>
      <c r="V86" s="39" t="s">
        <v>130</v>
      </c>
      <c r="W86" s="39" t="s">
        <v>83</v>
      </c>
      <c r="X86" s="39" t="s">
        <v>84</v>
      </c>
      <c r="Y86" s="39" t="s">
        <v>84</v>
      </c>
      <c r="Z86" s="39" t="s">
        <v>195</v>
      </c>
      <c r="AA86" s="39" t="s">
        <v>84</v>
      </c>
      <c r="AB86" s="39" t="s">
        <v>204</v>
      </c>
      <c r="AC86" s="39" t="s">
        <v>84</v>
      </c>
      <c r="AD86" s="39" t="s">
        <v>93</v>
      </c>
      <c r="AE86" s="39" t="s">
        <v>84</v>
      </c>
      <c r="AF86" s="39" t="s">
        <v>88</v>
      </c>
      <c r="AG86" s="39" t="s">
        <v>94</v>
      </c>
      <c r="AH86" s="39" t="s">
        <v>84</v>
      </c>
      <c r="AI86" s="39" t="s">
        <v>84</v>
      </c>
      <c r="AJ86" s="39" t="s">
        <v>84</v>
      </c>
      <c r="AK86" s="39" t="s">
        <v>84</v>
      </c>
      <c r="AL86" s="39" t="s">
        <v>84</v>
      </c>
      <c r="AM86" t="str">
        <f>VLOOKUP($R86,武学奇术!$A:$ZZ,25,FALSE)</f>
        <v>拳甲</v>
      </c>
      <c r="AN86" s="24">
        <f>VLOOKUP($R86,武学奇术!$A:$ZZ,26,FALSE)</f>
        <v>2.5499</v>
      </c>
      <c r="AO86" s="25">
        <f>VLOOKUP($R86,武学奇术!$A:$ZZ,27,FALSE)*(1+IF(OR($AM86=$F$4,$AM86=$F$5),$B$22,0))</f>
        <v>1131.2</v>
      </c>
      <c r="AP86" s="24">
        <f>VLOOKUP($R86,武学奇术!$A:$ZZ,28,FALSE)</f>
        <v>3.8249</v>
      </c>
      <c r="AQ86" s="25">
        <f>VLOOKUP($R86,武学奇术!$A:$ZZ,29,FALSE)*(1+IF(OR($AM86=$F$4,$AM86=$F$5),$B$22,0))</f>
        <v>616</v>
      </c>
      <c r="AR86" s="24" cm="1">
        <f t="array" ref="AR86">$G$3+IFERROR(VLOOKUP($AM86,$F$4:$G$7,2,FALSE),0)+VLOOKUP($R86,武学奇术!$A:$ZZ,2,FALSE)+SUM(_xlfn.XLOOKUP($S86:$AL86,增益!$A:$A,增益!$B:$B,0))</f>
        <v>0.5243</v>
      </c>
      <c r="AS86" s="24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4274.25</v>
      </c>
      <c r="AU86" cm="1">
        <f t="array" ref="AU86">$E$10*(1+$AS86)+VLOOKUP($R86,武学奇术!$A:$ZZ,4,FALSE)+SUM(_xlfn.XLOOKUP($S86:$AL86,增益!$A:$A,增益!$D:$D,0))-$I$2</f>
        <v>4274.25</v>
      </c>
      <c r="AV86" s="31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0.3434</v>
      </c>
      <c r="AW86" s="31" cm="1">
        <f t="array" ref="AW86">$G$10+VLOOKUP($R86,武学奇术!$A:$ZZ,7,FALSE)+SUM(_xlfn.XLOOKUP($S86:$AL86,增益!$A:$A,增益!$G:$G,0))</f>
        <v>0.11</v>
      </c>
      <c r="AX86" s="24" cm="1">
        <f t="array" ref="AX86">VLOOKUP($R86,武学奇术!$A:$ZZ,8,FALSE)+SUM(_xlfn.XLOOKUP($S86:$AL86,增益!$A:$A,增益!$H:$H,0))</f>
        <v>0</v>
      </c>
      <c r="AY86">
        <f t="shared" si="13"/>
        <v>0</v>
      </c>
      <c r="AZ86">
        <f t="shared" si="14"/>
        <v>0</v>
      </c>
      <c r="BA86" s="31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1" cm="1">
        <f t="array" ref="BB86">$G$11+VLOOKUP($R86,武学奇术!$A:$ZZ,10,FALSE)+SUM(_xlfn.XLOOKUP($S86:$AL86,增益!$A:$A,增益!$J:$J,0))</f>
        <v>0.02</v>
      </c>
      <c r="BC86">
        <f t="shared" si="15"/>
        <v>0</v>
      </c>
      <c r="BD86">
        <f t="shared" si="16"/>
        <v>0</v>
      </c>
      <c r="BE86" s="31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1" cm="1">
        <f t="array" ref="BF86">$G$12+VLOOKUP($R86,武学奇术!$A:$ZZ,12,FALSE)+SUM(_xlfn.XLOOKUP($S86:$AL86,增益!$A:$A,增益!$L:$L,0))</f>
        <v>0.02</v>
      </c>
      <c r="BG86">
        <f t="shared" si="17"/>
        <v>0</v>
      </c>
      <c r="BH86">
        <f t="shared" si="18"/>
        <v>0</v>
      </c>
      <c r="BI86" s="31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-0.3</v>
      </c>
      <c r="BJ86" s="31" cm="1">
        <f t="array" ref="BJ86">$G$13+VLOOKUP($R86,武学奇术!$A:$ZZ,14,FALSE)+SUM(_xlfn.XLOOKUP($S86:$AL86,增益!$A:$A,增益!$N:$N,0))</f>
        <v>0.02</v>
      </c>
      <c r="BK86">
        <f t="shared" si="19"/>
        <v>649.11</v>
      </c>
      <c r="BL86">
        <f t="shared" si="20"/>
        <v>1812.09</v>
      </c>
      <c r="BM86" s="31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</v>
      </c>
      <c r="BN86" s="31" cm="1">
        <f t="array" ref="BN86">$G$14+VLOOKUP($R86,武学奇术!$A:$ZZ,16,FALSE)+SUM(_xlfn.XLOOKUP($S86:$AL86,增益!$A:$A,增益!$P:$P,0))</f>
        <v>0.26</v>
      </c>
      <c r="BO86" s="24">
        <f>MIN(IF(VLOOKUP($R86,武学奇术!$A:$ZZ,23,FALSE)=1,100%,$B$8),100%)</f>
        <v>0.9943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0.8985</v>
      </c>
      <c r="BQ86" s="24" cm="1">
        <f t="array" ref="BQ86">1+$B$13+VLOOKUP($R86,武学奇术!$A:$ZZ,18,FALSE)+SUM(_xlfn.XLOOKUP($S86:$AL86,增益!$A:$A,增益!$R:$R,0))</f>
        <v>2.29</v>
      </c>
      <c r="BR86" s="24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4" cm="1">
        <f t="array" ref="BS86">1+$B$14+VLOOKUP($R86,武学奇术!$A:$ZZ,20,FALSE)+SUM(_xlfn.XLOOKUP($S86:$AL86,增益!$A:$A,增益!$T:$T,0))</f>
        <v>1.35</v>
      </c>
      <c r="BT86" s="24">
        <f t="shared" si="21"/>
        <v>0.89337855</v>
      </c>
      <c r="BU86" s="24">
        <f t="shared" si="22"/>
        <v>0.0153214500000001</v>
      </c>
      <c r="BV86" s="24">
        <f>IF(VLOOKUP($R86,武学奇术!$A:$ZZ,22,FALSE)=1,0,(1-$BO86))*(1-$BR86)</f>
        <v>0</v>
      </c>
      <c r="BW86" s="24" cm="1">
        <f t="array" ref="BW86">SUM(_xlfn.XLOOKUP($S86:$AL86,增益!$A:$A,增益!$W:$W,0))+$I$5</f>
        <v>0.21</v>
      </c>
      <c r="BX86" s="24">
        <f>VLOOKUP($R86,武学奇术!$A:$ZZ,32,FALSE)</f>
        <v>0.4</v>
      </c>
      <c r="BY86" s="24" cm="1">
        <f t="array" ref="BY86">SUM(_xlfn.XLOOKUP($S86:$AL86,增益!$A:$A,增益!$X:$X,0))</f>
        <v>0</v>
      </c>
    </row>
    <row r="87" spans="1:77">
      <c r="K87" s="37">
        <f>$L87*VLOOKUP($R87,武学奇术!$A:$ZZ,31,FALSE)</f>
        <v>369490.579525987</v>
      </c>
      <c r="L87" s="37">
        <f t="shared" si="23"/>
        <v>369490.579525987</v>
      </c>
      <c r="M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*(1+$BX87)</f>
        <v>384918.985378632</v>
      </c>
      <c r="N87" s="37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*(1+$BX87)</f>
        <v>252320.696292061</v>
      </c>
      <c r="O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*(1+$BX87)</f>
        <v>168086.893178442</v>
      </c>
      <c r="P87" s="37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*(1+$BX87)</f>
        <v>149269.566881283</v>
      </c>
      <c r="Q87" s="38">
        <v>1</v>
      </c>
      <c r="R87" s="39" t="s">
        <v>133</v>
      </c>
      <c r="S87" s="39" t="s">
        <v>104</v>
      </c>
      <c r="T87" s="39" t="s">
        <v>194</v>
      </c>
      <c r="U87" s="39" t="s">
        <v>81</v>
      </c>
      <c r="V87" s="39" t="s">
        <v>130</v>
      </c>
      <c r="W87" s="39" t="s">
        <v>83</v>
      </c>
      <c r="X87" s="39" t="s">
        <v>84</v>
      </c>
      <c r="Y87" s="39" t="s">
        <v>84</v>
      </c>
      <c r="Z87" s="39" t="s">
        <v>195</v>
      </c>
      <c r="AA87" s="39" t="s">
        <v>84</v>
      </c>
      <c r="AB87" s="39" t="s">
        <v>204</v>
      </c>
      <c r="AC87" s="39" t="s">
        <v>84</v>
      </c>
      <c r="AD87" s="39" t="s">
        <v>93</v>
      </c>
      <c r="AE87" s="39" t="s">
        <v>84</v>
      </c>
      <c r="AF87" s="39" t="s">
        <v>88</v>
      </c>
      <c r="AG87" s="39" t="s">
        <v>84</v>
      </c>
      <c r="AH87" s="39" t="s">
        <v>84</v>
      </c>
      <c r="AI87" s="39" t="s">
        <v>84</v>
      </c>
      <c r="AJ87" s="39" t="s">
        <v>84</v>
      </c>
      <c r="AK87" s="39" t="s">
        <v>84</v>
      </c>
      <c r="AL87" s="39" t="s">
        <v>84</v>
      </c>
      <c r="AM87" t="str">
        <f>VLOOKUP($R87,武学奇术!$A:$ZZ,25,FALSE)</f>
        <v>拳甲</v>
      </c>
      <c r="AN87" s="24">
        <f>VLOOKUP($R87,武学奇术!$A:$ZZ,26,FALSE)</f>
        <v>5.5691</v>
      </c>
      <c r="AO87" s="25">
        <f>VLOOKUP($R87,武学奇术!$A:$ZZ,27,FALSE)*(1+IF(OR($AM87=$F$4,$AM87=$F$5),$B$22,0))</f>
        <v>2470.4</v>
      </c>
      <c r="AP87" s="24">
        <f>VLOOKUP($R87,武学奇术!$A:$ZZ,28,FALSE)</f>
        <v>8.3537</v>
      </c>
      <c r="AQ87" s="25">
        <f>VLOOKUP($R87,武学奇术!$A:$ZZ,29,FALSE)*(1+IF(OR($AM87=$F$4,$AM87=$F$5),$B$22,0))</f>
        <v>1344</v>
      </c>
      <c r="AR87" s="24" cm="1">
        <f t="array" ref="AR87">$G$3+IFERROR(VLOOKUP($AM87,$F$4:$G$7,2,FALSE),0)+VLOOKUP($R87,武学奇术!$A:$ZZ,2,FALSE)+SUM(_xlfn.XLOOKUP($S87:$AL87,增益!$A:$A,增益!$B:$B,0))</f>
        <v>0.3743</v>
      </c>
      <c r="AS87" s="24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4274.25</v>
      </c>
      <c r="AU87" cm="1">
        <f t="array" ref="AU87">$E$10*(1+$AS87)+VLOOKUP($R87,武学奇术!$A:$ZZ,4,FALSE)+SUM(_xlfn.XLOOKUP($S87:$AL87,增益!$A:$A,增益!$D:$D,0))-$I$2</f>
        <v>4274.25</v>
      </c>
      <c r="AV87" s="31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0.3434</v>
      </c>
      <c r="AW87" s="31" cm="1">
        <f t="array" ref="AW87">$G$10+VLOOKUP($R87,武学奇术!$A:$ZZ,7,FALSE)+SUM(_xlfn.XLOOKUP($S87:$AL87,增益!$A:$A,增益!$G:$G,0))</f>
        <v>0.11</v>
      </c>
      <c r="AX87" s="24" cm="1">
        <f t="array" ref="AX87">VLOOKUP($R87,武学奇术!$A:$ZZ,8,FALSE)+SUM(_xlfn.XLOOKUP($S87:$AL87,增益!$A:$A,增益!$H:$H,0))</f>
        <v>0</v>
      </c>
      <c r="AY87">
        <f t="shared" si="13"/>
        <v>0</v>
      </c>
      <c r="AZ87">
        <f t="shared" si="14"/>
        <v>0</v>
      </c>
      <c r="BA87" s="31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1" cm="1">
        <f t="array" ref="BB87">$G$11+VLOOKUP($R87,武学奇术!$A:$ZZ,10,FALSE)+SUM(_xlfn.XLOOKUP($S87:$AL87,增益!$A:$A,增益!$J:$J,0))</f>
        <v>0.02</v>
      </c>
      <c r="BC87">
        <f t="shared" si="15"/>
        <v>0</v>
      </c>
      <c r="BD87">
        <f t="shared" si="16"/>
        <v>0</v>
      </c>
      <c r="BE87" s="31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1" cm="1">
        <f t="array" ref="BF87">$G$12+VLOOKUP($R87,武学奇术!$A:$ZZ,12,FALSE)+SUM(_xlfn.XLOOKUP($S87:$AL87,增益!$A:$A,增益!$L:$L,0))</f>
        <v>0.02</v>
      </c>
      <c r="BG87">
        <f t="shared" si="17"/>
        <v>0</v>
      </c>
      <c r="BH87">
        <f t="shared" si="18"/>
        <v>0</v>
      </c>
      <c r="BI87" s="31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31" cm="1">
        <f t="array" ref="BJ87">$G$13+VLOOKUP($R87,武学奇术!$A:$ZZ,14,FALSE)+SUM(_xlfn.XLOOKUP($S87:$AL87,增益!$A:$A,增益!$N:$N,0))</f>
        <v>0.02</v>
      </c>
      <c r="BK87">
        <f t="shared" si="19"/>
        <v>649.11</v>
      </c>
      <c r="BL87">
        <f t="shared" si="20"/>
        <v>1812.09</v>
      </c>
      <c r="BM87" s="31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31" cm="1">
        <f t="array" ref="BN87">$G$14+VLOOKUP($R87,武学奇术!$A:$ZZ,16,FALSE)+SUM(_xlfn.XLOOKUP($S87:$AL87,增益!$A:$A,增益!$P:$P,0))</f>
        <v>0.26</v>
      </c>
      <c r="BO87" s="24">
        <f>MIN(IF(VLOOKUP($R87,武学奇术!$A:$ZZ,23,FALSE)=1,100%,$B$8),100%)</f>
        <v>0.9943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0.8985</v>
      </c>
      <c r="BQ87" s="24" cm="1">
        <f t="array" ref="BQ87">1+$B$13+VLOOKUP($R87,武学奇术!$A:$ZZ,18,FALSE)+SUM(_xlfn.XLOOKUP($S87:$AL87,增益!$A:$A,增益!$R:$R,0))</f>
        <v>2.29</v>
      </c>
      <c r="BR87" s="24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0.0913</v>
      </c>
      <c r="BS87" s="24" cm="1">
        <f t="array" ref="BS87">1+$B$14+VLOOKUP($R87,武学奇术!$A:$ZZ,20,FALSE)+SUM(_xlfn.XLOOKUP($S87:$AL87,增益!$A:$A,增益!$T:$T,0))</f>
        <v>1.35</v>
      </c>
      <c r="BT87" s="24">
        <f t="shared" si="21"/>
        <v>0.89337855</v>
      </c>
      <c r="BU87" s="24">
        <f t="shared" si="22"/>
        <v>0.0153214500000001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0.21</v>
      </c>
      <c r="BX87" s="24">
        <f>VLOOKUP($R87,武学奇术!$A:$ZZ,32,FALSE)</f>
        <v>0.4</v>
      </c>
      <c r="BY87" s="24" cm="1">
        <f t="array" ref="BY87">SUM(_xlfn.XLOOKUP($S87:$AL87,增益!$A:$A,增益!$X:$X,0))</f>
        <v>0</v>
      </c>
    </row>
    <row r="88" spans="1:77">
      <c r="A88" s="4"/>
      <c r="B88" s="90"/>
      <c r="K88" s="37">
        <f>$L88*VLOOKUP($R88,武学奇术!$A:$ZZ,31,FALSE)</f>
        <v>369490.579525987</v>
      </c>
      <c r="L88" s="37">
        <f t="shared" si="23"/>
        <v>369490.579525987</v>
      </c>
      <c r="M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*(1+$BX88)</f>
        <v>384918.985378632</v>
      </c>
      <c r="N88" s="37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*(1+$BX88)</f>
        <v>252320.696292061</v>
      </c>
      <c r="O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*(1+$BX88)</f>
        <v>168086.893178442</v>
      </c>
      <c r="P88" s="37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*(1+$BX88)</f>
        <v>149269.566881283</v>
      </c>
      <c r="Q88" s="38">
        <v>1</v>
      </c>
      <c r="R88" s="39" t="s">
        <v>133</v>
      </c>
      <c r="S88" s="39" t="s">
        <v>104</v>
      </c>
      <c r="T88" s="39" t="s">
        <v>194</v>
      </c>
      <c r="U88" s="39" t="s">
        <v>81</v>
      </c>
      <c r="V88" s="39" t="s">
        <v>130</v>
      </c>
      <c r="W88" s="39" t="s">
        <v>83</v>
      </c>
      <c r="X88" s="39" t="s">
        <v>84</v>
      </c>
      <c r="Y88" s="39" t="s">
        <v>84</v>
      </c>
      <c r="Z88" s="39" t="s">
        <v>195</v>
      </c>
      <c r="AA88" s="39" t="s">
        <v>84</v>
      </c>
      <c r="AB88" s="39" t="s">
        <v>204</v>
      </c>
      <c r="AC88" s="39" t="s">
        <v>84</v>
      </c>
      <c r="AD88" s="39" t="s">
        <v>93</v>
      </c>
      <c r="AE88" s="39" t="s">
        <v>84</v>
      </c>
      <c r="AF88" s="39" t="s">
        <v>88</v>
      </c>
      <c r="AG88" s="39" t="s">
        <v>84</v>
      </c>
      <c r="AH88" s="39" t="s">
        <v>84</v>
      </c>
      <c r="AI88" s="39" t="s">
        <v>84</v>
      </c>
      <c r="AJ88" s="39" t="s">
        <v>84</v>
      </c>
      <c r="AK88" s="39" t="s">
        <v>84</v>
      </c>
      <c r="AL88" s="39" t="s">
        <v>84</v>
      </c>
      <c r="AM88" t="str">
        <f>VLOOKUP($R88,武学奇术!$A:$ZZ,25,FALSE)</f>
        <v>拳甲</v>
      </c>
      <c r="AN88" s="24">
        <f>VLOOKUP($R88,武学奇术!$A:$ZZ,26,FALSE)</f>
        <v>5.5691</v>
      </c>
      <c r="AO88" s="25">
        <f>VLOOKUP($R88,武学奇术!$A:$ZZ,27,FALSE)*(1+IF(OR($AM88=$F$4,$AM88=$F$5),$B$22,0))</f>
        <v>2470.4</v>
      </c>
      <c r="AP88" s="24">
        <f>VLOOKUP($R88,武学奇术!$A:$ZZ,28,FALSE)</f>
        <v>8.3537</v>
      </c>
      <c r="AQ88" s="25">
        <f>VLOOKUP($R88,武学奇术!$A:$ZZ,29,FALSE)*(1+IF(OR($AM88=$F$4,$AM88=$F$5),$B$22,0))</f>
        <v>1344</v>
      </c>
      <c r="AR88" s="24" cm="1">
        <f t="array" ref="AR88">$G$3+IFERROR(VLOOKUP($AM88,$F$4:$G$7,2,FALSE),0)+VLOOKUP($R88,武学奇术!$A:$ZZ,2,FALSE)+SUM(_xlfn.XLOOKUP($S88:$AL88,增益!$A:$A,增益!$B:$B,0))</f>
        <v>0.3743</v>
      </c>
      <c r="AS88" s="24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4274.25</v>
      </c>
      <c r="AU88" cm="1">
        <f t="array" ref="AU88">$E$10*(1+$AS88)+VLOOKUP($R88,武学奇术!$A:$ZZ,4,FALSE)+SUM(_xlfn.XLOOKUP($S88:$AL88,增益!$A:$A,增益!$D:$D,0))-$I$2</f>
        <v>4274.25</v>
      </c>
      <c r="AV88" s="31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0.3434</v>
      </c>
      <c r="AW88" s="31" cm="1">
        <f t="array" ref="AW88">$G$10+VLOOKUP($R88,武学奇术!$A:$ZZ,7,FALSE)+SUM(_xlfn.XLOOKUP($S88:$AL88,增益!$A:$A,增益!$G:$G,0))</f>
        <v>0.11</v>
      </c>
      <c r="AX88" s="24" cm="1">
        <f t="array" ref="AX88">VLOOKUP($R88,武学奇术!$A:$ZZ,8,FALSE)+SUM(_xlfn.XLOOKUP($S88:$AL88,增益!$A:$A,增益!$H:$H,0))</f>
        <v>0</v>
      </c>
      <c r="AY88">
        <f t="shared" si="13"/>
        <v>0</v>
      </c>
      <c r="AZ88">
        <f t="shared" si="14"/>
        <v>0</v>
      </c>
      <c r="BA88" s="31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1" cm="1">
        <f t="array" ref="BB88">$G$11+VLOOKUP($R88,武学奇术!$A:$ZZ,10,FALSE)+SUM(_xlfn.XLOOKUP($S88:$AL88,增益!$A:$A,增益!$J:$J,0))</f>
        <v>0.02</v>
      </c>
      <c r="BC88">
        <f t="shared" si="15"/>
        <v>0</v>
      </c>
      <c r="BD88">
        <f t="shared" si="16"/>
        <v>0</v>
      </c>
      <c r="BE88" s="31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1" cm="1">
        <f t="array" ref="BF88">$G$12+VLOOKUP($R88,武学奇术!$A:$ZZ,12,FALSE)+SUM(_xlfn.XLOOKUP($S88:$AL88,增益!$A:$A,增益!$L:$L,0))</f>
        <v>0.02</v>
      </c>
      <c r="BG88">
        <f t="shared" si="17"/>
        <v>0</v>
      </c>
      <c r="BH88">
        <f t="shared" si="18"/>
        <v>0</v>
      </c>
      <c r="BI88" s="31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-0.3</v>
      </c>
      <c r="BJ88" s="31" cm="1">
        <f t="array" ref="BJ88">$G$13+VLOOKUP($R88,武学奇术!$A:$ZZ,14,FALSE)+SUM(_xlfn.XLOOKUP($S88:$AL88,增益!$A:$A,增益!$N:$N,0))</f>
        <v>0.02</v>
      </c>
      <c r="BK88">
        <f t="shared" si="19"/>
        <v>649.11</v>
      </c>
      <c r="BL88">
        <f t="shared" si="20"/>
        <v>1812.09</v>
      </c>
      <c r="BM88" s="31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</v>
      </c>
      <c r="BN88" s="31" cm="1">
        <f t="array" ref="BN88">$G$14+VLOOKUP($R88,武学奇术!$A:$ZZ,16,FALSE)+SUM(_xlfn.XLOOKUP($S88:$AL88,增益!$A:$A,增益!$P:$P,0))</f>
        <v>0.26</v>
      </c>
      <c r="BO88" s="24">
        <f>MIN(IF(VLOOKUP($R88,武学奇术!$A:$ZZ,23,FALSE)=1,100%,$B$8),100%)</f>
        <v>0.9943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0.8985</v>
      </c>
      <c r="BQ88" s="24" cm="1">
        <f t="array" ref="BQ88">1+$B$13+VLOOKUP($R88,武学奇术!$A:$ZZ,18,FALSE)+SUM(_xlfn.XLOOKUP($S88:$AL88,增益!$A:$A,增益!$R:$R,0))</f>
        <v>2.29</v>
      </c>
      <c r="BR88" s="24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0.0913</v>
      </c>
      <c r="BS88" s="24" cm="1">
        <f t="array" ref="BS88">1+$B$14+VLOOKUP($R88,武学奇术!$A:$ZZ,20,FALSE)+SUM(_xlfn.XLOOKUP($S88:$AL88,增益!$A:$A,增益!$T:$T,0))</f>
        <v>1.35</v>
      </c>
      <c r="BT88" s="24">
        <f t="shared" si="21"/>
        <v>0.89337855</v>
      </c>
      <c r="BU88" s="24">
        <f t="shared" si="22"/>
        <v>0.0153214500000001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0.21</v>
      </c>
      <c r="BX88" s="24">
        <f>VLOOKUP($R88,武学奇术!$A:$ZZ,32,FALSE)</f>
        <v>0.4</v>
      </c>
      <c r="BY88" s="24" cm="1">
        <f t="array" ref="BY88">SUM(_xlfn.XLOOKUP($S88:$AL88,增益!$A:$A,增益!$X:$X,0))</f>
        <v>0</v>
      </c>
    </row>
    <row r="89" spans="1:77">
      <c r="A89" s="4"/>
      <c r="B89" s="4"/>
      <c r="K89" s="37">
        <f>$L89*VLOOKUP($R89,武学奇术!$A:$ZZ,31,FALSE)</f>
        <v>34346.4996057711</v>
      </c>
      <c r="L89" s="37">
        <f t="shared" si="23"/>
        <v>34346.4996057711</v>
      </c>
      <c r="M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*(1+$BX89)</f>
        <v>35272.5825169533</v>
      </c>
      <c r="N89" s="37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*(1+$BX89)</f>
        <v>28036.0596366482</v>
      </c>
      <c r="O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*(1+$BX89)</f>
        <v>18662.7420724621</v>
      </c>
      <c r="P89" s="37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*(1+$BX89)</f>
        <v>16558.0325622218</v>
      </c>
      <c r="Q89" s="38">
        <v>1</v>
      </c>
      <c r="R89" s="39" t="s">
        <v>169</v>
      </c>
      <c r="S89" s="39" t="s">
        <v>104</v>
      </c>
      <c r="T89" s="39" t="s">
        <v>194</v>
      </c>
      <c r="U89" s="39" t="s">
        <v>81</v>
      </c>
      <c r="V89" s="39" t="s">
        <v>84</v>
      </c>
      <c r="W89" s="39" t="s">
        <v>84</v>
      </c>
      <c r="X89" s="39" t="s">
        <v>84</v>
      </c>
      <c r="Y89" s="39" t="s">
        <v>84</v>
      </c>
      <c r="Z89" s="39" t="s">
        <v>195</v>
      </c>
      <c r="AA89" s="39" t="s">
        <v>84</v>
      </c>
      <c r="AB89" s="39" t="s">
        <v>205</v>
      </c>
      <c r="AC89" s="39" t="s">
        <v>84</v>
      </c>
      <c r="AD89" s="39" t="s">
        <v>93</v>
      </c>
      <c r="AE89" s="39" t="s">
        <v>84</v>
      </c>
      <c r="AF89" s="39" t="s">
        <v>88</v>
      </c>
      <c r="AG89" s="39" t="s">
        <v>84</v>
      </c>
      <c r="AH89" s="39" t="s">
        <v>84</v>
      </c>
      <c r="AI89" s="39" t="s">
        <v>84</v>
      </c>
      <c r="AJ89" s="39" t="s">
        <v>84</v>
      </c>
      <c r="AK89" s="39" t="s">
        <v>84</v>
      </c>
      <c r="AL89" s="39" t="s">
        <v>84</v>
      </c>
      <c r="AM89" t="str">
        <f>VLOOKUP($R89,武学奇术!$A:$ZZ,25,FALSE)</f>
        <v>拳甲</v>
      </c>
      <c r="AN89" s="24">
        <f>VLOOKUP($R89,武学奇术!$A:$ZZ,26,FALSE)</f>
        <v>0.9193</v>
      </c>
      <c r="AO89" s="25">
        <f>VLOOKUP($R89,武学奇术!$A:$ZZ,27,FALSE)*(1+IF(OR($AM89=$F$4,$AM89=$F$5),$B$22,0))</f>
        <v>408</v>
      </c>
      <c r="AP89" s="24">
        <f>VLOOKUP($R89,武学奇术!$A:$ZZ,28,FALSE)</f>
        <v>1.379</v>
      </c>
      <c r="AQ89" s="25">
        <f>VLOOKUP($R89,武学奇术!$A:$ZZ,29,FALSE)*(1+IF(OR($AM89=$F$4,$AM89=$F$5),$B$22,0))</f>
        <v>222.4</v>
      </c>
      <c r="AR89" s="24" cm="1">
        <f t="array" ref="AR89">$G$3+IFERROR(VLOOKUP($AM89,$F$4:$G$7,2,FALSE),0)+VLOOKUP($R89,武学奇术!$A:$ZZ,2,FALSE)+SUM(_xlfn.XLOOKUP($S89:$AL89,增益!$A:$A,增益!$B:$B,0))</f>
        <v>0.3243</v>
      </c>
      <c r="AS89" s="24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4274.25</v>
      </c>
      <c r="AU89" cm="1">
        <f t="array" ref="AU89">$E$10*(1+$AS89)+VLOOKUP($R89,武学奇术!$A:$ZZ,4,FALSE)+SUM(_xlfn.XLOOKUP($S89:$AL89,增益!$A:$A,增益!$D:$D,0))-$I$2</f>
        <v>4274.25</v>
      </c>
      <c r="AV89" s="31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0.3434</v>
      </c>
      <c r="AW89" s="31" cm="1">
        <f t="array" ref="AW89">$G$10+VLOOKUP($R89,武学奇术!$A:$ZZ,7,FALSE)+SUM(_xlfn.XLOOKUP($S89:$AL89,增益!$A:$A,增益!$G:$G,0))</f>
        <v>0.02</v>
      </c>
      <c r="AX89" s="24" cm="1">
        <f t="array" ref="AX89">VLOOKUP($R89,武学奇术!$A:$ZZ,8,FALSE)+SUM(_xlfn.XLOOKUP($S89:$AL89,增益!$A:$A,增益!$H:$H,0))</f>
        <v>0</v>
      </c>
      <c r="AY89">
        <f t="shared" si="13"/>
        <v>0</v>
      </c>
      <c r="AZ89">
        <f t="shared" si="14"/>
        <v>0</v>
      </c>
      <c r="BA89" s="31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1" cm="1">
        <f t="array" ref="BB89">$G$11+VLOOKUP($R89,武学奇术!$A:$ZZ,10,FALSE)+SUM(_xlfn.XLOOKUP($S89:$AL89,增益!$A:$A,增益!$J:$J,0))</f>
        <v>0.02</v>
      </c>
      <c r="BC89">
        <f t="shared" si="15"/>
        <v>0</v>
      </c>
      <c r="BD89">
        <f t="shared" si="16"/>
        <v>0</v>
      </c>
      <c r="BE89" s="31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1" cm="1">
        <f t="array" ref="BF89">$G$12+VLOOKUP($R89,武学奇术!$A:$ZZ,12,FALSE)+SUM(_xlfn.XLOOKUP($S89:$AL89,增益!$A:$A,增益!$L:$L,0))</f>
        <v>0.02</v>
      </c>
      <c r="BG89">
        <f t="shared" si="17"/>
        <v>0</v>
      </c>
      <c r="BH89">
        <f t="shared" si="18"/>
        <v>0</v>
      </c>
      <c r="BI89" s="31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-0.3</v>
      </c>
      <c r="BJ89" s="31" cm="1">
        <f t="array" ref="BJ89">$G$13+VLOOKUP($R89,武学奇术!$A:$ZZ,14,FALSE)+SUM(_xlfn.XLOOKUP($S89:$AL89,增益!$A:$A,增益!$N:$N,0))</f>
        <v>0.02</v>
      </c>
      <c r="BK89">
        <f t="shared" si="19"/>
        <v>649.11</v>
      </c>
      <c r="BL89">
        <f t="shared" si="20"/>
        <v>1812.09</v>
      </c>
      <c r="BM89" s="31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</v>
      </c>
      <c r="BN89" s="31" cm="1">
        <f t="array" ref="BN89">$G$14+VLOOKUP($R89,武学奇术!$A:$ZZ,16,FALSE)+SUM(_xlfn.XLOOKUP($S89:$AL89,增益!$A:$A,增益!$P:$P,0))</f>
        <v>0.17</v>
      </c>
      <c r="BO89" s="24">
        <f>MIN(IF(VLOOKUP($R89,武学奇术!$A:$ZZ,23,FALSE)=1,100%,$B$8),100%)</f>
        <v>0.9943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0.8985</v>
      </c>
      <c r="BQ89" s="24" cm="1">
        <f t="array" ref="BQ89">1+$B$13+VLOOKUP($R89,武学奇术!$A:$ZZ,18,FALSE)+SUM(_xlfn.XLOOKUP($S89:$AL89,增益!$A:$A,增益!$R:$R,0))</f>
        <v>1.89</v>
      </c>
      <c r="BR89" s="24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4" cm="1">
        <f t="array" ref="BS89">1+$B$14+VLOOKUP($R89,武学奇术!$A:$ZZ,20,FALSE)+SUM(_xlfn.XLOOKUP($S89:$AL89,增益!$A:$A,增益!$T:$T,0))</f>
        <v>1.35</v>
      </c>
      <c r="BT89" s="24">
        <f t="shared" si="21"/>
        <v>0.89337855</v>
      </c>
      <c r="BU89" s="24">
        <f t="shared" si="22"/>
        <v>0.01014186</v>
      </c>
      <c r="BV89" s="24">
        <f>IF(VLOOKUP($R89,武学奇术!$A:$ZZ,22,FALSE)=1,0,(1-$BO89))*(1-$BR89)</f>
        <v>0.00517959000000003</v>
      </c>
      <c r="BW89" s="24" cm="1">
        <f t="array" ref="BW89">SUM(_xlfn.XLOOKUP($S89:$AL89,增益!$A:$A,增益!$W:$W,0))+$I$5</f>
        <v>0.21</v>
      </c>
      <c r="BX89" s="24">
        <f>VLOOKUP($R89,武学奇术!$A:$ZZ,32,FALSE)</f>
        <v>0.4</v>
      </c>
      <c r="BY89" s="24" cm="1">
        <f t="array" ref="BY89">SUM(_xlfn.XLOOKUP($S89:$AL89,增益!$A:$A,增益!$X:$X,0))</f>
        <v>0</v>
      </c>
    </row>
    <row r="90" spans="1:77">
      <c r="A90" s="4"/>
      <c r="B90" s="4"/>
      <c r="K90" s="37">
        <f>$L90*VLOOKUP($R90,武学奇术!$A:$ZZ,31,FALSE)</f>
        <v>46040.2121862629</v>
      </c>
      <c r="L90" s="37">
        <f t="shared" si="23"/>
        <v>46040.2121862629</v>
      </c>
      <c r="M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*(1+$BX90)</f>
        <v>47281.6104316858</v>
      </c>
      <c r="N90" s="37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*(1+$BX90)</f>
        <v>37581.1110257386</v>
      </c>
      <c r="O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*(1+$BX90)</f>
        <v>25016.72509613</v>
      </c>
      <c r="P90" s="37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*(1+$BX90)</f>
        <v>22195.5901731945</v>
      </c>
      <c r="Q90" s="38">
        <v>1</v>
      </c>
      <c r="R90" s="39" t="s">
        <v>173</v>
      </c>
      <c r="S90" s="39" t="s">
        <v>104</v>
      </c>
      <c r="T90" s="39" t="s">
        <v>194</v>
      </c>
      <c r="U90" s="39" t="s">
        <v>81</v>
      </c>
      <c r="V90" s="39" t="s">
        <v>84</v>
      </c>
      <c r="W90" s="39" t="s">
        <v>84</v>
      </c>
      <c r="X90" s="39" t="s">
        <v>84</v>
      </c>
      <c r="Y90" s="39" t="s">
        <v>84</v>
      </c>
      <c r="Z90" s="39" t="s">
        <v>195</v>
      </c>
      <c r="AA90" s="39" t="s">
        <v>84</v>
      </c>
      <c r="AB90" s="39" t="s">
        <v>205</v>
      </c>
      <c r="AC90" s="39" t="s">
        <v>84</v>
      </c>
      <c r="AD90" s="39" t="s">
        <v>93</v>
      </c>
      <c r="AE90" s="39" t="s">
        <v>84</v>
      </c>
      <c r="AF90" s="39" t="s">
        <v>88</v>
      </c>
      <c r="AG90" s="39" t="s">
        <v>84</v>
      </c>
      <c r="AH90" s="39" t="s">
        <v>84</v>
      </c>
      <c r="AI90" s="39" t="s">
        <v>84</v>
      </c>
      <c r="AJ90" s="39" t="s">
        <v>84</v>
      </c>
      <c r="AK90" s="39" t="s">
        <v>84</v>
      </c>
      <c r="AL90" s="39" t="s">
        <v>84</v>
      </c>
      <c r="AM90" t="str">
        <f>VLOOKUP($R90,武学奇术!$A:$ZZ,25,FALSE)</f>
        <v>拳甲</v>
      </c>
      <c r="AN90" s="24">
        <f>VLOOKUP($R90,武学奇术!$A:$ZZ,26,FALSE)</f>
        <v>1.2324</v>
      </c>
      <c r="AO90" s="25">
        <f>VLOOKUP($R90,武学奇术!$A:$ZZ,27,FALSE)*(1+IF(OR($AM90=$F$4,$AM90=$F$5),$B$22,0))</f>
        <v>547.2</v>
      </c>
      <c r="AP90" s="24">
        <f>VLOOKUP($R90,武学奇术!$A:$ZZ,28,FALSE)</f>
        <v>1.8484</v>
      </c>
      <c r="AQ90" s="25">
        <f>VLOOKUP($R90,武学奇术!$A:$ZZ,29,FALSE)*(1+IF(OR($AM90=$F$4,$AM90=$F$5),$B$22,0))</f>
        <v>297.6</v>
      </c>
      <c r="AR90" s="24" cm="1">
        <f t="array" ref="AR90">$G$3+IFERROR(VLOOKUP($AM90,$F$4:$G$7,2,FALSE),0)+VLOOKUP($R90,武学奇术!$A:$ZZ,2,FALSE)+SUM(_xlfn.XLOOKUP($S90:$AL90,增益!$A:$A,增益!$B:$B,0))</f>
        <v>0.3243</v>
      </c>
      <c r="AS90" s="24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4274.25</v>
      </c>
      <c r="AU90" cm="1">
        <f t="array" ref="AU90">$E$10*(1+$AS90)+VLOOKUP($R90,武学奇术!$A:$ZZ,4,FALSE)+SUM(_xlfn.XLOOKUP($S90:$AL90,增益!$A:$A,增益!$D:$D,0))-$I$2</f>
        <v>4274.25</v>
      </c>
      <c r="AV90" s="31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0.3434</v>
      </c>
      <c r="AW90" s="31" cm="1">
        <f t="array" ref="AW90">$G$10+VLOOKUP($R90,武学奇术!$A:$ZZ,7,FALSE)+SUM(_xlfn.XLOOKUP($S90:$AL90,增益!$A:$A,增益!$G:$G,0))</f>
        <v>0.02</v>
      </c>
      <c r="AX90" s="24" cm="1">
        <f t="array" ref="AX90">VLOOKUP($R90,武学奇术!$A:$ZZ,8,FALSE)+SUM(_xlfn.XLOOKUP($S90:$AL90,增益!$A:$A,增益!$H:$H,0))</f>
        <v>0</v>
      </c>
      <c r="AY90">
        <f t="shared" si="13"/>
        <v>0</v>
      </c>
      <c r="AZ90">
        <f t="shared" si="14"/>
        <v>0</v>
      </c>
      <c r="BA90" s="31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1" cm="1">
        <f t="array" ref="BB90">$G$11+VLOOKUP($R90,武学奇术!$A:$ZZ,10,FALSE)+SUM(_xlfn.XLOOKUP($S90:$AL90,增益!$A:$A,增益!$J:$J,0))</f>
        <v>0.02</v>
      </c>
      <c r="BC90">
        <f t="shared" si="15"/>
        <v>0</v>
      </c>
      <c r="BD90">
        <f t="shared" si="16"/>
        <v>0</v>
      </c>
      <c r="BE90" s="31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1" cm="1">
        <f t="array" ref="BF90">$G$12+VLOOKUP($R90,武学奇术!$A:$ZZ,12,FALSE)+SUM(_xlfn.XLOOKUP($S90:$AL90,增益!$A:$A,增益!$L:$L,0))</f>
        <v>0.02</v>
      </c>
      <c r="BG90">
        <f t="shared" si="17"/>
        <v>0</v>
      </c>
      <c r="BH90">
        <f t="shared" si="18"/>
        <v>0</v>
      </c>
      <c r="BI90" s="31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31" cm="1">
        <f t="array" ref="BJ90">$G$13+VLOOKUP($R90,武学奇术!$A:$ZZ,14,FALSE)+SUM(_xlfn.XLOOKUP($S90:$AL90,增益!$A:$A,增益!$N:$N,0))</f>
        <v>0.02</v>
      </c>
      <c r="BK90">
        <f t="shared" si="19"/>
        <v>649.11</v>
      </c>
      <c r="BL90">
        <f t="shared" si="20"/>
        <v>1812.09</v>
      </c>
      <c r="BM90" s="31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31" cm="1">
        <f t="array" ref="BN90">$G$14+VLOOKUP($R90,武学奇术!$A:$ZZ,16,FALSE)+SUM(_xlfn.XLOOKUP($S90:$AL90,增益!$A:$A,增益!$P:$P,0))</f>
        <v>0.17</v>
      </c>
      <c r="BO90" s="24">
        <f>MIN(IF(VLOOKUP($R90,武学奇术!$A:$ZZ,23,FALSE)=1,100%,$B$8),100%)</f>
        <v>0.9943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0.8985</v>
      </c>
      <c r="BQ90" s="24" cm="1">
        <f t="array" ref="BQ90">1+$B$13+VLOOKUP($R90,武学奇术!$A:$ZZ,18,FALSE)+SUM(_xlfn.XLOOKUP($S90:$AL90,增益!$A:$A,增益!$R:$R,0))</f>
        <v>1.89</v>
      </c>
      <c r="BR90" s="24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4" cm="1">
        <f t="array" ref="BS90">1+$B$14+VLOOKUP($R90,武学奇术!$A:$ZZ,20,FALSE)+SUM(_xlfn.XLOOKUP($S90:$AL90,增益!$A:$A,增益!$T:$T,0))</f>
        <v>1.35</v>
      </c>
      <c r="BT90" s="24">
        <f t="shared" si="21"/>
        <v>0.89337855</v>
      </c>
      <c r="BU90" s="24">
        <f t="shared" si="22"/>
        <v>0.01014186</v>
      </c>
      <c r="BV90" s="24">
        <f>IF(VLOOKUP($R90,武学奇术!$A:$ZZ,22,FALSE)=1,0,(1-$BO90))*(1-$BR90)</f>
        <v>0.00517959000000003</v>
      </c>
      <c r="BW90" s="24" cm="1">
        <f t="array" ref="BW90">SUM(_xlfn.XLOOKUP($S90:$AL90,增益!$A:$A,增益!$W:$W,0))+$I$5</f>
        <v>0.21</v>
      </c>
      <c r="BX90" s="24">
        <f>VLOOKUP($R90,武学奇术!$A:$ZZ,32,FALSE)</f>
        <v>0.4</v>
      </c>
      <c r="BY90" s="24" cm="1">
        <f t="array" ref="BY90">SUM(_xlfn.XLOOKUP($S90:$AL90,增益!$A:$A,增益!$X:$X,0))</f>
        <v>0</v>
      </c>
    </row>
    <row r="91" spans="1:77">
      <c r="K91" s="37">
        <f>$L91*VLOOKUP($R91,武学奇术!$A:$ZZ,31,FALSE)</f>
        <v>78385.9993060268</v>
      </c>
      <c r="L91" s="37">
        <f t="shared" si="23"/>
        <v>48991.2495662667</v>
      </c>
      <c r="M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*(1+$BX91)</f>
        <v>50376.6745312164</v>
      </c>
      <c r="N91" s="37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*(1+$BX91)</f>
        <v>39484.5905737476</v>
      </c>
      <c r="O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*(1+$BX91)</f>
        <v>25967.3580057817</v>
      </c>
      <c r="P91" s="37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*(1+$BX91)</f>
        <v>22686.8711421206</v>
      </c>
      <c r="Q91" s="38">
        <v>1</v>
      </c>
      <c r="R91" s="39" t="s">
        <v>122</v>
      </c>
      <c r="S91" s="39" t="s">
        <v>104</v>
      </c>
      <c r="T91" s="39" t="s">
        <v>194</v>
      </c>
      <c r="U91" s="39" t="s">
        <v>81</v>
      </c>
      <c r="V91" s="39" t="s">
        <v>82</v>
      </c>
      <c r="W91" s="39" t="s">
        <v>83</v>
      </c>
      <c r="X91" s="39" t="s">
        <v>84</v>
      </c>
      <c r="Y91" s="39" t="s">
        <v>84</v>
      </c>
      <c r="Z91" s="39" t="s">
        <v>195</v>
      </c>
      <c r="AA91" s="39" t="s">
        <v>84</v>
      </c>
      <c r="AB91" s="39" t="s">
        <v>204</v>
      </c>
      <c r="AC91" s="39" t="s">
        <v>84</v>
      </c>
      <c r="AD91" s="39" t="s">
        <v>93</v>
      </c>
      <c r="AE91" s="39" t="s">
        <v>84</v>
      </c>
      <c r="AF91" s="39" t="s">
        <v>88</v>
      </c>
      <c r="AG91" s="39" t="s">
        <v>84</v>
      </c>
      <c r="AH91" s="39" t="s">
        <v>84</v>
      </c>
      <c r="AI91" s="39" t="s">
        <v>84</v>
      </c>
      <c r="AJ91" s="39" t="s">
        <v>84</v>
      </c>
      <c r="AK91" s="39" t="s">
        <v>84</v>
      </c>
      <c r="AL91" s="39" t="s">
        <v>84</v>
      </c>
      <c r="AM91" t="str">
        <f>VLOOKUP($R91,武学奇术!$A:$ZZ,25,FALSE)</f>
        <v>拳甲</v>
      </c>
      <c r="AN91" s="24">
        <f>VLOOKUP($R91,武学奇术!$A:$ZZ,26,FALSE)</f>
        <v>1.862784</v>
      </c>
      <c r="AO91" s="25">
        <f>VLOOKUP($R91,武学奇术!$A:$ZZ,27,FALSE)*(1+IF(OR($AM91=$F$4,$AM91=$F$5),$B$22,0))</f>
        <v>0</v>
      </c>
      <c r="AP91" s="24">
        <f>VLOOKUP($R91,武学奇术!$A:$ZZ,28,FALSE)</f>
        <v>2.794176</v>
      </c>
      <c r="AQ91" s="25">
        <f>VLOOKUP($R91,武学奇术!$A:$ZZ,29,FALSE)*(1+IF(OR($AM91=$F$4,$AM91=$F$5),$B$22,0))</f>
        <v>0</v>
      </c>
      <c r="AR91" s="24" cm="1">
        <f t="array" ref="AR91">$G$3+IFERROR(VLOOKUP($AM91,$F$4:$G$7,2,FALSE),0)+VLOOKUP($R91,武学奇术!$A:$ZZ,2,FALSE)+SUM(_xlfn.XLOOKUP($S91:$AL91,增益!$A:$A,增益!$B:$B,0))</f>
        <v>0.3243</v>
      </c>
      <c r="AS91" s="24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4274.25</v>
      </c>
      <c r="AU91" cm="1">
        <f t="array" ref="AU91">$E$10*(1+$AS91)+VLOOKUP($R91,武学奇术!$A:$ZZ,4,FALSE)+SUM(_xlfn.XLOOKUP($S91:$AL91,增益!$A:$A,增益!$D:$D,0))-$I$2</f>
        <v>4274.25</v>
      </c>
      <c r="AV91" s="31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0.3434</v>
      </c>
      <c r="AW91" s="31" cm="1">
        <f t="array" ref="AW91">$G$10+VLOOKUP($R91,武学奇术!$A:$ZZ,7,FALSE)+SUM(_xlfn.XLOOKUP($S91:$AL91,增益!$A:$A,增益!$G:$G,0))</f>
        <v>0.11</v>
      </c>
      <c r="AX91" s="24" cm="1">
        <f t="array" ref="AX91">VLOOKUP($R91,武学奇术!$A:$ZZ,8,FALSE)+SUM(_xlfn.XLOOKUP($S91:$AL91,增益!$A:$A,增益!$H:$H,0))</f>
        <v>0</v>
      </c>
      <c r="AY91">
        <f t="shared" si="13"/>
        <v>0</v>
      </c>
      <c r="AZ91">
        <f t="shared" si="14"/>
        <v>0</v>
      </c>
      <c r="BA91" s="31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1" cm="1">
        <f t="array" ref="BB91">$G$11+VLOOKUP($R91,武学奇术!$A:$ZZ,10,FALSE)+SUM(_xlfn.XLOOKUP($S91:$AL91,增益!$A:$A,增益!$J:$J,0))</f>
        <v>0.02</v>
      </c>
      <c r="BC91">
        <f t="shared" si="15"/>
        <v>0</v>
      </c>
      <c r="BD91">
        <f t="shared" si="16"/>
        <v>0</v>
      </c>
      <c r="BE91" s="31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1" cm="1">
        <f t="array" ref="BF91">$G$12+VLOOKUP($R91,武学奇术!$A:$ZZ,12,FALSE)+SUM(_xlfn.XLOOKUP($S91:$AL91,增益!$A:$A,增益!$L:$L,0))</f>
        <v>0.02</v>
      </c>
      <c r="BG91">
        <f t="shared" si="17"/>
        <v>0</v>
      </c>
      <c r="BH91">
        <f t="shared" si="18"/>
        <v>0</v>
      </c>
      <c r="BI91" s="31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1" cm="1">
        <f t="array" ref="BJ91">$G$13+VLOOKUP($R91,武学奇术!$A:$ZZ,14,FALSE)+SUM(_xlfn.XLOOKUP($S91:$AL91,增益!$A:$A,增益!$N:$N,0))</f>
        <v>0.02</v>
      </c>
      <c r="BK91">
        <f t="shared" si="19"/>
        <v>649.11</v>
      </c>
      <c r="BL91">
        <f t="shared" si="20"/>
        <v>1812.09</v>
      </c>
      <c r="BM91" s="31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1" cm="1">
        <f t="array" ref="BN91">$G$14+VLOOKUP($R91,武学奇术!$A:$ZZ,16,FALSE)+SUM(_xlfn.XLOOKUP($S91:$AL91,增益!$A:$A,增益!$P:$P,0))</f>
        <v>0.26</v>
      </c>
      <c r="BO91" s="24">
        <f>MIN(IF(VLOOKUP($R91,武学奇术!$A:$ZZ,23,FALSE)=1,100%,$B$8),100%)</f>
        <v>0.9943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0.8985</v>
      </c>
      <c r="BQ91" s="24" cm="1">
        <f t="array" ref="BQ91">1+$B$13+VLOOKUP($R91,武学奇术!$A:$ZZ,18,FALSE)+SUM(_xlfn.XLOOKUP($S91:$AL91,增益!$A:$A,增益!$R:$R,0))</f>
        <v>1.94</v>
      </c>
      <c r="BR91" s="24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4" cm="1">
        <f t="array" ref="BS91">1+$B$14+VLOOKUP($R91,武学奇术!$A:$ZZ,20,FALSE)+SUM(_xlfn.XLOOKUP($S91:$AL91,增益!$A:$A,增益!$T:$T,0))</f>
        <v>1.35</v>
      </c>
      <c r="BT91" s="24">
        <f t="shared" si="21"/>
        <v>0.89337855</v>
      </c>
      <c r="BU91" s="24">
        <f t="shared" si="22"/>
        <v>0.01014186</v>
      </c>
      <c r="BV91" s="24">
        <f>IF(VLOOKUP($R91,武学奇术!$A:$ZZ,22,FALSE)=1,0,(1-$BO91))*(1-$BR91)</f>
        <v>0.00517959000000003</v>
      </c>
      <c r="BW91" s="24" cm="1">
        <f t="array" ref="BW91">SUM(_xlfn.XLOOKUP($S91:$AL91,增益!$A:$A,增益!$W:$W,0))+$I$5</f>
        <v>0.21</v>
      </c>
      <c r="BX91" s="24">
        <f>VLOOKUP($R91,武学奇术!$A:$ZZ,32,FALSE)</f>
        <v>0</v>
      </c>
      <c r="BY91" s="24" cm="1">
        <f t="array" ref="BY91">SUM(_xlfn.XLOOKUP($S91:$AL91,增益!$A:$A,增益!$X:$X,0))</f>
        <v>0</v>
      </c>
    </row>
    <row r="92" spans="1:77">
      <c r="K92" s="37">
        <f>$L92*VLOOKUP($R92,武学奇术!$A:$ZZ,31,FALSE)</f>
        <v>37352.3964359414</v>
      </c>
      <c r="L92" s="37">
        <f t="shared" si="23"/>
        <v>37352.3964359414</v>
      </c>
      <c r="M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*(1+$BX92)</f>
        <v>38443.3457767668</v>
      </c>
      <c r="N92" s="37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*(1+$BX92)</f>
        <v>29746.0201059036</v>
      </c>
      <c r="O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*(1+$BX92)</f>
        <v>19816.1576168901</v>
      </c>
      <c r="P92" s="37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*(1+$BX92)</f>
        <v>17598.2262664442</v>
      </c>
      <c r="Q92" s="38">
        <v>1</v>
      </c>
      <c r="R92" s="39" t="s">
        <v>115</v>
      </c>
      <c r="S92" s="39" t="s">
        <v>104</v>
      </c>
      <c r="T92" s="39" t="s">
        <v>194</v>
      </c>
      <c r="U92" s="39" t="s">
        <v>81</v>
      </c>
      <c r="V92" s="39" t="s">
        <v>82</v>
      </c>
      <c r="W92" s="39" t="s">
        <v>83</v>
      </c>
      <c r="X92" s="39" t="s">
        <v>84</v>
      </c>
      <c r="Y92" s="39" t="s">
        <v>84</v>
      </c>
      <c r="Z92" s="39" t="s">
        <v>84</v>
      </c>
      <c r="AA92" s="39" t="s">
        <v>84</v>
      </c>
      <c r="AB92" s="39" t="s">
        <v>204</v>
      </c>
      <c r="AC92" s="39" t="s">
        <v>84</v>
      </c>
      <c r="AD92" s="39" t="s">
        <v>93</v>
      </c>
      <c r="AE92" s="39" t="s">
        <v>84</v>
      </c>
      <c r="AF92" s="39" t="s">
        <v>88</v>
      </c>
      <c r="AG92" s="39" t="s">
        <v>84</v>
      </c>
      <c r="AH92" s="39" t="s">
        <v>84</v>
      </c>
      <c r="AI92" s="39" t="s">
        <v>84</v>
      </c>
      <c r="AJ92" s="39" t="s">
        <v>84</v>
      </c>
      <c r="AK92" s="39" t="s">
        <v>84</v>
      </c>
      <c r="AL92" s="39" t="s">
        <v>84</v>
      </c>
      <c r="AM92" t="str">
        <f>VLOOKUP($R92,武学奇术!$A:$ZZ,25,FALSE)</f>
        <v>双刀</v>
      </c>
      <c r="AN92" s="24">
        <f>VLOOKUP($R92,武学奇术!$A:$ZZ,26,FALSE)</f>
        <v>1.3728</v>
      </c>
      <c r="AO92" s="25">
        <f>VLOOKUP($R92,武学奇术!$A:$ZZ,27,FALSE)*(1+IF(OR($AM92=$F$4,$AM92=$F$5),$B$22,0))</f>
        <v>609.44</v>
      </c>
      <c r="AP92" s="24">
        <f>VLOOKUP($R92,武学奇术!$A:$ZZ,28,FALSE)</f>
        <v>2.05933</v>
      </c>
      <c r="AQ92" s="25">
        <f>VLOOKUP($R92,武学奇术!$A:$ZZ,29,FALSE)*(1+IF(OR($AM92=$F$4,$AM92=$F$5),$B$22,0))</f>
        <v>332.8</v>
      </c>
      <c r="AR92" s="24" cm="1">
        <f t="array" ref="AR92">$G$3+IFERROR(VLOOKUP($AM92,$F$4:$G$7,2,FALSE),0)+VLOOKUP($R92,武学奇术!$A:$ZZ,2,FALSE)+SUM(_xlfn.XLOOKUP($S92:$AL92,增益!$A:$A,增益!$B:$B,0))</f>
        <v>0.3243</v>
      </c>
      <c r="AS92" s="24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4274.25</v>
      </c>
      <c r="AU92" cm="1">
        <f t="array" ref="AU92">$E$10*(1+$AS92)+VLOOKUP($R92,武学奇术!$A:$ZZ,4,FALSE)+SUM(_xlfn.XLOOKUP($S92:$AL92,增益!$A:$A,增益!$D:$D,0))-$I$2</f>
        <v>4274.25</v>
      </c>
      <c r="AV92" s="31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0.3434</v>
      </c>
      <c r="AW92" s="31" cm="1">
        <f t="array" ref="AW92">$G$10+VLOOKUP($R92,武学奇术!$A:$ZZ,7,FALSE)+SUM(_xlfn.XLOOKUP($S92:$AL92,增益!$A:$A,增益!$G:$G,0))</f>
        <v>0.11</v>
      </c>
      <c r="AX92" s="24" cm="1">
        <f t="array" ref="AX92">VLOOKUP($R92,武学奇术!$A:$ZZ,8,FALSE)+SUM(_xlfn.XLOOKUP($S92:$AL92,增益!$A:$A,增益!$H:$H,0))</f>
        <v>0</v>
      </c>
      <c r="AY92">
        <f t="shared" si="13"/>
        <v>0</v>
      </c>
      <c r="AZ92">
        <f t="shared" si="14"/>
        <v>0</v>
      </c>
      <c r="BA92" s="31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1" cm="1">
        <f t="array" ref="BB92">$G$11+VLOOKUP($R92,武学奇术!$A:$ZZ,10,FALSE)+SUM(_xlfn.XLOOKUP($S92:$AL92,增益!$A:$A,增益!$J:$J,0))</f>
        <v>0.02</v>
      </c>
      <c r="BC92">
        <f t="shared" si="15"/>
        <v>0</v>
      </c>
      <c r="BD92">
        <f t="shared" si="16"/>
        <v>0</v>
      </c>
      <c r="BE92" s="31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1" cm="1">
        <f t="array" ref="BF92">$G$12+VLOOKUP($R92,武学奇术!$A:$ZZ,12,FALSE)+SUM(_xlfn.XLOOKUP($S92:$AL92,增益!$A:$A,增益!$L:$L,0))</f>
        <v>0.02</v>
      </c>
      <c r="BG92">
        <f t="shared" si="17"/>
        <v>0</v>
      </c>
      <c r="BH92">
        <f t="shared" si="18"/>
        <v>0</v>
      </c>
      <c r="BI92" s="31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-0.3</v>
      </c>
      <c r="BJ92" s="31" cm="1">
        <f t="array" ref="BJ92">$G$13+VLOOKUP($R92,武学奇术!$A:$ZZ,14,FALSE)+SUM(_xlfn.XLOOKUP($S92:$AL92,增益!$A:$A,增益!$N:$N,0))</f>
        <v>0.02</v>
      </c>
      <c r="BK92">
        <f t="shared" si="19"/>
        <v>649.11</v>
      </c>
      <c r="BL92">
        <f t="shared" si="20"/>
        <v>1812.09</v>
      </c>
      <c r="BM92" s="31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</v>
      </c>
      <c r="BN92" s="31" cm="1">
        <f t="array" ref="BN92">$G$14+VLOOKUP($R92,武学奇术!$A:$ZZ,16,FALSE)+SUM(_xlfn.XLOOKUP($S92:$AL92,增益!$A:$A,增益!$P:$P,0))</f>
        <v>0.26</v>
      </c>
      <c r="BO92" s="24">
        <f>MIN(IF(VLOOKUP($R92,武学奇术!$A:$ZZ,23,FALSE)=1,100%,$B$8),100%)</f>
        <v>0.9943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0.8985</v>
      </c>
      <c r="BQ92" s="24" cm="1">
        <f t="array" ref="BQ92">1+$B$13+VLOOKUP($R92,武学奇术!$A:$ZZ,18,FALSE)+SUM(_xlfn.XLOOKUP($S92:$AL92,增益!$A:$A,增益!$R:$R,0))</f>
        <v>1.94</v>
      </c>
      <c r="BR92" s="24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4" cm="1">
        <f t="array" ref="BS92">1+$B$14+VLOOKUP($R92,武学奇术!$A:$ZZ,20,FALSE)+SUM(_xlfn.XLOOKUP($S92:$AL92,增益!$A:$A,增益!$T:$T,0))</f>
        <v>1.35</v>
      </c>
      <c r="BT92" s="24">
        <f t="shared" si="21"/>
        <v>0.89337855</v>
      </c>
      <c r="BU92" s="24">
        <f t="shared" si="22"/>
        <v>0.01014186</v>
      </c>
      <c r="BV92" s="24">
        <f>IF(VLOOKUP($R92,武学奇术!$A:$ZZ,22,FALSE)=1,0,(1-$BO92))*(1-$BR92)</f>
        <v>0.00517959000000003</v>
      </c>
      <c r="BW92" s="24" cm="1">
        <f t="array" ref="BW92">SUM(_xlfn.XLOOKUP($S92:$AL92,增益!$A:$A,增益!$W:$W,0))+$I$5</f>
        <v>0.11</v>
      </c>
      <c r="BX92" s="24">
        <f>VLOOKUP($R92,武学奇术!$A:$ZZ,32,FALSE)</f>
        <v>0</v>
      </c>
      <c r="BY92" s="24" cm="1">
        <f t="array" ref="BY92">SUM(_xlfn.XLOOKUP($S92:$AL92,增益!$A:$A,增益!$X:$X,0))</f>
        <v>0</v>
      </c>
    </row>
    <row r="93" spans="1:77">
      <c r="A93" s="4"/>
      <c r="B93" s="90"/>
      <c r="K93" s="37">
        <f>$L93*VLOOKUP($R93,武学奇术!$A:$ZZ,31,FALSE)</f>
        <v>222664.303080385</v>
      </c>
      <c r="L93" s="89">
        <f>SUM(L80:L88)*0.2*(1+BY93)</f>
        <v>445328.60616077</v>
      </c>
      <c r="M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*(1+$BX93)</f>
        <v>0</v>
      </c>
      <c r="N93" s="37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*(1+$BX93)</f>
        <v>0</v>
      </c>
      <c r="O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*(1+$BX93)</f>
        <v>0</v>
      </c>
      <c r="P93" s="37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*(1+$BX93)</f>
        <v>0</v>
      </c>
      <c r="Q93" s="38">
        <v>1</v>
      </c>
      <c r="R93" s="39" t="s">
        <v>180</v>
      </c>
      <c r="S93" s="39" t="s">
        <v>181</v>
      </c>
      <c r="T93" s="39" t="s">
        <v>84</v>
      </c>
      <c r="U93" s="39" t="s">
        <v>84</v>
      </c>
      <c r="V93" s="39" t="s">
        <v>84</v>
      </c>
      <c r="W93" s="39" t="s">
        <v>84</v>
      </c>
      <c r="X93" s="39" t="s">
        <v>84</v>
      </c>
      <c r="Y93" s="39" t="s">
        <v>84</v>
      </c>
      <c r="Z93" s="39" t="s">
        <v>84</v>
      </c>
      <c r="AA93" s="39" t="s">
        <v>84</v>
      </c>
      <c r="AB93" s="39" t="s">
        <v>84</v>
      </c>
      <c r="AC93" s="39" t="s">
        <v>84</v>
      </c>
      <c r="AD93" s="39" t="s">
        <v>84</v>
      </c>
      <c r="AE93" s="39" t="s">
        <v>84</v>
      </c>
      <c r="AF93" s="39" t="s">
        <v>88</v>
      </c>
      <c r="AG93" s="39" t="s">
        <v>84</v>
      </c>
      <c r="AH93" s="39" t="s">
        <v>84</v>
      </c>
      <c r="AI93" s="39" t="s">
        <v>84</v>
      </c>
      <c r="AJ93" s="39" t="s">
        <v>84</v>
      </c>
      <c r="AK93" s="39" t="s">
        <v>84</v>
      </c>
      <c r="AL93" s="39" t="s">
        <v>84</v>
      </c>
      <c r="AM93" t="str">
        <f>VLOOKUP($R93,武学奇术!$A:$ZZ,25,FALSE)</f>
        <v>心法</v>
      </c>
      <c r="AN93" s="24">
        <f>VLOOKUP($R93,武学奇术!$A:$ZZ,26,FALSE)</f>
        <v>0</v>
      </c>
      <c r="AO93" s="25">
        <f>VLOOKUP($R93,武学奇术!$A:$ZZ,27,FALSE)*(1+IF(OR($AM93=$F$4,$AM93=$F$5),$B$22,0))</f>
        <v>0</v>
      </c>
      <c r="AP93" s="24">
        <f>VLOOKUP($R93,武学奇术!$A:$ZZ,28,FALSE)</f>
        <v>0</v>
      </c>
      <c r="AQ93" s="25">
        <f>VLOOKUP($R93,武学奇术!$A:$ZZ,29,FALSE)*(1+IF(OR($AM93=$F$4,$AM93=$F$5),$B$22,0))</f>
        <v>0</v>
      </c>
      <c r="AR93" s="24" cm="1">
        <f t="array" ref="AR93">$G$3+IFERROR(VLOOKUP($AM93,$F$4:$G$7,2,FALSE),0)+VLOOKUP($R93,武学奇术!$A:$ZZ,2,FALSE)+SUM(_xlfn.XLOOKUP($S93:$AL93,增益!$A:$A,增益!$B:$B,0))</f>
        <v>0.1042</v>
      </c>
      <c r="AS93" s="24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4274.25</v>
      </c>
      <c r="AU93" cm="1">
        <f t="array" ref="AU93">$E$10*(1+$AS93)+VLOOKUP($R93,武学奇术!$A:$ZZ,4,FALSE)+SUM(_xlfn.XLOOKUP($S93:$AL93,增益!$A:$A,增益!$D:$D,0))-$I$2</f>
        <v>4274.25</v>
      </c>
      <c r="AV93" s="31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0.1684</v>
      </c>
      <c r="AW93" s="31" cm="1">
        <f t="array" ref="AW93">$G$10+VLOOKUP($R93,武学奇术!$A:$ZZ,7,FALSE)+SUM(_xlfn.XLOOKUP($S93:$AL93,增益!$A:$A,增益!$G:$G,0))</f>
        <v>0</v>
      </c>
      <c r="AX93" s="24" cm="1">
        <f t="array" ref="AX93">VLOOKUP($R93,武学奇术!$A:$ZZ,8,FALSE)+SUM(_xlfn.XLOOKUP($S93:$AL93,增益!$A:$A,增益!$H:$H,0))</f>
        <v>0</v>
      </c>
      <c r="AY93">
        <f t="shared" si="13"/>
        <v>0</v>
      </c>
      <c r="AZ93">
        <f t="shared" si="14"/>
        <v>0</v>
      </c>
      <c r="BA93" s="31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1" cm="1">
        <f t="array" ref="BB93">$G$11+VLOOKUP($R93,武学奇术!$A:$ZZ,10,FALSE)+SUM(_xlfn.XLOOKUP($S93:$AL93,增益!$A:$A,增益!$J:$J,0))</f>
        <v>0</v>
      </c>
      <c r="BC93">
        <f t="shared" si="15"/>
        <v>0</v>
      </c>
      <c r="BD93">
        <f t="shared" si="16"/>
        <v>0</v>
      </c>
      <c r="BE93" s="31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1" cm="1">
        <f t="array" ref="BF93">$G$12+VLOOKUP($R93,武学奇术!$A:$ZZ,12,FALSE)+SUM(_xlfn.XLOOKUP($S93:$AL93,增益!$A:$A,增益!$L:$L,0))</f>
        <v>0</v>
      </c>
      <c r="BG93">
        <f t="shared" si="17"/>
        <v>0</v>
      </c>
      <c r="BH93">
        <f t="shared" si="18"/>
        <v>0</v>
      </c>
      <c r="BI93" s="31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1" cm="1">
        <f t="array" ref="BJ93">$G$13+VLOOKUP($R93,武学奇术!$A:$ZZ,14,FALSE)+SUM(_xlfn.XLOOKUP($S93:$AL93,增益!$A:$A,增益!$N:$N,0))</f>
        <v>0</v>
      </c>
      <c r="BK93">
        <f t="shared" si="19"/>
        <v>649.11</v>
      </c>
      <c r="BL93">
        <f t="shared" si="20"/>
        <v>1812.09</v>
      </c>
      <c r="BM93" s="31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1" cm="1">
        <f t="array" ref="BN93">$G$14+VLOOKUP($R93,武学奇术!$A:$ZZ,16,FALSE)+SUM(_xlfn.XLOOKUP($S93:$AL93,增益!$A:$A,增益!$P:$P,0))</f>
        <v>0.15</v>
      </c>
      <c r="BO93" s="24">
        <f>MIN(IF(VLOOKUP($R93,武学奇术!$A:$ZZ,23,FALSE)=1,100%,$B$8),100%)</f>
        <v>0.9943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0.8985</v>
      </c>
      <c r="BQ93" s="24" cm="1">
        <f t="array" ref="BQ93">1+$B$13+VLOOKUP($R93,武学奇术!$A:$ZZ,18,FALSE)+SUM(_xlfn.XLOOKUP($S93:$AL93,增益!$A:$A,增益!$R:$R,0))</f>
        <v>1.54</v>
      </c>
      <c r="BR93" s="24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4" cm="1">
        <f t="array" ref="BS93">1+$B$14+VLOOKUP($R93,武学奇术!$A:$ZZ,20,FALSE)+SUM(_xlfn.XLOOKUP($S93:$AL93,增益!$A:$A,增益!$T:$T,0))</f>
        <v>1.35</v>
      </c>
      <c r="BT93" s="24">
        <f t="shared" si="21"/>
        <v>0.89337855</v>
      </c>
      <c r="BU93" s="24">
        <f t="shared" si="22"/>
        <v>0.01014186</v>
      </c>
      <c r="BV93" s="24">
        <f>IF(VLOOKUP($R93,武学奇术!$A:$ZZ,22,FALSE)=1,0,(1-$BO93))*(1-$BR93)</f>
        <v>0.00517959000000003</v>
      </c>
      <c r="BW93" s="24" cm="1">
        <f t="array" ref="BW93">SUM(_xlfn.XLOOKUP($S93:$AL93,增益!$A:$A,增益!$W:$W,0))+$I$5</f>
        <v>0.11</v>
      </c>
      <c r="BX93" s="24">
        <f>VLOOKUP($R93,武学奇术!$A:$ZZ,32,FALSE)</f>
        <v>0</v>
      </c>
      <c r="BY93" s="24" cm="1">
        <f t="array" ref="BY93">SUM(_xlfn.XLOOKUP($S93:$AL93,增益!$A:$A,增益!$X:$X,0))</f>
        <v>0.2</v>
      </c>
    </row>
    <row r="94" spans="1:77">
      <c r="A94" s="4"/>
      <c r="B94" s="90"/>
      <c r="K94" s="37">
        <f>$L94*VLOOKUP($R94,武学奇术!$A:$ZZ,31,FALSE)</f>
        <v>51154.2296346534</v>
      </c>
      <c r="L94" s="37">
        <f t="shared" ref="L94:L106" si="24">($M94*$BT94+$N94*$BR94+$O94*$BU94+$P94*$BV94)</f>
        <v>51154.2296346534</v>
      </c>
      <c r="M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*(1+$BX94)</f>
        <v>53222.2234858733</v>
      </c>
      <c r="N94" s="37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*(1+$BX94)</f>
        <v>35666.7869044765</v>
      </c>
      <c r="O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*(1+$BX94)</f>
        <v>23759.9211990506</v>
      </c>
      <c r="P94" s="37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*(1+$BX94)</f>
        <v>21100.0002466371</v>
      </c>
      <c r="Q94" s="38">
        <v>1</v>
      </c>
      <c r="R94" s="39" t="s">
        <v>124</v>
      </c>
      <c r="S94" s="39" t="s">
        <v>104</v>
      </c>
      <c r="T94" s="39" t="s">
        <v>194</v>
      </c>
      <c r="U94" s="39" t="s">
        <v>81</v>
      </c>
      <c r="V94" s="39" t="s">
        <v>82</v>
      </c>
      <c r="W94" s="39" t="s">
        <v>83</v>
      </c>
      <c r="X94" s="39" t="s">
        <v>84</v>
      </c>
      <c r="Y94" s="39" t="s">
        <v>84</v>
      </c>
      <c r="Z94" s="39" t="s">
        <v>84</v>
      </c>
      <c r="AA94" s="39" t="s">
        <v>84</v>
      </c>
      <c r="AB94" s="39" t="s">
        <v>204</v>
      </c>
      <c r="AC94" s="39" t="s">
        <v>84</v>
      </c>
      <c r="AD94" s="39" t="s">
        <v>93</v>
      </c>
      <c r="AE94" s="39" t="s">
        <v>84</v>
      </c>
      <c r="AF94" s="39" t="s">
        <v>88</v>
      </c>
      <c r="AG94" s="39" t="s">
        <v>84</v>
      </c>
      <c r="AH94" s="39" t="s">
        <v>84</v>
      </c>
      <c r="AI94" s="39" t="s">
        <v>84</v>
      </c>
      <c r="AJ94" s="39" t="s">
        <v>84</v>
      </c>
      <c r="AK94" s="39" t="s">
        <v>84</v>
      </c>
      <c r="AL94" s="39" t="s">
        <v>84</v>
      </c>
      <c r="AM94" t="str">
        <f>VLOOKUP($R94,武学奇术!$A:$ZZ,25,FALSE)</f>
        <v>拳甲</v>
      </c>
      <c r="AN94" s="24">
        <f>VLOOKUP($R94,武学奇术!$A:$ZZ,26,FALSE)</f>
        <v>1.1333</v>
      </c>
      <c r="AO94" s="25">
        <f>VLOOKUP($R94,武学奇术!$A:$ZZ,27,FALSE)*(1+IF(OR($AM94=$F$4,$AM94=$F$5),$B$22,0))</f>
        <v>502.4</v>
      </c>
      <c r="AP94" s="24">
        <f>VLOOKUP($R94,武学奇术!$A:$ZZ,28,FALSE)</f>
        <v>1.6999</v>
      </c>
      <c r="AQ94" s="25">
        <f>VLOOKUP($R94,武学奇术!$A:$ZZ,29,FALSE)*(1+IF(OR($AM94=$F$4,$AM94=$F$5),$B$22,0))</f>
        <v>273.6</v>
      </c>
      <c r="AR94" s="24" cm="1">
        <f t="array" ref="AR94">$G$3+IFERROR(VLOOKUP($AM94,$F$4:$G$7,2,FALSE),0)+VLOOKUP($R94,武学奇术!$A:$ZZ,2,FALSE)+SUM(_xlfn.XLOOKUP($S94:$AL94,增益!$A:$A,增益!$B:$B,0))</f>
        <v>0.3743</v>
      </c>
      <c r="AS94" s="24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4274.25</v>
      </c>
      <c r="AU94" cm="1">
        <f t="array" ref="AU94">$E$10*(1+$AS94)+VLOOKUP($R94,武学奇术!$A:$ZZ,4,FALSE)+SUM(_xlfn.XLOOKUP($S94:$AL94,增益!$A:$A,增益!$D:$D,0))-$I$2</f>
        <v>4274.25</v>
      </c>
      <c r="AV94" s="31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0.3434</v>
      </c>
      <c r="AW94" s="31" cm="1">
        <f t="array" ref="AW94">$G$10+VLOOKUP($R94,武学奇术!$A:$ZZ,7,FALSE)+SUM(_xlfn.XLOOKUP($S94:$AL94,增益!$A:$A,增益!$G:$G,0))</f>
        <v>0.11</v>
      </c>
      <c r="AX94" s="24" cm="1">
        <f t="array" ref="AX94">VLOOKUP($R94,武学奇术!$A:$ZZ,8,FALSE)+SUM(_xlfn.XLOOKUP($S94:$AL94,增益!$A:$A,增益!$H:$H,0))</f>
        <v>0</v>
      </c>
      <c r="AY94">
        <f t="shared" si="13"/>
        <v>0</v>
      </c>
      <c r="AZ94">
        <f t="shared" si="14"/>
        <v>0</v>
      </c>
      <c r="BA94" s="31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1" cm="1">
        <f t="array" ref="BB94">$G$11+VLOOKUP($R94,武学奇术!$A:$ZZ,10,FALSE)+SUM(_xlfn.XLOOKUP($S94:$AL94,增益!$A:$A,增益!$J:$J,0))</f>
        <v>0.02</v>
      </c>
      <c r="BC94">
        <f t="shared" si="15"/>
        <v>0</v>
      </c>
      <c r="BD94">
        <f t="shared" si="16"/>
        <v>0</v>
      </c>
      <c r="BE94" s="31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1" cm="1">
        <f t="array" ref="BF94">$G$12+VLOOKUP($R94,武学奇术!$A:$ZZ,12,FALSE)+SUM(_xlfn.XLOOKUP($S94:$AL94,增益!$A:$A,增益!$L:$L,0))</f>
        <v>0.02</v>
      </c>
      <c r="BG94">
        <f t="shared" si="17"/>
        <v>0</v>
      </c>
      <c r="BH94">
        <f t="shared" si="18"/>
        <v>0</v>
      </c>
      <c r="BI94" s="31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1" cm="1">
        <f t="array" ref="BJ94">$G$13+VLOOKUP($R94,武学奇术!$A:$ZZ,14,FALSE)+SUM(_xlfn.XLOOKUP($S94:$AL94,增益!$A:$A,增益!$N:$N,0))</f>
        <v>0.02</v>
      </c>
      <c r="BK94">
        <f t="shared" si="19"/>
        <v>649.11</v>
      </c>
      <c r="BL94">
        <f t="shared" si="20"/>
        <v>1812.09</v>
      </c>
      <c r="BM94" s="31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1" cm="1">
        <f t="array" ref="BN94">$G$14+VLOOKUP($R94,武学奇术!$A:$ZZ,16,FALSE)+SUM(_xlfn.XLOOKUP($S94:$AL94,增益!$A:$A,增益!$P:$P,0))</f>
        <v>0.26</v>
      </c>
      <c r="BO94" s="24">
        <f>MIN(IF(VLOOKUP($R94,武学奇术!$A:$ZZ,23,FALSE)=1,100%,$B$8),100%)</f>
        <v>0.9943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0.8985</v>
      </c>
      <c r="BQ94" s="24" cm="1">
        <f t="array" ref="BQ94">1+$B$13+VLOOKUP($R94,武学奇术!$A:$ZZ,18,FALSE)+SUM(_xlfn.XLOOKUP($S94:$AL94,增益!$A:$A,增益!$R:$R,0))</f>
        <v>2.24</v>
      </c>
      <c r="BR94" s="24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4" cm="1">
        <f t="array" ref="BS94">1+$B$14+VLOOKUP($R94,武学奇术!$A:$ZZ,20,FALSE)+SUM(_xlfn.XLOOKUP($S94:$AL94,增益!$A:$A,增益!$T:$T,0))</f>
        <v>1.35</v>
      </c>
      <c r="BT94" s="24">
        <f t="shared" si="21"/>
        <v>0.89337855</v>
      </c>
      <c r="BU94" s="24">
        <f t="shared" si="22"/>
        <v>0.01014186</v>
      </c>
      <c r="BV94" s="24">
        <f>IF(VLOOKUP($R94,武学奇术!$A:$ZZ,22,FALSE)=1,0,(1-$BO94))*(1-$BR94)</f>
        <v>0.00517959000000003</v>
      </c>
      <c r="BW94" s="24" cm="1">
        <f t="array" ref="BW94">SUM(_xlfn.XLOOKUP($S94:$AL94,增益!$A:$A,增益!$W:$W,0))+$I$5</f>
        <v>0.11</v>
      </c>
      <c r="BX94" s="24">
        <f>VLOOKUP($R94,武学奇术!$A:$ZZ,32,FALSE)</f>
        <v>0.4</v>
      </c>
      <c r="BY94" s="24" cm="1">
        <f t="array" ref="BY94">SUM(_xlfn.XLOOKUP($S94:$AL94,增益!$A:$A,增益!$X:$X,0))</f>
        <v>0</v>
      </c>
    </row>
    <row r="95" spans="1:77">
      <c r="A95" s="4"/>
      <c r="B95" s="4"/>
      <c r="K95" s="37">
        <f>$L95*VLOOKUP($R95,武学奇术!$A:$ZZ,31,FALSE)</f>
        <v>34988.4843832155</v>
      </c>
      <c r="L95" s="37">
        <f t="shared" si="24"/>
        <v>34988.4843832155</v>
      </c>
      <c r="M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*(1+$BX95)</f>
        <v>36403.0477360281</v>
      </c>
      <c r="N95" s="37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*(1+$BX95)</f>
        <v>24394.3848531443</v>
      </c>
      <c r="O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*(1+$BX95)</f>
        <v>16251.3605964411</v>
      </c>
      <c r="P95" s="37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*(1+$BX95)</f>
        <v>14432.8064868494</v>
      </c>
      <c r="Q95" s="38">
        <v>1</v>
      </c>
      <c r="R95" s="39" t="s">
        <v>127</v>
      </c>
      <c r="S95" s="39" t="s">
        <v>104</v>
      </c>
      <c r="T95" s="39" t="s">
        <v>194</v>
      </c>
      <c r="U95" s="39" t="s">
        <v>81</v>
      </c>
      <c r="V95" s="39" t="s">
        <v>82</v>
      </c>
      <c r="W95" s="39" t="s">
        <v>83</v>
      </c>
      <c r="X95" s="39" t="s">
        <v>84</v>
      </c>
      <c r="Y95" s="39" t="s">
        <v>84</v>
      </c>
      <c r="Z95" s="39" t="s">
        <v>84</v>
      </c>
      <c r="AA95" s="39" t="s">
        <v>84</v>
      </c>
      <c r="AB95" s="39" t="s">
        <v>204</v>
      </c>
      <c r="AC95" s="39" t="s">
        <v>84</v>
      </c>
      <c r="AD95" s="39" t="s">
        <v>93</v>
      </c>
      <c r="AE95" s="39" t="s">
        <v>84</v>
      </c>
      <c r="AF95" s="39" t="s">
        <v>88</v>
      </c>
      <c r="AG95" s="39" t="s">
        <v>84</v>
      </c>
      <c r="AH95" s="39" t="s">
        <v>84</v>
      </c>
      <c r="AI95" s="39" t="s">
        <v>84</v>
      </c>
      <c r="AJ95" s="39" t="s">
        <v>84</v>
      </c>
      <c r="AK95" s="39" t="s">
        <v>84</v>
      </c>
      <c r="AL95" s="39" t="s">
        <v>84</v>
      </c>
      <c r="AM95" t="str">
        <f>VLOOKUP($R95,武学奇术!$A:$ZZ,25,FALSE)</f>
        <v>拳甲</v>
      </c>
      <c r="AN95" s="24">
        <f>VLOOKUP($R95,武学奇术!$A:$ZZ,26,FALSE)</f>
        <v>0.7748</v>
      </c>
      <c r="AO95" s="25">
        <f>VLOOKUP($R95,武学奇术!$A:$ZZ,27,FALSE)*(1+IF(OR($AM95=$F$4,$AM95=$F$5),$B$22,0))</f>
        <v>345.6</v>
      </c>
      <c r="AP95" s="24">
        <f>VLOOKUP($R95,武学奇术!$A:$ZZ,28,FALSE)</f>
        <v>1.1622</v>
      </c>
      <c r="AQ95" s="25">
        <f>VLOOKUP($R95,武学奇术!$A:$ZZ,29,FALSE)*(1+IF(OR($AM95=$F$4,$AM95=$F$5),$B$22,0))</f>
        <v>187.2</v>
      </c>
      <c r="AR95" s="24" cm="1">
        <f t="array" ref="AR95">$G$3+IFERROR(VLOOKUP($AM95,$F$4:$G$7,2,FALSE),0)+VLOOKUP($R95,武学奇术!$A:$ZZ,2,FALSE)+SUM(_xlfn.XLOOKUP($S95:$AL95,增益!$A:$A,增益!$B:$B,0))</f>
        <v>0.3743</v>
      </c>
      <c r="AS95" s="24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4274.25</v>
      </c>
      <c r="AU95" cm="1">
        <f t="array" ref="AU95">$E$10*(1+$AS95)+VLOOKUP($R95,武学奇术!$A:$ZZ,4,FALSE)+SUM(_xlfn.XLOOKUP($S95:$AL95,增益!$A:$A,增益!$D:$D,0))-$I$2</f>
        <v>4274.25</v>
      </c>
      <c r="AV95" s="31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0.3434</v>
      </c>
      <c r="AW95" s="31" cm="1">
        <f t="array" ref="AW95">$G$10+VLOOKUP($R95,武学奇术!$A:$ZZ,7,FALSE)+SUM(_xlfn.XLOOKUP($S95:$AL95,增益!$A:$A,增益!$G:$G,0))</f>
        <v>0.11</v>
      </c>
      <c r="AX95" s="24" cm="1">
        <f t="array" ref="AX95">VLOOKUP($R95,武学奇术!$A:$ZZ,8,FALSE)+SUM(_xlfn.XLOOKUP($S95:$AL95,增益!$A:$A,增益!$H:$H,0))</f>
        <v>0</v>
      </c>
      <c r="AY95">
        <f t="shared" si="13"/>
        <v>0</v>
      </c>
      <c r="AZ95">
        <f t="shared" si="14"/>
        <v>0</v>
      </c>
      <c r="BA95" s="31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1" cm="1">
        <f t="array" ref="BB95">$G$11+VLOOKUP($R95,武学奇术!$A:$ZZ,10,FALSE)+SUM(_xlfn.XLOOKUP($S95:$AL95,增益!$A:$A,增益!$J:$J,0))</f>
        <v>0.02</v>
      </c>
      <c r="BC95">
        <f t="shared" si="15"/>
        <v>0</v>
      </c>
      <c r="BD95">
        <f t="shared" si="16"/>
        <v>0</v>
      </c>
      <c r="BE95" s="31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1" cm="1">
        <f t="array" ref="BF95">$G$12+VLOOKUP($R95,武学奇术!$A:$ZZ,12,FALSE)+SUM(_xlfn.XLOOKUP($S95:$AL95,增益!$A:$A,增益!$L:$L,0))</f>
        <v>0.02</v>
      </c>
      <c r="BG95">
        <f t="shared" si="17"/>
        <v>0</v>
      </c>
      <c r="BH95">
        <f t="shared" si="18"/>
        <v>0</v>
      </c>
      <c r="BI95" s="31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1" cm="1">
        <f t="array" ref="BJ95">$G$13+VLOOKUP($R95,武学奇术!$A:$ZZ,14,FALSE)+SUM(_xlfn.XLOOKUP($S95:$AL95,增益!$A:$A,增益!$N:$N,0))</f>
        <v>0.02</v>
      </c>
      <c r="BK95">
        <f t="shared" si="19"/>
        <v>649.11</v>
      </c>
      <c r="BL95">
        <f t="shared" si="20"/>
        <v>1812.09</v>
      </c>
      <c r="BM95" s="31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1" cm="1">
        <f t="array" ref="BN95">$G$14+VLOOKUP($R95,武学奇术!$A:$ZZ,16,FALSE)+SUM(_xlfn.XLOOKUP($S95:$AL95,增益!$A:$A,增益!$P:$P,0))</f>
        <v>0.26</v>
      </c>
      <c r="BO95" s="24">
        <f>MIN(IF(VLOOKUP($R95,武学奇术!$A:$ZZ,23,FALSE)=1,100%,$B$8),100%)</f>
        <v>0.9943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0.8985</v>
      </c>
      <c r="BQ95" s="24" cm="1">
        <f t="array" ref="BQ95">1+$B$13+VLOOKUP($R95,武学奇术!$A:$ZZ,18,FALSE)+SUM(_xlfn.XLOOKUP($S95:$AL95,增益!$A:$A,增益!$R:$R,0))</f>
        <v>2.24</v>
      </c>
      <c r="BR95" s="24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4" cm="1">
        <f t="array" ref="BS95">1+$B$14+VLOOKUP($R95,武学奇术!$A:$ZZ,20,FALSE)+SUM(_xlfn.XLOOKUP($S95:$AL95,增益!$A:$A,增益!$T:$T,0))</f>
        <v>1.35</v>
      </c>
      <c r="BT95" s="24">
        <f t="shared" si="21"/>
        <v>0.89337855</v>
      </c>
      <c r="BU95" s="24">
        <f t="shared" si="22"/>
        <v>0.01014186</v>
      </c>
      <c r="BV95" s="24">
        <f>IF(VLOOKUP($R95,武学奇术!$A:$ZZ,22,FALSE)=1,0,(1-$BO95))*(1-$BR95)</f>
        <v>0.00517959000000003</v>
      </c>
      <c r="BW95" s="24" cm="1">
        <f t="array" ref="BW95">SUM(_xlfn.XLOOKUP($S95:$AL95,增益!$A:$A,增益!$W:$W,0))+$I$5</f>
        <v>0.11</v>
      </c>
      <c r="BX95" s="24">
        <f>VLOOKUP($R95,武学奇术!$A:$ZZ,32,FALSE)</f>
        <v>0.4</v>
      </c>
      <c r="BY95" s="24" cm="1">
        <f t="array" ref="BY95">SUM(_xlfn.XLOOKUP($S95:$AL95,增益!$A:$A,增益!$X:$X,0))</f>
        <v>0</v>
      </c>
    </row>
    <row r="96" spans="1:77">
      <c r="A96" s="4"/>
      <c r="B96" s="4"/>
      <c r="K96" s="37">
        <f>$L96*VLOOKUP($R96,武学奇术!$A:$ZZ,31,FALSE)</f>
        <v>73610.3322898735</v>
      </c>
      <c r="L96" s="37">
        <f t="shared" si="24"/>
        <v>46006.4576811709</v>
      </c>
      <c r="M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*(1+$BX96)</f>
        <v>47404.3777677447</v>
      </c>
      <c r="N96" s="37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*(1+$BX96)</f>
        <v>36221.4012701321</v>
      </c>
      <c r="O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*(1+$BX96)</f>
        <v>23821.2953606757</v>
      </c>
      <c r="P96" s="37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*(1+$BX96)</f>
        <v>20811.9231138462</v>
      </c>
      <c r="Q96" s="38">
        <v>1</v>
      </c>
      <c r="R96" s="39" t="s">
        <v>122</v>
      </c>
      <c r="S96" s="39" t="s">
        <v>104</v>
      </c>
      <c r="T96" s="39" t="s">
        <v>194</v>
      </c>
      <c r="U96" s="39" t="s">
        <v>81</v>
      </c>
      <c r="V96" s="39" t="s">
        <v>130</v>
      </c>
      <c r="W96" s="39" t="s">
        <v>83</v>
      </c>
      <c r="X96" s="39" t="s">
        <v>84</v>
      </c>
      <c r="Y96" s="39" t="s">
        <v>84</v>
      </c>
      <c r="Z96" s="39" t="s">
        <v>84</v>
      </c>
      <c r="AA96" s="39" t="s">
        <v>84</v>
      </c>
      <c r="AB96" s="39" t="s">
        <v>204</v>
      </c>
      <c r="AC96" s="39" t="s">
        <v>84</v>
      </c>
      <c r="AD96" s="39" t="s">
        <v>93</v>
      </c>
      <c r="AE96" s="39" t="s">
        <v>84</v>
      </c>
      <c r="AF96" s="39" t="s">
        <v>88</v>
      </c>
      <c r="AG96" s="39" t="s">
        <v>84</v>
      </c>
      <c r="AH96" s="39" t="s">
        <v>84</v>
      </c>
      <c r="AI96" s="39" t="s">
        <v>84</v>
      </c>
      <c r="AJ96" s="39" t="s">
        <v>84</v>
      </c>
      <c r="AK96" s="39" t="s">
        <v>84</v>
      </c>
      <c r="AL96" s="39" t="s">
        <v>84</v>
      </c>
      <c r="AM96" t="str">
        <f>VLOOKUP($R96,武学奇术!$A:$ZZ,25,FALSE)</f>
        <v>拳甲</v>
      </c>
      <c r="AN96" s="24">
        <f>VLOOKUP($R96,武学奇术!$A:$ZZ,26,FALSE)</f>
        <v>1.862784</v>
      </c>
      <c r="AO96" s="25">
        <f>VLOOKUP($R96,武学奇术!$A:$ZZ,27,FALSE)*(1+IF(OR($AM96=$F$4,$AM96=$F$5),$B$22,0))</f>
        <v>0</v>
      </c>
      <c r="AP96" s="24">
        <f>VLOOKUP($R96,武学奇术!$A:$ZZ,28,FALSE)</f>
        <v>2.794176</v>
      </c>
      <c r="AQ96" s="25">
        <f>VLOOKUP($R96,武学奇术!$A:$ZZ,29,FALSE)*(1+IF(OR($AM96=$F$4,$AM96=$F$5),$B$22,0))</f>
        <v>0</v>
      </c>
      <c r="AR96" s="24" cm="1">
        <f t="array" ref="AR96">$G$3+IFERROR(VLOOKUP($AM96,$F$4:$G$7,2,FALSE),0)+VLOOKUP($R96,武学奇术!$A:$ZZ,2,FALSE)+SUM(_xlfn.XLOOKUP($S96:$AL96,增益!$A:$A,增益!$B:$B,0))</f>
        <v>0.3243</v>
      </c>
      <c r="AS96" s="24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4274.25</v>
      </c>
      <c r="AU96" cm="1">
        <f t="array" ref="AU96">$E$10*(1+$AS96)+VLOOKUP($R96,武学奇术!$A:$ZZ,4,FALSE)+SUM(_xlfn.XLOOKUP($S96:$AL96,增益!$A:$A,增益!$D:$D,0))-$I$2</f>
        <v>4274.25</v>
      </c>
      <c r="AV96" s="31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0.3434</v>
      </c>
      <c r="AW96" s="31" cm="1">
        <f t="array" ref="AW96">$G$10+VLOOKUP($R96,武学奇术!$A:$ZZ,7,FALSE)+SUM(_xlfn.XLOOKUP($S96:$AL96,增益!$A:$A,增益!$G:$G,0))</f>
        <v>0.11</v>
      </c>
      <c r="AX96" s="24" cm="1">
        <f t="array" ref="AX96">VLOOKUP($R96,武学奇术!$A:$ZZ,8,FALSE)+SUM(_xlfn.XLOOKUP($S96:$AL96,增益!$A:$A,增益!$H:$H,0))</f>
        <v>0</v>
      </c>
      <c r="AY96">
        <f t="shared" si="13"/>
        <v>0</v>
      </c>
      <c r="AZ96">
        <f t="shared" si="14"/>
        <v>0</v>
      </c>
      <c r="BA96" s="31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1" cm="1">
        <f t="array" ref="BB96">$G$11+VLOOKUP($R96,武学奇术!$A:$ZZ,10,FALSE)+SUM(_xlfn.XLOOKUP($S96:$AL96,增益!$A:$A,增益!$J:$J,0))</f>
        <v>0.02</v>
      </c>
      <c r="BC96">
        <f t="shared" si="15"/>
        <v>0</v>
      </c>
      <c r="BD96">
        <f t="shared" si="16"/>
        <v>0</v>
      </c>
      <c r="BE96" s="31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1" cm="1">
        <f t="array" ref="BF96">$G$12+VLOOKUP($R96,武学奇术!$A:$ZZ,12,FALSE)+SUM(_xlfn.XLOOKUP($S96:$AL96,增益!$A:$A,增益!$L:$L,0))</f>
        <v>0.02</v>
      </c>
      <c r="BG96">
        <f t="shared" si="17"/>
        <v>0</v>
      </c>
      <c r="BH96">
        <f t="shared" si="18"/>
        <v>0</v>
      </c>
      <c r="BI96" s="31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31" cm="1">
        <f t="array" ref="BJ96">$G$13+VLOOKUP($R96,武学奇术!$A:$ZZ,14,FALSE)+SUM(_xlfn.XLOOKUP($S96:$AL96,增益!$A:$A,增益!$N:$N,0))</f>
        <v>0.02</v>
      </c>
      <c r="BK96">
        <f t="shared" si="19"/>
        <v>649.11</v>
      </c>
      <c r="BL96">
        <f t="shared" si="20"/>
        <v>1812.09</v>
      </c>
      <c r="BM96" s="31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31" cm="1">
        <f t="array" ref="BN96">$G$14+VLOOKUP($R96,武学奇术!$A:$ZZ,16,FALSE)+SUM(_xlfn.XLOOKUP($S96:$AL96,增益!$A:$A,增益!$P:$P,0))</f>
        <v>0.26</v>
      </c>
      <c r="BO96" s="24">
        <f>MIN(IF(VLOOKUP($R96,武学奇术!$A:$ZZ,23,FALSE)=1,100%,$B$8),100%)</f>
        <v>0.9943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0.8985</v>
      </c>
      <c r="BQ96" s="24" cm="1">
        <f t="array" ref="BQ96">1+$B$13+VLOOKUP($R96,武学奇术!$A:$ZZ,18,FALSE)+SUM(_xlfn.XLOOKUP($S96:$AL96,增益!$A:$A,增益!$R:$R,0))</f>
        <v>1.99</v>
      </c>
      <c r="BR96" s="24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4" cm="1">
        <f t="array" ref="BS96">1+$B$14+VLOOKUP($R96,武学奇术!$A:$ZZ,20,FALSE)+SUM(_xlfn.XLOOKUP($S96:$AL96,增益!$A:$A,增益!$T:$T,0))</f>
        <v>1.35</v>
      </c>
      <c r="BT96" s="24">
        <f t="shared" si="21"/>
        <v>0.89337855</v>
      </c>
      <c r="BU96" s="24">
        <f t="shared" si="22"/>
        <v>0.01014186</v>
      </c>
      <c r="BV96" s="24">
        <f>IF(VLOOKUP($R96,武学奇术!$A:$ZZ,22,FALSE)=1,0,(1-$BO96))*(1-$BR96)</f>
        <v>0.00517959000000003</v>
      </c>
      <c r="BW96" s="24" cm="1">
        <f t="array" ref="BW96">SUM(_xlfn.XLOOKUP($S96:$AL96,增益!$A:$A,增益!$W:$W,0))+$I$5</f>
        <v>0.11</v>
      </c>
      <c r="BX96" s="24">
        <f>VLOOKUP($R96,武学奇术!$A:$ZZ,32,FALSE)</f>
        <v>0</v>
      </c>
      <c r="BY96" s="24" cm="1">
        <f t="array" ref="BY96">SUM(_xlfn.XLOOKUP($S96:$AL96,增益!$A:$A,增益!$X:$X,0))</f>
        <v>0</v>
      </c>
    </row>
    <row r="97" spans="11:77">
      <c r="K97" s="37">
        <f>$L97*VLOOKUP($R97,武学奇术!$A:$ZZ,31,FALSE)</f>
        <v>58628.4472333775</v>
      </c>
      <c r="L97" s="37">
        <f t="shared" si="24"/>
        <v>58628.4472333775</v>
      </c>
      <c r="M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*(1+$BX97)</f>
        <v>61076.4840340702</v>
      </c>
      <c r="N97" s="37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*(1+$BX97)</f>
        <v>40037.1172392798</v>
      </c>
      <c r="O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*(1+$BX97)</f>
        <v>26670.9537266682</v>
      </c>
      <c r="P97" s="37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*(1+$BX97)</f>
        <v>23684.7835723884</v>
      </c>
      <c r="Q97" s="38">
        <v>1</v>
      </c>
      <c r="R97" s="39" t="s">
        <v>136</v>
      </c>
      <c r="S97" s="39" t="s">
        <v>104</v>
      </c>
      <c r="T97" s="39" t="s">
        <v>194</v>
      </c>
      <c r="U97" s="39" t="s">
        <v>81</v>
      </c>
      <c r="V97" s="39" t="s">
        <v>130</v>
      </c>
      <c r="W97" s="39" t="s">
        <v>83</v>
      </c>
      <c r="X97" s="39" t="s">
        <v>84</v>
      </c>
      <c r="Y97" s="39" t="s">
        <v>84</v>
      </c>
      <c r="Z97" s="39" t="s">
        <v>84</v>
      </c>
      <c r="AA97" s="39" t="s">
        <v>84</v>
      </c>
      <c r="AB97" s="39" t="s">
        <v>204</v>
      </c>
      <c r="AC97" s="39" t="s">
        <v>84</v>
      </c>
      <c r="AD97" s="39" t="s">
        <v>93</v>
      </c>
      <c r="AE97" s="39" t="s">
        <v>84</v>
      </c>
      <c r="AF97" s="39" t="s">
        <v>88</v>
      </c>
      <c r="AG97" s="39" t="s">
        <v>84</v>
      </c>
      <c r="AH97" s="39" t="s">
        <v>84</v>
      </c>
      <c r="AI97" s="39" t="s">
        <v>84</v>
      </c>
      <c r="AJ97" s="39" t="s">
        <v>84</v>
      </c>
      <c r="AK97" s="39" t="s">
        <v>84</v>
      </c>
      <c r="AL97" s="39" t="s">
        <v>84</v>
      </c>
      <c r="AM97" t="str">
        <f>VLOOKUP($R97,武学奇术!$A:$ZZ,25,FALSE)</f>
        <v>拳甲</v>
      </c>
      <c r="AN97" s="24">
        <f>VLOOKUP($R97,武学奇术!$A:$ZZ,26,FALSE)</f>
        <v>0.9634</v>
      </c>
      <c r="AO97" s="25">
        <f>VLOOKUP($R97,武学奇术!$A:$ZZ,27,FALSE)*(1+IF(OR($AM97=$F$4,$AM97=$F$5),$B$22,0))</f>
        <v>427.2</v>
      </c>
      <c r="AP97" s="24">
        <f>VLOOKUP($R97,武学奇术!$A:$ZZ,28,FALSE)</f>
        <v>1.4451</v>
      </c>
      <c r="AQ97" s="25">
        <f>VLOOKUP($R97,武学奇术!$A:$ZZ,29,FALSE)*(1+IF(OR($AM97=$F$4,$AM97=$F$5),$B$22,0))</f>
        <v>232</v>
      </c>
      <c r="AR97" s="24" cm="1">
        <f t="array" ref="AR97">$G$3+IFERROR(VLOOKUP($AM97,$F$4:$G$7,2,FALSE),0)+VLOOKUP($R97,武学奇术!$A:$ZZ,2,FALSE)+SUM(_xlfn.XLOOKUP($S97:$AL97,增益!$A:$A,增益!$B:$B,0))</f>
        <v>0.3743</v>
      </c>
      <c r="AS97" s="24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4274.25</v>
      </c>
      <c r="AU97" cm="1">
        <f t="array" ref="AU97">$E$10*(1+$AS97)+VLOOKUP($R97,武学奇术!$A:$ZZ,4,FALSE)+SUM(_xlfn.XLOOKUP($S97:$AL97,增益!$A:$A,增益!$D:$D,0))-$I$2</f>
        <v>4274.25</v>
      </c>
      <c r="AV97" s="31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0.3434</v>
      </c>
      <c r="AW97" s="31" cm="1">
        <f t="array" ref="AW97">$G$10+VLOOKUP($R97,武学奇术!$A:$ZZ,7,FALSE)+SUM(_xlfn.XLOOKUP($S97:$AL97,增益!$A:$A,增益!$G:$G,0))</f>
        <v>0.11</v>
      </c>
      <c r="AX97" s="24" cm="1">
        <f t="array" ref="AX97">VLOOKUP($R97,武学奇术!$A:$ZZ,8,FALSE)+SUM(_xlfn.XLOOKUP($S97:$AL97,增益!$A:$A,增益!$H:$H,0))</f>
        <v>0</v>
      </c>
      <c r="AY97">
        <f t="shared" si="13"/>
        <v>0</v>
      </c>
      <c r="AZ97">
        <f t="shared" si="14"/>
        <v>0</v>
      </c>
      <c r="BA97" s="31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1" cm="1">
        <f t="array" ref="BB97">$G$11+VLOOKUP($R97,武学奇术!$A:$ZZ,10,FALSE)+SUM(_xlfn.XLOOKUP($S97:$AL97,增益!$A:$A,增益!$J:$J,0))</f>
        <v>0.02</v>
      </c>
      <c r="BC97">
        <f t="shared" si="15"/>
        <v>0</v>
      </c>
      <c r="BD97">
        <f t="shared" si="16"/>
        <v>0</v>
      </c>
      <c r="BE97" s="31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1" cm="1">
        <f t="array" ref="BF97">$G$12+VLOOKUP($R97,武学奇术!$A:$ZZ,12,FALSE)+SUM(_xlfn.XLOOKUP($S97:$AL97,增益!$A:$A,增益!$L:$L,0))</f>
        <v>0.02</v>
      </c>
      <c r="BG97">
        <f t="shared" si="17"/>
        <v>0</v>
      </c>
      <c r="BH97">
        <f t="shared" si="18"/>
        <v>0</v>
      </c>
      <c r="BI97" s="31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1" cm="1">
        <f t="array" ref="BJ97">$G$13+VLOOKUP($R97,武学奇术!$A:$ZZ,14,FALSE)+SUM(_xlfn.XLOOKUP($S97:$AL97,增益!$A:$A,增益!$N:$N,0))</f>
        <v>0.02</v>
      </c>
      <c r="BK97">
        <f t="shared" si="19"/>
        <v>649.11</v>
      </c>
      <c r="BL97">
        <f t="shared" si="20"/>
        <v>1812.09</v>
      </c>
      <c r="BM97" s="31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1" cm="1">
        <f t="array" ref="BN97">$G$14+VLOOKUP($R97,武学奇术!$A:$ZZ,16,FALSE)+SUM(_xlfn.XLOOKUP($S97:$AL97,增益!$A:$A,增益!$P:$P,0))</f>
        <v>0.26</v>
      </c>
      <c r="BO97" s="24">
        <f>MIN(IF(VLOOKUP($R97,武学奇术!$A:$ZZ,23,FALSE)=1,100%,$B$8),100%)</f>
        <v>0.9943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0.8985</v>
      </c>
      <c r="BQ97" s="24" cm="1">
        <f t="array" ref="BQ97">1+$B$13+VLOOKUP($R97,武学奇术!$A:$ZZ,18,FALSE)+SUM(_xlfn.XLOOKUP($S97:$AL97,增益!$A:$A,增益!$R:$R,0))</f>
        <v>2.29</v>
      </c>
      <c r="BR97" s="24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4" cm="1">
        <f t="array" ref="BS97">1+$B$14+VLOOKUP($R97,武学奇术!$A:$ZZ,20,FALSE)+SUM(_xlfn.XLOOKUP($S97:$AL97,增益!$A:$A,增益!$T:$T,0))</f>
        <v>1.35</v>
      </c>
      <c r="BT97" s="24">
        <f t="shared" si="21"/>
        <v>0.89337855</v>
      </c>
      <c r="BU97" s="24">
        <f t="shared" si="22"/>
        <v>0.0153214500000001</v>
      </c>
      <c r="BV97" s="24">
        <f>IF(VLOOKUP($R97,武学奇术!$A:$ZZ,22,FALSE)=1,0,(1-$BO97))*(1-$BR97)</f>
        <v>0</v>
      </c>
      <c r="BW97" s="24" cm="1">
        <f t="array" ref="BW97">SUM(_xlfn.XLOOKUP($S97:$AL97,增益!$A:$A,增益!$W:$W,0))+$I$5</f>
        <v>0.11</v>
      </c>
      <c r="BX97" s="24">
        <f>VLOOKUP($R97,武学奇术!$A:$ZZ,32,FALSE)</f>
        <v>0.4</v>
      </c>
      <c r="BY97" s="24" cm="1">
        <f t="array" ref="BY97">SUM(_xlfn.XLOOKUP($S97:$AL97,增益!$A:$A,增益!$X:$X,0))</f>
        <v>0</v>
      </c>
    </row>
    <row r="98" spans="11:77">
      <c r="K98" s="37">
        <f>$L98*VLOOKUP($R98,武学奇术!$A:$ZZ,31,FALSE)</f>
        <v>56369.527936786</v>
      </c>
      <c r="L98" s="37">
        <f t="shared" si="24"/>
        <v>56369.527936786</v>
      </c>
      <c r="M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*(1+$BX98)</f>
        <v>58723.3557824989</v>
      </c>
      <c r="N98" s="37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*(1+$BX98)</f>
        <v>38493.4022773925</v>
      </c>
      <c r="O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*(1+$BX98)</f>
        <v>25643.3868045847</v>
      </c>
      <c r="P98" s="37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*(1+$BX98)</f>
        <v>22773.1422925823</v>
      </c>
      <c r="Q98" s="38">
        <v>1</v>
      </c>
      <c r="R98" s="39" t="s">
        <v>142</v>
      </c>
      <c r="S98" s="39" t="s">
        <v>104</v>
      </c>
      <c r="T98" s="39" t="s">
        <v>194</v>
      </c>
      <c r="U98" s="39" t="s">
        <v>81</v>
      </c>
      <c r="V98" s="39" t="s">
        <v>130</v>
      </c>
      <c r="W98" s="39" t="s">
        <v>83</v>
      </c>
      <c r="X98" s="39" t="s">
        <v>84</v>
      </c>
      <c r="Y98" s="39" t="s">
        <v>84</v>
      </c>
      <c r="Z98" s="39" t="s">
        <v>84</v>
      </c>
      <c r="AA98" s="39" t="s">
        <v>84</v>
      </c>
      <c r="AB98" s="39" t="s">
        <v>204</v>
      </c>
      <c r="AC98" s="39" t="s">
        <v>84</v>
      </c>
      <c r="AD98" s="39" t="s">
        <v>93</v>
      </c>
      <c r="AE98" s="39" t="s">
        <v>84</v>
      </c>
      <c r="AF98" s="39" t="s">
        <v>88</v>
      </c>
      <c r="AG98" s="39" t="s">
        <v>84</v>
      </c>
      <c r="AH98" s="39" t="s">
        <v>84</v>
      </c>
      <c r="AI98" s="39" t="s">
        <v>84</v>
      </c>
      <c r="AJ98" s="39" t="s">
        <v>84</v>
      </c>
      <c r="AK98" s="39" t="s">
        <v>84</v>
      </c>
      <c r="AL98" s="39" t="s">
        <v>84</v>
      </c>
      <c r="AM98" t="str">
        <f>VLOOKUP($R98,武学奇术!$A:$ZZ,25,FALSE)</f>
        <v>拳甲</v>
      </c>
      <c r="AN98" s="24">
        <f>VLOOKUP($R98,武学奇术!$A:$ZZ,26,FALSE)</f>
        <v>0.926</v>
      </c>
      <c r="AO98" s="25">
        <f>VLOOKUP($R98,武学奇术!$A:$ZZ,27,FALSE)*(1+IF(OR($AM98=$F$4,$AM98=$F$5),$B$22,0))</f>
        <v>411.2</v>
      </c>
      <c r="AP98" s="24">
        <f>VLOOKUP($R98,武学奇术!$A:$ZZ,28,FALSE)</f>
        <v>1.389</v>
      </c>
      <c r="AQ98" s="25">
        <f>VLOOKUP($R98,武学奇术!$A:$ZZ,29,FALSE)*(1+IF(OR($AM98=$F$4,$AM98=$F$5),$B$22,0))</f>
        <v>224</v>
      </c>
      <c r="AR98" s="24" cm="1">
        <f t="array" ref="AR98">$G$3+IFERROR(VLOOKUP($AM98,$F$4:$G$7,2,FALSE),0)+VLOOKUP($R98,武学奇术!$A:$ZZ,2,FALSE)+SUM(_xlfn.XLOOKUP($S98:$AL98,增益!$A:$A,增益!$B:$B,0))</f>
        <v>0.3743</v>
      </c>
      <c r="AS98" s="24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4274.25</v>
      </c>
      <c r="AU98" cm="1">
        <f t="array" ref="AU98">$E$10*(1+$AS98)+VLOOKUP($R98,武学奇术!$A:$ZZ,4,FALSE)+SUM(_xlfn.XLOOKUP($S98:$AL98,增益!$A:$A,增益!$D:$D,0))-$I$2</f>
        <v>4274.25</v>
      </c>
      <c r="AV98" s="31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0.3434</v>
      </c>
      <c r="AW98" s="31" cm="1">
        <f t="array" ref="AW98">$G$10+VLOOKUP($R98,武学奇术!$A:$ZZ,7,FALSE)+SUM(_xlfn.XLOOKUP($S98:$AL98,增益!$A:$A,增益!$G:$G,0))</f>
        <v>0.11</v>
      </c>
      <c r="AX98" s="24" cm="1">
        <f t="array" ref="AX98">VLOOKUP($R98,武学奇术!$A:$ZZ,8,FALSE)+SUM(_xlfn.XLOOKUP($S98:$AL98,增益!$A:$A,增益!$H:$H,0))</f>
        <v>0</v>
      </c>
      <c r="AY98">
        <f t="shared" si="13"/>
        <v>0</v>
      </c>
      <c r="AZ98">
        <f t="shared" si="14"/>
        <v>0</v>
      </c>
      <c r="BA98" s="31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1" cm="1">
        <f t="array" ref="BB98">$G$11+VLOOKUP($R98,武学奇术!$A:$ZZ,10,FALSE)+SUM(_xlfn.XLOOKUP($S98:$AL98,增益!$A:$A,增益!$J:$J,0))</f>
        <v>0.02</v>
      </c>
      <c r="BC98">
        <f t="shared" si="15"/>
        <v>0</v>
      </c>
      <c r="BD98">
        <f t="shared" si="16"/>
        <v>0</v>
      </c>
      <c r="BE98" s="31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1" cm="1">
        <f t="array" ref="BF98">$G$12+VLOOKUP($R98,武学奇术!$A:$ZZ,12,FALSE)+SUM(_xlfn.XLOOKUP($S98:$AL98,增益!$A:$A,增益!$L:$L,0))</f>
        <v>0.02</v>
      </c>
      <c r="BG98">
        <f t="shared" si="17"/>
        <v>0</v>
      </c>
      <c r="BH98">
        <f t="shared" si="18"/>
        <v>0</v>
      </c>
      <c r="BI98" s="31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31" cm="1">
        <f t="array" ref="BJ98">$G$13+VLOOKUP($R98,武学奇术!$A:$ZZ,14,FALSE)+SUM(_xlfn.XLOOKUP($S98:$AL98,增益!$A:$A,增益!$N:$N,0))</f>
        <v>0.02</v>
      </c>
      <c r="BK98">
        <f t="shared" si="19"/>
        <v>649.11</v>
      </c>
      <c r="BL98">
        <f t="shared" si="20"/>
        <v>1812.09</v>
      </c>
      <c r="BM98" s="31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</v>
      </c>
      <c r="BN98" s="31" cm="1">
        <f t="array" ref="BN98">$G$14+VLOOKUP($R98,武学奇术!$A:$ZZ,16,FALSE)+SUM(_xlfn.XLOOKUP($S98:$AL98,增益!$A:$A,增益!$P:$P,0))</f>
        <v>0.26</v>
      </c>
      <c r="BO98" s="24">
        <f>MIN(IF(VLOOKUP($R98,武学奇术!$A:$ZZ,23,FALSE)=1,100%,$B$8),100%)</f>
        <v>0.9943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0.8985</v>
      </c>
      <c r="BQ98" s="24" cm="1">
        <f t="array" ref="BQ98">1+$B$13+VLOOKUP($R98,武学奇术!$A:$ZZ,18,FALSE)+SUM(_xlfn.XLOOKUP($S98:$AL98,增益!$A:$A,增益!$R:$R,0))</f>
        <v>2.29</v>
      </c>
      <c r="BR98" s="24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4" cm="1">
        <f t="array" ref="BS98">1+$B$14+VLOOKUP($R98,武学奇术!$A:$ZZ,20,FALSE)+SUM(_xlfn.XLOOKUP($S98:$AL98,增益!$A:$A,增益!$T:$T,0))</f>
        <v>1.35</v>
      </c>
      <c r="BT98" s="24">
        <f t="shared" si="21"/>
        <v>0.89337855</v>
      </c>
      <c r="BU98" s="24">
        <f t="shared" si="22"/>
        <v>0.0153214500000001</v>
      </c>
      <c r="BV98" s="24">
        <f>IF(VLOOKUP($R98,武学奇术!$A:$ZZ,22,FALSE)=1,0,(1-$BO98))*(1-$BR98)</f>
        <v>0</v>
      </c>
      <c r="BW98" s="24" cm="1">
        <f t="array" ref="BW98">SUM(_xlfn.XLOOKUP($S98:$AL98,增益!$A:$A,增益!$W:$W,0))+$I$5</f>
        <v>0.11</v>
      </c>
      <c r="BX98" s="24">
        <f>VLOOKUP($R98,武学奇术!$A:$ZZ,32,FALSE)</f>
        <v>0.4</v>
      </c>
      <c r="BY98" s="24" cm="1">
        <f t="array" ref="BY98">SUM(_xlfn.XLOOKUP($S98:$AL98,增益!$A:$A,增益!$X:$X,0))</f>
        <v>0</v>
      </c>
    </row>
    <row r="99" spans="11:77">
      <c r="K99" s="37">
        <f>$L99*VLOOKUP($R99,武学奇术!$A:$ZZ,31,FALSE)</f>
        <v>68752.3006183676</v>
      </c>
      <c r="L99" s="37">
        <f t="shared" si="24"/>
        <v>68752.3006183676</v>
      </c>
      <c r="M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*(1+$BX99)</f>
        <v>71623.0431918159</v>
      </c>
      <c r="N99" s="37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*(1+$BX99)</f>
        <v>46950.818871096</v>
      </c>
      <c r="O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*(1+$BX99)</f>
        <v>31276.4380750288</v>
      </c>
      <c r="P99" s="37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*(1+$BX99)</f>
        <v>27774.4918010976</v>
      </c>
      <c r="Q99" s="38">
        <v>1</v>
      </c>
      <c r="R99" s="39" t="s">
        <v>146</v>
      </c>
      <c r="S99" s="39" t="s">
        <v>104</v>
      </c>
      <c r="T99" s="39" t="s">
        <v>194</v>
      </c>
      <c r="U99" s="39" t="s">
        <v>81</v>
      </c>
      <c r="V99" s="39" t="s">
        <v>130</v>
      </c>
      <c r="W99" s="39" t="s">
        <v>83</v>
      </c>
      <c r="X99" s="39" t="s">
        <v>84</v>
      </c>
      <c r="Y99" s="39" t="s">
        <v>84</v>
      </c>
      <c r="Z99" s="39" t="s">
        <v>84</v>
      </c>
      <c r="AA99" s="39" t="s">
        <v>84</v>
      </c>
      <c r="AB99" s="39" t="s">
        <v>204</v>
      </c>
      <c r="AC99" s="39" t="s">
        <v>84</v>
      </c>
      <c r="AD99" s="39" t="s">
        <v>93</v>
      </c>
      <c r="AE99" s="39" t="s">
        <v>84</v>
      </c>
      <c r="AF99" s="39" t="s">
        <v>88</v>
      </c>
      <c r="AG99" s="39" t="s">
        <v>84</v>
      </c>
      <c r="AH99" s="39" t="s">
        <v>84</v>
      </c>
      <c r="AI99" s="39" t="s">
        <v>84</v>
      </c>
      <c r="AJ99" s="39" t="s">
        <v>84</v>
      </c>
      <c r="AK99" s="39" t="s">
        <v>84</v>
      </c>
      <c r="AL99" s="39" t="s">
        <v>84</v>
      </c>
      <c r="AM99" t="str">
        <f>VLOOKUP($R99,武学奇术!$A:$ZZ,25,FALSE)</f>
        <v>拳甲</v>
      </c>
      <c r="AN99" s="24">
        <f>VLOOKUP($R99,武学奇术!$A:$ZZ,26,FALSE)</f>
        <v>1.1298</v>
      </c>
      <c r="AO99" s="25">
        <f>VLOOKUP($R99,武学奇术!$A:$ZZ,27,FALSE)*(1+IF(OR($AM99=$F$4,$AM99=$F$5),$B$22,0))</f>
        <v>500.8</v>
      </c>
      <c r="AP99" s="24">
        <f>VLOOKUP($R99,武学奇术!$A:$ZZ,28,FALSE)</f>
        <v>1.6947</v>
      </c>
      <c r="AQ99" s="25">
        <f>VLOOKUP($R99,武学奇术!$A:$ZZ,29,FALSE)*(1+IF(OR($AM99=$F$4,$AM99=$F$5),$B$22,0))</f>
        <v>272</v>
      </c>
      <c r="AR99" s="24" cm="1">
        <f t="array" ref="AR99">$G$3+IFERROR(VLOOKUP($AM99,$F$4:$G$7,2,FALSE),0)+VLOOKUP($R99,武学奇术!$A:$ZZ,2,FALSE)+SUM(_xlfn.XLOOKUP($S99:$AL99,增益!$A:$A,增益!$B:$B,0))</f>
        <v>0.3743</v>
      </c>
      <c r="AS99" s="24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4274.25</v>
      </c>
      <c r="AU99" cm="1">
        <f t="array" ref="AU99">$E$10*(1+$AS99)+VLOOKUP($R99,武学奇术!$A:$ZZ,4,FALSE)+SUM(_xlfn.XLOOKUP($S99:$AL99,增益!$A:$A,增益!$D:$D,0))-$I$2</f>
        <v>4274.25</v>
      </c>
      <c r="AV99" s="31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0.3434</v>
      </c>
      <c r="AW99" s="31" cm="1">
        <f t="array" ref="AW99">$G$10+VLOOKUP($R99,武学奇术!$A:$ZZ,7,FALSE)+SUM(_xlfn.XLOOKUP($S99:$AL99,增益!$A:$A,增益!$G:$G,0))</f>
        <v>0.11</v>
      </c>
      <c r="AX99" s="24" cm="1">
        <f t="array" ref="AX99">VLOOKUP($R99,武学奇术!$A:$ZZ,8,FALSE)+SUM(_xlfn.XLOOKUP($S99:$AL99,增益!$A:$A,增益!$H:$H,0))</f>
        <v>0</v>
      </c>
      <c r="AY99">
        <f t="shared" si="13"/>
        <v>0</v>
      </c>
      <c r="AZ99">
        <f t="shared" si="14"/>
        <v>0</v>
      </c>
      <c r="BA99" s="31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1" cm="1">
        <f t="array" ref="BB99">$G$11+VLOOKUP($R99,武学奇术!$A:$ZZ,10,FALSE)+SUM(_xlfn.XLOOKUP($S99:$AL99,增益!$A:$A,增益!$J:$J,0))</f>
        <v>0.02</v>
      </c>
      <c r="BC99">
        <f t="shared" si="15"/>
        <v>0</v>
      </c>
      <c r="BD99">
        <f t="shared" si="16"/>
        <v>0</v>
      </c>
      <c r="BE99" s="31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1" cm="1">
        <f t="array" ref="BF99">$G$12+VLOOKUP($R99,武学奇术!$A:$ZZ,12,FALSE)+SUM(_xlfn.XLOOKUP($S99:$AL99,增益!$A:$A,增益!$L:$L,0))</f>
        <v>0.02</v>
      </c>
      <c r="BG99">
        <f t="shared" si="17"/>
        <v>0</v>
      </c>
      <c r="BH99">
        <f t="shared" si="18"/>
        <v>0</v>
      </c>
      <c r="BI99" s="31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1" cm="1">
        <f t="array" ref="BJ99">$G$13+VLOOKUP($R99,武学奇术!$A:$ZZ,14,FALSE)+SUM(_xlfn.XLOOKUP($S99:$AL99,增益!$A:$A,增益!$N:$N,0))</f>
        <v>0.02</v>
      </c>
      <c r="BK99">
        <f t="shared" si="19"/>
        <v>649.11</v>
      </c>
      <c r="BL99">
        <f t="shared" si="20"/>
        <v>1812.09</v>
      </c>
      <c r="BM99" s="31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1" cm="1">
        <f t="array" ref="BN99">$G$14+VLOOKUP($R99,武学奇术!$A:$ZZ,16,FALSE)+SUM(_xlfn.XLOOKUP($S99:$AL99,增益!$A:$A,增益!$P:$P,0))</f>
        <v>0.26</v>
      </c>
      <c r="BO99" s="24">
        <f>MIN(IF(VLOOKUP($R99,武学奇术!$A:$ZZ,23,FALSE)=1,100%,$B$8),100%)</f>
        <v>0.9943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0.8985</v>
      </c>
      <c r="BQ99" s="24" cm="1">
        <f t="array" ref="BQ99">1+$B$13+VLOOKUP($R99,武学奇术!$A:$ZZ,18,FALSE)+SUM(_xlfn.XLOOKUP($S99:$AL99,增益!$A:$A,增益!$R:$R,0))</f>
        <v>2.29</v>
      </c>
      <c r="BR99" s="24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4" cm="1">
        <f t="array" ref="BS99">1+$B$14+VLOOKUP($R99,武学奇术!$A:$ZZ,20,FALSE)+SUM(_xlfn.XLOOKUP($S99:$AL99,增益!$A:$A,增益!$T:$T,0))</f>
        <v>1.35</v>
      </c>
      <c r="BT99" s="24">
        <f t="shared" si="21"/>
        <v>0.89337855</v>
      </c>
      <c r="BU99" s="24">
        <f t="shared" si="22"/>
        <v>0.0153214500000001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0.11</v>
      </c>
      <c r="BX99" s="24">
        <f>VLOOKUP($R99,武学奇术!$A:$ZZ,32,FALSE)</f>
        <v>0.4</v>
      </c>
      <c r="BY99" s="24" cm="1">
        <f t="array" ref="BY99">SUM(_xlfn.XLOOKUP($S99:$AL99,增益!$A:$A,增益!$X:$X,0))</f>
        <v>0</v>
      </c>
    </row>
    <row r="100" spans="11:77">
      <c r="K100" s="37">
        <f>$L100*VLOOKUP($R100,武学奇术!$A:$ZZ,31,FALSE)</f>
        <v>130202.651923743</v>
      </c>
      <c r="L100" s="37">
        <f t="shared" si="24"/>
        <v>130202.651923743</v>
      </c>
      <c r="M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*(1+$BX100)</f>
        <v>134429.800608474</v>
      </c>
      <c r="N100" s="37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*(1+$BX100)</f>
        <v>99631.0469329392</v>
      </c>
      <c r="O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*(1+$BX100)</f>
        <v>65896.9610825851</v>
      </c>
      <c r="P100" s="37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*(1+$BX100)</f>
        <v>57993.1466592894</v>
      </c>
      <c r="Q100" s="38">
        <v>1</v>
      </c>
      <c r="R100" s="39" t="s">
        <v>151</v>
      </c>
      <c r="S100" s="39" t="s">
        <v>104</v>
      </c>
      <c r="T100" s="39" t="s">
        <v>194</v>
      </c>
      <c r="U100" s="39" t="s">
        <v>81</v>
      </c>
      <c r="V100" s="39" t="s">
        <v>130</v>
      </c>
      <c r="W100" s="39" t="s">
        <v>83</v>
      </c>
      <c r="X100" s="39" t="s">
        <v>84</v>
      </c>
      <c r="Y100" s="39" t="s">
        <v>84</v>
      </c>
      <c r="Z100" s="39" t="s">
        <v>84</v>
      </c>
      <c r="AA100" s="39" t="s">
        <v>84</v>
      </c>
      <c r="AB100" s="39" t="s">
        <v>204</v>
      </c>
      <c r="AC100" s="39" t="s">
        <v>84</v>
      </c>
      <c r="AD100" s="39" t="s">
        <v>84</v>
      </c>
      <c r="AE100" s="39" t="s">
        <v>84</v>
      </c>
      <c r="AF100" s="39" t="s">
        <v>88</v>
      </c>
      <c r="AG100" s="39" t="s">
        <v>84</v>
      </c>
      <c r="AH100" s="39" t="s">
        <v>84</v>
      </c>
      <c r="AI100" s="39" t="s">
        <v>84</v>
      </c>
      <c r="AJ100" s="39" t="s">
        <v>84</v>
      </c>
      <c r="AK100" s="39" t="s">
        <v>84</v>
      </c>
      <c r="AL100" s="39" t="s">
        <v>84</v>
      </c>
      <c r="AM100" t="str">
        <f>VLOOKUP($R100,武学奇术!$A:$ZZ,25,FALSE)</f>
        <v>拳甲</v>
      </c>
      <c r="AN100" s="24">
        <f>VLOOKUP($R100,武学奇术!$A:$ZZ,26,FALSE)</f>
        <v>2.5499</v>
      </c>
      <c r="AO100" s="25">
        <f>VLOOKUP($R100,武学奇术!$A:$ZZ,27,FALSE)*(1+IF(OR($AM100=$F$4,$AM100=$F$5),$B$22,0))</f>
        <v>1131.2</v>
      </c>
      <c r="AP100" s="24">
        <f>VLOOKUP($R100,武学奇术!$A:$ZZ,28,FALSE)</f>
        <v>3.8249</v>
      </c>
      <c r="AQ100" s="25">
        <f>VLOOKUP($R100,武学奇术!$A:$ZZ,29,FALSE)*(1+IF(OR($AM100=$F$4,$AM100=$F$5),$B$22,0))</f>
        <v>616</v>
      </c>
      <c r="AR100" s="24" cm="1">
        <f t="array" ref="AR100">$G$3+IFERROR(VLOOKUP($AM100,$F$4:$G$7,2,FALSE),0)+VLOOKUP($R100,武学奇术!$A:$ZZ,2,FALSE)+SUM(_xlfn.XLOOKUP($S100:$AL100,增益!$A:$A,增益!$B:$B,0))</f>
        <v>0.3743</v>
      </c>
      <c r="AS100" s="24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4274.25</v>
      </c>
      <c r="AU100" cm="1">
        <f t="array" ref="AU100">$E$10*(1+$AS100)+VLOOKUP($R100,武学奇术!$A:$ZZ,4,FALSE)+SUM(_xlfn.XLOOKUP($S100:$AL100,增益!$A:$A,增益!$D:$D,0))-$I$2</f>
        <v>4274.25</v>
      </c>
      <c r="AV100" s="31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0.2184</v>
      </c>
      <c r="AW100" s="31" cm="1">
        <f t="array" ref="AW100">$G$10+VLOOKUP($R100,武学奇术!$A:$ZZ,7,FALSE)+SUM(_xlfn.XLOOKUP($S100:$AL100,增益!$A:$A,增益!$G:$G,0))</f>
        <v>0.11</v>
      </c>
      <c r="AX100" s="24" cm="1">
        <f t="array" ref="AX100">VLOOKUP($R100,武学奇术!$A:$ZZ,8,FALSE)+SUM(_xlfn.XLOOKUP($S100:$AL100,增益!$A:$A,增益!$H:$H,0))</f>
        <v>0</v>
      </c>
      <c r="AY100">
        <f t="shared" si="13"/>
        <v>0</v>
      </c>
      <c r="AZ100">
        <f t="shared" si="14"/>
        <v>0</v>
      </c>
      <c r="BA100" s="31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1" cm="1">
        <f t="array" ref="BB100">$G$11+VLOOKUP($R100,武学奇术!$A:$ZZ,10,FALSE)+SUM(_xlfn.XLOOKUP($S100:$AL100,增益!$A:$A,增益!$J:$J,0))</f>
        <v>0.02</v>
      </c>
      <c r="BC100">
        <f t="shared" si="15"/>
        <v>0</v>
      </c>
      <c r="BD100">
        <f t="shared" si="16"/>
        <v>0</v>
      </c>
      <c r="BE100" s="31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1" cm="1">
        <f t="array" ref="BF100">$G$12+VLOOKUP($R100,武学奇术!$A:$ZZ,12,FALSE)+SUM(_xlfn.XLOOKUP($S100:$AL100,增益!$A:$A,增益!$L:$L,0))</f>
        <v>0.02</v>
      </c>
      <c r="BG100">
        <f t="shared" si="17"/>
        <v>0</v>
      </c>
      <c r="BH100">
        <f t="shared" si="18"/>
        <v>0</v>
      </c>
      <c r="BI100" s="31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1" cm="1">
        <f t="array" ref="BJ100">$G$13+VLOOKUP($R100,武学奇术!$A:$ZZ,14,FALSE)+SUM(_xlfn.XLOOKUP($S100:$AL100,增益!$A:$A,增益!$N:$N,0))</f>
        <v>0.02</v>
      </c>
      <c r="BK100">
        <f t="shared" si="19"/>
        <v>649.11</v>
      </c>
      <c r="BL100">
        <f t="shared" si="20"/>
        <v>1812.09</v>
      </c>
      <c r="BM100" s="31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1" cm="1">
        <f t="array" ref="BN100">$G$14+VLOOKUP($R100,武学奇术!$A:$ZZ,16,FALSE)+SUM(_xlfn.XLOOKUP($S100:$AL100,增益!$A:$A,增益!$P:$P,0))</f>
        <v>0.26</v>
      </c>
      <c r="BO100" s="24">
        <f>MIN(IF(VLOOKUP($R100,武学奇术!$A:$ZZ,23,FALSE)=1,100%,$B$8),100%)</f>
        <v>0.9943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0.8985</v>
      </c>
      <c r="BQ100" s="24" cm="1">
        <f t="array" ref="BQ100">1+$B$13+VLOOKUP($R100,武学奇术!$A:$ZZ,18,FALSE)+SUM(_xlfn.XLOOKUP($S100:$AL100,增益!$A:$A,增益!$R:$R,0))</f>
        <v>2.04</v>
      </c>
      <c r="BR100" s="24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21"/>
        <v>0.89337855</v>
      </c>
      <c r="BU100" s="24">
        <f t="shared" si="22"/>
        <v>0.0153214500000001</v>
      </c>
      <c r="BV100" s="24">
        <f>IF(VLOOKUP($R100,武学奇术!$A:$ZZ,22,FALSE)=1,0,(1-$BO100))*(1-$BR100)</f>
        <v>0</v>
      </c>
      <c r="BW100" s="24" cm="1">
        <f t="array" ref="BW100">SUM(_xlfn.XLOOKUP($S100:$AL100,增益!$A:$A,增益!$W:$W,0))+$I$5</f>
        <v>0.11</v>
      </c>
      <c r="BX100" s="24">
        <f>VLOOKUP($R100,武学奇术!$A:$ZZ,32,FALSE)</f>
        <v>0.4</v>
      </c>
      <c r="BY100" s="24" cm="1">
        <f t="array" ref="BY100">SUM(_xlfn.XLOOKUP($S100:$AL100,增益!$A:$A,增益!$X:$X,0))</f>
        <v>0</v>
      </c>
    </row>
    <row r="101" spans="11:77">
      <c r="K101" s="37">
        <f>$L101*VLOOKUP($R101,武学奇术!$A:$ZZ,31,FALSE)</f>
        <v>284352.320234173</v>
      </c>
      <c r="L101" s="37">
        <f t="shared" si="24"/>
        <v>284352.320234173</v>
      </c>
      <c r="M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*(1+$BX101)</f>
        <v>293583.968170288</v>
      </c>
      <c r="N101" s="37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*(1+$BX101)</f>
        <v>217587.445088722</v>
      </c>
      <c r="O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*(1+$BX101)</f>
        <v>143913.709887396</v>
      </c>
      <c r="P101" s="37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*(1+$BX101)</f>
        <v>126651.534523887</v>
      </c>
      <c r="Q101" s="38">
        <v>1</v>
      </c>
      <c r="R101" s="39" t="s">
        <v>133</v>
      </c>
      <c r="S101" s="39" t="s">
        <v>104</v>
      </c>
      <c r="T101" s="39" t="s">
        <v>194</v>
      </c>
      <c r="U101" s="39" t="s">
        <v>81</v>
      </c>
      <c r="V101" s="39" t="s">
        <v>130</v>
      </c>
      <c r="W101" s="39" t="s">
        <v>83</v>
      </c>
      <c r="X101" s="39" t="s">
        <v>84</v>
      </c>
      <c r="Y101" s="39" t="s">
        <v>84</v>
      </c>
      <c r="Z101" s="39" t="s">
        <v>84</v>
      </c>
      <c r="AA101" s="39" t="s">
        <v>84</v>
      </c>
      <c r="AB101" s="39" t="s">
        <v>204</v>
      </c>
      <c r="AC101" s="39" t="s">
        <v>84</v>
      </c>
      <c r="AD101" s="39" t="s">
        <v>84</v>
      </c>
      <c r="AE101" s="39" t="s">
        <v>84</v>
      </c>
      <c r="AF101" s="39" t="s">
        <v>88</v>
      </c>
      <c r="AG101" s="39" t="s">
        <v>84</v>
      </c>
      <c r="AH101" s="39" t="s">
        <v>84</v>
      </c>
      <c r="AI101" s="39" t="s">
        <v>84</v>
      </c>
      <c r="AJ101" s="39" t="s">
        <v>84</v>
      </c>
      <c r="AK101" s="39" t="s">
        <v>84</v>
      </c>
      <c r="AL101" s="39" t="s">
        <v>84</v>
      </c>
      <c r="AM101" t="str">
        <f>VLOOKUP($R101,武学奇术!$A:$ZZ,25,FALSE)</f>
        <v>拳甲</v>
      </c>
      <c r="AN101" s="24">
        <f>VLOOKUP($R101,武学奇术!$A:$ZZ,26,FALSE)</f>
        <v>5.5691</v>
      </c>
      <c r="AO101" s="25">
        <f>VLOOKUP($R101,武学奇术!$A:$ZZ,27,FALSE)*(1+IF(OR($AM101=$F$4,$AM101=$F$5),$B$22,0))</f>
        <v>2470.4</v>
      </c>
      <c r="AP101" s="24">
        <f>VLOOKUP($R101,武学奇术!$A:$ZZ,28,FALSE)</f>
        <v>8.3537</v>
      </c>
      <c r="AQ101" s="25">
        <f>VLOOKUP($R101,武学奇术!$A:$ZZ,29,FALSE)*(1+IF(OR($AM101=$F$4,$AM101=$F$5),$B$22,0))</f>
        <v>1344</v>
      </c>
      <c r="AR101" s="24" cm="1">
        <f t="array" ref="AR101">$G$3+IFERROR(VLOOKUP($AM101,$F$4:$G$7,2,FALSE),0)+VLOOKUP($R101,武学奇术!$A:$ZZ,2,FALSE)+SUM(_xlfn.XLOOKUP($S101:$AL101,增益!$A:$A,增益!$B:$B,0))</f>
        <v>0.3743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4274.25</v>
      </c>
      <c r="AU101" cm="1">
        <f t="array" ref="AU101">$E$10*(1+$AS101)+VLOOKUP($R101,武学奇术!$A:$ZZ,4,FALSE)+SUM(_xlfn.XLOOKUP($S101:$AL101,增益!$A:$A,增益!$D:$D,0))-$I$2</f>
        <v>4274.25</v>
      </c>
      <c r="AV101" s="31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0.2184</v>
      </c>
      <c r="AW101" s="31" cm="1">
        <f t="array" ref="AW101">$G$10+VLOOKUP($R101,武学奇术!$A:$ZZ,7,FALSE)+SUM(_xlfn.XLOOKUP($S101:$AL101,增益!$A:$A,增益!$G:$G,0))</f>
        <v>0.11</v>
      </c>
      <c r="AX101" s="24" cm="1">
        <f t="array" ref="AX101">VLOOKUP($R101,武学奇术!$A:$ZZ,8,FALSE)+SUM(_xlfn.XLOOKUP($S101:$AL101,增益!$A:$A,增益!$H:$H,0))</f>
        <v>0</v>
      </c>
      <c r="AY101">
        <f t="shared" si="13"/>
        <v>0</v>
      </c>
      <c r="AZ101">
        <f t="shared" si="14"/>
        <v>0</v>
      </c>
      <c r="BA101" s="31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1" cm="1">
        <f t="array" ref="BB101">$G$11+VLOOKUP($R101,武学奇术!$A:$ZZ,10,FALSE)+SUM(_xlfn.XLOOKUP($S101:$AL101,增益!$A:$A,增益!$J:$J,0))</f>
        <v>0.02</v>
      </c>
      <c r="BC101">
        <f t="shared" si="15"/>
        <v>0</v>
      </c>
      <c r="BD101">
        <f t="shared" si="16"/>
        <v>0</v>
      </c>
      <c r="BE101" s="31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1" cm="1">
        <f t="array" ref="BF101">$G$12+VLOOKUP($R101,武学奇术!$A:$ZZ,12,FALSE)+SUM(_xlfn.XLOOKUP($S101:$AL101,增益!$A:$A,增益!$L:$L,0))</f>
        <v>0.02</v>
      </c>
      <c r="BG101">
        <f t="shared" si="17"/>
        <v>0</v>
      </c>
      <c r="BH101">
        <f t="shared" si="18"/>
        <v>0</v>
      </c>
      <c r="BI101" s="31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1" cm="1">
        <f t="array" ref="BJ101">$G$13+VLOOKUP($R101,武学奇术!$A:$ZZ,14,FALSE)+SUM(_xlfn.XLOOKUP($S101:$AL101,增益!$A:$A,增益!$N:$N,0))</f>
        <v>0.02</v>
      </c>
      <c r="BK101">
        <f t="shared" si="19"/>
        <v>649.11</v>
      </c>
      <c r="BL101">
        <f t="shared" si="20"/>
        <v>1812.09</v>
      </c>
      <c r="BM101" s="31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1" cm="1">
        <f t="array" ref="BN101">$G$14+VLOOKUP($R101,武学奇术!$A:$ZZ,16,FALSE)+SUM(_xlfn.XLOOKUP($S101:$AL101,增益!$A:$A,增益!$P:$P,0))</f>
        <v>0.26</v>
      </c>
      <c r="BO101" s="24">
        <f>MIN(IF(VLOOKUP($R101,武学奇术!$A:$ZZ,23,FALSE)=1,100%,$B$8),100%)</f>
        <v>0.9943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0.8985</v>
      </c>
      <c r="BQ101" s="24" cm="1">
        <f t="array" ref="BQ101">1+$B$13+VLOOKUP($R101,武学奇术!$A:$ZZ,18,FALSE)+SUM(_xlfn.XLOOKUP($S101:$AL101,增益!$A:$A,增益!$R:$R,0))</f>
        <v>2.04</v>
      </c>
      <c r="BR101" s="24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21"/>
        <v>0.89337855</v>
      </c>
      <c r="BU101" s="24">
        <f t="shared" si="22"/>
        <v>0.0153214500000001</v>
      </c>
      <c r="BV101" s="24">
        <f>IF(VLOOKUP($R101,武学奇术!$A:$ZZ,22,FALSE)=1,0,(1-$BO101))*(1-$BR101)</f>
        <v>0</v>
      </c>
      <c r="BW101" s="24" cm="1">
        <f t="array" ref="BW101">SUM(_xlfn.XLOOKUP($S101:$AL101,增益!$A:$A,增益!$W:$W,0))+$I$5</f>
        <v>0.11</v>
      </c>
      <c r="BX101" s="24">
        <f>VLOOKUP($R101,武学奇术!$A:$ZZ,32,FALSE)</f>
        <v>0.4</v>
      </c>
      <c r="BY101" s="24" cm="1">
        <f t="array" ref="BY101">SUM(_xlfn.XLOOKUP($S101:$AL101,增益!$A:$A,增益!$X:$X,0))</f>
        <v>0</v>
      </c>
    </row>
    <row r="102" spans="11:77">
      <c r="K102" s="37">
        <f>$L102*VLOOKUP($R102,武学奇术!$A:$ZZ,31,FALSE)</f>
        <v>284352.320234173</v>
      </c>
      <c r="L102" s="37">
        <f t="shared" si="24"/>
        <v>284352.320234173</v>
      </c>
      <c r="M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*(1+$BX102)</f>
        <v>293583.968170288</v>
      </c>
      <c r="N102" s="37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*(1+$BX102)</f>
        <v>217587.445088722</v>
      </c>
      <c r="O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*(1+$BX102)</f>
        <v>143913.709887396</v>
      </c>
      <c r="P102" s="37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*(1+$BX102)</f>
        <v>126651.534523887</v>
      </c>
      <c r="Q102" s="38">
        <v>1</v>
      </c>
      <c r="R102" s="39" t="s">
        <v>133</v>
      </c>
      <c r="S102" s="39" t="s">
        <v>104</v>
      </c>
      <c r="T102" s="39" t="s">
        <v>194</v>
      </c>
      <c r="U102" s="39" t="s">
        <v>81</v>
      </c>
      <c r="V102" s="39" t="s">
        <v>130</v>
      </c>
      <c r="W102" s="39" t="s">
        <v>83</v>
      </c>
      <c r="X102" s="39" t="s">
        <v>84</v>
      </c>
      <c r="Y102" s="39" t="s">
        <v>84</v>
      </c>
      <c r="Z102" s="39" t="s">
        <v>84</v>
      </c>
      <c r="AA102" s="39" t="s">
        <v>84</v>
      </c>
      <c r="AB102" s="39" t="s">
        <v>204</v>
      </c>
      <c r="AC102" s="39" t="s">
        <v>84</v>
      </c>
      <c r="AD102" s="39" t="s">
        <v>84</v>
      </c>
      <c r="AE102" s="39" t="s">
        <v>84</v>
      </c>
      <c r="AF102" s="39" t="s">
        <v>88</v>
      </c>
      <c r="AG102" s="39" t="s">
        <v>84</v>
      </c>
      <c r="AH102" s="39" t="s">
        <v>84</v>
      </c>
      <c r="AI102" s="39" t="s">
        <v>84</v>
      </c>
      <c r="AJ102" s="39" t="s">
        <v>84</v>
      </c>
      <c r="AK102" s="39" t="s">
        <v>84</v>
      </c>
      <c r="AL102" s="39" t="s">
        <v>84</v>
      </c>
      <c r="AM102" t="str">
        <f>VLOOKUP($R102,武学奇术!$A:$ZZ,25,FALSE)</f>
        <v>拳甲</v>
      </c>
      <c r="AN102" s="24">
        <f>VLOOKUP($R102,武学奇术!$A:$ZZ,26,FALSE)</f>
        <v>5.5691</v>
      </c>
      <c r="AO102" s="25">
        <f>VLOOKUP($R102,武学奇术!$A:$ZZ,27,FALSE)*(1+IF(OR($AM102=$F$4,$AM102=$F$5),$B$22,0))</f>
        <v>2470.4</v>
      </c>
      <c r="AP102" s="24">
        <f>VLOOKUP($R102,武学奇术!$A:$ZZ,28,FALSE)</f>
        <v>8.3537</v>
      </c>
      <c r="AQ102" s="25">
        <f>VLOOKUP($R102,武学奇术!$A:$ZZ,29,FALSE)*(1+IF(OR($AM102=$F$4,$AM102=$F$5),$B$22,0))</f>
        <v>1344</v>
      </c>
      <c r="AR102" s="24" cm="1">
        <f t="array" ref="AR102">$G$3+IFERROR(VLOOKUP($AM102,$F$4:$G$7,2,FALSE),0)+VLOOKUP($R102,武学奇术!$A:$ZZ,2,FALSE)+SUM(_xlfn.XLOOKUP($S102:$AL102,增益!$A:$A,增益!$B:$B,0))</f>
        <v>0.3743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4274.25</v>
      </c>
      <c r="AU102" cm="1">
        <f t="array" ref="AU102">$E$10*(1+$AS102)+VLOOKUP($R102,武学奇术!$A:$ZZ,4,FALSE)+SUM(_xlfn.XLOOKUP($S102:$AL102,增益!$A:$A,增益!$D:$D,0))-$I$2</f>
        <v>4274.25</v>
      </c>
      <c r="AV102" s="31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0.2184</v>
      </c>
      <c r="AW102" s="31" cm="1">
        <f t="array" ref="AW102">$G$10+VLOOKUP($R102,武学奇术!$A:$ZZ,7,FALSE)+SUM(_xlfn.XLOOKUP($S102:$AL102,增益!$A:$A,增益!$G:$G,0))</f>
        <v>0.11</v>
      </c>
      <c r="AX102" s="24" cm="1">
        <f t="array" ref="AX102">VLOOKUP($R102,武学奇术!$A:$ZZ,8,FALSE)+SUM(_xlfn.XLOOKUP($S102:$AL102,增益!$A:$A,增益!$H:$H,0))</f>
        <v>0</v>
      </c>
      <c r="AY102">
        <f t="shared" si="13"/>
        <v>0</v>
      </c>
      <c r="AZ102">
        <f t="shared" si="14"/>
        <v>0</v>
      </c>
      <c r="BA102" s="31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1" cm="1">
        <f t="array" ref="BB102">$G$11+VLOOKUP($R102,武学奇术!$A:$ZZ,10,FALSE)+SUM(_xlfn.XLOOKUP($S102:$AL102,增益!$A:$A,增益!$J:$J,0))</f>
        <v>0.02</v>
      </c>
      <c r="BC102">
        <f t="shared" si="15"/>
        <v>0</v>
      </c>
      <c r="BD102">
        <f t="shared" si="16"/>
        <v>0</v>
      </c>
      <c r="BE102" s="31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1" cm="1">
        <f t="array" ref="BF102">$G$12+VLOOKUP($R102,武学奇术!$A:$ZZ,12,FALSE)+SUM(_xlfn.XLOOKUP($S102:$AL102,增益!$A:$A,增益!$L:$L,0))</f>
        <v>0.02</v>
      </c>
      <c r="BG102">
        <f t="shared" si="17"/>
        <v>0</v>
      </c>
      <c r="BH102">
        <f t="shared" si="18"/>
        <v>0</v>
      </c>
      <c r="BI102" s="31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1" cm="1">
        <f t="array" ref="BJ102">$G$13+VLOOKUP($R102,武学奇术!$A:$ZZ,14,FALSE)+SUM(_xlfn.XLOOKUP($S102:$AL102,增益!$A:$A,增益!$N:$N,0))</f>
        <v>0.02</v>
      </c>
      <c r="BK102">
        <f t="shared" si="19"/>
        <v>649.11</v>
      </c>
      <c r="BL102">
        <f t="shared" si="20"/>
        <v>1812.09</v>
      </c>
      <c r="BM102" s="31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1" cm="1">
        <f t="array" ref="BN102">$G$14+VLOOKUP($R102,武学奇术!$A:$ZZ,16,FALSE)+SUM(_xlfn.XLOOKUP($S102:$AL102,增益!$A:$A,增益!$P:$P,0))</f>
        <v>0.26</v>
      </c>
      <c r="BO102" s="24">
        <f>MIN(IF(VLOOKUP($R102,武学奇术!$A:$ZZ,23,FALSE)=1,100%,$B$8),100%)</f>
        <v>0.9943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0.8985</v>
      </c>
      <c r="BQ102" s="24" cm="1">
        <f t="array" ref="BQ102">1+$B$13+VLOOKUP($R102,武学奇术!$A:$ZZ,18,FALSE)+SUM(_xlfn.XLOOKUP($S102:$AL102,增益!$A:$A,增益!$R:$R,0))</f>
        <v>2.04</v>
      </c>
      <c r="BR102" s="24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21"/>
        <v>0.89337855</v>
      </c>
      <c r="BU102" s="24">
        <f t="shared" si="22"/>
        <v>0.0153214500000001</v>
      </c>
      <c r="BV102" s="24">
        <f>IF(VLOOKUP($R102,武学奇术!$A:$ZZ,22,FALSE)=1,0,(1-$BO102))*(1-$BR102)</f>
        <v>0</v>
      </c>
      <c r="BW102" s="24" cm="1">
        <f t="array" ref="BW102">SUM(_xlfn.XLOOKUP($S102:$AL102,增益!$A:$A,增益!$W:$W,0))+$I$5</f>
        <v>0.11</v>
      </c>
      <c r="BX102" s="24">
        <f>VLOOKUP($R102,武学奇术!$A:$ZZ,32,FALSE)</f>
        <v>0.4</v>
      </c>
      <c r="BY102" s="24" cm="1">
        <f t="array" ref="BY102">SUM(_xlfn.XLOOKUP($S102:$AL102,增益!$A:$A,增益!$X:$X,0))</f>
        <v>0</v>
      </c>
    </row>
    <row r="103" spans="11:77">
      <c r="K103" s="37">
        <f>$L103*VLOOKUP($R103,武学奇术!$A:$ZZ,31,FALSE)</f>
        <v>156153.570493085</v>
      </c>
      <c r="L103" s="37">
        <f t="shared" si="24"/>
        <v>156153.570493085</v>
      </c>
      <c r="M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*(1+$BX103)</f>
        <v>161222.868001659</v>
      </c>
      <c r="N103" s="37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*(1+$BX103)</f>
        <v>119492.351915339</v>
      </c>
      <c r="O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*(1+$BX103)</f>
        <v>79030.8176478719</v>
      </c>
      <c r="P103" s="37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*(1+$BX103)</f>
        <v>69548.782025122</v>
      </c>
      <c r="Q103" s="38">
        <v>1</v>
      </c>
      <c r="R103" s="39" t="s">
        <v>157</v>
      </c>
      <c r="S103" s="39" t="s">
        <v>104</v>
      </c>
      <c r="T103" s="39" t="s">
        <v>194</v>
      </c>
      <c r="U103" s="39" t="s">
        <v>81</v>
      </c>
      <c r="V103" s="39" t="s">
        <v>130</v>
      </c>
      <c r="W103" s="39" t="s">
        <v>83</v>
      </c>
      <c r="X103" s="39" t="s">
        <v>84</v>
      </c>
      <c r="Y103" s="39" t="s">
        <v>84</v>
      </c>
      <c r="Z103" s="39" t="s">
        <v>84</v>
      </c>
      <c r="AA103" s="39" t="s">
        <v>84</v>
      </c>
      <c r="AB103" s="39" t="s">
        <v>204</v>
      </c>
      <c r="AC103" s="39" t="s">
        <v>84</v>
      </c>
      <c r="AD103" s="39" t="s">
        <v>84</v>
      </c>
      <c r="AE103" s="39" t="s">
        <v>84</v>
      </c>
      <c r="AF103" s="39" t="s">
        <v>88</v>
      </c>
      <c r="AG103" s="39" t="s">
        <v>84</v>
      </c>
      <c r="AH103" s="39" t="s">
        <v>84</v>
      </c>
      <c r="AI103" s="39" t="s">
        <v>84</v>
      </c>
      <c r="AJ103" s="39" t="s">
        <v>84</v>
      </c>
      <c r="AK103" s="39" t="s">
        <v>84</v>
      </c>
      <c r="AL103" s="39" t="s">
        <v>84</v>
      </c>
      <c r="AM103" t="str">
        <f>VLOOKUP($R103,武学奇术!$A:$ZZ,25,FALSE)</f>
        <v>双刀</v>
      </c>
      <c r="AN103" s="24">
        <f>VLOOKUP($R103,武学奇术!$A:$ZZ,26,FALSE)</f>
        <v>2.85516</v>
      </c>
      <c r="AO103" s="25">
        <f>VLOOKUP($R103,武学奇术!$A:$ZZ,27,FALSE)*(1+IF(OR($AM103=$F$4,$AM103=$F$5),$B$22,0))</f>
        <v>1263.36</v>
      </c>
      <c r="AP103" s="24">
        <f>VLOOKUP($R103,武学奇术!$A:$ZZ,28,FALSE)</f>
        <v>4.28274</v>
      </c>
      <c r="AQ103" s="25">
        <f>VLOOKUP($R103,武学奇术!$A:$ZZ,29,FALSE)*(1+IF(OR($AM103=$F$4,$AM103=$F$5),$B$22,0))</f>
        <v>687.68</v>
      </c>
      <c r="AR103" s="24" cm="1">
        <f t="array" ref="AR103">$G$3+IFERROR(VLOOKUP($AM103,$F$4:$G$7,2,FALSE),0)+VLOOKUP($R103,武学奇术!$A:$ZZ,2,FALSE)+SUM(_xlfn.XLOOKUP($S103:$AL103,增益!$A:$A,增益!$B:$B,0))</f>
        <v>0.3743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4274.25</v>
      </c>
      <c r="AU103" cm="1">
        <f t="array" ref="AU103">$E$10*(1+$AS103)+VLOOKUP($R103,武学奇术!$A:$ZZ,4,FALSE)+SUM(_xlfn.XLOOKUP($S103:$AL103,增益!$A:$A,增益!$D:$D,0))-$I$2</f>
        <v>4274.25</v>
      </c>
      <c r="AV103" s="31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0.2184</v>
      </c>
      <c r="AW103" s="31" cm="1">
        <f t="array" ref="AW103">$G$10+VLOOKUP($R103,武学奇术!$A:$ZZ,7,FALSE)+SUM(_xlfn.XLOOKUP($S103:$AL103,增益!$A:$A,增益!$G:$G,0))</f>
        <v>0.11</v>
      </c>
      <c r="AX103" s="24" cm="1">
        <f t="array" ref="AX103">VLOOKUP($R103,武学奇术!$A:$ZZ,8,FALSE)+SUM(_xlfn.XLOOKUP($S103:$AL103,增益!$A:$A,增益!$H:$H,0))</f>
        <v>0</v>
      </c>
      <c r="AY103">
        <f t="shared" si="13"/>
        <v>0</v>
      </c>
      <c r="AZ103">
        <f t="shared" si="14"/>
        <v>0</v>
      </c>
      <c r="BA103" s="31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1" cm="1">
        <f t="array" ref="BB103">$G$11+VLOOKUP($R103,武学奇术!$A:$ZZ,10,FALSE)+SUM(_xlfn.XLOOKUP($S103:$AL103,增益!$A:$A,增益!$J:$J,0))</f>
        <v>0.02</v>
      </c>
      <c r="BC103">
        <f t="shared" si="15"/>
        <v>0</v>
      </c>
      <c r="BD103">
        <f t="shared" si="16"/>
        <v>0</v>
      </c>
      <c r="BE103" s="31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1" cm="1">
        <f t="array" ref="BF103">$G$12+VLOOKUP($R103,武学奇术!$A:$ZZ,12,FALSE)+SUM(_xlfn.XLOOKUP($S103:$AL103,增益!$A:$A,增益!$L:$L,0))</f>
        <v>0.02</v>
      </c>
      <c r="BG103">
        <f t="shared" si="17"/>
        <v>0</v>
      </c>
      <c r="BH103">
        <f t="shared" si="18"/>
        <v>0</v>
      </c>
      <c r="BI103" s="31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1" cm="1">
        <f t="array" ref="BJ103">$G$13+VLOOKUP($R103,武学奇术!$A:$ZZ,14,FALSE)+SUM(_xlfn.XLOOKUP($S103:$AL103,增益!$A:$A,增益!$N:$N,0))</f>
        <v>0.02</v>
      </c>
      <c r="BK103">
        <f t="shared" si="19"/>
        <v>649.11</v>
      </c>
      <c r="BL103">
        <f t="shared" si="20"/>
        <v>1812.09</v>
      </c>
      <c r="BM103" s="31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1" cm="1">
        <f t="array" ref="BN103">$G$14+VLOOKUP($R103,武学奇术!$A:$ZZ,16,FALSE)+SUM(_xlfn.XLOOKUP($S103:$AL103,增益!$A:$A,增益!$P:$P,0))</f>
        <v>0.26</v>
      </c>
      <c r="BO103" s="24">
        <f>MIN(IF(VLOOKUP($R103,武学奇术!$A:$ZZ,23,FALSE)=1,100%,$B$8),100%)</f>
        <v>0.9943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0.8985</v>
      </c>
      <c r="BQ103" s="24" cm="1">
        <f t="array" ref="BQ103">1+$B$13+VLOOKUP($R103,武学奇术!$A:$ZZ,18,FALSE)+SUM(_xlfn.XLOOKUP($S103:$AL103,增益!$A:$A,增益!$R:$R,0))</f>
        <v>2.04</v>
      </c>
      <c r="BR103" s="24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21"/>
        <v>0.89337855</v>
      </c>
      <c r="BU103" s="24">
        <f t="shared" si="22"/>
        <v>0.0153214500000001</v>
      </c>
      <c r="BV103" s="24">
        <f>IF(VLOOKUP($R103,武学奇术!$A:$ZZ,22,FALSE)=1,0,(1-$BO103))*(1-$BR103)</f>
        <v>0</v>
      </c>
      <c r="BW103" s="24" cm="1">
        <f t="array" ref="BW103">SUM(_xlfn.XLOOKUP($S103:$AL103,增益!$A:$A,增益!$W:$W,0))+$I$5</f>
        <v>0.11</v>
      </c>
      <c r="BX103" s="24">
        <f>VLOOKUP($R103,武学奇术!$A:$ZZ,32,FALSE)</f>
        <v>0.5</v>
      </c>
      <c r="BY103" s="24" cm="1">
        <f t="array" ref="BY103">SUM(_xlfn.XLOOKUP($S103:$AL103,增益!$A:$A,增益!$X:$X,0))</f>
        <v>0</v>
      </c>
    </row>
    <row r="104" spans="11:77">
      <c r="K104" s="37">
        <f>$L104*VLOOKUP($R104,武学奇术!$A:$ZZ,31,FALSE)</f>
        <v>208166.011298983</v>
      </c>
      <c r="L104" s="37">
        <f t="shared" si="24"/>
        <v>208166.011298983</v>
      </c>
      <c r="M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*(1+$BX104)</f>
        <v>214923.673983832</v>
      </c>
      <c r="N104" s="37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*(1+$BX104)</f>
        <v>159294.892229319</v>
      </c>
      <c r="O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*(1+$BX104)</f>
        <v>105354.742148937</v>
      </c>
      <c r="P104" s="37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*(1+$BX104)</f>
        <v>92713.2678317121</v>
      </c>
      <c r="Q104" s="38">
        <v>1</v>
      </c>
      <c r="R104" s="39" t="s">
        <v>163</v>
      </c>
      <c r="S104" s="39" t="s">
        <v>104</v>
      </c>
      <c r="T104" s="39" t="s">
        <v>194</v>
      </c>
      <c r="U104" s="39" t="s">
        <v>81</v>
      </c>
      <c r="V104" s="39" t="s">
        <v>130</v>
      </c>
      <c r="W104" s="39" t="s">
        <v>83</v>
      </c>
      <c r="X104" s="39" t="s">
        <v>84</v>
      </c>
      <c r="Y104" s="39" t="s">
        <v>84</v>
      </c>
      <c r="Z104" s="39" t="s">
        <v>84</v>
      </c>
      <c r="AA104" s="39" t="s">
        <v>84</v>
      </c>
      <c r="AB104" s="39" t="s">
        <v>204</v>
      </c>
      <c r="AC104" s="39" t="s">
        <v>84</v>
      </c>
      <c r="AD104" s="39" t="s">
        <v>84</v>
      </c>
      <c r="AE104" s="39" t="s">
        <v>84</v>
      </c>
      <c r="AF104" s="39" t="s">
        <v>88</v>
      </c>
      <c r="AG104" s="39" t="s">
        <v>84</v>
      </c>
      <c r="AH104" s="39" t="s">
        <v>84</v>
      </c>
      <c r="AI104" s="39" t="s">
        <v>84</v>
      </c>
      <c r="AJ104" s="39" t="s">
        <v>84</v>
      </c>
      <c r="AK104" s="39" t="s">
        <v>84</v>
      </c>
      <c r="AL104" s="39" t="s">
        <v>84</v>
      </c>
      <c r="AM104" t="str">
        <f>VLOOKUP($R104,武学奇术!$A:$ZZ,25,FALSE)</f>
        <v>双刀</v>
      </c>
      <c r="AN104" s="24">
        <f>VLOOKUP($R104,武学奇术!$A:$ZZ,26,FALSE)</f>
        <v>3.80688</v>
      </c>
      <c r="AO104" s="25">
        <f>VLOOKUP($R104,武学奇术!$A:$ZZ,27,FALSE)*(1+IF(OR($AM104=$F$4,$AM104=$F$5),$B$22,0))</f>
        <v>1684.48</v>
      </c>
      <c r="AP104" s="24">
        <f>VLOOKUP($R104,武学奇术!$A:$ZZ,28,FALSE)</f>
        <v>5.70976</v>
      </c>
      <c r="AQ104" s="25">
        <f>VLOOKUP($R104,武学奇术!$A:$ZZ,29,FALSE)*(1+IF(OR($AM104=$F$4,$AM104=$F$5),$B$22,0))</f>
        <v>913.92</v>
      </c>
      <c r="AR104" s="24" cm="1">
        <f t="array" ref="AR104">$G$3+IFERROR(VLOOKUP($AM104,$F$4:$G$7,2,FALSE),0)+VLOOKUP($R104,武学奇术!$A:$ZZ,2,FALSE)+SUM(_xlfn.XLOOKUP($S104:$AL104,增益!$A:$A,增益!$B:$B,0))</f>
        <v>0.3743</v>
      </c>
      <c r="AS104" s="24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4274.25</v>
      </c>
      <c r="AU104" cm="1">
        <f t="array" ref="AU104">$E$10*(1+$AS104)+VLOOKUP($R104,武学奇术!$A:$ZZ,4,FALSE)+SUM(_xlfn.XLOOKUP($S104:$AL104,增益!$A:$A,增益!$D:$D,0))-$I$2</f>
        <v>4274.25</v>
      </c>
      <c r="AV104" s="31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0.2184</v>
      </c>
      <c r="AW104" s="31" cm="1">
        <f t="array" ref="AW104">$G$10+VLOOKUP($R104,武学奇术!$A:$ZZ,7,FALSE)+SUM(_xlfn.XLOOKUP($S104:$AL104,增益!$A:$A,增益!$G:$G,0))</f>
        <v>0.11</v>
      </c>
      <c r="AX104" s="24" cm="1">
        <f t="array" ref="AX104">VLOOKUP($R104,武学奇术!$A:$ZZ,8,FALSE)+SUM(_xlfn.XLOOKUP($S104:$AL104,增益!$A:$A,增益!$H:$H,0))</f>
        <v>0</v>
      </c>
      <c r="AY104">
        <f t="shared" si="13"/>
        <v>0</v>
      </c>
      <c r="AZ104">
        <f t="shared" si="14"/>
        <v>0</v>
      </c>
      <c r="BA104" s="31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1" cm="1">
        <f t="array" ref="BB104">$G$11+VLOOKUP($R104,武学奇术!$A:$ZZ,10,FALSE)+SUM(_xlfn.XLOOKUP($S104:$AL104,增益!$A:$A,增益!$J:$J,0))</f>
        <v>0.02</v>
      </c>
      <c r="BC104">
        <f t="shared" si="15"/>
        <v>0</v>
      </c>
      <c r="BD104">
        <f t="shared" si="16"/>
        <v>0</v>
      </c>
      <c r="BE104" s="31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1" cm="1">
        <f t="array" ref="BF104">$G$12+VLOOKUP($R104,武学奇术!$A:$ZZ,12,FALSE)+SUM(_xlfn.XLOOKUP($S104:$AL104,增益!$A:$A,增益!$L:$L,0))</f>
        <v>0.02</v>
      </c>
      <c r="BG104">
        <f t="shared" si="17"/>
        <v>0</v>
      </c>
      <c r="BH104">
        <f t="shared" si="18"/>
        <v>0</v>
      </c>
      <c r="BI104" s="31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1" cm="1">
        <f t="array" ref="BJ104">$G$13+VLOOKUP($R104,武学奇术!$A:$ZZ,14,FALSE)+SUM(_xlfn.XLOOKUP($S104:$AL104,增益!$A:$A,增益!$N:$N,0))</f>
        <v>0.02</v>
      </c>
      <c r="BK104">
        <f t="shared" si="19"/>
        <v>649.11</v>
      </c>
      <c r="BL104">
        <f t="shared" si="20"/>
        <v>1812.09</v>
      </c>
      <c r="BM104" s="31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1" cm="1">
        <f t="array" ref="BN104">$G$14+VLOOKUP($R104,武学奇术!$A:$ZZ,16,FALSE)+SUM(_xlfn.XLOOKUP($S104:$AL104,增益!$A:$A,增益!$P:$P,0))</f>
        <v>0.26</v>
      </c>
      <c r="BO104" s="24">
        <f>MIN(IF(VLOOKUP($R104,武学奇术!$A:$ZZ,23,FALSE)=1,100%,$B$8),100%)</f>
        <v>0.9943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0.8985</v>
      </c>
      <c r="BQ104" s="24" cm="1">
        <f t="array" ref="BQ104">1+$B$13+VLOOKUP($R104,武学奇术!$A:$ZZ,18,FALSE)+SUM(_xlfn.XLOOKUP($S104:$AL104,增益!$A:$A,增益!$R:$R,0))</f>
        <v>2.04</v>
      </c>
      <c r="BR104" s="24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21"/>
        <v>0.89337855</v>
      </c>
      <c r="BU104" s="24">
        <f t="shared" si="22"/>
        <v>0.0153214500000001</v>
      </c>
      <c r="BV104" s="24">
        <f>IF(VLOOKUP($R104,武学奇术!$A:$ZZ,22,FALSE)=1,0,(1-$BO104))*(1-$BR104)</f>
        <v>0</v>
      </c>
      <c r="BW104" s="24" cm="1">
        <f t="array" ref="BW104">SUM(_xlfn.XLOOKUP($S104:$AL104,增益!$A:$A,增益!$W:$W,0))+$I$5</f>
        <v>0.11</v>
      </c>
      <c r="BX104" s="24">
        <f>VLOOKUP($R104,武学奇术!$A:$ZZ,32,FALSE)</f>
        <v>0.5</v>
      </c>
      <c r="BY104" s="24" cm="1">
        <f t="array" ref="BY104">SUM(_xlfn.XLOOKUP($S104:$AL104,增益!$A:$A,增益!$X:$X,0))</f>
        <v>0</v>
      </c>
    </row>
    <row r="105" spans="11:77">
      <c r="K105" s="37">
        <f>$L105*VLOOKUP($R105,武学奇术!$A:$ZZ,31,FALSE)</f>
        <v>156153.570493085</v>
      </c>
      <c r="L105" s="37">
        <f t="shared" si="24"/>
        <v>156153.570493085</v>
      </c>
      <c r="M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*(1+$BX105)</f>
        <v>161222.868001659</v>
      </c>
      <c r="N105" s="37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*(1+$BX105)</f>
        <v>119492.351915339</v>
      </c>
      <c r="O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*(1+$BX105)</f>
        <v>79030.8176478719</v>
      </c>
      <c r="P105" s="37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*(1+$BX105)</f>
        <v>69548.782025122</v>
      </c>
      <c r="Q105" s="38">
        <v>1</v>
      </c>
      <c r="R105" s="39" t="s">
        <v>166</v>
      </c>
      <c r="S105" s="39" t="s">
        <v>104</v>
      </c>
      <c r="T105" s="39" t="s">
        <v>194</v>
      </c>
      <c r="U105" s="39" t="s">
        <v>81</v>
      </c>
      <c r="V105" s="39" t="s">
        <v>130</v>
      </c>
      <c r="W105" s="39" t="s">
        <v>83</v>
      </c>
      <c r="X105" s="39" t="s">
        <v>84</v>
      </c>
      <c r="Y105" s="39" t="s">
        <v>84</v>
      </c>
      <c r="Z105" s="39" t="s">
        <v>84</v>
      </c>
      <c r="AA105" s="39" t="s">
        <v>84</v>
      </c>
      <c r="AB105" s="39" t="s">
        <v>204</v>
      </c>
      <c r="AC105" s="39" t="s">
        <v>84</v>
      </c>
      <c r="AD105" s="39" t="s">
        <v>84</v>
      </c>
      <c r="AE105" s="39" t="s">
        <v>84</v>
      </c>
      <c r="AF105" s="39" t="s">
        <v>88</v>
      </c>
      <c r="AG105" s="39" t="s">
        <v>84</v>
      </c>
      <c r="AH105" s="39" t="s">
        <v>84</v>
      </c>
      <c r="AI105" s="39" t="s">
        <v>84</v>
      </c>
      <c r="AJ105" s="39" t="s">
        <v>84</v>
      </c>
      <c r="AK105" s="39" t="s">
        <v>84</v>
      </c>
      <c r="AL105" s="39" t="s">
        <v>84</v>
      </c>
      <c r="AM105" t="str">
        <f>VLOOKUP($R105,武学奇术!$A:$ZZ,25,FALSE)</f>
        <v>双刀</v>
      </c>
      <c r="AN105" s="24">
        <f>VLOOKUP($R105,武学奇术!$A:$ZZ,26,FALSE)</f>
        <v>2.85516</v>
      </c>
      <c r="AO105" s="25">
        <f>VLOOKUP($R105,武学奇术!$A:$ZZ,27,FALSE)*(1+IF(OR($AM105=$F$4,$AM105=$F$5),$B$22,0))</f>
        <v>1263.36</v>
      </c>
      <c r="AP105" s="24">
        <f>VLOOKUP($R105,武学奇术!$A:$ZZ,28,FALSE)</f>
        <v>4.28274</v>
      </c>
      <c r="AQ105" s="25">
        <f>VLOOKUP($R105,武学奇术!$A:$ZZ,29,FALSE)*(1+IF(OR($AM105=$F$4,$AM105=$F$5),$B$22,0))</f>
        <v>687.68</v>
      </c>
      <c r="AR105" s="24" cm="1">
        <f t="array" ref="AR105">$G$3+IFERROR(VLOOKUP($AM105,$F$4:$G$7,2,FALSE),0)+VLOOKUP($R105,武学奇术!$A:$ZZ,2,FALSE)+SUM(_xlfn.XLOOKUP($S105:$AL105,增益!$A:$A,增益!$B:$B,0))</f>
        <v>0.3743</v>
      </c>
      <c r="AS105" s="24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4274.25</v>
      </c>
      <c r="AU105" cm="1">
        <f t="array" ref="AU105">$E$10*(1+$AS105)+VLOOKUP($R105,武学奇术!$A:$ZZ,4,FALSE)+SUM(_xlfn.XLOOKUP($S105:$AL105,增益!$A:$A,增益!$D:$D,0))-$I$2</f>
        <v>4274.25</v>
      </c>
      <c r="AV105" s="31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0.2184</v>
      </c>
      <c r="AW105" s="31" cm="1">
        <f t="array" ref="AW105">$G$10+VLOOKUP($R105,武学奇术!$A:$ZZ,7,FALSE)+SUM(_xlfn.XLOOKUP($S105:$AL105,增益!$A:$A,增益!$G:$G,0))</f>
        <v>0.11</v>
      </c>
      <c r="AX105" s="24" cm="1">
        <f t="array" ref="AX105">VLOOKUP($R105,武学奇术!$A:$ZZ,8,FALSE)+SUM(_xlfn.XLOOKUP($S105:$AL105,增益!$A:$A,增益!$H:$H,0))</f>
        <v>0</v>
      </c>
      <c r="AY105">
        <f t="shared" si="13"/>
        <v>0</v>
      </c>
      <c r="AZ105">
        <f t="shared" si="14"/>
        <v>0</v>
      </c>
      <c r="BA105" s="31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1" cm="1">
        <f t="array" ref="BB105">$G$11+VLOOKUP($R105,武学奇术!$A:$ZZ,10,FALSE)+SUM(_xlfn.XLOOKUP($S105:$AL105,增益!$A:$A,增益!$J:$J,0))</f>
        <v>0.02</v>
      </c>
      <c r="BC105">
        <f t="shared" si="15"/>
        <v>0</v>
      </c>
      <c r="BD105">
        <f t="shared" si="16"/>
        <v>0</v>
      </c>
      <c r="BE105" s="31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1" cm="1">
        <f t="array" ref="BF105">$G$12+VLOOKUP($R105,武学奇术!$A:$ZZ,12,FALSE)+SUM(_xlfn.XLOOKUP($S105:$AL105,增益!$A:$A,增益!$L:$L,0))</f>
        <v>0.02</v>
      </c>
      <c r="BG105">
        <f t="shared" si="17"/>
        <v>0</v>
      </c>
      <c r="BH105">
        <f t="shared" si="18"/>
        <v>0</v>
      </c>
      <c r="BI105" s="31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1" cm="1">
        <f t="array" ref="BJ105">$G$13+VLOOKUP($R105,武学奇术!$A:$ZZ,14,FALSE)+SUM(_xlfn.XLOOKUP($S105:$AL105,增益!$A:$A,增益!$N:$N,0))</f>
        <v>0.02</v>
      </c>
      <c r="BK105">
        <f t="shared" si="19"/>
        <v>649.11</v>
      </c>
      <c r="BL105">
        <f t="shared" si="20"/>
        <v>1812.09</v>
      </c>
      <c r="BM105" s="31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1" cm="1">
        <f t="array" ref="BN105">$G$14+VLOOKUP($R105,武学奇术!$A:$ZZ,16,FALSE)+SUM(_xlfn.XLOOKUP($S105:$AL105,增益!$A:$A,增益!$P:$P,0))</f>
        <v>0.26</v>
      </c>
      <c r="BO105" s="24">
        <f>MIN(IF(VLOOKUP($R105,武学奇术!$A:$ZZ,23,FALSE)=1,100%,$B$8),100%)</f>
        <v>0.9943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0.8985</v>
      </c>
      <c r="BQ105" s="24" cm="1">
        <f t="array" ref="BQ105">1+$B$13+VLOOKUP($R105,武学奇术!$A:$ZZ,18,FALSE)+SUM(_xlfn.XLOOKUP($S105:$AL105,增益!$A:$A,增益!$R:$R,0))</f>
        <v>2.04</v>
      </c>
      <c r="BR105" s="24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21"/>
        <v>0.89337855</v>
      </c>
      <c r="BU105" s="24">
        <f t="shared" si="22"/>
        <v>0.0153214500000001</v>
      </c>
      <c r="BV105" s="24">
        <f>IF(VLOOKUP($R105,武学奇术!$A:$ZZ,22,FALSE)=1,0,(1-$BO105))*(1-$BR105)</f>
        <v>0</v>
      </c>
      <c r="BW105" s="24" cm="1">
        <f t="array" ref="BW105">SUM(_xlfn.XLOOKUP($S105:$AL105,增益!$A:$A,增益!$W:$W,0))+$I$5</f>
        <v>0.11</v>
      </c>
      <c r="BX105" s="24">
        <f>VLOOKUP($R105,武学奇术!$A:$ZZ,32,FALSE)</f>
        <v>0.5</v>
      </c>
      <c r="BY105" s="24" cm="1">
        <f t="array" ref="BY105">SUM(_xlfn.XLOOKUP($S105:$AL105,增益!$A:$A,增益!$X:$X,0))</f>
        <v>0</v>
      </c>
    </row>
    <row r="106" spans="11:77">
      <c r="K106" s="37">
        <f>$L106*VLOOKUP($R106,武学奇术!$A:$ZZ,31,FALSE)</f>
        <v>13238.7936180946</v>
      </c>
      <c r="L106" s="37">
        <f t="shared" si="24"/>
        <v>13238.7936180946</v>
      </c>
      <c r="M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*(1+$BX106)</f>
        <v>13418.9897980282</v>
      </c>
      <c r="N106" s="37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*(1+$BX106)</f>
        <v>12380.1697450366</v>
      </c>
      <c r="O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*(1+$BX106)</f>
        <v>8182.31085245622</v>
      </c>
      <c r="P106" s="37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*(1+$BX106)</f>
        <v>7194.12559747792</v>
      </c>
      <c r="Q106" s="38">
        <v>1</v>
      </c>
      <c r="R106" s="39" t="s">
        <v>110</v>
      </c>
      <c r="S106" s="39" t="s">
        <v>104</v>
      </c>
      <c r="T106" s="39" t="s">
        <v>194</v>
      </c>
      <c r="U106" s="39" t="s">
        <v>81</v>
      </c>
      <c r="V106" s="39" t="s">
        <v>84</v>
      </c>
      <c r="W106" s="39" t="s">
        <v>84</v>
      </c>
      <c r="X106" s="39" t="s">
        <v>84</v>
      </c>
      <c r="Y106" s="39" t="s">
        <v>84</v>
      </c>
      <c r="Z106" s="39" t="s">
        <v>84</v>
      </c>
      <c r="AA106" s="39" t="s">
        <v>84</v>
      </c>
      <c r="AB106" s="39" t="s">
        <v>205</v>
      </c>
      <c r="AC106" s="39" t="s">
        <v>84</v>
      </c>
      <c r="AD106" s="39" t="s">
        <v>84</v>
      </c>
      <c r="AE106" s="39" t="s">
        <v>84</v>
      </c>
      <c r="AF106" s="39" t="s">
        <v>88</v>
      </c>
      <c r="AG106" s="39" t="s">
        <v>84</v>
      </c>
      <c r="AH106" s="39" t="s">
        <v>84</v>
      </c>
      <c r="AI106" s="39" t="s">
        <v>84</v>
      </c>
      <c r="AJ106" s="39" t="s">
        <v>84</v>
      </c>
      <c r="AK106" s="39" t="s">
        <v>84</v>
      </c>
      <c r="AL106" s="39" t="s">
        <v>84</v>
      </c>
      <c r="AM106" t="str">
        <f>VLOOKUP($R106,武学奇术!$A:$ZZ,25,FALSE)</f>
        <v>双刀</v>
      </c>
      <c r="AN106" s="24">
        <f>VLOOKUP($R106,武学奇术!$A:$ZZ,26,FALSE)</f>
        <v>0.6587</v>
      </c>
      <c r="AO106" s="25">
        <f>VLOOKUP($R106,武学奇术!$A:$ZZ,27,FALSE)*(1+IF(OR($AM106=$F$4,$AM106=$F$5),$B$22,0))</f>
        <v>292.8</v>
      </c>
      <c r="AP106" s="24">
        <f>VLOOKUP($R106,武学奇术!$A:$ZZ,28,FALSE)</f>
        <v>0.9881</v>
      </c>
      <c r="AQ106" s="25">
        <f>VLOOKUP($R106,武学奇术!$A:$ZZ,29,FALSE)*(1+IF(OR($AM106=$F$4,$AM106=$F$5),$B$22,0))</f>
        <v>160</v>
      </c>
      <c r="AR106" s="24" cm="1">
        <f t="array" ref="AR106">$G$3+IFERROR(VLOOKUP($AM106,$F$4:$G$7,2,FALSE),0)+VLOOKUP($R106,武学奇术!$A:$ZZ,2,FALSE)+SUM(_xlfn.XLOOKUP($S106:$AL106,增益!$A:$A,增益!$B:$B,0))</f>
        <v>0.3243</v>
      </c>
      <c r="AS106" s="24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4274.25</v>
      </c>
      <c r="AU106" cm="1">
        <f t="array" ref="AU106">$E$10*(1+$AS106)+VLOOKUP($R106,武学奇术!$A:$ZZ,4,FALSE)+SUM(_xlfn.XLOOKUP($S106:$AL106,增益!$A:$A,增益!$D:$D,0))-$I$2</f>
        <v>4274.25</v>
      </c>
      <c r="AV106" s="31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0.2184</v>
      </c>
      <c r="AW106" s="31" cm="1">
        <f t="array" ref="AW106">$G$10+VLOOKUP($R106,武学奇术!$A:$ZZ,7,FALSE)+SUM(_xlfn.XLOOKUP($S106:$AL106,增益!$A:$A,增益!$G:$G,0))</f>
        <v>0.02</v>
      </c>
      <c r="AX106" s="24" cm="1">
        <f t="array" ref="AX106">VLOOKUP($R106,武学奇术!$A:$ZZ,8,FALSE)+SUM(_xlfn.XLOOKUP($S106:$AL106,增益!$A:$A,增益!$H:$H,0))</f>
        <v>0</v>
      </c>
      <c r="AY106">
        <f t="shared" si="13"/>
        <v>0</v>
      </c>
      <c r="AZ106">
        <f t="shared" si="14"/>
        <v>0</v>
      </c>
      <c r="BA106" s="31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1" cm="1">
        <f t="array" ref="BB106">$G$11+VLOOKUP($R106,武学奇术!$A:$ZZ,10,FALSE)+SUM(_xlfn.XLOOKUP($S106:$AL106,增益!$A:$A,增益!$J:$J,0))</f>
        <v>0.02</v>
      </c>
      <c r="BC106">
        <f t="shared" si="15"/>
        <v>0</v>
      </c>
      <c r="BD106">
        <f t="shared" si="16"/>
        <v>0</v>
      </c>
      <c r="BE106" s="31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1" cm="1">
        <f t="array" ref="BF106">$G$12+VLOOKUP($R106,武学奇术!$A:$ZZ,12,FALSE)+SUM(_xlfn.XLOOKUP($S106:$AL106,增益!$A:$A,增益!$L:$L,0))</f>
        <v>0.02</v>
      </c>
      <c r="BG106">
        <f t="shared" si="17"/>
        <v>0</v>
      </c>
      <c r="BH106">
        <f t="shared" si="18"/>
        <v>0</v>
      </c>
      <c r="BI106" s="31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1" cm="1">
        <f t="array" ref="BJ106">$G$13+VLOOKUP($R106,武学奇术!$A:$ZZ,14,FALSE)+SUM(_xlfn.XLOOKUP($S106:$AL106,增益!$A:$A,增益!$N:$N,0))</f>
        <v>0.02</v>
      </c>
      <c r="BK106">
        <f t="shared" si="19"/>
        <v>649.11</v>
      </c>
      <c r="BL106">
        <f t="shared" si="20"/>
        <v>1812.09</v>
      </c>
      <c r="BM106" s="31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1" cm="1">
        <f t="array" ref="BN106">$G$14+VLOOKUP($R106,武学奇术!$A:$ZZ,16,FALSE)+SUM(_xlfn.XLOOKUP($S106:$AL106,增益!$A:$A,增益!$P:$P,0))</f>
        <v>0.17</v>
      </c>
      <c r="BO106" s="24">
        <f>MIN(IF(VLOOKUP($R106,武学奇术!$A:$ZZ,23,FALSE)=1,100%,$B$8),100%)</f>
        <v>0.9943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0.8985</v>
      </c>
      <c r="BQ106" s="24" cm="1">
        <f t="array" ref="BQ106">1+$B$13+VLOOKUP($R106,武学奇术!$A:$ZZ,18,FALSE)+SUM(_xlfn.XLOOKUP($S106:$AL106,增益!$A:$A,增益!$R:$R,0))</f>
        <v>1.64</v>
      </c>
      <c r="BR106" s="24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0.0913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21"/>
        <v>0.89337855</v>
      </c>
      <c r="BU106" s="24">
        <f t="shared" si="22"/>
        <v>0.01014186</v>
      </c>
      <c r="BV106" s="24">
        <f>IF(VLOOKUP($R106,武学奇术!$A:$ZZ,22,FALSE)=1,0,(1-$BO106))*(1-$BR106)</f>
        <v>0.00517959000000003</v>
      </c>
      <c r="BW106" s="24" cm="1">
        <f t="array" ref="BW106">SUM(_xlfn.XLOOKUP($S106:$AL106,增益!$A:$A,增益!$W:$W,0))+$I$5</f>
        <v>0.11</v>
      </c>
      <c r="BX106" s="24">
        <f>VLOOKUP($R106,武学奇术!$A:$ZZ,32,FALSE)</f>
        <v>0</v>
      </c>
      <c r="BY106" s="24" cm="1">
        <f t="array" ref="BY106">SUM(_xlfn.XLOOKUP($S106:$AL106,增益!$A:$A,增益!$X:$X,0))</f>
        <v>0</v>
      </c>
    </row>
    <row r="107" spans="11:77">
      <c r="K107" s="37">
        <f>$L107*VLOOKUP($R107,武学奇术!$A:$ZZ,31,FALSE)</f>
        <v>178712.812138037</v>
      </c>
      <c r="L107" s="89">
        <f>SUM(L94:L95,L97:L105)*0.2*(1+BY107)</f>
        <v>357425.624276074</v>
      </c>
      <c r="M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*(1+$BX107)</f>
        <v>0</v>
      </c>
      <c r="N107" s="37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*(1+$BX107)</f>
        <v>0</v>
      </c>
      <c r="O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*(1+$BX107)</f>
        <v>0</v>
      </c>
      <c r="P107" s="37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*(1+$BX107)</f>
        <v>0</v>
      </c>
      <c r="Q107" s="38">
        <v>1</v>
      </c>
      <c r="R107" s="39" t="s">
        <v>180</v>
      </c>
      <c r="S107" s="39" t="s">
        <v>181</v>
      </c>
      <c r="T107" s="39" t="s">
        <v>84</v>
      </c>
      <c r="U107" s="39" t="s">
        <v>84</v>
      </c>
      <c r="V107" s="39" t="s">
        <v>84</v>
      </c>
      <c r="W107" s="39" t="s">
        <v>84</v>
      </c>
      <c r="X107" s="39" t="s">
        <v>84</v>
      </c>
      <c r="Y107" s="39" t="s">
        <v>84</v>
      </c>
      <c r="Z107" s="39" t="s">
        <v>84</v>
      </c>
      <c r="AA107" s="39" t="s">
        <v>84</v>
      </c>
      <c r="AB107" s="39" t="s">
        <v>84</v>
      </c>
      <c r="AC107" s="39" t="s">
        <v>84</v>
      </c>
      <c r="AD107" s="39" t="s">
        <v>84</v>
      </c>
      <c r="AE107" s="39" t="s">
        <v>84</v>
      </c>
      <c r="AF107" s="39" t="s">
        <v>88</v>
      </c>
      <c r="AG107" s="39" t="s">
        <v>84</v>
      </c>
      <c r="AH107" s="39" t="s">
        <v>84</v>
      </c>
      <c r="AI107" s="39" t="s">
        <v>84</v>
      </c>
      <c r="AJ107" s="39" t="s">
        <v>84</v>
      </c>
      <c r="AK107" s="39" t="s">
        <v>84</v>
      </c>
      <c r="AL107" s="39" t="s">
        <v>84</v>
      </c>
      <c r="AM107" t="str">
        <f>VLOOKUP($R107,武学奇术!$A:$ZZ,25,FALSE)</f>
        <v>心法</v>
      </c>
      <c r="AN107" s="24">
        <f>VLOOKUP($R107,武学奇术!$A:$ZZ,26,FALSE)</f>
        <v>0</v>
      </c>
      <c r="AO107" s="25">
        <f>VLOOKUP($R107,武学奇术!$A:$ZZ,27,FALSE)*(1+IF(OR($AM107=$F$4,$AM107=$F$5),$B$22,0))</f>
        <v>0</v>
      </c>
      <c r="AP107" s="24">
        <f>VLOOKUP($R107,武学奇术!$A:$ZZ,28,FALSE)</f>
        <v>0</v>
      </c>
      <c r="AQ107" s="25">
        <f>VLOOKUP($R107,武学奇术!$A:$ZZ,29,FALSE)*(1+IF(OR($AM107=$F$4,$AM107=$F$5),$B$22,0))</f>
        <v>0</v>
      </c>
      <c r="AR107" s="24" cm="1">
        <f t="array" ref="AR107">$G$3+IFERROR(VLOOKUP($AM107,$F$4:$G$7,2,FALSE),0)+VLOOKUP($R107,武学奇术!$A:$ZZ,2,FALSE)+SUM(_xlfn.XLOOKUP($S107:$AL107,增益!$A:$A,增益!$B:$B,0))</f>
        <v>0.1042</v>
      </c>
      <c r="AS107" s="24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4274.25</v>
      </c>
      <c r="AU107" cm="1">
        <f t="array" ref="AU107">$E$10*(1+$AS107)+VLOOKUP($R107,武学奇术!$A:$ZZ,4,FALSE)+SUM(_xlfn.XLOOKUP($S107:$AL107,增益!$A:$A,增益!$D:$D,0))-$I$2</f>
        <v>4274.25</v>
      </c>
      <c r="AV107" s="31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0.1684</v>
      </c>
      <c r="AW107" s="31" cm="1">
        <f t="array" ref="AW107">$G$10+VLOOKUP($R107,武学奇术!$A:$ZZ,7,FALSE)+SUM(_xlfn.XLOOKUP($S107:$AL107,增益!$A:$A,增益!$G:$G,0))</f>
        <v>0</v>
      </c>
      <c r="AX107" s="24" cm="1">
        <f t="array" ref="AX107">VLOOKUP($R107,武学奇术!$A:$ZZ,8,FALSE)+SUM(_xlfn.XLOOKUP($S107:$AL107,增益!$A:$A,增益!$H:$H,0))</f>
        <v>0</v>
      </c>
      <c r="AY107">
        <f t="shared" si="13"/>
        <v>0</v>
      </c>
      <c r="AZ107">
        <f t="shared" si="14"/>
        <v>0</v>
      </c>
      <c r="BA107" s="31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1" cm="1">
        <f t="array" ref="BB107">$G$11+VLOOKUP($R107,武学奇术!$A:$ZZ,10,FALSE)+SUM(_xlfn.XLOOKUP($S107:$AL107,增益!$A:$A,增益!$J:$J,0))</f>
        <v>0</v>
      </c>
      <c r="BC107">
        <f t="shared" si="15"/>
        <v>0</v>
      </c>
      <c r="BD107">
        <f t="shared" si="16"/>
        <v>0</v>
      </c>
      <c r="BE107" s="31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1" cm="1">
        <f t="array" ref="BF107">$G$12+VLOOKUP($R107,武学奇术!$A:$ZZ,12,FALSE)+SUM(_xlfn.XLOOKUP($S107:$AL107,增益!$A:$A,增益!$L:$L,0))</f>
        <v>0</v>
      </c>
      <c r="BG107">
        <f t="shared" si="17"/>
        <v>0</v>
      </c>
      <c r="BH107">
        <f t="shared" si="18"/>
        <v>0</v>
      </c>
      <c r="BI107" s="31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1" cm="1">
        <f t="array" ref="BJ107">$G$13+VLOOKUP($R107,武学奇术!$A:$ZZ,14,FALSE)+SUM(_xlfn.XLOOKUP($S107:$AL107,增益!$A:$A,增益!$N:$N,0))</f>
        <v>0</v>
      </c>
      <c r="BK107">
        <f t="shared" si="19"/>
        <v>649.11</v>
      </c>
      <c r="BL107">
        <f t="shared" si="20"/>
        <v>1812.09</v>
      </c>
      <c r="BM107" s="31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1" cm="1">
        <f t="array" ref="BN107">$G$14+VLOOKUP($R107,武学奇术!$A:$ZZ,16,FALSE)+SUM(_xlfn.XLOOKUP($S107:$AL107,增益!$A:$A,增益!$P:$P,0))</f>
        <v>0.15</v>
      </c>
      <c r="BO107" s="24">
        <f>MIN(IF(VLOOKUP($R107,武学奇术!$A:$ZZ,23,FALSE)=1,100%,$B$8),100%)</f>
        <v>0.9943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0.8985</v>
      </c>
      <c r="BQ107" s="24" cm="1">
        <f t="array" ref="BQ107">1+$B$13+VLOOKUP($R107,武学奇术!$A:$ZZ,18,FALSE)+SUM(_xlfn.XLOOKUP($S107:$AL107,增益!$A:$A,增益!$R:$R,0))</f>
        <v>1.54</v>
      </c>
      <c r="BR107" s="24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21"/>
        <v>0.89337855</v>
      </c>
      <c r="BU107" s="24">
        <f t="shared" si="22"/>
        <v>0.01014186</v>
      </c>
      <c r="BV107" s="24">
        <f>IF(VLOOKUP($R107,武学奇术!$A:$ZZ,22,FALSE)=1,0,(1-$BO107))*(1-$BR107)</f>
        <v>0.00517959000000003</v>
      </c>
      <c r="BW107" s="24" cm="1">
        <f t="array" ref="BW107">SUM(_xlfn.XLOOKUP($S107:$AL107,增益!$A:$A,增益!$W:$W,0))+$I$5</f>
        <v>0.11</v>
      </c>
      <c r="BX107" s="24">
        <f>VLOOKUP($R107,武学奇术!$A:$ZZ,32,FALSE)</f>
        <v>0</v>
      </c>
      <c r="BY107" s="24" cm="1">
        <f t="array" ref="BY107">SUM(_xlfn.XLOOKUP($S107:$AL107,增益!$A:$A,增益!$X:$X,0))</f>
        <v>0.2</v>
      </c>
    </row>
    <row r="108" spans="11:77">
      <c r="K108" s="37">
        <f>$L108*VLOOKUP($R108,武学奇术!$A:$ZZ,31,FALSE)</f>
        <v>0</v>
      </c>
      <c r="L108" s="37">
        <f t="shared" ref="L108:L136" si="25">($M108*$BT108+$N108*$BR108+$O108*$BU108+$P108*$BV108)</f>
        <v>0</v>
      </c>
      <c r="M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*(1+$BX108)</f>
        <v>0</v>
      </c>
      <c r="N108" s="37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*(1+$BX108)</f>
        <v>0</v>
      </c>
      <c r="O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*(1+$BX108)</f>
        <v>0</v>
      </c>
      <c r="P108" s="37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*(1+$BX108)</f>
        <v>0</v>
      </c>
      <c r="Q108" s="38">
        <v>1</v>
      </c>
      <c r="R108" s="39" t="s">
        <v>84</v>
      </c>
      <c r="S108" s="39" t="s">
        <v>84</v>
      </c>
      <c r="T108" s="39" t="s">
        <v>84</v>
      </c>
      <c r="U108" s="39" t="s">
        <v>84</v>
      </c>
      <c r="V108" s="39" t="s">
        <v>84</v>
      </c>
      <c r="W108" s="39" t="s">
        <v>84</v>
      </c>
      <c r="X108" s="39" t="s">
        <v>84</v>
      </c>
      <c r="Y108" s="39" t="s">
        <v>84</v>
      </c>
      <c r="Z108" s="39" t="s">
        <v>84</v>
      </c>
      <c r="AA108" s="39" t="s">
        <v>84</v>
      </c>
      <c r="AB108" s="39" t="s">
        <v>84</v>
      </c>
      <c r="AC108" s="39" t="s">
        <v>84</v>
      </c>
      <c r="AD108" s="39" t="s">
        <v>84</v>
      </c>
      <c r="AE108" s="39" t="s">
        <v>84</v>
      </c>
      <c r="AF108" s="39" t="s">
        <v>88</v>
      </c>
      <c r="AG108" s="39" t="s">
        <v>84</v>
      </c>
      <c r="AH108" s="39" t="s">
        <v>84</v>
      </c>
      <c r="AI108" s="39" t="s">
        <v>84</v>
      </c>
      <c r="AJ108" s="39" t="s">
        <v>84</v>
      </c>
      <c r="AK108" s="39" t="s">
        <v>84</v>
      </c>
      <c r="AL108" s="39" t="s">
        <v>84</v>
      </c>
      <c r="AM108" t="str">
        <f>VLOOKUP($R108,武学奇术!$A:$ZZ,25,FALSE)</f>
        <v>心法</v>
      </c>
      <c r="AN108" s="24">
        <f>VLOOKUP($R108,武学奇术!$A:$ZZ,26,FALSE)</f>
        <v>0</v>
      </c>
      <c r="AO108" s="25">
        <f>VLOOKUP($R108,武学奇术!$A:$ZZ,27,FALSE)*(1+IF(OR($AM108=$F$4,$AM108=$F$5),$B$22,0))</f>
        <v>0</v>
      </c>
      <c r="AP108" s="24">
        <f>VLOOKUP($R108,武学奇术!$A:$ZZ,28,FALSE)</f>
        <v>0</v>
      </c>
      <c r="AQ108" s="25">
        <f>VLOOKUP($R108,武学奇术!$A:$ZZ,29,FALSE)*(1+IF(OR($AM108=$F$4,$AM108=$F$5),$B$22,0))</f>
        <v>0</v>
      </c>
      <c r="AR108" s="24" cm="1">
        <f t="array" ref="AR108">$G$3+IFERROR(VLOOKUP($AM108,$F$4:$G$7,2,FALSE),0)+VLOOKUP($R108,武学奇术!$A:$ZZ,2,FALSE)+SUM(_xlfn.XLOOKUP($S108:$AL108,增益!$A:$A,增益!$B:$B,0))</f>
        <v>0.1042</v>
      </c>
      <c r="AS108" s="24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4274.25</v>
      </c>
      <c r="AU108" cm="1">
        <f t="array" ref="AU108">$E$10*(1+$AS108)+VLOOKUP($R108,武学奇术!$A:$ZZ,4,FALSE)+SUM(_xlfn.XLOOKUP($S108:$AL108,增益!$A:$A,增益!$D:$D,0))-$I$2</f>
        <v>4274.25</v>
      </c>
      <c r="AV108" s="31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0.1684</v>
      </c>
      <c r="AW108" s="31" cm="1">
        <f t="array" ref="AW108">$G$10+VLOOKUP($R108,武学奇术!$A:$ZZ,7,FALSE)+SUM(_xlfn.XLOOKUP($S108:$AL108,增益!$A:$A,增益!$G:$G,0))</f>
        <v>0</v>
      </c>
      <c r="AX108" s="24" cm="1">
        <f t="array" ref="AX108">VLOOKUP($R108,武学奇术!$A:$ZZ,8,FALSE)+SUM(_xlfn.XLOOKUP($S108:$AL108,增益!$A:$A,增益!$H:$H,0))</f>
        <v>0</v>
      </c>
      <c r="AY108">
        <f t="shared" si="13"/>
        <v>0</v>
      </c>
      <c r="AZ108">
        <f t="shared" si="14"/>
        <v>0</v>
      </c>
      <c r="BA108" s="31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1" cm="1">
        <f t="array" ref="BB108">$G$11+VLOOKUP($R108,武学奇术!$A:$ZZ,10,FALSE)+SUM(_xlfn.XLOOKUP($S108:$AL108,增益!$A:$A,增益!$J:$J,0))</f>
        <v>0</v>
      </c>
      <c r="BC108">
        <f t="shared" si="15"/>
        <v>0</v>
      </c>
      <c r="BD108">
        <f t="shared" si="16"/>
        <v>0</v>
      </c>
      <c r="BE108" s="31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1" cm="1">
        <f t="array" ref="BF108">$G$12+VLOOKUP($R108,武学奇术!$A:$ZZ,12,FALSE)+SUM(_xlfn.XLOOKUP($S108:$AL108,增益!$A:$A,增益!$L:$L,0))</f>
        <v>0</v>
      </c>
      <c r="BG108">
        <f t="shared" si="17"/>
        <v>0</v>
      </c>
      <c r="BH108">
        <f t="shared" si="18"/>
        <v>0</v>
      </c>
      <c r="BI108" s="31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1" cm="1">
        <f t="array" ref="BJ108">$G$13+VLOOKUP($R108,武学奇术!$A:$ZZ,14,FALSE)+SUM(_xlfn.XLOOKUP($S108:$AL108,增益!$A:$A,增益!$N:$N,0))</f>
        <v>0</v>
      </c>
      <c r="BK108">
        <f t="shared" si="19"/>
        <v>649.11</v>
      </c>
      <c r="BL108">
        <f t="shared" si="20"/>
        <v>1812.09</v>
      </c>
      <c r="BM108" s="31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1" cm="1">
        <f t="array" ref="BN108">$G$14+VLOOKUP($R108,武学奇术!$A:$ZZ,16,FALSE)+SUM(_xlfn.XLOOKUP($S108:$AL108,增益!$A:$A,增益!$P:$P,0))</f>
        <v>0.15</v>
      </c>
      <c r="BO108" s="24">
        <f>MIN(IF(VLOOKUP($R108,武学奇术!$A:$ZZ,23,FALSE)=1,100%,$B$8),100%)</f>
        <v>0.9943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0.8985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21"/>
        <v>0.89337855</v>
      </c>
      <c r="BU108" s="24">
        <f t="shared" si="22"/>
        <v>0.01014186</v>
      </c>
      <c r="BV108" s="24">
        <f>IF(VLOOKUP($R108,武学奇术!$A:$ZZ,22,FALSE)=1,0,(1-$BO108))*(1-$BR108)</f>
        <v>0.00517959000000003</v>
      </c>
      <c r="BW108" s="24" cm="1">
        <f t="array" ref="BW108">SUM(_xlfn.XLOOKUP($S108:$AL108,增益!$A:$A,增益!$W:$W,0))+$I$5</f>
        <v>0.11</v>
      </c>
      <c r="BX108" s="24">
        <f>VLOOKUP($R108,武学奇术!$A:$ZZ,32,FALSE)</f>
        <v>0</v>
      </c>
      <c r="BY108" s="24" cm="1">
        <f t="array" ref="BY108">SUM(_xlfn.XLOOKUP($S108:$AL108,增益!$A:$A,增益!$X:$X,0))</f>
        <v>0</v>
      </c>
    </row>
    <row r="109" spans="11:77">
      <c r="K109" s="37">
        <f>$L109*VLOOKUP($R109,武学奇术!$A:$ZZ,31,FALSE)</f>
        <v>0</v>
      </c>
      <c r="L109" s="37">
        <f t="shared" si="25"/>
        <v>0</v>
      </c>
      <c r="M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*(1+$BX109)</f>
        <v>0</v>
      </c>
      <c r="N109" s="37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*(1+$BX109)</f>
        <v>0</v>
      </c>
      <c r="O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*(1+$BX109)</f>
        <v>0</v>
      </c>
      <c r="P109" s="37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*(1+$BX109)</f>
        <v>0</v>
      </c>
      <c r="Q109" s="38">
        <v>1</v>
      </c>
      <c r="R109" s="39" t="s">
        <v>84</v>
      </c>
      <c r="S109" s="39" t="s">
        <v>84</v>
      </c>
      <c r="T109" s="39" t="s">
        <v>84</v>
      </c>
      <c r="U109" s="39" t="s">
        <v>84</v>
      </c>
      <c r="V109" s="39" t="s">
        <v>84</v>
      </c>
      <c r="W109" s="39" t="s">
        <v>84</v>
      </c>
      <c r="X109" s="39" t="s">
        <v>84</v>
      </c>
      <c r="Y109" s="39" t="s">
        <v>84</v>
      </c>
      <c r="Z109" s="39" t="s">
        <v>84</v>
      </c>
      <c r="AA109" s="39" t="s">
        <v>84</v>
      </c>
      <c r="AB109" s="39" t="s">
        <v>84</v>
      </c>
      <c r="AC109" s="39" t="s">
        <v>84</v>
      </c>
      <c r="AD109" s="39" t="s">
        <v>84</v>
      </c>
      <c r="AE109" s="39" t="s">
        <v>84</v>
      </c>
      <c r="AF109" s="39" t="s">
        <v>88</v>
      </c>
      <c r="AG109" s="39" t="s">
        <v>84</v>
      </c>
      <c r="AH109" s="39" t="s">
        <v>84</v>
      </c>
      <c r="AI109" s="39" t="s">
        <v>84</v>
      </c>
      <c r="AJ109" s="39" t="s">
        <v>84</v>
      </c>
      <c r="AK109" s="39" t="s">
        <v>84</v>
      </c>
      <c r="AL109" s="39" t="s">
        <v>84</v>
      </c>
      <c r="AM109" t="str">
        <f>VLOOKUP($R109,武学奇术!$A:$ZZ,25,FALSE)</f>
        <v>心法</v>
      </c>
      <c r="AN109" s="24">
        <f>VLOOKUP($R109,武学奇术!$A:$ZZ,26,FALSE)</f>
        <v>0</v>
      </c>
      <c r="AO109" s="25">
        <f>VLOOKUP($R109,武学奇术!$A:$ZZ,27,FALSE)*(1+IF(OR($AM109=$F$4,$AM109=$F$5),$B$22,0))</f>
        <v>0</v>
      </c>
      <c r="AP109" s="24">
        <f>VLOOKUP($R109,武学奇术!$A:$ZZ,28,FALSE)</f>
        <v>0</v>
      </c>
      <c r="AQ109" s="25">
        <f>VLOOKUP($R109,武学奇术!$A:$ZZ,29,FALSE)*(1+IF(OR($AM109=$F$4,$AM109=$F$5),$B$22,0))</f>
        <v>0</v>
      </c>
      <c r="AR109" s="24" cm="1">
        <f t="array" ref="AR109">$G$3+IFERROR(VLOOKUP($AM109,$F$4:$G$7,2,FALSE),0)+VLOOKUP($R109,武学奇术!$A:$ZZ,2,FALSE)+SUM(_xlfn.XLOOKUP($S109:$AL109,增益!$A:$A,增益!$B:$B,0))</f>
        <v>0.1042</v>
      </c>
      <c r="AS109" s="24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4274.25</v>
      </c>
      <c r="AU109" cm="1">
        <f t="array" ref="AU109">$E$10*(1+$AS109)+VLOOKUP($R109,武学奇术!$A:$ZZ,4,FALSE)+SUM(_xlfn.XLOOKUP($S109:$AL109,增益!$A:$A,增益!$D:$D,0))-$I$2</f>
        <v>4274.25</v>
      </c>
      <c r="AV109" s="31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0.1684</v>
      </c>
      <c r="AW109" s="31" cm="1">
        <f t="array" ref="AW109">$G$10+VLOOKUP($R109,武学奇术!$A:$ZZ,7,FALSE)+SUM(_xlfn.XLOOKUP($S109:$AL109,增益!$A:$A,增益!$G:$G,0))</f>
        <v>0</v>
      </c>
      <c r="AX109" s="24" cm="1">
        <f t="array" ref="AX109">VLOOKUP($R109,武学奇术!$A:$ZZ,8,FALSE)+SUM(_xlfn.XLOOKUP($S109:$AL109,增益!$A:$A,增益!$H:$H,0))</f>
        <v>0</v>
      </c>
      <c r="AY109">
        <f t="shared" si="13"/>
        <v>0</v>
      </c>
      <c r="AZ109">
        <f t="shared" si="14"/>
        <v>0</v>
      </c>
      <c r="BA109" s="31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1" cm="1">
        <f t="array" ref="BB109">$G$11+VLOOKUP($R109,武学奇术!$A:$ZZ,10,FALSE)+SUM(_xlfn.XLOOKUP($S109:$AL109,增益!$A:$A,增益!$J:$J,0))</f>
        <v>0</v>
      </c>
      <c r="BC109">
        <f t="shared" si="15"/>
        <v>0</v>
      </c>
      <c r="BD109">
        <f t="shared" si="16"/>
        <v>0</v>
      </c>
      <c r="BE109" s="31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1" cm="1">
        <f t="array" ref="BF109">$G$12+VLOOKUP($R109,武学奇术!$A:$ZZ,12,FALSE)+SUM(_xlfn.XLOOKUP($S109:$AL109,增益!$A:$A,增益!$L:$L,0))</f>
        <v>0</v>
      </c>
      <c r="BG109">
        <f t="shared" si="17"/>
        <v>0</v>
      </c>
      <c r="BH109">
        <f t="shared" si="18"/>
        <v>0</v>
      </c>
      <c r="BI109" s="31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1" cm="1">
        <f t="array" ref="BJ109">$G$13+VLOOKUP($R109,武学奇术!$A:$ZZ,14,FALSE)+SUM(_xlfn.XLOOKUP($S109:$AL109,增益!$A:$A,增益!$N:$N,0))</f>
        <v>0</v>
      </c>
      <c r="BK109">
        <f t="shared" si="19"/>
        <v>649.11</v>
      </c>
      <c r="BL109">
        <f t="shared" si="20"/>
        <v>1812.09</v>
      </c>
      <c r="BM109" s="31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1" cm="1">
        <f t="array" ref="BN109">$G$14+VLOOKUP($R109,武学奇术!$A:$ZZ,16,FALSE)+SUM(_xlfn.XLOOKUP($S109:$AL109,增益!$A:$A,增益!$P:$P,0))</f>
        <v>0.15</v>
      </c>
      <c r="BO109" s="24">
        <f>MIN(IF(VLOOKUP($R109,武学奇术!$A:$ZZ,23,FALSE)=1,100%,$B$8),100%)</f>
        <v>0.9943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0.8985</v>
      </c>
      <c r="BQ109" s="24" cm="1">
        <f t="array" ref="BQ109">1+$B$13+VLOOKUP($R109,武学奇术!$A:$ZZ,18,FALSE)+SUM(_xlfn.XLOOKUP($S109:$AL109,增益!$A:$A,增益!$R:$R,0))</f>
        <v>1.54</v>
      </c>
      <c r="BR109" s="24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21"/>
        <v>0.89337855</v>
      </c>
      <c r="BU109" s="24">
        <f t="shared" si="22"/>
        <v>0.01014186</v>
      </c>
      <c r="BV109" s="24">
        <f>IF(VLOOKUP($R109,武学奇术!$A:$ZZ,22,FALSE)=1,0,(1-$BO109))*(1-$BR109)</f>
        <v>0.00517959000000003</v>
      </c>
      <c r="BW109" s="24" cm="1">
        <f t="array" ref="BW109">SUM(_xlfn.XLOOKUP($S109:$AL109,增益!$A:$A,增益!$W:$W,0))+$I$5</f>
        <v>0.11</v>
      </c>
      <c r="BX109" s="24">
        <f>VLOOKUP($R109,武学奇术!$A:$ZZ,32,FALSE)</f>
        <v>0</v>
      </c>
      <c r="BY109" s="24" cm="1">
        <f t="array" ref="BY109">SUM(_xlfn.XLOOKUP($S109:$AL109,增益!$A:$A,增益!$X:$X,0))</f>
        <v>0</v>
      </c>
    </row>
    <row r="110" spans="11:77">
      <c r="K110" s="37">
        <f>$L110*VLOOKUP($R110,武学奇术!$A:$ZZ,31,FALSE)</f>
        <v>0</v>
      </c>
      <c r="L110" s="37">
        <f t="shared" si="25"/>
        <v>0</v>
      </c>
      <c r="M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*(1+$BX110)</f>
        <v>0</v>
      </c>
      <c r="N110" s="37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*(1+$BX110)</f>
        <v>0</v>
      </c>
      <c r="O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*(1+$BX110)</f>
        <v>0</v>
      </c>
      <c r="P110" s="37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*(1+$BX110)</f>
        <v>0</v>
      </c>
      <c r="Q110" s="38">
        <v>1</v>
      </c>
      <c r="R110" s="39" t="s">
        <v>84</v>
      </c>
      <c r="S110" s="39" t="s">
        <v>84</v>
      </c>
      <c r="T110" s="39" t="s">
        <v>84</v>
      </c>
      <c r="U110" s="39" t="s">
        <v>84</v>
      </c>
      <c r="V110" s="39" t="s">
        <v>84</v>
      </c>
      <c r="W110" s="39" t="s">
        <v>84</v>
      </c>
      <c r="X110" s="39" t="s">
        <v>84</v>
      </c>
      <c r="Y110" s="39" t="s">
        <v>84</v>
      </c>
      <c r="Z110" s="39" t="s">
        <v>84</v>
      </c>
      <c r="AA110" s="39" t="s">
        <v>84</v>
      </c>
      <c r="AB110" s="39" t="s">
        <v>84</v>
      </c>
      <c r="AC110" s="39" t="s">
        <v>84</v>
      </c>
      <c r="AD110" s="39" t="s">
        <v>84</v>
      </c>
      <c r="AE110" s="39" t="s">
        <v>84</v>
      </c>
      <c r="AF110" s="39" t="s">
        <v>88</v>
      </c>
      <c r="AG110" s="39" t="s">
        <v>84</v>
      </c>
      <c r="AH110" s="39" t="s">
        <v>84</v>
      </c>
      <c r="AI110" s="39" t="s">
        <v>84</v>
      </c>
      <c r="AJ110" s="39" t="s">
        <v>84</v>
      </c>
      <c r="AK110" s="39" t="s">
        <v>84</v>
      </c>
      <c r="AL110" s="39" t="s">
        <v>84</v>
      </c>
      <c r="AM110" t="str">
        <f>VLOOKUP($R110,武学奇术!$A:$ZZ,25,FALSE)</f>
        <v>心法</v>
      </c>
      <c r="AN110" s="24">
        <f>VLOOKUP($R110,武学奇术!$A:$ZZ,26,FALSE)</f>
        <v>0</v>
      </c>
      <c r="AO110" s="25">
        <f>VLOOKUP($R110,武学奇术!$A:$ZZ,27,FALSE)*(1+IF(OR($AM110=$F$4,$AM110=$F$5),$B$22,0))</f>
        <v>0</v>
      </c>
      <c r="AP110" s="24">
        <f>VLOOKUP($R110,武学奇术!$A:$ZZ,28,FALSE)</f>
        <v>0</v>
      </c>
      <c r="AQ110" s="25">
        <f>VLOOKUP($R110,武学奇术!$A:$ZZ,29,FALSE)*(1+IF(OR($AM110=$F$4,$AM110=$F$5),$B$22,0))</f>
        <v>0</v>
      </c>
      <c r="AR110" s="24" cm="1">
        <f t="array" ref="AR110">$G$3+IFERROR(VLOOKUP($AM110,$F$4:$G$7,2,FALSE),0)+VLOOKUP($R110,武学奇术!$A:$ZZ,2,FALSE)+SUM(_xlfn.XLOOKUP($S110:$AL110,增益!$A:$A,增益!$B:$B,0))</f>
        <v>0.1042</v>
      </c>
      <c r="AS110" s="24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4274.25</v>
      </c>
      <c r="AU110" cm="1">
        <f t="array" ref="AU110">$E$10*(1+$AS110)+VLOOKUP($R110,武学奇术!$A:$ZZ,4,FALSE)+SUM(_xlfn.XLOOKUP($S110:$AL110,增益!$A:$A,增益!$D:$D,0))-$I$2</f>
        <v>4274.25</v>
      </c>
      <c r="AV110" s="31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0.1684</v>
      </c>
      <c r="AW110" s="31" cm="1">
        <f t="array" ref="AW110">$G$10+VLOOKUP($R110,武学奇术!$A:$ZZ,7,FALSE)+SUM(_xlfn.XLOOKUP($S110:$AL110,增益!$A:$A,增益!$G:$G,0))</f>
        <v>0</v>
      </c>
      <c r="AX110" s="24" cm="1">
        <f t="array" ref="AX110">VLOOKUP($R110,武学奇术!$A:$ZZ,8,FALSE)+SUM(_xlfn.XLOOKUP($S110:$AL110,增益!$A:$A,增益!$H:$H,0))</f>
        <v>0</v>
      </c>
      <c r="AY110">
        <f t="shared" si="13"/>
        <v>0</v>
      </c>
      <c r="AZ110">
        <f t="shared" si="14"/>
        <v>0</v>
      </c>
      <c r="BA110" s="31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1" cm="1">
        <f t="array" ref="BB110">$G$11+VLOOKUP($R110,武学奇术!$A:$ZZ,10,FALSE)+SUM(_xlfn.XLOOKUP($S110:$AL110,增益!$A:$A,增益!$J:$J,0))</f>
        <v>0</v>
      </c>
      <c r="BC110">
        <f t="shared" si="15"/>
        <v>0</v>
      </c>
      <c r="BD110">
        <f t="shared" si="16"/>
        <v>0</v>
      </c>
      <c r="BE110" s="31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1" cm="1">
        <f t="array" ref="BF110">$G$12+VLOOKUP($R110,武学奇术!$A:$ZZ,12,FALSE)+SUM(_xlfn.XLOOKUP($S110:$AL110,增益!$A:$A,增益!$L:$L,0))</f>
        <v>0</v>
      </c>
      <c r="BG110">
        <f t="shared" si="17"/>
        <v>0</v>
      </c>
      <c r="BH110">
        <f t="shared" si="18"/>
        <v>0</v>
      </c>
      <c r="BI110" s="31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1" cm="1">
        <f t="array" ref="BJ110">$G$13+VLOOKUP($R110,武学奇术!$A:$ZZ,14,FALSE)+SUM(_xlfn.XLOOKUP($S110:$AL110,增益!$A:$A,增益!$N:$N,0))</f>
        <v>0</v>
      </c>
      <c r="BK110">
        <f t="shared" si="19"/>
        <v>649.11</v>
      </c>
      <c r="BL110">
        <f t="shared" si="20"/>
        <v>1812.09</v>
      </c>
      <c r="BM110" s="31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1" cm="1">
        <f t="array" ref="BN110">$G$14+VLOOKUP($R110,武学奇术!$A:$ZZ,16,FALSE)+SUM(_xlfn.XLOOKUP($S110:$AL110,增益!$A:$A,增益!$P:$P,0))</f>
        <v>0.15</v>
      </c>
      <c r="BO110" s="24">
        <f>MIN(IF(VLOOKUP($R110,武学奇术!$A:$ZZ,23,FALSE)=1,100%,$B$8),100%)</f>
        <v>0.9943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0.8985</v>
      </c>
      <c r="BQ110" s="24" cm="1">
        <f t="array" ref="BQ110">1+$B$13+VLOOKUP($R110,武学奇术!$A:$ZZ,18,FALSE)+SUM(_xlfn.XLOOKUP($S110:$AL110,增益!$A:$A,增益!$R:$R,0))</f>
        <v>1.54</v>
      </c>
      <c r="BR110" s="24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21"/>
        <v>0.89337855</v>
      </c>
      <c r="BU110" s="24">
        <f t="shared" si="22"/>
        <v>0.01014186</v>
      </c>
      <c r="BV110" s="24">
        <f>IF(VLOOKUP($R110,武学奇术!$A:$ZZ,22,FALSE)=1,0,(1-$BO110))*(1-$BR110)</f>
        <v>0.00517959000000003</v>
      </c>
      <c r="BW110" s="24" cm="1">
        <f t="array" ref="BW110">SUM(_xlfn.XLOOKUP($S110:$AL110,增益!$A:$A,增益!$W:$W,0))+$I$5</f>
        <v>0.11</v>
      </c>
      <c r="BX110" s="24">
        <f>VLOOKUP($R110,武学奇术!$A:$ZZ,32,FALSE)</f>
        <v>0</v>
      </c>
      <c r="BY110" s="24" cm="1">
        <f t="array" ref="BY110">SUM(_xlfn.XLOOKUP($S110:$AL110,增益!$A:$A,增益!$X:$X,0))</f>
        <v>0</v>
      </c>
    </row>
    <row r="111" spans="11:77">
      <c r="K111" s="37">
        <f>$L111*VLOOKUP($R111,武学奇术!$A:$ZZ,31,FALSE)</f>
        <v>0</v>
      </c>
      <c r="L111" s="37">
        <f t="shared" si="25"/>
        <v>0</v>
      </c>
      <c r="M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*(1+$BX111)</f>
        <v>0</v>
      </c>
      <c r="N111" s="37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*(1+$BX111)</f>
        <v>0</v>
      </c>
      <c r="O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*(1+$BX111)</f>
        <v>0</v>
      </c>
      <c r="P111" s="37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*(1+$BX111)</f>
        <v>0</v>
      </c>
      <c r="Q111" s="38">
        <v>1</v>
      </c>
      <c r="R111" s="39" t="s">
        <v>84</v>
      </c>
      <c r="S111" s="39" t="s">
        <v>84</v>
      </c>
      <c r="T111" s="39" t="s">
        <v>84</v>
      </c>
      <c r="U111" s="39" t="s">
        <v>84</v>
      </c>
      <c r="V111" s="39" t="s">
        <v>84</v>
      </c>
      <c r="W111" s="39" t="s">
        <v>84</v>
      </c>
      <c r="X111" s="39" t="s">
        <v>84</v>
      </c>
      <c r="Y111" s="39" t="s">
        <v>84</v>
      </c>
      <c r="Z111" s="39" t="s">
        <v>84</v>
      </c>
      <c r="AA111" s="39" t="s">
        <v>84</v>
      </c>
      <c r="AB111" s="39" t="s">
        <v>84</v>
      </c>
      <c r="AC111" s="39" t="s">
        <v>84</v>
      </c>
      <c r="AD111" s="39" t="s">
        <v>84</v>
      </c>
      <c r="AE111" s="39" t="s">
        <v>84</v>
      </c>
      <c r="AF111" s="39" t="s">
        <v>88</v>
      </c>
      <c r="AG111" s="39" t="s">
        <v>84</v>
      </c>
      <c r="AH111" s="39" t="s">
        <v>84</v>
      </c>
      <c r="AI111" s="39" t="s">
        <v>84</v>
      </c>
      <c r="AJ111" s="39" t="s">
        <v>84</v>
      </c>
      <c r="AK111" s="39" t="s">
        <v>84</v>
      </c>
      <c r="AL111" s="39" t="s">
        <v>84</v>
      </c>
      <c r="AM111" t="str">
        <f>VLOOKUP($R111,武学奇术!$A:$ZZ,25,FALSE)</f>
        <v>心法</v>
      </c>
      <c r="AN111" s="24">
        <f>VLOOKUP($R111,武学奇术!$A:$ZZ,26,FALSE)</f>
        <v>0</v>
      </c>
      <c r="AO111" s="25">
        <f>VLOOKUP($R111,武学奇术!$A:$ZZ,27,FALSE)*(1+IF(OR($AM111=$F$4,$AM111=$F$5),$B$22,0))</f>
        <v>0</v>
      </c>
      <c r="AP111" s="24">
        <f>VLOOKUP($R111,武学奇术!$A:$ZZ,28,FALSE)</f>
        <v>0</v>
      </c>
      <c r="AQ111" s="25">
        <f>VLOOKUP($R111,武学奇术!$A:$ZZ,29,FALSE)*(1+IF(OR($AM111=$F$4,$AM111=$F$5),$B$22,0))</f>
        <v>0</v>
      </c>
      <c r="AR111" s="24" cm="1">
        <f t="array" ref="AR111">$G$3+IFERROR(VLOOKUP($AM111,$F$4:$G$7,2,FALSE),0)+VLOOKUP($R111,武学奇术!$A:$ZZ,2,FALSE)+SUM(_xlfn.XLOOKUP($S111:$AL111,增益!$A:$A,增益!$B:$B,0))</f>
        <v>0.1042</v>
      </c>
      <c r="AS111" s="24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4274.25</v>
      </c>
      <c r="AU111" cm="1">
        <f t="array" ref="AU111">$E$10*(1+$AS111)+VLOOKUP($R111,武学奇术!$A:$ZZ,4,FALSE)+SUM(_xlfn.XLOOKUP($S111:$AL111,增益!$A:$A,增益!$D:$D,0))-$I$2</f>
        <v>4274.25</v>
      </c>
      <c r="AV111" s="31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0.1684</v>
      </c>
      <c r="AW111" s="31" cm="1">
        <f t="array" ref="AW111">$G$10+VLOOKUP($R111,武学奇术!$A:$ZZ,7,FALSE)+SUM(_xlfn.XLOOKUP($S111:$AL111,增益!$A:$A,增益!$G:$G,0))</f>
        <v>0</v>
      </c>
      <c r="AX111" s="24" cm="1">
        <f t="array" ref="AX111">VLOOKUP($R111,武学奇术!$A:$ZZ,8,FALSE)+SUM(_xlfn.XLOOKUP($S111:$AL111,增益!$A:$A,增益!$H:$H,0))</f>
        <v>0</v>
      </c>
      <c r="AY111">
        <f t="shared" si="13"/>
        <v>0</v>
      </c>
      <c r="AZ111">
        <f t="shared" si="14"/>
        <v>0</v>
      </c>
      <c r="BA111" s="31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1" cm="1">
        <f t="array" ref="BB111">$G$11+VLOOKUP($R111,武学奇术!$A:$ZZ,10,FALSE)+SUM(_xlfn.XLOOKUP($S111:$AL111,增益!$A:$A,增益!$J:$J,0))</f>
        <v>0</v>
      </c>
      <c r="BC111">
        <f t="shared" si="15"/>
        <v>0</v>
      </c>
      <c r="BD111">
        <f t="shared" si="16"/>
        <v>0</v>
      </c>
      <c r="BE111" s="31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1" cm="1">
        <f t="array" ref="BF111">$G$12+VLOOKUP($R111,武学奇术!$A:$ZZ,12,FALSE)+SUM(_xlfn.XLOOKUP($S111:$AL111,增益!$A:$A,增益!$L:$L,0))</f>
        <v>0</v>
      </c>
      <c r="BG111">
        <f t="shared" si="17"/>
        <v>0</v>
      </c>
      <c r="BH111">
        <f t="shared" si="18"/>
        <v>0</v>
      </c>
      <c r="BI111" s="31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1" cm="1">
        <f t="array" ref="BJ111">$G$13+VLOOKUP($R111,武学奇术!$A:$ZZ,14,FALSE)+SUM(_xlfn.XLOOKUP($S111:$AL111,增益!$A:$A,增益!$N:$N,0))</f>
        <v>0</v>
      </c>
      <c r="BK111">
        <f t="shared" si="19"/>
        <v>649.11</v>
      </c>
      <c r="BL111">
        <f t="shared" si="20"/>
        <v>1812.09</v>
      </c>
      <c r="BM111" s="31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1" cm="1">
        <f t="array" ref="BN111">$G$14+VLOOKUP($R111,武学奇术!$A:$ZZ,16,FALSE)+SUM(_xlfn.XLOOKUP($S111:$AL111,增益!$A:$A,增益!$P:$P,0))</f>
        <v>0.15</v>
      </c>
      <c r="BO111" s="24">
        <f>MIN(IF(VLOOKUP($R111,武学奇术!$A:$ZZ,23,FALSE)=1,100%,$B$8),100%)</f>
        <v>0.9943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0.8985</v>
      </c>
      <c r="BQ111" s="24" cm="1">
        <f t="array" ref="BQ111">1+$B$13+VLOOKUP($R111,武学奇术!$A:$ZZ,18,FALSE)+SUM(_xlfn.XLOOKUP($S111:$AL111,增益!$A:$A,增益!$R:$R,0))</f>
        <v>1.54</v>
      </c>
      <c r="BR111" s="24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21"/>
        <v>0.89337855</v>
      </c>
      <c r="BU111" s="24">
        <f t="shared" si="22"/>
        <v>0.01014186</v>
      </c>
      <c r="BV111" s="24">
        <f>IF(VLOOKUP($R111,武学奇术!$A:$ZZ,22,FALSE)=1,0,(1-$BO111))*(1-$BR111)</f>
        <v>0.00517959000000003</v>
      </c>
      <c r="BW111" s="24" cm="1">
        <f t="array" ref="BW111">SUM(_xlfn.XLOOKUP($S111:$AL111,增益!$A:$A,增益!$W:$W,0))+$I$5</f>
        <v>0.11</v>
      </c>
      <c r="BX111" s="24">
        <f>VLOOKUP($R111,武学奇术!$A:$ZZ,32,FALSE)</f>
        <v>0</v>
      </c>
      <c r="BY111" s="24" cm="1">
        <f t="array" ref="BY111">SUM(_xlfn.XLOOKUP($S111:$AL111,增益!$A:$A,增益!$X:$X,0))</f>
        <v>0</v>
      </c>
    </row>
    <row r="112" spans="11:77">
      <c r="K112" s="37">
        <f>$L112*VLOOKUP($R112,武学奇术!$A:$ZZ,31,FALSE)</f>
        <v>0</v>
      </c>
      <c r="L112" s="37">
        <f t="shared" si="25"/>
        <v>0</v>
      </c>
      <c r="M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*(1+$BX112)</f>
        <v>0</v>
      </c>
      <c r="N112" s="37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*(1+$BX112)</f>
        <v>0</v>
      </c>
      <c r="O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*(1+$BX112)</f>
        <v>0</v>
      </c>
      <c r="P112" s="37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*(1+$BX112)</f>
        <v>0</v>
      </c>
      <c r="Q112" s="38">
        <v>1</v>
      </c>
      <c r="R112" s="39" t="s">
        <v>84</v>
      </c>
      <c r="S112" s="39" t="s">
        <v>84</v>
      </c>
      <c r="T112" s="39" t="s">
        <v>84</v>
      </c>
      <c r="U112" s="39" t="s">
        <v>84</v>
      </c>
      <c r="V112" s="39" t="s">
        <v>84</v>
      </c>
      <c r="W112" s="39" t="s">
        <v>84</v>
      </c>
      <c r="X112" s="39" t="s">
        <v>84</v>
      </c>
      <c r="Y112" s="39" t="s">
        <v>84</v>
      </c>
      <c r="Z112" s="39" t="s">
        <v>84</v>
      </c>
      <c r="AA112" s="39" t="s">
        <v>84</v>
      </c>
      <c r="AB112" s="39" t="s">
        <v>84</v>
      </c>
      <c r="AC112" s="39" t="s">
        <v>84</v>
      </c>
      <c r="AD112" s="39" t="s">
        <v>84</v>
      </c>
      <c r="AE112" s="39" t="s">
        <v>84</v>
      </c>
      <c r="AF112" s="39" t="s">
        <v>88</v>
      </c>
      <c r="AG112" s="39" t="s">
        <v>84</v>
      </c>
      <c r="AH112" s="39" t="s">
        <v>84</v>
      </c>
      <c r="AI112" s="39" t="s">
        <v>84</v>
      </c>
      <c r="AJ112" s="39" t="s">
        <v>84</v>
      </c>
      <c r="AK112" s="39" t="s">
        <v>84</v>
      </c>
      <c r="AL112" s="39" t="s">
        <v>84</v>
      </c>
      <c r="AM112" t="str">
        <f>VLOOKUP($R112,武学奇术!$A:$ZZ,25,FALSE)</f>
        <v>心法</v>
      </c>
      <c r="AN112" s="24">
        <f>VLOOKUP($R112,武学奇术!$A:$ZZ,26,FALSE)</f>
        <v>0</v>
      </c>
      <c r="AO112" s="25">
        <f>VLOOKUP($R112,武学奇术!$A:$ZZ,27,FALSE)*(1+IF(OR($AM112=$F$4,$AM112=$F$5),$B$22,0))</f>
        <v>0</v>
      </c>
      <c r="AP112" s="24">
        <f>VLOOKUP($R112,武学奇术!$A:$ZZ,28,FALSE)</f>
        <v>0</v>
      </c>
      <c r="AQ112" s="25">
        <f>VLOOKUP($R112,武学奇术!$A:$ZZ,29,FALSE)*(1+IF(OR($AM112=$F$4,$AM112=$F$5),$B$22,0))</f>
        <v>0</v>
      </c>
      <c r="AR112" s="24" cm="1">
        <f t="array" ref="AR112">$G$3+IFERROR(VLOOKUP($AM112,$F$4:$G$7,2,FALSE),0)+VLOOKUP($R112,武学奇术!$A:$ZZ,2,FALSE)+SUM(_xlfn.XLOOKUP($S112:$AL112,增益!$A:$A,增益!$B:$B,0))</f>
        <v>0.1042</v>
      </c>
      <c r="AS112" s="24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4274.25</v>
      </c>
      <c r="AU112" cm="1">
        <f t="array" ref="AU112">$E$10*(1+$AS112)+VLOOKUP($R112,武学奇术!$A:$ZZ,4,FALSE)+SUM(_xlfn.XLOOKUP($S112:$AL112,增益!$A:$A,增益!$D:$D,0))-$I$2</f>
        <v>4274.25</v>
      </c>
      <c r="AV112" s="31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0.1684</v>
      </c>
      <c r="AW112" s="31" cm="1">
        <f t="array" ref="AW112">$G$10+VLOOKUP($R112,武学奇术!$A:$ZZ,7,FALSE)+SUM(_xlfn.XLOOKUP($S112:$AL112,增益!$A:$A,增益!$G:$G,0))</f>
        <v>0</v>
      </c>
      <c r="AX112" s="24" cm="1">
        <f t="array" ref="AX112">VLOOKUP($R112,武学奇术!$A:$ZZ,8,FALSE)+SUM(_xlfn.XLOOKUP($S112:$AL112,增益!$A:$A,增益!$H:$H,0))</f>
        <v>0</v>
      </c>
      <c r="AY112">
        <f t="shared" si="13"/>
        <v>0</v>
      </c>
      <c r="AZ112">
        <f t="shared" si="14"/>
        <v>0</v>
      </c>
      <c r="BA112" s="31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1" cm="1">
        <f t="array" ref="BB112">$G$11+VLOOKUP($R112,武学奇术!$A:$ZZ,10,FALSE)+SUM(_xlfn.XLOOKUP($S112:$AL112,增益!$A:$A,增益!$J:$J,0))</f>
        <v>0</v>
      </c>
      <c r="BC112">
        <f t="shared" si="15"/>
        <v>0</v>
      </c>
      <c r="BD112">
        <f t="shared" si="16"/>
        <v>0</v>
      </c>
      <c r="BE112" s="31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1" cm="1">
        <f t="array" ref="BF112">$G$12+VLOOKUP($R112,武学奇术!$A:$ZZ,12,FALSE)+SUM(_xlfn.XLOOKUP($S112:$AL112,增益!$A:$A,增益!$L:$L,0))</f>
        <v>0</v>
      </c>
      <c r="BG112">
        <f t="shared" si="17"/>
        <v>0</v>
      </c>
      <c r="BH112">
        <f t="shared" si="18"/>
        <v>0</v>
      </c>
      <c r="BI112" s="31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1" cm="1">
        <f t="array" ref="BJ112">$G$13+VLOOKUP($R112,武学奇术!$A:$ZZ,14,FALSE)+SUM(_xlfn.XLOOKUP($S112:$AL112,增益!$A:$A,增益!$N:$N,0))</f>
        <v>0</v>
      </c>
      <c r="BK112">
        <f t="shared" si="19"/>
        <v>649.11</v>
      </c>
      <c r="BL112">
        <f t="shared" si="20"/>
        <v>1812.09</v>
      </c>
      <c r="BM112" s="31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1" cm="1">
        <f t="array" ref="BN112">$G$14+VLOOKUP($R112,武学奇术!$A:$ZZ,16,FALSE)+SUM(_xlfn.XLOOKUP($S112:$AL112,增益!$A:$A,增益!$P:$P,0))</f>
        <v>0.15</v>
      </c>
      <c r="BO112" s="24">
        <f>MIN(IF(VLOOKUP($R112,武学奇术!$A:$ZZ,23,FALSE)=1,100%,$B$8),100%)</f>
        <v>0.9943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0.8985</v>
      </c>
      <c r="BQ112" s="24" cm="1">
        <f t="array" ref="BQ112">1+$B$13+VLOOKUP($R112,武学奇术!$A:$ZZ,18,FALSE)+SUM(_xlfn.XLOOKUP($S112:$AL112,增益!$A:$A,增益!$R:$R,0))</f>
        <v>1.54</v>
      </c>
      <c r="BR112" s="24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21"/>
        <v>0.89337855</v>
      </c>
      <c r="BU112" s="24">
        <f t="shared" si="22"/>
        <v>0.01014186</v>
      </c>
      <c r="BV112" s="24">
        <f>IF(VLOOKUP($R112,武学奇术!$A:$ZZ,22,FALSE)=1,0,(1-$BO112))*(1-$BR112)</f>
        <v>0.00517959000000003</v>
      </c>
      <c r="BW112" s="24" cm="1">
        <f t="array" ref="BW112">SUM(_xlfn.XLOOKUP($S112:$AL112,增益!$A:$A,增益!$W:$W,0))+$I$5</f>
        <v>0.11</v>
      </c>
      <c r="BX112" s="24">
        <f>VLOOKUP($R112,武学奇术!$A:$ZZ,32,FALSE)</f>
        <v>0</v>
      </c>
      <c r="BY112" s="24" cm="1">
        <f t="array" ref="BY112">SUM(_xlfn.XLOOKUP($S112:$AL112,增益!$A:$A,增益!$X:$X,0))</f>
        <v>0</v>
      </c>
    </row>
    <row r="113" spans="11:77">
      <c r="K113" s="37">
        <f>$L113*VLOOKUP($R113,武学奇术!$A:$ZZ,31,FALSE)</f>
        <v>0</v>
      </c>
      <c r="L113" s="37">
        <f t="shared" si="25"/>
        <v>0</v>
      </c>
      <c r="M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*(1+$BX113)</f>
        <v>0</v>
      </c>
      <c r="N113" s="37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*(1+$BX113)</f>
        <v>0</v>
      </c>
      <c r="O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*(1+$BX113)</f>
        <v>0</v>
      </c>
      <c r="P113" s="37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*(1+$BX113)</f>
        <v>0</v>
      </c>
      <c r="Q113" s="38">
        <v>1</v>
      </c>
      <c r="R113" s="39" t="s">
        <v>84</v>
      </c>
      <c r="S113" s="39" t="s">
        <v>84</v>
      </c>
      <c r="T113" s="39" t="s">
        <v>84</v>
      </c>
      <c r="U113" s="39" t="s">
        <v>84</v>
      </c>
      <c r="V113" s="39" t="s">
        <v>84</v>
      </c>
      <c r="W113" s="39" t="s">
        <v>84</v>
      </c>
      <c r="X113" s="39" t="s">
        <v>84</v>
      </c>
      <c r="Y113" s="39" t="s">
        <v>84</v>
      </c>
      <c r="Z113" s="39" t="s">
        <v>84</v>
      </c>
      <c r="AA113" s="39" t="s">
        <v>84</v>
      </c>
      <c r="AB113" s="39" t="s">
        <v>84</v>
      </c>
      <c r="AC113" s="39" t="s">
        <v>84</v>
      </c>
      <c r="AD113" s="39" t="s">
        <v>84</v>
      </c>
      <c r="AE113" s="39" t="s">
        <v>84</v>
      </c>
      <c r="AF113" s="39" t="s">
        <v>88</v>
      </c>
      <c r="AG113" s="39" t="s">
        <v>84</v>
      </c>
      <c r="AH113" s="39" t="s">
        <v>84</v>
      </c>
      <c r="AI113" s="39" t="s">
        <v>84</v>
      </c>
      <c r="AJ113" s="39" t="s">
        <v>84</v>
      </c>
      <c r="AK113" s="39" t="s">
        <v>84</v>
      </c>
      <c r="AL113" s="39" t="s">
        <v>84</v>
      </c>
      <c r="AM113" t="str">
        <f>VLOOKUP($R113,武学奇术!$A:$ZZ,25,FALSE)</f>
        <v>心法</v>
      </c>
      <c r="AN113" s="24">
        <f>VLOOKUP($R113,武学奇术!$A:$ZZ,26,FALSE)</f>
        <v>0</v>
      </c>
      <c r="AO113" s="25">
        <f>VLOOKUP($R113,武学奇术!$A:$ZZ,27,FALSE)*(1+IF(OR($AM113=$F$4,$AM113=$F$5),$B$22,0))</f>
        <v>0</v>
      </c>
      <c r="AP113" s="24">
        <f>VLOOKUP($R113,武学奇术!$A:$ZZ,28,FALSE)</f>
        <v>0</v>
      </c>
      <c r="AQ113" s="25">
        <f>VLOOKUP($R113,武学奇术!$A:$ZZ,29,FALSE)*(1+IF(OR($AM113=$F$4,$AM113=$F$5),$B$22,0))</f>
        <v>0</v>
      </c>
      <c r="AR113" s="24" cm="1">
        <f t="array" ref="AR113">$G$3+IFERROR(VLOOKUP($AM113,$F$4:$G$7,2,FALSE),0)+VLOOKUP($R113,武学奇术!$A:$ZZ,2,FALSE)+SUM(_xlfn.XLOOKUP($S113:$AL113,增益!$A:$A,增益!$B:$B,0))</f>
        <v>0.1042</v>
      </c>
      <c r="AS113" s="24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4274.25</v>
      </c>
      <c r="AU113" cm="1">
        <f t="array" ref="AU113">$E$10*(1+$AS113)+VLOOKUP($R113,武学奇术!$A:$ZZ,4,FALSE)+SUM(_xlfn.XLOOKUP($S113:$AL113,增益!$A:$A,增益!$D:$D,0))-$I$2</f>
        <v>4274.25</v>
      </c>
      <c r="AV113" s="31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0.1684</v>
      </c>
      <c r="AW113" s="31" cm="1">
        <f t="array" ref="AW113">$G$10+VLOOKUP($R113,武学奇术!$A:$ZZ,7,FALSE)+SUM(_xlfn.XLOOKUP($S113:$AL113,增益!$A:$A,增益!$G:$G,0))</f>
        <v>0</v>
      </c>
      <c r="AX113" s="24" cm="1">
        <f t="array" ref="AX113">VLOOKUP($R113,武学奇术!$A:$ZZ,8,FALSE)+SUM(_xlfn.XLOOKUP($S113:$AL113,增益!$A:$A,增益!$H:$H,0))</f>
        <v>0</v>
      </c>
      <c r="AY113">
        <f t="shared" si="13"/>
        <v>0</v>
      </c>
      <c r="AZ113">
        <f t="shared" si="14"/>
        <v>0</v>
      </c>
      <c r="BA113" s="31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1" cm="1">
        <f t="array" ref="BB113">$G$11+VLOOKUP($R113,武学奇术!$A:$ZZ,10,FALSE)+SUM(_xlfn.XLOOKUP($S113:$AL113,增益!$A:$A,增益!$J:$J,0))</f>
        <v>0</v>
      </c>
      <c r="BC113">
        <f t="shared" si="15"/>
        <v>0</v>
      </c>
      <c r="BD113">
        <f t="shared" si="16"/>
        <v>0</v>
      </c>
      <c r="BE113" s="31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1" cm="1">
        <f t="array" ref="BF113">$G$12+VLOOKUP($R113,武学奇术!$A:$ZZ,12,FALSE)+SUM(_xlfn.XLOOKUP($S113:$AL113,增益!$A:$A,增益!$L:$L,0))</f>
        <v>0</v>
      </c>
      <c r="BG113">
        <f t="shared" si="17"/>
        <v>0</v>
      </c>
      <c r="BH113">
        <f t="shared" si="18"/>
        <v>0</v>
      </c>
      <c r="BI113" s="31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1" cm="1">
        <f t="array" ref="BJ113">$G$13+VLOOKUP($R113,武学奇术!$A:$ZZ,14,FALSE)+SUM(_xlfn.XLOOKUP($S113:$AL113,增益!$A:$A,增益!$N:$N,0))</f>
        <v>0</v>
      </c>
      <c r="BK113">
        <f t="shared" si="19"/>
        <v>649.11</v>
      </c>
      <c r="BL113">
        <f t="shared" si="20"/>
        <v>1812.09</v>
      </c>
      <c r="BM113" s="31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1" cm="1">
        <f t="array" ref="BN113">$G$14+VLOOKUP($R113,武学奇术!$A:$ZZ,16,FALSE)+SUM(_xlfn.XLOOKUP($S113:$AL113,增益!$A:$A,增益!$P:$P,0))</f>
        <v>0.15</v>
      </c>
      <c r="BO113" s="24">
        <f>MIN(IF(VLOOKUP($R113,武学奇术!$A:$ZZ,23,FALSE)=1,100%,$B$8),100%)</f>
        <v>0.9943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0.8985</v>
      </c>
      <c r="BQ113" s="24" cm="1">
        <f t="array" ref="BQ113">1+$B$13+VLOOKUP($R113,武学奇术!$A:$ZZ,18,FALSE)+SUM(_xlfn.XLOOKUP($S113:$AL113,增益!$A:$A,增益!$R:$R,0))</f>
        <v>1.54</v>
      </c>
      <c r="BR113" s="24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21"/>
        <v>0.89337855</v>
      </c>
      <c r="BU113" s="24">
        <f t="shared" si="22"/>
        <v>0.01014186</v>
      </c>
      <c r="BV113" s="24">
        <f>IF(VLOOKUP($R113,武学奇术!$A:$ZZ,22,FALSE)=1,0,(1-$BO113))*(1-$BR113)</f>
        <v>0.00517959000000003</v>
      </c>
      <c r="BW113" s="24" cm="1">
        <f t="array" ref="BW113">SUM(_xlfn.XLOOKUP($S113:$AL113,增益!$A:$A,增益!$W:$W,0))+$I$5</f>
        <v>0.11</v>
      </c>
      <c r="BX113" s="24">
        <f>VLOOKUP($R113,武学奇术!$A:$ZZ,32,FALSE)</f>
        <v>0</v>
      </c>
      <c r="BY113" s="24" cm="1">
        <f t="array" ref="BY113">SUM(_xlfn.XLOOKUP($S113:$AL113,增益!$A:$A,增益!$X:$X,0))</f>
        <v>0</v>
      </c>
    </row>
    <row r="114" spans="11:77">
      <c r="K114" s="37">
        <f>$L114*VLOOKUP($R114,武学奇术!$A:$ZZ,31,FALSE)</f>
        <v>0</v>
      </c>
      <c r="L114" s="37">
        <f t="shared" si="25"/>
        <v>0</v>
      </c>
      <c r="M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*(1+$BX114)</f>
        <v>0</v>
      </c>
      <c r="N114" s="37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*(1+$BX114)</f>
        <v>0</v>
      </c>
      <c r="O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*(1+$BX114)</f>
        <v>0</v>
      </c>
      <c r="P114" s="37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*(1+$BX114)</f>
        <v>0</v>
      </c>
      <c r="Q114" s="38">
        <v>1</v>
      </c>
      <c r="R114" s="39" t="s">
        <v>84</v>
      </c>
      <c r="S114" s="39" t="s">
        <v>84</v>
      </c>
      <c r="T114" s="39" t="s">
        <v>84</v>
      </c>
      <c r="U114" s="39" t="s">
        <v>84</v>
      </c>
      <c r="V114" s="39" t="s">
        <v>84</v>
      </c>
      <c r="W114" s="39" t="s">
        <v>84</v>
      </c>
      <c r="X114" s="39" t="s">
        <v>84</v>
      </c>
      <c r="Y114" s="39" t="s">
        <v>84</v>
      </c>
      <c r="Z114" s="39" t="s">
        <v>84</v>
      </c>
      <c r="AA114" s="39" t="s">
        <v>84</v>
      </c>
      <c r="AB114" s="39" t="s">
        <v>84</v>
      </c>
      <c r="AC114" s="39" t="s">
        <v>84</v>
      </c>
      <c r="AD114" s="39" t="s">
        <v>84</v>
      </c>
      <c r="AE114" s="39" t="s">
        <v>84</v>
      </c>
      <c r="AF114" s="39" t="s">
        <v>88</v>
      </c>
      <c r="AG114" s="39" t="s">
        <v>84</v>
      </c>
      <c r="AH114" s="39" t="s">
        <v>84</v>
      </c>
      <c r="AI114" s="39" t="s">
        <v>84</v>
      </c>
      <c r="AJ114" s="39" t="s">
        <v>84</v>
      </c>
      <c r="AK114" s="39" t="s">
        <v>84</v>
      </c>
      <c r="AL114" s="39" t="s">
        <v>84</v>
      </c>
      <c r="AM114" t="str">
        <f>VLOOKUP($R114,武学奇术!$A:$ZZ,25,FALSE)</f>
        <v>心法</v>
      </c>
      <c r="AN114" s="24">
        <f>VLOOKUP($R114,武学奇术!$A:$ZZ,26,FALSE)</f>
        <v>0</v>
      </c>
      <c r="AO114" s="25">
        <f>VLOOKUP($R114,武学奇术!$A:$ZZ,27,FALSE)*(1+IF(OR($AM114=$F$4,$AM114=$F$5),$B$22,0))</f>
        <v>0</v>
      </c>
      <c r="AP114" s="24">
        <f>VLOOKUP($R114,武学奇术!$A:$ZZ,28,FALSE)</f>
        <v>0</v>
      </c>
      <c r="AQ114" s="25">
        <f>VLOOKUP($R114,武学奇术!$A:$ZZ,29,FALSE)*(1+IF(OR($AM114=$F$4,$AM114=$F$5),$B$22,0))</f>
        <v>0</v>
      </c>
      <c r="AR114" s="24" cm="1">
        <f t="array" ref="AR114">$G$3+IFERROR(VLOOKUP($AM114,$F$4:$G$7,2,FALSE),0)+VLOOKUP($R114,武学奇术!$A:$ZZ,2,FALSE)+SUM(_xlfn.XLOOKUP($S114:$AL114,增益!$A:$A,增益!$B:$B,0))</f>
        <v>0.1042</v>
      </c>
      <c r="AS114" s="24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4274.25</v>
      </c>
      <c r="AU114" cm="1">
        <f t="array" ref="AU114">$E$10*(1+$AS114)+VLOOKUP($R114,武学奇术!$A:$ZZ,4,FALSE)+SUM(_xlfn.XLOOKUP($S114:$AL114,增益!$A:$A,增益!$D:$D,0))-$I$2</f>
        <v>4274.25</v>
      </c>
      <c r="AV114" s="31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0.1684</v>
      </c>
      <c r="AW114" s="31" cm="1">
        <f t="array" ref="AW114">$G$10+VLOOKUP($R114,武学奇术!$A:$ZZ,7,FALSE)+SUM(_xlfn.XLOOKUP($S114:$AL114,增益!$A:$A,增益!$G:$G,0))</f>
        <v>0</v>
      </c>
      <c r="AX114" s="24" cm="1">
        <f t="array" ref="AX114">VLOOKUP($R114,武学奇术!$A:$ZZ,8,FALSE)+SUM(_xlfn.XLOOKUP($S114:$AL114,增益!$A:$A,增益!$H:$H,0))</f>
        <v>0</v>
      </c>
      <c r="AY114">
        <f t="shared" si="13"/>
        <v>0</v>
      </c>
      <c r="AZ114">
        <f t="shared" si="14"/>
        <v>0</v>
      </c>
      <c r="BA114" s="31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1" cm="1">
        <f t="array" ref="BB114">$G$11+VLOOKUP($R114,武学奇术!$A:$ZZ,10,FALSE)+SUM(_xlfn.XLOOKUP($S114:$AL114,增益!$A:$A,增益!$J:$J,0))</f>
        <v>0</v>
      </c>
      <c r="BC114">
        <f t="shared" si="15"/>
        <v>0</v>
      </c>
      <c r="BD114">
        <f t="shared" si="16"/>
        <v>0</v>
      </c>
      <c r="BE114" s="31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1" cm="1">
        <f t="array" ref="BF114">$G$12+VLOOKUP($R114,武学奇术!$A:$ZZ,12,FALSE)+SUM(_xlfn.XLOOKUP($S114:$AL114,增益!$A:$A,增益!$L:$L,0))</f>
        <v>0</v>
      </c>
      <c r="BG114">
        <f t="shared" si="17"/>
        <v>0</v>
      </c>
      <c r="BH114">
        <f t="shared" si="18"/>
        <v>0</v>
      </c>
      <c r="BI114" s="31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1" cm="1">
        <f t="array" ref="BJ114">$G$13+VLOOKUP($R114,武学奇术!$A:$ZZ,14,FALSE)+SUM(_xlfn.XLOOKUP($S114:$AL114,增益!$A:$A,增益!$N:$N,0))</f>
        <v>0</v>
      </c>
      <c r="BK114">
        <f t="shared" si="19"/>
        <v>649.11</v>
      </c>
      <c r="BL114">
        <f t="shared" si="20"/>
        <v>1812.09</v>
      </c>
      <c r="BM114" s="31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1" cm="1">
        <f t="array" ref="BN114">$G$14+VLOOKUP($R114,武学奇术!$A:$ZZ,16,FALSE)+SUM(_xlfn.XLOOKUP($S114:$AL114,增益!$A:$A,增益!$P:$P,0))</f>
        <v>0.15</v>
      </c>
      <c r="BO114" s="24">
        <f>MIN(IF(VLOOKUP($R114,武学奇术!$A:$ZZ,23,FALSE)=1,100%,$B$8),100%)</f>
        <v>0.9943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0.8985</v>
      </c>
      <c r="BQ114" s="24" cm="1">
        <f t="array" ref="BQ114">1+$B$13+VLOOKUP($R114,武学奇术!$A:$ZZ,18,FALSE)+SUM(_xlfn.XLOOKUP($S114:$AL114,增益!$A:$A,增益!$R:$R,0))</f>
        <v>1.54</v>
      </c>
      <c r="BR114" s="24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21"/>
        <v>0.89337855</v>
      </c>
      <c r="BU114" s="24">
        <f t="shared" si="22"/>
        <v>0.01014186</v>
      </c>
      <c r="BV114" s="24">
        <f>IF(VLOOKUP($R114,武学奇术!$A:$ZZ,22,FALSE)=1,0,(1-$BO114))*(1-$BR114)</f>
        <v>0.00517959000000003</v>
      </c>
      <c r="BW114" s="24" cm="1">
        <f t="array" ref="BW114">SUM(_xlfn.XLOOKUP($S114:$AL114,增益!$A:$A,增益!$W:$W,0))+$I$5</f>
        <v>0.11</v>
      </c>
      <c r="BX114" s="24">
        <f>VLOOKUP($R114,武学奇术!$A:$ZZ,32,FALSE)</f>
        <v>0</v>
      </c>
      <c r="BY114" s="24" cm="1">
        <f t="array" ref="BY114">SUM(_xlfn.XLOOKUP($S114:$AL114,增益!$A:$A,增益!$X:$X,0))</f>
        <v>0</v>
      </c>
    </row>
    <row r="115" spans="11:77">
      <c r="K115" s="37">
        <f>$L115*VLOOKUP($R115,武学奇术!$A:$ZZ,31,FALSE)</f>
        <v>0</v>
      </c>
      <c r="L115" s="37">
        <f t="shared" si="25"/>
        <v>0</v>
      </c>
      <c r="M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*(1+$BX115)</f>
        <v>0</v>
      </c>
      <c r="N115" s="37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*(1+$BX115)</f>
        <v>0</v>
      </c>
      <c r="O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*(1+$BX115)</f>
        <v>0</v>
      </c>
      <c r="P115" s="37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*(1+$BX115)</f>
        <v>0</v>
      </c>
      <c r="Q115" s="38">
        <v>1</v>
      </c>
      <c r="R115" s="39" t="s">
        <v>84</v>
      </c>
      <c r="S115" s="39" t="s">
        <v>84</v>
      </c>
      <c r="T115" s="39" t="s">
        <v>84</v>
      </c>
      <c r="U115" s="39" t="s">
        <v>84</v>
      </c>
      <c r="V115" s="39" t="s">
        <v>84</v>
      </c>
      <c r="W115" s="39" t="s">
        <v>84</v>
      </c>
      <c r="X115" s="39" t="s">
        <v>84</v>
      </c>
      <c r="Y115" s="39" t="s">
        <v>84</v>
      </c>
      <c r="Z115" s="39" t="s">
        <v>84</v>
      </c>
      <c r="AA115" s="39" t="s">
        <v>84</v>
      </c>
      <c r="AB115" s="39" t="s">
        <v>84</v>
      </c>
      <c r="AC115" s="39" t="s">
        <v>84</v>
      </c>
      <c r="AD115" s="39" t="s">
        <v>84</v>
      </c>
      <c r="AE115" s="39" t="s">
        <v>84</v>
      </c>
      <c r="AF115" s="39" t="s">
        <v>88</v>
      </c>
      <c r="AG115" s="39" t="s">
        <v>84</v>
      </c>
      <c r="AH115" s="39" t="s">
        <v>84</v>
      </c>
      <c r="AI115" s="39" t="s">
        <v>84</v>
      </c>
      <c r="AJ115" s="39" t="s">
        <v>84</v>
      </c>
      <c r="AK115" s="39" t="s">
        <v>84</v>
      </c>
      <c r="AL115" s="39" t="s">
        <v>84</v>
      </c>
      <c r="AM115" t="str">
        <f>VLOOKUP($R115,武学奇术!$A:$ZZ,25,FALSE)</f>
        <v>心法</v>
      </c>
      <c r="AN115" s="24">
        <f>VLOOKUP($R115,武学奇术!$A:$ZZ,26,FALSE)</f>
        <v>0</v>
      </c>
      <c r="AO115" s="25">
        <f>VLOOKUP($R115,武学奇术!$A:$ZZ,27,FALSE)*(1+IF(OR($AM115=$F$4,$AM115=$F$5),$B$22,0))</f>
        <v>0</v>
      </c>
      <c r="AP115" s="24">
        <f>VLOOKUP($R115,武学奇术!$A:$ZZ,28,FALSE)</f>
        <v>0</v>
      </c>
      <c r="AQ115" s="25">
        <f>VLOOKUP($R115,武学奇术!$A:$ZZ,29,FALSE)*(1+IF(OR($AM115=$F$4,$AM115=$F$5),$B$22,0))</f>
        <v>0</v>
      </c>
      <c r="AR115" s="24" cm="1">
        <f t="array" ref="AR115">$G$3+IFERROR(VLOOKUP($AM115,$F$4:$G$7,2,FALSE),0)+VLOOKUP($R115,武学奇术!$A:$ZZ,2,FALSE)+SUM(_xlfn.XLOOKUP($S115:$AL115,增益!$A:$A,增益!$B:$B,0))</f>
        <v>0.1042</v>
      </c>
      <c r="AS115" s="24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4274.25</v>
      </c>
      <c r="AU115" cm="1">
        <f t="array" ref="AU115">$E$10*(1+$AS115)+VLOOKUP($R115,武学奇术!$A:$ZZ,4,FALSE)+SUM(_xlfn.XLOOKUP($S115:$AL115,增益!$A:$A,增益!$D:$D,0))-$I$2</f>
        <v>4274.25</v>
      </c>
      <c r="AV115" s="31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0.1684</v>
      </c>
      <c r="AW115" s="31" cm="1">
        <f t="array" ref="AW115">$G$10+VLOOKUP($R115,武学奇术!$A:$ZZ,7,FALSE)+SUM(_xlfn.XLOOKUP($S115:$AL115,增益!$A:$A,增益!$G:$G,0))</f>
        <v>0</v>
      </c>
      <c r="AX115" s="24" cm="1">
        <f t="array" ref="AX115">VLOOKUP($R115,武学奇术!$A:$ZZ,8,FALSE)+SUM(_xlfn.XLOOKUP($S115:$AL115,增益!$A:$A,增益!$H:$H,0))</f>
        <v>0</v>
      </c>
      <c r="AY115">
        <f t="shared" si="13"/>
        <v>0</v>
      </c>
      <c r="AZ115">
        <f t="shared" si="14"/>
        <v>0</v>
      </c>
      <c r="BA115" s="31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1" cm="1">
        <f t="array" ref="BB115">$G$11+VLOOKUP($R115,武学奇术!$A:$ZZ,10,FALSE)+SUM(_xlfn.XLOOKUP($S115:$AL115,增益!$A:$A,增益!$J:$J,0))</f>
        <v>0</v>
      </c>
      <c r="BC115">
        <f t="shared" si="15"/>
        <v>0</v>
      </c>
      <c r="BD115">
        <f t="shared" si="16"/>
        <v>0</v>
      </c>
      <c r="BE115" s="31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1" cm="1">
        <f t="array" ref="BF115">$G$12+VLOOKUP($R115,武学奇术!$A:$ZZ,12,FALSE)+SUM(_xlfn.XLOOKUP($S115:$AL115,增益!$A:$A,增益!$L:$L,0))</f>
        <v>0</v>
      </c>
      <c r="BG115">
        <f t="shared" si="17"/>
        <v>0</v>
      </c>
      <c r="BH115">
        <f t="shared" si="18"/>
        <v>0</v>
      </c>
      <c r="BI115" s="31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1" cm="1">
        <f t="array" ref="BJ115">$G$13+VLOOKUP($R115,武学奇术!$A:$ZZ,14,FALSE)+SUM(_xlfn.XLOOKUP($S115:$AL115,增益!$A:$A,增益!$N:$N,0))</f>
        <v>0</v>
      </c>
      <c r="BK115">
        <f t="shared" si="19"/>
        <v>649.11</v>
      </c>
      <c r="BL115">
        <f t="shared" si="20"/>
        <v>1812.09</v>
      </c>
      <c r="BM115" s="31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1" cm="1">
        <f t="array" ref="BN115">$G$14+VLOOKUP($R115,武学奇术!$A:$ZZ,16,FALSE)+SUM(_xlfn.XLOOKUP($S115:$AL115,增益!$A:$A,增益!$P:$P,0))</f>
        <v>0.15</v>
      </c>
      <c r="BO115" s="24">
        <f>MIN(IF(VLOOKUP($R115,武学奇术!$A:$ZZ,23,FALSE)=1,100%,$B$8),100%)</f>
        <v>0.9943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0.8985</v>
      </c>
      <c r="BQ115" s="24" cm="1">
        <f t="array" ref="BQ115">1+$B$13+VLOOKUP($R115,武学奇术!$A:$ZZ,18,FALSE)+SUM(_xlfn.XLOOKUP($S115:$AL115,增益!$A:$A,增益!$R:$R,0))</f>
        <v>1.54</v>
      </c>
      <c r="BR115" s="24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21"/>
        <v>0.89337855</v>
      </c>
      <c r="BU115" s="24">
        <f t="shared" si="22"/>
        <v>0.01014186</v>
      </c>
      <c r="BV115" s="24">
        <f>IF(VLOOKUP($R115,武学奇术!$A:$ZZ,22,FALSE)=1,0,(1-$BO115))*(1-$BR115)</f>
        <v>0.00517959000000003</v>
      </c>
      <c r="BW115" s="24" cm="1">
        <f t="array" ref="BW115">SUM(_xlfn.XLOOKUP($S115:$AL115,增益!$A:$A,增益!$W:$W,0))+$I$5</f>
        <v>0.11</v>
      </c>
      <c r="BX115" s="24">
        <f>VLOOKUP($R115,武学奇术!$A:$ZZ,32,FALSE)</f>
        <v>0</v>
      </c>
      <c r="BY115" s="24" cm="1">
        <f t="array" ref="BY115">SUM(_xlfn.XLOOKUP($S115:$AL115,增益!$A:$A,增益!$X:$X,0))</f>
        <v>0</v>
      </c>
    </row>
    <row r="116" spans="11:77">
      <c r="K116" s="37">
        <f>$L116*VLOOKUP($R116,武学奇术!$A:$ZZ,31,FALSE)</f>
        <v>0</v>
      </c>
      <c r="L116" s="37">
        <f t="shared" si="25"/>
        <v>0</v>
      </c>
      <c r="M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*(1+$BX116)</f>
        <v>0</v>
      </c>
      <c r="N116" s="37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*(1+$BX116)</f>
        <v>0</v>
      </c>
      <c r="O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*(1+$BX116)</f>
        <v>0</v>
      </c>
      <c r="P116" s="37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*(1+$BX116)</f>
        <v>0</v>
      </c>
      <c r="Q116" s="38">
        <v>1</v>
      </c>
      <c r="R116" s="39" t="s">
        <v>84</v>
      </c>
      <c r="S116" s="39" t="s">
        <v>84</v>
      </c>
      <c r="T116" s="39" t="s">
        <v>84</v>
      </c>
      <c r="U116" s="39" t="s">
        <v>84</v>
      </c>
      <c r="V116" s="39" t="s">
        <v>84</v>
      </c>
      <c r="W116" s="39" t="s">
        <v>84</v>
      </c>
      <c r="X116" s="39" t="s">
        <v>84</v>
      </c>
      <c r="Y116" s="39" t="s">
        <v>84</v>
      </c>
      <c r="Z116" s="39" t="s">
        <v>84</v>
      </c>
      <c r="AA116" s="39" t="s">
        <v>84</v>
      </c>
      <c r="AB116" s="39" t="s">
        <v>84</v>
      </c>
      <c r="AC116" s="39" t="s">
        <v>84</v>
      </c>
      <c r="AD116" s="39" t="s">
        <v>84</v>
      </c>
      <c r="AE116" s="39" t="s">
        <v>84</v>
      </c>
      <c r="AF116" s="39" t="s">
        <v>88</v>
      </c>
      <c r="AG116" s="39" t="s">
        <v>84</v>
      </c>
      <c r="AH116" s="39" t="s">
        <v>84</v>
      </c>
      <c r="AI116" s="39" t="s">
        <v>84</v>
      </c>
      <c r="AJ116" s="39" t="s">
        <v>84</v>
      </c>
      <c r="AK116" s="39" t="s">
        <v>84</v>
      </c>
      <c r="AL116" s="39" t="s">
        <v>84</v>
      </c>
      <c r="AM116" t="str">
        <f>VLOOKUP($R116,武学奇术!$A:$ZZ,25,FALSE)</f>
        <v>心法</v>
      </c>
      <c r="AN116" s="24">
        <f>VLOOKUP($R116,武学奇术!$A:$ZZ,26,FALSE)</f>
        <v>0</v>
      </c>
      <c r="AO116" s="25">
        <f>VLOOKUP($R116,武学奇术!$A:$ZZ,27,FALSE)*(1+IF(OR($AM116=$F$4,$AM116=$F$5),$B$22,0))</f>
        <v>0</v>
      </c>
      <c r="AP116" s="24">
        <f>VLOOKUP($R116,武学奇术!$A:$ZZ,28,FALSE)</f>
        <v>0</v>
      </c>
      <c r="AQ116" s="25">
        <f>VLOOKUP($R116,武学奇术!$A:$ZZ,29,FALSE)*(1+IF(OR($AM116=$F$4,$AM116=$F$5),$B$22,0))</f>
        <v>0</v>
      </c>
      <c r="AR116" s="24" cm="1">
        <f t="array" ref="AR116">$G$3+IFERROR(VLOOKUP($AM116,$F$4:$G$7,2,FALSE),0)+VLOOKUP($R116,武学奇术!$A:$ZZ,2,FALSE)+SUM(_xlfn.XLOOKUP($S116:$AL116,增益!$A:$A,增益!$B:$B,0))</f>
        <v>0.1042</v>
      </c>
      <c r="AS116" s="24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4274.25</v>
      </c>
      <c r="AU116" cm="1">
        <f t="array" ref="AU116">$E$10*(1+$AS116)+VLOOKUP($R116,武学奇术!$A:$ZZ,4,FALSE)+SUM(_xlfn.XLOOKUP($S116:$AL116,增益!$A:$A,增益!$D:$D,0))-$I$2</f>
        <v>4274.25</v>
      </c>
      <c r="AV116" s="31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0.1684</v>
      </c>
      <c r="AW116" s="31" cm="1">
        <f t="array" ref="AW116">$G$10+VLOOKUP($R116,武学奇术!$A:$ZZ,7,FALSE)+SUM(_xlfn.XLOOKUP($S116:$AL116,增益!$A:$A,增益!$G:$G,0))</f>
        <v>0</v>
      </c>
      <c r="AX116" s="24" cm="1">
        <f t="array" ref="AX116">VLOOKUP($R116,武学奇术!$A:$ZZ,8,FALSE)+SUM(_xlfn.XLOOKUP($S116:$AL116,增益!$A:$A,增益!$H:$H,0))</f>
        <v>0</v>
      </c>
      <c r="AY116">
        <f t="shared" si="13"/>
        <v>0</v>
      </c>
      <c r="AZ116">
        <f t="shared" si="14"/>
        <v>0</v>
      </c>
      <c r="BA116" s="31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1" cm="1">
        <f t="array" ref="BB116">$G$11+VLOOKUP($R116,武学奇术!$A:$ZZ,10,FALSE)+SUM(_xlfn.XLOOKUP($S116:$AL116,增益!$A:$A,增益!$J:$J,0))</f>
        <v>0</v>
      </c>
      <c r="BC116">
        <f t="shared" si="15"/>
        <v>0</v>
      </c>
      <c r="BD116">
        <f t="shared" si="16"/>
        <v>0</v>
      </c>
      <c r="BE116" s="31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1" cm="1">
        <f t="array" ref="BF116">$G$12+VLOOKUP($R116,武学奇术!$A:$ZZ,12,FALSE)+SUM(_xlfn.XLOOKUP($S116:$AL116,增益!$A:$A,增益!$L:$L,0))</f>
        <v>0</v>
      </c>
      <c r="BG116">
        <f t="shared" si="17"/>
        <v>0</v>
      </c>
      <c r="BH116">
        <f t="shared" si="18"/>
        <v>0</v>
      </c>
      <c r="BI116" s="31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1" cm="1">
        <f t="array" ref="BJ116">$G$13+VLOOKUP($R116,武学奇术!$A:$ZZ,14,FALSE)+SUM(_xlfn.XLOOKUP($S116:$AL116,增益!$A:$A,增益!$N:$N,0))</f>
        <v>0</v>
      </c>
      <c r="BK116">
        <f t="shared" si="19"/>
        <v>649.11</v>
      </c>
      <c r="BL116">
        <f t="shared" si="20"/>
        <v>1812.09</v>
      </c>
      <c r="BM116" s="31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1" cm="1">
        <f t="array" ref="BN116">$G$14+VLOOKUP($R116,武学奇术!$A:$ZZ,16,FALSE)+SUM(_xlfn.XLOOKUP($S116:$AL116,增益!$A:$A,增益!$P:$P,0))</f>
        <v>0.15</v>
      </c>
      <c r="BO116" s="24">
        <f>MIN(IF(VLOOKUP($R116,武学奇术!$A:$ZZ,23,FALSE)=1,100%,$B$8),100%)</f>
        <v>0.9943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0.8985</v>
      </c>
      <c r="BQ116" s="24" cm="1">
        <f t="array" ref="BQ116">1+$B$13+VLOOKUP($R116,武学奇术!$A:$ZZ,18,FALSE)+SUM(_xlfn.XLOOKUP($S116:$AL116,增益!$A:$A,增益!$R:$R,0))</f>
        <v>1.54</v>
      </c>
      <c r="BR116" s="24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21"/>
        <v>0.89337855</v>
      </c>
      <c r="BU116" s="24">
        <f t="shared" si="22"/>
        <v>0.01014186</v>
      </c>
      <c r="BV116" s="24">
        <f>IF(VLOOKUP($R116,武学奇术!$A:$ZZ,22,FALSE)=1,0,(1-$BO116))*(1-$BR116)</f>
        <v>0.00517959000000003</v>
      </c>
      <c r="BW116" s="24" cm="1">
        <f t="array" ref="BW116">SUM(_xlfn.XLOOKUP($S116:$AL116,增益!$A:$A,增益!$W:$W,0))+$I$5</f>
        <v>0.11</v>
      </c>
      <c r="BX116" s="24">
        <f>VLOOKUP($R116,武学奇术!$A:$ZZ,32,FALSE)</f>
        <v>0</v>
      </c>
      <c r="BY116" s="24" cm="1">
        <f t="array" ref="BY116">SUM(_xlfn.XLOOKUP($S116:$AL116,增益!$A:$A,增益!$X:$X,0))</f>
        <v>0</v>
      </c>
    </row>
    <row r="117" spans="11:77">
      <c r="K117" s="37">
        <f>$L117*VLOOKUP($R117,武学奇术!$A:$ZZ,31,FALSE)</f>
        <v>0</v>
      </c>
      <c r="L117" s="37">
        <f t="shared" si="25"/>
        <v>0</v>
      </c>
      <c r="M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*(1+$BX117)</f>
        <v>0</v>
      </c>
      <c r="N117" s="37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*(1+$BX117)</f>
        <v>0</v>
      </c>
      <c r="O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*(1+$BX117)</f>
        <v>0</v>
      </c>
      <c r="P117" s="37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*(1+$BX117)</f>
        <v>0</v>
      </c>
      <c r="Q117" s="38">
        <v>1</v>
      </c>
      <c r="R117" s="39" t="s">
        <v>84</v>
      </c>
      <c r="S117" s="39" t="s">
        <v>84</v>
      </c>
      <c r="T117" s="39" t="s">
        <v>84</v>
      </c>
      <c r="U117" s="39" t="s">
        <v>84</v>
      </c>
      <c r="V117" s="39" t="s">
        <v>84</v>
      </c>
      <c r="W117" s="39" t="s">
        <v>84</v>
      </c>
      <c r="X117" s="39" t="s">
        <v>84</v>
      </c>
      <c r="Y117" s="39" t="s">
        <v>84</v>
      </c>
      <c r="Z117" s="39" t="s">
        <v>84</v>
      </c>
      <c r="AA117" s="39" t="s">
        <v>84</v>
      </c>
      <c r="AB117" s="39" t="s">
        <v>84</v>
      </c>
      <c r="AC117" s="39" t="s">
        <v>84</v>
      </c>
      <c r="AD117" s="39" t="s">
        <v>84</v>
      </c>
      <c r="AE117" s="39" t="s">
        <v>84</v>
      </c>
      <c r="AF117" s="39" t="s">
        <v>88</v>
      </c>
      <c r="AG117" s="39" t="s">
        <v>84</v>
      </c>
      <c r="AH117" s="39" t="s">
        <v>84</v>
      </c>
      <c r="AI117" s="39" t="s">
        <v>84</v>
      </c>
      <c r="AJ117" s="39" t="s">
        <v>84</v>
      </c>
      <c r="AK117" s="39" t="s">
        <v>84</v>
      </c>
      <c r="AL117" s="39" t="s">
        <v>84</v>
      </c>
      <c r="AM117" t="str">
        <f>VLOOKUP($R117,武学奇术!$A:$ZZ,25,FALSE)</f>
        <v>心法</v>
      </c>
      <c r="AN117" s="24">
        <f>VLOOKUP($R117,武学奇术!$A:$ZZ,26,FALSE)</f>
        <v>0</v>
      </c>
      <c r="AO117" s="25">
        <f>VLOOKUP($R117,武学奇术!$A:$ZZ,27,FALSE)*(1+IF(OR($AM117=$F$4,$AM117=$F$5),$B$22,0))</f>
        <v>0</v>
      </c>
      <c r="AP117" s="24">
        <f>VLOOKUP($R117,武学奇术!$A:$ZZ,28,FALSE)</f>
        <v>0</v>
      </c>
      <c r="AQ117" s="25">
        <f>VLOOKUP($R117,武学奇术!$A:$ZZ,29,FALSE)*(1+IF(OR($AM117=$F$4,$AM117=$F$5),$B$22,0))</f>
        <v>0</v>
      </c>
      <c r="AR117" s="24" cm="1">
        <f t="array" ref="AR117">$G$3+IFERROR(VLOOKUP($AM117,$F$4:$G$7,2,FALSE),0)+VLOOKUP($R117,武学奇术!$A:$ZZ,2,FALSE)+SUM(_xlfn.XLOOKUP($S117:$AL117,增益!$A:$A,增益!$B:$B,0))</f>
        <v>0.1042</v>
      </c>
      <c r="AS117" s="24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4274.25</v>
      </c>
      <c r="AU117" cm="1">
        <f t="array" ref="AU117">$E$10*(1+$AS117)+VLOOKUP($R117,武学奇术!$A:$ZZ,4,FALSE)+SUM(_xlfn.XLOOKUP($S117:$AL117,增益!$A:$A,增益!$D:$D,0))-$I$2</f>
        <v>4274.25</v>
      </c>
      <c r="AV117" s="31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0.1684</v>
      </c>
      <c r="AW117" s="31" cm="1">
        <f t="array" ref="AW117">$G$10+VLOOKUP($R117,武学奇术!$A:$ZZ,7,FALSE)+SUM(_xlfn.XLOOKUP($S117:$AL117,增益!$A:$A,增益!$G:$G,0))</f>
        <v>0</v>
      </c>
      <c r="AX117" s="24" cm="1">
        <f t="array" ref="AX117">VLOOKUP($R117,武学奇术!$A:$ZZ,8,FALSE)+SUM(_xlfn.XLOOKUP($S117:$AL117,增益!$A:$A,增益!$H:$H,0))</f>
        <v>0</v>
      </c>
      <c r="AY117">
        <f t="shared" si="13"/>
        <v>0</v>
      </c>
      <c r="AZ117">
        <f t="shared" si="14"/>
        <v>0</v>
      </c>
      <c r="BA117" s="31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1" cm="1">
        <f t="array" ref="BB117">$G$11+VLOOKUP($R117,武学奇术!$A:$ZZ,10,FALSE)+SUM(_xlfn.XLOOKUP($S117:$AL117,增益!$A:$A,增益!$J:$J,0))</f>
        <v>0</v>
      </c>
      <c r="BC117">
        <f t="shared" si="15"/>
        <v>0</v>
      </c>
      <c r="BD117">
        <f t="shared" si="16"/>
        <v>0</v>
      </c>
      <c r="BE117" s="31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1" cm="1">
        <f t="array" ref="BF117">$G$12+VLOOKUP($R117,武学奇术!$A:$ZZ,12,FALSE)+SUM(_xlfn.XLOOKUP($S117:$AL117,增益!$A:$A,增益!$L:$L,0))</f>
        <v>0</v>
      </c>
      <c r="BG117">
        <f t="shared" si="17"/>
        <v>0</v>
      </c>
      <c r="BH117">
        <f t="shared" si="18"/>
        <v>0</v>
      </c>
      <c r="BI117" s="31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1" cm="1">
        <f t="array" ref="BJ117">$G$13+VLOOKUP($R117,武学奇术!$A:$ZZ,14,FALSE)+SUM(_xlfn.XLOOKUP($S117:$AL117,增益!$A:$A,增益!$N:$N,0))</f>
        <v>0</v>
      </c>
      <c r="BK117">
        <f t="shared" si="19"/>
        <v>649.11</v>
      </c>
      <c r="BL117">
        <f t="shared" si="20"/>
        <v>1812.09</v>
      </c>
      <c r="BM117" s="31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1" cm="1">
        <f t="array" ref="BN117">$G$14+VLOOKUP($R117,武学奇术!$A:$ZZ,16,FALSE)+SUM(_xlfn.XLOOKUP($S117:$AL117,增益!$A:$A,增益!$P:$P,0))</f>
        <v>0.15</v>
      </c>
      <c r="BO117" s="24">
        <f>MIN(IF(VLOOKUP($R117,武学奇术!$A:$ZZ,23,FALSE)=1,100%,$B$8),100%)</f>
        <v>0.9943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0.8985</v>
      </c>
      <c r="BQ117" s="24" cm="1">
        <f t="array" ref="BQ117">1+$B$13+VLOOKUP($R117,武学奇术!$A:$ZZ,18,FALSE)+SUM(_xlfn.XLOOKUP($S117:$AL117,增益!$A:$A,增益!$R:$R,0))</f>
        <v>1.54</v>
      </c>
      <c r="BR117" s="24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21"/>
        <v>0.89337855</v>
      </c>
      <c r="BU117" s="24">
        <f t="shared" si="22"/>
        <v>0.01014186</v>
      </c>
      <c r="BV117" s="24">
        <f>IF(VLOOKUP($R117,武学奇术!$A:$ZZ,22,FALSE)=1,0,(1-$BO117))*(1-$BR117)</f>
        <v>0.00517959000000003</v>
      </c>
      <c r="BW117" s="24" cm="1">
        <f t="array" ref="BW117">SUM(_xlfn.XLOOKUP($S117:$AL117,增益!$A:$A,增益!$W:$W,0))+$I$5</f>
        <v>0.11</v>
      </c>
      <c r="BX117" s="24">
        <f>VLOOKUP($R117,武学奇术!$A:$ZZ,32,FALSE)</f>
        <v>0</v>
      </c>
      <c r="BY117" s="24" cm="1">
        <f t="array" ref="BY117">SUM(_xlfn.XLOOKUP($S117:$AL117,增益!$A:$A,增益!$X:$X,0))</f>
        <v>0</v>
      </c>
    </row>
    <row r="118" spans="11:77">
      <c r="K118" s="37">
        <f>$L118*VLOOKUP($R118,武学奇术!$A:$ZZ,31,FALSE)</f>
        <v>0</v>
      </c>
      <c r="L118" s="37">
        <f t="shared" si="25"/>
        <v>0</v>
      </c>
      <c r="M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*(1+$BX118)</f>
        <v>0</v>
      </c>
      <c r="N118" s="37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*(1+$BX118)</f>
        <v>0</v>
      </c>
      <c r="O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*(1+$BX118)</f>
        <v>0</v>
      </c>
      <c r="P118" s="37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*(1+$BX118)</f>
        <v>0</v>
      </c>
      <c r="Q118" s="38">
        <v>1</v>
      </c>
      <c r="R118" s="39" t="s">
        <v>84</v>
      </c>
      <c r="S118" s="39" t="s">
        <v>84</v>
      </c>
      <c r="T118" s="39" t="s">
        <v>84</v>
      </c>
      <c r="U118" s="39" t="s">
        <v>84</v>
      </c>
      <c r="V118" s="39" t="s">
        <v>84</v>
      </c>
      <c r="W118" s="39" t="s">
        <v>84</v>
      </c>
      <c r="X118" s="39" t="s">
        <v>84</v>
      </c>
      <c r="Y118" s="39" t="s">
        <v>84</v>
      </c>
      <c r="Z118" s="39" t="s">
        <v>84</v>
      </c>
      <c r="AA118" s="39" t="s">
        <v>84</v>
      </c>
      <c r="AB118" s="39" t="s">
        <v>84</v>
      </c>
      <c r="AC118" s="39" t="s">
        <v>84</v>
      </c>
      <c r="AD118" s="39" t="s">
        <v>84</v>
      </c>
      <c r="AE118" s="39" t="s">
        <v>84</v>
      </c>
      <c r="AF118" s="39" t="s">
        <v>88</v>
      </c>
      <c r="AG118" s="39" t="s">
        <v>84</v>
      </c>
      <c r="AH118" s="39" t="s">
        <v>84</v>
      </c>
      <c r="AI118" s="39" t="s">
        <v>84</v>
      </c>
      <c r="AJ118" s="39" t="s">
        <v>84</v>
      </c>
      <c r="AK118" s="39" t="s">
        <v>84</v>
      </c>
      <c r="AL118" s="39" t="s">
        <v>84</v>
      </c>
      <c r="AM118" t="str">
        <f>VLOOKUP($R118,武学奇术!$A:$ZZ,25,FALSE)</f>
        <v>心法</v>
      </c>
      <c r="AN118" s="24">
        <f>VLOOKUP($R118,武学奇术!$A:$ZZ,26,FALSE)</f>
        <v>0</v>
      </c>
      <c r="AO118" s="25">
        <f>VLOOKUP($R118,武学奇术!$A:$ZZ,27,FALSE)*(1+IF(OR($AM118=$F$4,$AM118=$F$5),$B$22,0))</f>
        <v>0</v>
      </c>
      <c r="AP118" s="24">
        <f>VLOOKUP($R118,武学奇术!$A:$ZZ,28,FALSE)</f>
        <v>0</v>
      </c>
      <c r="AQ118" s="25">
        <f>VLOOKUP($R118,武学奇术!$A:$ZZ,29,FALSE)*(1+IF(OR($AM118=$F$4,$AM118=$F$5),$B$22,0))</f>
        <v>0</v>
      </c>
      <c r="AR118" s="24" cm="1">
        <f t="array" ref="AR118">$G$3+IFERROR(VLOOKUP($AM118,$F$4:$G$7,2,FALSE),0)+VLOOKUP($R118,武学奇术!$A:$ZZ,2,FALSE)+SUM(_xlfn.XLOOKUP($S118:$AL118,增益!$A:$A,增益!$B:$B,0))</f>
        <v>0.1042</v>
      </c>
      <c r="AS118" s="24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4274.25</v>
      </c>
      <c r="AU118" cm="1">
        <f t="array" ref="AU118">$E$10*(1+$AS118)+VLOOKUP($R118,武学奇术!$A:$ZZ,4,FALSE)+SUM(_xlfn.XLOOKUP($S118:$AL118,增益!$A:$A,增益!$D:$D,0))-$I$2</f>
        <v>4274.25</v>
      </c>
      <c r="AV118" s="31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0.1684</v>
      </c>
      <c r="AW118" s="31" cm="1">
        <f t="array" ref="AW118">$G$10+VLOOKUP($R118,武学奇术!$A:$ZZ,7,FALSE)+SUM(_xlfn.XLOOKUP($S118:$AL118,增益!$A:$A,增益!$G:$G,0))</f>
        <v>0</v>
      </c>
      <c r="AX118" s="24" cm="1">
        <f t="array" ref="AX118">VLOOKUP($R118,武学奇术!$A:$ZZ,8,FALSE)+SUM(_xlfn.XLOOKUP($S118:$AL118,增益!$A:$A,增益!$H:$H,0))</f>
        <v>0</v>
      </c>
      <c r="AY118">
        <f t="shared" si="13"/>
        <v>0</v>
      </c>
      <c r="AZ118">
        <f t="shared" si="14"/>
        <v>0</v>
      </c>
      <c r="BA118" s="31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1" cm="1">
        <f t="array" ref="BB118">$G$11+VLOOKUP($R118,武学奇术!$A:$ZZ,10,FALSE)+SUM(_xlfn.XLOOKUP($S118:$AL118,增益!$A:$A,增益!$J:$J,0))</f>
        <v>0</v>
      </c>
      <c r="BC118">
        <f t="shared" si="15"/>
        <v>0</v>
      </c>
      <c r="BD118">
        <f t="shared" si="16"/>
        <v>0</v>
      </c>
      <c r="BE118" s="31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1" cm="1">
        <f t="array" ref="BF118">$G$12+VLOOKUP($R118,武学奇术!$A:$ZZ,12,FALSE)+SUM(_xlfn.XLOOKUP($S118:$AL118,增益!$A:$A,增益!$L:$L,0))</f>
        <v>0</v>
      </c>
      <c r="BG118">
        <f t="shared" si="17"/>
        <v>0</v>
      </c>
      <c r="BH118">
        <f t="shared" si="18"/>
        <v>0</v>
      </c>
      <c r="BI118" s="31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1" cm="1">
        <f t="array" ref="BJ118">$G$13+VLOOKUP($R118,武学奇术!$A:$ZZ,14,FALSE)+SUM(_xlfn.XLOOKUP($S118:$AL118,增益!$A:$A,增益!$N:$N,0))</f>
        <v>0</v>
      </c>
      <c r="BK118">
        <f t="shared" si="19"/>
        <v>649.11</v>
      </c>
      <c r="BL118">
        <f t="shared" si="20"/>
        <v>1812.09</v>
      </c>
      <c r="BM118" s="31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1" cm="1">
        <f t="array" ref="BN118">$G$14+VLOOKUP($R118,武学奇术!$A:$ZZ,16,FALSE)+SUM(_xlfn.XLOOKUP($S118:$AL118,增益!$A:$A,增益!$P:$P,0))</f>
        <v>0.15</v>
      </c>
      <c r="BO118" s="24">
        <f>MIN(IF(VLOOKUP($R118,武学奇术!$A:$ZZ,23,FALSE)=1,100%,$B$8),100%)</f>
        <v>0.9943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0.8985</v>
      </c>
      <c r="BQ118" s="24" cm="1">
        <f t="array" ref="BQ118">1+$B$13+VLOOKUP($R118,武学奇术!$A:$ZZ,18,FALSE)+SUM(_xlfn.XLOOKUP($S118:$AL118,增益!$A:$A,增益!$R:$R,0))</f>
        <v>1.54</v>
      </c>
      <c r="BR118" s="24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21"/>
        <v>0.89337855</v>
      </c>
      <c r="BU118" s="24">
        <f t="shared" si="22"/>
        <v>0.01014186</v>
      </c>
      <c r="BV118" s="24">
        <f>IF(VLOOKUP($R118,武学奇术!$A:$ZZ,22,FALSE)=1,0,(1-$BO118))*(1-$BR118)</f>
        <v>0.00517959000000003</v>
      </c>
      <c r="BW118" s="24" cm="1">
        <f t="array" ref="BW118">SUM(_xlfn.XLOOKUP($S118:$AL118,增益!$A:$A,增益!$W:$W,0))+$I$5</f>
        <v>0.11</v>
      </c>
      <c r="BX118" s="24">
        <f>VLOOKUP($R118,武学奇术!$A:$ZZ,32,FALSE)</f>
        <v>0</v>
      </c>
      <c r="BY118" s="24" cm="1">
        <f t="array" ref="BY118">SUM(_xlfn.XLOOKUP($S118:$AL118,增益!$A:$A,增益!$X:$X,0))</f>
        <v>0</v>
      </c>
    </row>
    <row r="119" spans="11:77">
      <c r="K119" s="37">
        <f>$L119*VLOOKUP($R119,武学奇术!$A:$ZZ,31,FALSE)</f>
        <v>0</v>
      </c>
      <c r="L119" s="37">
        <f t="shared" si="25"/>
        <v>0</v>
      </c>
      <c r="M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*(1+$BX119)</f>
        <v>0</v>
      </c>
      <c r="N119" s="37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*(1+$BX119)</f>
        <v>0</v>
      </c>
      <c r="O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*(1+$BX119)</f>
        <v>0</v>
      </c>
      <c r="P119" s="37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*(1+$BX119)</f>
        <v>0</v>
      </c>
      <c r="Q119" s="38">
        <v>1</v>
      </c>
      <c r="R119" s="39" t="s">
        <v>84</v>
      </c>
      <c r="S119" s="39" t="s">
        <v>84</v>
      </c>
      <c r="T119" s="39" t="s">
        <v>84</v>
      </c>
      <c r="U119" s="39" t="s">
        <v>84</v>
      </c>
      <c r="V119" s="39" t="s">
        <v>84</v>
      </c>
      <c r="W119" s="39" t="s">
        <v>84</v>
      </c>
      <c r="X119" s="39" t="s">
        <v>84</v>
      </c>
      <c r="Y119" s="39" t="s">
        <v>84</v>
      </c>
      <c r="Z119" s="39" t="s">
        <v>84</v>
      </c>
      <c r="AA119" s="39" t="s">
        <v>84</v>
      </c>
      <c r="AB119" s="39" t="s">
        <v>84</v>
      </c>
      <c r="AC119" s="39" t="s">
        <v>84</v>
      </c>
      <c r="AD119" s="39" t="s">
        <v>84</v>
      </c>
      <c r="AE119" s="39" t="s">
        <v>84</v>
      </c>
      <c r="AF119" s="39" t="s">
        <v>88</v>
      </c>
      <c r="AG119" s="39" t="s">
        <v>84</v>
      </c>
      <c r="AH119" s="39" t="s">
        <v>84</v>
      </c>
      <c r="AI119" s="39" t="s">
        <v>84</v>
      </c>
      <c r="AJ119" s="39" t="s">
        <v>84</v>
      </c>
      <c r="AK119" s="39" t="s">
        <v>84</v>
      </c>
      <c r="AL119" s="39" t="s">
        <v>84</v>
      </c>
      <c r="AM119" t="str">
        <f>VLOOKUP($R119,武学奇术!$A:$ZZ,25,FALSE)</f>
        <v>心法</v>
      </c>
      <c r="AN119" s="24">
        <f>VLOOKUP($R119,武学奇术!$A:$ZZ,26,FALSE)</f>
        <v>0</v>
      </c>
      <c r="AO119" s="25">
        <f>VLOOKUP($R119,武学奇术!$A:$ZZ,27,FALSE)*(1+IF(OR($AM119=$F$4,$AM119=$F$5),$B$22,0))</f>
        <v>0</v>
      </c>
      <c r="AP119" s="24">
        <f>VLOOKUP($R119,武学奇术!$A:$ZZ,28,FALSE)</f>
        <v>0</v>
      </c>
      <c r="AQ119" s="25">
        <f>VLOOKUP($R119,武学奇术!$A:$ZZ,29,FALSE)*(1+IF(OR($AM119=$F$4,$AM119=$F$5),$B$22,0))</f>
        <v>0</v>
      </c>
      <c r="AR119" s="24" cm="1">
        <f t="array" ref="AR119">$G$3+IFERROR(VLOOKUP($AM119,$F$4:$G$7,2,FALSE),0)+VLOOKUP($R119,武学奇术!$A:$ZZ,2,FALSE)+SUM(_xlfn.XLOOKUP($S119:$AL119,增益!$A:$A,增益!$B:$B,0))</f>
        <v>0.1042</v>
      </c>
      <c r="AS119" s="24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4274.25</v>
      </c>
      <c r="AU119" cm="1">
        <f t="array" ref="AU119">$E$10*(1+$AS119)+VLOOKUP($R119,武学奇术!$A:$ZZ,4,FALSE)+SUM(_xlfn.XLOOKUP($S119:$AL119,增益!$A:$A,增益!$D:$D,0))-$I$2</f>
        <v>4274.25</v>
      </c>
      <c r="AV119" s="31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0.1684</v>
      </c>
      <c r="AW119" s="31" cm="1">
        <f t="array" ref="AW119">$G$10+VLOOKUP($R119,武学奇术!$A:$ZZ,7,FALSE)+SUM(_xlfn.XLOOKUP($S119:$AL119,增益!$A:$A,增益!$G:$G,0))</f>
        <v>0</v>
      </c>
      <c r="AX119" s="24" cm="1">
        <f t="array" ref="AX119">VLOOKUP($R119,武学奇术!$A:$ZZ,8,FALSE)+SUM(_xlfn.XLOOKUP($S119:$AL119,增益!$A:$A,增益!$H:$H,0))</f>
        <v>0</v>
      </c>
      <c r="AY119">
        <f t="shared" si="13"/>
        <v>0</v>
      </c>
      <c r="AZ119">
        <f t="shared" si="14"/>
        <v>0</v>
      </c>
      <c r="BA119" s="31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1" cm="1">
        <f t="array" ref="BB119">$G$11+VLOOKUP($R119,武学奇术!$A:$ZZ,10,FALSE)+SUM(_xlfn.XLOOKUP($S119:$AL119,增益!$A:$A,增益!$J:$J,0))</f>
        <v>0</v>
      </c>
      <c r="BC119">
        <f t="shared" si="15"/>
        <v>0</v>
      </c>
      <c r="BD119">
        <f t="shared" si="16"/>
        <v>0</v>
      </c>
      <c r="BE119" s="31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1" cm="1">
        <f t="array" ref="BF119">$G$12+VLOOKUP($R119,武学奇术!$A:$ZZ,12,FALSE)+SUM(_xlfn.XLOOKUP($S119:$AL119,增益!$A:$A,增益!$L:$L,0))</f>
        <v>0</v>
      </c>
      <c r="BG119">
        <f t="shared" si="17"/>
        <v>0</v>
      </c>
      <c r="BH119">
        <f t="shared" si="18"/>
        <v>0</v>
      </c>
      <c r="BI119" s="31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1" cm="1">
        <f t="array" ref="BJ119">$G$13+VLOOKUP($R119,武学奇术!$A:$ZZ,14,FALSE)+SUM(_xlfn.XLOOKUP($S119:$AL119,增益!$A:$A,增益!$N:$N,0))</f>
        <v>0</v>
      </c>
      <c r="BK119">
        <f t="shared" si="19"/>
        <v>649.11</v>
      </c>
      <c r="BL119">
        <f t="shared" si="20"/>
        <v>1812.09</v>
      </c>
      <c r="BM119" s="31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1" cm="1">
        <f t="array" ref="BN119">$G$14+VLOOKUP($R119,武学奇术!$A:$ZZ,16,FALSE)+SUM(_xlfn.XLOOKUP($S119:$AL119,增益!$A:$A,增益!$P:$P,0))</f>
        <v>0.15</v>
      </c>
      <c r="BO119" s="24">
        <f>MIN(IF(VLOOKUP($R119,武学奇术!$A:$ZZ,23,FALSE)=1,100%,$B$8),100%)</f>
        <v>0.9943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0.8985</v>
      </c>
      <c r="BQ119" s="24" cm="1">
        <f t="array" ref="BQ119">1+$B$13+VLOOKUP($R119,武学奇术!$A:$ZZ,18,FALSE)+SUM(_xlfn.XLOOKUP($S119:$AL119,增益!$A:$A,增益!$R:$R,0))</f>
        <v>1.54</v>
      </c>
      <c r="BR119" s="24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21"/>
        <v>0.89337855</v>
      </c>
      <c r="BU119" s="24">
        <f t="shared" si="22"/>
        <v>0.01014186</v>
      </c>
      <c r="BV119" s="24">
        <f>IF(VLOOKUP($R119,武学奇术!$A:$ZZ,22,FALSE)=1,0,(1-$BO119))*(1-$BR119)</f>
        <v>0.00517959000000003</v>
      </c>
      <c r="BW119" s="24" cm="1">
        <f t="array" ref="BW119">SUM(_xlfn.XLOOKUP($S119:$AL119,增益!$A:$A,增益!$W:$W,0))+$I$5</f>
        <v>0.11</v>
      </c>
      <c r="BX119" s="24">
        <f>VLOOKUP($R119,武学奇术!$A:$ZZ,32,FALSE)</f>
        <v>0</v>
      </c>
      <c r="BY119" s="24" cm="1">
        <f t="array" ref="BY119">SUM(_xlfn.XLOOKUP($S119:$AL119,增益!$A:$A,增益!$X:$X,0))</f>
        <v>0</v>
      </c>
    </row>
    <row r="120" spans="11:77">
      <c r="K120" s="37">
        <f>$L120*VLOOKUP($R120,武学奇术!$A:$ZZ,31,FALSE)</f>
        <v>0</v>
      </c>
      <c r="L120" s="37">
        <f t="shared" si="25"/>
        <v>0</v>
      </c>
      <c r="M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*(1+$BX120)</f>
        <v>0</v>
      </c>
      <c r="N120" s="37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*(1+$BX120)</f>
        <v>0</v>
      </c>
      <c r="O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*(1+$BX120)</f>
        <v>0</v>
      </c>
      <c r="P120" s="37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*(1+$BX120)</f>
        <v>0</v>
      </c>
      <c r="Q120" s="38">
        <v>1</v>
      </c>
      <c r="R120" s="39" t="s">
        <v>84</v>
      </c>
      <c r="S120" s="39" t="s">
        <v>84</v>
      </c>
      <c r="T120" s="39" t="s">
        <v>84</v>
      </c>
      <c r="U120" s="39" t="s">
        <v>84</v>
      </c>
      <c r="V120" s="39" t="s">
        <v>84</v>
      </c>
      <c r="W120" s="39" t="s">
        <v>84</v>
      </c>
      <c r="X120" s="39" t="s">
        <v>84</v>
      </c>
      <c r="Y120" s="39" t="s">
        <v>84</v>
      </c>
      <c r="Z120" s="39" t="s">
        <v>84</v>
      </c>
      <c r="AA120" s="39" t="s">
        <v>84</v>
      </c>
      <c r="AB120" s="39" t="s">
        <v>84</v>
      </c>
      <c r="AC120" s="39" t="s">
        <v>84</v>
      </c>
      <c r="AD120" s="39" t="s">
        <v>84</v>
      </c>
      <c r="AE120" s="39" t="s">
        <v>84</v>
      </c>
      <c r="AF120" s="39" t="s">
        <v>88</v>
      </c>
      <c r="AG120" s="39" t="s">
        <v>84</v>
      </c>
      <c r="AH120" s="39" t="s">
        <v>84</v>
      </c>
      <c r="AI120" s="39" t="s">
        <v>84</v>
      </c>
      <c r="AJ120" s="39" t="s">
        <v>84</v>
      </c>
      <c r="AK120" s="39" t="s">
        <v>84</v>
      </c>
      <c r="AL120" s="39" t="s">
        <v>84</v>
      </c>
      <c r="AM120" t="str">
        <f>VLOOKUP($R120,武学奇术!$A:$ZZ,25,FALSE)</f>
        <v>心法</v>
      </c>
      <c r="AN120" s="24">
        <f>VLOOKUP($R120,武学奇术!$A:$ZZ,26,FALSE)</f>
        <v>0</v>
      </c>
      <c r="AO120" s="25">
        <f>VLOOKUP($R120,武学奇术!$A:$ZZ,27,FALSE)*(1+IF(OR($AM120=$F$4,$AM120=$F$5),$B$22,0))</f>
        <v>0</v>
      </c>
      <c r="AP120" s="24">
        <f>VLOOKUP($R120,武学奇术!$A:$ZZ,28,FALSE)</f>
        <v>0</v>
      </c>
      <c r="AQ120" s="25">
        <f>VLOOKUP($R120,武学奇术!$A:$ZZ,29,FALSE)*(1+IF(OR($AM120=$F$4,$AM120=$F$5),$B$22,0))</f>
        <v>0</v>
      </c>
      <c r="AR120" s="24" cm="1">
        <f t="array" ref="AR120">$G$3+IFERROR(VLOOKUP($AM120,$F$4:$G$7,2,FALSE),0)+VLOOKUP($R120,武学奇术!$A:$ZZ,2,FALSE)+SUM(_xlfn.XLOOKUP($S120:$AL120,增益!$A:$A,增益!$B:$B,0))</f>
        <v>0.1042</v>
      </c>
      <c r="AS120" s="24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4274.25</v>
      </c>
      <c r="AU120" cm="1">
        <f t="array" ref="AU120">$E$10*(1+$AS120)+VLOOKUP($R120,武学奇术!$A:$ZZ,4,FALSE)+SUM(_xlfn.XLOOKUP($S120:$AL120,增益!$A:$A,增益!$D:$D,0))-$I$2</f>
        <v>4274.25</v>
      </c>
      <c r="AV120" s="31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0.1684</v>
      </c>
      <c r="AW120" s="31" cm="1">
        <f t="array" ref="AW120">$G$10+VLOOKUP($R120,武学奇术!$A:$ZZ,7,FALSE)+SUM(_xlfn.XLOOKUP($S120:$AL120,增益!$A:$A,增益!$G:$G,0))</f>
        <v>0</v>
      </c>
      <c r="AX120" s="24" cm="1">
        <f t="array" ref="AX120">VLOOKUP($R120,武学奇术!$A:$ZZ,8,FALSE)+SUM(_xlfn.XLOOKUP($S120:$AL120,增益!$A:$A,增益!$H:$H,0))</f>
        <v>0</v>
      </c>
      <c r="AY120">
        <f t="shared" si="13"/>
        <v>0</v>
      </c>
      <c r="AZ120">
        <f t="shared" si="14"/>
        <v>0</v>
      </c>
      <c r="BA120" s="31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1" cm="1">
        <f t="array" ref="BB120">$G$11+VLOOKUP($R120,武学奇术!$A:$ZZ,10,FALSE)+SUM(_xlfn.XLOOKUP($S120:$AL120,增益!$A:$A,增益!$J:$J,0))</f>
        <v>0</v>
      </c>
      <c r="BC120">
        <f t="shared" si="15"/>
        <v>0</v>
      </c>
      <c r="BD120">
        <f t="shared" si="16"/>
        <v>0</v>
      </c>
      <c r="BE120" s="31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1" cm="1">
        <f t="array" ref="BF120">$G$12+VLOOKUP($R120,武学奇术!$A:$ZZ,12,FALSE)+SUM(_xlfn.XLOOKUP($S120:$AL120,增益!$A:$A,增益!$L:$L,0))</f>
        <v>0</v>
      </c>
      <c r="BG120">
        <f t="shared" si="17"/>
        <v>0</v>
      </c>
      <c r="BH120">
        <f t="shared" si="18"/>
        <v>0</v>
      </c>
      <c r="BI120" s="31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1" cm="1">
        <f t="array" ref="BJ120">$G$13+VLOOKUP($R120,武学奇术!$A:$ZZ,14,FALSE)+SUM(_xlfn.XLOOKUP($S120:$AL120,增益!$A:$A,增益!$N:$N,0))</f>
        <v>0</v>
      </c>
      <c r="BK120">
        <f t="shared" si="19"/>
        <v>649.11</v>
      </c>
      <c r="BL120">
        <f t="shared" si="20"/>
        <v>1812.09</v>
      </c>
      <c r="BM120" s="31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1" cm="1">
        <f t="array" ref="BN120">$G$14+VLOOKUP($R120,武学奇术!$A:$ZZ,16,FALSE)+SUM(_xlfn.XLOOKUP($S120:$AL120,增益!$A:$A,增益!$P:$P,0))</f>
        <v>0.15</v>
      </c>
      <c r="BO120" s="24">
        <f>MIN(IF(VLOOKUP($R120,武学奇术!$A:$ZZ,23,FALSE)=1,100%,$B$8),100%)</f>
        <v>0.9943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0.8985</v>
      </c>
      <c r="BQ120" s="24" cm="1">
        <f t="array" ref="BQ120">1+$B$13+VLOOKUP($R120,武学奇术!$A:$ZZ,18,FALSE)+SUM(_xlfn.XLOOKUP($S120:$AL120,增益!$A:$A,增益!$R:$R,0))</f>
        <v>1.54</v>
      </c>
      <c r="BR120" s="24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21"/>
        <v>0.89337855</v>
      </c>
      <c r="BU120" s="24">
        <f t="shared" si="22"/>
        <v>0.01014186</v>
      </c>
      <c r="BV120" s="24">
        <f>IF(VLOOKUP($R120,武学奇术!$A:$ZZ,22,FALSE)=1,0,(1-$BO120))*(1-$BR120)</f>
        <v>0.00517959000000003</v>
      </c>
      <c r="BW120" s="24" cm="1">
        <f t="array" ref="BW120">SUM(_xlfn.XLOOKUP($S120:$AL120,增益!$A:$A,增益!$W:$W,0))+$I$5</f>
        <v>0.11</v>
      </c>
      <c r="BX120" s="24">
        <f>VLOOKUP($R120,武学奇术!$A:$ZZ,32,FALSE)</f>
        <v>0</v>
      </c>
      <c r="BY120" s="24" cm="1">
        <f t="array" ref="BY120">SUM(_xlfn.XLOOKUP($S120:$AL120,增益!$A:$A,增益!$X:$X,0))</f>
        <v>0</v>
      </c>
    </row>
    <row r="121" spans="11:77">
      <c r="K121" s="37">
        <f>$L121*VLOOKUP($R121,武学奇术!$A:$ZZ,31,FALSE)</f>
        <v>0</v>
      </c>
      <c r="L121" s="37">
        <f t="shared" si="25"/>
        <v>0</v>
      </c>
      <c r="M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*(1+$BX121)</f>
        <v>0</v>
      </c>
      <c r="N121" s="37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*(1+$BX121)</f>
        <v>0</v>
      </c>
      <c r="O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*(1+$BX121)</f>
        <v>0</v>
      </c>
      <c r="P121" s="37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*(1+$BX121)</f>
        <v>0</v>
      </c>
      <c r="Q121" s="38">
        <v>1</v>
      </c>
      <c r="R121" s="39" t="s">
        <v>84</v>
      </c>
      <c r="S121" s="39" t="s">
        <v>84</v>
      </c>
      <c r="T121" s="39" t="s">
        <v>84</v>
      </c>
      <c r="U121" s="39" t="s">
        <v>84</v>
      </c>
      <c r="V121" s="39" t="s">
        <v>84</v>
      </c>
      <c r="W121" s="39" t="s">
        <v>84</v>
      </c>
      <c r="X121" s="39" t="s">
        <v>84</v>
      </c>
      <c r="Y121" s="39" t="s">
        <v>84</v>
      </c>
      <c r="Z121" s="39" t="s">
        <v>84</v>
      </c>
      <c r="AA121" s="39" t="s">
        <v>84</v>
      </c>
      <c r="AB121" s="39" t="s">
        <v>84</v>
      </c>
      <c r="AC121" s="39" t="s">
        <v>84</v>
      </c>
      <c r="AD121" s="39" t="s">
        <v>84</v>
      </c>
      <c r="AE121" s="39" t="s">
        <v>84</v>
      </c>
      <c r="AF121" s="39" t="s">
        <v>88</v>
      </c>
      <c r="AG121" s="39" t="s">
        <v>84</v>
      </c>
      <c r="AH121" s="39" t="s">
        <v>84</v>
      </c>
      <c r="AI121" s="39" t="s">
        <v>84</v>
      </c>
      <c r="AJ121" s="39" t="s">
        <v>84</v>
      </c>
      <c r="AK121" s="39" t="s">
        <v>84</v>
      </c>
      <c r="AL121" s="39" t="s">
        <v>84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VLOOKUP($R121,武学奇术!$A:$ZZ,27,FALSE)*(1+IF(OR($AM121=$F$4,$AM121=$F$5),$B$22,0))</f>
        <v>0</v>
      </c>
      <c r="AP121" s="24">
        <f>VLOOKUP($R121,武学奇术!$A:$ZZ,28,FALSE)</f>
        <v>0</v>
      </c>
      <c r="AQ121" s="25">
        <f>VLOOKUP($R121,武学奇术!$A:$ZZ,29,FALSE)*(1+IF(OR($AM121=$F$4,$AM121=$F$5),$B$22,0))</f>
        <v>0</v>
      </c>
      <c r="AR121" s="24" cm="1">
        <f t="array" ref="AR121">$G$3+IFERROR(VLOOKUP($AM121,$F$4:$G$7,2,FALSE),0)+VLOOKUP($R121,武学奇术!$A:$ZZ,2,FALSE)+SUM(_xlfn.XLOOKUP($S121:$AL121,增益!$A:$A,增益!$B:$B,0))</f>
        <v>0.1042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4274.25</v>
      </c>
      <c r="AU121" cm="1">
        <f t="array" ref="AU121">$E$10*(1+$AS121)+VLOOKUP($R121,武学奇术!$A:$ZZ,4,FALSE)+SUM(_xlfn.XLOOKUP($S121:$AL121,增益!$A:$A,增益!$D:$D,0))-$I$2</f>
        <v>4274.25</v>
      </c>
      <c r="AV121" s="31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0.1684</v>
      </c>
      <c r="AW121" s="31" cm="1">
        <f t="array" ref="AW121">$G$10+VLOOKUP($R121,武学奇术!$A:$ZZ,7,FALSE)+SUM(_xlfn.XLOOKUP($S121:$AL121,增益!$A:$A,增益!$G:$G,0))</f>
        <v>0</v>
      </c>
      <c r="AX121" s="24" cm="1">
        <f t="array" ref="AX121">VLOOKUP($R121,武学奇术!$A:$ZZ,8,FALSE)+SUM(_xlfn.XLOOKUP($S121:$AL121,增益!$A:$A,增益!$H:$H,0))</f>
        <v>0</v>
      </c>
      <c r="AY121">
        <f t="shared" si="13"/>
        <v>0</v>
      </c>
      <c r="AZ121">
        <f t="shared" si="14"/>
        <v>0</v>
      </c>
      <c r="BA121" s="31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1" cm="1">
        <f t="array" ref="BB121">$G$11+VLOOKUP($R121,武学奇术!$A:$ZZ,10,FALSE)+SUM(_xlfn.XLOOKUP($S121:$AL121,增益!$A:$A,增益!$J:$J,0))</f>
        <v>0</v>
      </c>
      <c r="BC121">
        <f t="shared" si="15"/>
        <v>0</v>
      </c>
      <c r="BD121">
        <f t="shared" si="16"/>
        <v>0</v>
      </c>
      <c r="BE121" s="31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1" cm="1">
        <f t="array" ref="BF121">$G$12+VLOOKUP($R121,武学奇术!$A:$ZZ,12,FALSE)+SUM(_xlfn.XLOOKUP($S121:$AL121,增益!$A:$A,增益!$L:$L,0))</f>
        <v>0</v>
      </c>
      <c r="BG121">
        <f t="shared" si="17"/>
        <v>0</v>
      </c>
      <c r="BH121">
        <f t="shared" si="18"/>
        <v>0</v>
      </c>
      <c r="BI121" s="31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1" cm="1">
        <f t="array" ref="BJ121">$G$13+VLOOKUP($R121,武学奇术!$A:$ZZ,14,FALSE)+SUM(_xlfn.XLOOKUP($S121:$AL121,增益!$A:$A,增益!$N:$N,0))</f>
        <v>0</v>
      </c>
      <c r="BK121">
        <f t="shared" si="19"/>
        <v>649.11</v>
      </c>
      <c r="BL121">
        <f t="shared" si="20"/>
        <v>1812.09</v>
      </c>
      <c r="BM121" s="31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1" cm="1">
        <f t="array" ref="BN121">$G$14+VLOOKUP($R121,武学奇术!$A:$ZZ,16,FALSE)+SUM(_xlfn.XLOOKUP($S121:$AL121,增益!$A:$A,增益!$P:$P,0))</f>
        <v>0.15</v>
      </c>
      <c r="BO121" s="24">
        <f>MIN(IF(VLOOKUP($R121,武学奇术!$A:$ZZ,23,FALSE)=1,100%,$B$8),100%)</f>
        <v>0.9943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0.8985</v>
      </c>
      <c r="BQ121" s="24" cm="1">
        <f t="array" ref="BQ121">1+$B$13+VLOOKUP($R121,武学奇术!$A:$ZZ,18,FALSE)+SUM(_xlfn.XLOOKUP($S121:$AL121,增益!$A:$A,增益!$R:$R,0))</f>
        <v>1.54</v>
      </c>
      <c r="BR121" s="24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21"/>
        <v>0.89337855</v>
      </c>
      <c r="BU121" s="24">
        <f t="shared" si="22"/>
        <v>0.01014186</v>
      </c>
      <c r="BV121" s="24">
        <f>IF(VLOOKUP($R121,武学奇术!$A:$ZZ,22,FALSE)=1,0,(1-$BO121))*(1-$BR121)</f>
        <v>0.00517959000000003</v>
      </c>
      <c r="BW121" s="24" cm="1">
        <f t="array" ref="BW121">SUM(_xlfn.XLOOKUP($S121:$AL121,增益!$A:$A,增益!$W:$W,0))+$I$5</f>
        <v>0.11</v>
      </c>
      <c r="BX121" s="24">
        <f>VLOOKUP($R121,武学奇术!$A:$ZZ,32,FALSE)</f>
        <v>0</v>
      </c>
      <c r="BY121" s="24" cm="1">
        <f t="array" ref="BY121">SUM(_xlfn.XLOOKUP($S121:$AL121,增益!$A:$A,增益!$X:$X,0))</f>
        <v>0</v>
      </c>
    </row>
    <row r="122" spans="11:77">
      <c r="K122" s="37">
        <f>$L122*VLOOKUP($R122,武学奇术!$A:$ZZ,31,FALSE)</f>
        <v>0</v>
      </c>
      <c r="L122" s="37">
        <f t="shared" si="25"/>
        <v>0</v>
      </c>
      <c r="M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*(1+$BX122)</f>
        <v>0</v>
      </c>
      <c r="N122" s="37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*(1+$BX122)</f>
        <v>0</v>
      </c>
      <c r="O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*(1+$BX122)</f>
        <v>0</v>
      </c>
      <c r="P122" s="37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*(1+$BX122)</f>
        <v>0</v>
      </c>
      <c r="Q122" s="38">
        <v>1</v>
      </c>
      <c r="R122" s="39" t="s">
        <v>84</v>
      </c>
      <c r="S122" s="39" t="s">
        <v>84</v>
      </c>
      <c r="T122" s="39" t="s">
        <v>84</v>
      </c>
      <c r="U122" s="39" t="s">
        <v>84</v>
      </c>
      <c r="V122" s="39" t="s">
        <v>84</v>
      </c>
      <c r="W122" s="39" t="s">
        <v>84</v>
      </c>
      <c r="X122" s="39" t="s">
        <v>84</v>
      </c>
      <c r="Y122" s="39" t="s">
        <v>84</v>
      </c>
      <c r="Z122" s="39" t="s">
        <v>84</v>
      </c>
      <c r="AA122" s="39" t="s">
        <v>84</v>
      </c>
      <c r="AB122" s="39" t="s">
        <v>84</v>
      </c>
      <c r="AC122" s="39" t="s">
        <v>84</v>
      </c>
      <c r="AD122" s="39" t="s">
        <v>84</v>
      </c>
      <c r="AE122" s="39" t="s">
        <v>84</v>
      </c>
      <c r="AF122" s="39" t="s">
        <v>88</v>
      </c>
      <c r="AG122" s="39" t="s">
        <v>84</v>
      </c>
      <c r="AH122" s="39" t="s">
        <v>84</v>
      </c>
      <c r="AI122" s="39" t="s">
        <v>84</v>
      </c>
      <c r="AJ122" s="39" t="s">
        <v>84</v>
      </c>
      <c r="AK122" s="39" t="s">
        <v>84</v>
      </c>
      <c r="AL122" s="39" t="s">
        <v>84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VLOOKUP($R122,武学奇术!$A:$ZZ,27,FALSE)*(1+IF(OR($AM122=$F$4,$AM122=$F$5),$B$22,0))</f>
        <v>0</v>
      </c>
      <c r="AP122" s="24">
        <f>VLOOKUP($R122,武学奇术!$A:$ZZ,28,FALSE)</f>
        <v>0</v>
      </c>
      <c r="AQ122" s="25">
        <f>VLOOKUP($R122,武学奇术!$A:$ZZ,29,FALSE)*(1+IF(OR($AM122=$F$4,$AM122=$F$5),$B$22,0))</f>
        <v>0</v>
      </c>
      <c r="AR122" s="24" cm="1">
        <f t="array" ref="AR122">$G$3+IFERROR(VLOOKUP($AM122,$F$4:$G$7,2,FALSE),0)+VLOOKUP($R122,武学奇术!$A:$ZZ,2,FALSE)+SUM(_xlfn.XLOOKUP($S122:$AL122,增益!$A:$A,增益!$B:$B,0))</f>
        <v>0.1042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4274.25</v>
      </c>
      <c r="AU122" cm="1">
        <f t="array" ref="AU122">$E$10*(1+$AS122)+VLOOKUP($R122,武学奇术!$A:$ZZ,4,FALSE)+SUM(_xlfn.XLOOKUP($S122:$AL122,增益!$A:$A,增益!$D:$D,0))-$I$2</f>
        <v>4274.25</v>
      </c>
      <c r="AV122" s="31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0.1684</v>
      </c>
      <c r="AW122" s="31" cm="1">
        <f t="array" ref="AW122">$G$10+VLOOKUP($R122,武学奇术!$A:$ZZ,7,FALSE)+SUM(_xlfn.XLOOKUP($S122:$AL122,增益!$A:$A,增益!$G:$G,0))</f>
        <v>0</v>
      </c>
      <c r="AX122" s="24" cm="1">
        <f t="array" ref="AX122">VLOOKUP($R122,武学奇术!$A:$ZZ,8,FALSE)+SUM(_xlfn.XLOOKUP($S122:$AL122,增益!$A:$A,增益!$H:$H,0))</f>
        <v>0</v>
      </c>
      <c r="AY122">
        <f t="shared" si="13"/>
        <v>0</v>
      </c>
      <c r="AZ122">
        <f t="shared" si="14"/>
        <v>0</v>
      </c>
      <c r="BA122" s="31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1" cm="1">
        <f t="array" ref="BB122">$G$11+VLOOKUP($R122,武学奇术!$A:$ZZ,10,FALSE)+SUM(_xlfn.XLOOKUP($S122:$AL122,增益!$A:$A,增益!$J:$J,0))</f>
        <v>0</v>
      </c>
      <c r="BC122">
        <f t="shared" si="15"/>
        <v>0</v>
      </c>
      <c r="BD122">
        <f t="shared" si="16"/>
        <v>0</v>
      </c>
      <c r="BE122" s="31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1" cm="1">
        <f t="array" ref="BF122">$G$12+VLOOKUP($R122,武学奇术!$A:$ZZ,12,FALSE)+SUM(_xlfn.XLOOKUP($S122:$AL122,增益!$A:$A,增益!$L:$L,0))</f>
        <v>0</v>
      </c>
      <c r="BG122">
        <f t="shared" si="17"/>
        <v>0</v>
      </c>
      <c r="BH122">
        <f t="shared" si="18"/>
        <v>0</v>
      </c>
      <c r="BI122" s="31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1" cm="1">
        <f t="array" ref="BJ122">$G$13+VLOOKUP($R122,武学奇术!$A:$ZZ,14,FALSE)+SUM(_xlfn.XLOOKUP($S122:$AL122,增益!$A:$A,增益!$N:$N,0))</f>
        <v>0</v>
      </c>
      <c r="BK122">
        <f t="shared" si="19"/>
        <v>649.11</v>
      </c>
      <c r="BL122">
        <f t="shared" si="20"/>
        <v>1812.09</v>
      </c>
      <c r="BM122" s="31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1" cm="1">
        <f t="array" ref="BN122">$G$14+VLOOKUP($R122,武学奇术!$A:$ZZ,16,FALSE)+SUM(_xlfn.XLOOKUP($S122:$AL122,增益!$A:$A,增益!$P:$P,0))</f>
        <v>0.15</v>
      </c>
      <c r="BO122" s="24">
        <f>MIN(IF(VLOOKUP($R122,武学奇术!$A:$ZZ,23,FALSE)=1,100%,$B$8),100%)</f>
        <v>0.9943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0.8985</v>
      </c>
      <c r="BQ122" s="24" cm="1">
        <f t="array" ref="BQ122">1+$B$13+VLOOKUP($R122,武学奇术!$A:$ZZ,18,FALSE)+SUM(_xlfn.XLOOKUP($S122:$AL122,增益!$A:$A,增益!$R:$R,0))</f>
        <v>1.54</v>
      </c>
      <c r="BR122" s="24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21"/>
        <v>0.89337855</v>
      </c>
      <c r="BU122" s="24">
        <f t="shared" si="22"/>
        <v>0.01014186</v>
      </c>
      <c r="BV122" s="24">
        <f>IF(VLOOKUP($R122,武学奇术!$A:$ZZ,22,FALSE)=1,0,(1-$BO122))*(1-$BR122)</f>
        <v>0.00517959000000003</v>
      </c>
      <c r="BW122" s="24" cm="1">
        <f t="array" ref="BW122">SUM(_xlfn.XLOOKUP($S122:$AL122,增益!$A:$A,增益!$W:$W,0))+$I$5</f>
        <v>0.11</v>
      </c>
      <c r="BX122" s="24">
        <f>VLOOKUP($R122,武学奇术!$A:$ZZ,32,FALSE)</f>
        <v>0</v>
      </c>
      <c r="BY122" s="24" cm="1">
        <f t="array" ref="BY122">SUM(_xlfn.XLOOKUP($S122:$AL122,增益!$A:$A,增益!$X:$X,0))</f>
        <v>0</v>
      </c>
    </row>
    <row r="123" spans="11:77">
      <c r="K123" s="37">
        <f>$L123*VLOOKUP($R123,武学奇术!$A:$ZZ,31,FALSE)</f>
        <v>0</v>
      </c>
      <c r="L123" s="37">
        <f t="shared" si="25"/>
        <v>0</v>
      </c>
      <c r="M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*(1+$BX123)</f>
        <v>0</v>
      </c>
      <c r="N123" s="37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*(1+$BX123)</f>
        <v>0</v>
      </c>
      <c r="O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*(1+$BX123)</f>
        <v>0</v>
      </c>
      <c r="P123" s="37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*(1+$BX123)</f>
        <v>0</v>
      </c>
      <c r="Q123" s="38">
        <v>1</v>
      </c>
      <c r="R123" s="39" t="s">
        <v>84</v>
      </c>
      <c r="S123" s="39" t="s">
        <v>84</v>
      </c>
      <c r="T123" s="39" t="s">
        <v>84</v>
      </c>
      <c r="U123" s="39" t="s">
        <v>84</v>
      </c>
      <c r="V123" s="39" t="s">
        <v>84</v>
      </c>
      <c r="W123" s="39" t="s">
        <v>84</v>
      </c>
      <c r="X123" s="39" t="s">
        <v>84</v>
      </c>
      <c r="Y123" s="39" t="s">
        <v>84</v>
      </c>
      <c r="Z123" s="39" t="s">
        <v>84</v>
      </c>
      <c r="AA123" s="39" t="s">
        <v>84</v>
      </c>
      <c r="AB123" s="39" t="s">
        <v>84</v>
      </c>
      <c r="AC123" s="39" t="s">
        <v>84</v>
      </c>
      <c r="AD123" s="39" t="s">
        <v>84</v>
      </c>
      <c r="AE123" s="39" t="s">
        <v>84</v>
      </c>
      <c r="AF123" s="39" t="s">
        <v>88</v>
      </c>
      <c r="AG123" s="39" t="s">
        <v>84</v>
      </c>
      <c r="AH123" s="39" t="s">
        <v>84</v>
      </c>
      <c r="AI123" s="39" t="s">
        <v>84</v>
      </c>
      <c r="AJ123" s="39" t="s">
        <v>84</v>
      </c>
      <c r="AK123" s="39" t="s">
        <v>84</v>
      </c>
      <c r="AL123" s="39" t="s">
        <v>84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VLOOKUP($R123,武学奇术!$A:$ZZ,27,FALSE)*(1+IF(OR($AM123=$F$4,$AM123=$F$5),$B$22,0))</f>
        <v>0</v>
      </c>
      <c r="AP123" s="24">
        <f>VLOOKUP($R123,武学奇术!$A:$ZZ,28,FALSE)</f>
        <v>0</v>
      </c>
      <c r="AQ123" s="25">
        <f>VLOOKUP($R123,武学奇术!$A:$ZZ,29,FALSE)*(1+IF(OR($AM123=$F$4,$AM123=$F$5),$B$22,0))</f>
        <v>0</v>
      </c>
      <c r="AR123" s="24" cm="1">
        <f t="array" ref="AR123">$G$3+IFERROR(VLOOKUP($AM123,$F$4:$G$7,2,FALSE),0)+VLOOKUP($R123,武学奇术!$A:$ZZ,2,FALSE)+SUM(_xlfn.XLOOKUP($S123:$AL123,增益!$A:$A,增益!$B:$B,0))</f>
        <v>0.1042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4274.25</v>
      </c>
      <c r="AU123" cm="1">
        <f t="array" ref="AU123">$E$10*(1+$AS123)+VLOOKUP($R123,武学奇术!$A:$ZZ,4,FALSE)+SUM(_xlfn.XLOOKUP($S123:$AL123,增益!$A:$A,增益!$D:$D,0))-$I$2</f>
        <v>4274.25</v>
      </c>
      <c r="AV123" s="31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0.1684</v>
      </c>
      <c r="AW123" s="31" cm="1">
        <f t="array" ref="AW123">$G$10+VLOOKUP($R123,武学奇术!$A:$ZZ,7,FALSE)+SUM(_xlfn.XLOOKUP($S123:$AL123,增益!$A:$A,增益!$G:$G,0))</f>
        <v>0</v>
      </c>
      <c r="AX123" s="24" cm="1">
        <f t="array" ref="AX123">VLOOKUP($R123,武学奇术!$A:$ZZ,8,FALSE)+SUM(_xlfn.XLOOKUP($S123:$AL123,增益!$A:$A,增益!$H:$H,0))</f>
        <v>0</v>
      </c>
      <c r="AY123">
        <f t="shared" si="13"/>
        <v>0</v>
      </c>
      <c r="AZ123">
        <f t="shared" si="14"/>
        <v>0</v>
      </c>
      <c r="BA123" s="31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1" cm="1">
        <f t="array" ref="BB123">$G$11+VLOOKUP($R123,武学奇术!$A:$ZZ,10,FALSE)+SUM(_xlfn.XLOOKUP($S123:$AL123,增益!$A:$A,增益!$J:$J,0))</f>
        <v>0</v>
      </c>
      <c r="BC123">
        <f t="shared" si="15"/>
        <v>0</v>
      </c>
      <c r="BD123">
        <f t="shared" si="16"/>
        <v>0</v>
      </c>
      <c r="BE123" s="31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1" cm="1">
        <f t="array" ref="BF123">$G$12+VLOOKUP($R123,武学奇术!$A:$ZZ,12,FALSE)+SUM(_xlfn.XLOOKUP($S123:$AL123,增益!$A:$A,增益!$L:$L,0))</f>
        <v>0</v>
      </c>
      <c r="BG123">
        <f t="shared" si="17"/>
        <v>0</v>
      </c>
      <c r="BH123">
        <f t="shared" si="18"/>
        <v>0</v>
      </c>
      <c r="BI123" s="31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1" cm="1">
        <f t="array" ref="BJ123">$G$13+VLOOKUP($R123,武学奇术!$A:$ZZ,14,FALSE)+SUM(_xlfn.XLOOKUP($S123:$AL123,增益!$A:$A,增益!$N:$N,0))</f>
        <v>0</v>
      </c>
      <c r="BK123">
        <f t="shared" si="19"/>
        <v>649.11</v>
      </c>
      <c r="BL123">
        <f t="shared" si="20"/>
        <v>1812.09</v>
      </c>
      <c r="BM123" s="31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1" cm="1">
        <f t="array" ref="BN123">$G$14+VLOOKUP($R123,武学奇术!$A:$ZZ,16,FALSE)+SUM(_xlfn.XLOOKUP($S123:$AL123,增益!$A:$A,增益!$P:$P,0))</f>
        <v>0.15</v>
      </c>
      <c r="BO123" s="24">
        <f>MIN(IF(VLOOKUP($R123,武学奇术!$A:$ZZ,23,FALSE)=1,100%,$B$8),100%)</f>
        <v>0.9943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0.8985</v>
      </c>
      <c r="BQ123" s="24" cm="1">
        <f t="array" ref="BQ123">1+$B$13+VLOOKUP($R123,武学奇术!$A:$ZZ,18,FALSE)+SUM(_xlfn.XLOOKUP($S123:$AL123,增益!$A:$A,增益!$R:$R,0))</f>
        <v>1.54</v>
      </c>
      <c r="BR123" s="24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21"/>
        <v>0.89337855</v>
      </c>
      <c r="BU123" s="24">
        <f t="shared" si="22"/>
        <v>0.01014186</v>
      </c>
      <c r="BV123" s="24">
        <f>IF(VLOOKUP($R123,武学奇术!$A:$ZZ,22,FALSE)=1,0,(1-$BO123))*(1-$BR123)</f>
        <v>0.00517959000000003</v>
      </c>
      <c r="BW123" s="24" cm="1">
        <f t="array" ref="BW123">SUM(_xlfn.XLOOKUP($S123:$AL123,增益!$A:$A,增益!$W:$W,0))+$I$5</f>
        <v>0.11</v>
      </c>
      <c r="BX123" s="24">
        <f>VLOOKUP($R123,武学奇术!$A:$ZZ,32,FALSE)</f>
        <v>0</v>
      </c>
      <c r="BY123" s="24" cm="1">
        <f t="array" ref="BY123">SUM(_xlfn.XLOOKUP($S123:$AL123,增益!$A:$A,增益!$X:$X,0))</f>
        <v>0</v>
      </c>
    </row>
    <row r="124" spans="11:77">
      <c r="K124" s="37">
        <f>$L124*VLOOKUP($R124,武学奇术!$A:$ZZ,31,FALSE)</f>
        <v>0</v>
      </c>
      <c r="L124" s="37">
        <f t="shared" si="25"/>
        <v>0</v>
      </c>
      <c r="M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*(1+$BX124)</f>
        <v>0</v>
      </c>
      <c r="N124" s="37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*(1+$BX124)</f>
        <v>0</v>
      </c>
      <c r="O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*(1+$BX124)</f>
        <v>0</v>
      </c>
      <c r="P124" s="37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*(1+$BX124)</f>
        <v>0</v>
      </c>
      <c r="Q124" s="38">
        <v>1</v>
      </c>
      <c r="R124" s="39" t="s">
        <v>84</v>
      </c>
      <c r="S124" s="39" t="s">
        <v>84</v>
      </c>
      <c r="T124" s="39" t="s">
        <v>84</v>
      </c>
      <c r="U124" s="39" t="s">
        <v>84</v>
      </c>
      <c r="V124" s="39" t="s">
        <v>84</v>
      </c>
      <c r="W124" s="39" t="s">
        <v>84</v>
      </c>
      <c r="X124" s="39" t="s">
        <v>84</v>
      </c>
      <c r="Y124" s="39" t="s">
        <v>84</v>
      </c>
      <c r="Z124" s="39" t="s">
        <v>84</v>
      </c>
      <c r="AA124" s="39" t="s">
        <v>84</v>
      </c>
      <c r="AB124" s="39" t="s">
        <v>84</v>
      </c>
      <c r="AC124" s="39" t="s">
        <v>84</v>
      </c>
      <c r="AD124" s="39" t="s">
        <v>84</v>
      </c>
      <c r="AE124" s="39" t="s">
        <v>84</v>
      </c>
      <c r="AF124" s="39" t="s">
        <v>88</v>
      </c>
      <c r="AG124" s="39" t="s">
        <v>84</v>
      </c>
      <c r="AH124" s="39" t="s">
        <v>84</v>
      </c>
      <c r="AI124" s="39" t="s">
        <v>84</v>
      </c>
      <c r="AJ124" s="39" t="s">
        <v>84</v>
      </c>
      <c r="AK124" s="39" t="s">
        <v>84</v>
      </c>
      <c r="AL124" s="39" t="s">
        <v>84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VLOOKUP($R124,武学奇术!$A:$ZZ,27,FALSE)*(1+IF(OR($AM124=$F$4,$AM124=$F$5),$B$22,0))</f>
        <v>0</v>
      </c>
      <c r="AP124" s="24">
        <f>VLOOKUP($R124,武学奇术!$A:$ZZ,28,FALSE)</f>
        <v>0</v>
      </c>
      <c r="AQ124" s="25">
        <f>VLOOKUP($R124,武学奇术!$A:$ZZ,29,FALSE)*(1+IF(OR($AM124=$F$4,$AM124=$F$5),$B$22,0))</f>
        <v>0</v>
      </c>
      <c r="AR124" s="24" cm="1">
        <f t="array" ref="AR124">$G$3+IFERROR(VLOOKUP($AM124,$F$4:$G$7,2,FALSE),0)+VLOOKUP($R124,武学奇术!$A:$ZZ,2,FALSE)+SUM(_xlfn.XLOOKUP($S124:$AL124,增益!$A:$A,增益!$B:$B,0))</f>
        <v>0.1042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4274.25</v>
      </c>
      <c r="AU124" cm="1">
        <f t="array" ref="AU124">$E$10*(1+$AS124)+VLOOKUP($R124,武学奇术!$A:$ZZ,4,FALSE)+SUM(_xlfn.XLOOKUP($S124:$AL124,增益!$A:$A,增益!$D:$D,0))-$I$2</f>
        <v>4274.25</v>
      </c>
      <c r="AV124" s="31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0.1684</v>
      </c>
      <c r="AW124" s="31" cm="1">
        <f t="array" ref="AW124">$G$10+VLOOKUP($R124,武学奇术!$A:$ZZ,7,FALSE)+SUM(_xlfn.XLOOKUP($S124:$AL124,增益!$A:$A,增益!$G:$G,0))</f>
        <v>0</v>
      </c>
      <c r="AX124" s="24" cm="1">
        <f t="array" ref="AX124">VLOOKUP($R124,武学奇术!$A:$ZZ,8,FALSE)+SUM(_xlfn.XLOOKUP($S124:$AL124,增益!$A:$A,增益!$H:$H,0))</f>
        <v>0</v>
      </c>
      <c r="AY124">
        <f t="shared" si="13"/>
        <v>0</v>
      </c>
      <c r="AZ124">
        <f t="shared" si="14"/>
        <v>0</v>
      </c>
      <c r="BA124" s="31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1" cm="1">
        <f t="array" ref="BB124">$G$11+VLOOKUP($R124,武学奇术!$A:$ZZ,10,FALSE)+SUM(_xlfn.XLOOKUP($S124:$AL124,增益!$A:$A,增益!$J:$J,0))</f>
        <v>0</v>
      </c>
      <c r="BC124">
        <f t="shared" si="15"/>
        <v>0</v>
      </c>
      <c r="BD124">
        <f t="shared" si="16"/>
        <v>0</v>
      </c>
      <c r="BE124" s="31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1" cm="1">
        <f t="array" ref="BF124">$G$12+VLOOKUP($R124,武学奇术!$A:$ZZ,12,FALSE)+SUM(_xlfn.XLOOKUP($S124:$AL124,增益!$A:$A,增益!$L:$L,0))</f>
        <v>0</v>
      </c>
      <c r="BG124">
        <f t="shared" si="17"/>
        <v>0</v>
      </c>
      <c r="BH124">
        <f t="shared" si="18"/>
        <v>0</v>
      </c>
      <c r="BI124" s="31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1" cm="1">
        <f t="array" ref="BJ124">$G$13+VLOOKUP($R124,武学奇术!$A:$ZZ,14,FALSE)+SUM(_xlfn.XLOOKUP($S124:$AL124,增益!$A:$A,增益!$N:$N,0))</f>
        <v>0</v>
      </c>
      <c r="BK124">
        <f t="shared" si="19"/>
        <v>649.11</v>
      </c>
      <c r="BL124">
        <f t="shared" si="20"/>
        <v>1812.09</v>
      </c>
      <c r="BM124" s="31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1" cm="1">
        <f t="array" ref="BN124">$G$14+VLOOKUP($R124,武学奇术!$A:$ZZ,16,FALSE)+SUM(_xlfn.XLOOKUP($S124:$AL124,增益!$A:$A,增益!$P:$P,0))</f>
        <v>0.15</v>
      </c>
      <c r="BO124" s="24">
        <f>MIN(IF(VLOOKUP($R124,武学奇术!$A:$ZZ,23,FALSE)=1,100%,$B$8),100%)</f>
        <v>0.9943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0.8985</v>
      </c>
      <c r="BQ124" s="24" cm="1">
        <f t="array" ref="BQ124">1+$B$13+VLOOKUP($R124,武学奇术!$A:$ZZ,18,FALSE)+SUM(_xlfn.XLOOKUP($S124:$AL124,增益!$A:$A,增益!$R:$R,0))</f>
        <v>1.54</v>
      </c>
      <c r="BR124" s="24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21"/>
        <v>0.89337855</v>
      </c>
      <c r="BU124" s="24">
        <f t="shared" si="22"/>
        <v>0.01014186</v>
      </c>
      <c r="BV124" s="24">
        <f>IF(VLOOKUP($R124,武学奇术!$A:$ZZ,22,FALSE)=1,0,(1-$BO124))*(1-$BR124)</f>
        <v>0.00517959000000003</v>
      </c>
      <c r="BW124" s="24" cm="1">
        <f t="array" ref="BW124">SUM(_xlfn.XLOOKUP($S124:$AL124,增益!$A:$A,增益!$W:$W,0))+$I$5</f>
        <v>0.11</v>
      </c>
      <c r="BX124" s="24">
        <f>VLOOKUP($R124,武学奇术!$A:$ZZ,32,FALSE)</f>
        <v>0</v>
      </c>
      <c r="BY124" s="24" cm="1">
        <f t="array" ref="BY124">SUM(_xlfn.XLOOKUP($S124:$AL124,增益!$A:$A,增益!$X:$X,0))</f>
        <v>0</v>
      </c>
    </row>
    <row r="125" spans="11:77">
      <c r="K125" s="37">
        <f>$L125*VLOOKUP($R125,武学奇术!$A:$ZZ,31,FALSE)</f>
        <v>0</v>
      </c>
      <c r="L125" s="37">
        <f t="shared" si="25"/>
        <v>0</v>
      </c>
      <c r="M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*(1+$BX125)</f>
        <v>0</v>
      </c>
      <c r="N125" s="37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*(1+$BX125)</f>
        <v>0</v>
      </c>
      <c r="O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*(1+$BX125)</f>
        <v>0</v>
      </c>
      <c r="P125" s="37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*(1+$BX125)</f>
        <v>0</v>
      </c>
      <c r="Q125" s="38">
        <v>1</v>
      </c>
      <c r="R125" s="39" t="s">
        <v>84</v>
      </c>
      <c r="S125" s="39" t="s">
        <v>84</v>
      </c>
      <c r="T125" s="39" t="s">
        <v>84</v>
      </c>
      <c r="U125" s="39" t="s">
        <v>84</v>
      </c>
      <c r="V125" s="39" t="s">
        <v>84</v>
      </c>
      <c r="W125" s="39" t="s">
        <v>84</v>
      </c>
      <c r="X125" s="39" t="s">
        <v>84</v>
      </c>
      <c r="Y125" s="39" t="s">
        <v>84</v>
      </c>
      <c r="Z125" s="39" t="s">
        <v>84</v>
      </c>
      <c r="AA125" s="39" t="s">
        <v>84</v>
      </c>
      <c r="AB125" s="39" t="s">
        <v>84</v>
      </c>
      <c r="AC125" s="39" t="s">
        <v>84</v>
      </c>
      <c r="AD125" s="39" t="s">
        <v>84</v>
      </c>
      <c r="AE125" s="39" t="s">
        <v>84</v>
      </c>
      <c r="AF125" s="39" t="s">
        <v>88</v>
      </c>
      <c r="AG125" s="39" t="s">
        <v>84</v>
      </c>
      <c r="AH125" s="39" t="s">
        <v>84</v>
      </c>
      <c r="AI125" s="39" t="s">
        <v>84</v>
      </c>
      <c r="AJ125" s="39" t="s">
        <v>84</v>
      </c>
      <c r="AK125" s="39" t="s">
        <v>84</v>
      </c>
      <c r="AL125" s="39" t="s">
        <v>84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VLOOKUP($R125,武学奇术!$A:$ZZ,27,FALSE)*(1+IF(OR($AM125=$F$4,$AM125=$F$5),$B$22,0))</f>
        <v>0</v>
      </c>
      <c r="AP125" s="24">
        <f>VLOOKUP($R125,武学奇术!$A:$ZZ,28,FALSE)</f>
        <v>0</v>
      </c>
      <c r="AQ125" s="25">
        <f>VLOOKUP($R125,武学奇术!$A:$ZZ,29,FALSE)*(1+IF(OR($AM125=$F$4,$AM125=$F$5),$B$22,0))</f>
        <v>0</v>
      </c>
      <c r="AR125" s="24" cm="1">
        <f t="array" ref="AR125">$G$3+IFERROR(VLOOKUP($AM125,$F$4:$G$7,2,FALSE),0)+VLOOKUP($R125,武学奇术!$A:$ZZ,2,FALSE)+SUM(_xlfn.XLOOKUP($S125:$AL125,增益!$A:$A,增益!$B:$B,0))</f>
        <v>0.1042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4274.25</v>
      </c>
      <c r="AU125" cm="1">
        <f t="array" ref="AU125">$E$10*(1+$AS125)+VLOOKUP($R125,武学奇术!$A:$ZZ,4,FALSE)+SUM(_xlfn.XLOOKUP($S125:$AL125,增益!$A:$A,增益!$D:$D,0))-$I$2</f>
        <v>4274.25</v>
      </c>
      <c r="AV125" s="31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0.1684</v>
      </c>
      <c r="AW125" s="31" cm="1">
        <f t="array" ref="AW125">$G$10+VLOOKUP($R125,武学奇术!$A:$ZZ,7,FALSE)+SUM(_xlfn.XLOOKUP($S125:$AL125,增益!$A:$A,增益!$G:$G,0))</f>
        <v>0</v>
      </c>
      <c r="AX125" s="24" cm="1">
        <f t="array" ref="AX125">VLOOKUP($R125,武学奇术!$A:$ZZ,8,FALSE)+SUM(_xlfn.XLOOKUP($S125:$AL125,增益!$A:$A,增益!$H:$H,0))</f>
        <v>0</v>
      </c>
      <c r="AY125">
        <f t="shared" si="13"/>
        <v>0</v>
      </c>
      <c r="AZ125">
        <f t="shared" si="14"/>
        <v>0</v>
      </c>
      <c r="BA125" s="31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1" cm="1">
        <f t="array" ref="BB125">$G$11+VLOOKUP($R125,武学奇术!$A:$ZZ,10,FALSE)+SUM(_xlfn.XLOOKUP($S125:$AL125,增益!$A:$A,增益!$J:$J,0))</f>
        <v>0</v>
      </c>
      <c r="BC125">
        <f t="shared" si="15"/>
        <v>0</v>
      </c>
      <c r="BD125">
        <f t="shared" si="16"/>
        <v>0</v>
      </c>
      <c r="BE125" s="31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1" cm="1">
        <f t="array" ref="BF125">$G$12+VLOOKUP($R125,武学奇术!$A:$ZZ,12,FALSE)+SUM(_xlfn.XLOOKUP($S125:$AL125,增益!$A:$A,增益!$L:$L,0))</f>
        <v>0</v>
      </c>
      <c r="BG125">
        <f t="shared" si="17"/>
        <v>0</v>
      </c>
      <c r="BH125">
        <f t="shared" si="18"/>
        <v>0</v>
      </c>
      <c r="BI125" s="31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1" cm="1">
        <f t="array" ref="BJ125">$G$13+VLOOKUP($R125,武学奇术!$A:$ZZ,14,FALSE)+SUM(_xlfn.XLOOKUP($S125:$AL125,增益!$A:$A,增益!$N:$N,0))</f>
        <v>0</v>
      </c>
      <c r="BK125">
        <f t="shared" si="19"/>
        <v>649.11</v>
      </c>
      <c r="BL125">
        <f t="shared" si="20"/>
        <v>1812.09</v>
      </c>
      <c r="BM125" s="31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1" cm="1">
        <f t="array" ref="BN125">$G$14+VLOOKUP($R125,武学奇术!$A:$ZZ,16,FALSE)+SUM(_xlfn.XLOOKUP($S125:$AL125,增益!$A:$A,增益!$P:$P,0))</f>
        <v>0.15</v>
      </c>
      <c r="BO125" s="24">
        <f>MIN(IF(VLOOKUP($R125,武学奇术!$A:$ZZ,23,FALSE)=1,100%,$B$8),100%)</f>
        <v>0.9943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0.8985</v>
      </c>
      <c r="BQ125" s="24" cm="1">
        <f t="array" ref="BQ125">1+$B$13+VLOOKUP($R125,武学奇术!$A:$ZZ,18,FALSE)+SUM(_xlfn.XLOOKUP($S125:$AL125,增益!$A:$A,增益!$R:$R,0))</f>
        <v>1.54</v>
      </c>
      <c r="BR125" s="24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21"/>
        <v>0.89337855</v>
      </c>
      <c r="BU125" s="24">
        <f t="shared" si="22"/>
        <v>0.01014186</v>
      </c>
      <c r="BV125" s="24">
        <f>IF(VLOOKUP($R125,武学奇术!$A:$ZZ,22,FALSE)=1,0,(1-$BO125))*(1-$BR125)</f>
        <v>0.00517959000000003</v>
      </c>
      <c r="BW125" s="24" cm="1">
        <f t="array" ref="BW125">SUM(_xlfn.XLOOKUP($S125:$AL125,增益!$A:$A,增益!$W:$W,0))+$I$5</f>
        <v>0.11</v>
      </c>
      <c r="BX125" s="24">
        <f>VLOOKUP($R125,武学奇术!$A:$ZZ,32,FALSE)</f>
        <v>0</v>
      </c>
      <c r="BY125" s="24" cm="1">
        <f t="array" ref="BY125">SUM(_xlfn.XLOOKUP($S125:$AL125,增益!$A:$A,增益!$X:$X,0))</f>
        <v>0</v>
      </c>
    </row>
    <row r="126" spans="11:77">
      <c r="K126" s="37">
        <f>$L126*VLOOKUP($R126,武学奇术!$A:$ZZ,31,FALSE)</f>
        <v>0</v>
      </c>
      <c r="L126" s="37">
        <f t="shared" si="25"/>
        <v>0</v>
      </c>
      <c r="M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*(1+$BX126)</f>
        <v>0</v>
      </c>
      <c r="N126" s="37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*(1+$BX126)</f>
        <v>0</v>
      </c>
      <c r="O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*(1+$BX126)</f>
        <v>0</v>
      </c>
      <c r="P126" s="37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*(1+$BX126)</f>
        <v>0</v>
      </c>
      <c r="Q126" s="38">
        <v>1</v>
      </c>
      <c r="R126" s="39" t="s">
        <v>84</v>
      </c>
      <c r="S126" s="39" t="s">
        <v>84</v>
      </c>
      <c r="T126" s="39" t="s">
        <v>84</v>
      </c>
      <c r="U126" s="39" t="s">
        <v>84</v>
      </c>
      <c r="V126" s="39" t="s">
        <v>84</v>
      </c>
      <c r="W126" s="39" t="s">
        <v>84</v>
      </c>
      <c r="X126" s="39" t="s">
        <v>84</v>
      </c>
      <c r="Y126" s="39" t="s">
        <v>84</v>
      </c>
      <c r="Z126" s="39" t="s">
        <v>84</v>
      </c>
      <c r="AA126" s="39" t="s">
        <v>84</v>
      </c>
      <c r="AB126" s="39" t="s">
        <v>84</v>
      </c>
      <c r="AC126" s="39" t="s">
        <v>84</v>
      </c>
      <c r="AD126" s="39" t="s">
        <v>84</v>
      </c>
      <c r="AE126" s="39" t="s">
        <v>84</v>
      </c>
      <c r="AF126" s="39" t="s">
        <v>88</v>
      </c>
      <c r="AG126" s="39" t="s">
        <v>84</v>
      </c>
      <c r="AH126" s="39" t="s">
        <v>84</v>
      </c>
      <c r="AI126" s="39" t="s">
        <v>84</v>
      </c>
      <c r="AJ126" s="39" t="s">
        <v>84</v>
      </c>
      <c r="AK126" s="39" t="s">
        <v>84</v>
      </c>
      <c r="AL126" s="39" t="s">
        <v>84</v>
      </c>
      <c r="AM126" t="str">
        <f>VLOOKUP($R126,武学奇术!$A:$ZZ,25,FALSE)</f>
        <v>心法</v>
      </c>
      <c r="AN126" s="24">
        <f>VLOOKUP($R126,武学奇术!$A:$ZZ,26,FALSE)</f>
        <v>0</v>
      </c>
      <c r="AO126" s="25">
        <f>VLOOKUP($R126,武学奇术!$A:$ZZ,27,FALSE)*(1+IF(OR($AM126=$F$4,$AM126=$F$5),$B$22,0))</f>
        <v>0</v>
      </c>
      <c r="AP126" s="24">
        <f>VLOOKUP($R126,武学奇术!$A:$ZZ,28,FALSE)</f>
        <v>0</v>
      </c>
      <c r="AQ126" s="25">
        <f>VLOOKUP($R126,武学奇术!$A:$ZZ,29,FALSE)*(1+IF(OR($AM126=$F$4,$AM126=$F$5),$B$22,0))</f>
        <v>0</v>
      </c>
      <c r="AR126" s="24" cm="1">
        <f t="array" ref="AR126">$G$3+IFERROR(VLOOKUP($AM126,$F$4:$G$7,2,FALSE),0)+VLOOKUP($R126,武学奇术!$A:$ZZ,2,FALSE)+SUM(_xlfn.XLOOKUP($S126:$AL126,增益!$A:$A,增益!$B:$B,0))</f>
        <v>0.1042</v>
      </c>
      <c r="AS126" s="24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4274.25</v>
      </c>
      <c r="AU126" cm="1">
        <f t="array" ref="AU126">$E$10*(1+$AS126)+VLOOKUP($R126,武学奇术!$A:$ZZ,4,FALSE)+SUM(_xlfn.XLOOKUP($S126:$AL126,增益!$A:$A,增益!$D:$D,0))-$I$2</f>
        <v>4274.25</v>
      </c>
      <c r="AV126" s="31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0.1684</v>
      </c>
      <c r="AW126" s="31" cm="1">
        <f t="array" ref="AW126">$G$10+VLOOKUP($R126,武学奇术!$A:$ZZ,7,FALSE)+SUM(_xlfn.XLOOKUP($S126:$AL126,增益!$A:$A,增益!$G:$G,0))</f>
        <v>0</v>
      </c>
      <c r="AX126" s="24" cm="1">
        <f t="array" ref="AX126">VLOOKUP($R126,武学奇术!$A:$ZZ,8,FALSE)+SUM(_xlfn.XLOOKUP($S126:$AL126,增益!$A:$A,增益!$H:$H,0))</f>
        <v>0</v>
      </c>
      <c r="AY126">
        <f t="shared" si="13"/>
        <v>0</v>
      </c>
      <c r="AZ126">
        <f t="shared" si="14"/>
        <v>0</v>
      </c>
      <c r="BA126" s="31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1" cm="1">
        <f t="array" ref="BB126">$G$11+VLOOKUP($R126,武学奇术!$A:$ZZ,10,FALSE)+SUM(_xlfn.XLOOKUP($S126:$AL126,增益!$A:$A,增益!$J:$J,0))</f>
        <v>0</v>
      </c>
      <c r="BC126">
        <f t="shared" si="15"/>
        <v>0</v>
      </c>
      <c r="BD126">
        <f t="shared" si="16"/>
        <v>0</v>
      </c>
      <c r="BE126" s="31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1" cm="1">
        <f t="array" ref="BF126">$G$12+VLOOKUP($R126,武学奇术!$A:$ZZ,12,FALSE)+SUM(_xlfn.XLOOKUP($S126:$AL126,增益!$A:$A,增益!$L:$L,0))</f>
        <v>0</v>
      </c>
      <c r="BG126">
        <f t="shared" si="17"/>
        <v>0</v>
      </c>
      <c r="BH126">
        <f t="shared" si="18"/>
        <v>0</v>
      </c>
      <c r="BI126" s="31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1" cm="1">
        <f t="array" ref="BJ126">$G$13+VLOOKUP($R126,武学奇术!$A:$ZZ,14,FALSE)+SUM(_xlfn.XLOOKUP($S126:$AL126,增益!$A:$A,增益!$N:$N,0))</f>
        <v>0</v>
      </c>
      <c r="BK126">
        <f t="shared" si="19"/>
        <v>649.11</v>
      </c>
      <c r="BL126">
        <f t="shared" si="20"/>
        <v>1812.09</v>
      </c>
      <c r="BM126" s="31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1" cm="1">
        <f t="array" ref="BN126">$G$14+VLOOKUP($R126,武学奇术!$A:$ZZ,16,FALSE)+SUM(_xlfn.XLOOKUP($S126:$AL126,增益!$A:$A,增益!$P:$P,0))</f>
        <v>0.15</v>
      </c>
      <c r="BO126" s="24">
        <f>MIN(IF(VLOOKUP($R126,武学奇术!$A:$ZZ,23,FALSE)=1,100%,$B$8),100%)</f>
        <v>0.9943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0.8985</v>
      </c>
      <c r="BQ126" s="24" cm="1">
        <f t="array" ref="BQ126">1+$B$13+VLOOKUP($R126,武学奇术!$A:$ZZ,18,FALSE)+SUM(_xlfn.XLOOKUP($S126:$AL126,增益!$A:$A,增益!$R:$R,0))</f>
        <v>1.54</v>
      </c>
      <c r="BR126" s="24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21"/>
        <v>0.89337855</v>
      </c>
      <c r="BU126" s="24">
        <f t="shared" si="22"/>
        <v>0.01014186</v>
      </c>
      <c r="BV126" s="24">
        <f>IF(VLOOKUP($R126,武学奇术!$A:$ZZ,22,FALSE)=1,0,(1-$BO126))*(1-$BR126)</f>
        <v>0.00517959000000003</v>
      </c>
      <c r="BW126" s="24" cm="1">
        <f t="array" ref="BW126">SUM(_xlfn.XLOOKUP($S126:$AL126,增益!$A:$A,增益!$W:$W,0))+$I$5</f>
        <v>0.11</v>
      </c>
      <c r="BX126" s="24">
        <f>VLOOKUP($R126,武学奇术!$A:$ZZ,32,FALSE)</f>
        <v>0</v>
      </c>
      <c r="BY126" s="24" cm="1">
        <f t="array" ref="BY126">SUM(_xlfn.XLOOKUP($S126:$AL126,增益!$A:$A,增益!$X:$X,0))</f>
        <v>0</v>
      </c>
    </row>
    <row r="127" spans="11:77">
      <c r="K127" s="37">
        <f>$L127*VLOOKUP($R127,武学奇术!$A:$ZZ,31,FALSE)</f>
        <v>15425.3119464712</v>
      </c>
      <c r="L127" s="37">
        <f t="shared" si="25"/>
        <v>15425.3119464712</v>
      </c>
      <c r="M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*(1+$BX127)</f>
        <v>15685.3017913336</v>
      </c>
      <c r="N127" s="37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*(1+$BX127)</f>
        <v>13946.9508792556</v>
      </c>
      <c r="O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*(1+$BX127)</f>
        <v>9392.39628223568</v>
      </c>
      <c r="P127" s="37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*(1+$BX127)</f>
        <v>8453.71783909688</v>
      </c>
      <c r="Q127" s="38">
        <f t="shared" ref="Q127:Q136" si="26">IF($E$24="易水歌",1,0)</f>
        <v>1</v>
      </c>
      <c r="R127" s="39" t="s">
        <v>209</v>
      </c>
      <c r="S127" s="39" t="s">
        <v>104</v>
      </c>
      <c r="T127" s="39" t="s">
        <v>99</v>
      </c>
      <c r="U127" s="39" t="s">
        <v>81</v>
      </c>
      <c r="V127" s="39" t="s">
        <v>130</v>
      </c>
      <c r="W127" s="39" t="s">
        <v>83</v>
      </c>
      <c r="X127" s="39" t="s">
        <v>84</v>
      </c>
      <c r="Y127" s="39" t="s">
        <v>84</v>
      </c>
      <c r="Z127" s="39" t="s">
        <v>84</v>
      </c>
      <c r="AA127" s="39" t="s">
        <v>84</v>
      </c>
      <c r="AB127" s="39" t="s">
        <v>86</v>
      </c>
      <c r="AC127" s="39" t="s">
        <v>84</v>
      </c>
      <c r="AD127" s="39" t="s">
        <v>84</v>
      </c>
      <c r="AE127" s="39" t="s">
        <v>84</v>
      </c>
      <c r="AF127" s="39" t="s">
        <v>88</v>
      </c>
      <c r="AG127" s="39" t="s">
        <v>84</v>
      </c>
      <c r="AH127" s="39" t="s">
        <v>84</v>
      </c>
      <c r="AI127" s="39" t="s">
        <v>84</v>
      </c>
      <c r="AJ127" s="39" t="s">
        <v>84</v>
      </c>
      <c r="AK127" s="39" t="s">
        <v>84</v>
      </c>
      <c r="AL127" s="39" t="s">
        <v>84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VLOOKUP($R127,武学奇术!$A:$ZZ,27,FALSE)*(1+IF(OR($AM127=$F$4,$AM127=$F$5),$B$22,0))</f>
        <v>0</v>
      </c>
      <c r="AP127" s="24">
        <f>VLOOKUP($R127,武学奇术!$A:$ZZ,28,FALSE)</f>
        <v>1</v>
      </c>
      <c r="AQ127" s="25">
        <f>VLOOKUP($R127,武学奇术!$A:$ZZ,29,FALSE)*(1+IF(OR($AM127=$F$4,$AM127=$F$5),$B$22,0))</f>
        <v>0</v>
      </c>
      <c r="AR127" s="24" cm="1">
        <f t="array" ref="AR127">$G$3+IFERROR(VLOOKUP($AM127,$F$4:$G$7,2,FALSE),0)+VLOOKUP($R127,武学奇术!$A:$ZZ,2,FALSE)+SUM(_xlfn.XLOOKUP($S127:$AL127,增益!$A:$A,增益!$B:$B,0))</f>
        <v>0.1542</v>
      </c>
      <c r="AS127" s="24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4274.25</v>
      </c>
      <c r="AU127" cm="1">
        <f t="array" ref="AU127">$E$10*(1+$AS127)+VLOOKUP($R127,武学奇术!$A:$ZZ,4,FALSE)+SUM(_xlfn.XLOOKUP($S127:$AL127,增益!$A:$A,增益!$D:$D,0))-$I$2</f>
        <v>4274.25</v>
      </c>
      <c r="AV127" s="31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0.2184</v>
      </c>
      <c r="AW127" s="31" cm="1">
        <f t="array" ref="AW127">$G$10+VLOOKUP($R127,武学奇术!$A:$ZZ,7,FALSE)+SUM(_xlfn.XLOOKUP($S127:$AL127,增益!$A:$A,增益!$G:$G,0))</f>
        <v>0.11</v>
      </c>
      <c r="AX127" s="24" cm="1">
        <f t="array" ref="AX127">VLOOKUP($R127,武学奇术!$A:$ZZ,8,FALSE)+SUM(_xlfn.XLOOKUP($S127:$AL127,增益!$A:$A,增益!$H:$H,0))</f>
        <v>0</v>
      </c>
      <c r="AY127">
        <f t="shared" si="13"/>
        <v>0</v>
      </c>
      <c r="AZ127">
        <f t="shared" si="14"/>
        <v>0</v>
      </c>
      <c r="BA127" s="31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1" cm="1">
        <f t="array" ref="BB127">$G$11+VLOOKUP($R127,武学奇术!$A:$ZZ,10,FALSE)+SUM(_xlfn.XLOOKUP($S127:$AL127,增益!$A:$A,增益!$J:$J,0))</f>
        <v>0.02</v>
      </c>
      <c r="BC127">
        <f t="shared" si="15"/>
        <v>0</v>
      </c>
      <c r="BD127">
        <f t="shared" si="16"/>
        <v>0</v>
      </c>
      <c r="BE127" s="31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1" cm="1">
        <f t="array" ref="BF127">$G$12+VLOOKUP($R127,武学奇术!$A:$ZZ,12,FALSE)+SUM(_xlfn.XLOOKUP($S127:$AL127,增益!$A:$A,增益!$L:$L,0))</f>
        <v>0.02</v>
      </c>
      <c r="BG127">
        <f t="shared" si="17"/>
        <v>0</v>
      </c>
      <c r="BH127">
        <f t="shared" si="18"/>
        <v>0</v>
      </c>
      <c r="BI127" s="31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1" cm="1">
        <f t="array" ref="BJ127">$G$13+VLOOKUP($R127,武学奇术!$A:$ZZ,14,FALSE)+SUM(_xlfn.XLOOKUP($S127:$AL127,增益!$A:$A,增益!$N:$N,0))</f>
        <v>0.02</v>
      </c>
      <c r="BK127">
        <f t="shared" si="19"/>
        <v>649.11</v>
      </c>
      <c r="BL127">
        <f t="shared" si="20"/>
        <v>1812.09</v>
      </c>
      <c r="BM127" s="31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1" cm="1">
        <f t="array" ref="BN127">$G$14+VLOOKUP($R127,武学奇术!$A:$ZZ,16,FALSE)+SUM(_xlfn.XLOOKUP($S127:$AL127,增益!$A:$A,增益!$P:$P,0))</f>
        <v>0.26</v>
      </c>
      <c r="BO127" s="24">
        <f>MIN(IF(VLOOKUP($R127,武学奇术!$A:$ZZ,23,FALSE)=1,100%,$B$8),100%)</f>
        <v>0.9943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0.8985</v>
      </c>
      <c r="BQ127" s="24" cm="1">
        <f t="array" ref="BQ127">1+$B$13+VLOOKUP($R127,武学奇术!$A:$ZZ,18,FALSE)+SUM(_xlfn.XLOOKUP($S127:$AL127,增益!$A:$A,增益!$R:$R,0))</f>
        <v>1.67</v>
      </c>
      <c r="BR127" s="24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21"/>
        <v>0.89337855</v>
      </c>
      <c r="BU127" s="24">
        <f t="shared" si="22"/>
        <v>0.01014186</v>
      </c>
      <c r="BV127" s="24">
        <f>IF(VLOOKUP($R127,武学奇术!$A:$ZZ,22,FALSE)=1,0,(1-$BO127))*(1-$BR127)</f>
        <v>0.00517959000000003</v>
      </c>
      <c r="BW127" s="24" cm="1">
        <f t="array" ref="BW127">SUM(_xlfn.XLOOKUP($S127:$AL127,增益!$A:$A,增益!$W:$W,0))+$I$5</f>
        <v>0.11</v>
      </c>
      <c r="BX127" s="24">
        <f>VLOOKUP($R127,武学奇术!$A:$ZZ,32,FALSE)</f>
        <v>0</v>
      </c>
      <c r="BY127" s="24" cm="1">
        <f t="array" ref="BY127">SUM(_xlfn.XLOOKUP($S127:$AL127,增益!$A:$A,增益!$X:$X,0))</f>
        <v>0</v>
      </c>
    </row>
    <row r="128" spans="11:77">
      <c r="K128" s="37">
        <f>$L128*VLOOKUP($R128,武学奇术!$A:$ZZ,31,FALSE)</f>
        <v>13743.2809129455</v>
      </c>
      <c r="L128" s="37">
        <f t="shared" si="25"/>
        <v>13743.2809129455</v>
      </c>
      <c r="M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*(1+$BX128)</f>
        <v>13926.5410191776</v>
      </c>
      <c r="N128" s="37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*(1+$BX128)</f>
        <v>12854.2348718973</v>
      </c>
      <c r="O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*(1+$BX128)</f>
        <v>8650.02547775009</v>
      </c>
      <c r="P128" s="37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*(1+$BX128)</f>
        <v>7778.39549483549</v>
      </c>
      <c r="Q128" s="38">
        <f t="shared" si="26"/>
        <v>1</v>
      </c>
      <c r="R128" s="39" t="s">
        <v>209</v>
      </c>
      <c r="S128" s="39" t="s">
        <v>104</v>
      </c>
      <c r="T128" s="39" t="s">
        <v>175</v>
      </c>
      <c r="U128" s="39" t="s">
        <v>81</v>
      </c>
      <c r="V128" s="39" t="s">
        <v>84</v>
      </c>
      <c r="W128" s="39" t="s">
        <v>84</v>
      </c>
      <c r="X128" s="39" t="s">
        <v>84</v>
      </c>
      <c r="Y128" s="39" t="s">
        <v>84</v>
      </c>
      <c r="Z128" s="39" t="s">
        <v>84</v>
      </c>
      <c r="AA128" s="39" t="s">
        <v>84</v>
      </c>
      <c r="AB128" s="39" t="s">
        <v>171</v>
      </c>
      <c r="AC128" s="39" t="s">
        <v>84</v>
      </c>
      <c r="AD128" s="39" t="s">
        <v>84</v>
      </c>
      <c r="AE128" s="39" t="s">
        <v>84</v>
      </c>
      <c r="AF128" s="39" t="s">
        <v>88</v>
      </c>
      <c r="AG128" s="39" t="s">
        <v>84</v>
      </c>
      <c r="AH128" s="39" t="s">
        <v>84</v>
      </c>
      <c r="AI128" s="39" t="s">
        <v>84</v>
      </c>
      <c r="AJ128" s="39" t="s">
        <v>84</v>
      </c>
      <c r="AK128" s="39" t="s">
        <v>84</v>
      </c>
      <c r="AL128" s="39" t="s">
        <v>84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VLOOKUP($R128,武学奇术!$A:$ZZ,27,FALSE)*(1+IF(OR($AM128=$F$4,$AM128=$F$5),$B$22,0))</f>
        <v>0</v>
      </c>
      <c r="AP128" s="24">
        <f>VLOOKUP($R128,武学奇术!$A:$ZZ,28,FALSE)</f>
        <v>1</v>
      </c>
      <c r="AQ128" s="25">
        <f>VLOOKUP($R128,武学奇术!$A:$ZZ,29,FALSE)*(1+IF(OR($AM128=$F$4,$AM128=$F$5),$B$22,0))</f>
        <v>0</v>
      </c>
      <c r="AR128" s="24" cm="1">
        <f t="array" ref="AR128">$G$3+IFERROR(VLOOKUP($AM128,$F$4:$G$7,2,FALSE),0)+VLOOKUP($R128,武学奇术!$A:$ZZ,2,FALSE)+SUM(_xlfn.XLOOKUP($S128:$AL128,增益!$A:$A,增益!$B:$B,0))</f>
        <v>0.1542</v>
      </c>
      <c r="AS128" s="24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4274.25</v>
      </c>
      <c r="AU128" cm="1">
        <f t="array" ref="AU128">$E$10*(1+$AS128)+VLOOKUP($R128,武学奇术!$A:$ZZ,4,FALSE)+SUM(_xlfn.XLOOKUP($S128:$AL128,增益!$A:$A,增益!$D:$D,0))-$I$2</f>
        <v>4274.25</v>
      </c>
      <c r="AV128" s="31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0.2184</v>
      </c>
      <c r="AW128" s="31" cm="1">
        <f t="array" ref="AW128">$G$10+VLOOKUP($R128,武学奇术!$A:$ZZ,7,FALSE)+SUM(_xlfn.XLOOKUP($S128:$AL128,增益!$A:$A,增益!$G:$G,0))</f>
        <v>0.02</v>
      </c>
      <c r="AX128" s="24" cm="1">
        <f t="array" ref="AX128">VLOOKUP($R128,武学奇术!$A:$ZZ,8,FALSE)+SUM(_xlfn.XLOOKUP($S128:$AL128,增益!$A:$A,增益!$H:$H,0))</f>
        <v>0</v>
      </c>
      <c r="AY128">
        <f t="shared" si="13"/>
        <v>0</v>
      </c>
      <c r="AZ128">
        <f t="shared" si="14"/>
        <v>0</v>
      </c>
      <c r="BA128" s="31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1" cm="1">
        <f t="array" ref="BB128">$G$11+VLOOKUP($R128,武学奇术!$A:$ZZ,10,FALSE)+SUM(_xlfn.XLOOKUP($S128:$AL128,增益!$A:$A,增益!$J:$J,0))</f>
        <v>0.02</v>
      </c>
      <c r="BC128">
        <f t="shared" si="15"/>
        <v>0</v>
      </c>
      <c r="BD128">
        <f t="shared" si="16"/>
        <v>0</v>
      </c>
      <c r="BE128" s="31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1" cm="1">
        <f t="array" ref="BF128">$G$12+VLOOKUP($R128,武学奇术!$A:$ZZ,12,FALSE)+SUM(_xlfn.XLOOKUP($S128:$AL128,增益!$A:$A,增益!$L:$L,0))</f>
        <v>0.02</v>
      </c>
      <c r="BG128">
        <f t="shared" si="17"/>
        <v>0</v>
      </c>
      <c r="BH128">
        <f t="shared" si="18"/>
        <v>0</v>
      </c>
      <c r="BI128" s="31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1" cm="1">
        <f t="array" ref="BJ128">$G$13+VLOOKUP($R128,武学奇术!$A:$ZZ,14,FALSE)+SUM(_xlfn.XLOOKUP($S128:$AL128,增益!$A:$A,增益!$N:$N,0))</f>
        <v>0.02</v>
      </c>
      <c r="BK128">
        <f t="shared" si="19"/>
        <v>649.11</v>
      </c>
      <c r="BL128">
        <f t="shared" si="20"/>
        <v>1812.09</v>
      </c>
      <c r="BM128" s="31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1" cm="1">
        <f t="array" ref="BN128">$G$14+VLOOKUP($R128,武学奇术!$A:$ZZ,16,FALSE)+SUM(_xlfn.XLOOKUP($S128:$AL128,增益!$A:$A,增益!$P:$P,0))</f>
        <v>0.17</v>
      </c>
      <c r="BO128" s="24">
        <f>MIN(IF(VLOOKUP($R128,武学奇术!$A:$ZZ,23,FALSE)=1,100%,$B$8),100%)</f>
        <v>0.9943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0.8985</v>
      </c>
      <c r="BQ128" s="24" cm="1">
        <f t="array" ref="BQ128">1+$B$13+VLOOKUP($R128,武学奇术!$A:$ZZ,18,FALSE)+SUM(_xlfn.XLOOKUP($S128:$AL128,增益!$A:$A,增益!$R:$R,0))</f>
        <v>1.61</v>
      </c>
      <c r="BR128" s="24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21"/>
        <v>0.89337855</v>
      </c>
      <c r="BU128" s="24">
        <f t="shared" si="22"/>
        <v>0.01014186</v>
      </c>
      <c r="BV128" s="24">
        <f>IF(VLOOKUP($R128,武学奇术!$A:$ZZ,22,FALSE)=1,0,(1-$BO128))*(1-$BR128)</f>
        <v>0.00517959000000003</v>
      </c>
      <c r="BW128" s="24" cm="1">
        <f t="array" ref="BW128">SUM(_xlfn.XLOOKUP($S128:$AL128,增益!$A:$A,增益!$W:$W,0))+$I$5</f>
        <v>0.11</v>
      </c>
      <c r="BX128" s="24">
        <f>VLOOKUP($R128,武学奇术!$A:$ZZ,32,FALSE)</f>
        <v>0</v>
      </c>
      <c r="BY128" s="24" cm="1">
        <f t="array" ref="BY128">SUM(_xlfn.XLOOKUP($S128:$AL128,增益!$A:$A,增益!$X:$X,0))</f>
        <v>0</v>
      </c>
    </row>
    <row r="129" spans="11:77">
      <c r="K129" s="37">
        <f>$L129*VLOOKUP($R129,武学奇术!$A:$ZZ,31,FALSE)</f>
        <v>16012.6795224866</v>
      </c>
      <c r="L129" s="37">
        <f t="shared" si="25"/>
        <v>16012.6795224866</v>
      </c>
      <c r="M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*(1+$BX129)</f>
        <v>16342.7695310901</v>
      </c>
      <c r="N129" s="37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*(1+$BX129)</f>
        <v>13946.9508792556</v>
      </c>
      <c r="O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*(1+$BX129)</f>
        <v>9392.39628223568</v>
      </c>
      <c r="P129" s="37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*(1+$BX129)</f>
        <v>8453.71783909688</v>
      </c>
      <c r="Q129" s="38">
        <f t="shared" si="26"/>
        <v>1</v>
      </c>
      <c r="R129" s="39" t="s">
        <v>209</v>
      </c>
      <c r="S129" s="39" t="s">
        <v>104</v>
      </c>
      <c r="T129" s="39" t="s">
        <v>194</v>
      </c>
      <c r="U129" s="39" t="s">
        <v>81</v>
      </c>
      <c r="V129" s="39" t="s">
        <v>130</v>
      </c>
      <c r="W129" s="39" t="s">
        <v>83</v>
      </c>
      <c r="X129" s="39" t="s">
        <v>84</v>
      </c>
      <c r="Y129" s="39" t="s">
        <v>84</v>
      </c>
      <c r="Z129" s="39" t="s">
        <v>84</v>
      </c>
      <c r="AA129" s="39" t="s">
        <v>84</v>
      </c>
      <c r="AB129" s="39" t="s">
        <v>187</v>
      </c>
      <c r="AC129" s="39" t="s">
        <v>84</v>
      </c>
      <c r="AD129" s="39" t="s">
        <v>84</v>
      </c>
      <c r="AE129" s="39" t="s">
        <v>84</v>
      </c>
      <c r="AF129" s="39" t="s">
        <v>88</v>
      </c>
      <c r="AG129" s="39" t="s">
        <v>84</v>
      </c>
      <c r="AH129" s="39" t="s">
        <v>84</v>
      </c>
      <c r="AI129" s="39" t="s">
        <v>84</v>
      </c>
      <c r="AJ129" s="39" t="s">
        <v>84</v>
      </c>
      <c r="AK129" s="39" t="s">
        <v>84</v>
      </c>
      <c r="AL129" s="39" t="s">
        <v>84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VLOOKUP($R129,武学奇术!$A:$ZZ,27,FALSE)*(1+IF(OR($AM129=$F$4,$AM129=$F$5),$B$22,0))</f>
        <v>0</v>
      </c>
      <c r="AP129" s="24">
        <f>VLOOKUP($R129,武学奇术!$A:$ZZ,28,FALSE)</f>
        <v>1</v>
      </c>
      <c r="AQ129" s="25">
        <f>VLOOKUP($R129,武学奇术!$A:$ZZ,29,FALSE)*(1+IF(OR($AM129=$F$4,$AM129=$F$5),$B$22,0))</f>
        <v>0</v>
      </c>
      <c r="AR129" s="24" cm="1">
        <f t="array" ref="AR129">$G$3+IFERROR(VLOOKUP($AM129,$F$4:$G$7,2,FALSE),0)+VLOOKUP($R129,武学奇术!$A:$ZZ,2,FALSE)+SUM(_xlfn.XLOOKUP($S129:$AL129,增益!$A:$A,增益!$B:$B,0))</f>
        <v>0.1542</v>
      </c>
      <c r="AS129" s="24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4274.25</v>
      </c>
      <c r="AU129" cm="1">
        <f t="array" ref="AU129">$E$10*(1+$AS129)+VLOOKUP($R129,武学奇术!$A:$ZZ,4,FALSE)+SUM(_xlfn.XLOOKUP($S129:$AL129,增益!$A:$A,增益!$D:$D,0))-$I$2</f>
        <v>4274.25</v>
      </c>
      <c r="AV129" s="31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0.2184</v>
      </c>
      <c r="AW129" s="31" cm="1">
        <f t="array" ref="AW129">$G$10+VLOOKUP($R129,武学奇术!$A:$ZZ,7,FALSE)+SUM(_xlfn.XLOOKUP($S129:$AL129,增益!$A:$A,增益!$G:$G,0))</f>
        <v>0.11</v>
      </c>
      <c r="AX129" s="24" cm="1">
        <f t="array" ref="AX129">VLOOKUP($R129,武学奇术!$A:$ZZ,8,FALSE)+SUM(_xlfn.XLOOKUP($S129:$AL129,增益!$A:$A,增益!$H:$H,0))</f>
        <v>0</v>
      </c>
      <c r="AY129">
        <f t="shared" si="13"/>
        <v>0</v>
      </c>
      <c r="AZ129">
        <f t="shared" si="14"/>
        <v>0</v>
      </c>
      <c r="BA129" s="31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1" cm="1">
        <f t="array" ref="BB129">$G$11+VLOOKUP($R129,武学奇术!$A:$ZZ,10,FALSE)+SUM(_xlfn.XLOOKUP($S129:$AL129,增益!$A:$A,增益!$J:$J,0))</f>
        <v>0.02</v>
      </c>
      <c r="BC129">
        <f t="shared" si="15"/>
        <v>0</v>
      </c>
      <c r="BD129">
        <f t="shared" si="16"/>
        <v>0</v>
      </c>
      <c r="BE129" s="31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1" cm="1">
        <f t="array" ref="BF129">$G$12+VLOOKUP($R129,武学奇术!$A:$ZZ,12,FALSE)+SUM(_xlfn.XLOOKUP($S129:$AL129,增益!$A:$A,增益!$L:$L,0))</f>
        <v>0.02</v>
      </c>
      <c r="BG129">
        <f t="shared" si="17"/>
        <v>0</v>
      </c>
      <c r="BH129">
        <f t="shared" si="18"/>
        <v>0</v>
      </c>
      <c r="BI129" s="31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1" cm="1">
        <f t="array" ref="BJ129">$G$13+VLOOKUP($R129,武学奇术!$A:$ZZ,14,FALSE)+SUM(_xlfn.XLOOKUP($S129:$AL129,增益!$A:$A,增益!$N:$N,0))</f>
        <v>0.02</v>
      </c>
      <c r="BK129">
        <f t="shared" si="19"/>
        <v>649.11</v>
      </c>
      <c r="BL129">
        <f t="shared" si="20"/>
        <v>1812.09</v>
      </c>
      <c r="BM129" s="31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1" cm="1">
        <f t="array" ref="BN129">$G$14+VLOOKUP($R129,武学奇术!$A:$ZZ,16,FALSE)+SUM(_xlfn.XLOOKUP($S129:$AL129,增益!$A:$A,增益!$P:$P,0))</f>
        <v>0.26</v>
      </c>
      <c r="BO129" s="24">
        <f>MIN(IF(VLOOKUP($R129,武学奇术!$A:$ZZ,23,FALSE)=1,100%,$B$8),100%)</f>
        <v>0.9943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0.8985</v>
      </c>
      <c r="BQ129" s="24" cm="1">
        <f t="array" ref="BQ129">1+$B$13+VLOOKUP($R129,武学奇术!$A:$ZZ,18,FALSE)+SUM(_xlfn.XLOOKUP($S129:$AL129,增益!$A:$A,增益!$R:$R,0))</f>
        <v>1.74</v>
      </c>
      <c r="BR129" s="24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21"/>
        <v>0.89337855</v>
      </c>
      <c r="BU129" s="24">
        <f t="shared" si="22"/>
        <v>0.01014186</v>
      </c>
      <c r="BV129" s="24">
        <f>IF(VLOOKUP($R129,武学奇术!$A:$ZZ,22,FALSE)=1,0,(1-$BO129))*(1-$BR129)</f>
        <v>0.00517959000000003</v>
      </c>
      <c r="BW129" s="24" cm="1">
        <f t="array" ref="BW129">SUM(_xlfn.XLOOKUP($S129:$AL129,增益!$A:$A,增益!$W:$W,0))+$I$5</f>
        <v>0.11</v>
      </c>
      <c r="BX129" s="24">
        <f>VLOOKUP($R129,武学奇术!$A:$ZZ,32,FALSE)</f>
        <v>0</v>
      </c>
      <c r="BY129" s="24" cm="1">
        <f t="array" ref="BY129">SUM(_xlfn.XLOOKUP($S129:$AL129,增益!$A:$A,增益!$X:$X,0))</f>
        <v>0</v>
      </c>
    </row>
    <row r="130" spans="11:77">
      <c r="K130" s="37">
        <f>$L130*VLOOKUP($R130,武学奇术!$A:$ZZ,31,FALSE)</f>
        <v>21329.2407714802</v>
      </c>
      <c r="L130" s="37">
        <f t="shared" si="25"/>
        <v>21329.2407714802</v>
      </c>
      <c r="M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*(1+$BX130)</f>
        <v>22022.9401979786</v>
      </c>
      <c r="N130" s="37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*(1+$BX130)</f>
        <v>16321.565054116</v>
      </c>
      <c r="O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*(1+$BX130)</f>
        <v>11066.8041195872</v>
      </c>
      <c r="P130" s="37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*(1+$BX130)</f>
        <v>10043.5600509404</v>
      </c>
      <c r="Q130" s="38">
        <f t="shared" si="26"/>
        <v>1</v>
      </c>
      <c r="R130" s="39" t="s">
        <v>209</v>
      </c>
      <c r="S130" s="39" t="s">
        <v>104</v>
      </c>
      <c r="T130" s="39" t="s">
        <v>194</v>
      </c>
      <c r="U130" s="39" t="s">
        <v>81</v>
      </c>
      <c r="V130" s="39" t="s">
        <v>130</v>
      </c>
      <c r="W130" s="39" t="s">
        <v>83</v>
      </c>
      <c r="X130" s="39" t="s">
        <v>84</v>
      </c>
      <c r="Y130" s="39" t="s">
        <v>84</v>
      </c>
      <c r="Z130" s="39" t="s">
        <v>195</v>
      </c>
      <c r="AA130" s="39" t="s">
        <v>84</v>
      </c>
      <c r="AB130" s="39" t="s">
        <v>197</v>
      </c>
      <c r="AC130" s="39" t="s">
        <v>84</v>
      </c>
      <c r="AD130" s="39" t="s">
        <v>93</v>
      </c>
      <c r="AE130" s="39" t="s">
        <v>84</v>
      </c>
      <c r="AF130" s="39" t="s">
        <v>88</v>
      </c>
      <c r="AG130" s="39" t="s">
        <v>84</v>
      </c>
      <c r="AH130" s="39" t="s">
        <v>84</v>
      </c>
      <c r="AI130" s="39" t="s">
        <v>84</v>
      </c>
      <c r="AJ130" s="39" t="s">
        <v>84</v>
      </c>
      <c r="AK130" s="39" t="s">
        <v>84</v>
      </c>
      <c r="AL130" s="39" t="s">
        <v>84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VLOOKUP($R130,武学奇术!$A:$ZZ,27,FALSE)*(1+IF(OR($AM130=$F$4,$AM130=$F$5),$B$22,0))</f>
        <v>0</v>
      </c>
      <c r="AP130" s="24">
        <f>VLOOKUP($R130,武学奇术!$A:$ZZ,28,FALSE)</f>
        <v>1</v>
      </c>
      <c r="AQ130" s="25">
        <f>VLOOKUP($R130,武学奇术!$A:$ZZ,29,FALSE)*(1+IF(OR($AM130=$F$4,$AM130=$F$5),$B$22,0))</f>
        <v>0</v>
      </c>
      <c r="AR130" s="24" cm="1">
        <f t="array" ref="AR130">$G$3+IFERROR(VLOOKUP($AM130,$F$4:$G$7,2,FALSE),0)+VLOOKUP($R130,武学奇术!$A:$ZZ,2,FALSE)+SUM(_xlfn.XLOOKUP($S130:$AL130,增益!$A:$A,增益!$B:$B,0))</f>
        <v>0.1542</v>
      </c>
      <c r="AS130" s="24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4274.25</v>
      </c>
      <c r="AU130" cm="1">
        <f t="array" ref="AU130">$E$10*(1+$AS130)+VLOOKUP($R130,武学奇术!$A:$ZZ,4,FALSE)+SUM(_xlfn.XLOOKUP($S130:$AL130,增益!$A:$A,增益!$D:$D,0))-$I$2</f>
        <v>4274.25</v>
      </c>
      <c r="AV130" s="31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0.3434</v>
      </c>
      <c r="AW130" s="31" cm="1">
        <f t="array" ref="AW130">$G$10+VLOOKUP($R130,武学奇术!$A:$ZZ,7,FALSE)+SUM(_xlfn.XLOOKUP($S130:$AL130,增益!$A:$A,增益!$G:$G,0))</f>
        <v>0.11</v>
      </c>
      <c r="AX130" s="24" cm="1">
        <f t="array" ref="AX130">VLOOKUP($R130,武学奇术!$A:$ZZ,8,FALSE)+SUM(_xlfn.XLOOKUP($S130:$AL130,增益!$A:$A,增益!$H:$H,0))</f>
        <v>0</v>
      </c>
      <c r="AY130">
        <f t="shared" ref="AY130:AY136" si="27">$D$11*(1+$AX130)</f>
        <v>0</v>
      </c>
      <c r="AZ130">
        <f t="shared" ref="AZ130:AZ136" si="28">$E$11*(1+$AX130)</f>
        <v>0</v>
      </c>
      <c r="BA130" s="31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1" cm="1">
        <f t="array" ref="BB130">$G$11+VLOOKUP($R130,武学奇术!$A:$ZZ,10,FALSE)+SUM(_xlfn.XLOOKUP($S130:$AL130,增益!$A:$A,增益!$J:$J,0))</f>
        <v>0.02</v>
      </c>
      <c r="BC130">
        <f t="shared" ref="BC130:BC136" si="29">$D$12*(1+$AX130)</f>
        <v>0</v>
      </c>
      <c r="BD130">
        <f t="shared" ref="BD130:BD136" si="30">$E$12*(1+$AX130)</f>
        <v>0</v>
      </c>
      <c r="BE130" s="31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1" cm="1">
        <f t="array" ref="BF130">$G$12+VLOOKUP($R130,武学奇术!$A:$ZZ,12,FALSE)+SUM(_xlfn.XLOOKUP($S130:$AL130,增益!$A:$A,增益!$L:$L,0))</f>
        <v>0.02</v>
      </c>
      <c r="BG130">
        <f t="shared" ref="BG130:BG136" si="31">$D$13*(1+$AX130)</f>
        <v>0</v>
      </c>
      <c r="BH130">
        <f t="shared" ref="BH130:BH136" si="32">$E$13*(1+$AX130)</f>
        <v>0</v>
      </c>
      <c r="BI130" s="31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1" cm="1">
        <f t="array" ref="BJ130">$G$13+VLOOKUP($R130,武学奇术!$A:$ZZ,14,FALSE)+SUM(_xlfn.XLOOKUP($S130:$AL130,增益!$A:$A,增益!$N:$N,0))</f>
        <v>0.02</v>
      </c>
      <c r="BK130">
        <f t="shared" ref="BK130:BK136" si="33">$D$14*(1+$AX130)</f>
        <v>649.11</v>
      </c>
      <c r="BL130">
        <f t="shared" ref="BL130:BL136" si="34">$E$14*(1+$AX130)</f>
        <v>1812.09</v>
      </c>
      <c r="BM130" s="31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1" cm="1">
        <f t="array" ref="BN130">$G$14+VLOOKUP($R130,武学奇术!$A:$ZZ,16,FALSE)+SUM(_xlfn.XLOOKUP($S130:$AL130,增益!$A:$A,增益!$P:$P,0))</f>
        <v>0.26</v>
      </c>
      <c r="BO130" s="24">
        <f>MIN(IF(VLOOKUP($R130,武学奇术!$A:$ZZ,23,FALSE)=1,100%,$B$8),100%)</f>
        <v>0.9943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0.8985</v>
      </c>
      <c r="BQ130" s="24" cm="1">
        <f t="array" ref="BQ130">1+$B$13+VLOOKUP($R130,武学奇术!$A:$ZZ,18,FALSE)+SUM(_xlfn.XLOOKUP($S130:$AL130,增益!$A:$A,增益!$R:$R,0))</f>
        <v>1.99</v>
      </c>
      <c r="BR130" s="24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ref="BT130:BT136" si="35">MIN((1-BR130)*BO130,BO130*BP130)</f>
        <v>0.89337855</v>
      </c>
      <c r="BU130" s="24">
        <f t="shared" ref="BU130:BU136" si="36">1-BR130-BT130-BV130</f>
        <v>0.01014186</v>
      </c>
      <c r="BV130" s="24">
        <f>IF(VLOOKUP($R130,武学奇术!$A:$ZZ,22,FALSE)=1,0,(1-$BO130))*(1-$BR130)</f>
        <v>0.00517959000000003</v>
      </c>
      <c r="BW130" s="24" cm="1">
        <f t="array" ref="BW130">SUM(_xlfn.XLOOKUP($S130:$AL130,增益!$A:$A,增益!$W:$W,0))+$I$5</f>
        <v>0.21</v>
      </c>
      <c r="BX130" s="24">
        <f>VLOOKUP($R130,武学奇术!$A:$ZZ,32,FALSE)</f>
        <v>0</v>
      </c>
      <c r="BY130" s="24" cm="1">
        <f t="array" ref="BY130">SUM(_xlfn.XLOOKUP($S130:$AL130,增益!$A:$A,增益!$X:$X,0))</f>
        <v>0</v>
      </c>
    </row>
    <row r="131" spans="11:77">
      <c r="K131" s="37">
        <f>$L131*VLOOKUP($R131,武学奇术!$A:$ZZ,31,FALSE)</f>
        <v>15593.1312539042</v>
      </c>
      <c r="L131" s="37">
        <f t="shared" si="25"/>
        <v>15593.1312539042</v>
      </c>
      <c r="M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*(1+$BX131)</f>
        <v>15873.1497169783</v>
      </c>
      <c r="N131" s="37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*(1+$BX131)</f>
        <v>13946.9508792556</v>
      </c>
      <c r="O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*(1+$BX131)</f>
        <v>9392.39628223568</v>
      </c>
      <c r="P131" s="37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*(1+$BX131)</f>
        <v>8453.71783909688</v>
      </c>
      <c r="Q131" s="38">
        <f t="shared" si="26"/>
        <v>1</v>
      </c>
      <c r="R131" s="39" t="s">
        <v>209</v>
      </c>
      <c r="S131" s="39" t="s">
        <v>104</v>
      </c>
      <c r="T131" s="39" t="s">
        <v>194</v>
      </c>
      <c r="U131" s="39" t="s">
        <v>81</v>
      </c>
      <c r="V131" s="39" t="s">
        <v>82</v>
      </c>
      <c r="W131" s="39" t="s">
        <v>83</v>
      </c>
      <c r="X131" s="39" t="s">
        <v>84</v>
      </c>
      <c r="Y131" s="39" t="s">
        <v>84</v>
      </c>
      <c r="Z131" s="39" t="s">
        <v>84</v>
      </c>
      <c r="AA131" s="39" t="s">
        <v>84</v>
      </c>
      <c r="AB131" s="39" t="s">
        <v>204</v>
      </c>
      <c r="AC131" s="39" t="s">
        <v>84</v>
      </c>
      <c r="AD131" s="39" t="s">
        <v>84</v>
      </c>
      <c r="AE131" s="39" t="s">
        <v>84</v>
      </c>
      <c r="AF131" s="39" t="s">
        <v>88</v>
      </c>
      <c r="AG131" s="39" t="s">
        <v>84</v>
      </c>
      <c r="AH131" s="39" t="s">
        <v>84</v>
      </c>
      <c r="AI131" s="39" t="s">
        <v>84</v>
      </c>
      <c r="AJ131" s="39" t="s">
        <v>84</v>
      </c>
      <c r="AK131" s="39" t="s">
        <v>84</v>
      </c>
      <c r="AL131" s="39" t="s">
        <v>84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VLOOKUP($R131,武学奇术!$A:$ZZ,27,FALSE)*(1+IF(OR($AM131=$F$4,$AM131=$F$5),$B$22,0))</f>
        <v>0</v>
      </c>
      <c r="AP131" s="24">
        <f>VLOOKUP($R131,武学奇术!$A:$ZZ,28,FALSE)</f>
        <v>1</v>
      </c>
      <c r="AQ131" s="25">
        <f>VLOOKUP($R131,武学奇术!$A:$ZZ,29,FALSE)*(1+IF(OR($AM131=$F$4,$AM131=$F$5),$B$22,0))</f>
        <v>0</v>
      </c>
      <c r="AR131" s="24" cm="1">
        <f t="array" ref="AR131">$G$3+IFERROR(VLOOKUP($AM131,$F$4:$G$7,2,FALSE),0)+VLOOKUP($R131,武学奇术!$A:$ZZ,2,FALSE)+SUM(_xlfn.XLOOKUP($S131:$AL131,增益!$A:$A,增益!$B:$B,0))</f>
        <v>0.1542</v>
      </c>
      <c r="AS131" s="24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4274.25</v>
      </c>
      <c r="AU131" cm="1">
        <f t="array" ref="AU131">$E$10*(1+$AS131)+VLOOKUP($R131,武学奇术!$A:$ZZ,4,FALSE)+SUM(_xlfn.XLOOKUP($S131:$AL131,增益!$A:$A,增益!$D:$D,0))-$I$2</f>
        <v>4274.25</v>
      </c>
      <c r="AV131" s="31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0.2184</v>
      </c>
      <c r="AW131" s="31" cm="1">
        <f t="array" ref="AW131">$G$10+VLOOKUP($R131,武学奇术!$A:$ZZ,7,FALSE)+SUM(_xlfn.XLOOKUP($S131:$AL131,增益!$A:$A,增益!$G:$G,0))</f>
        <v>0.11</v>
      </c>
      <c r="AX131" s="24" cm="1">
        <f t="array" ref="AX131">VLOOKUP($R131,武学奇术!$A:$ZZ,8,FALSE)+SUM(_xlfn.XLOOKUP($S131:$AL131,增益!$A:$A,增益!$H:$H,0))</f>
        <v>0</v>
      </c>
      <c r="AY131">
        <f t="shared" si="27"/>
        <v>0</v>
      </c>
      <c r="AZ131">
        <f t="shared" si="28"/>
        <v>0</v>
      </c>
      <c r="BA131" s="31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1" cm="1">
        <f t="array" ref="BB131">$G$11+VLOOKUP($R131,武学奇术!$A:$ZZ,10,FALSE)+SUM(_xlfn.XLOOKUP($S131:$AL131,增益!$A:$A,增益!$J:$J,0))</f>
        <v>0.02</v>
      </c>
      <c r="BC131">
        <f t="shared" si="29"/>
        <v>0</v>
      </c>
      <c r="BD131">
        <f t="shared" si="30"/>
        <v>0</v>
      </c>
      <c r="BE131" s="31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1" cm="1">
        <f t="array" ref="BF131">$G$12+VLOOKUP($R131,武学奇术!$A:$ZZ,12,FALSE)+SUM(_xlfn.XLOOKUP($S131:$AL131,增益!$A:$A,增益!$L:$L,0))</f>
        <v>0.02</v>
      </c>
      <c r="BG131">
        <f t="shared" si="31"/>
        <v>0</v>
      </c>
      <c r="BH131">
        <f t="shared" si="32"/>
        <v>0</v>
      </c>
      <c r="BI131" s="31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-0.3</v>
      </c>
      <c r="BJ131" s="31" cm="1">
        <f t="array" ref="BJ131">$G$13+VLOOKUP($R131,武学奇术!$A:$ZZ,14,FALSE)+SUM(_xlfn.XLOOKUP($S131:$AL131,增益!$A:$A,增益!$N:$N,0))</f>
        <v>0.02</v>
      </c>
      <c r="BK131">
        <f t="shared" si="33"/>
        <v>649.11</v>
      </c>
      <c r="BL131">
        <f t="shared" si="34"/>
        <v>1812.09</v>
      </c>
      <c r="BM131" s="31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</v>
      </c>
      <c r="BN131" s="31" cm="1">
        <f t="array" ref="BN131">$G$14+VLOOKUP($R131,武学奇术!$A:$ZZ,16,FALSE)+SUM(_xlfn.XLOOKUP($S131:$AL131,增益!$A:$A,增益!$P:$P,0))</f>
        <v>0.26</v>
      </c>
      <c r="BO131" s="24">
        <f>MIN(IF(VLOOKUP($R131,武学奇术!$A:$ZZ,23,FALSE)=1,100%,$B$8),100%)</f>
        <v>0.9943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0.8985</v>
      </c>
      <c r="BQ131" s="24" cm="1">
        <f t="array" ref="BQ131">1+$B$13+VLOOKUP($R131,武学奇术!$A:$ZZ,18,FALSE)+SUM(_xlfn.XLOOKUP($S131:$AL131,增益!$A:$A,增益!$R:$R,0))</f>
        <v>1.69</v>
      </c>
      <c r="BR131" s="24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35"/>
        <v>0.89337855</v>
      </c>
      <c r="BU131" s="24">
        <f t="shared" si="36"/>
        <v>0.01014186</v>
      </c>
      <c r="BV131" s="24">
        <f>IF(VLOOKUP($R131,武学奇术!$A:$ZZ,22,FALSE)=1,0,(1-$BO131))*(1-$BR131)</f>
        <v>0.00517959000000003</v>
      </c>
      <c r="BW131" s="24" cm="1">
        <f t="array" ref="BW131">SUM(_xlfn.XLOOKUP($S131:$AL131,增益!$A:$A,增益!$W:$W,0))+$I$5</f>
        <v>0.11</v>
      </c>
      <c r="BX131" s="24">
        <f>VLOOKUP($R131,武学奇术!$A:$ZZ,32,FALSE)</f>
        <v>0</v>
      </c>
      <c r="BY131" s="24" cm="1">
        <f t="array" ref="BY131">SUM(_xlfn.XLOOKUP($S131:$AL131,增益!$A:$A,增益!$X:$X,0))</f>
        <v>0</v>
      </c>
    </row>
    <row r="132" spans="11:77">
      <c r="K132" s="37">
        <f>$L132*VLOOKUP($R132,武学奇术!$A:$ZZ,31,FALSE)</f>
        <v>16012.6795224866</v>
      </c>
      <c r="L132" s="37">
        <f t="shared" si="25"/>
        <v>16012.6795224866</v>
      </c>
      <c r="M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*(1+$BX132)</f>
        <v>16342.7695310901</v>
      </c>
      <c r="N132" s="37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*(1+$BX132)</f>
        <v>13946.9508792556</v>
      </c>
      <c r="O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*(1+$BX132)</f>
        <v>9392.39628223568</v>
      </c>
      <c r="P132" s="37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*(1+$BX132)</f>
        <v>8453.71783909688</v>
      </c>
      <c r="Q132" s="38">
        <f t="shared" si="26"/>
        <v>1</v>
      </c>
      <c r="R132" s="39" t="s">
        <v>209</v>
      </c>
      <c r="S132" s="39" t="s">
        <v>104</v>
      </c>
      <c r="T132" s="39" t="s">
        <v>194</v>
      </c>
      <c r="U132" s="39" t="s">
        <v>81</v>
      </c>
      <c r="V132" s="39" t="s">
        <v>130</v>
      </c>
      <c r="W132" s="39" t="s">
        <v>83</v>
      </c>
      <c r="X132" s="39" t="s">
        <v>84</v>
      </c>
      <c r="Y132" s="39" t="s">
        <v>84</v>
      </c>
      <c r="Z132" s="39" t="s">
        <v>84</v>
      </c>
      <c r="AA132" s="39" t="s">
        <v>84</v>
      </c>
      <c r="AB132" s="39" t="s">
        <v>204</v>
      </c>
      <c r="AC132" s="39" t="s">
        <v>84</v>
      </c>
      <c r="AD132" s="39" t="s">
        <v>84</v>
      </c>
      <c r="AE132" s="39" t="s">
        <v>84</v>
      </c>
      <c r="AF132" s="39" t="s">
        <v>88</v>
      </c>
      <c r="AG132" s="39" t="s">
        <v>84</v>
      </c>
      <c r="AH132" s="39" t="s">
        <v>84</v>
      </c>
      <c r="AI132" s="39" t="s">
        <v>84</v>
      </c>
      <c r="AJ132" s="39" t="s">
        <v>84</v>
      </c>
      <c r="AK132" s="39" t="s">
        <v>84</v>
      </c>
      <c r="AL132" s="39" t="s">
        <v>84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VLOOKUP($R132,武学奇术!$A:$ZZ,27,FALSE)*(1+IF(OR($AM132=$F$4,$AM132=$F$5),$B$22,0))</f>
        <v>0</v>
      </c>
      <c r="AP132" s="24">
        <f>VLOOKUP($R132,武学奇术!$A:$ZZ,28,FALSE)</f>
        <v>1</v>
      </c>
      <c r="AQ132" s="25">
        <f>VLOOKUP($R132,武学奇术!$A:$ZZ,29,FALSE)*(1+IF(OR($AM132=$F$4,$AM132=$F$5),$B$22,0))</f>
        <v>0</v>
      </c>
      <c r="AR132" s="24" cm="1">
        <f t="array" ref="AR132">$G$3+IFERROR(VLOOKUP($AM132,$F$4:$G$7,2,FALSE),0)+VLOOKUP($R132,武学奇术!$A:$ZZ,2,FALSE)+SUM(_xlfn.XLOOKUP($S132:$AL132,增益!$A:$A,增益!$B:$B,0))</f>
        <v>0.1542</v>
      </c>
      <c r="AS132" s="24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4274.25</v>
      </c>
      <c r="AU132" cm="1">
        <f t="array" ref="AU132">$E$10*(1+$AS132)+VLOOKUP($R132,武学奇术!$A:$ZZ,4,FALSE)+SUM(_xlfn.XLOOKUP($S132:$AL132,增益!$A:$A,增益!$D:$D,0))-$I$2</f>
        <v>4274.25</v>
      </c>
      <c r="AV132" s="31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0.2184</v>
      </c>
      <c r="AW132" s="31" cm="1">
        <f t="array" ref="AW132">$G$10+VLOOKUP($R132,武学奇术!$A:$ZZ,7,FALSE)+SUM(_xlfn.XLOOKUP($S132:$AL132,增益!$A:$A,增益!$G:$G,0))</f>
        <v>0.11</v>
      </c>
      <c r="AX132" s="24" cm="1">
        <f t="array" ref="AX132">VLOOKUP($R132,武学奇术!$A:$ZZ,8,FALSE)+SUM(_xlfn.XLOOKUP($S132:$AL132,增益!$A:$A,增益!$H:$H,0))</f>
        <v>0</v>
      </c>
      <c r="AY132">
        <f t="shared" si="27"/>
        <v>0</v>
      </c>
      <c r="AZ132">
        <f t="shared" si="28"/>
        <v>0</v>
      </c>
      <c r="BA132" s="31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1" cm="1">
        <f t="array" ref="BB132">$G$11+VLOOKUP($R132,武学奇术!$A:$ZZ,10,FALSE)+SUM(_xlfn.XLOOKUP($S132:$AL132,增益!$A:$A,增益!$J:$J,0))</f>
        <v>0.02</v>
      </c>
      <c r="BC132">
        <f t="shared" si="29"/>
        <v>0</v>
      </c>
      <c r="BD132">
        <f t="shared" si="30"/>
        <v>0</v>
      </c>
      <c r="BE132" s="31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1" cm="1">
        <f t="array" ref="BF132">$G$12+VLOOKUP($R132,武学奇术!$A:$ZZ,12,FALSE)+SUM(_xlfn.XLOOKUP($S132:$AL132,增益!$A:$A,增益!$L:$L,0))</f>
        <v>0.02</v>
      </c>
      <c r="BG132">
        <f t="shared" si="31"/>
        <v>0</v>
      </c>
      <c r="BH132">
        <f t="shared" si="32"/>
        <v>0</v>
      </c>
      <c r="BI132" s="31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1" cm="1">
        <f t="array" ref="BJ132">$G$13+VLOOKUP($R132,武学奇术!$A:$ZZ,14,FALSE)+SUM(_xlfn.XLOOKUP($S132:$AL132,增益!$A:$A,增益!$N:$N,0))</f>
        <v>0.02</v>
      </c>
      <c r="BK132">
        <f t="shared" si="33"/>
        <v>649.11</v>
      </c>
      <c r="BL132">
        <f t="shared" si="34"/>
        <v>1812.09</v>
      </c>
      <c r="BM132" s="31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1" cm="1">
        <f t="array" ref="BN132">$G$14+VLOOKUP($R132,武学奇术!$A:$ZZ,16,FALSE)+SUM(_xlfn.XLOOKUP($S132:$AL132,增益!$A:$A,增益!$P:$P,0))</f>
        <v>0.26</v>
      </c>
      <c r="BO132" s="24">
        <f>MIN(IF(VLOOKUP($R132,武学奇术!$A:$ZZ,23,FALSE)=1,100%,$B$8),100%)</f>
        <v>0.9943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0.8985</v>
      </c>
      <c r="BQ132" s="24" cm="1">
        <f t="array" ref="BQ132">1+$B$13+VLOOKUP($R132,武学奇术!$A:$ZZ,18,FALSE)+SUM(_xlfn.XLOOKUP($S132:$AL132,增益!$A:$A,增益!$R:$R,0))</f>
        <v>1.74</v>
      </c>
      <c r="BR132" s="24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35"/>
        <v>0.89337855</v>
      </c>
      <c r="BU132" s="24">
        <f t="shared" si="36"/>
        <v>0.01014186</v>
      </c>
      <c r="BV132" s="24">
        <f>IF(VLOOKUP($R132,武学奇术!$A:$ZZ,22,FALSE)=1,0,(1-$BO132))*(1-$BR132)</f>
        <v>0.00517959000000003</v>
      </c>
      <c r="BW132" s="24" cm="1">
        <f t="array" ref="BW132">SUM(_xlfn.XLOOKUP($S132:$AL132,增益!$A:$A,增益!$W:$W,0))+$I$5</f>
        <v>0.11</v>
      </c>
      <c r="BX132" s="24">
        <f>VLOOKUP($R132,武学奇术!$A:$ZZ,32,FALSE)</f>
        <v>0</v>
      </c>
      <c r="BY132" s="24" cm="1">
        <f t="array" ref="BY132">SUM(_xlfn.XLOOKUP($S132:$AL132,增益!$A:$A,增益!$X:$X,0))</f>
        <v>0</v>
      </c>
    </row>
    <row r="133" spans="11:77">
      <c r="K133" s="37">
        <f>$L133*VLOOKUP($R133,武学奇术!$A:$ZZ,31,FALSE)</f>
        <v>16012.6795224866</v>
      </c>
      <c r="L133" s="37">
        <f t="shared" si="25"/>
        <v>16012.6795224866</v>
      </c>
      <c r="M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*(1+$BX133)</f>
        <v>16342.7695310901</v>
      </c>
      <c r="N133" s="37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*(1+$BX133)</f>
        <v>13946.9508792556</v>
      </c>
      <c r="O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*(1+$BX133)</f>
        <v>9392.39628223568</v>
      </c>
      <c r="P133" s="37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*(1+$BX133)</f>
        <v>8453.71783909688</v>
      </c>
      <c r="Q133" s="38">
        <f t="shared" si="26"/>
        <v>1</v>
      </c>
      <c r="R133" s="39" t="s">
        <v>209</v>
      </c>
      <c r="S133" s="39" t="s">
        <v>104</v>
      </c>
      <c r="T133" s="39" t="s">
        <v>194</v>
      </c>
      <c r="U133" s="39" t="s">
        <v>81</v>
      </c>
      <c r="V133" s="39" t="s">
        <v>130</v>
      </c>
      <c r="W133" s="39" t="s">
        <v>83</v>
      </c>
      <c r="X133" s="39" t="s">
        <v>84</v>
      </c>
      <c r="Y133" s="39" t="s">
        <v>84</v>
      </c>
      <c r="Z133" s="39" t="s">
        <v>84</v>
      </c>
      <c r="AA133" s="39" t="s">
        <v>84</v>
      </c>
      <c r="AB133" s="39" t="s">
        <v>204</v>
      </c>
      <c r="AC133" s="39" t="s">
        <v>84</v>
      </c>
      <c r="AD133" s="39" t="s">
        <v>84</v>
      </c>
      <c r="AE133" s="39" t="s">
        <v>84</v>
      </c>
      <c r="AF133" s="39" t="s">
        <v>88</v>
      </c>
      <c r="AG133" s="39" t="s">
        <v>84</v>
      </c>
      <c r="AH133" s="39" t="s">
        <v>84</v>
      </c>
      <c r="AI133" s="39" t="s">
        <v>84</v>
      </c>
      <c r="AJ133" s="39" t="s">
        <v>84</v>
      </c>
      <c r="AK133" s="39" t="s">
        <v>84</v>
      </c>
      <c r="AL133" s="39" t="s">
        <v>84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VLOOKUP($R133,武学奇术!$A:$ZZ,27,FALSE)*(1+IF(OR($AM133=$F$4,$AM133=$F$5),$B$22,0))</f>
        <v>0</v>
      </c>
      <c r="AP133" s="24">
        <f>VLOOKUP($R133,武学奇术!$A:$ZZ,28,FALSE)</f>
        <v>1</v>
      </c>
      <c r="AQ133" s="25">
        <f>VLOOKUP($R133,武学奇术!$A:$ZZ,29,FALSE)*(1+IF(OR($AM133=$F$4,$AM133=$F$5),$B$22,0))</f>
        <v>0</v>
      </c>
      <c r="AR133" s="24" cm="1">
        <f t="array" ref="AR133">$G$3+IFERROR(VLOOKUP($AM133,$F$4:$G$7,2,FALSE),0)+VLOOKUP($R133,武学奇术!$A:$ZZ,2,FALSE)+SUM(_xlfn.XLOOKUP($S133:$AL133,增益!$A:$A,增益!$B:$B,0))</f>
        <v>0.1542</v>
      </c>
      <c r="AS133" s="24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4274.25</v>
      </c>
      <c r="AU133" cm="1">
        <f t="array" ref="AU133">$E$10*(1+$AS133)+VLOOKUP($R133,武学奇术!$A:$ZZ,4,FALSE)+SUM(_xlfn.XLOOKUP($S133:$AL133,增益!$A:$A,增益!$D:$D,0))-$I$2</f>
        <v>4274.25</v>
      </c>
      <c r="AV133" s="31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0.2184</v>
      </c>
      <c r="AW133" s="31" cm="1">
        <f t="array" ref="AW133">$G$10+VLOOKUP($R133,武学奇术!$A:$ZZ,7,FALSE)+SUM(_xlfn.XLOOKUP($S133:$AL133,增益!$A:$A,增益!$G:$G,0))</f>
        <v>0.11</v>
      </c>
      <c r="AX133" s="24" cm="1">
        <f t="array" ref="AX133">VLOOKUP($R133,武学奇术!$A:$ZZ,8,FALSE)+SUM(_xlfn.XLOOKUP($S133:$AL133,增益!$A:$A,增益!$H:$H,0))</f>
        <v>0</v>
      </c>
      <c r="AY133">
        <f t="shared" si="27"/>
        <v>0</v>
      </c>
      <c r="AZ133">
        <f t="shared" si="28"/>
        <v>0</v>
      </c>
      <c r="BA133" s="31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1" cm="1">
        <f t="array" ref="BB133">$G$11+VLOOKUP($R133,武学奇术!$A:$ZZ,10,FALSE)+SUM(_xlfn.XLOOKUP($S133:$AL133,增益!$A:$A,增益!$J:$J,0))</f>
        <v>0.02</v>
      </c>
      <c r="BC133">
        <f t="shared" si="29"/>
        <v>0</v>
      </c>
      <c r="BD133">
        <f t="shared" si="30"/>
        <v>0</v>
      </c>
      <c r="BE133" s="31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1" cm="1">
        <f t="array" ref="BF133">$G$12+VLOOKUP($R133,武学奇术!$A:$ZZ,12,FALSE)+SUM(_xlfn.XLOOKUP($S133:$AL133,增益!$A:$A,增益!$L:$L,0))</f>
        <v>0.02</v>
      </c>
      <c r="BG133">
        <f t="shared" si="31"/>
        <v>0</v>
      </c>
      <c r="BH133">
        <f t="shared" si="32"/>
        <v>0</v>
      </c>
      <c r="BI133" s="31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1" cm="1">
        <f t="array" ref="BJ133">$G$13+VLOOKUP($R133,武学奇术!$A:$ZZ,14,FALSE)+SUM(_xlfn.XLOOKUP($S133:$AL133,增益!$A:$A,增益!$N:$N,0))</f>
        <v>0.02</v>
      </c>
      <c r="BK133">
        <f t="shared" si="33"/>
        <v>649.11</v>
      </c>
      <c r="BL133">
        <f t="shared" si="34"/>
        <v>1812.09</v>
      </c>
      <c r="BM133" s="31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1" cm="1">
        <f t="array" ref="BN133">$G$14+VLOOKUP($R133,武学奇术!$A:$ZZ,16,FALSE)+SUM(_xlfn.XLOOKUP($S133:$AL133,增益!$A:$A,增益!$P:$P,0))</f>
        <v>0.26</v>
      </c>
      <c r="BO133" s="24">
        <f>MIN(IF(VLOOKUP($R133,武学奇术!$A:$ZZ,23,FALSE)=1,100%,$B$8),100%)</f>
        <v>0.9943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0.8985</v>
      </c>
      <c r="BQ133" s="24" cm="1">
        <f t="array" ref="BQ133">1+$B$13+VLOOKUP($R133,武学奇术!$A:$ZZ,18,FALSE)+SUM(_xlfn.XLOOKUP($S133:$AL133,增益!$A:$A,增益!$R:$R,0))</f>
        <v>1.74</v>
      </c>
      <c r="BR133" s="24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35"/>
        <v>0.89337855</v>
      </c>
      <c r="BU133" s="24">
        <f t="shared" si="36"/>
        <v>0.01014186</v>
      </c>
      <c r="BV133" s="24">
        <f>IF(VLOOKUP($R133,武学奇术!$A:$ZZ,22,FALSE)=1,0,(1-$BO133))*(1-$BR133)</f>
        <v>0.00517959000000003</v>
      </c>
      <c r="BW133" s="24" cm="1">
        <f t="array" ref="BW133">SUM(_xlfn.XLOOKUP($S133:$AL133,增益!$A:$A,增益!$W:$W,0))+$I$5</f>
        <v>0.11</v>
      </c>
      <c r="BX133" s="24">
        <f>VLOOKUP($R133,武学奇术!$A:$ZZ,32,FALSE)</f>
        <v>0</v>
      </c>
      <c r="BY133" s="24" cm="1">
        <f t="array" ref="BY133">SUM(_xlfn.XLOOKUP($S133:$AL133,增益!$A:$A,增益!$X:$X,0))</f>
        <v>0</v>
      </c>
    </row>
    <row r="134" spans="11:77">
      <c r="K134" s="37">
        <f>$L134*VLOOKUP($R134,武学奇术!$A:$ZZ,31,FALSE)</f>
        <v>23542.6049423756</v>
      </c>
      <c r="L134" s="37">
        <f t="shared" si="25"/>
        <v>23542.6049423756</v>
      </c>
      <c r="M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*(1+$BX134)</f>
        <v>24259.7923319749</v>
      </c>
      <c r="N134" s="37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*(1+$BX134)</f>
        <v>18442.7180242402</v>
      </c>
      <c r="O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*(1+$BX134)</f>
        <v>12505.0475938015</v>
      </c>
      <c r="P134" s="37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*(1+$BX134)</f>
        <v>11348.8225770547</v>
      </c>
      <c r="Q134" s="38">
        <f t="shared" si="26"/>
        <v>1</v>
      </c>
      <c r="R134" s="39" t="s">
        <v>209</v>
      </c>
      <c r="S134" s="39" t="s">
        <v>104</v>
      </c>
      <c r="T134" s="39" t="s">
        <v>194</v>
      </c>
      <c r="U134" s="39" t="s">
        <v>81</v>
      </c>
      <c r="V134" s="39" t="s">
        <v>82</v>
      </c>
      <c r="W134" s="39" t="s">
        <v>83</v>
      </c>
      <c r="X134" s="39" t="s">
        <v>84</v>
      </c>
      <c r="Y134" s="39" t="s">
        <v>84</v>
      </c>
      <c r="Z134" s="39" t="s">
        <v>195</v>
      </c>
      <c r="AA134" s="39" t="s">
        <v>84</v>
      </c>
      <c r="AB134" s="39" t="s">
        <v>204</v>
      </c>
      <c r="AC134" s="39" t="s">
        <v>84</v>
      </c>
      <c r="AD134" s="39" t="s">
        <v>93</v>
      </c>
      <c r="AE134" s="39" t="s">
        <v>84</v>
      </c>
      <c r="AF134" s="39" t="s">
        <v>88</v>
      </c>
      <c r="AG134" s="39" t="s">
        <v>94</v>
      </c>
      <c r="AH134" s="39" t="s">
        <v>84</v>
      </c>
      <c r="AI134" s="39" t="s">
        <v>84</v>
      </c>
      <c r="AJ134" s="39" t="s">
        <v>84</v>
      </c>
      <c r="AK134" s="39" t="s">
        <v>84</v>
      </c>
      <c r="AL134" s="39" t="s">
        <v>84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VLOOKUP($R134,武学奇术!$A:$ZZ,27,FALSE)*(1+IF(OR($AM134=$F$4,$AM134=$F$5),$B$22,0))</f>
        <v>0</v>
      </c>
      <c r="AP134" s="24">
        <f>VLOOKUP($R134,武学奇术!$A:$ZZ,28,FALSE)</f>
        <v>1</v>
      </c>
      <c r="AQ134" s="25">
        <f>VLOOKUP($R134,武学奇术!$A:$ZZ,29,FALSE)*(1+IF(OR($AM134=$F$4,$AM134=$F$5),$B$22,0))</f>
        <v>0</v>
      </c>
      <c r="AR134" s="24" cm="1">
        <f t="array" ref="AR134">$G$3+IFERROR(VLOOKUP($AM134,$F$4:$G$7,2,FALSE),0)+VLOOKUP($R134,武学奇术!$A:$ZZ,2,FALSE)+SUM(_xlfn.XLOOKUP($S134:$AL134,增益!$A:$A,增益!$B:$B,0))</f>
        <v>0.3042</v>
      </c>
      <c r="AS134" s="24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4274.25</v>
      </c>
      <c r="AU134" cm="1">
        <f t="array" ref="AU134">$E$10*(1+$AS134)+VLOOKUP($R134,武学奇术!$A:$ZZ,4,FALSE)+SUM(_xlfn.XLOOKUP($S134:$AL134,增益!$A:$A,增益!$D:$D,0))-$I$2</f>
        <v>4274.25</v>
      </c>
      <c r="AV134" s="31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0.3434</v>
      </c>
      <c r="AW134" s="31" cm="1">
        <f t="array" ref="AW134">$G$10+VLOOKUP($R134,武学奇术!$A:$ZZ,7,FALSE)+SUM(_xlfn.XLOOKUP($S134:$AL134,增益!$A:$A,增益!$G:$G,0))</f>
        <v>0.11</v>
      </c>
      <c r="AX134" s="24" cm="1">
        <f t="array" ref="AX134">VLOOKUP($R134,武学奇术!$A:$ZZ,8,FALSE)+SUM(_xlfn.XLOOKUP($S134:$AL134,增益!$A:$A,增益!$H:$H,0))</f>
        <v>0</v>
      </c>
      <c r="AY134">
        <f t="shared" si="27"/>
        <v>0</v>
      </c>
      <c r="AZ134">
        <f t="shared" si="28"/>
        <v>0</v>
      </c>
      <c r="BA134" s="31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1" cm="1">
        <f t="array" ref="BB134">$G$11+VLOOKUP($R134,武学奇术!$A:$ZZ,10,FALSE)+SUM(_xlfn.XLOOKUP($S134:$AL134,增益!$A:$A,增益!$J:$J,0))</f>
        <v>0.02</v>
      </c>
      <c r="BC134">
        <f t="shared" si="29"/>
        <v>0</v>
      </c>
      <c r="BD134">
        <f t="shared" si="30"/>
        <v>0</v>
      </c>
      <c r="BE134" s="31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1" cm="1">
        <f t="array" ref="BF134">$G$12+VLOOKUP($R134,武学奇术!$A:$ZZ,12,FALSE)+SUM(_xlfn.XLOOKUP($S134:$AL134,增益!$A:$A,增益!$L:$L,0))</f>
        <v>0.02</v>
      </c>
      <c r="BG134">
        <f t="shared" si="31"/>
        <v>0</v>
      </c>
      <c r="BH134">
        <f t="shared" si="32"/>
        <v>0</v>
      </c>
      <c r="BI134" s="31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1" cm="1">
        <f t="array" ref="BJ134">$G$13+VLOOKUP($R134,武学奇术!$A:$ZZ,14,FALSE)+SUM(_xlfn.XLOOKUP($S134:$AL134,增益!$A:$A,增益!$N:$N,0))</f>
        <v>0.02</v>
      </c>
      <c r="BK134">
        <f t="shared" si="33"/>
        <v>649.11</v>
      </c>
      <c r="BL134">
        <f t="shared" si="34"/>
        <v>1812.09</v>
      </c>
      <c r="BM134" s="31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1" cm="1">
        <f t="array" ref="BN134">$G$14+VLOOKUP($R134,武学奇术!$A:$ZZ,16,FALSE)+SUM(_xlfn.XLOOKUP($S134:$AL134,增益!$A:$A,增益!$P:$P,0))</f>
        <v>0.26</v>
      </c>
      <c r="BO134" s="24">
        <f>MIN(IF(VLOOKUP($R134,武学奇术!$A:$ZZ,23,FALSE)=1,100%,$B$8),100%)</f>
        <v>0.9943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0.8985</v>
      </c>
      <c r="BQ134" s="24" cm="1">
        <f t="array" ref="BQ134">1+$B$13+VLOOKUP($R134,武学奇术!$A:$ZZ,18,FALSE)+SUM(_xlfn.XLOOKUP($S134:$AL134,增益!$A:$A,增益!$R:$R,0))</f>
        <v>1.94</v>
      </c>
      <c r="BR134" s="24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35"/>
        <v>0.89337855</v>
      </c>
      <c r="BU134" s="24">
        <f t="shared" si="36"/>
        <v>0.01014186</v>
      </c>
      <c r="BV134" s="24">
        <f>IF(VLOOKUP($R134,武学奇术!$A:$ZZ,22,FALSE)=1,0,(1-$BO134))*(1-$BR134)</f>
        <v>0.00517959000000003</v>
      </c>
      <c r="BW134" s="24" cm="1">
        <f t="array" ref="BW134">SUM(_xlfn.XLOOKUP($S134:$AL134,增益!$A:$A,增益!$W:$W,0))+$I$5</f>
        <v>0.21</v>
      </c>
      <c r="BX134" s="24">
        <f>VLOOKUP($R134,武学奇术!$A:$ZZ,32,FALSE)</f>
        <v>0</v>
      </c>
      <c r="BY134" s="24" cm="1">
        <f t="array" ref="BY134">SUM(_xlfn.XLOOKUP($S134:$AL134,增益!$A:$A,增益!$X:$X,0))</f>
        <v>0</v>
      </c>
    </row>
    <row r="135" spans="11:77">
      <c r="K135" s="37">
        <f>$L135*VLOOKUP($R135,武学奇术!$A:$ZZ,31,FALSE)</f>
        <v>16012.6795224866</v>
      </c>
      <c r="L135" s="37">
        <f t="shared" si="25"/>
        <v>16012.6795224866</v>
      </c>
      <c r="M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*(1+$BX135)</f>
        <v>16342.7695310901</v>
      </c>
      <c r="N135" s="37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*(1+$BX135)</f>
        <v>13946.9508792556</v>
      </c>
      <c r="O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*(1+$BX135)</f>
        <v>9392.39628223568</v>
      </c>
      <c r="P135" s="37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*(1+$BX135)</f>
        <v>8453.71783909688</v>
      </c>
      <c r="Q135" s="38">
        <f t="shared" si="26"/>
        <v>1</v>
      </c>
      <c r="R135" s="39" t="s">
        <v>209</v>
      </c>
      <c r="S135" s="39" t="s">
        <v>104</v>
      </c>
      <c r="T135" s="39" t="s">
        <v>194</v>
      </c>
      <c r="U135" s="39" t="s">
        <v>81</v>
      </c>
      <c r="V135" s="39" t="s">
        <v>130</v>
      </c>
      <c r="W135" s="39" t="s">
        <v>83</v>
      </c>
      <c r="X135" s="39" t="s">
        <v>84</v>
      </c>
      <c r="Y135" s="39" t="s">
        <v>84</v>
      </c>
      <c r="Z135" s="39" t="s">
        <v>84</v>
      </c>
      <c r="AA135" s="39" t="s">
        <v>84</v>
      </c>
      <c r="AB135" s="39" t="s">
        <v>204</v>
      </c>
      <c r="AC135" s="39" t="s">
        <v>84</v>
      </c>
      <c r="AD135" s="39" t="s">
        <v>84</v>
      </c>
      <c r="AE135" s="39" t="s">
        <v>84</v>
      </c>
      <c r="AF135" s="39" t="s">
        <v>88</v>
      </c>
      <c r="AG135" s="39" t="s">
        <v>84</v>
      </c>
      <c r="AH135" s="39" t="s">
        <v>84</v>
      </c>
      <c r="AI135" s="39" t="s">
        <v>84</v>
      </c>
      <c r="AJ135" s="39" t="s">
        <v>84</v>
      </c>
      <c r="AK135" s="39" t="s">
        <v>84</v>
      </c>
      <c r="AL135" s="39" t="s">
        <v>84</v>
      </c>
      <c r="AM135" t="str">
        <f>VLOOKUP($R135,武学奇术!$A:$ZZ,25,FALSE)</f>
        <v>心法</v>
      </c>
      <c r="AN135" s="24">
        <f>VLOOKUP($R135,武学奇术!$A:$ZZ,26,FALSE)</f>
        <v>1</v>
      </c>
      <c r="AO135" s="25">
        <f>VLOOKUP($R135,武学奇术!$A:$ZZ,27,FALSE)*(1+IF(OR($AM135=$F$4,$AM135=$F$5),$B$22,0))</f>
        <v>0</v>
      </c>
      <c r="AP135" s="24">
        <f>VLOOKUP($R135,武学奇术!$A:$ZZ,28,FALSE)</f>
        <v>1</v>
      </c>
      <c r="AQ135" s="25">
        <f>VLOOKUP($R135,武学奇术!$A:$ZZ,29,FALSE)*(1+IF(OR($AM135=$F$4,$AM135=$F$5),$B$22,0))</f>
        <v>0</v>
      </c>
      <c r="AR135" s="24" cm="1">
        <f t="array" ref="AR135">$G$3+IFERROR(VLOOKUP($AM135,$F$4:$G$7,2,FALSE),0)+VLOOKUP($R135,武学奇术!$A:$ZZ,2,FALSE)+SUM(_xlfn.XLOOKUP($S135:$AL135,增益!$A:$A,增益!$B:$B,0))</f>
        <v>0.1542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4274.25</v>
      </c>
      <c r="AU135" cm="1">
        <f t="array" ref="AU135">$E$10*(1+$AS135)+VLOOKUP($R135,武学奇术!$A:$ZZ,4,FALSE)+SUM(_xlfn.XLOOKUP($S135:$AL135,增益!$A:$A,增益!$D:$D,0))-$I$2</f>
        <v>4274.25</v>
      </c>
      <c r="AV135" s="31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0.2184</v>
      </c>
      <c r="AW135" s="31" cm="1">
        <f t="array" ref="AW135">$G$10+VLOOKUP($R135,武学奇术!$A:$ZZ,7,FALSE)+SUM(_xlfn.XLOOKUP($S135:$AL135,增益!$A:$A,增益!$G:$G,0))</f>
        <v>0.11</v>
      </c>
      <c r="AX135" s="24" cm="1">
        <f t="array" ref="AX135">VLOOKUP($R135,武学奇术!$A:$ZZ,8,FALSE)+SUM(_xlfn.XLOOKUP($S135:$AL135,增益!$A:$A,增益!$H:$H,0))</f>
        <v>0</v>
      </c>
      <c r="AY135">
        <f t="shared" si="27"/>
        <v>0</v>
      </c>
      <c r="AZ135">
        <f t="shared" si="28"/>
        <v>0</v>
      </c>
      <c r="BA135" s="31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1" cm="1">
        <f t="array" ref="BB135">$G$11+VLOOKUP($R135,武学奇术!$A:$ZZ,10,FALSE)+SUM(_xlfn.XLOOKUP($S135:$AL135,增益!$A:$A,增益!$J:$J,0))</f>
        <v>0.02</v>
      </c>
      <c r="BC135">
        <f t="shared" si="29"/>
        <v>0</v>
      </c>
      <c r="BD135">
        <f t="shared" si="30"/>
        <v>0</v>
      </c>
      <c r="BE135" s="31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1" cm="1">
        <f t="array" ref="BF135">$G$12+VLOOKUP($R135,武学奇术!$A:$ZZ,12,FALSE)+SUM(_xlfn.XLOOKUP($S135:$AL135,增益!$A:$A,增益!$L:$L,0))</f>
        <v>0.02</v>
      </c>
      <c r="BG135">
        <f t="shared" si="31"/>
        <v>0</v>
      </c>
      <c r="BH135">
        <f t="shared" si="32"/>
        <v>0</v>
      </c>
      <c r="BI135" s="31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1" cm="1">
        <f t="array" ref="BJ135">$G$13+VLOOKUP($R135,武学奇术!$A:$ZZ,14,FALSE)+SUM(_xlfn.XLOOKUP($S135:$AL135,增益!$A:$A,增益!$N:$N,0))</f>
        <v>0.02</v>
      </c>
      <c r="BK135">
        <f t="shared" si="33"/>
        <v>649.11</v>
      </c>
      <c r="BL135">
        <f t="shared" si="34"/>
        <v>1812.09</v>
      </c>
      <c r="BM135" s="31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1" cm="1">
        <f t="array" ref="BN135">$G$14+VLOOKUP($R135,武学奇术!$A:$ZZ,16,FALSE)+SUM(_xlfn.XLOOKUP($S135:$AL135,增益!$A:$A,增益!$P:$P,0))</f>
        <v>0.26</v>
      </c>
      <c r="BO135" s="24">
        <f>MIN(IF(VLOOKUP($R135,武学奇术!$A:$ZZ,23,FALSE)=1,100%,$B$8),100%)</f>
        <v>0.9943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0.8985</v>
      </c>
      <c r="BQ135" s="24" cm="1">
        <f t="array" ref="BQ135">1+$B$13+VLOOKUP($R135,武学奇术!$A:$ZZ,18,FALSE)+SUM(_xlfn.XLOOKUP($S135:$AL135,增益!$A:$A,增益!$R:$R,0))</f>
        <v>1.74</v>
      </c>
      <c r="BR135" s="24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35"/>
        <v>0.89337855</v>
      </c>
      <c r="BU135" s="24">
        <f t="shared" si="36"/>
        <v>0.01014186</v>
      </c>
      <c r="BV135" s="24">
        <f>IF(VLOOKUP($R135,武学奇术!$A:$ZZ,22,FALSE)=1,0,(1-$BO135))*(1-$BR135)</f>
        <v>0.00517959000000003</v>
      </c>
      <c r="BW135" s="24" cm="1">
        <f t="array" ref="BW135">SUM(_xlfn.XLOOKUP($S135:$AL135,增益!$A:$A,增益!$W:$W,0))+$I$5</f>
        <v>0.11</v>
      </c>
      <c r="BX135" s="24">
        <f>VLOOKUP($R135,武学奇术!$A:$ZZ,32,FALSE)</f>
        <v>0</v>
      </c>
      <c r="BY135" s="24" cm="1">
        <f t="array" ref="BY135">SUM(_xlfn.XLOOKUP($S135:$AL135,增益!$A:$A,增益!$X:$X,0))</f>
        <v>0</v>
      </c>
    </row>
    <row r="136" spans="11:77">
      <c r="K136" s="37">
        <f>$L136*VLOOKUP($R136,武学奇术!$A:$ZZ,31,FALSE)</f>
        <v>0</v>
      </c>
      <c r="L136" s="37">
        <f t="shared" si="25"/>
        <v>0</v>
      </c>
      <c r="M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*(1+$BX136)</f>
        <v>0</v>
      </c>
      <c r="N136" s="37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*(1+$BX136)</f>
        <v>0</v>
      </c>
      <c r="O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*(1+$BX136)</f>
        <v>0</v>
      </c>
      <c r="P136" s="37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*(1+$BX136)</f>
        <v>0</v>
      </c>
      <c r="Q136" s="38">
        <f t="shared" si="26"/>
        <v>1</v>
      </c>
      <c r="R136" s="39" t="s">
        <v>84</v>
      </c>
      <c r="S136" s="39" t="s">
        <v>84</v>
      </c>
      <c r="T136" s="39" t="s">
        <v>84</v>
      </c>
      <c r="U136" s="39" t="s">
        <v>84</v>
      </c>
      <c r="V136" s="39" t="s">
        <v>84</v>
      </c>
      <c r="W136" s="39" t="s">
        <v>84</v>
      </c>
      <c r="X136" s="39" t="s">
        <v>84</v>
      </c>
      <c r="Y136" s="39" t="s">
        <v>84</v>
      </c>
      <c r="Z136" s="39" t="s">
        <v>84</v>
      </c>
      <c r="AA136" s="39" t="s">
        <v>84</v>
      </c>
      <c r="AB136" s="39" t="s">
        <v>84</v>
      </c>
      <c r="AC136" s="39" t="s">
        <v>84</v>
      </c>
      <c r="AD136" s="39" t="s">
        <v>84</v>
      </c>
      <c r="AE136" s="39" t="s">
        <v>84</v>
      </c>
      <c r="AF136" s="39" t="s">
        <v>88</v>
      </c>
      <c r="AG136" s="39" t="s">
        <v>84</v>
      </c>
      <c r="AH136" s="39" t="s">
        <v>84</v>
      </c>
      <c r="AI136" s="39" t="s">
        <v>84</v>
      </c>
      <c r="AJ136" s="39" t="s">
        <v>84</v>
      </c>
      <c r="AK136" s="39" t="s">
        <v>84</v>
      </c>
      <c r="AL136" s="39" t="s">
        <v>84</v>
      </c>
      <c r="AM136" t="str">
        <f>VLOOKUP($R136,武学奇术!$A:$ZZ,25,FALSE)</f>
        <v>心法</v>
      </c>
      <c r="AN136" s="24">
        <f>VLOOKUP($R136,武学奇术!$A:$ZZ,26,FALSE)</f>
        <v>0</v>
      </c>
      <c r="AO136" s="25">
        <f>VLOOKUP($R136,武学奇术!$A:$ZZ,27,FALSE)*(1+IF(OR($AM136=$F$4,$AM136=$F$5),$B$22,0))</f>
        <v>0</v>
      </c>
      <c r="AP136" s="24">
        <f>VLOOKUP($R136,武学奇术!$A:$ZZ,28,FALSE)</f>
        <v>0</v>
      </c>
      <c r="AQ136" s="25">
        <f>VLOOKUP($R136,武学奇术!$A:$ZZ,29,FALSE)*(1+IF(OR($AM136=$F$4,$AM136=$F$5),$B$22,0))</f>
        <v>0</v>
      </c>
      <c r="AR136" s="24" cm="1">
        <f t="array" ref="AR136">$G$3+IFERROR(VLOOKUP($AM136,$F$4:$G$7,2,FALSE),0)+VLOOKUP($R136,武学奇术!$A:$ZZ,2,FALSE)+SUM(_xlfn.XLOOKUP($S136:$AL136,增益!$A:$A,增益!$B:$B,0))</f>
        <v>0.1042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4274.25</v>
      </c>
      <c r="AU136" cm="1">
        <f t="array" ref="AU136">$E$10*(1+$AS136)+VLOOKUP($R136,武学奇术!$A:$ZZ,4,FALSE)+SUM(_xlfn.XLOOKUP($S136:$AL136,增益!$A:$A,增益!$D:$D,0))-$I$2</f>
        <v>4274.25</v>
      </c>
      <c r="AV136" s="31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0.1684</v>
      </c>
      <c r="AW136" s="31" cm="1">
        <f t="array" ref="AW136">$G$10+VLOOKUP($R136,武学奇术!$A:$ZZ,7,FALSE)+SUM(_xlfn.XLOOKUP($S136:$AL136,增益!$A:$A,增益!$G:$G,0))</f>
        <v>0</v>
      </c>
      <c r="AX136" s="24" cm="1">
        <f t="array" ref="AX136">VLOOKUP($R136,武学奇术!$A:$ZZ,8,FALSE)+SUM(_xlfn.XLOOKUP($S136:$AL136,增益!$A:$A,增益!$H:$H,0))</f>
        <v>0</v>
      </c>
      <c r="AY136">
        <f t="shared" si="27"/>
        <v>0</v>
      </c>
      <c r="AZ136">
        <f t="shared" si="28"/>
        <v>0</v>
      </c>
      <c r="BA136" s="31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1" cm="1">
        <f t="array" ref="BB136">$G$11+VLOOKUP($R136,武学奇术!$A:$ZZ,10,FALSE)+SUM(_xlfn.XLOOKUP($S136:$AL136,增益!$A:$A,增益!$J:$J,0))</f>
        <v>0</v>
      </c>
      <c r="BC136">
        <f t="shared" si="29"/>
        <v>0</v>
      </c>
      <c r="BD136">
        <f t="shared" si="30"/>
        <v>0</v>
      </c>
      <c r="BE136" s="31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1" cm="1">
        <f t="array" ref="BF136">$G$12+VLOOKUP($R136,武学奇术!$A:$ZZ,12,FALSE)+SUM(_xlfn.XLOOKUP($S136:$AL136,增益!$A:$A,增益!$L:$L,0))</f>
        <v>0</v>
      </c>
      <c r="BG136">
        <f t="shared" si="31"/>
        <v>0</v>
      </c>
      <c r="BH136">
        <f t="shared" si="32"/>
        <v>0</v>
      </c>
      <c r="BI136" s="31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1" cm="1">
        <f t="array" ref="BJ136">$G$13+VLOOKUP($R136,武学奇术!$A:$ZZ,14,FALSE)+SUM(_xlfn.XLOOKUP($S136:$AL136,增益!$A:$A,增益!$N:$N,0))</f>
        <v>0</v>
      </c>
      <c r="BK136">
        <f t="shared" si="33"/>
        <v>649.11</v>
      </c>
      <c r="BL136">
        <f t="shared" si="34"/>
        <v>1812.09</v>
      </c>
      <c r="BM136" s="31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1" cm="1">
        <f t="array" ref="BN136">$G$14+VLOOKUP($R136,武学奇术!$A:$ZZ,16,FALSE)+SUM(_xlfn.XLOOKUP($S136:$AL136,增益!$A:$A,增益!$P:$P,0))</f>
        <v>0.15</v>
      </c>
      <c r="BO136" s="24">
        <f>MIN(IF(VLOOKUP($R136,武学奇术!$A:$ZZ,23,FALSE)=1,100%,$B$8),100%)</f>
        <v>0.9943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0.8985</v>
      </c>
      <c r="BQ136" s="24" cm="1">
        <f t="array" ref="BQ136">1+$B$13+VLOOKUP($R136,武学奇术!$A:$ZZ,18,FALSE)+SUM(_xlfn.XLOOKUP($S136:$AL136,增益!$A:$A,增益!$R:$R,0))</f>
        <v>1.54</v>
      </c>
      <c r="BR136" s="24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35"/>
        <v>0.89337855</v>
      </c>
      <c r="BU136" s="24">
        <f t="shared" si="36"/>
        <v>0.01014186</v>
      </c>
      <c r="BV136" s="24">
        <f>IF(VLOOKUP($R136,武学奇术!$A:$ZZ,22,FALSE)=1,0,(1-$BO136))*(1-$BR136)</f>
        <v>0.00517959000000003</v>
      </c>
      <c r="BW136" s="24" cm="1">
        <f t="array" ref="BW136">SUM(_xlfn.XLOOKUP($S136:$AL136,增益!$A:$A,增益!$W:$W,0))+$I$5</f>
        <v>0.11</v>
      </c>
      <c r="BX136" s="24">
        <f>VLOOKUP($R136,武学奇术!$A:$ZZ,32,FALSE)</f>
        <v>0</v>
      </c>
      <c r="BY136" s="24" cm="1">
        <f t="array" ref="BY136">SUM(_xlfn.XLOOKUP($S136:$AL136,增益!$A:$A,增益!$X:$X,0))</f>
        <v>0</v>
      </c>
    </row>
  </sheetData>
  <mergeCells count="17">
    <mergeCell ref="H1:I1"/>
    <mergeCell ref="C8:G8"/>
    <mergeCell ref="C15:D15"/>
    <mergeCell ref="E21:F21"/>
    <mergeCell ref="E22:F22"/>
    <mergeCell ref="E23:F23"/>
    <mergeCell ref="E24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1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3"/>
  <sheetViews>
    <sheetView workbookViewId="0">
      <selection activeCell="T37" sqref="T37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4"/>
    <col min="27" max="27" width="9" style="25"/>
    <col min="28" max="28" width="9.375" style="24"/>
    <col min="29" max="29" width="9" style="25"/>
  </cols>
  <sheetData>
    <row r="1" spans="1:32">
      <c r="B1" t="s">
        <v>40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118</v>
      </c>
      <c r="R1" t="s">
        <v>217</v>
      </c>
      <c r="S1" t="s">
        <v>120</v>
      </c>
      <c r="T1" t="s">
        <v>218</v>
      </c>
      <c r="U1" t="s">
        <v>219</v>
      </c>
      <c r="V1" t="s">
        <v>220</v>
      </c>
      <c r="W1" t="s">
        <v>221</v>
      </c>
      <c r="X1" t="s">
        <v>222</v>
      </c>
      <c r="Y1" t="s">
        <v>35</v>
      </c>
      <c r="Z1" s="24" t="s">
        <v>36</v>
      </c>
      <c r="AA1" s="25" t="s">
        <v>37</v>
      </c>
      <c r="AB1" s="24" t="s">
        <v>38</v>
      </c>
      <c r="AC1" s="25" t="s">
        <v>39</v>
      </c>
      <c r="AD1" t="s">
        <v>223</v>
      </c>
      <c r="AF1" t="s">
        <v>72</v>
      </c>
    </row>
    <row r="2" spans="1:32">
      <c r="A2" t="s">
        <v>122</v>
      </c>
      <c r="B2" s="27"/>
      <c r="R2" s="27"/>
      <c r="Y2" s="28" t="s">
        <v>96</v>
      </c>
      <c r="Z2" s="28">
        <f>132%*1.12*1.2*(1+5%)</f>
        <v>1.862784</v>
      </c>
      <c r="AA2" s="4"/>
      <c r="AB2" s="28">
        <f>Z2*1.5</f>
        <v>2.794176</v>
      </c>
      <c r="AE2">
        <v>1.6</v>
      </c>
    </row>
    <row r="3" customFormat="1" spans="1:32">
      <c r="A3" t="s">
        <v>129</v>
      </c>
      <c r="B3" s="27"/>
      <c r="R3" s="27"/>
      <c r="Y3" s="28" t="s">
        <v>96</v>
      </c>
      <c r="Z3" s="28">
        <f>132%*1.12*1.4*(1+5%)</f>
        <v>2.173248</v>
      </c>
      <c r="AA3" s="4"/>
      <c r="AB3" s="28">
        <f>Z3*1.5</f>
        <v>3.259872</v>
      </c>
      <c r="AC3" s="25"/>
      <c r="AE3">
        <v>1.6</v>
      </c>
    </row>
    <row r="4" spans="1:32">
      <c r="A4" t="s">
        <v>124</v>
      </c>
      <c r="B4" s="27">
        <v>0.05</v>
      </c>
      <c r="R4" s="27">
        <v>0.3</v>
      </c>
      <c r="Y4" s="28" t="s">
        <v>96</v>
      </c>
      <c r="Z4" s="24">
        <f>113.33%</f>
        <v>1.1333</v>
      </c>
      <c r="AA4" s="25">
        <f>314</f>
        <v>314</v>
      </c>
      <c r="AB4" s="24">
        <f>169.99%</f>
        <v>1.6999</v>
      </c>
      <c r="AC4" s="25">
        <f>171</f>
        <v>171</v>
      </c>
      <c r="AE4">
        <v>1</v>
      </c>
      <c r="AF4" s="27">
        <v>0.4</v>
      </c>
    </row>
    <row r="5" spans="1:32">
      <c r="A5" t="s">
        <v>127</v>
      </c>
      <c r="B5" s="27">
        <v>0.05</v>
      </c>
      <c r="R5" s="27">
        <v>0.3</v>
      </c>
      <c r="Y5" s="28" t="s">
        <v>96</v>
      </c>
      <c r="Z5" s="24">
        <f>77.48%</f>
        <v>0.7748</v>
      </c>
      <c r="AA5" s="25">
        <f>216</f>
        <v>216</v>
      </c>
      <c r="AB5" s="24">
        <f>116.22%</f>
        <v>1.1622</v>
      </c>
      <c r="AC5" s="25">
        <f>117</f>
        <v>117</v>
      </c>
      <c r="AE5">
        <v>1</v>
      </c>
      <c r="AF5" s="27">
        <v>0.4</v>
      </c>
    </row>
    <row r="6" spans="1:32">
      <c r="A6" t="s">
        <v>224</v>
      </c>
      <c r="B6" s="27">
        <v>0.05</v>
      </c>
      <c r="R6" s="27">
        <v>0.3</v>
      </c>
      <c r="Y6" s="28" t="s">
        <v>96</v>
      </c>
      <c r="Z6" s="24">
        <f>189.08%</f>
        <v>1.8908</v>
      </c>
      <c r="AA6" s="25">
        <f>524</f>
        <v>524</v>
      </c>
      <c r="AB6" s="24">
        <f>283.62%</f>
        <v>2.8362</v>
      </c>
      <c r="AC6" s="25">
        <v>285</v>
      </c>
      <c r="AE6">
        <v>1</v>
      </c>
      <c r="AF6" s="27">
        <v>0.4</v>
      </c>
    </row>
    <row r="7" spans="1:32">
      <c r="A7" t="s">
        <v>119</v>
      </c>
      <c r="B7" s="27">
        <v>0.05</v>
      </c>
      <c r="R7" s="27">
        <v>0.3</v>
      </c>
      <c r="Y7" s="28" t="s">
        <v>96</v>
      </c>
      <c r="Z7" s="24">
        <f>76.24%*4</f>
        <v>3.0496</v>
      </c>
      <c r="AA7" s="25">
        <f>211*4</f>
        <v>844</v>
      </c>
      <c r="AB7" s="24">
        <f>114.36%*4</f>
        <v>4.5744</v>
      </c>
      <c r="AC7" s="25">
        <f>114*4</f>
        <v>456</v>
      </c>
      <c r="AE7">
        <v>1</v>
      </c>
      <c r="AF7" s="27">
        <v>0.4</v>
      </c>
    </row>
    <row r="8" spans="1:32">
      <c r="A8" t="s">
        <v>169</v>
      </c>
      <c r="B8" s="27"/>
      <c r="R8" s="27"/>
      <c r="Y8" s="28" t="s">
        <v>96</v>
      </c>
      <c r="Z8" s="24">
        <v>0.9193</v>
      </c>
      <c r="AA8" s="25">
        <v>255</v>
      </c>
      <c r="AB8" s="24">
        <v>1.379</v>
      </c>
      <c r="AC8" s="25">
        <v>139</v>
      </c>
      <c r="AE8">
        <v>1</v>
      </c>
      <c r="AF8" s="27">
        <v>0.4</v>
      </c>
    </row>
    <row r="9" spans="1:32">
      <c r="A9" t="s">
        <v>173</v>
      </c>
      <c r="B9" s="27"/>
      <c r="R9" s="27"/>
      <c r="Y9" s="28" t="s">
        <v>96</v>
      </c>
      <c r="Z9" s="24">
        <f>61.62%*2</f>
        <v>1.2324</v>
      </c>
      <c r="AA9" s="25">
        <f>171*2</f>
        <v>342</v>
      </c>
      <c r="AB9" s="24">
        <f>92.42%*2</f>
        <v>1.8484</v>
      </c>
      <c r="AC9" s="25">
        <f>93*2</f>
        <v>186</v>
      </c>
      <c r="AE9">
        <v>1</v>
      </c>
      <c r="AF9" s="27">
        <v>0.4</v>
      </c>
    </row>
    <row r="10" spans="1:32">
      <c r="A10" t="s">
        <v>133</v>
      </c>
      <c r="B10" s="27">
        <v>0.05</v>
      </c>
      <c r="R10" s="27">
        <v>0.3</v>
      </c>
      <c r="V10">
        <v>1</v>
      </c>
      <c r="Y10" s="28" t="s">
        <v>96</v>
      </c>
      <c r="Z10" s="24">
        <f>(96.34%+92.6%+112.98%+254.99%)</f>
        <v>5.5691</v>
      </c>
      <c r="AA10" s="25">
        <f>(267+257+313+707)</f>
        <v>1544</v>
      </c>
      <c r="AB10" s="24">
        <f>(144.51%+138.9%+169.47%+382.49%)</f>
        <v>8.3537</v>
      </c>
      <c r="AC10" s="25">
        <f>(145+140+170+385)</f>
        <v>840</v>
      </c>
      <c r="AD10" t="s">
        <v>225</v>
      </c>
      <c r="AE10">
        <v>1</v>
      </c>
      <c r="AF10" s="27">
        <v>0.4</v>
      </c>
    </row>
    <row r="11" customFormat="1" spans="1:32">
      <c r="A11" t="s">
        <v>136</v>
      </c>
      <c r="B11" s="27">
        <v>0.05</v>
      </c>
      <c r="R11" s="27">
        <v>0.3</v>
      </c>
      <c r="V11">
        <v>1</v>
      </c>
      <c r="Y11" s="28" t="s">
        <v>96</v>
      </c>
      <c r="Z11" s="24">
        <f>96.34%</f>
        <v>0.9634</v>
      </c>
      <c r="AA11" s="25">
        <f>267</f>
        <v>267</v>
      </c>
      <c r="AB11" s="24">
        <f>144.51%</f>
        <v>1.4451</v>
      </c>
      <c r="AC11" s="25">
        <f>145</f>
        <v>145</v>
      </c>
      <c r="AD11" t="s">
        <v>225</v>
      </c>
      <c r="AE11">
        <v>1</v>
      </c>
      <c r="AF11" s="27">
        <v>0.4</v>
      </c>
    </row>
    <row r="12" customFormat="1" spans="1:32">
      <c r="A12" t="s">
        <v>142</v>
      </c>
      <c r="B12" s="27">
        <v>0.05</v>
      </c>
      <c r="R12" s="27">
        <v>0.3</v>
      </c>
      <c r="V12">
        <v>1</v>
      </c>
      <c r="Y12" s="28" t="s">
        <v>96</v>
      </c>
      <c r="Z12" s="24">
        <f>92.6%</f>
        <v>0.926</v>
      </c>
      <c r="AA12" s="25">
        <f>257</f>
        <v>257</v>
      </c>
      <c r="AB12" s="24">
        <f>138.9%</f>
        <v>1.389</v>
      </c>
      <c r="AC12" s="25">
        <f>140</f>
        <v>140</v>
      </c>
      <c r="AD12" t="s">
        <v>225</v>
      </c>
      <c r="AE12">
        <v>1</v>
      </c>
      <c r="AF12" s="27">
        <v>0.4</v>
      </c>
    </row>
    <row r="13" customFormat="1" spans="1:32">
      <c r="A13" t="s">
        <v>146</v>
      </c>
      <c r="B13" s="27">
        <v>0.05</v>
      </c>
      <c r="R13" s="27">
        <v>0.3</v>
      </c>
      <c r="V13">
        <v>1</v>
      </c>
      <c r="Y13" s="28" t="s">
        <v>96</v>
      </c>
      <c r="Z13" s="24">
        <f>112.98%</f>
        <v>1.1298</v>
      </c>
      <c r="AA13" s="25">
        <f>313</f>
        <v>313</v>
      </c>
      <c r="AB13" s="24">
        <f>169.47%</f>
        <v>1.6947</v>
      </c>
      <c r="AC13" s="25">
        <f>170</f>
        <v>170</v>
      </c>
      <c r="AD13" t="s">
        <v>225</v>
      </c>
      <c r="AE13">
        <v>1</v>
      </c>
      <c r="AF13" s="27">
        <v>0.4</v>
      </c>
    </row>
    <row r="14" customFormat="1" spans="1:32">
      <c r="A14" t="s">
        <v>151</v>
      </c>
      <c r="B14" s="27">
        <v>0.05</v>
      </c>
      <c r="R14" s="27">
        <v>0.3</v>
      </c>
      <c r="V14">
        <v>1</v>
      </c>
      <c r="Y14" s="28" t="s">
        <v>96</v>
      </c>
      <c r="Z14" s="24">
        <f>254.99%</f>
        <v>2.5499</v>
      </c>
      <c r="AA14" s="25">
        <f>707</f>
        <v>707</v>
      </c>
      <c r="AB14" s="24">
        <f>382.49%</f>
        <v>3.8249</v>
      </c>
      <c r="AC14" s="25">
        <f>385</f>
        <v>385</v>
      </c>
      <c r="AD14" t="s">
        <v>225</v>
      </c>
      <c r="AE14">
        <v>1</v>
      </c>
      <c r="AF14" s="27">
        <v>0.4</v>
      </c>
    </row>
    <row r="15" customFormat="1" spans="1:32">
      <c r="A15" t="s">
        <v>110</v>
      </c>
      <c r="B15" s="27"/>
      <c r="R15" s="27"/>
      <c r="Y15" s="28" t="s">
        <v>102</v>
      </c>
      <c r="Z15" s="24">
        <v>0.6587</v>
      </c>
      <c r="AA15" s="25">
        <v>183</v>
      </c>
      <c r="AB15" s="24">
        <v>0.9881</v>
      </c>
      <c r="AC15" s="25">
        <v>100</v>
      </c>
      <c r="AD15"/>
      <c r="AE15">
        <v>1</v>
      </c>
    </row>
    <row r="16" customFormat="1" spans="1:32">
      <c r="A16" t="s">
        <v>185</v>
      </c>
      <c r="B16" s="27"/>
      <c r="R16" s="27"/>
      <c r="Y16" s="28" t="s">
        <v>102</v>
      </c>
      <c r="Z16" s="24">
        <f>65.87%*1.2</f>
        <v>0.79044</v>
      </c>
      <c r="AA16" s="25">
        <f>183*1.2</f>
        <v>219.6</v>
      </c>
      <c r="AB16" s="24">
        <f>98.81%*1.2</f>
        <v>1.18572</v>
      </c>
      <c r="AC16" s="25">
        <f>100*1.2</f>
        <v>120</v>
      </c>
      <c r="AE16">
        <v>1</v>
      </c>
    </row>
    <row r="17" customFormat="1" spans="1:32">
      <c r="A17" t="s">
        <v>157</v>
      </c>
      <c r="B17" s="27">
        <v>0.05</v>
      </c>
      <c r="R17" s="27">
        <v>0.3</v>
      </c>
      <c r="V17">
        <v>1</v>
      </c>
      <c r="Y17" s="28" t="s">
        <v>102</v>
      </c>
      <c r="Z17" s="24">
        <f>(203.94%)*1.4</f>
        <v>2.85516</v>
      </c>
      <c r="AA17" s="25">
        <f>(564)*1.4</f>
        <v>789.6</v>
      </c>
      <c r="AB17" s="24">
        <f>(305.91%)*1.4</f>
        <v>4.28274</v>
      </c>
      <c r="AC17" s="25">
        <f>(307)*1.4</f>
        <v>429.8</v>
      </c>
      <c r="AD17" t="s">
        <v>225</v>
      </c>
      <c r="AE17">
        <v>1</v>
      </c>
      <c r="AF17" s="27">
        <v>0.5</v>
      </c>
    </row>
    <row r="18" customFormat="1" spans="1:32">
      <c r="A18" t="s">
        <v>163</v>
      </c>
      <c r="B18" s="27">
        <v>0.05</v>
      </c>
      <c r="R18" s="27">
        <v>0.3</v>
      </c>
      <c r="V18">
        <v>1</v>
      </c>
      <c r="Y18" s="28" t="s">
        <v>102</v>
      </c>
      <c r="Z18" s="24">
        <f>33.99%*8*1.4</f>
        <v>3.80688</v>
      </c>
      <c r="AA18" s="25">
        <f>94*8*1.4</f>
        <v>1052.8</v>
      </c>
      <c r="AB18" s="24">
        <f>50.98%*8*1.4</f>
        <v>5.70976</v>
      </c>
      <c r="AC18" s="25">
        <f>51*8*1.4</f>
        <v>571.2</v>
      </c>
      <c r="AD18" t="s">
        <v>225</v>
      </c>
      <c r="AE18">
        <v>1</v>
      </c>
      <c r="AF18" s="27">
        <v>0.5</v>
      </c>
    </row>
    <row r="19" customFormat="1" spans="1:32">
      <c r="A19" t="s">
        <v>166</v>
      </c>
      <c r="B19" s="27">
        <v>0.05</v>
      </c>
      <c r="R19" s="27">
        <v>0.3</v>
      </c>
      <c r="V19">
        <v>1</v>
      </c>
      <c r="Y19" s="28" t="s">
        <v>102</v>
      </c>
      <c r="Z19" s="24">
        <f>(203.94%)*1.4</f>
        <v>2.85516</v>
      </c>
      <c r="AA19" s="25">
        <f>(564)*1.4</f>
        <v>789.6</v>
      </c>
      <c r="AB19" s="24">
        <f>(305.91%)*1.4</f>
        <v>4.28274</v>
      </c>
      <c r="AC19" s="25">
        <f>(307)*1.4</f>
        <v>429.8</v>
      </c>
      <c r="AD19" t="s">
        <v>225</v>
      </c>
      <c r="AE19">
        <v>1</v>
      </c>
      <c r="AF19" s="27">
        <v>0.5</v>
      </c>
    </row>
    <row r="20" customFormat="1" spans="1:32">
      <c r="A20" t="s">
        <v>226</v>
      </c>
      <c r="B20" s="27">
        <v>0.05</v>
      </c>
      <c r="R20" s="27">
        <v>0.3</v>
      </c>
      <c r="V20">
        <v>1</v>
      </c>
      <c r="Y20" s="28" t="s">
        <v>102</v>
      </c>
      <c r="Z20" s="24">
        <f>(203.94%*2+33.99%*8)*1.4</f>
        <v>9.5172</v>
      </c>
      <c r="AA20" s="25">
        <f>(564*2+94*8)*1.4</f>
        <v>2632</v>
      </c>
      <c r="AB20" s="24">
        <f>(305.91%*2+50.98%*8)*1.4</f>
        <v>14.27524</v>
      </c>
      <c r="AC20" s="25">
        <f>(307*2+51*8)*1.4</f>
        <v>1430.8</v>
      </c>
      <c r="AD20" t="s">
        <v>225</v>
      </c>
      <c r="AE20">
        <v>1</v>
      </c>
      <c r="AF20" s="27">
        <v>0.5</v>
      </c>
    </row>
    <row r="21" spans="1:32">
      <c r="A21" t="s">
        <v>227</v>
      </c>
      <c r="R21" s="27"/>
      <c r="Y21" s="28" t="s">
        <v>102</v>
      </c>
      <c r="Z21" s="28">
        <f>105.6%</f>
        <v>1.056</v>
      </c>
      <c r="AA21" s="29">
        <f>293</f>
        <v>293</v>
      </c>
      <c r="AB21" s="28">
        <f>158.41%</f>
        <v>1.5841</v>
      </c>
      <c r="AC21" s="25">
        <f>160</f>
        <v>160</v>
      </c>
      <c r="AE21">
        <v>1</v>
      </c>
    </row>
    <row r="22" customFormat="1" spans="1:32">
      <c r="A22" t="s">
        <v>115</v>
      </c>
      <c r="R22" s="27"/>
      <c r="Y22" s="28" t="s">
        <v>102</v>
      </c>
      <c r="Z22" s="28">
        <f>105.6%*1.3</f>
        <v>1.3728</v>
      </c>
      <c r="AA22" s="29">
        <f>293*1.3</f>
        <v>380.9</v>
      </c>
      <c r="AB22" s="28">
        <f>158.41%*1.3</f>
        <v>2.05933</v>
      </c>
      <c r="AC22" s="25">
        <f>160*1.3</f>
        <v>208</v>
      </c>
      <c r="AE22">
        <v>1</v>
      </c>
    </row>
    <row r="23" customFormat="1" spans="1:32">
      <c r="A23" t="s">
        <v>180</v>
      </c>
      <c r="Q23" s="24"/>
      <c r="R23" s="27"/>
      <c r="Y23" t="s">
        <v>228</v>
      </c>
      <c r="Z23" s="24">
        <v>0</v>
      </c>
      <c r="AA23" s="25">
        <v>0</v>
      </c>
      <c r="AB23" s="24">
        <v>0</v>
      </c>
      <c r="AC23" s="25">
        <v>0</v>
      </c>
      <c r="AE23">
        <v>0.5</v>
      </c>
    </row>
    <row r="24" customFormat="1" spans="1:32">
      <c r="A24" t="s">
        <v>229</v>
      </c>
      <c r="Q24" s="24"/>
      <c r="R24" s="27"/>
      <c r="Y24" t="s">
        <v>109</v>
      </c>
      <c r="Z24" s="24">
        <f>198.74%*2</f>
        <v>3.9748</v>
      </c>
      <c r="AA24" s="25">
        <f>516*2</f>
        <v>1032</v>
      </c>
      <c r="AB24" s="24">
        <f>Z24*1.5</f>
        <v>5.9622</v>
      </c>
      <c r="AC24" s="25"/>
      <c r="AE24">
        <v>1</v>
      </c>
    </row>
    <row r="25" customFormat="1" spans="1:32">
      <c r="A25" t="s">
        <v>230</v>
      </c>
      <c r="Q25" s="24"/>
      <c r="R25" s="27"/>
      <c r="Y25" t="s">
        <v>109</v>
      </c>
      <c r="Z25" s="24">
        <f>74.53%*2</f>
        <v>1.4906</v>
      </c>
      <c r="AA25" s="25">
        <f>193*2</f>
        <v>386</v>
      </c>
      <c r="AB25" s="24">
        <f>Z25*1.5</f>
        <v>2.2359</v>
      </c>
      <c r="AC25" s="25"/>
      <c r="AE25">
        <v>1</v>
      </c>
    </row>
    <row r="26" customFormat="1" spans="1:32">
      <c r="A26" t="s">
        <v>231</v>
      </c>
      <c r="B26" s="27"/>
      <c r="E26" s="27"/>
      <c r="G26" s="27"/>
      <c r="N26" s="27"/>
      <c r="R26" s="27"/>
      <c r="Y26" t="s">
        <v>109</v>
      </c>
      <c r="Z26" s="24">
        <f>254.72%*2.7*1.5</f>
        <v>10.31616</v>
      </c>
      <c r="AA26" s="25">
        <f>511*2.7*1.5</f>
        <v>2069.55</v>
      </c>
      <c r="AB26" s="24">
        <f t="shared" ref="AB26:AB42" si="0">Z26*1.5</f>
        <v>15.47424</v>
      </c>
      <c r="AC26" s="25"/>
      <c r="AE26">
        <v>1</v>
      </c>
    </row>
    <row r="27" customFormat="1" spans="1:32">
      <c r="A27" t="s">
        <v>232</v>
      </c>
      <c r="B27" s="27"/>
      <c r="Q27" s="24"/>
      <c r="R27" s="27"/>
      <c r="Y27" t="s">
        <v>105</v>
      </c>
      <c r="Z27" s="24">
        <f>319.92%+391.02%</f>
        <v>7.1094</v>
      </c>
      <c r="AA27" s="25">
        <f>639+781</f>
        <v>1420</v>
      </c>
      <c r="AB27" s="24">
        <f t="shared" si="0"/>
        <v>10.6641</v>
      </c>
      <c r="AC27" s="25"/>
      <c r="AE27">
        <v>1</v>
      </c>
    </row>
    <row r="28" customFormat="1" spans="1:32">
      <c r="A28" t="s">
        <v>233</v>
      </c>
      <c r="B28" s="27">
        <v>0.47</v>
      </c>
      <c r="Q28" s="24"/>
      <c r="R28" s="27"/>
      <c r="V28">
        <v>1</v>
      </c>
      <c r="Y28" t="s">
        <v>105</v>
      </c>
      <c r="Z28" s="24">
        <f>1636.57%*2.2*0.7</f>
        <v>25.203178</v>
      </c>
      <c r="AA28" s="25">
        <f>3275*2.2*0.7</f>
        <v>5043.5</v>
      </c>
      <c r="AB28" s="24">
        <f t="shared" si="0"/>
        <v>37.804767</v>
      </c>
      <c r="AC28" s="25"/>
      <c r="AE28">
        <v>1</v>
      </c>
    </row>
    <row r="29" customFormat="1" spans="1:32">
      <c r="A29" t="s">
        <v>234</v>
      </c>
      <c r="Q29" s="24"/>
      <c r="R29" s="27"/>
      <c r="Y29" t="s">
        <v>109</v>
      </c>
      <c r="Z29" s="24">
        <f>(416.02%+772.61%)*2</f>
        <v>23.7726</v>
      </c>
      <c r="AA29" s="25">
        <f>(803+1493)*2</f>
        <v>4592</v>
      </c>
      <c r="AB29" s="24">
        <f t="shared" si="0"/>
        <v>35.6589</v>
      </c>
      <c r="AC29" s="25"/>
      <c r="AE29">
        <v>1</v>
      </c>
    </row>
    <row r="30" customFormat="1" spans="1:32">
      <c r="A30" t="s">
        <v>235</v>
      </c>
      <c r="B30" s="27"/>
      <c r="Q30" s="24"/>
      <c r="R30" s="27"/>
      <c r="Y30" t="s">
        <v>105</v>
      </c>
      <c r="Z30" s="24">
        <f>257.06%/2</f>
        <v>1.2853</v>
      </c>
      <c r="AA30" s="25">
        <f>520/2</f>
        <v>260</v>
      </c>
      <c r="AB30" s="24">
        <f t="shared" si="0"/>
        <v>1.92795</v>
      </c>
      <c r="AC30" s="25"/>
      <c r="AE30">
        <v>1</v>
      </c>
    </row>
    <row r="31" customFormat="1" spans="1:32">
      <c r="A31" t="s">
        <v>236</v>
      </c>
      <c r="Q31" s="24"/>
      <c r="R31" s="27"/>
      <c r="Y31" t="s">
        <v>105</v>
      </c>
      <c r="Z31" s="24">
        <f>257.06%+141.64%</f>
        <v>3.987</v>
      </c>
      <c r="AA31" s="25">
        <f>520+287</f>
        <v>807</v>
      </c>
      <c r="AB31" s="24">
        <f t="shared" si="0"/>
        <v>5.9805</v>
      </c>
      <c r="AC31" s="25"/>
      <c r="AE31">
        <v>1</v>
      </c>
    </row>
    <row r="32" customFormat="1" spans="1:32">
      <c r="A32" t="s">
        <v>237</v>
      </c>
      <c r="B32" s="27"/>
      <c r="Q32" s="24"/>
      <c r="R32" s="27"/>
      <c r="T32" s="27"/>
      <c r="Y32" t="s">
        <v>105</v>
      </c>
      <c r="Z32" s="24">
        <v>0.2361</v>
      </c>
      <c r="AA32" s="25">
        <v>47</v>
      </c>
      <c r="AB32" s="24">
        <f t="shared" si="0"/>
        <v>0.35415</v>
      </c>
      <c r="AC32" s="25"/>
      <c r="AE32">
        <v>0.6</v>
      </c>
    </row>
    <row r="33" customFormat="1" spans="1:31">
      <c r="A33" t="s">
        <v>238</v>
      </c>
      <c r="B33" s="27"/>
      <c r="Q33" s="24"/>
      <c r="R33" s="27"/>
      <c r="Y33" t="s">
        <v>105</v>
      </c>
      <c r="Z33" s="24">
        <f>272.47%/2</f>
        <v>1.36235</v>
      </c>
      <c r="AA33" s="25">
        <f>548/2</f>
        <v>274</v>
      </c>
      <c r="AB33" s="24">
        <f t="shared" si="0"/>
        <v>2.043525</v>
      </c>
      <c r="AC33" s="25"/>
      <c r="AE33">
        <v>1</v>
      </c>
    </row>
    <row r="34" customFormat="1" spans="1:31">
      <c r="A34" t="s">
        <v>239</v>
      </c>
      <c r="Q34" s="24"/>
      <c r="R34" s="27"/>
      <c r="Y34" t="s">
        <v>105</v>
      </c>
      <c r="Z34" s="24">
        <f>272.47%+150.14%</f>
        <v>4.2261</v>
      </c>
      <c r="AA34" s="25">
        <f>548+302</f>
        <v>850</v>
      </c>
      <c r="AB34" s="24">
        <f t="shared" si="0"/>
        <v>6.33915</v>
      </c>
      <c r="AC34" s="25"/>
      <c r="AE34">
        <v>1</v>
      </c>
    </row>
    <row r="35" customFormat="1" spans="1:31">
      <c r="A35" t="s">
        <v>240</v>
      </c>
      <c r="B35" s="27"/>
      <c r="Q35" s="24"/>
      <c r="R35" s="27"/>
      <c r="T35" s="27"/>
      <c r="Y35" t="s">
        <v>105</v>
      </c>
      <c r="Z35" s="24">
        <v>0.2958</v>
      </c>
      <c r="AA35" s="25">
        <v>59</v>
      </c>
      <c r="AB35" s="24">
        <f t="shared" si="0"/>
        <v>0.4437</v>
      </c>
      <c r="AC35" s="25"/>
      <c r="AE35">
        <v>0.6</v>
      </c>
    </row>
    <row r="36" customFormat="1" spans="1:31">
      <c r="A36" t="s">
        <v>241</v>
      </c>
      <c r="Q36" s="24"/>
      <c r="R36" s="27"/>
      <c r="Y36" t="s">
        <v>105</v>
      </c>
      <c r="Z36" s="24">
        <v>1.024</v>
      </c>
      <c r="AA36" s="25">
        <v>203</v>
      </c>
      <c r="AB36" s="24">
        <f t="shared" si="0"/>
        <v>1.536</v>
      </c>
      <c r="AC36" s="25"/>
      <c r="AE36">
        <v>1</v>
      </c>
    </row>
    <row r="37" customFormat="1" spans="1:31">
      <c r="A37" t="s">
        <v>242</v>
      </c>
      <c r="B37" s="27">
        <v>0.8</v>
      </c>
      <c r="Q37" s="24"/>
      <c r="R37" s="27"/>
      <c r="Y37" t="s">
        <v>105</v>
      </c>
      <c r="Z37" s="24">
        <v>1.7066</v>
      </c>
      <c r="AA37" s="25">
        <v>339</v>
      </c>
      <c r="AB37" s="24">
        <f t="shared" si="0"/>
        <v>2.5599</v>
      </c>
      <c r="AC37" s="25"/>
      <c r="AE37">
        <v>1</v>
      </c>
    </row>
    <row r="38" customFormat="1" spans="1:31">
      <c r="A38" t="s">
        <v>243</v>
      </c>
      <c r="Q38" s="24"/>
      <c r="R38" s="27"/>
      <c r="Y38" t="s">
        <v>105</v>
      </c>
      <c r="Z38" s="24">
        <v>0.7022</v>
      </c>
      <c r="AA38" s="25">
        <v>139</v>
      </c>
      <c r="AB38" s="24">
        <f t="shared" si="0"/>
        <v>1.0533</v>
      </c>
      <c r="AC38" s="25"/>
      <c r="AE38">
        <v>1</v>
      </c>
    </row>
    <row r="39" customFormat="1" spans="1:31">
      <c r="A39" t="s">
        <v>244</v>
      </c>
      <c r="Q39" s="24"/>
      <c r="R39" s="27"/>
      <c r="Y39" t="s">
        <v>105</v>
      </c>
      <c r="Z39" s="24">
        <v>1.6091</v>
      </c>
      <c r="AA39" s="25">
        <v>319</v>
      </c>
      <c r="AB39" s="24">
        <f t="shared" si="0"/>
        <v>2.41365</v>
      </c>
      <c r="AC39" s="25"/>
      <c r="AE39">
        <v>1</v>
      </c>
    </row>
    <row r="40" customFormat="1" spans="1:31">
      <c r="A40" t="s">
        <v>209</v>
      </c>
      <c r="Q40" s="24"/>
      <c r="R40" s="27"/>
      <c r="Y40" t="s">
        <v>228</v>
      </c>
      <c r="Z40" s="24">
        <v>1</v>
      </c>
      <c r="AA40" s="25"/>
      <c r="AB40" s="24">
        <v>1</v>
      </c>
      <c r="AC40" s="25"/>
      <c r="AE40">
        <v>1</v>
      </c>
    </row>
    <row r="41" customFormat="1" spans="1:31">
      <c r="A41" t="s">
        <v>245</v>
      </c>
      <c r="B41" s="27"/>
      <c r="E41" s="27"/>
      <c r="G41" s="27"/>
      <c r="N41" s="27"/>
      <c r="R41" s="27"/>
      <c r="Y41" t="s">
        <v>109</v>
      </c>
      <c r="Z41" s="24">
        <f>254.72%*2.7</f>
        <v>6.87744</v>
      </c>
      <c r="AA41" s="25">
        <f>511*2.7</f>
        <v>1379.7</v>
      </c>
      <c r="AB41" s="24">
        <f t="shared" si="0"/>
        <v>10.31616</v>
      </c>
      <c r="AC41" s="25"/>
      <c r="AE41">
        <v>1</v>
      </c>
    </row>
    <row r="42" customFormat="1" spans="1:31">
      <c r="A42" t="s">
        <v>78</v>
      </c>
      <c r="Q42" s="24"/>
      <c r="Y42" t="s">
        <v>109</v>
      </c>
      <c r="Z42" s="24">
        <f>118.87%*2</f>
        <v>2.3774</v>
      </c>
      <c r="AA42" s="25">
        <f>238*2</f>
        <v>476</v>
      </c>
      <c r="AB42" s="24">
        <f t="shared" si="0"/>
        <v>3.5661</v>
      </c>
      <c r="AC42" s="25"/>
      <c r="AE42">
        <v>1</v>
      </c>
    </row>
    <row r="43" customFormat="1" spans="1:31">
      <c r="A43" t="s">
        <v>84</v>
      </c>
      <c r="Q43" s="24"/>
      <c r="Y43" t="s">
        <v>228</v>
      </c>
      <c r="Z43" s="24">
        <v>0</v>
      </c>
      <c r="AA43" s="25"/>
      <c r="AB43" s="24">
        <v>0</v>
      </c>
      <c r="AC43" s="25"/>
      <c r="AE43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0"/>
  <sheetViews>
    <sheetView topLeftCell="A19" workbookViewId="0">
      <selection activeCell="I51" sqref="I51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4"/>
    <col min="24" max="24" width="9.375" style="24"/>
    <col min="25" max="25" width="9" style="25"/>
    <col min="26" max="26" width="9.375" style="24"/>
    <col min="27" max="27" width="9" style="25"/>
  </cols>
  <sheetData>
    <row r="1" spans="1:27">
      <c r="B1" t="s">
        <v>40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118</v>
      </c>
      <c r="R1" t="s">
        <v>217</v>
      </c>
      <c r="S1" t="s">
        <v>120</v>
      </c>
      <c r="T1" t="s">
        <v>218</v>
      </c>
      <c r="U1" t="s">
        <v>246</v>
      </c>
      <c r="V1" t="s">
        <v>247</v>
      </c>
      <c r="W1" s="24" t="s">
        <v>71</v>
      </c>
      <c r="X1" s="26" t="s">
        <v>73</v>
      </c>
    </row>
    <row r="2" spans="1:27">
      <c r="A2" t="s">
        <v>85</v>
      </c>
      <c r="B2" s="27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8"/>
      <c r="X2" s="28"/>
      <c r="Y2" s="29"/>
      <c r="Z2" s="28"/>
    </row>
    <row r="3" spans="1:27">
      <c r="A3" t="s">
        <v>248</v>
      </c>
      <c r="B3" s="27">
        <f>IF(期望!$D$20="√",25%,0)</f>
        <v>0.25</v>
      </c>
      <c r="W3" s="28"/>
      <c r="X3" s="28"/>
      <c r="Y3" s="29"/>
      <c r="Z3" s="28"/>
    </row>
    <row r="4" spans="1:27">
      <c r="A4" t="s">
        <v>100</v>
      </c>
      <c r="B4" s="27"/>
      <c r="E4" s="27">
        <f>IF(期望!$D$21="√",12%,0)</f>
        <v>0</v>
      </c>
      <c r="H4" s="27">
        <f>IF(期望!$D$21="√",12%,0)</f>
        <v>0</v>
      </c>
      <c r="I4" s="27"/>
      <c r="W4" s="28"/>
      <c r="X4" s="28"/>
      <c r="Y4" s="29"/>
      <c r="Z4" s="28"/>
    </row>
    <row r="5" spans="1:27">
      <c r="A5" t="s">
        <v>92</v>
      </c>
      <c r="B5" s="27"/>
      <c r="H5" s="27">
        <f>IF(期望!$D$21="√",6%,0)</f>
        <v>0</v>
      </c>
      <c r="W5" s="28"/>
      <c r="X5" s="28"/>
      <c r="Y5" s="29"/>
      <c r="Z5" s="28"/>
    </row>
    <row r="6" spans="1:27">
      <c r="A6" t="s">
        <v>87</v>
      </c>
      <c r="B6" s="27"/>
      <c r="G6" s="27">
        <f>IF(期望!$D$21="√",2%,0)</f>
        <v>0</v>
      </c>
      <c r="J6" s="27">
        <f>IF(期望!$D$21="√",2%,0)</f>
        <v>0</v>
      </c>
      <c r="L6" s="27">
        <f>IF(期望!$D$21="√",2%,0)</f>
        <v>0</v>
      </c>
      <c r="N6" s="27">
        <f>IF(期望!$D$21="√",2%,0)</f>
        <v>0</v>
      </c>
      <c r="P6" s="27">
        <f>IF(期望!$D$21="√",2%,0)</f>
        <v>0</v>
      </c>
      <c r="W6" s="28"/>
      <c r="X6" s="28"/>
      <c r="Y6" s="29"/>
      <c r="Z6" s="28"/>
    </row>
    <row r="7" spans="1:27">
      <c r="A7" t="s">
        <v>81</v>
      </c>
      <c r="B7" s="27"/>
      <c r="G7" s="27">
        <v>0.02</v>
      </c>
      <c r="J7" s="27">
        <v>0.02</v>
      </c>
      <c r="L7" s="27">
        <v>0.02</v>
      </c>
      <c r="N7" s="27">
        <v>0.02</v>
      </c>
      <c r="P7" s="27">
        <v>0.02</v>
      </c>
      <c r="W7" s="28"/>
      <c r="X7" s="28"/>
      <c r="Y7" s="29"/>
      <c r="Z7" s="28"/>
    </row>
    <row r="8" spans="1:27">
      <c r="A8" t="s">
        <v>181</v>
      </c>
      <c r="B8" s="27"/>
      <c r="W8" s="28"/>
      <c r="X8" s="28">
        <v>0.2</v>
      </c>
      <c r="Y8" s="29"/>
      <c r="Z8" s="28"/>
    </row>
    <row r="9" spans="1:27">
      <c r="A9" t="s">
        <v>88</v>
      </c>
      <c r="B9" s="27"/>
      <c r="W9" s="28">
        <v>0.05</v>
      </c>
      <c r="X9" s="28"/>
      <c r="Y9" s="29"/>
      <c r="Z9" s="28"/>
    </row>
    <row r="10" customFormat="1" spans="1:27">
      <c r="A10" t="s">
        <v>111</v>
      </c>
      <c r="B10" s="27"/>
      <c r="F10">
        <f>IF(期望!$E$22="燕别云岫",6,0)</f>
        <v>0</v>
      </c>
      <c r="I10">
        <f>IF(期望!$E$22="燕别云岫",6,0)</f>
        <v>0</v>
      </c>
      <c r="K10">
        <f>IF(期望!$E$22="燕别云岫",6,0)</f>
        <v>0</v>
      </c>
      <c r="M10">
        <f>IF(期望!$E$22="燕别云岫",6,0)</f>
        <v>0</v>
      </c>
      <c r="O10">
        <f>IF(期望!$E$22="燕别云岫",6,0)</f>
        <v>0</v>
      </c>
      <c r="W10" s="28"/>
      <c r="X10" s="28"/>
      <c r="Y10" s="29"/>
      <c r="Z10" s="28"/>
      <c r="AA10" s="25"/>
    </row>
    <row r="11" customFormat="1" spans="1:27">
      <c r="A11" t="s">
        <v>171</v>
      </c>
      <c r="B11" s="27"/>
      <c r="F11">
        <f>IF(期望!$E$22="燕别云岫",7,0)</f>
        <v>0</v>
      </c>
      <c r="I11">
        <f>IF(期望!$E$22="燕别云岫",7,0)</f>
        <v>0</v>
      </c>
      <c r="K11">
        <f>IF(期望!$E$22="燕别云岫",7,0)</f>
        <v>0</v>
      </c>
      <c r="M11">
        <f>IF(期望!$E$22="燕别云岫",7,0)</f>
        <v>0</v>
      </c>
      <c r="O11">
        <f>IF(期望!$E$22="燕别云岫",7,0)</f>
        <v>0</v>
      </c>
      <c r="W11" s="28"/>
      <c r="X11" s="28"/>
      <c r="Y11" s="29"/>
      <c r="Z11" s="28"/>
      <c r="AA11" s="25"/>
    </row>
    <row r="12" customFormat="1" spans="1:27">
      <c r="A12" t="s">
        <v>249</v>
      </c>
      <c r="B12" s="27"/>
      <c r="F12">
        <f>IF(期望!$E$22="燕别云岫",8,0)</f>
        <v>0</v>
      </c>
      <c r="I12">
        <f>IF(期望!$E$22="燕别云岫",8,0)</f>
        <v>0</v>
      </c>
      <c r="K12">
        <f>IF(期望!$E$22="燕别云岫",8,0)</f>
        <v>0</v>
      </c>
      <c r="M12">
        <f>IF(期望!$E$22="燕别云岫",8,0)</f>
        <v>0</v>
      </c>
      <c r="O12">
        <f>IF(期望!$E$22="燕别云岫",8,0)</f>
        <v>0</v>
      </c>
      <c r="W12" s="28"/>
      <c r="X12" s="28"/>
      <c r="Y12" s="29"/>
      <c r="Z12" s="28"/>
      <c r="AA12" s="25"/>
    </row>
    <row r="13" customFormat="1" spans="1:27">
      <c r="A13" t="s">
        <v>250</v>
      </c>
      <c r="B13" s="27"/>
      <c r="F13">
        <f>IF(期望!$E$22="燕别云岫",9,0)</f>
        <v>0</v>
      </c>
      <c r="I13">
        <f>IF(期望!$E$22="燕别云岫",9,0)</f>
        <v>0</v>
      </c>
      <c r="K13">
        <f>IF(期望!$E$22="燕别云岫",9,0)</f>
        <v>0</v>
      </c>
      <c r="M13">
        <f>IF(期望!$E$22="燕别云岫",9,0)</f>
        <v>0</v>
      </c>
      <c r="O13">
        <f>IF(期望!$E$22="燕别云岫",9,0)</f>
        <v>0</v>
      </c>
      <c r="W13" s="28"/>
      <c r="X13" s="28"/>
      <c r="Y13" s="29"/>
      <c r="Z13" s="28"/>
      <c r="AA13" s="25"/>
    </row>
    <row r="14" customFormat="1" spans="1:27">
      <c r="A14" t="s">
        <v>205</v>
      </c>
      <c r="B14" s="27"/>
      <c r="F14">
        <f>IF(期望!$E$22="燕别云岫",10,0)</f>
        <v>0</v>
      </c>
      <c r="I14">
        <f>IF(期望!$E$22="燕别云岫",10,0)</f>
        <v>0</v>
      </c>
      <c r="K14">
        <f>IF(期望!$E$22="燕别云岫",10,0)</f>
        <v>0</v>
      </c>
      <c r="M14">
        <f>IF(期望!$E$22="燕别云岫",10,0)</f>
        <v>0</v>
      </c>
      <c r="O14">
        <f>IF(期望!$E$22="燕别云岫",10,0)</f>
        <v>0</v>
      </c>
      <c r="W14" s="28"/>
      <c r="X14" s="28"/>
      <c r="Y14" s="29"/>
      <c r="Z14" s="28"/>
      <c r="AA14" s="25"/>
    </row>
    <row r="15" spans="1:27">
      <c r="A15" t="s">
        <v>86</v>
      </c>
      <c r="B15" s="27"/>
      <c r="F15">
        <f>IF(期望!$E$22="燕别云岫",12,0)</f>
        <v>0</v>
      </c>
      <c r="I15">
        <f>IF(期望!$E$22="燕别云岫",12,0)</f>
        <v>0</v>
      </c>
      <c r="K15">
        <f>IF(期望!$E$22="燕别云岫",12,0)</f>
        <v>0</v>
      </c>
      <c r="M15">
        <f>IF(期望!$E$22="燕别云岫",12,0)</f>
        <v>0</v>
      </c>
      <c r="O15">
        <f>IF(期望!$E$22="燕别云岫",12,0)</f>
        <v>0</v>
      </c>
      <c r="W15" s="28"/>
      <c r="X15" s="28"/>
      <c r="Y15" s="29"/>
      <c r="Z15" s="28"/>
    </row>
    <row r="16" customFormat="1" spans="1:27">
      <c r="A16" t="s">
        <v>107</v>
      </c>
      <c r="B16" s="27"/>
      <c r="F16">
        <f>IF(期望!$E$22="燕别云岫",14,0)</f>
        <v>0</v>
      </c>
      <c r="I16">
        <f>IF(期望!$E$22="燕别云岫",14,0)</f>
        <v>0</v>
      </c>
      <c r="K16">
        <f>IF(期望!$E$22="燕别云岫",14,0)</f>
        <v>0</v>
      </c>
      <c r="M16">
        <f>IF(期望!$E$22="燕别云岫",14,0)</f>
        <v>0</v>
      </c>
      <c r="O16">
        <f>IF(期望!$E$22="燕别云岫",14,0)</f>
        <v>0</v>
      </c>
      <c r="W16" s="28"/>
      <c r="X16" s="28"/>
      <c r="Y16" s="29"/>
      <c r="Z16" s="28"/>
      <c r="AA16" s="25"/>
    </row>
    <row r="17" customFormat="1" spans="1:27">
      <c r="A17" t="s">
        <v>187</v>
      </c>
      <c r="B17" s="27"/>
      <c r="F17">
        <f>IF(期望!$E$22="燕别云岫",16,0)</f>
        <v>0</v>
      </c>
      <c r="I17">
        <f>IF(期望!$E$22="燕别云岫",16,0)</f>
        <v>0</v>
      </c>
      <c r="K17">
        <f>IF(期望!$E$22="燕别云岫",16,0)</f>
        <v>0</v>
      </c>
      <c r="M17">
        <f>IF(期望!$E$22="燕别云岫",16,0)</f>
        <v>0</v>
      </c>
      <c r="O17">
        <f>IF(期望!$E$22="燕别云岫",16,0)</f>
        <v>0</v>
      </c>
      <c r="W17" s="28"/>
      <c r="X17" s="28"/>
      <c r="Y17" s="29"/>
      <c r="Z17" s="28"/>
      <c r="AA17" s="25"/>
    </row>
    <row r="18" customFormat="1" spans="1:27">
      <c r="A18" t="s">
        <v>197</v>
      </c>
      <c r="B18" s="27"/>
      <c r="F18">
        <f>IF(期望!$E$22="燕别云岫",18,0)</f>
        <v>0</v>
      </c>
      <c r="I18">
        <f>IF(期望!$E$22="燕别云岫",18,0)</f>
        <v>0</v>
      </c>
      <c r="K18">
        <f>IF(期望!$E$22="燕别云岫",18,0)</f>
        <v>0</v>
      </c>
      <c r="M18">
        <f>IF(期望!$E$22="燕别云岫",18,0)</f>
        <v>0</v>
      </c>
      <c r="O18">
        <f>IF(期望!$E$22="燕别云岫",18,0)</f>
        <v>0</v>
      </c>
      <c r="W18" s="28"/>
      <c r="X18" s="28"/>
      <c r="Y18" s="29"/>
      <c r="Z18" s="28"/>
      <c r="AA18" s="25"/>
    </row>
    <row r="19" customFormat="1" spans="1:27">
      <c r="A19" t="s">
        <v>204</v>
      </c>
      <c r="B19" s="27"/>
      <c r="F19">
        <f>IF(期望!$E$22="燕别云岫",20,0)</f>
        <v>0</v>
      </c>
      <c r="I19">
        <f>IF(期望!$E$22="燕别云岫",20,0)</f>
        <v>0</v>
      </c>
      <c r="K19">
        <f>IF(期望!$E$22="燕别云岫",20,0)</f>
        <v>0</v>
      </c>
      <c r="M19">
        <f>IF(期望!$E$22="燕别云岫",20,0)</f>
        <v>0</v>
      </c>
      <c r="O19">
        <f>IF(期望!$E$22="燕别云岫",20,0)</f>
        <v>0</v>
      </c>
      <c r="W19" s="28"/>
      <c r="X19" s="28"/>
      <c r="Y19" s="29"/>
      <c r="Z19" s="28"/>
      <c r="AA19" s="25"/>
    </row>
    <row r="20" spans="1:27">
      <c r="A20" t="s">
        <v>195</v>
      </c>
      <c r="B20" s="27"/>
      <c r="W20" s="28">
        <v>0.1</v>
      </c>
    </row>
    <row r="21" spans="1:27">
      <c r="A21" t="s">
        <v>251</v>
      </c>
      <c r="B21" s="27">
        <v>0.02</v>
      </c>
      <c r="W21" s="28"/>
    </row>
    <row r="22" spans="1:27">
      <c r="A22" t="s">
        <v>94</v>
      </c>
      <c r="B22" s="27">
        <v>0.15</v>
      </c>
      <c r="W22" s="28"/>
    </row>
    <row r="23" spans="1:27">
      <c r="A23" t="s">
        <v>252</v>
      </c>
      <c r="B23" s="27"/>
      <c r="F23">
        <f>IF(期望!$E$22="断石之构",12,0)</f>
        <v>12</v>
      </c>
      <c r="J23" s="27"/>
      <c r="R23" s="27">
        <f>IF(期望!$E$22="断石之构",12%,0)</f>
        <v>0.12</v>
      </c>
      <c r="X23" s="28"/>
      <c r="Y23" s="29"/>
      <c r="Z23" s="28"/>
    </row>
    <row r="24" customFormat="1" spans="1:27">
      <c r="A24" t="s">
        <v>198</v>
      </c>
      <c r="B24" s="27"/>
      <c r="F24">
        <f>IF(期望!$E$22="断石之构",5,0)</f>
        <v>5</v>
      </c>
      <c r="J24" s="27"/>
      <c r="R24" s="27">
        <f>IF(期望!$E$22="断石之构",5%,0)</f>
        <v>0.05</v>
      </c>
      <c r="W24" s="24"/>
      <c r="X24" s="28"/>
      <c r="Y24" s="29"/>
      <c r="Z24" s="28"/>
      <c r="AA24" s="25"/>
    </row>
    <row r="25" customFormat="1" spans="1:27">
      <c r="A25" t="s">
        <v>199</v>
      </c>
      <c r="B25" s="27"/>
      <c r="F25">
        <f>IF(期望!$E$22="断石之构",10,0)</f>
        <v>10</v>
      </c>
      <c r="J25" s="27"/>
      <c r="R25" s="27">
        <f>IF(期望!$E$22="断石之构",10%,0)</f>
        <v>0.1</v>
      </c>
      <c r="W25" s="24"/>
      <c r="X25" s="28"/>
      <c r="Y25" s="29"/>
      <c r="Z25" s="28"/>
      <c r="AA25" s="25"/>
    </row>
    <row r="26" customFormat="1" spans="1:27">
      <c r="A26" t="s">
        <v>253</v>
      </c>
      <c r="B26" s="27"/>
      <c r="F26">
        <f>IF(期望!$E$22="断石之构",15,0)</f>
        <v>15</v>
      </c>
      <c r="J26" s="27"/>
      <c r="R26" s="27">
        <f>IF(期望!$E$22="断石之构",15%,0)</f>
        <v>0.15</v>
      </c>
      <c r="W26" s="24"/>
      <c r="X26" s="28"/>
      <c r="Y26" s="29"/>
      <c r="Z26" s="28"/>
      <c r="AA26" s="25"/>
    </row>
    <row r="27" customFormat="1" spans="1:27">
      <c r="A27" t="s">
        <v>201</v>
      </c>
      <c r="B27" s="27"/>
      <c r="F27">
        <f>IF(期望!$E$22="断石之构",20,0)</f>
        <v>20</v>
      </c>
      <c r="J27" s="27"/>
      <c r="R27" s="27">
        <f>IF(期望!$E$22="断石之构",20%,0)</f>
        <v>0.2</v>
      </c>
      <c r="W27" s="24"/>
      <c r="X27" s="28"/>
      <c r="Y27" s="29"/>
      <c r="Z27" s="28"/>
      <c r="AA27" s="25"/>
    </row>
    <row r="28" spans="1:27">
      <c r="A28" t="s">
        <v>93</v>
      </c>
      <c r="B28" s="27"/>
      <c r="F28">
        <f>IF(期望!$E$22="断石之构",25,0)</f>
        <v>25</v>
      </c>
      <c r="J28" s="27"/>
      <c r="R28" s="27">
        <f>IF(期望!$E$22="断石之构",25%,0)</f>
        <v>0.25</v>
      </c>
      <c r="X28" s="28"/>
      <c r="Y28" s="29"/>
      <c r="Z28" s="28"/>
    </row>
    <row r="29" spans="1:27">
      <c r="A29" t="s">
        <v>196</v>
      </c>
      <c r="B29" s="27"/>
      <c r="J29" s="27">
        <f>IF(期望!$D$18="√",10%,0)</f>
        <v>0.1</v>
      </c>
      <c r="W29" s="24">
        <f>IF(期望!$D$18="√",10%,0)</f>
        <v>0.1</v>
      </c>
      <c r="X29" s="28"/>
      <c r="Y29" s="29"/>
      <c r="Z29" s="28"/>
    </row>
    <row r="30" spans="1:27">
      <c r="A30" t="s">
        <v>83</v>
      </c>
      <c r="B30" s="27"/>
      <c r="G30" s="27">
        <v>0.09</v>
      </c>
      <c r="P30" s="27">
        <v>0.09</v>
      </c>
      <c r="X30" s="28"/>
      <c r="Y30" s="29"/>
      <c r="Z30" s="28"/>
    </row>
    <row r="31" spans="1:27">
      <c r="A31" t="s">
        <v>82</v>
      </c>
      <c r="R31" s="27">
        <v>0.05</v>
      </c>
      <c r="X31" s="28"/>
      <c r="Y31" s="29"/>
      <c r="Z31" s="28"/>
    </row>
    <row r="32" spans="1:27">
      <c r="A32" t="s">
        <v>130</v>
      </c>
      <c r="R32" s="27">
        <v>0.1</v>
      </c>
      <c r="X32" s="28"/>
      <c r="Y32" s="29"/>
      <c r="Z32" s="28"/>
    </row>
    <row r="33" spans="1:26">
      <c r="A33" t="s">
        <v>117</v>
      </c>
      <c r="R33" s="27">
        <f>IF(期望!$F$16="√",1%,0)</f>
        <v>0.01</v>
      </c>
      <c r="X33" s="28"/>
      <c r="Y33" s="29"/>
      <c r="Z33" s="28"/>
    </row>
    <row r="34" spans="1:26">
      <c r="A34" t="s">
        <v>80</v>
      </c>
      <c r="R34" s="27">
        <f>IF(期望!$F$16="√",2%,0)</f>
        <v>0.02</v>
      </c>
      <c r="X34" s="28"/>
      <c r="Y34" s="29"/>
      <c r="Z34" s="28"/>
    </row>
    <row r="35" spans="1:26">
      <c r="A35" t="s">
        <v>99</v>
      </c>
      <c r="R35" s="27">
        <f>IF(期望!$F$16="√",3%,0)</f>
        <v>0.03</v>
      </c>
      <c r="X35" s="28"/>
      <c r="Y35" s="29"/>
      <c r="Z35" s="28"/>
    </row>
    <row r="36" spans="1:26">
      <c r="A36" t="s">
        <v>106</v>
      </c>
      <c r="R36" s="27">
        <f>IF(期望!$F$16="√",4%,0)</f>
        <v>0.04</v>
      </c>
      <c r="X36" s="28"/>
      <c r="Y36" s="29"/>
      <c r="Z36" s="28"/>
    </row>
    <row r="37" spans="1:26">
      <c r="A37" t="s">
        <v>158</v>
      </c>
      <c r="R37" s="27">
        <f>IF(期望!$F$16="√",5%,0)</f>
        <v>0.05</v>
      </c>
      <c r="X37" s="28"/>
      <c r="Y37" s="29"/>
      <c r="Z37" s="28"/>
    </row>
    <row r="38" spans="1:26">
      <c r="A38" t="s">
        <v>170</v>
      </c>
      <c r="R38" s="27">
        <f>IF(期望!$F$16="√",6%,0)</f>
        <v>0.06</v>
      </c>
      <c r="X38" s="28"/>
      <c r="Y38" s="29"/>
      <c r="Z38" s="28"/>
    </row>
    <row r="39" spans="1:26">
      <c r="A39" t="s">
        <v>175</v>
      </c>
      <c r="R39" s="27">
        <f>IF(期望!$F$16="√",7%,0)</f>
        <v>0.07</v>
      </c>
      <c r="X39" s="28"/>
      <c r="Y39" s="29"/>
      <c r="Z39" s="28"/>
    </row>
    <row r="40" spans="1:26">
      <c r="A40" t="s">
        <v>186</v>
      </c>
      <c r="R40" s="27">
        <f>IF(期望!$F$16="√",8%,0)</f>
        <v>0.08</v>
      </c>
      <c r="X40" s="28"/>
      <c r="Y40" s="29"/>
      <c r="Z40" s="28"/>
    </row>
    <row r="41" spans="1:26">
      <c r="A41" t="s">
        <v>192</v>
      </c>
      <c r="R41" s="27">
        <f>IF(期望!$F$16="√",9%,0)</f>
        <v>0.09</v>
      </c>
      <c r="X41" s="28"/>
      <c r="Y41" s="29"/>
      <c r="Z41" s="28"/>
    </row>
    <row r="42" spans="1:26">
      <c r="A42" t="s">
        <v>194</v>
      </c>
      <c r="R42" s="27">
        <f>IF(期望!$F$16="√",10%,0)</f>
        <v>0.1</v>
      </c>
      <c r="X42" s="28"/>
      <c r="Y42" s="29"/>
      <c r="Z42" s="28"/>
    </row>
    <row r="43" spans="1:26">
      <c r="A43" t="s">
        <v>254</v>
      </c>
      <c r="R43" s="27">
        <f>IF(期望!$F$16="√",10%,0)</f>
        <v>0.1</v>
      </c>
      <c r="X43" s="28"/>
      <c r="Y43" s="29"/>
      <c r="Z43" s="28"/>
    </row>
    <row r="44" spans="1:26">
      <c r="A44" t="s">
        <v>116</v>
      </c>
      <c r="B44" s="27">
        <f>1%*IF(期望!$E$24="易水歌",1,0)</f>
        <v>0.01</v>
      </c>
      <c r="F44">
        <f>2*IF(期望!$E$24="易水歌",1,0)</f>
        <v>2</v>
      </c>
      <c r="X44" s="28"/>
      <c r="Y44" s="29"/>
      <c r="Z44" s="28"/>
    </row>
    <row r="45" spans="1:26">
      <c r="A45" t="s">
        <v>79</v>
      </c>
      <c r="B45" s="27">
        <f>2%*IF(期望!$E$24="易水歌",1,0)</f>
        <v>0.02</v>
      </c>
      <c r="F45">
        <f>4*IF(期望!$E$24="易水歌",1,0)</f>
        <v>4</v>
      </c>
      <c r="X45" s="28"/>
      <c r="Y45" s="29"/>
      <c r="Z45" s="28"/>
    </row>
    <row r="46" spans="1:26">
      <c r="A46" t="s">
        <v>91</v>
      </c>
      <c r="B46" s="27">
        <f>3%*IF(期望!$E$24="易水歌",1,0)</f>
        <v>0.03</v>
      </c>
      <c r="F46">
        <f>6*IF(期望!$E$24="易水歌",1,0)</f>
        <v>6</v>
      </c>
      <c r="X46" s="28"/>
      <c r="Y46" s="29"/>
      <c r="Z46" s="28"/>
    </row>
    <row r="47" spans="1:26">
      <c r="A47" t="s">
        <v>98</v>
      </c>
      <c r="B47" s="27">
        <f>4%*IF(期望!$E$24="易水歌",1,0)</f>
        <v>0.04</v>
      </c>
      <c r="F47">
        <f>8*IF(期望!$E$24="易水歌",1,0)</f>
        <v>8</v>
      </c>
      <c r="X47" s="28"/>
      <c r="Y47" s="29"/>
      <c r="Z47" s="28"/>
    </row>
    <row r="48" spans="1:26">
      <c r="A48" t="s">
        <v>104</v>
      </c>
      <c r="B48" s="27">
        <f>5%*IF(期望!$E$24="易水歌",1,0)</f>
        <v>0.05</v>
      </c>
      <c r="F48">
        <f>10*IF(期望!$E$24="易水歌",1,0)</f>
        <v>10</v>
      </c>
      <c r="X48" s="28"/>
      <c r="Y48" s="29"/>
      <c r="Z48" s="28"/>
    </row>
    <row r="49" spans="1:26">
      <c r="A49" t="s">
        <v>84</v>
      </c>
      <c r="X49" s="28"/>
      <c r="Y49" s="29"/>
      <c r="Z49" s="28"/>
    </row>
    <row r="50" spans="1:26">
      <c r="X50" s="28"/>
      <c r="Y50" s="29"/>
      <c r="Z50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selection activeCell="F36" sqref="F36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255</v>
      </c>
      <c r="B1" s="3" t="s">
        <v>256</v>
      </c>
      <c r="C1" s="4" t="s">
        <v>257</v>
      </c>
      <c r="D1" s="5" t="s">
        <v>258</v>
      </c>
    </row>
    <row r="2" ht="14.25" spans="1:4">
      <c r="A2" s="6">
        <v>0.1</v>
      </c>
      <c r="B2" s="7">
        <v>1</v>
      </c>
      <c r="C2" s="8" t="s">
        <v>259</v>
      </c>
      <c r="D2" s="4" t="s">
        <v>260</v>
      </c>
    </row>
    <row r="3" spans="1:4">
      <c r="A3" s="9">
        <v>0.2</v>
      </c>
      <c r="B3" s="10">
        <v>1</v>
      </c>
      <c r="C3" s="11" t="s">
        <v>261</v>
      </c>
    </row>
    <row r="4" ht="14.25" spans="1:4">
      <c r="A4" s="12"/>
      <c r="B4" s="13">
        <v>2</v>
      </c>
      <c r="C4" s="14" t="s">
        <v>262</v>
      </c>
    </row>
    <row r="5" spans="1:4">
      <c r="A5" s="9">
        <v>0.3</v>
      </c>
      <c r="B5" s="15">
        <v>1</v>
      </c>
      <c r="C5" s="11" t="s">
        <v>263</v>
      </c>
    </row>
    <row r="6" ht="14.25" spans="1:4">
      <c r="A6" s="12"/>
      <c r="B6" s="13">
        <v>2</v>
      </c>
      <c r="C6" s="14" t="s">
        <v>264</v>
      </c>
    </row>
    <row r="7" ht="14.25" spans="1:4">
      <c r="A7" s="16">
        <v>0.4</v>
      </c>
      <c r="B7" s="17">
        <v>1</v>
      </c>
      <c r="C7" s="8" t="s">
        <v>265</v>
      </c>
    </row>
    <row r="8" ht="14.25" spans="1:4">
      <c r="A8" s="16">
        <v>0.5</v>
      </c>
      <c r="B8" s="17">
        <v>1</v>
      </c>
      <c r="C8" s="8" t="s">
        <v>266</v>
      </c>
    </row>
    <row r="9" spans="1:4">
      <c r="A9" s="18">
        <v>1</v>
      </c>
      <c r="B9" s="15">
        <v>1</v>
      </c>
      <c r="C9" s="11" t="s">
        <v>267</v>
      </c>
    </row>
    <row r="10" ht="14.25" spans="1:4">
      <c r="A10" s="19"/>
      <c r="B10" s="20">
        <v>2</v>
      </c>
      <c r="C10" s="21" t="s">
        <v>268</v>
      </c>
    </row>
    <row r="11" spans="1:4">
      <c r="A11" s="18">
        <v>2</v>
      </c>
      <c r="B11" s="15">
        <v>1</v>
      </c>
      <c r="C11" s="11" t="s">
        <v>269</v>
      </c>
    </row>
    <row r="12" ht="14.25" spans="1:4">
      <c r="A12" s="22"/>
      <c r="B12" s="13">
        <v>2</v>
      </c>
      <c r="C12" s="14" t="s">
        <v>270</v>
      </c>
    </row>
    <row r="13" ht="14.25" spans="1:4">
      <c r="A13" s="9">
        <v>2.1</v>
      </c>
      <c r="B13" s="15">
        <v>1</v>
      </c>
      <c r="C13" s="11" t="s">
        <v>271</v>
      </c>
    </row>
    <row r="14" spans="1:4">
      <c r="A14" s="18">
        <v>3</v>
      </c>
      <c r="B14" s="15">
        <v>1</v>
      </c>
      <c r="C14" s="11" t="s">
        <v>272</v>
      </c>
    </row>
    <row r="15" ht="14.25" spans="1:4">
      <c r="A15" s="22"/>
      <c r="B15" s="13">
        <v>2</v>
      </c>
      <c r="C15" s="14" t="s">
        <v>273</v>
      </c>
    </row>
    <row r="16" ht="14.25" spans="1:4">
      <c r="A16" s="16">
        <v>3.1</v>
      </c>
      <c r="B16" s="17">
        <v>1</v>
      </c>
      <c r="C16" s="8" t="s">
        <v>274</v>
      </c>
    </row>
    <row r="17" ht="14.25" spans="1:3">
      <c r="A17" s="16">
        <v>3.2</v>
      </c>
      <c r="B17" s="17">
        <v>1</v>
      </c>
      <c r="C17" s="8" t="s">
        <v>275</v>
      </c>
    </row>
    <row r="18" spans="1:3">
      <c r="A18" s="18">
        <v>3.3</v>
      </c>
      <c r="B18" s="15">
        <v>1</v>
      </c>
      <c r="C18" s="11" t="s">
        <v>276</v>
      </c>
    </row>
    <row r="19" ht="14.25" spans="1:3">
      <c r="A19" s="22"/>
      <c r="B19" s="13">
        <v>2</v>
      </c>
      <c r="C19" s="14" t="s">
        <v>277</v>
      </c>
    </row>
    <row r="20" ht="14.25" spans="1:3">
      <c r="A20" s="16">
        <v>3.4</v>
      </c>
      <c r="B20" s="17">
        <v>1</v>
      </c>
      <c r="C20" s="8" t="s">
        <v>278</v>
      </c>
    </row>
    <row r="21" ht="14.25" spans="1:3">
      <c r="A21" s="16">
        <v>3.5</v>
      </c>
      <c r="B21" s="17">
        <v>1</v>
      </c>
      <c r="C21" s="8" t="s">
        <v>279</v>
      </c>
    </row>
    <row r="22" ht="14.25" spans="1:3">
      <c r="A22" s="16">
        <v>3.6</v>
      </c>
      <c r="B22" s="17">
        <v>1</v>
      </c>
      <c r="C22" s="8" t="s">
        <v>280</v>
      </c>
    </row>
    <row r="23" spans="1:3">
      <c r="A23" s="18">
        <v>3.7</v>
      </c>
      <c r="B23" s="15">
        <v>1</v>
      </c>
      <c r="C23" s="11" t="s">
        <v>281</v>
      </c>
    </row>
    <row r="24" ht="14.25" spans="1:3">
      <c r="A24" s="22"/>
      <c r="B24" s="13">
        <v>2</v>
      </c>
      <c r="C24" s="14" t="s">
        <v>282</v>
      </c>
    </row>
    <row r="25" ht="14.25" spans="1:3">
      <c r="A25" s="16">
        <v>3.8</v>
      </c>
      <c r="B25" s="17">
        <v>1</v>
      </c>
      <c r="C25" s="8" t="s">
        <v>283</v>
      </c>
    </row>
    <row r="26" spans="1:3">
      <c r="A26" s="23"/>
      <c r="B26" s="20"/>
      <c r="C26" s="20"/>
    </row>
    <row r="27" spans="1:3">
      <c r="A27" s="23"/>
      <c r="B27" s="20"/>
      <c r="C27" s="20"/>
    </row>
    <row r="28" spans="1:3">
      <c r="A28" s="23"/>
      <c r="B28" s="20"/>
      <c r="C28" s="20"/>
    </row>
    <row r="29" spans="1:3">
      <c r="A29" s="23"/>
      <c r="B29" s="20"/>
      <c r="C29" s="20"/>
    </row>
    <row r="30" spans="1:3">
      <c r="A30" s="23"/>
      <c r="B30" s="20"/>
      <c r="C30" s="20"/>
    </row>
    <row r="31" spans="1:3">
      <c r="A31" s="23"/>
      <c r="B31" s="20"/>
      <c r="C31" s="20"/>
    </row>
    <row r="32" spans="1:3">
      <c r="A32" s="23"/>
      <c r="B32" s="20"/>
      <c r="C32" s="20"/>
    </row>
    <row r="33" spans="1:3">
      <c r="A33" s="23"/>
      <c r="B33" s="20"/>
      <c r="C33" s="20"/>
    </row>
    <row r="34" spans="1:3">
      <c r="A34" s="23"/>
      <c r="B34" s="20"/>
      <c r="C34" s="20"/>
    </row>
    <row r="35" spans="1:3">
      <c r="A35" s="23"/>
      <c r="B35" s="20"/>
      <c r="C35" s="20"/>
    </row>
    <row r="36" spans="1:3">
      <c r="A36" s="23"/>
      <c r="B36" s="20"/>
      <c r="C36" s="20"/>
    </row>
    <row r="37" spans="1:3">
      <c r="A37" s="23"/>
      <c r="B37" s="20"/>
      <c r="C37" s="20"/>
    </row>
    <row r="38" spans="1:3">
      <c r="A38" s="23"/>
      <c r="B38" s="20"/>
      <c r="C38" s="20"/>
    </row>
    <row r="39" spans="1:3">
      <c r="A39" s="23"/>
      <c r="B39" s="20"/>
      <c r="C39" s="20"/>
    </row>
    <row r="40" spans="1:3">
      <c r="A40" s="23"/>
      <c r="B40" s="20"/>
      <c r="C40" s="20"/>
    </row>
    <row r="41" spans="1:3">
      <c r="A41" s="23"/>
      <c r="B41" s="20"/>
      <c r="C41" s="20"/>
    </row>
    <row r="42" spans="1:3">
      <c r="A42" s="23"/>
      <c r="B42" s="20"/>
      <c r="C42" s="20"/>
    </row>
    <row r="43" spans="1:3">
      <c r="A43" s="23"/>
      <c r="B43" s="20"/>
      <c r="C43" s="20"/>
    </row>
    <row r="44" spans="1:3">
      <c r="A44" s="23"/>
      <c r="B44" s="20"/>
      <c r="C44" s="20"/>
    </row>
    <row r="45" spans="1:3">
      <c r="A45" s="23"/>
      <c r="B45" s="20"/>
      <c r="C45" s="20"/>
    </row>
  </sheetData>
  <mergeCells count="7">
    <mergeCell ref="A3:A4"/>
    <mergeCell ref="A5:A6"/>
    <mergeCell ref="A9:A10"/>
    <mergeCell ref="A11:A12"/>
    <mergeCell ref="A14:A15"/>
    <mergeCell ref="A18:A19"/>
    <mergeCell ref="A23:A24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2026-10-24T02:05:32Z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