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<sst xmlns="http://schemas.openxmlformats.org/spreadsheetml/2006/main" count="5880" uniqueCount="284">
  <si>
    <t>最小攻击</t>
  </si>
  <si>
    <t>最大攻击</t>
  </si>
  <si>
    <t>穿透</t>
  </si>
  <si>
    <t>伤害加成</t>
  </si>
  <si>
    <t>武学属性</t>
  </si>
  <si>
    <t>裂石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</si>
  <si>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</si>
  <si>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</si>
  <si>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</si>
  <si>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</si>
  <si>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</si>
  <si>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</si>
  <si>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</si>
  <si>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</si>
  <si>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</si>
  <si>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</si>
  <si>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</si>
  <si>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</si>
  <si>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</si>
  <si>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</si>
  <si>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</si>
  <si>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</si>
  <si>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</si>
  <si>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</si>
  <si>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</si>
  <si>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</si>
  <si>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</si>
  <si>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</si>
  <si>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</si>
  <si>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</si>
  <si>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</si>
  <si>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</si>
  <si>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</si>
  <si>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</si>
  <si>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</si>
  <si>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</si>
  <si>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</si>
  <si>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</si>
  <si>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</si>
  <si>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</si>
  <si>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</si>
  <si>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</si>
  <si>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</si>
  <si>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</si>
  <si>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</si>
  <si>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</si>
  <si>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</si>
  <si>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</si>
  <si>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</si>
  <si>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</si>
  <si>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</si>
  <si>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</si>
  <si>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</si>
  <si>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</si>
  <si>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</si>
  <si>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</si>
  <si>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</si>
  <si>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</si>
  <si>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</si>
  <si>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</si>
  <si>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</si>
  <si>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</si>
  <si>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</si>
  <si>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</si>
  <si>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</si>
  <si>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</si>
  <si>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</si>
  <si>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</si>
  <si>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</si>
  <si>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</si>
  <si>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</si>
  <si>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</si>
  <si>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</si>
  <si>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断岳</t>
  </si>
  <si>
    <t>防御</t>
  </si>
  <si>
    <t>萧呤千浪流星</t>
  </si>
  <si>
    <t>易水歌1层</t>
  </si>
  <si>
    <t>N/a</t>
  </si>
  <si>
    <t>近战笛</t>
  </si>
  <si>
    <t>沧海帖1层</t>
  </si>
  <si>
    <t>裁云(拐)</t>
  </si>
  <si>
    <t>无惧</t>
  </si>
  <si>
    <t>铁衣</t>
  </si>
  <si>
    <t>鸣金</t>
  </si>
  <si>
    <t>外抗</t>
  </si>
  <si>
    <t>易水歌2层</t>
  </si>
  <si>
    <t>惧刃</t>
  </si>
  <si>
    <t>穿喉5(普)</t>
  </si>
  <si>
    <t>沧海帖2层</t>
  </si>
  <si>
    <t>扶风(拐)</t>
  </si>
  <si>
    <t>离猎(拐)</t>
  </si>
  <si>
    <t>陌刀</t>
  </si>
  <si>
    <t>属抗</t>
  </si>
  <si>
    <t>易水歌3层</t>
  </si>
  <si>
    <t>沧海帖3层</t>
  </si>
  <si>
    <t>烁鼓(拐)</t>
  </si>
  <si>
    <t>牵丝</t>
  </si>
  <si>
    <t>横刀</t>
  </si>
  <si>
    <t>副本天赋</t>
  </si>
  <si>
    <t>易水歌4层</t>
  </si>
  <si>
    <t>沧海帖4层</t>
  </si>
  <si>
    <t>破竹</t>
  </si>
  <si>
    <t>单体奇术</t>
  </si>
  <si>
    <t>易水歌5层</t>
  </si>
  <si>
    <t>无相</t>
  </si>
  <si>
    <t>群体奇术</t>
  </si>
  <si>
    <t>白刃杀将刺</t>
  </si>
  <si>
    <t>精准率</t>
  </si>
  <si>
    <t>实际属性</t>
  </si>
  <si>
    <t>战斗时间</t>
  </si>
  <si>
    <t>横刀安西军</t>
  </si>
  <si>
    <t>会心率</t>
  </si>
  <si>
    <t>陌刀安西军下劈无开山</t>
  </si>
  <si>
    <t>穿喉4</t>
  </si>
  <si>
    <t>中程笛(小人)</t>
  </si>
  <si>
    <t>会意率</t>
  </si>
  <si>
    <t>总伤</t>
  </si>
  <si>
    <t>陌刀安西军跳劈</t>
  </si>
  <si>
    <t>开山</t>
  </si>
  <si>
    <t>直接会心率</t>
  </si>
  <si>
    <t>加速陌刀三蓄</t>
  </si>
  <si>
    <t>穿喉5</t>
  </si>
  <si>
    <t>中程笛(蓄力)</t>
  </si>
  <si>
    <t>直接会意率</t>
  </si>
  <si>
    <t>ADPS</t>
  </si>
  <si>
    <t>陌刀安西军下劈</t>
  </si>
  <si>
    <t>会心伤害加成</t>
  </si>
  <si>
    <t>会意伤害加成</t>
  </si>
  <si>
    <t>RDPS</t>
  </si>
  <si>
    <t>全武增</t>
  </si>
  <si>
    <t>团队增益</t>
  </si>
  <si>
    <t>首领增</t>
  </si>
  <si>
    <t>威</t>
  </si>
  <si>
    <t>√</t>
  </si>
  <si>
    <t>沧海帖</t>
  </si>
  <si>
    <t>毕业率</t>
  </si>
  <si>
    <t>陌刀增</t>
  </si>
  <si>
    <t>尘</t>
  </si>
  <si>
    <t>所恨年年</t>
  </si>
  <si>
    <t>横刀增</t>
  </si>
  <si>
    <t>虹</t>
  </si>
  <si>
    <t>机制时间</t>
  </si>
  <si>
    <t>单体奇术增</t>
  </si>
  <si>
    <t>群体奇术增</t>
  </si>
  <si>
    <t>影</t>
  </si>
  <si>
    <t>蓄力技定音</t>
  </si>
  <si>
    <t>翊</t>
  </si>
  <si>
    <t>×</t>
  </si>
  <si>
    <t>第四心法</t>
  </si>
  <si>
    <t>骑龙回马</t>
  </si>
  <si>
    <t>固伤加成</t>
  </si>
  <si>
    <t>樽</t>
  </si>
  <si>
    <t>易水歌</t>
  </si>
  <si>
    <t>沧海帖5层</t>
  </si>
  <si>
    <t>食物加成</t>
  </si>
  <si>
    <t>陌刀安西军跳劈无开山</t>
  </si>
  <si>
    <t>陌刀三蓄</t>
  </si>
  <si>
    <t>燃此魂秒放</t>
  </si>
  <si>
    <t>沧海帖6层</t>
  </si>
  <si>
    <t>陌刀安西军荡八荒</t>
  </si>
  <si>
    <t>QQ</t>
  </si>
  <si>
    <t>前置</t>
  </si>
  <si>
    <t>横刀Q1</t>
  </si>
  <si>
    <t>笛</t>
  </si>
  <si>
    <t>横刀～</t>
  </si>
  <si>
    <t>沧海帖7层</t>
  </si>
  <si>
    <t>横刀Q2</t>
  </si>
  <si>
    <t>切武器</t>
  </si>
  <si>
    <t>惧</t>
  </si>
  <si>
    <t>胆寒</t>
  </si>
  <si>
    <t>沧海帖8层</t>
  </si>
  <si>
    <t>加速三蓄</t>
  </si>
  <si>
    <t>鼓</t>
  </si>
  <si>
    <t>沧海帖9层</t>
  </si>
  <si>
    <t>骑龙</t>
  </si>
  <si>
    <t>蓄3</t>
  </si>
  <si>
    <t>沧海帖10层</t>
  </si>
  <si>
    <t>陌刀Q</t>
  </si>
  <si>
    <t>Q1</t>
  </si>
  <si>
    <t>横刀易武</t>
  </si>
  <si>
    <t>横刀重击派生</t>
  </si>
  <si>
    <t>移动药叉</t>
  </si>
  <si>
    <t>横刀左蓄</t>
  </si>
  <si>
    <t>易武派生</t>
  </si>
  <si>
    <t>陌刀～</t>
  </si>
  <si>
    <t>左</t>
  </si>
  <si>
    <t>气竭</t>
  </si>
  <si>
    <t>真气失衡</t>
  </si>
  <si>
    <t>派</t>
  </si>
  <si>
    <t>等待</t>
  </si>
  <si>
    <t>机制</t>
  </si>
  <si>
    <t>射箭</t>
  </si>
  <si>
    <t>易武</t>
  </si>
  <si>
    <t>衍九矢9hit</t>
  </si>
  <si>
    <t>易水歌6重</t>
  </si>
  <si>
    <t>DPS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</si>
  <si>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</si>
  <si>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</si>
  <si>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</si>
  <si>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</si>
  <si>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</si>
  <si>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</si>
  <si>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</si>
  <si>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</si>
  <si>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</si>
  <si>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</si>
  <si>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</si>
  <si>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</si>
  <si>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</si>
  <si>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横刀重击派生(热血)</t>
  </si>
  <si>
    <t>蓄力技</t>
  </si>
  <si>
    <t>加速陌刀三蓄无开山</t>
  </si>
  <si>
    <t>陌刀一蓄(气竭)</t>
  </si>
  <si>
    <t>萧呤千浪AOE</t>
  </si>
  <si>
    <t>叶龙骧首(32层+70%HP)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</si>
  <si>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</si>
  <si>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</si>
  <si>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</si>
  <si>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</si>
  <si>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</si>
  <si>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</si>
  <si>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</si>
  <si>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</si>
  <si>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</si>
  <si>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</si>
  <si>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</si>
  <si>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心法</t>
  </si>
  <si>
    <t>衍九矢9hit一段</t>
  </si>
  <si>
    <t>直接会心</t>
  </si>
  <si>
    <t>直接会意</t>
  </si>
  <si>
    <t>惊神(拐)</t>
  </si>
  <si>
    <t>食物</t>
  </si>
  <si>
    <t>鬼掣帖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</si>
  <si>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</si>
  <si>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</si>
  <si>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</si>
  <si>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</si>
  <si>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</si>
  <si>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</si>
  <si>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更新苍快气轴</t>
  </si>
  <si>
    <t>可能有小bug,但不会差很多</t>
  </si>
  <si>
    <t>修正了默认会伤错误</t>
  </si>
  <si>
    <t>修正慢蓄倍率和断岳特效</t>
  </si>
  <si>
    <t>插入了一个笛子,后半能保住血量的话沧海帖略高0.5%</t>
  </si>
  <si>
    <t>修正了固伤加成没有计算的问题</t>
  </si>
  <si>
    <t>修改了错误的帖子名字</t>
  </si>
  <si>
    <t>PS:请使用支持xlookup函数的软件版本</t>
  </si>
  <si>
    <t>修正了bug</t>
  </si>
  <si>
    <t>修正属性固伤</t>
  </si>
  <si>
    <t>将轴缩短至97秒</t>
  </si>
  <si>
    <t>修改了一些公式以模板化计算器</t>
  </si>
  <si>
    <t>增加了第四心法选择,优化了一些填表步骤.</t>
  </si>
  <si>
    <t>注:即使生效会心大于70%,易水歌5重+特效依然比征人归5重+特效多1.4%</t>
  </si>
  <si>
    <t>而多的60小攻只有1.2%,这个差距会在长时间战斗且气竭次数变少时被拉近</t>
  </si>
  <si>
    <t>略微变更了轴,修复了一些小bug</t>
  </si>
  <si>
    <t>修正了公式bug</t>
  </si>
  <si>
    <t>略微修正增益</t>
  </si>
  <si>
    <t>修正了强制精准公式</t>
  </si>
  <si>
    <t>修正了三围溢出造成的错误</t>
  </si>
  <si>
    <t>修复了一些小bug</t>
  </si>
  <si>
    <t>更新6月12日先琢版本</t>
  </si>
  <si>
    <t>轴完全不变的情况下削弱1.6%,主要来自食物,调整属性仅不到0.1%</t>
  </si>
  <si>
    <t>气竭铁花乘区修改+1.3%</t>
  </si>
  <si>
    <t>增加了一个隐藏表来计算实际rdps,以减少需要去掉团队增益的操作步骤</t>
  </si>
  <si>
    <t>略微变更了轴以匹配改动</t>
  </si>
  <si>
    <t>将所恨年年从尘增益区划入公共增益区以观测实际RD</t>
  </si>
  <si>
    <t>修正rd加成为武学平均值</t>
  </si>
  <si>
    <t>修正尘加成,去掉了rd计算中没有去掉的虹加成</t>
  </si>
  <si>
    <t>对diy属性进行了调整,加入了2条单体奇术增伤,+0.3%.</t>
  </si>
  <si>
    <t>不出意外下个版本差距更大</t>
  </si>
  <si>
    <t>更新蕤宾叠奏上半数值,将铁花替换成了无惧</t>
  </si>
  <si>
    <t>轴变更为拏云蛇慢气轴</t>
  </si>
  <si>
    <t>单增只比大裂石高一点点</t>
  </si>
  <si>
    <t>增加了鸣金影提供的rd</t>
  </si>
  <si>
    <t>不满会的配置约掉0.5%</t>
  </si>
  <si>
    <t>修正队友基础dps至11万</t>
  </si>
  <si>
    <t>更新蕤宾叠奏下半数值,更新虎孟极快气轴</t>
  </si>
  <si>
    <t>根据排轴修正rd</t>
  </si>
  <si>
    <t>增加了翊的rd,自身rd小于第二个威但不多</t>
  </si>
  <si>
    <t>修正了diy配比以配合打小人和打气稳定性与没精元打叶龙</t>
  </si>
  <si>
    <t>扩充了增益区</t>
  </si>
  <si>
    <t>增加了樽的rd</t>
  </si>
  <si>
    <t>按照上线内容修改了樽的rd</t>
  </si>
  <si>
    <t>更新杭州西版本蹊跷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</si>
</sst>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5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6">
      <alignment vertical="center"/>
    </xf>
    <xf numFmtId="0" fontId="7" fillId="0" borderId="16">
      <alignment vertical="center"/>
    </xf>
    <xf numFmtId="0" fontId="8" fillId="0" borderId="17">
      <alignment vertical="center"/>
    </xf>
    <xf numFmtId="0" fontId="8" fillId="0" borderId="0">
      <alignment vertical="center"/>
    </xf>
    <xf numFmtId="0" fontId="9" fillId="8" borderId="18">
      <alignment vertical="center"/>
    </xf>
    <xf numFmtId="0" fontId="10" fillId="9" borderId="19">
      <alignment vertical="center"/>
    </xf>
    <xf numFmtId="0" fontId="11" fillId="9" borderId="18">
      <alignment vertical="center"/>
    </xf>
    <xf numFmtId="0" fontId="12" fillId="10" borderId="20">
      <alignment vertical="center"/>
    </xf>
    <xf numFmtId="0" fontId="13" fillId="0" borderId="21">
      <alignment vertical="center"/>
    </xf>
    <xf numFmtId="0" fontId="14" fillId="0" borderId="22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2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2" fontId="0" fillId="0" borderId="9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0" borderId="0" xfId="0" applyFill="1" applyAlignment="1">
      <alignment horizontal="left"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10" fontId="0" fillId="0" borderId="14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0" fontId="0" fillId="0" borderId="8" xfId="0" applyBorder="1" applyAlignment="1">
      <alignment horizontal="center" vertical="center"/>
    </xf>
    <xf numFmtId="177" fontId="0" fillId="2" borderId="8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1"/>
        <i val="0"/>
        <color rgb="FF00B050"/>
      </font>
      <fill>
        <patternFill patternType="solid">
          <bgColor theme="0"/>
        </patternFill>
      </fill>
    </dxf>
    <dxf>
      <font>
        <b val="1"/>
        <i val="0"/>
        <color rgb="FFFF0000"/>
      </font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27"/>
  <sheetViews>
    <sheetView workbookViewId="0">
      <selection activeCell="I18" sqref="I18:J19"/>
    </sheetView>
  </sheetViews>
  <sheetFormatPr defaultColWidth="9" defaultRowHeight="13.5"/>
  <cols>
    <col min="1" max="1" width="12.875" customWidth="1"/>
    <col min="11" max="15" width="12.625" style="28" customWidth="1"/>
    <col min="17" max="17" width="24.625" style="33" customWidth="1"/>
    <col min="18" max="37" width="9" style="33"/>
    <col min="39" max="39" width="9.375" style="27"/>
    <col min="40" max="40" width="9" style="28"/>
    <col min="41" max="41" width="9.375" style="27"/>
    <col min="42" max="42" width="9" style="28"/>
    <col min="43" max="44" width="9" style="27"/>
    <col min="47" max="49" width="9" style="34"/>
    <col min="52" max="53" width="9" style="34"/>
    <col min="66" max="70" width="9" style="27"/>
    <col min="71" max="72" width="9.00833333333333" style="27" customWidth="1"/>
    <col min="73" max="74" width="9" style="27"/>
  </cols>
  <sheetData>
    <row r="1" spans="1:74">
      <c r="A1" s="35"/>
      <c r="B1" s="36" t="s">
        <v>0</v>
      </c>
      <c r="C1" s="36" t="s">
        <v>1</v>
      </c>
      <c r="D1" s="36" t="s">
        <v>2</v>
      </c>
      <c r="E1" s="37" t="s">
        <v>3</v>
      </c>
      <c r="F1" s="38" t="s">
        <v>4</v>
      </c>
      <c r="G1" s="39" t="s">
        <v>5</v>
      </c>
      <c r="H1" s="38" t="s">
        <v>6</v>
      </c>
      <c r="I1" s="39"/>
      <c r="K1" s="40" t="s">
        <v>7</v>
      </c>
      <c r="L1" s="40" t="s">
        <v>8</v>
      </c>
      <c r="M1" s="40" t="s">
        <v>9</v>
      </c>
      <c r="N1" s="40" t="s">
        <v>10</v>
      </c>
      <c r="O1" s="40" t="s">
        <v>11</v>
      </c>
      <c r="P1" s="41" t="s">
        <v>12</v>
      </c>
      <c r="Q1" s="42" t="s">
        <v>13</v>
      </c>
      <c r="R1" s="42" t="s">
        <v>14</v>
      </c>
      <c r="S1" s="42" t="s">
        <v>15</v>
      </c>
      <c r="T1" s="42" t="s">
        <v>16</v>
      </c>
      <c r="U1" s="42" t="s">
        <v>17</v>
      </c>
      <c r="V1" s="42" t="s">
        <v>18</v>
      </c>
      <c r="W1" s="42" t="s">
        <v>19</v>
      </c>
      <c r="X1" s="42" t="s">
        <v>20</v>
      </c>
      <c r="Y1" s="42" t="s">
        <v>21</v>
      </c>
      <c r="Z1" s="42" t="s">
        <v>22</v>
      </c>
      <c r="AA1" s="42" t="s">
        <v>23</v>
      </c>
      <c r="AB1" s="42" t="s">
        <v>24</v>
      </c>
      <c r="AC1" s="42" t="s">
        <v>25</v>
      </c>
      <c r="AD1" s="42" t="s">
        <v>26</v>
      </c>
      <c r="AE1" s="42" t="s">
        <v>27</v>
      </c>
      <c r="AF1" s="42" t="s">
        <v>28</v>
      </c>
      <c r="AG1" s="42" t="s">
        <v>29</v>
      </c>
      <c r="AH1" s="42" t="s">
        <v>30</v>
      </c>
      <c r="AI1" s="42" t="s">
        <v>31</v>
      </c>
      <c r="AJ1" s="42" t="s">
        <v>32</v>
      </c>
      <c r="AK1" s="42" t="s">
        <v>33</v>
      </c>
      <c r="AL1" t="s">
        <v>34</v>
      </c>
      <c r="AM1" s="27" t="s">
        <v>35</v>
      </c>
      <c r="AN1" s="28" t="s">
        <v>36</v>
      </c>
      <c r="AO1" s="27" t="s">
        <v>37</v>
      </c>
      <c r="AP1" s="28" t="s">
        <v>38</v>
      </c>
      <c r="AQ1" s="27" t="s">
        <v>39</v>
      </c>
      <c r="AR1" s="27" t="s">
        <v>40</v>
      </c>
      <c r="AS1" t="s">
        <v>41</v>
      </c>
      <c r="AT1" t="s">
        <v>42</v>
      </c>
      <c r="AU1" s="34" t="s">
        <v>43</v>
      </c>
      <c r="AV1" s="34" t="s">
        <v>44</v>
      </c>
      <c r="AW1" s="34" t="s">
        <v>45</v>
      </c>
      <c r="AX1" t="s">
        <v>46</v>
      </c>
      <c r="AY1" t="s">
        <v>47</v>
      </c>
      <c r="AZ1" s="34" t="s">
        <v>48</v>
      </c>
      <c r="BA1" s="34" t="s">
        <v>49</v>
      </c>
      <c r="BB1" t="s">
        <v>50</v>
      </c>
      <c r="BC1" t="s">
        <v>51</v>
      </c>
      <c r="BD1" s="34" t="s">
        <v>52</v>
      </c>
      <c r="BE1" s="34" t="s">
        <v>53</v>
      </c>
      <c r="BF1" t="s">
        <v>54</v>
      </c>
      <c r="BG1" t="s">
        <v>55</v>
      </c>
      <c r="BH1" s="34" t="s">
        <v>56</v>
      </c>
      <c r="BI1" s="34" t="s">
        <v>57</v>
      </c>
      <c r="BJ1" t="s">
        <v>58</v>
      </c>
      <c r="BK1" t="s">
        <v>59</v>
      </c>
      <c r="BL1" s="34" t="s">
        <v>60</v>
      </c>
      <c r="BM1" s="34" t="s">
        <v>61</v>
      </c>
      <c r="BN1" s="27" t="s">
        <v>62</v>
      </c>
      <c r="BO1" s="27" t="s">
        <v>63</v>
      </c>
      <c r="BP1" s="27" t="s">
        <v>64</v>
      </c>
      <c r="BQ1" s="27" t="s">
        <v>65</v>
      </c>
      <c r="BR1" s="27" t="s">
        <v>66</v>
      </c>
      <c r="BS1" s="27" t="s">
        <v>67</v>
      </c>
      <c r="BT1" s="27" t="s">
        <v>68</v>
      </c>
      <c r="BU1" s="27" t="s">
        <v>69</v>
      </c>
      <c r="BV1" s="27" t="s">
        <v>70</v>
      </c>
    </row>
    <row r="2" spans="1:74">
      <c r="A2" s="43" t="s">
        <v>71</v>
      </c>
      <c r="B2" s="33">
        <v>4006.7</v>
      </c>
      <c r="C2" s="33">
        <v>3083.9</v>
      </c>
      <c r="D2" s="33">
        <f>58.4+IF($E$22="征人归",5.1,0)</f>
        <v>58.4</v>
      </c>
      <c r="E2" s="44"/>
      <c r="F2" s="45" t="s">
        <v>72</v>
      </c>
      <c r="G2" s="46" t="s">
        <v>73</v>
      </c>
      <c r="H2" s="47" t="s">
        <v>74</v>
      </c>
      <c r="I2" s="11">
        <f>620*(1-IF(F17="√",0.06,0)-IF(D20="√",0.04,0))</f>
        <v>558</v>
      </c>
      <c r="K2" s="40">
        <f>($L2*$BS2+$M2*$BQ2+$N2*$BT2+$O2*$BU2)</f>
        <v>24783.5168215903</v>
      </c>
      <c r="L2" s="40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BP2*$P2*(1+IF(VLOOKUP($Q2,武学奇术!$A:$ZZ,30,FALSE)="蓄力技",$B$21,0))*(1+$BV2)</f>
        <v>25100.0132226385</v>
      </c>
      <c r="M2" s="40">
        <f>(($AT2*$AM2+$AN2)*(1+$AU2)*(1+$AV2)+($AY2*IF($G$1="鸣金",$AO2,$AM2)+IF($G$1="鸣金",$AP2*1.5,0))*(1+$AZ2)*(1+$BA2)+($BC2*IF($G$1="裂石",$AO2,$AM2)+IF($G$1="裂石",$AP2*1.5,0))*(1+$BD2)*(1+$BE2)+($BG2*IF($G$1="牵丝",$AO2,$AM2)+IF($G$1="牵丝",$AP2*1.5,0))*(1+$BH2)*(1+$BI2)+($BK2*IF($G$1="破竹",$AO2,$AM2)+IF($G$1="破竹",$AP2*1.5,0))*(1+$BL2)*(1+$BM2))*(1+$AQ2)*$BR2*$P2*(1+IF(VLOOKUP($Q2,武学奇术!$A:$ZZ,30,FALSE)="蓄力技",$B$21,0))*(1+$BV2)</f>
        <v>24713.0603166232</v>
      </c>
      <c r="N2" s="40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P2*(1+IF(VLOOKUP($Q2,武学奇术!$A:$ZZ,30,FALSE)="蓄力技",$B$21,0))*(1+$BV2)</f>
        <v>16193.5569178313</v>
      </c>
      <c r="O2" s="40">
        <f>((($AS2*$AM2+$AN2)*(1+$AU2)*(1+$AV2)+($AX2*IF($G$1="鸣金",$AO2,$AM2)+IF($G$1="鸣金",$AP2*1.5,0))*(1+$AZ2)*(1+$BA2)+($BB2*IF($G$1="裂石",$AO2,$AM2)+IF($G$1="裂石",$AP2*1.5,0))*(1+$BD2)*(1+$BE2)+($BF2*IF($G$1="牵丝",$AO2,$AM2)+IF($G$1="牵丝",$AP2*1.5,0))*(1+$BH2)*(1+$BI2)+($BJ2*IF($G$1="破竹",$AO2,$AM2)+IF($G$1="破竹",$AP2*1.5,0))*(1+$BL2)*(1+$BM2))*(1+$AQ2))*$P2*(1+IF(VLOOKUP($Q2,武学奇术!$A:$ZZ,30,FALSE)="蓄力技",$B$21,0))*(1+$BV2)</f>
        <v>14081.1432307564</v>
      </c>
      <c r="P2" s="41">
        <v>1</v>
      </c>
      <c r="Q2" s="42" t="s">
        <v>75</v>
      </c>
      <c r="R2" s="42" t="s">
        <v>76</v>
      </c>
      <c r="S2" s="42" t="s">
        <v>77</v>
      </c>
      <c r="T2" s="42" t="s">
        <v>77</v>
      </c>
      <c r="U2" s="42" t="s">
        <v>77</v>
      </c>
      <c r="V2" s="42" t="s">
        <v>77</v>
      </c>
      <c r="W2" s="42" t="s">
        <v>78</v>
      </c>
      <c r="X2" s="42" t="s">
        <v>79</v>
      </c>
      <c r="Y2" s="42" t="s">
        <v>77</v>
      </c>
      <c r="Z2" s="42" t="s">
        <v>77</v>
      </c>
      <c r="AA2" s="42" t="s">
        <v>77</v>
      </c>
      <c r="AB2" s="42" t="s">
        <v>77</v>
      </c>
      <c r="AC2" s="42" t="s">
        <v>77</v>
      </c>
      <c r="AD2" s="42" t="s">
        <v>80</v>
      </c>
      <c r="AE2" s="42" t="s">
        <v>81</v>
      </c>
      <c r="AF2" s="42" t="s">
        <v>82</v>
      </c>
      <c r="AG2" s="42" t="s">
        <v>77</v>
      </c>
      <c r="AH2" s="42" t="s">
        <v>77</v>
      </c>
      <c r="AI2" s="42" t="s">
        <v>77</v>
      </c>
      <c r="AJ2" s="42" t="s">
        <v>77</v>
      </c>
      <c r="AK2" s="42" t="s">
        <v>77</v>
      </c>
      <c r="AL2" t="str">
        <f>VLOOKUP($Q2,武学奇术!$A:$ZZ,25,FALSE)</f>
        <v>群体奇术</v>
      </c>
      <c r="AM2" s="27">
        <f>VLOOKUP($Q2,武学奇术!$A:$ZZ,26,FALSE)</f>
        <v>1.4904</v>
      </c>
      <c r="AN2" s="28">
        <f>VLOOKUP($Q2,武学奇术!$A:$ZZ,27,FALSE)*(1+IF(OR($AL2=$F$4,$AL2=$F$5),$B$22,0))</f>
        <v>378</v>
      </c>
      <c r="AO2" s="27">
        <f>VLOOKUP($Q2,武学奇术!$A:$ZZ,28,FALSE)</f>
        <v>2.2356</v>
      </c>
      <c r="AP2" s="28">
        <f>VLOOKUP($Q2,武学奇术!$A:$ZZ,29,FALSE)*(1+IF(OR($AL2=$F$4,$AL2=$F$5),$B$22,0))</f>
        <v>0</v>
      </c>
      <c r="AQ2" s="27" cm="1">
        <f t="array" ref="AQ2">$G$3+IFERROR(VLOOKUP($AL2,$F$4:$G$7,2,FALSE),0)+VLOOKUP($Q2,武学奇术!$A:$ZZ,2,FALSE)+SUM(_xlfn.XLOOKUP($R2:$AK2,增益!$A:$A,增益!$B:$B,0))</f>
        <v>0.3437</v>
      </c>
      <c r="AR2" s="27" cm="1">
        <f t="array" ref="AR2">VLOOKUP($Q2,武学奇术!$A:$ZZ,5,FALSE)+SUM(_xlfn.XLOOKUP($R2:$AK2,增益!$A:$A,增益!$E:$E,0))</f>
        <v>0</v>
      </c>
      <c r="AS2" cm="1">
        <f t="array" ref="AS2">$D$10*(1+$AR2)+VLOOKUP($Q2,武学奇术!$A:$ZZ,3,FALSE)+SUM(_xlfn.XLOOKUP($R2:$AK2,增益!$A:$A,增益!$C:$C,0))-$I$2</f>
        <v>3648.7</v>
      </c>
      <c r="AT2" cm="1">
        <f t="array" ref="AT2">$E$10*(1+$AR2)+VLOOKUP($Q2,武学奇术!$A:$ZZ,4,FALSE)+SUM(_xlfn.XLOOKUP($R2:$AK2,增益!$A:$A,增益!$D:$D,0))-$I$2</f>
        <v>3648.7</v>
      </c>
      <c r="AU2" s="34" cm="1">
        <f t="array" ref="AU2">IF($F$10-$I$3+VLOOKUP($Q2,武学奇术!$A:$ZZ,6,FALSE)+SUM(_xlfn.XLOOKUP($R2:$AK2,增益!$A:$A,增益!$F:$F,0))&gt;0,($F$10-$I$3+VLOOKUP($Q2,武学奇术!$A:$ZZ,6,FALSE)+SUM(_xlfn.XLOOKUP($R2:$AK2,增益!$A:$A,增益!$F:$F,0)))/200,($F$10-$I$3+VLOOKUP($Q2,武学奇术!$A:$ZZ,6,FALSE)+SUM(_xlfn.XLOOKUP($R2:$AK2,增益!$A:$A,增益!$F:$F,0)))/100)</f>
        <v>0.337</v>
      </c>
      <c r="AV2" s="34" cm="1">
        <f t="array" ref="AV2">$G$10+VLOOKUP($Q2,武学奇术!$A:$ZZ,7,FALSE)+SUM(_xlfn.XLOOKUP($R2:$AK2,增益!$A:$A,增益!$G:$G,0))</f>
        <v>0</v>
      </c>
      <c r="AW2" s="27" cm="1">
        <f t="array" ref="AW2">VLOOKUP($Q2,武学奇术!$A:$ZZ,8,FALSE)+SUM(_xlfn.XLOOKUP($R2:$AK2,增益!$A:$A,增益!$H:$H,0))</f>
        <v>0</v>
      </c>
      <c r="AX2">
        <f>$D$11*(1+$AW2)</f>
        <v>0</v>
      </c>
      <c r="AY2">
        <f>$E$11*(1+$AW2)</f>
        <v>0</v>
      </c>
      <c r="AZ2" s="34" cm="1">
        <f t="array" ref="AZ2">IF($F$11-$I$4+VLOOKUP($Q2,武学奇术!$A:$ZZ,9,FALSE)+SUM(_xlfn.XLOOKUP($R2:$AK2,增益!$A:$A,增益!$I:$I,0))&gt;0,($F$11-$I$4+VLOOKUP($Q2,武学奇术!$A:$ZZ,9,FALSE)+SUM(_xlfn.XLOOKUP($R2:$AK2,增益!$A:$A,增益!$I:$I,0)))/200,($F$11-$I$4+VLOOKUP($Q2,武学奇术!$A:$ZZ,9,FALSE)+SUM(_xlfn.XLOOKUP($R2:$AK2,增益!$A:$A,增益!$I:$I,0)))/100)</f>
        <v>-0.3</v>
      </c>
      <c r="BA2" s="34" cm="1">
        <f t="array" ref="BA2">$G$11+VLOOKUP($Q2,武学奇术!$A:$ZZ,10,FALSE)+SUM(_xlfn.XLOOKUP($R2:$AK2,增益!$A:$A,增益!$J:$J,0))</f>
        <v>0</v>
      </c>
      <c r="BB2">
        <f>$D$12*(1+$AW2)</f>
        <v>594.1</v>
      </c>
      <c r="BC2">
        <f>$E$12*(1+$AW2)</f>
        <v>1604.9</v>
      </c>
      <c r="BD2" s="34" cm="1">
        <f t="array" ref="BD2">IF($F$12-$I$4+VLOOKUP($Q2,武学奇术!$A:$ZZ,11,FALSE)+SUM(_xlfn.XLOOKUP($R2:$AK2,增益!$A:$A,增益!$K:$K,0))&gt;0,($F$12-$I$4+VLOOKUP($Q2,武学奇术!$A:$ZZ,11,FALSE)+SUM(_xlfn.XLOOKUP($R2:$AK2,增益!$A:$A,增益!$K:$K,0)))/200,($F$12-$I$4+VLOOKUP($Q2,武学奇术!$A:$ZZ,11,FALSE)+SUM(_xlfn.XLOOKUP($R2:$AK2,增益!$A:$A,增益!$K:$K,0)))/100)</f>
        <v>0.09</v>
      </c>
      <c r="BE2" s="34" cm="1">
        <f t="array" ref="BE2">$G$12+VLOOKUP($Q2,武学奇术!$A:$ZZ,12,FALSE)+SUM(_xlfn.XLOOKUP($R2:$AK2,增益!$A:$A,增益!$L:$L,0))</f>
        <v>0.15</v>
      </c>
      <c r="BF2">
        <f>$D$13*(1+$AW2)</f>
        <v>0</v>
      </c>
      <c r="BG2">
        <f>$E$13*(1+$AW2)</f>
        <v>0</v>
      </c>
      <c r="BH2" s="34" cm="1">
        <f t="array" ref="BH2">IF($F$13-$I$4+VLOOKUP($Q2,武学奇术!$A:$ZZ,13,FALSE)+SUM(_xlfn.XLOOKUP($R2:$AK2,增益!$A:$A,增益!$M:$M,0))&gt;0,($F$13-$I$4+VLOOKUP($Q2,武学奇术!$A:$ZZ,13,FALSE)+SUM(_xlfn.XLOOKUP($R2:$AK2,增益!$A:$A,增益!$K:$K,0)))/200,($F$13-$I$4+VLOOKUP($Q2,武学奇术!$A:$ZZ,13,FALSE)+SUM(_xlfn.XLOOKUP($R2:$AK2,增益!$A:$A,增益!$M:$M,0)))/100)</f>
        <v>-0.3</v>
      </c>
      <c r="BI2" s="34" cm="1">
        <f t="array" ref="BI2">$G$13+VLOOKUP($Q2,武学奇术!$A:$ZZ,14,FALSE)+SUM(_xlfn.XLOOKUP($R2:$AK2,增益!$A:$A,增益!$N:$N,0))</f>
        <v>0</v>
      </c>
      <c r="BJ2">
        <f>$D$14*(1+$AW2)</f>
        <v>0</v>
      </c>
      <c r="BK2">
        <f>$E$14*(1+$AW2)</f>
        <v>0</v>
      </c>
      <c r="BL2" s="34" cm="1">
        <f t="array" ref="BL2">IF($F$14-$I$4+VLOOKUP($Q2,武学奇术!$A:$ZZ,15,FALSE)+SUM(_xlfn.XLOOKUP($R2:$AK2,增益!$A:$A,增益!$O:$O,0))&gt;0,($F$14-$I$4+VLOOKUP($Q2,武学奇术!$A:$ZZ,15,FALSE)+SUM(_xlfn.XLOOKUP($R2:$AK2,增益!$A:$A,增益!$O:$O,0)))/200,($F$14-$I$4+VLOOKUP($Q2,武学奇术!$A:$ZZ,15,FALSE)+SUM(_xlfn.XLOOKUP($R2:$AK2,增益!$A:$A,增益!$O:$O,0)))/100)</f>
        <v>-0.3</v>
      </c>
      <c r="BM2" s="34" cm="1">
        <f t="array" ref="BM2">$G$14+VLOOKUP($Q2,武学奇术!$A:$ZZ,16,FALSE)+SUM(_xlfn.XLOOKUP($R2:$AK2,增益!$A:$A,增益!$P:$P,0))</f>
        <v>0</v>
      </c>
      <c r="BN2" s="27">
        <f>MIN(IF(VLOOKUP($Q2,武学奇术!$A:$ZZ,23,FALSE)=1,100%,$B$8),100%)</f>
        <v>0.9859</v>
      </c>
      <c r="BO2" s="27" cm="1">
        <f t="array" ref="BO2">IF(VLOOKUP($Q2,武学奇术!$A:$ZZ,23,FALSE)=1,100%,MIN(80%,$B$9+VLOOKUP($Q2,武学奇术!$A:$ZZ,17,FALSE)+SUM(_xlfn.XLOOKUP($R2:$AK2,增益!$A:$A,增益!$Q:$Q,0)))+$B$11+SUM(_xlfn.XLOOKUP($R2:$AK2,增益!$A:$A,增益!$U:$U,0)))*IF(VLOOKUP($Q2,武学奇术!$A:$ZZ,24,FALSE)=1,0,1)</f>
        <v>0.8912</v>
      </c>
      <c r="BP2" s="27" cm="1">
        <f t="array" ref="BP2">1+$B$13+VLOOKUP($Q2,武学奇术!$A:$ZZ,18,FALSE)+SUM(_xlfn.XLOOKUP($R2:$AK2,增益!$A:$A,增益!$R:$R,0))</f>
        <v>1.55</v>
      </c>
      <c r="BQ2" s="27" cm="1">
        <f t="array" ref="BQ2">IF(VLOOKUP($Q2,武学奇术!$A:$ZZ,24,FALSE)=1,100%,MIN(40%,$B$10+VLOOKUP($Q2,武学奇术!$A:$ZZ,19,FALSE)+SUM(_xlfn.XLOOKUP($R2:$AK2,增益!$A:$A,增益!$S:$S,0)))+$B$12+SUM(_xlfn.XLOOKUP($R2:$AK2,增益!$A:$A,增益!$V:$V,0)))*IF(VLOOKUP($Q2,武学奇术!$A:$ZZ,23,FALSE)=1,0,1)</f>
        <v>0.0929</v>
      </c>
      <c r="BR2" s="27" cm="1">
        <f t="array" ref="BR2">1+$B$14+VLOOKUP($Q2,武学奇术!$A:$ZZ,20,FALSE)+SUM(_xlfn.XLOOKUP($R2:$AK2,增益!$A:$A,增益!$T:$T,0))</f>
        <v>1.35</v>
      </c>
      <c r="BS2" s="27">
        <f>MIN((1-BQ2)*BN2,BN2*BO2)</f>
        <v>0.87863408</v>
      </c>
      <c r="BT2" s="27">
        <f>1-BQ2-BS2-BU2</f>
        <v>0.01567581</v>
      </c>
      <c r="BU2" s="27">
        <f>IF(VLOOKUP($Q2,武学奇术!$A:$ZZ,22,FALSE)=1,0,(1-$BN2))*(1-$BQ2)</f>
        <v>0.01279011</v>
      </c>
      <c r="BV2" s="27" cm="1">
        <f t="array" ref="BV2">SUM(_xlfn.XLOOKUP($R2:$AK2,增益!$A:$A,增益!$W:$W,0))+$I$5</f>
        <v>0.11</v>
      </c>
    </row>
    <row r="3" spans="1:74">
      <c r="A3" s="48" t="s">
        <v>83</v>
      </c>
      <c r="B3" s="49"/>
      <c r="C3" s="49"/>
      <c r="D3" s="49"/>
      <c r="E3" s="50"/>
      <c r="F3" s="47" t="s">
        <v>39</v>
      </c>
      <c r="G3" s="51">
        <f>B16+1.5%+IF(G2="断岳",5%,0)+IF($D$16="√",8%,0)+IF($E$22="征人归",8%,0)</f>
        <v>0.2337</v>
      </c>
      <c r="H3" s="47" t="s">
        <v>84</v>
      </c>
      <c r="I3" s="11">
        <f>25-IF(D17="√",10,0)-IF(F17="√",10,0)</f>
        <v>5</v>
      </c>
      <c r="K3" s="40">
        <f t="shared" ref="K3:K34" si="0">($L3*$BS3+$M3*$BQ3+$N3*$BT3+$O3*$BU3)</f>
        <v>29607.7746151611</v>
      </c>
      <c r="L3" s="40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BP3*$P3*(1+IF(VLOOKUP($Q3,武学奇术!$A:$ZZ,30,FALSE)="蓄力技",$B$21,0))*(1+$BV3)</f>
        <v>30201.0591399009</v>
      </c>
      <c r="M3" s="40">
        <f>(($AT3*$AM3+$AN3)*(1+$AU3)*(1+$AV3)+($AY3*IF($G$1="鸣金",$AO3,$AM3)+IF($G$1="鸣金",$AP3*1.5,0))*(1+$AZ3)*(1+$BA3)+($BC3*IF($G$1="裂石",$AO3,$AM3)+IF($G$1="裂石",$AP3*1.5,0))*(1+$BD3)*(1+$BE3)+($BG3*IF($G$1="牵丝",$AO3,$AM3)+IF($G$1="牵丝",$AP3*1.5,0))*(1+$BH3)*(1+$BI3)+($BK3*IF($G$1="破竹",$AO3,$AM3)+IF($G$1="破竹",$AP3*1.5,0))*(1+$BL3)*(1+$BM3))*(1+$AQ3)*$BR3*$P3*(1+IF(VLOOKUP($Q3,武学奇术!$A:$ZZ,30,FALSE)="蓄力技",$B$21,0))*(1+$BV3)</f>
        <v>27827.191750156</v>
      </c>
      <c r="N3" s="40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P3*(1+IF(VLOOKUP($Q3,武学奇术!$A:$ZZ,30,FALSE)="蓄力技",$B$21,0))*(1+$BV3)</f>
        <v>18193.4091204222</v>
      </c>
      <c r="O3" s="40">
        <f>((($AS3*$AM3+$AN3)*(1+$AU3)*(1+$AV3)+($AX3*IF($G$1="鸣金",$AO3,$AM3)+IF($G$1="鸣金",$AP3*1.5,0))*(1+$AZ3)*(1+$BA3)+($BB3*IF($G$1="裂石",$AO3,$AM3)+IF($G$1="裂石",$AP3*1.5,0))*(1+$BD3)*(1+$BE3)+($BF3*IF($G$1="牵丝",$AO3,$AM3)+IF($G$1="牵丝",$AP3*1.5,0))*(1+$BH3)*(1+$BI3)+($BJ3*IF($G$1="破竹",$AO3,$AM3)+IF($G$1="破竹",$AP3*1.5,0))*(1+$BL3)*(1+$BM3))*(1+$AQ3))*$P3*(1+IF(VLOOKUP($Q3,武学奇术!$A:$ZZ,30,FALSE)="蓄力技",$B$21,0))*(1+$BV3)</f>
        <v>15774.0836110992</v>
      </c>
      <c r="P3" s="41">
        <v>1</v>
      </c>
      <c r="Q3" s="42" t="s">
        <v>75</v>
      </c>
      <c r="R3" s="42" t="s">
        <v>85</v>
      </c>
      <c r="S3" s="42" t="s">
        <v>77</v>
      </c>
      <c r="T3" s="42" t="s">
        <v>86</v>
      </c>
      <c r="U3" s="42" t="s">
        <v>87</v>
      </c>
      <c r="V3" s="42" t="s">
        <v>77</v>
      </c>
      <c r="W3" s="42" t="s">
        <v>78</v>
      </c>
      <c r="X3" s="42" t="s">
        <v>88</v>
      </c>
      <c r="Y3" s="42" t="s">
        <v>77</v>
      </c>
      <c r="Z3" s="42" t="s">
        <v>77</v>
      </c>
      <c r="AA3" s="42" t="s">
        <v>77</v>
      </c>
      <c r="AB3" s="42" t="s">
        <v>89</v>
      </c>
      <c r="AC3" s="42" t="s">
        <v>77</v>
      </c>
      <c r="AD3" s="42" t="s">
        <v>80</v>
      </c>
      <c r="AE3" s="42" t="s">
        <v>81</v>
      </c>
      <c r="AF3" s="42" t="s">
        <v>82</v>
      </c>
      <c r="AG3" s="42" t="s">
        <v>77</v>
      </c>
      <c r="AH3" s="42" t="s">
        <v>77</v>
      </c>
      <c r="AI3" s="42" t="s">
        <v>77</v>
      </c>
      <c r="AJ3" s="42" t="s">
        <v>77</v>
      </c>
      <c r="AK3" s="42" t="s">
        <v>90</v>
      </c>
      <c r="AL3" t="str">
        <f>VLOOKUP($Q3,武学奇术!$A:$ZZ,25,FALSE)</f>
        <v>群体奇术</v>
      </c>
      <c r="AM3" s="27">
        <f>VLOOKUP($Q3,武学奇术!$A:$ZZ,26,FALSE)</f>
        <v>1.4904</v>
      </c>
      <c r="AN3" s="28">
        <f>VLOOKUP($Q3,武学奇术!$A:$ZZ,27,FALSE)*(1+IF(OR($AL3=$F$4,$AL3=$F$5),$B$22,0))</f>
        <v>378</v>
      </c>
      <c r="AO3" s="27">
        <f>VLOOKUP($Q3,武学奇术!$A:$ZZ,28,FALSE)</f>
        <v>2.2356</v>
      </c>
      <c r="AP3" s="28">
        <f>VLOOKUP($Q3,武学奇术!$A:$ZZ,29,FALSE)*(1+IF(OR($AL3=$F$4,$AL3=$F$5),$B$22,0))</f>
        <v>0</v>
      </c>
      <c r="AQ3" s="27" cm="1">
        <f t="array" ref="AQ3">$G$3+IFERROR(VLOOKUP($AL3,$F$4:$G$7,2,FALSE),0)+VLOOKUP($Q3,武学奇术!$A:$ZZ,2,FALSE)+SUM(_xlfn.XLOOKUP($R3:$AK3,增益!$A:$A,增益!$B:$B,0))</f>
        <v>0.4337</v>
      </c>
      <c r="AR3" s="27" cm="1">
        <f t="array" ref="AR3">VLOOKUP($Q3,武学奇术!$A:$ZZ,5,FALSE)+SUM(_xlfn.XLOOKUP($R3:$AK3,增益!$A:$A,增益!$E:$E,0))</f>
        <v>0</v>
      </c>
      <c r="AS3" cm="1">
        <f t="array" ref="AS3">$D$10*(1+$AR3)+VLOOKUP($Q3,武学奇术!$A:$ZZ,3,FALSE)+SUM(_xlfn.XLOOKUP($R3:$AK3,增益!$A:$A,增益!$C:$C,0))-$I$2</f>
        <v>3648.7</v>
      </c>
      <c r="AT3" cm="1">
        <f t="array" ref="AT3">$E$10*(1+$AR3)+VLOOKUP($Q3,武学奇术!$A:$ZZ,4,FALSE)+SUM(_xlfn.XLOOKUP($R3:$AK3,增益!$A:$A,增益!$D:$D,0))-$I$2</f>
        <v>3648.7</v>
      </c>
      <c r="AU3" s="34" cm="1">
        <f t="array" ref="AU3">IF($F$10-$I$3+VLOOKUP($Q3,武学奇术!$A:$ZZ,6,FALSE)+SUM(_xlfn.XLOOKUP($R3:$AK3,增益!$A:$A,增益!$F:$F,0))&gt;0,($F$10-$I$3+VLOOKUP($Q3,武学奇术!$A:$ZZ,6,FALSE)+SUM(_xlfn.XLOOKUP($R3:$AK3,增益!$A:$A,增益!$F:$F,0)))/200,($F$10-$I$3+VLOOKUP($Q3,武学奇术!$A:$ZZ,6,FALSE)+SUM(_xlfn.XLOOKUP($R3:$AK3,增益!$A:$A,增益!$F:$F,0)))/100)</f>
        <v>0.397</v>
      </c>
      <c r="AV3" s="34" cm="1">
        <f t="array" ref="AV3">$G$10+VLOOKUP($Q3,武学奇术!$A:$ZZ,7,FALSE)+SUM(_xlfn.XLOOKUP($R3:$AK3,增益!$A:$A,增益!$G:$G,0))</f>
        <v>0</v>
      </c>
      <c r="AW3" s="27" cm="1">
        <f t="array" ref="AW3">VLOOKUP($Q3,武学奇术!$A:$ZZ,8,FALSE)+SUM(_xlfn.XLOOKUP($R3:$AK3,增益!$A:$A,增益!$H:$H,0))</f>
        <v>0</v>
      </c>
      <c r="AX3">
        <f t="shared" ref="AX3:AX34" si="1">$D$11*(1+$AW3)</f>
        <v>0</v>
      </c>
      <c r="AY3">
        <f t="shared" ref="AY3:AY34" si="2">$E$11*(1+$AW3)</f>
        <v>0</v>
      </c>
      <c r="AZ3" s="34" cm="1">
        <f t="array" ref="AZ3">IF($F$11-$I$4+VLOOKUP($Q3,武学奇术!$A:$ZZ,9,FALSE)+SUM(_xlfn.XLOOKUP($R3:$AK3,增益!$A:$A,增益!$I:$I,0))&gt;0,($F$11-$I$4+VLOOKUP($Q3,武学奇术!$A:$ZZ,9,FALSE)+SUM(_xlfn.XLOOKUP($R3:$AK3,增益!$A:$A,增益!$I:$I,0)))/200,($F$11-$I$4+VLOOKUP($Q3,武学奇术!$A:$ZZ,9,FALSE)+SUM(_xlfn.XLOOKUP($R3:$AK3,增益!$A:$A,增益!$I:$I,0)))/100)</f>
        <v>-0.14</v>
      </c>
      <c r="BA3" s="34" cm="1">
        <f t="array" ref="BA3">$G$11+VLOOKUP($Q3,武学奇术!$A:$ZZ,10,FALSE)+SUM(_xlfn.XLOOKUP($R3:$AK3,增益!$A:$A,增益!$J:$J,0))</f>
        <v>0</v>
      </c>
      <c r="BB3">
        <f t="shared" ref="BB3:BB34" si="3">$D$12*(1+$AW3)</f>
        <v>594.1</v>
      </c>
      <c r="BC3">
        <f t="shared" ref="BC3:BC34" si="4">$E$12*(1+$AW3)</f>
        <v>1604.9</v>
      </c>
      <c r="BD3" s="34" cm="1">
        <f t="array" ref="BD3">IF($F$12-$I$4+VLOOKUP($Q3,武学奇术!$A:$ZZ,11,FALSE)+SUM(_xlfn.XLOOKUP($R3:$AK3,增益!$A:$A,增益!$K:$K,0))&gt;0,($F$12-$I$4+VLOOKUP($Q3,武学奇术!$A:$ZZ,11,FALSE)+SUM(_xlfn.XLOOKUP($R3:$AK3,增益!$A:$A,增益!$K:$K,0)))/200,($F$12-$I$4+VLOOKUP($Q3,武学奇术!$A:$ZZ,11,FALSE)+SUM(_xlfn.XLOOKUP($R3:$AK3,增益!$A:$A,增益!$K:$K,0)))/100)</f>
        <v>0.17</v>
      </c>
      <c r="BE3" s="34" cm="1">
        <f t="array" ref="BE3">$G$12+VLOOKUP($Q3,武学奇术!$A:$ZZ,12,FALSE)+SUM(_xlfn.XLOOKUP($R3:$AK3,增益!$A:$A,增益!$L:$L,0))</f>
        <v>0.15</v>
      </c>
      <c r="BF3">
        <f t="shared" ref="BF3:BF34" si="5">$D$13*(1+$AW3)</f>
        <v>0</v>
      </c>
      <c r="BG3">
        <f t="shared" ref="BG3:BG34" si="6">$E$13*(1+$AW3)</f>
        <v>0</v>
      </c>
      <c r="BH3" s="34" cm="1">
        <f t="array" ref="BH3">IF($F$13-$I$4+VLOOKUP($Q3,武学奇术!$A:$ZZ,13,FALSE)+SUM(_xlfn.XLOOKUP($R3:$AK3,增益!$A:$A,增益!$M:$M,0))&gt;0,($F$13-$I$4+VLOOKUP($Q3,武学奇术!$A:$ZZ,13,FALSE)+SUM(_xlfn.XLOOKUP($R3:$AK3,增益!$A:$A,增益!$K:$K,0)))/200,($F$13-$I$4+VLOOKUP($Q3,武学奇术!$A:$ZZ,13,FALSE)+SUM(_xlfn.XLOOKUP($R3:$AK3,增益!$A:$A,增益!$M:$M,0)))/100)</f>
        <v>-0.14</v>
      </c>
      <c r="BI3" s="34" cm="1">
        <f t="array" ref="BI3">$G$13+VLOOKUP($Q3,武学奇术!$A:$ZZ,14,FALSE)+SUM(_xlfn.XLOOKUP($R3:$AK3,增益!$A:$A,增益!$N:$N,0))</f>
        <v>0</v>
      </c>
      <c r="BJ3">
        <f t="shared" ref="BJ3:BJ34" si="7">$D$14*(1+$AW3)</f>
        <v>0</v>
      </c>
      <c r="BK3">
        <f t="shared" ref="BK3:BK34" si="8">$E$14*(1+$AW3)</f>
        <v>0</v>
      </c>
      <c r="BL3" s="34" cm="1">
        <f t="array" ref="BL3">IF($F$14-$I$4+VLOOKUP($Q3,武学奇术!$A:$ZZ,15,FALSE)+SUM(_xlfn.XLOOKUP($R3:$AK3,增益!$A:$A,增益!$O:$O,0))&gt;0,($F$14-$I$4+VLOOKUP($Q3,武学奇术!$A:$ZZ,15,FALSE)+SUM(_xlfn.XLOOKUP($R3:$AK3,增益!$A:$A,增益!$O:$O,0)))/200,($F$14-$I$4+VLOOKUP($Q3,武学奇术!$A:$ZZ,15,FALSE)+SUM(_xlfn.XLOOKUP($R3:$AK3,增益!$A:$A,增益!$O:$O,0)))/100)</f>
        <v>-0.14</v>
      </c>
      <c r="BM3" s="34" cm="1">
        <f t="array" ref="BM3">$G$14+VLOOKUP($Q3,武学奇术!$A:$ZZ,16,FALSE)+SUM(_xlfn.XLOOKUP($R3:$AK3,增益!$A:$A,增益!$P:$P,0))</f>
        <v>0</v>
      </c>
      <c r="BN3" s="27">
        <f>MIN(IF(VLOOKUP($Q3,武学奇术!$A:$ZZ,23,FALSE)=1,100%,$B$8),100%)</f>
        <v>0.9859</v>
      </c>
      <c r="BO3" s="27" cm="1">
        <f t="array" ref="BO3">IF(VLOOKUP($Q3,武学奇术!$A:$ZZ,23,FALSE)=1,100%,MIN(80%,$B$9+VLOOKUP($Q3,武学奇术!$A:$ZZ,17,FALSE)+SUM(_xlfn.XLOOKUP($R3:$AK3,增益!$A:$A,增益!$Q:$Q,0)))+$B$11+SUM(_xlfn.XLOOKUP($R3:$AK3,增益!$A:$A,增益!$U:$U,0)))*IF(VLOOKUP($Q3,武学奇术!$A:$ZZ,24,FALSE)=1,0,1)</f>
        <v>0.8912</v>
      </c>
      <c r="BP3" s="27" cm="1">
        <f t="array" ref="BP3">1+$B$13+VLOOKUP($Q3,武学奇术!$A:$ZZ,18,FALSE)+SUM(_xlfn.XLOOKUP($R3:$AK3,增益!$A:$A,增益!$R:$R,0))</f>
        <v>1.66</v>
      </c>
      <c r="BQ3" s="27" cm="1">
        <f t="array" ref="BQ3">IF(VLOOKUP($Q3,武学奇术!$A:$ZZ,24,FALSE)=1,100%,MIN(40%,$B$10+VLOOKUP($Q3,武学奇术!$A:$ZZ,19,FALSE)+SUM(_xlfn.XLOOKUP($R3:$AK3,增益!$A:$A,增益!$S:$S,0)))+$B$12+SUM(_xlfn.XLOOKUP($R3:$AK3,增益!$A:$A,增益!$V:$V,0)))*IF(VLOOKUP($Q3,武学奇术!$A:$ZZ,23,FALSE)=1,0,1)</f>
        <v>0.0929</v>
      </c>
      <c r="BR3" s="27" cm="1">
        <f t="array" ref="BR3">1+$B$14+VLOOKUP($Q3,武学奇术!$A:$ZZ,20,FALSE)+SUM(_xlfn.XLOOKUP($R3:$AK3,增益!$A:$A,增益!$T:$T,0))</f>
        <v>1.35</v>
      </c>
      <c r="BS3" s="27">
        <f t="shared" ref="BS3:BS34" si="9">MIN((1-BQ3)*BN3,BN3*BO3)</f>
        <v>0.87863408</v>
      </c>
      <c r="BT3" s="27">
        <f t="shared" ref="BT3:BT34" si="10">1-BQ3-BS3-BU3</f>
        <v>0.01567581</v>
      </c>
      <c r="BU3" s="27">
        <f>IF(VLOOKUP($Q3,武学奇术!$A:$ZZ,22,FALSE)=1,0,(1-$BN3))*(1-$BQ3)</f>
        <v>0.01279011</v>
      </c>
      <c r="BV3" s="27" cm="1">
        <f t="array" ref="BV3">SUM(_xlfn.XLOOKUP($R3:$AK3,增益!$A:$A,增益!$W:$W,0))+$I$5</f>
        <v>0.11</v>
      </c>
    </row>
    <row r="4" ht="14.25" spans="1:74">
      <c r="A4" s="52" t="s">
        <v>5</v>
      </c>
      <c r="B4" s="53">
        <v>514.9</v>
      </c>
      <c r="C4" s="53">
        <v>1374.9</v>
      </c>
      <c r="D4" s="53">
        <v>36</v>
      </c>
      <c r="E4" s="54">
        <v>0.15</v>
      </c>
      <c r="F4" s="47" t="s">
        <v>91</v>
      </c>
      <c r="G4" s="51">
        <f>B15+B17</f>
        <v>0.1704</v>
      </c>
      <c r="H4" s="55" t="s">
        <v>92</v>
      </c>
      <c r="I4" s="14">
        <f>30</f>
        <v>30</v>
      </c>
      <c r="K4" s="40">
        <f t="shared" si="0"/>
        <v>30126.3554584202</v>
      </c>
      <c r="L4" s="40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BP4*$P4*(1+IF(VLOOKUP($Q4,武学奇术!$A:$ZZ,30,FALSE)="蓄力技",$B$21,0))*(1+$BV4)</f>
        <v>30750.5610098483</v>
      </c>
      <c r="M4" s="40">
        <f>(($AT4*$AM4+$AN4)*(1+$AU4)*(1+$AV4)+($AY4*IF($G$1="鸣金",$AO4,$AM4)+IF($G$1="鸣金",$AP4*1.5,0))*(1+$AZ4)*(1+$BA4)+($BC4*IF($G$1="裂石",$AO4,$AM4)+IF($G$1="裂石",$AP4*1.5,0))*(1+$BD4)*(1+$BE4)+($BG4*IF($G$1="牵丝",$AO4,$AM4)+IF($G$1="牵丝",$AP4*1.5,0))*(1+$BH4)*(1+$BI4)+($BK4*IF($G$1="破竹",$AO4,$AM4)+IF($G$1="破竹",$AP4*1.5,0))*(1+$BL4)*(1+$BM4))*(1+$AQ4)*$BR4*$P4*(1+IF(VLOOKUP($Q4,武学奇术!$A:$ZZ,30,FALSE)="蓄力技",$B$21,0))*(1+$BV4)</f>
        <v>28147.1082225163</v>
      </c>
      <c r="N4" s="40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P4*(1+IF(VLOOKUP($Q4,武学奇术!$A:$ZZ,30,FALSE)="蓄力技",$B$21,0))*(1+$BV4)</f>
        <v>18413.5095867355</v>
      </c>
      <c r="O4" s="40">
        <f>((($AS4*$AM4+$AN4)*(1+$AU4)*(1+$AV4)+($AX4*IF($G$1="鸣金",$AO4,$AM4)+IF($G$1="鸣金",$AP4*1.5,0))*(1+$AZ4)*(1+$BA4)+($BB4*IF($G$1="裂石",$AO4,$AM4)+IF($G$1="裂石",$AP4*1.5,0))*(1+$BD4)*(1+$BE4)+($BF4*IF($G$1="牵丝",$AO4,$AM4)+IF($G$1="牵丝",$AP4*1.5,0))*(1+$BH4)*(1+$BI4)+($BJ4*IF($G$1="破竹",$AO4,$AM4)+IF($G$1="破竹",$AP4*1.5,0))*(1+$BL4)*(1+$BM4))*(1+$AQ4))*$P4*(1+IF(VLOOKUP($Q4,武学奇术!$A:$ZZ,30,FALSE)="蓄力技",$B$21,0))*(1+$BV4)</f>
        <v>15977.3093790145</v>
      </c>
      <c r="P4" s="41">
        <v>1</v>
      </c>
      <c r="Q4" s="42" t="s">
        <v>75</v>
      </c>
      <c r="R4" s="42" t="s">
        <v>93</v>
      </c>
      <c r="S4" s="42" t="s">
        <v>77</v>
      </c>
      <c r="T4" s="42" t="s">
        <v>86</v>
      </c>
      <c r="U4" s="42" t="s">
        <v>87</v>
      </c>
      <c r="V4" s="42" t="s">
        <v>77</v>
      </c>
      <c r="W4" s="42" t="s">
        <v>78</v>
      </c>
      <c r="X4" s="42" t="s">
        <v>94</v>
      </c>
      <c r="Y4" s="42" t="s">
        <v>77</v>
      </c>
      <c r="Z4" s="42" t="s">
        <v>77</v>
      </c>
      <c r="AA4" s="42" t="s">
        <v>77</v>
      </c>
      <c r="AB4" s="42" t="s">
        <v>95</v>
      </c>
      <c r="AC4" s="42" t="s">
        <v>77</v>
      </c>
      <c r="AD4" s="42" t="s">
        <v>80</v>
      </c>
      <c r="AE4" s="42" t="s">
        <v>81</v>
      </c>
      <c r="AF4" s="42" t="s">
        <v>82</v>
      </c>
      <c r="AG4" s="42" t="s">
        <v>77</v>
      </c>
      <c r="AH4" s="42" t="s">
        <v>77</v>
      </c>
      <c r="AI4" s="42" t="s">
        <v>77</v>
      </c>
      <c r="AJ4" s="42" t="s">
        <v>77</v>
      </c>
      <c r="AK4" s="42" t="s">
        <v>90</v>
      </c>
      <c r="AL4" t="str">
        <f>VLOOKUP($Q4,武学奇术!$A:$ZZ,25,FALSE)</f>
        <v>群体奇术</v>
      </c>
      <c r="AM4" s="27">
        <f>VLOOKUP($Q4,武学奇术!$A:$ZZ,26,FALSE)</f>
        <v>1.4904</v>
      </c>
      <c r="AN4" s="28">
        <f>VLOOKUP($Q4,武学奇术!$A:$ZZ,27,FALSE)*(1+IF(OR($AL4=$F$4,$AL4=$F$5),$B$22,0))</f>
        <v>378</v>
      </c>
      <c r="AO4" s="27">
        <f>VLOOKUP($Q4,武学奇术!$A:$ZZ,28,FALSE)</f>
        <v>2.2356</v>
      </c>
      <c r="AP4" s="28">
        <f>VLOOKUP($Q4,武学奇术!$A:$ZZ,29,FALSE)*(1+IF(OR($AL4=$F$4,$AL4=$F$5),$B$22,0))</f>
        <v>0</v>
      </c>
      <c r="AQ4" s="27" cm="1">
        <f t="array" ref="AQ4">$G$3+IFERROR(VLOOKUP($AL4,$F$4:$G$7,2,FALSE),0)+VLOOKUP($Q4,武学奇术!$A:$ZZ,2,FALSE)+SUM(_xlfn.XLOOKUP($R4:$AK4,增益!$A:$A,增益!$B:$B,0))</f>
        <v>0.4437</v>
      </c>
      <c r="AR4" s="27" cm="1">
        <f t="array" ref="AR4">VLOOKUP($Q4,武学奇术!$A:$ZZ,5,FALSE)+SUM(_xlfn.XLOOKUP($R4:$AK4,增益!$A:$A,增益!$E:$E,0))</f>
        <v>0</v>
      </c>
      <c r="AS4" cm="1">
        <f t="array" ref="AS4">$D$10*(1+$AR4)+VLOOKUP($Q4,武学奇术!$A:$ZZ,3,FALSE)+SUM(_xlfn.XLOOKUP($R4:$AK4,增益!$A:$A,增益!$C:$C,0))-$I$2</f>
        <v>3648.7</v>
      </c>
      <c r="AT4" cm="1">
        <f t="array" ref="AT4">$E$10*(1+$AR4)+VLOOKUP($Q4,武学奇术!$A:$ZZ,4,FALSE)+SUM(_xlfn.XLOOKUP($R4:$AK4,增益!$A:$A,增益!$D:$D,0))-$I$2</f>
        <v>3648.7</v>
      </c>
      <c r="AU4" s="34" cm="1">
        <f t="array" ref="AU4">IF($F$10-$I$3+VLOOKUP($Q4,武学奇术!$A:$ZZ,6,FALSE)+SUM(_xlfn.XLOOKUP($R4:$AK4,增益!$A:$A,增益!$F:$F,0))&gt;0,($F$10-$I$3+VLOOKUP($Q4,武学奇术!$A:$ZZ,6,FALSE)+SUM(_xlfn.XLOOKUP($R4:$AK4,增益!$A:$A,增益!$F:$F,0)))/200,($F$10-$I$3+VLOOKUP($Q4,武学奇术!$A:$ZZ,6,FALSE)+SUM(_xlfn.XLOOKUP($R4:$AK4,增益!$A:$A,增益!$F:$F,0)))/100)</f>
        <v>0.407</v>
      </c>
      <c r="AV4" s="34" cm="1">
        <f t="array" ref="AV4">$G$10+VLOOKUP($Q4,武学奇术!$A:$ZZ,7,FALSE)+SUM(_xlfn.XLOOKUP($R4:$AK4,增益!$A:$A,增益!$G:$G,0))</f>
        <v>0</v>
      </c>
      <c r="AW4" s="27" cm="1">
        <f t="array" ref="AW4">VLOOKUP($Q4,武学奇术!$A:$ZZ,8,FALSE)+SUM(_xlfn.XLOOKUP($R4:$AK4,增益!$A:$A,增益!$H:$H,0))</f>
        <v>0</v>
      </c>
      <c r="AX4">
        <f t="shared" si="1"/>
        <v>0</v>
      </c>
      <c r="AY4">
        <f t="shared" si="2"/>
        <v>0</v>
      </c>
      <c r="AZ4" s="34" cm="1">
        <f t="array" ref="AZ4">IF($F$11-$I$4+VLOOKUP($Q4,武学奇术!$A:$ZZ,9,FALSE)+SUM(_xlfn.XLOOKUP($R4:$AK4,增益!$A:$A,增益!$I:$I,0))&gt;0,($F$11-$I$4+VLOOKUP($Q4,武学奇术!$A:$ZZ,9,FALSE)+SUM(_xlfn.XLOOKUP($R4:$AK4,增益!$A:$A,增益!$I:$I,0)))/200,($F$11-$I$4+VLOOKUP($Q4,武学奇术!$A:$ZZ,9,FALSE)+SUM(_xlfn.XLOOKUP($R4:$AK4,增益!$A:$A,增益!$I:$I,0)))/100)</f>
        <v>-0.14</v>
      </c>
      <c r="BA4" s="34" cm="1">
        <f t="array" ref="BA4">$G$11+VLOOKUP($Q4,武学奇术!$A:$ZZ,10,FALSE)+SUM(_xlfn.XLOOKUP($R4:$AK4,增益!$A:$A,增益!$J:$J,0))</f>
        <v>0</v>
      </c>
      <c r="BB4">
        <f t="shared" si="3"/>
        <v>594.1</v>
      </c>
      <c r="BC4">
        <f t="shared" si="4"/>
        <v>1604.9</v>
      </c>
      <c r="BD4" s="34" cm="1">
        <f t="array" ref="BD4">IF($F$12-$I$4+VLOOKUP($Q4,武学奇术!$A:$ZZ,11,FALSE)+SUM(_xlfn.XLOOKUP($R4:$AK4,增益!$A:$A,增益!$K:$K,0))&gt;0,($F$12-$I$4+VLOOKUP($Q4,武学奇术!$A:$ZZ,11,FALSE)+SUM(_xlfn.XLOOKUP($R4:$AK4,增益!$A:$A,增益!$K:$K,0)))/200,($F$12-$I$4+VLOOKUP($Q4,武学奇术!$A:$ZZ,11,FALSE)+SUM(_xlfn.XLOOKUP($R4:$AK4,增益!$A:$A,增益!$K:$K,0)))/100)</f>
        <v>0.17</v>
      </c>
      <c r="BE4" s="34" cm="1">
        <f t="array" ref="BE4">$G$12+VLOOKUP($Q4,武学奇术!$A:$ZZ,12,FALSE)+SUM(_xlfn.XLOOKUP($R4:$AK4,增益!$A:$A,增益!$L:$L,0))</f>
        <v>0.15</v>
      </c>
      <c r="BF4">
        <f t="shared" si="5"/>
        <v>0</v>
      </c>
      <c r="BG4">
        <f t="shared" si="6"/>
        <v>0</v>
      </c>
      <c r="BH4" s="34" cm="1">
        <f t="array" ref="BH4">IF($F$13-$I$4+VLOOKUP($Q4,武学奇术!$A:$ZZ,13,FALSE)+SUM(_xlfn.XLOOKUP($R4:$AK4,增益!$A:$A,增益!$M:$M,0))&gt;0,($F$13-$I$4+VLOOKUP($Q4,武学奇术!$A:$ZZ,13,FALSE)+SUM(_xlfn.XLOOKUP($R4:$AK4,增益!$A:$A,增益!$K:$K,0)))/200,($F$13-$I$4+VLOOKUP($Q4,武学奇术!$A:$ZZ,13,FALSE)+SUM(_xlfn.XLOOKUP($R4:$AK4,增益!$A:$A,增益!$M:$M,0)))/100)</f>
        <v>-0.14</v>
      </c>
      <c r="BI4" s="34" cm="1">
        <f t="array" ref="BI4">$G$13+VLOOKUP($Q4,武学奇术!$A:$ZZ,14,FALSE)+SUM(_xlfn.XLOOKUP($R4:$AK4,增益!$A:$A,增益!$N:$N,0))</f>
        <v>0</v>
      </c>
      <c r="BJ4">
        <f t="shared" si="7"/>
        <v>0</v>
      </c>
      <c r="BK4">
        <f t="shared" si="8"/>
        <v>0</v>
      </c>
      <c r="BL4" s="34" cm="1">
        <f t="array" ref="BL4">IF($F$14-$I$4+VLOOKUP($Q4,武学奇术!$A:$ZZ,15,FALSE)+SUM(_xlfn.XLOOKUP($R4:$AK4,增益!$A:$A,增益!$O:$O,0))&gt;0,($F$14-$I$4+VLOOKUP($Q4,武学奇术!$A:$ZZ,15,FALSE)+SUM(_xlfn.XLOOKUP($R4:$AK4,增益!$A:$A,增益!$O:$O,0)))/200,($F$14-$I$4+VLOOKUP($Q4,武学奇术!$A:$ZZ,15,FALSE)+SUM(_xlfn.XLOOKUP($R4:$AK4,增益!$A:$A,增益!$O:$O,0)))/100)</f>
        <v>-0.14</v>
      </c>
      <c r="BM4" s="34" cm="1">
        <f t="array" ref="BM4">$G$14+VLOOKUP($Q4,武学奇术!$A:$ZZ,16,FALSE)+SUM(_xlfn.XLOOKUP($R4:$AK4,增益!$A:$A,增益!$P:$P,0))</f>
        <v>0</v>
      </c>
      <c r="BN4" s="27">
        <f>MIN(IF(VLOOKUP($Q4,武学奇术!$A:$ZZ,23,FALSE)=1,100%,$B$8),100%)</f>
        <v>0.9859</v>
      </c>
      <c r="BO4" s="27" cm="1">
        <f t="array" ref="BO4">IF(VLOOKUP($Q4,武学奇术!$A:$ZZ,23,FALSE)=1,100%,MIN(80%,$B$9+VLOOKUP($Q4,武学奇术!$A:$ZZ,17,FALSE)+SUM(_xlfn.XLOOKUP($R4:$AK4,增益!$A:$A,增益!$Q:$Q,0)))+$B$11+SUM(_xlfn.XLOOKUP($R4:$AK4,增益!$A:$A,增益!$U:$U,0)))*IF(VLOOKUP($Q4,武学奇术!$A:$ZZ,24,FALSE)=1,0,1)</f>
        <v>0.8912</v>
      </c>
      <c r="BP4" s="27" cm="1">
        <f t="array" ref="BP4">1+$B$13+VLOOKUP($Q4,武学奇术!$A:$ZZ,18,FALSE)+SUM(_xlfn.XLOOKUP($R4:$AK4,增益!$A:$A,增益!$R:$R,0))</f>
        <v>1.67</v>
      </c>
      <c r="BQ4" s="27" cm="1">
        <f t="array" ref="BQ4">IF(VLOOKUP($Q4,武学奇术!$A:$ZZ,24,FALSE)=1,100%,MIN(40%,$B$10+VLOOKUP($Q4,武学奇术!$A:$ZZ,19,FALSE)+SUM(_xlfn.XLOOKUP($R4:$AK4,增益!$A:$A,增益!$S:$S,0)))+$B$12+SUM(_xlfn.XLOOKUP($R4:$AK4,增益!$A:$A,增益!$V:$V,0)))*IF(VLOOKUP($Q4,武学奇术!$A:$ZZ,23,FALSE)=1,0,1)</f>
        <v>0.0929</v>
      </c>
      <c r="BR4" s="27" cm="1">
        <f t="array" ref="BR4">1+$B$14+VLOOKUP($Q4,武学奇术!$A:$ZZ,20,FALSE)+SUM(_xlfn.XLOOKUP($R4:$AK4,增益!$A:$A,增益!$T:$T,0))</f>
        <v>1.35</v>
      </c>
      <c r="BS4" s="27">
        <f t="shared" si="9"/>
        <v>0.87863408</v>
      </c>
      <c r="BT4" s="27">
        <f t="shared" si="10"/>
        <v>0.01567581</v>
      </c>
      <c r="BU4" s="27">
        <f>IF(VLOOKUP($Q4,武学奇术!$A:$ZZ,22,FALSE)=1,0,(1-$BN4))*(1-$BQ4)</f>
        <v>0.01279011</v>
      </c>
      <c r="BV4" s="27" cm="1">
        <f t="array" ref="BV4">SUM(_xlfn.XLOOKUP($R4:$AK4,增益!$A:$A,增益!$W:$W,0))+$I$5</f>
        <v>0.11</v>
      </c>
    </row>
    <row r="5" spans="1:74">
      <c r="A5" s="56" t="s">
        <v>96</v>
      </c>
      <c r="B5" s="57"/>
      <c r="C5" s="57"/>
      <c r="D5" s="57"/>
      <c r="E5" s="58"/>
      <c r="F5" s="47" t="s">
        <v>97</v>
      </c>
      <c r="G5" s="51">
        <f>B15+B18</f>
        <v>0.0852</v>
      </c>
      <c r="H5" t="s">
        <v>98</v>
      </c>
      <c r="I5" s="29">
        <v>0.06</v>
      </c>
      <c r="K5" s="40">
        <f t="shared" si="0"/>
        <v>30650.9086251374</v>
      </c>
      <c r="L5" s="40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BP5*$P5*(1+IF(VLOOKUP($Q5,武学奇术!$A:$ZZ,30,FALSE)="蓄力技",$B$21,0))*(1+$BV5)</f>
        <v>31306.6340328661</v>
      </c>
      <c r="M5" s="40">
        <f>(($AT5*$AM5+$AN5)*(1+$AU5)*(1+$AV5)+($AY5*IF($G$1="鸣金",$AO5,$AM5)+IF($G$1="鸣金",$AP5*1.5,0))*(1+$AZ5)*(1+$BA5)+($BC5*IF($G$1="裂石",$AO5,$AM5)+IF($G$1="裂石",$AP5*1.5,0))*(1+$BD5)*(1+$BE5)+($BG5*IF($G$1="牵丝",$AO5,$AM5)+IF($G$1="牵丝",$AP5*1.5,0))*(1+$BH5)*(1+$BI5)+($BK5*IF($G$1="破竹",$AO5,$AM5)+IF($G$1="破竹",$AP5*1.5,0))*(1+$BL5)*(1+$BM5))*(1+$AQ5)*$BR5*$P5*(1+IF(VLOOKUP($Q5,武学奇术!$A:$ZZ,30,FALSE)="蓄力技",$B$21,0))*(1+$BV5)</f>
        <v>28468.7677568138</v>
      </c>
      <c r="N5" s="40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P5*(1+IF(VLOOKUP($Q5,武学奇术!$A:$ZZ,30,FALSE)="蓄力技",$B$21,0))*(1+$BV5)</f>
        <v>18634.9012100394</v>
      </c>
      <c r="O5" s="40">
        <f>((($AS5*$AM5+$AN5)*(1+$AU5)*(1+$AV5)+($AX5*IF($G$1="鸣金",$AO5,$AM5)+IF($G$1="鸣金",$AP5*1.5,0))*(1+$AZ5)*(1+$BA5)+($BB5*IF($G$1="裂石",$AO5,$AM5)+IF($G$1="裂石",$AP5*1.5,0))*(1+$BD5)*(1+$BE5)+($BF5*IF($G$1="牵丝",$AO5,$AM5)+IF($G$1="牵丝",$AP5*1.5,0))*(1+$BH5)*(1+$BI5)+($BJ5*IF($G$1="破竹",$AO5,$AM5)+IF($G$1="破竹",$AP5*1.5,0))*(1+$BL5)*(1+$BM5))*(1+$AQ5))*$P5*(1+IF(VLOOKUP($Q5,武学奇术!$A:$ZZ,30,FALSE)="蓄力技",$B$21,0))*(1+$BV5)</f>
        <v>16181.8263039204</v>
      </c>
      <c r="P5" s="41">
        <v>1</v>
      </c>
      <c r="Q5" s="42" t="s">
        <v>75</v>
      </c>
      <c r="R5" s="42" t="s">
        <v>99</v>
      </c>
      <c r="S5" s="42" t="s">
        <v>77</v>
      </c>
      <c r="T5" s="42" t="s">
        <v>86</v>
      </c>
      <c r="U5" s="42" t="s">
        <v>87</v>
      </c>
      <c r="V5" s="42" t="s">
        <v>77</v>
      </c>
      <c r="W5" s="42" t="s">
        <v>78</v>
      </c>
      <c r="X5" s="42" t="s">
        <v>100</v>
      </c>
      <c r="Y5" s="42" t="s">
        <v>77</v>
      </c>
      <c r="Z5" s="42" t="s">
        <v>77</v>
      </c>
      <c r="AA5" s="42" t="s">
        <v>77</v>
      </c>
      <c r="AB5" s="42" t="s">
        <v>95</v>
      </c>
      <c r="AC5" s="42" t="s">
        <v>77</v>
      </c>
      <c r="AD5" s="42" t="s">
        <v>80</v>
      </c>
      <c r="AE5" s="42" t="s">
        <v>81</v>
      </c>
      <c r="AF5" s="42" t="s">
        <v>82</v>
      </c>
      <c r="AG5" s="42" t="s">
        <v>77</v>
      </c>
      <c r="AH5" s="42" t="s">
        <v>77</v>
      </c>
      <c r="AI5" s="42" t="s">
        <v>77</v>
      </c>
      <c r="AJ5" s="42" t="s">
        <v>77</v>
      </c>
      <c r="AK5" s="42" t="s">
        <v>90</v>
      </c>
      <c r="AL5" t="str">
        <f>VLOOKUP($Q5,武学奇术!$A:$ZZ,25,FALSE)</f>
        <v>群体奇术</v>
      </c>
      <c r="AM5" s="27">
        <f>VLOOKUP($Q5,武学奇术!$A:$ZZ,26,FALSE)</f>
        <v>1.4904</v>
      </c>
      <c r="AN5" s="28">
        <f>VLOOKUP($Q5,武学奇术!$A:$ZZ,27,FALSE)*(1+IF(OR($AL5=$F$4,$AL5=$F$5),$B$22,0))</f>
        <v>378</v>
      </c>
      <c r="AO5" s="27">
        <f>VLOOKUP($Q5,武学奇术!$A:$ZZ,28,FALSE)</f>
        <v>2.2356</v>
      </c>
      <c r="AP5" s="28">
        <f>VLOOKUP($Q5,武学奇术!$A:$ZZ,29,FALSE)*(1+IF(OR($AL5=$F$4,$AL5=$F$5),$B$22,0))</f>
        <v>0</v>
      </c>
      <c r="AQ5" s="27" cm="1">
        <f t="array" ref="AQ5">$G$3+IFERROR(VLOOKUP($AL5,$F$4:$G$7,2,FALSE),0)+VLOOKUP($Q5,武学奇术!$A:$ZZ,2,FALSE)+SUM(_xlfn.XLOOKUP($R5:$AK5,增益!$A:$A,增益!$B:$B,0))</f>
        <v>0.4537</v>
      </c>
      <c r="AR5" s="27" cm="1">
        <f t="array" ref="AR5">VLOOKUP($Q5,武学奇术!$A:$ZZ,5,FALSE)+SUM(_xlfn.XLOOKUP($R5:$AK5,增益!$A:$A,增益!$E:$E,0))</f>
        <v>0</v>
      </c>
      <c r="AS5" cm="1">
        <f t="array" ref="AS5">$D$10*(1+$AR5)+VLOOKUP($Q5,武学奇术!$A:$ZZ,3,FALSE)+SUM(_xlfn.XLOOKUP($R5:$AK5,增益!$A:$A,增益!$C:$C,0))-$I$2</f>
        <v>3648.7</v>
      </c>
      <c r="AT5" cm="1">
        <f t="array" ref="AT5">$E$10*(1+$AR5)+VLOOKUP($Q5,武学奇术!$A:$ZZ,4,FALSE)+SUM(_xlfn.XLOOKUP($R5:$AK5,增益!$A:$A,增益!$D:$D,0))-$I$2</f>
        <v>3648.7</v>
      </c>
      <c r="AU5" s="34" cm="1">
        <f t="array" ref="AU5">IF($F$10-$I$3+VLOOKUP($Q5,武学奇术!$A:$ZZ,6,FALSE)+SUM(_xlfn.XLOOKUP($R5:$AK5,增益!$A:$A,增益!$F:$F,0))&gt;0,($F$10-$I$3+VLOOKUP($Q5,武学奇术!$A:$ZZ,6,FALSE)+SUM(_xlfn.XLOOKUP($R5:$AK5,增益!$A:$A,增益!$F:$F,0)))/200,($F$10-$I$3+VLOOKUP($Q5,武学奇术!$A:$ZZ,6,FALSE)+SUM(_xlfn.XLOOKUP($R5:$AK5,增益!$A:$A,增益!$F:$F,0)))/100)</f>
        <v>0.417</v>
      </c>
      <c r="AV5" s="34" cm="1">
        <f t="array" ref="AV5">$G$10+VLOOKUP($Q5,武学奇术!$A:$ZZ,7,FALSE)+SUM(_xlfn.XLOOKUP($R5:$AK5,增益!$A:$A,增益!$G:$G,0))</f>
        <v>0</v>
      </c>
      <c r="AW5" s="27" cm="1">
        <f t="array" ref="AW5">VLOOKUP($Q5,武学奇术!$A:$ZZ,8,FALSE)+SUM(_xlfn.XLOOKUP($R5:$AK5,增益!$A:$A,增益!$H:$H,0))</f>
        <v>0</v>
      </c>
      <c r="AX5">
        <f t="shared" si="1"/>
        <v>0</v>
      </c>
      <c r="AY5">
        <f t="shared" si="2"/>
        <v>0</v>
      </c>
      <c r="AZ5" s="34" cm="1">
        <f t="array" ref="AZ5">IF($F$11-$I$4+VLOOKUP($Q5,武学奇术!$A:$ZZ,9,FALSE)+SUM(_xlfn.XLOOKUP($R5:$AK5,增益!$A:$A,增益!$I:$I,0))&gt;0,($F$11-$I$4+VLOOKUP($Q5,武学奇术!$A:$ZZ,9,FALSE)+SUM(_xlfn.XLOOKUP($R5:$AK5,增益!$A:$A,增益!$I:$I,0)))/200,($F$11-$I$4+VLOOKUP($Q5,武学奇术!$A:$ZZ,9,FALSE)+SUM(_xlfn.XLOOKUP($R5:$AK5,增益!$A:$A,增益!$I:$I,0)))/100)</f>
        <v>-0.14</v>
      </c>
      <c r="BA5" s="34" cm="1">
        <f t="array" ref="BA5">$G$11+VLOOKUP($Q5,武学奇术!$A:$ZZ,10,FALSE)+SUM(_xlfn.XLOOKUP($R5:$AK5,增益!$A:$A,增益!$J:$J,0))</f>
        <v>0</v>
      </c>
      <c r="BB5">
        <f t="shared" si="3"/>
        <v>594.1</v>
      </c>
      <c r="BC5">
        <f t="shared" si="4"/>
        <v>1604.9</v>
      </c>
      <c r="BD5" s="34" cm="1">
        <f t="array" ref="BD5">IF($F$12-$I$4+VLOOKUP($Q5,武学奇术!$A:$ZZ,11,FALSE)+SUM(_xlfn.XLOOKUP($R5:$AK5,增益!$A:$A,增益!$K:$K,0))&gt;0,($F$12-$I$4+VLOOKUP($Q5,武学奇术!$A:$ZZ,11,FALSE)+SUM(_xlfn.XLOOKUP($R5:$AK5,增益!$A:$A,增益!$K:$K,0)))/200,($F$12-$I$4+VLOOKUP($Q5,武学奇术!$A:$ZZ,11,FALSE)+SUM(_xlfn.XLOOKUP($R5:$AK5,增益!$A:$A,增益!$K:$K,0)))/100)</f>
        <v>0.17</v>
      </c>
      <c r="BE5" s="34" cm="1">
        <f t="array" ref="BE5">$G$12+VLOOKUP($Q5,武学奇术!$A:$ZZ,12,FALSE)+SUM(_xlfn.XLOOKUP($R5:$AK5,增益!$A:$A,增益!$L:$L,0))</f>
        <v>0.15</v>
      </c>
      <c r="BF5">
        <f t="shared" si="5"/>
        <v>0</v>
      </c>
      <c r="BG5">
        <f t="shared" si="6"/>
        <v>0</v>
      </c>
      <c r="BH5" s="34" cm="1">
        <f t="array" ref="BH5">IF($F$13-$I$4+VLOOKUP($Q5,武学奇术!$A:$ZZ,13,FALSE)+SUM(_xlfn.XLOOKUP($R5:$AK5,增益!$A:$A,增益!$M:$M,0))&gt;0,($F$13-$I$4+VLOOKUP($Q5,武学奇术!$A:$ZZ,13,FALSE)+SUM(_xlfn.XLOOKUP($R5:$AK5,增益!$A:$A,增益!$K:$K,0)))/200,($F$13-$I$4+VLOOKUP($Q5,武学奇术!$A:$ZZ,13,FALSE)+SUM(_xlfn.XLOOKUP($R5:$AK5,增益!$A:$A,增益!$M:$M,0)))/100)</f>
        <v>-0.14</v>
      </c>
      <c r="BI5" s="34" cm="1">
        <f t="array" ref="BI5">$G$13+VLOOKUP($Q5,武学奇术!$A:$ZZ,14,FALSE)+SUM(_xlfn.XLOOKUP($R5:$AK5,增益!$A:$A,增益!$N:$N,0))</f>
        <v>0</v>
      </c>
      <c r="BJ5">
        <f t="shared" si="7"/>
        <v>0</v>
      </c>
      <c r="BK5">
        <f t="shared" si="8"/>
        <v>0</v>
      </c>
      <c r="BL5" s="34" cm="1">
        <f t="array" ref="BL5">IF($F$14-$I$4+VLOOKUP($Q5,武学奇术!$A:$ZZ,15,FALSE)+SUM(_xlfn.XLOOKUP($R5:$AK5,增益!$A:$A,增益!$O:$O,0))&gt;0,($F$14-$I$4+VLOOKUP($Q5,武学奇术!$A:$ZZ,15,FALSE)+SUM(_xlfn.XLOOKUP($R5:$AK5,增益!$A:$A,增益!$O:$O,0)))/200,($F$14-$I$4+VLOOKUP($Q5,武学奇术!$A:$ZZ,15,FALSE)+SUM(_xlfn.XLOOKUP($R5:$AK5,增益!$A:$A,增益!$O:$O,0)))/100)</f>
        <v>-0.14</v>
      </c>
      <c r="BM5" s="34" cm="1">
        <f t="array" ref="BM5">$G$14+VLOOKUP($Q5,武学奇术!$A:$ZZ,16,FALSE)+SUM(_xlfn.XLOOKUP($R5:$AK5,增益!$A:$A,增益!$P:$P,0))</f>
        <v>0</v>
      </c>
      <c r="BN5" s="27">
        <f>MIN(IF(VLOOKUP($Q5,武学奇术!$A:$ZZ,23,FALSE)=1,100%,$B$8),100%)</f>
        <v>0.9859</v>
      </c>
      <c r="BO5" s="27" cm="1">
        <f t="array" ref="BO5">IF(VLOOKUP($Q5,武学奇术!$A:$ZZ,23,FALSE)=1,100%,MIN(80%,$B$9+VLOOKUP($Q5,武学奇术!$A:$ZZ,17,FALSE)+SUM(_xlfn.XLOOKUP($R5:$AK5,增益!$A:$A,增益!$Q:$Q,0)))+$B$11+SUM(_xlfn.XLOOKUP($R5:$AK5,增益!$A:$A,增益!$U:$U,0)))*IF(VLOOKUP($Q5,武学奇术!$A:$ZZ,24,FALSE)=1,0,1)</f>
        <v>0.8912</v>
      </c>
      <c r="BP5" s="27" cm="1">
        <f t="array" ref="BP5">1+$B$13+VLOOKUP($Q5,武学奇术!$A:$ZZ,18,FALSE)+SUM(_xlfn.XLOOKUP($R5:$AK5,增益!$A:$A,增益!$R:$R,0))</f>
        <v>1.68</v>
      </c>
      <c r="BQ5" s="27" cm="1">
        <f t="array" ref="BQ5">IF(VLOOKUP($Q5,武学奇术!$A:$ZZ,24,FALSE)=1,100%,MIN(40%,$B$10+VLOOKUP($Q5,武学奇术!$A:$ZZ,19,FALSE)+SUM(_xlfn.XLOOKUP($R5:$AK5,增益!$A:$A,增益!$S:$S,0)))+$B$12+SUM(_xlfn.XLOOKUP($R5:$AK5,增益!$A:$A,增益!$V:$V,0)))*IF(VLOOKUP($Q5,武学奇术!$A:$ZZ,23,FALSE)=1,0,1)</f>
        <v>0.0929</v>
      </c>
      <c r="BR5" s="27" cm="1">
        <f t="array" ref="BR5">1+$B$14+VLOOKUP($Q5,武学奇术!$A:$ZZ,20,FALSE)+SUM(_xlfn.XLOOKUP($R5:$AK5,增益!$A:$A,增益!$T:$T,0))</f>
        <v>1.35</v>
      </c>
      <c r="BS5" s="27">
        <f t="shared" si="9"/>
        <v>0.87863408</v>
      </c>
      <c r="BT5" s="27">
        <f t="shared" si="10"/>
        <v>0.01567581</v>
      </c>
      <c r="BU5" s="27">
        <f>IF(VLOOKUP($Q5,武学奇术!$A:$ZZ,22,FALSE)=1,0,(1-$BN5))*(1-$BQ5)</f>
        <v>0.01279011</v>
      </c>
      <c r="BV5" s="27" cm="1">
        <f t="array" ref="BV5">SUM(_xlfn.XLOOKUP($R5:$AK5,增益!$A:$A,增益!$W:$W,0))+$I$5</f>
        <v>0.11</v>
      </c>
    </row>
    <row r="6" spans="1:74">
      <c r="A6" s="59" t="s">
        <v>101</v>
      </c>
      <c r="B6" s="60"/>
      <c r="C6" s="60"/>
      <c r="D6" s="60"/>
      <c r="E6" s="61"/>
      <c r="F6" s="47" t="s">
        <v>102</v>
      </c>
      <c r="G6" s="51">
        <f>B19</f>
        <v>0</v>
      </c>
      <c r="K6" s="40">
        <f t="shared" si="0"/>
        <v>31015.7789893451</v>
      </c>
      <c r="L6" s="40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BP6*$P6*(1+IF(VLOOKUP($Q6,武学奇术!$A:$ZZ,30,FALSE)="蓄力技",$B$21,0))*(1+$BV6)</f>
        <v>31680.7411037608</v>
      </c>
      <c r="M6" s="40">
        <f>(($AT6*$AM6+$AN6)*(1+$AU6)*(1+$AV6)+($AY6*IF($G$1="鸣金",$AO6,$AM6)+IF($G$1="鸣金",$AP6*1.5,0))*(1+$AZ6)*(1+$BA6)+($BC6*IF($G$1="裂石",$AO6,$AM6)+IF($G$1="裂石",$AP6*1.5,0))*(1+$BD6)*(1+$BE6)+($BG6*IF($G$1="牵丝",$AO6,$AM6)+IF($G$1="牵丝",$AP6*1.5,0))*(1+$BH6)*(1+$BI6)+($BK6*IF($G$1="破竹",$AO6,$AM6)+IF($G$1="破竹",$AP6*1.5,0))*(1+$BL6)*(1+$BM6))*(1+$AQ6)*$BR6*$P6*(1+IF(VLOOKUP($Q6,武学奇术!$A:$ZZ,30,FALSE)="蓄力技",$B$21,0))*(1+$BV6)</f>
        <v>28792.1703530486</v>
      </c>
      <c r="N6" s="40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P6*(1+IF(VLOOKUP($Q6,武学奇术!$A:$ZZ,30,FALSE)="蓄力技",$B$21,0))*(1+$BV6)</f>
        <v>18857.5839903338</v>
      </c>
      <c r="O6" s="40">
        <f>((($AS6*$AM6+$AN6)*(1+$AU6)*(1+$AV6)+($AX6*IF($G$1="鸣金",$AO6,$AM6)+IF($G$1="鸣金",$AP6*1.5,0))*(1+$AZ6)*(1+$BA6)+($BB6*IF($G$1="裂石",$AO6,$AM6)+IF($G$1="裂石",$AP6*1.5,0))*(1+$BD6)*(1+$BE6)+($BF6*IF($G$1="牵丝",$AO6,$AM6)+IF($G$1="牵丝",$AP6*1.5,0))*(1+$BH6)*(1+$BI6)+($BJ6*IF($G$1="破竹",$AO6,$AM6)+IF($G$1="破竹",$AP6*1.5,0))*(1+$BL6)*(1+$BM6))*(1+$AQ6))*$P6*(1+IF(VLOOKUP($Q6,武学奇术!$A:$ZZ,30,FALSE)="蓄力技",$B$21,0))*(1+$BV6)</f>
        <v>16387.6343858168</v>
      </c>
      <c r="P6" s="41">
        <v>1</v>
      </c>
      <c r="Q6" s="42" t="s">
        <v>75</v>
      </c>
      <c r="R6" s="42" t="s">
        <v>103</v>
      </c>
      <c r="S6" s="42" t="s">
        <v>77</v>
      </c>
      <c r="T6" s="42" t="s">
        <v>86</v>
      </c>
      <c r="U6" s="42" t="s">
        <v>87</v>
      </c>
      <c r="V6" s="42" t="s">
        <v>77</v>
      </c>
      <c r="W6" s="42" t="s">
        <v>78</v>
      </c>
      <c r="X6" s="42" t="s">
        <v>100</v>
      </c>
      <c r="Y6" s="42" t="s">
        <v>77</v>
      </c>
      <c r="Z6" s="42" t="s">
        <v>77</v>
      </c>
      <c r="AA6" s="42" t="s">
        <v>77</v>
      </c>
      <c r="AB6" s="42" t="s">
        <v>89</v>
      </c>
      <c r="AC6" s="42" t="s">
        <v>77</v>
      </c>
      <c r="AD6" s="42" t="s">
        <v>80</v>
      </c>
      <c r="AE6" s="42" t="s">
        <v>81</v>
      </c>
      <c r="AF6" s="42" t="s">
        <v>82</v>
      </c>
      <c r="AG6" s="42" t="s">
        <v>77</v>
      </c>
      <c r="AH6" s="42" t="s">
        <v>77</v>
      </c>
      <c r="AI6" s="42" t="s">
        <v>77</v>
      </c>
      <c r="AJ6" s="42" t="s">
        <v>77</v>
      </c>
      <c r="AK6" s="42" t="s">
        <v>90</v>
      </c>
      <c r="AL6" t="str">
        <f>VLOOKUP($Q6,武学奇术!$A:$ZZ,25,FALSE)</f>
        <v>群体奇术</v>
      </c>
      <c r="AM6" s="27">
        <f>VLOOKUP($Q6,武学奇术!$A:$ZZ,26,FALSE)</f>
        <v>1.4904</v>
      </c>
      <c r="AN6" s="28">
        <f>VLOOKUP($Q6,武学奇术!$A:$ZZ,27,FALSE)*(1+IF(OR($AL6=$F$4,$AL6=$F$5),$B$22,0))</f>
        <v>378</v>
      </c>
      <c r="AO6" s="27">
        <f>VLOOKUP($Q6,武学奇术!$A:$ZZ,28,FALSE)</f>
        <v>2.2356</v>
      </c>
      <c r="AP6" s="28">
        <f>VLOOKUP($Q6,武学奇术!$A:$ZZ,29,FALSE)*(1+IF(OR($AL6=$F$4,$AL6=$F$5),$B$22,0))</f>
        <v>0</v>
      </c>
      <c r="AQ6" s="27" cm="1">
        <f t="array" ref="AQ6">$G$3+IFERROR(VLOOKUP($AL6,$F$4:$G$7,2,FALSE),0)+VLOOKUP($Q6,武学奇术!$A:$ZZ,2,FALSE)+SUM(_xlfn.XLOOKUP($R6:$AK6,增益!$A:$A,增益!$B:$B,0))</f>
        <v>0.4637</v>
      </c>
      <c r="AR6" s="27" cm="1">
        <f t="array" ref="AR6">VLOOKUP($Q6,武学奇术!$A:$ZZ,5,FALSE)+SUM(_xlfn.XLOOKUP($R6:$AK6,增益!$A:$A,增益!$E:$E,0))</f>
        <v>0</v>
      </c>
      <c r="AS6" cm="1">
        <f t="array" ref="AS6">$D$10*(1+$AR6)+VLOOKUP($Q6,武学奇术!$A:$ZZ,3,FALSE)+SUM(_xlfn.XLOOKUP($R6:$AK6,增益!$A:$A,增益!$C:$C,0))-$I$2</f>
        <v>3648.7</v>
      </c>
      <c r="AT6" cm="1">
        <f t="array" ref="AT6">$E$10*(1+$AR6)+VLOOKUP($Q6,武学奇术!$A:$ZZ,4,FALSE)+SUM(_xlfn.XLOOKUP($R6:$AK6,增益!$A:$A,增益!$D:$D,0))-$I$2</f>
        <v>3648.7</v>
      </c>
      <c r="AU6" s="34" cm="1">
        <f t="array" ref="AU6">IF($F$10-$I$3+VLOOKUP($Q6,武学奇术!$A:$ZZ,6,FALSE)+SUM(_xlfn.XLOOKUP($R6:$AK6,增益!$A:$A,增益!$F:$F,0))&gt;0,($F$10-$I$3+VLOOKUP($Q6,武学奇术!$A:$ZZ,6,FALSE)+SUM(_xlfn.XLOOKUP($R6:$AK6,增益!$A:$A,增益!$F:$F,0)))/200,($F$10-$I$3+VLOOKUP($Q6,武学奇术!$A:$ZZ,6,FALSE)+SUM(_xlfn.XLOOKUP($R6:$AK6,增益!$A:$A,增益!$F:$F,0)))/100)</f>
        <v>0.427</v>
      </c>
      <c r="AV6" s="34" cm="1">
        <f t="array" ref="AV6">$G$10+VLOOKUP($Q6,武学奇术!$A:$ZZ,7,FALSE)+SUM(_xlfn.XLOOKUP($R6:$AK6,增益!$A:$A,增益!$G:$G,0))</f>
        <v>0</v>
      </c>
      <c r="AW6" s="27" cm="1">
        <f t="array" ref="AW6">VLOOKUP($Q6,武学奇术!$A:$ZZ,8,FALSE)+SUM(_xlfn.XLOOKUP($R6:$AK6,增益!$A:$A,增益!$H:$H,0))</f>
        <v>0</v>
      </c>
      <c r="AX6">
        <f t="shared" si="1"/>
        <v>0</v>
      </c>
      <c r="AY6">
        <f t="shared" si="2"/>
        <v>0</v>
      </c>
      <c r="AZ6" s="34" cm="1">
        <f t="array" ref="AZ6">IF($F$11-$I$4+VLOOKUP($Q6,武学奇术!$A:$ZZ,9,FALSE)+SUM(_xlfn.XLOOKUP($R6:$AK6,增益!$A:$A,增益!$I:$I,0))&gt;0,($F$11-$I$4+VLOOKUP($Q6,武学奇术!$A:$ZZ,9,FALSE)+SUM(_xlfn.XLOOKUP($R6:$AK6,增益!$A:$A,增益!$I:$I,0)))/200,($F$11-$I$4+VLOOKUP($Q6,武学奇术!$A:$ZZ,9,FALSE)+SUM(_xlfn.XLOOKUP($R6:$AK6,增益!$A:$A,增益!$I:$I,0)))/100)</f>
        <v>-0.14</v>
      </c>
      <c r="BA6" s="34" cm="1">
        <f t="array" ref="BA6">$G$11+VLOOKUP($Q6,武学奇术!$A:$ZZ,10,FALSE)+SUM(_xlfn.XLOOKUP($R6:$AK6,增益!$A:$A,增益!$J:$J,0))</f>
        <v>0</v>
      </c>
      <c r="BB6">
        <f t="shared" si="3"/>
        <v>594.1</v>
      </c>
      <c r="BC6">
        <f t="shared" si="4"/>
        <v>1604.9</v>
      </c>
      <c r="BD6" s="34" cm="1">
        <f t="array" ref="BD6">IF($F$12-$I$4+VLOOKUP($Q6,武学奇术!$A:$ZZ,11,FALSE)+SUM(_xlfn.XLOOKUP($R6:$AK6,增益!$A:$A,增益!$K:$K,0))&gt;0,($F$12-$I$4+VLOOKUP($Q6,武学奇术!$A:$ZZ,11,FALSE)+SUM(_xlfn.XLOOKUP($R6:$AK6,增益!$A:$A,增益!$K:$K,0)))/200,($F$12-$I$4+VLOOKUP($Q6,武学奇术!$A:$ZZ,11,FALSE)+SUM(_xlfn.XLOOKUP($R6:$AK6,增益!$A:$A,增益!$K:$K,0)))/100)</f>
        <v>0.17</v>
      </c>
      <c r="BE6" s="34" cm="1">
        <f t="array" ref="BE6">$G$12+VLOOKUP($Q6,武学奇术!$A:$ZZ,12,FALSE)+SUM(_xlfn.XLOOKUP($R6:$AK6,增益!$A:$A,增益!$L:$L,0))</f>
        <v>0.15</v>
      </c>
      <c r="BF6">
        <f t="shared" si="5"/>
        <v>0</v>
      </c>
      <c r="BG6">
        <f t="shared" si="6"/>
        <v>0</v>
      </c>
      <c r="BH6" s="34" cm="1">
        <f t="array" ref="BH6">IF($F$13-$I$4+VLOOKUP($Q6,武学奇术!$A:$ZZ,13,FALSE)+SUM(_xlfn.XLOOKUP($R6:$AK6,增益!$A:$A,增益!$M:$M,0))&gt;0,($F$13-$I$4+VLOOKUP($Q6,武学奇术!$A:$ZZ,13,FALSE)+SUM(_xlfn.XLOOKUP($R6:$AK6,增益!$A:$A,增益!$K:$K,0)))/200,($F$13-$I$4+VLOOKUP($Q6,武学奇术!$A:$ZZ,13,FALSE)+SUM(_xlfn.XLOOKUP($R6:$AK6,增益!$A:$A,增益!$M:$M,0)))/100)</f>
        <v>-0.14</v>
      </c>
      <c r="BI6" s="34" cm="1">
        <f t="array" ref="BI6">$G$13+VLOOKUP($Q6,武学奇术!$A:$ZZ,14,FALSE)+SUM(_xlfn.XLOOKUP($R6:$AK6,增益!$A:$A,增益!$N:$N,0))</f>
        <v>0</v>
      </c>
      <c r="BJ6">
        <f t="shared" si="7"/>
        <v>0</v>
      </c>
      <c r="BK6">
        <f t="shared" si="8"/>
        <v>0</v>
      </c>
      <c r="BL6" s="34" cm="1">
        <f t="array" ref="BL6">IF($F$14-$I$4+VLOOKUP($Q6,武学奇术!$A:$ZZ,15,FALSE)+SUM(_xlfn.XLOOKUP($R6:$AK6,增益!$A:$A,增益!$O:$O,0))&gt;0,($F$14-$I$4+VLOOKUP($Q6,武学奇术!$A:$ZZ,15,FALSE)+SUM(_xlfn.XLOOKUP($R6:$AK6,增益!$A:$A,增益!$O:$O,0)))/200,($F$14-$I$4+VLOOKUP($Q6,武学奇术!$A:$ZZ,15,FALSE)+SUM(_xlfn.XLOOKUP($R6:$AK6,增益!$A:$A,增益!$O:$O,0)))/100)</f>
        <v>-0.14</v>
      </c>
      <c r="BM6" s="34" cm="1">
        <f t="array" ref="BM6">$G$14+VLOOKUP($Q6,武学奇术!$A:$ZZ,16,FALSE)+SUM(_xlfn.XLOOKUP($R6:$AK6,增益!$A:$A,增益!$P:$P,0))</f>
        <v>0</v>
      </c>
      <c r="BN6" s="27">
        <f>MIN(IF(VLOOKUP($Q6,武学奇术!$A:$ZZ,23,FALSE)=1,100%,$B$8),100%)</f>
        <v>0.9859</v>
      </c>
      <c r="BO6" s="27" cm="1">
        <f t="array" ref="BO6">IF(VLOOKUP($Q6,武学奇术!$A:$ZZ,23,FALSE)=1,100%,MIN(80%,$B$9+VLOOKUP($Q6,武学奇术!$A:$ZZ,17,FALSE)+SUM(_xlfn.XLOOKUP($R6:$AK6,增益!$A:$A,增益!$Q:$Q,0)))+$B$11+SUM(_xlfn.XLOOKUP($R6:$AK6,增益!$A:$A,增益!$U:$U,0)))*IF(VLOOKUP($Q6,武学奇术!$A:$ZZ,24,FALSE)=1,0,1)</f>
        <v>0.8912</v>
      </c>
      <c r="BP6" s="27" cm="1">
        <f t="array" ref="BP6">1+$B$13+VLOOKUP($Q6,武学奇术!$A:$ZZ,18,FALSE)+SUM(_xlfn.XLOOKUP($R6:$AK6,增益!$A:$A,增益!$R:$R,0))</f>
        <v>1.68</v>
      </c>
      <c r="BQ6" s="27" cm="1">
        <f t="array" ref="BQ6">IF(VLOOKUP($Q6,武学奇术!$A:$ZZ,24,FALSE)=1,100%,MIN(40%,$B$10+VLOOKUP($Q6,武学奇术!$A:$ZZ,19,FALSE)+SUM(_xlfn.XLOOKUP($R6:$AK6,增益!$A:$A,增益!$S:$S,0)))+$B$12+SUM(_xlfn.XLOOKUP($R6:$AK6,增益!$A:$A,增益!$V:$V,0)))*IF(VLOOKUP($Q6,武学奇术!$A:$ZZ,23,FALSE)=1,0,1)</f>
        <v>0.0929</v>
      </c>
      <c r="BR6" s="27" cm="1">
        <f t="array" ref="BR6">1+$B$14+VLOOKUP($Q6,武学奇术!$A:$ZZ,20,FALSE)+SUM(_xlfn.XLOOKUP($R6:$AK6,增益!$A:$A,增益!$T:$T,0))</f>
        <v>1.35</v>
      </c>
      <c r="BS6" s="27">
        <f t="shared" si="9"/>
        <v>0.87863408</v>
      </c>
      <c r="BT6" s="27">
        <f t="shared" si="10"/>
        <v>0.01567581</v>
      </c>
      <c r="BU6" s="27">
        <f>IF(VLOOKUP($Q6,武学奇术!$A:$ZZ,22,FALSE)=1,0,(1-$BN6))*(1-$BQ6)</f>
        <v>0.01279011</v>
      </c>
      <c r="BV6" s="27" cm="1">
        <f t="array" ref="BV6">SUM(_xlfn.XLOOKUP($R6:$AK6,增益!$A:$A,增益!$W:$W,0))+$I$5</f>
        <v>0.11</v>
      </c>
    </row>
    <row r="7" ht="14.25" spans="1:74">
      <c r="A7" s="85" t="s">
        <v>104</v>
      </c>
      <c r="B7" s="87">
        <v>79.2</v>
      </c>
      <c r="C7" s="62">
        <f>92.4+68.8*2</f>
        <v>230</v>
      </c>
      <c r="D7" s="63"/>
      <c r="E7" s="64"/>
      <c r="F7" s="55" t="s">
        <v>105</v>
      </c>
      <c r="G7" s="65">
        <f>B20</f>
        <v>0</v>
      </c>
      <c r="K7" s="40">
        <f t="shared" si="0"/>
        <v>47949.2423824005</v>
      </c>
      <c r="L7" s="40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BP7*$P7*(1+IF(VLOOKUP($Q7,武学奇术!$A:$ZZ,30,FALSE)="蓄力技",$B$21,0))*(1+$BV7)</f>
        <v>49240.4389030144</v>
      </c>
      <c r="M7" s="40">
        <f>(($AT7*$AM7+$AN7)*(1+$AU7)*(1+$AV7)+($AY7*IF($G$1="鸣金",$AO7,$AM7)+IF($G$1="鸣金",$AP7*1.5,0))*(1+$AZ7)*(1+$BA7)+($BC7*IF($G$1="裂石",$AO7,$AM7)+IF($G$1="裂石",$AP7*1.5,0))*(1+$BD7)*(1+$BE7)+($BG7*IF($G$1="牵丝",$AO7,$AM7)+IF($G$1="牵丝",$AP7*1.5,0))*(1+$BH7)*(1+$BI7)+($BK7*IF($G$1="破竹",$AO7,$AM7)+IF($G$1="破竹",$AP7*1.5,0))*(1+$BL7)*(1+$BM7))*(1+$AQ7)*$BR7*$P7*(1+IF(VLOOKUP($Q7,武学奇术!$A:$ZZ,30,FALSE)="蓄力技",$B$21,0))*(1+$BV7)</f>
        <v>42321.0958225029</v>
      </c>
      <c r="N7" s="40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P7*(1+IF(VLOOKUP($Q7,武学奇术!$A:$ZZ,30,FALSE)="蓄力技",$B$21,0))*(1+$BV7)</f>
        <v>27977.5221039855</v>
      </c>
      <c r="O7" s="40">
        <f>((($AS7*$AM7+$AN7)*(1+$AU7)*(1+$AV7)+($AX7*IF($G$1="鸣金",$AO7,$AM7)+IF($G$1="鸣金",$AP7*1.5,0))*(1+$AZ7)*(1+$BA7)+($BB7*IF($G$1="裂石",$AO7,$AM7)+IF($G$1="裂石",$AP7*1.5,0))*(1+$BD7)*(1+$BE7)+($BF7*IF($G$1="牵丝",$AO7,$AM7)+IF($G$1="牵丝",$AP7*1.5,0))*(1+$BH7)*(1+$BI7)+($BJ7*IF($G$1="破竹",$AO7,$AM7)+IF($G$1="破竹",$AP7*1.5,0))*(1+$BL7)*(1+$BM7))*(1+$AQ7))*$P7*(1+IF(VLOOKUP($Q7,武学奇术!$A:$ZZ,30,FALSE)="蓄力技",$B$21,0))*(1+$BV7)</f>
        <v>24606.0843394502</v>
      </c>
      <c r="P7" s="41">
        <v>1</v>
      </c>
      <c r="Q7" s="42" t="s">
        <v>106</v>
      </c>
      <c r="R7" s="42" t="s">
        <v>77</v>
      </c>
      <c r="S7" s="42" t="s">
        <v>77</v>
      </c>
      <c r="T7" s="42" t="s">
        <v>77</v>
      </c>
      <c r="U7" s="42" t="s">
        <v>77</v>
      </c>
      <c r="V7" s="42" t="s">
        <v>77</v>
      </c>
      <c r="W7" s="42" t="s">
        <v>78</v>
      </c>
      <c r="X7" s="42" t="s">
        <v>79</v>
      </c>
      <c r="Y7" s="42" t="s">
        <v>77</v>
      </c>
      <c r="Z7" s="42" t="s">
        <v>77</v>
      </c>
      <c r="AA7" s="42" t="s">
        <v>73</v>
      </c>
      <c r="AB7" s="42" t="s">
        <v>77</v>
      </c>
      <c r="AC7" s="42" t="s">
        <v>77</v>
      </c>
      <c r="AD7" s="42" t="s">
        <v>80</v>
      </c>
      <c r="AE7" s="42" t="s">
        <v>81</v>
      </c>
      <c r="AF7" s="42" t="s">
        <v>82</v>
      </c>
      <c r="AG7" s="42" t="s">
        <v>77</v>
      </c>
      <c r="AH7" s="42" t="s">
        <v>77</v>
      </c>
      <c r="AI7" s="42" t="s">
        <v>77</v>
      </c>
      <c r="AJ7" s="42" t="s">
        <v>77</v>
      </c>
      <c r="AK7" s="42" t="s">
        <v>77</v>
      </c>
      <c r="AL7" t="str">
        <f>VLOOKUP($Q7,武学奇术!$A:$ZZ,25,FALSE)</f>
        <v>横刀</v>
      </c>
      <c r="AM7" s="27">
        <f>VLOOKUP($Q7,武学奇术!$A:$ZZ,26,FALSE)</f>
        <v>2.1324</v>
      </c>
      <c r="AN7" s="28">
        <f>VLOOKUP($Q7,武学奇术!$A:$ZZ,27,FALSE)*(1+IF(OR($AL7=$F$4,$AL7=$F$5),$B$22,0))</f>
        <v>885</v>
      </c>
      <c r="AO7" s="27">
        <f>VLOOKUP($Q7,武学奇术!$A:$ZZ,28,FALSE)</f>
        <v>3.1986</v>
      </c>
      <c r="AP7" s="28">
        <f>VLOOKUP($Q7,武学奇术!$A:$ZZ,29,FALSE)*(1+IF(OR($AL7=$F$4,$AL7=$F$5),$B$22,0))</f>
        <v>483</v>
      </c>
      <c r="AQ7" s="27" cm="1">
        <f t="array" ref="AQ7">$G$3+IFERROR(VLOOKUP($AL7,$F$4:$G$7,2,FALSE),0)+VLOOKUP($Q7,武学奇术!$A:$ZZ,2,FALSE)+SUM(_xlfn.XLOOKUP($R7:$AK7,增益!$A:$A,增益!$B:$B,0))</f>
        <v>0.4989</v>
      </c>
      <c r="AR7" s="27" cm="1">
        <f t="array" ref="AR7">VLOOKUP($Q7,武学奇术!$A:$ZZ,5,FALSE)+SUM(_xlfn.XLOOKUP($R7:$AK7,增益!$A:$A,增益!$E:$E,0))</f>
        <v>0</v>
      </c>
      <c r="AS7" cm="1">
        <f t="array" ref="AS7">$D$10*(1+$AR7)+VLOOKUP($Q7,武学奇术!$A:$ZZ,3,FALSE)+SUM(_xlfn.XLOOKUP($R7:$AK7,增益!$A:$A,增益!$C:$C,0))-$I$2</f>
        <v>3648.7</v>
      </c>
      <c r="AT7" cm="1">
        <f t="array" ref="AT7">$E$10*(1+$AR7)+VLOOKUP($Q7,武学奇术!$A:$ZZ,4,FALSE)+SUM(_xlfn.XLOOKUP($R7:$AK7,增益!$A:$A,增益!$D:$D,0))-$I$2</f>
        <v>3648.7</v>
      </c>
      <c r="AU7" s="34" cm="1">
        <f t="array" ref="AU7">IF($F$10-$I$3+VLOOKUP($Q7,武学奇术!$A:$ZZ,6,FALSE)+SUM(_xlfn.XLOOKUP($R7:$AK7,增益!$A:$A,增益!$F:$F,0))&gt;0,($F$10-$I$3+VLOOKUP($Q7,武学奇术!$A:$ZZ,6,FALSE)+SUM(_xlfn.XLOOKUP($R7:$AK7,增益!$A:$A,增益!$F:$F,0)))/200,($F$10-$I$3+VLOOKUP($Q7,武学奇术!$A:$ZZ,6,FALSE)+SUM(_xlfn.XLOOKUP($R7:$AK7,增益!$A:$A,增益!$F:$F,0)))/100)</f>
        <v>0.327</v>
      </c>
      <c r="AV7" s="34" cm="1">
        <f t="array" ref="AV7">$G$10+VLOOKUP($Q7,武学奇术!$A:$ZZ,7,FALSE)+SUM(_xlfn.XLOOKUP($R7:$AK7,增益!$A:$A,增益!$G:$G,0))</f>
        <v>0</v>
      </c>
      <c r="AW7" s="27" cm="1">
        <f t="array" ref="AW7">VLOOKUP($Q7,武学奇术!$A:$ZZ,8,FALSE)+SUM(_xlfn.XLOOKUP($R7:$AK7,增益!$A:$A,增益!$H:$H,0))</f>
        <v>0</v>
      </c>
      <c r="AX7">
        <f t="shared" si="1"/>
        <v>0</v>
      </c>
      <c r="AY7">
        <f t="shared" si="2"/>
        <v>0</v>
      </c>
      <c r="AZ7" s="34" cm="1">
        <f t="array" ref="AZ7">IF($F$11-$I$4+VLOOKUP($Q7,武学奇术!$A:$ZZ,9,FALSE)+SUM(_xlfn.XLOOKUP($R7:$AK7,增益!$A:$A,增益!$I:$I,0))&gt;0,($F$11-$I$4+VLOOKUP($Q7,武学奇术!$A:$ZZ,9,FALSE)+SUM(_xlfn.XLOOKUP($R7:$AK7,增益!$A:$A,增益!$I:$I,0)))/200,($F$11-$I$4+VLOOKUP($Q7,武学奇术!$A:$ZZ,9,FALSE)+SUM(_xlfn.XLOOKUP($R7:$AK7,增益!$A:$A,增益!$I:$I,0)))/100)</f>
        <v>-0.3</v>
      </c>
      <c r="BA7" s="34" cm="1">
        <f t="array" ref="BA7">$G$11+VLOOKUP($Q7,武学奇术!$A:$ZZ,10,FALSE)+SUM(_xlfn.XLOOKUP($R7:$AK7,增益!$A:$A,增益!$J:$J,0))</f>
        <v>0</v>
      </c>
      <c r="BB7">
        <f t="shared" si="3"/>
        <v>594.1</v>
      </c>
      <c r="BC7">
        <f t="shared" si="4"/>
        <v>1604.9</v>
      </c>
      <c r="BD7" s="34" cm="1">
        <f t="array" ref="BD7">IF($F$12-$I$4+VLOOKUP($Q7,武学奇术!$A:$ZZ,11,FALSE)+SUM(_xlfn.XLOOKUP($R7:$AK7,增益!$A:$A,增益!$K:$K,0))&gt;0,($F$12-$I$4+VLOOKUP($Q7,武学奇术!$A:$ZZ,11,FALSE)+SUM(_xlfn.XLOOKUP($R7:$AK7,增益!$A:$A,增益!$K:$K,0)))/200,($F$12-$I$4+VLOOKUP($Q7,武学奇术!$A:$ZZ,11,FALSE)+SUM(_xlfn.XLOOKUP($R7:$AK7,增益!$A:$A,增益!$K:$K,0)))/100)</f>
        <v>0.09</v>
      </c>
      <c r="BE7" s="34" cm="1">
        <f t="array" ref="BE7">$G$12+VLOOKUP($Q7,武学奇术!$A:$ZZ,12,FALSE)+SUM(_xlfn.XLOOKUP($R7:$AK7,增益!$A:$A,增益!$L:$L,0))</f>
        <v>0.15</v>
      </c>
      <c r="BF7">
        <f t="shared" si="5"/>
        <v>0</v>
      </c>
      <c r="BG7">
        <f t="shared" si="6"/>
        <v>0</v>
      </c>
      <c r="BH7" s="34" cm="1">
        <f t="array" ref="BH7">IF($F$13-$I$4+VLOOKUP($Q7,武学奇术!$A:$ZZ,13,FALSE)+SUM(_xlfn.XLOOKUP($R7:$AK7,增益!$A:$A,增益!$M:$M,0))&gt;0,($F$13-$I$4+VLOOKUP($Q7,武学奇术!$A:$ZZ,13,FALSE)+SUM(_xlfn.XLOOKUP($R7:$AK7,增益!$A:$A,增益!$K:$K,0)))/200,($F$13-$I$4+VLOOKUP($Q7,武学奇术!$A:$ZZ,13,FALSE)+SUM(_xlfn.XLOOKUP($R7:$AK7,增益!$A:$A,增益!$M:$M,0)))/100)</f>
        <v>-0.3</v>
      </c>
      <c r="BI7" s="34" cm="1">
        <f t="array" ref="BI7">$G$13+VLOOKUP($Q7,武学奇术!$A:$ZZ,14,FALSE)+SUM(_xlfn.XLOOKUP($R7:$AK7,增益!$A:$A,增益!$N:$N,0))</f>
        <v>0</v>
      </c>
      <c r="BJ7">
        <f t="shared" si="7"/>
        <v>0</v>
      </c>
      <c r="BK7">
        <f t="shared" si="8"/>
        <v>0</v>
      </c>
      <c r="BL7" s="34" cm="1">
        <f t="array" ref="BL7">IF($F$14-$I$4+VLOOKUP($Q7,武学奇术!$A:$ZZ,15,FALSE)+SUM(_xlfn.XLOOKUP($R7:$AK7,增益!$A:$A,增益!$O:$O,0))&gt;0,($F$14-$I$4+VLOOKUP($Q7,武学奇术!$A:$ZZ,15,FALSE)+SUM(_xlfn.XLOOKUP($R7:$AK7,增益!$A:$A,增益!$O:$O,0)))/200,($F$14-$I$4+VLOOKUP($Q7,武学奇术!$A:$ZZ,15,FALSE)+SUM(_xlfn.XLOOKUP($R7:$AK7,增益!$A:$A,增益!$O:$O,0)))/100)</f>
        <v>-0.3</v>
      </c>
      <c r="BM7" s="34" cm="1">
        <f t="array" ref="BM7">$G$14+VLOOKUP($Q7,武学奇术!$A:$ZZ,16,FALSE)+SUM(_xlfn.XLOOKUP($R7:$AK7,增益!$A:$A,增益!$P:$P,0))</f>
        <v>0</v>
      </c>
      <c r="BN7" s="27">
        <f>MIN(IF(VLOOKUP($Q7,武学奇术!$A:$ZZ,23,FALSE)=1,100%,$B$8),100%)</f>
        <v>0.9859</v>
      </c>
      <c r="BO7" s="27" cm="1">
        <f t="array" ref="BO7">IF(VLOOKUP($Q7,武学奇术!$A:$ZZ,23,FALSE)=1,100%,MIN(80%,$B$9+VLOOKUP($Q7,武学奇术!$A:$ZZ,17,FALSE)+SUM(_xlfn.XLOOKUP($R7:$AK7,增益!$A:$A,增益!$Q:$Q,0)))+$B$11+SUM(_xlfn.XLOOKUP($R7:$AK7,增益!$A:$A,增益!$U:$U,0)))*IF(VLOOKUP($Q7,武学奇术!$A:$ZZ,24,FALSE)=1,0,1)</f>
        <v>0.8912</v>
      </c>
      <c r="BP7" s="27" cm="1">
        <f t="array" ref="BP7">1+$B$13+VLOOKUP($Q7,武学奇术!$A:$ZZ,18,FALSE)+SUM(_xlfn.XLOOKUP($R7:$AK7,增益!$A:$A,增益!$R:$R,0))</f>
        <v>1.76</v>
      </c>
      <c r="BQ7" s="27" cm="1">
        <f t="array" ref="BQ7">IF(VLOOKUP($Q7,武学奇术!$A:$ZZ,24,FALSE)=1,100%,MIN(40%,$B$10+VLOOKUP($Q7,武学奇术!$A:$ZZ,19,FALSE)+SUM(_xlfn.XLOOKUP($R7:$AK7,增益!$A:$A,增益!$S:$S,0)))+$B$12+SUM(_xlfn.XLOOKUP($R7:$AK7,增益!$A:$A,增益!$V:$V,0)))*IF(VLOOKUP($Q7,武学奇术!$A:$ZZ,23,FALSE)=1,0,1)</f>
        <v>0.0929</v>
      </c>
      <c r="BR7" s="27" cm="1">
        <f t="array" ref="BR7">1+$B$14+VLOOKUP($Q7,武学奇术!$A:$ZZ,20,FALSE)+SUM(_xlfn.XLOOKUP($R7:$AK7,增益!$A:$A,增益!$T:$T,0))</f>
        <v>1.35</v>
      </c>
      <c r="BS7" s="27">
        <f t="shared" si="9"/>
        <v>0.87863408</v>
      </c>
      <c r="BT7" s="27">
        <f t="shared" si="10"/>
        <v>0.01567581</v>
      </c>
      <c r="BU7" s="27">
        <f>IF(VLOOKUP($Q7,武学奇术!$A:$ZZ,22,FALSE)=1,0,(1-$BN7))*(1-$BQ7)</f>
        <v>0.01279011</v>
      </c>
      <c r="BV7" s="27" cm="1">
        <f t="array" ref="BV7">SUM(_xlfn.XLOOKUP($R7:$AK7,增益!$A:$A,增益!$W:$W,0))+$I$5</f>
        <v>0.11</v>
      </c>
    </row>
    <row r="8" spans="1:74">
      <c r="A8" s="66" t="s">
        <v>107</v>
      </c>
      <c r="B8" s="67">
        <v>0.9859</v>
      </c>
      <c r="C8" s="38" t="s">
        <v>108</v>
      </c>
      <c r="D8" s="68"/>
      <c r="E8" s="68"/>
      <c r="F8" s="68"/>
      <c r="G8" s="39"/>
      <c r="H8" s="69" t="s">
        <v>109</v>
      </c>
      <c r="I8" s="18">
        <v>101.7</v>
      </c>
      <c r="J8" s="70"/>
      <c r="K8" s="40">
        <f t="shared" si="0"/>
        <v>30080.1494722183</v>
      </c>
      <c r="L8" s="40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BP8*$P8*(1+IF(VLOOKUP($Q8,武学奇术!$A:$ZZ,30,FALSE)="蓄力技",$B$21,0))*(1+$BV8)</f>
        <v>30843.1104811595</v>
      </c>
      <c r="M8" s="40">
        <f>(($AT8*$AM8+$AN8)*(1+$AU8)*(1+$AV8)+($AY8*IF($G$1="鸣金",$AO8,$AM8)+IF($G$1="鸣金",$AP8*1.5,0))*(1+$AZ8)*(1+$BA8)+($BC8*IF($G$1="裂石",$AO8,$AM8)+IF($G$1="裂石",$AP8*1.5,0))*(1+$BD8)*(1+$BE8)+($BG8*IF($G$1="牵丝",$AO8,$AM8)+IF($G$1="牵丝",$AP8*1.5,0))*(1+$BH8)*(1+$BI8)+($BK8*IF($G$1="破竹",$AO8,$AM8)+IF($G$1="破竹",$AP8*1.5,0))*(1+$BL8)*(1+$BM8))*(1+$AQ8)*$BR8*$P8*(1+IF(VLOOKUP($Q8,武学奇术!$A:$ZZ,30,FALSE)="蓄力技",$B$21,0))*(1+$BV8)</f>
        <v>27058.1665752871</v>
      </c>
      <c r="N8" s="40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P8*(1+IF(VLOOKUP($Q8,武学奇术!$A:$ZZ,30,FALSE)="蓄力技",$B$21,0))*(1+$BV8)</f>
        <v>17524.4945915679</v>
      </c>
      <c r="O8" s="40">
        <f>((($AS8*$AM8+$AN8)*(1+$AU8)*(1+$AV8)+($AX8*IF($G$1="鸣金",$AO8,$AM8)+IF($G$1="鸣金",$AP8*1.5,0))*(1+$AZ8)*(1+$BA8)+($BB8*IF($G$1="裂石",$AO8,$AM8)+IF($G$1="裂石",$AP8*1.5,0))*(1+$BD8)*(1+$BE8)+($BF8*IF($G$1="牵丝",$AO8,$AM8)+IF($G$1="牵丝",$AP8*1.5,0))*(1+$BH8)*(1+$BI8)+($BJ8*IF($G$1="破竹",$AO8,$AM8)+IF($G$1="破竹",$AP8*1.5,0))*(1+$BL8)*(1+$BM8))*(1+$AQ8))*$P8*(1+IF(VLOOKUP($Q8,武学奇术!$A:$ZZ,30,FALSE)="蓄力技",$B$21,0))*(1+$BV8)</f>
        <v>15005.9028310713</v>
      </c>
      <c r="P8" s="41">
        <v>1</v>
      </c>
      <c r="Q8" s="42" t="s">
        <v>110</v>
      </c>
      <c r="R8" s="42" t="s">
        <v>76</v>
      </c>
      <c r="S8" s="42" t="s">
        <v>77</v>
      </c>
      <c r="T8" s="42" t="s">
        <v>86</v>
      </c>
      <c r="U8" s="42" t="s">
        <v>77</v>
      </c>
      <c r="V8" s="42" t="s">
        <v>77</v>
      </c>
      <c r="W8" s="42" t="s">
        <v>78</v>
      </c>
      <c r="X8" s="42" t="s">
        <v>79</v>
      </c>
      <c r="Y8" s="42" t="s">
        <v>77</v>
      </c>
      <c r="Z8" s="42" t="s">
        <v>77</v>
      </c>
      <c r="AA8" s="42" t="s">
        <v>73</v>
      </c>
      <c r="AB8" s="42" t="s">
        <v>89</v>
      </c>
      <c r="AC8" s="42" t="s">
        <v>77</v>
      </c>
      <c r="AD8" s="42" t="s">
        <v>80</v>
      </c>
      <c r="AE8" s="42" t="s">
        <v>81</v>
      </c>
      <c r="AF8" s="42" t="s">
        <v>82</v>
      </c>
      <c r="AG8" s="42" t="s">
        <v>77</v>
      </c>
      <c r="AH8" s="42" t="s">
        <v>77</v>
      </c>
      <c r="AI8" s="42" t="s">
        <v>77</v>
      </c>
      <c r="AJ8" s="42" t="s">
        <v>77</v>
      </c>
      <c r="AK8" s="42" t="s">
        <v>90</v>
      </c>
      <c r="AL8" t="str">
        <f>VLOOKUP($Q8,武学奇术!$A:$ZZ,25,FALSE)</f>
        <v>横刀</v>
      </c>
      <c r="AM8" s="27">
        <f>VLOOKUP($Q8,武学奇术!$A:$ZZ,26,FALSE)</f>
        <v>1.4</v>
      </c>
      <c r="AN8" s="28">
        <f>VLOOKUP($Q8,武学奇术!$A:$ZZ,27,FALSE)*(1+IF(OR($AL8=$F$4,$AL8=$F$5),$B$22,0))</f>
        <v>0</v>
      </c>
      <c r="AO8" s="27">
        <f>VLOOKUP($Q8,武学奇术!$A:$ZZ,28,FALSE)</f>
        <v>2.1</v>
      </c>
      <c r="AP8" s="28">
        <f>VLOOKUP($Q8,武学奇术!$A:$ZZ,29,FALSE)*(1+IF(OR($AL8=$F$4,$AL8=$F$5),$B$22,0))</f>
        <v>0</v>
      </c>
      <c r="AQ8" s="27" cm="1">
        <f t="array" ref="AQ8">$G$3+IFERROR(VLOOKUP($AL8,$F$4:$G$7,2,FALSE),0)+VLOOKUP($Q8,武学奇术!$A:$ZZ,2,FALSE)+SUM(_xlfn.XLOOKUP($R8:$AK8,增益!$A:$A,增益!$B:$B,0))</f>
        <v>0.5889</v>
      </c>
      <c r="AR8" s="27" cm="1">
        <f t="array" ref="AR8">VLOOKUP($Q8,武学奇术!$A:$ZZ,5,FALSE)+SUM(_xlfn.XLOOKUP($R8:$AK8,增益!$A:$A,增益!$E:$E,0))</f>
        <v>0</v>
      </c>
      <c r="AS8" cm="1">
        <f t="array" ref="AS8">$D$10*(1+$AR8)+VLOOKUP($Q8,武学奇术!$A:$ZZ,3,FALSE)+SUM(_xlfn.XLOOKUP($R8:$AK8,增益!$A:$A,增益!$C:$C,0))-$I$2</f>
        <v>3648.7</v>
      </c>
      <c r="AT8" cm="1">
        <f t="array" ref="AT8">$E$10*(1+$AR8)+VLOOKUP($Q8,武学奇术!$A:$ZZ,4,FALSE)+SUM(_xlfn.XLOOKUP($R8:$AK8,增益!$A:$A,增益!$D:$D,0))-$I$2</f>
        <v>3648.7</v>
      </c>
      <c r="AU8" s="34" cm="1">
        <f t="array" ref="AU8">IF($F$10-$I$3+VLOOKUP($Q8,武学奇术!$A:$ZZ,6,FALSE)+SUM(_xlfn.XLOOKUP($R8:$AK8,增益!$A:$A,增益!$F:$F,0))&gt;0,($F$10-$I$3+VLOOKUP($Q8,武学奇术!$A:$ZZ,6,FALSE)+SUM(_xlfn.XLOOKUP($R8:$AK8,增益!$A:$A,增益!$F:$F,0)))/200,($F$10-$I$3+VLOOKUP($Q8,武学奇术!$A:$ZZ,6,FALSE)+SUM(_xlfn.XLOOKUP($R8:$AK8,增益!$A:$A,增益!$F:$F,0)))/100)</f>
        <v>0.337</v>
      </c>
      <c r="AV8" s="34" cm="1">
        <f t="array" ref="AV8">$G$10+VLOOKUP($Q8,武学奇术!$A:$ZZ,7,FALSE)+SUM(_xlfn.XLOOKUP($R8:$AK8,增益!$A:$A,增益!$G:$G,0))</f>
        <v>0</v>
      </c>
      <c r="AW8" s="27" cm="1">
        <f t="array" ref="AW8">VLOOKUP($Q8,武学奇术!$A:$ZZ,8,FALSE)+SUM(_xlfn.XLOOKUP($R8:$AK8,增益!$A:$A,增益!$H:$H,0))</f>
        <v>0</v>
      </c>
      <c r="AX8">
        <f t="shared" si="1"/>
        <v>0</v>
      </c>
      <c r="AY8">
        <f t="shared" si="2"/>
        <v>0</v>
      </c>
      <c r="AZ8" s="34" cm="1">
        <f t="array" ref="AZ8">IF($F$11-$I$4+VLOOKUP($Q8,武学奇术!$A:$ZZ,9,FALSE)+SUM(_xlfn.XLOOKUP($R8:$AK8,增益!$A:$A,增益!$I:$I,0))&gt;0,($F$11-$I$4+VLOOKUP($Q8,武学奇术!$A:$ZZ,9,FALSE)+SUM(_xlfn.XLOOKUP($R8:$AK8,增益!$A:$A,增益!$I:$I,0)))/200,($F$11-$I$4+VLOOKUP($Q8,武学奇术!$A:$ZZ,9,FALSE)+SUM(_xlfn.XLOOKUP($R8:$AK8,增益!$A:$A,增益!$I:$I,0)))/100)</f>
        <v>-0.14</v>
      </c>
      <c r="BA8" s="34" cm="1">
        <f t="array" ref="BA8">$G$11+VLOOKUP($Q8,武学奇术!$A:$ZZ,10,FALSE)+SUM(_xlfn.XLOOKUP($R8:$AK8,增益!$A:$A,增益!$J:$J,0))</f>
        <v>0</v>
      </c>
      <c r="BB8">
        <f t="shared" si="3"/>
        <v>594.1</v>
      </c>
      <c r="BC8">
        <f t="shared" si="4"/>
        <v>1604.9</v>
      </c>
      <c r="BD8" s="34" cm="1">
        <f t="array" ref="BD8">IF($F$12-$I$4+VLOOKUP($Q8,武学奇术!$A:$ZZ,11,FALSE)+SUM(_xlfn.XLOOKUP($R8:$AK8,增益!$A:$A,增益!$K:$K,0))&gt;0,($F$12-$I$4+VLOOKUP($Q8,武学奇术!$A:$ZZ,11,FALSE)+SUM(_xlfn.XLOOKUP($R8:$AK8,增益!$A:$A,增益!$K:$K,0)))/200,($F$12-$I$4+VLOOKUP($Q8,武学奇术!$A:$ZZ,11,FALSE)+SUM(_xlfn.XLOOKUP($R8:$AK8,增益!$A:$A,增益!$K:$K,0)))/100)</f>
        <v>0.17</v>
      </c>
      <c r="BE8" s="34" cm="1">
        <f t="array" ref="BE8">$G$12+VLOOKUP($Q8,武学奇术!$A:$ZZ,12,FALSE)+SUM(_xlfn.XLOOKUP($R8:$AK8,增益!$A:$A,增益!$L:$L,0))</f>
        <v>0.15</v>
      </c>
      <c r="BF8">
        <f t="shared" si="5"/>
        <v>0</v>
      </c>
      <c r="BG8">
        <f t="shared" si="6"/>
        <v>0</v>
      </c>
      <c r="BH8" s="34" cm="1">
        <f t="array" ref="BH8">IF($F$13-$I$4+VLOOKUP($Q8,武学奇术!$A:$ZZ,13,FALSE)+SUM(_xlfn.XLOOKUP($R8:$AK8,增益!$A:$A,增益!$M:$M,0))&gt;0,($F$13-$I$4+VLOOKUP($Q8,武学奇术!$A:$ZZ,13,FALSE)+SUM(_xlfn.XLOOKUP($R8:$AK8,增益!$A:$A,增益!$K:$K,0)))/200,($F$13-$I$4+VLOOKUP($Q8,武学奇术!$A:$ZZ,13,FALSE)+SUM(_xlfn.XLOOKUP($R8:$AK8,增益!$A:$A,增益!$M:$M,0)))/100)</f>
        <v>-0.14</v>
      </c>
      <c r="BI8" s="34" cm="1">
        <f t="array" ref="BI8">$G$13+VLOOKUP($Q8,武学奇术!$A:$ZZ,14,FALSE)+SUM(_xlfn.XLOOKUP($R8:$AK8,增益!$A:$A,增益!$N:$N,0))</f>
        <v>0</v>
      </c>
      <c r="BJ8">
        <f t="shared" si="7"/>
        <v>0</v>
      </c>
      <c r="BK8">
        <f t="shared" si="8"/>
        <v>0</v>
      </c>
      <c r="BL8" s="34" cm="1">
        <f t="array" ref="BL8">IF($F$14-$I$4+VLOOKUP($Q8,武学奇术!$A:$ZZ,15,FALSE)+SUM(_xlfn.XLOOKUP($R8:$AK8,增益!$A:$A,增益!$O:$O,0))&gt;0,($F$14-$I$4+VLOOKUP($Q8,武学奇术!$A:$ZZ,15,FALSE)+SUM(_xlfn.XLOOKUP($R8:$AK8,增益!$A:$A,增益!$O:$O,0)))/200,($F$14-$I$4+VLOOKUP($Q8,武学奇术!$A:$ZZ,15,FALSE)+SUM(_xlfn.XLOOKUP($R8:$AK8,增益!$A:$A,增益!$O:$O,0)))/100)</f>
        <v>-0.14</v>
      </c>
      <c r="BM8" s="34" cm="1">
        <f t="array" ref="BM8">$G$14+VLOOKUP($Q8,武学奇术!$A:$ZZ,16,FALSE)+SUM(_xlfn.XLOOKUP($R8:$AK8,增益!$A:$A,增益!$P:$P,0))</f>
        <v>0</v>
      </c>
      <c r="BN8" s="27">
        <f>MIN(IF(VLOOKUP($Q8,武学奇术!$A:$ZZ,23,FALSE)=1,100%,$B$8),100%)</f>
        <v>0.9859</v>
      </c>
      <c r="BO8" s="27" cm="1">
        <f t="array" ref="BO8">IF(VLOOKUP($Q8,武学奇术!$A:$ZZ,23,FALSE)=1,100%,MIN(80%,$B$9+VLOOKUP($Q8,武学奇术!$A:$ZZ,17,FALSE)+SUM(_xlfn.XLOOKUP($R8:$AK8,增益!$A:$A,增益!$Q:$Q,0)))+$B$11+SUM(_xlfn.XLOOKUP($R8:$AK8,增益!$A:$A,增益!$U:$U,0)))*IF(VLOOKUP($Q8,武学奇术!$A:$ZZ,24,FALSE)=1,0,1)</f>
        <v>0.8912</v>
      </c>
      <c r="BP8" s="27" cm="1">
        <f t="array" ref="BP8">1+$B$13+VLOOKUP($Q8,武学奇术!$A:$ZZ,18,FALSE)+SUM(_xlfn.XLOOKUP($R8:$AK8,增益!$A:$A,增益!$R:$R,0))</f>
        <v>1.76</v>
      </c>
      <c r="BQ8" s="27" cm="1">
        <f t="array" ref="BQ8">IF(VLOOKUP($Q8,武学奇术!$A:$ZZ,24,FALSE)=1,100%,MIN(40%,$B$10+VLOOKUP($Q8,武学奇术!$A:$ZZ,19,FALSE)+SUM(_xlfn.XLOOKUP($R8:$AK8,增益!$A:$A,增益!$S:$S,0)))+$B$12+SUM(_xlfn.XLOOKUP($R8:$AK8,增益!$A:$A,增益!$V:$V,0)))*IF(VLOOKUP($Q8,武学奇术!$A:$ZZ,23,FALSE)=1,0,1)</f>
        <v>0.0929</v>
      </c>
      <c r="BR8" s="27" cm="1">
        <f t="array" ref="BR8">1+$B$14+VLOOKUP($Q8,武学奇术!$A:$ZZ,20,FALSE)+SUM(_xlfn.XLOOKUP($R8:$AK8,增益!$A:$A,增益!$T:$T,0))</f>
        <v>1.35</v>
      </c>
      <c r="BS8" s="27">
        <f t="shared" si="9"/>
        <v>0.87863408</v>
      </c>
      <c r="BT8" s="27">
        <f t="shared" si="10"/>
        <v>0.01567581</v>
      </c>
      <c r="BU8" s="27">
        <f>IF(VLOOKUP($Q8,武学奇术!$A:$ZZ,22,FALSE)=1,0,(1-$BN8))*(1-$BQ8)</f>
        <v>0.01279011</v>
      </c>
      <c r="BV8" s="27" cm="1">
        <f t="array" ref="BV8">SUM(_xlfn.XLOOKUP($R8:$AK8,增益!$A:$A,增益!$W:$W,0))+$I$5</f>
        <v>0.11</v>
      </c>
    </row>
    <row r="9" ht="14.25" spans="1:74">
      <c r="A9" s="43" t="s">
        <v>111</v>
      </c>
      <c r="B9" s="71">
        <v>0.7992</v>
      </c>
      <c r="C9" s="47"/>
      <c r="D9" t="s">
        <v>0</v>
      </c>
      <c r="E9" t="s">
        <v>1</v>
      </c>
      <c r="F9" s="41" t="s">
        <v>2</v>
      </c>
      <c r="G9" s="46" t="s">
        <v>3</v>
      </c>
      <c r="H9" s="72"/>
      <c r="I9" s="20"/>
      <c r="J9" s="73"/>
      <c r="K9" s="40">
        <f t="shared" si="0"/>
        <v>16636.5156473071</v>
      </c>
      <c r="L9" s="40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BP9*$P9*(1+IF(VLOOKUP($Q9,武学奇术!$A:$ZZ,30,FALSE)="蓄力技",$B$21,0))*(1+$BV9)</f>
        <v>17171.6224763938</v>
      </c>
      <c r="M9" s="40">
        <f>(($AT9*$AM9+$AN9)*(1+$AU9)*(1+$AV9)+($AY9*IF($G$1="鸣金",$AO9,$AM9)+IF($G$1="鸣金",$AP9*1.5,0))*(1+$AZ9)*(1+$BA9)+($BC9*IF($G$1="裂石",$AO9,$AM9)+IF($G$1="裂石",$AP9*1.5,0))*(1+$BD9)*(1+$BE9)+($BG9*IF($G$1="牵丝",$AO9,$AM9)+IF($G$1="牵丝",$AP9*1.5,0))*(1+$BH9)*(1+$BI9)+($BK9*IF($G$1="破竹",$AO9,$AM9)+IF($G$1="破竹",$AP9*1.5,0))*(1+$BL9)*(1+$BM9))*(1+$AQ9)*$BR9*$P9*(1+IF(VLOOKUP($Q9,武学奇术!$A:$ZZ,30,FALSE)="蓄力技",$B$21,0))*(1+$BV9)</f>
        <v>14049.8054230588</v>
      </c>
      <c r="N9" s="40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P9*(1+IF(VLOOKUP($Q9,武学奇术!$A:$ZZ,30,FALSE)="蓄力技",$B$21,0))*(1+$BV9)</f>
        <v>9133.84174276268</v>
      </c>
      <c r="O9" s="40">
        <f>((($AS9*$AM9+$AN9)*(1+$AU9)*(1+$AV9)+($AX9*IF($G$1="鸣金",$AO9,$AM9)+IF($G$1="鸣金",$AP9*1.5,0))*(1+$AZ9)*(1+$BA9)+($BB9*IF($G$1="裂石",$AO9,$AM9)+IF($G$1="裂石",$AP9*1.5,0))*(1+$BD9)*(1+$BE9)+($BF9*IF($G$1="牵丝",$AO9,$AM9)+IF($G$1="牵丝",$AP9*1.5,0))*(1+$BH9)*(1+$BI9)+($BJ9*IF($G$1="破竹",$AO9,$AM9)+IF($G$1="破竹",$AP9*1.5,0))*(1+$BL9)*(1+$BM9))*(1+$AQ9))*$P9*(1+IF(VLOOKUP($Q9,武学奇术!$A:$ZZ,30,FALSE)="蓄力技",$B$21,0))*(1+$BV9)</f>
        <v>7860.42020918548</v>
      </c>
      <c r="P9" s="41">
        <v>1</v>
      </c>
      <c r="Q9" s="42" t="s">
        <v>112</v>
      </c>
      <c r="R9" s="42" t="s">
        <v>76</v>
      </c>
      <c r="S9" s="42" t="s">
        <v>77</v>
      </c>
      <c r="T9" s="42" t="s">
        <v>86</v>
      </c>
      <c r="U9" s="42" t="s">
        <v>113</v>
      </c>
      <c r="V9" s="42" t="s">
        <v>77</v>
      </c>
      <c r="W9" s="42" t="s">
        <v>114</v>
      </c>
      <c r="X9" s="42" t="s">
        <v>79</v>
      </c>
      <c r="Y9" s="42" t="s">
        <v>77</v>
      </c>
      <c r="Z9" s="42" t="s">
        <v>77</v>
      </c>
      <c r="AA9" s="42" t="s">
        <v>73</v>
      </c>
      <c r="AB9" s="42" t="s">
        <v>89</v>
      </c>
      <c r="AC9" s="42" t="s">
        <v>77</v>
      </c>
      <c r="AD9" s="42" t="s">
        <v>80</v>
      </c>
      <c r="AE9" s="42" t="s">
        <v>81</v>
      </c>
      <c r="AF9" s="42" t="s">
        <v>82</v>
      </c>
      <c r="AG9" s="42" t="s">
        <v>77</v>
      </c>
      <c r="AH9" s="42" t="s">
        <v>77</v>
      </c>
      <c r="AI9" s="42" t="s">
        <v>77</v>
      </c>
      <c r="AJ9" s="42" t="s">
        <v>77</v>
      </c>
      <c r="AK9" s="42" t="s">
        <v>90</v>
      </c>
      <c r="AL9" t="str">
        <f>VLOOKUP($Q9,武学奇术!$A:$ZZ,25,FALSE)</f>
        <v>陌刀</v>
      </c>
      <c r="AM9" s="27">
        <f>VLOOKUP($Q9,武学奇术!$A:$ZZ,26,FALSE)</f>
        <v>0.5</v>
      </c>
      <c r="AN9" s="28">
        <f>VLOOKUP($Q9,武学奇术!$A:$ZZ,27,FALSE)*(1+IF(OR($AL9=$F$4,$AL9=$F$5),$B$22,0))</f>
        <v>0</v>
      </c>
      <c r="AO9" s="27">
        <f>VLOOKUP($Q9,武学奇术!$A:$ZZ,28,FALSE)</f>
        <v>0.75</v>
      </c>
      <c r="AP9" s="28">
        <f>VLOOKUP($Q9,武学奇术!$A:$ZZ,29,FALSE)*(1+IF(OR($AL9=$F$4,$AL9=$F$5),$B$22,0))</f>
        <v>0</v>
      </c>
      <c r="AQ9" s="27" cm="1">
        <f t="array" ref="AQ9">$G$3+IFERROR(VLOOKUP($AL9,$F$4:$G$7,2,FALSE),0)+VLOOKUP($Q9,武学奇术!$A:$ZZ,2,FALSE)+SUM(_xlfn.XLOOKUP($R9:$AK9,增益!$A:$A,增益!$B:$B,0))</f>
        <v>0.7041</v>
      </c>
      <c r="AR9" s="27" cm="1">
        <f t="array" ref="AR9">VLOOKUP($Q9,武学奇术!$A:$ZZ,5,FALSE)+SUM(_xlfn.XLOOKUP($R9:$AK9,增益!$A:$A,增益!$E:$E,0))</f>
        <v>0</v>
      </c>
      <c r="AS9" cm="1">
        <f t="array" ref="AS9">$D$10*(1+$AR9)+VLOOKUP($Q9,武学奇术!$A:$ZZ,3,FALSE)+SUM(_xlfn.XLOOKUP($R9:$AK9,增益!$A:$A,增益!$C:$C,0))-$I$2</f>
        <v>3648.7</v>
      </c>
      <c r="AT9" cm="1">
        <f t="array" ref="AT9">$E$10*(1+$AR9)+VLOOKUP($Q9,武学奇术!$A:$ZZ,4,FALSE)+SUM(_xlfn.XLOOKUP($R9:$AK9,增益!$A:$A,增益!$D:$D,0))-$I$2</f>
        <v>3648.7</v>
      </c>
      <c r="AU9" s="34" cm="1">
        <f t="array" ref="AU9">IF($F$10-$I$3+VLOOKUP($Q9,武学奇术!$A:$ZZ,6,FALSE)+SUM(_xlfn.XLOOKUP($R9:$AK9,增益!$A:$A,增益!$F:$F,0))&gt;0,($F$10-$I$3+VLOOKUP($Q9,武学奇术!$A:$ZZ,6,FALSE)+SUM(_xlfn.XLOOKUP($R9:$AK9,增益!$A:$A,增益!$F:$F,0)))/200,($F$10-$I$3+VLOOKUP($Q9,武学奇术!$A:$ZZ,6,FALSE)+SUM(_xlfn.XLOOKUP($R9:$AK9,增益!$A:$A,增益!$F:$F,0)))/100)</f>
        <v>0.397</v>
      </c>
      <c r="AV9" s="34" cm="1">
        <f t="array" ref="AV9">$G$10+VLOOKUP($Q9,武学奇术!$A:$ZZ,7,FALSE)+SUM(_xlfn.XLOOKUP($R9:$AK9,增益!$A:$A,增益!$G:$G,0))</f>
        <v>0</v>
      </c>
      <c r="AW9" s="27" cm="1">
        <f t="array" ref="AW9">VLOOKUP($Q9,武学奇术!$A:$ZZ,8,FALSE)+SUM(_xlfn.XLOOKUP($R9:$AK9,增益!$A:$A,增益!$H:$H,0))</f>
        <v>0</v>
      </c>
      <c r="AX9">
        <f t="shared" si="1"/>
        <v>0</v>
      </c>
      <c r="AY9">
        <f t="shared" si="2"/>
        <v>0</v>
      </c>
      <c r="AZ9" s="34" cm="1">
        <f t="array" ref="AZ9">IF($F$11-$I$4+VLOOKUP($Q9,武学奇术!$A:$ZZ,9,FALSE)+SUM(_xlfn.XLOOKUP($R9:$AK9,增益!$A:$A,增益!$I:$I,0))&gt;0,($F$11-$I$4+VLOOKUP($Q9,武学奇术!$A:$ZZ,9,FALSE)+SUM(_xlfn.XLOOKUP($R9:$AK9,增益!$A:$A,增益!$I:$I,0)))/200,($F$11-$I$4+VLOOKUP($Q9,武学奇术!$A:$ZZ,9,FALSE)+SUM(_xlfn.XLOOKUP($R9:$AK9,增益!$A:$A,增益!$I:$I,0)))/100)</f>
        <v>-0.14</v>
      </c>
      <c r="BA9" s="34" cm="1">
        <f t="array" ref="BA9">$G$11+VLOOKUP($Q9,武学奇术!$A:$ZZ,10,FALSE)+SUM(_xlfn.XLOOKUP($R9:$AK9,增益!$A:$A,增益!$J:$J,0))</f>
        <v>0</v>
      </c>
      <c r="BB9">
        <f t="shared" si="3"/>
        <v>594.1</v>
      </c>
      <c r="BC9">
        <f t="shared" si="4"/>
        <v>1604.9</v>
      </c>
      <c r="BD9" s="34" cm="1">
        <f t="array" ref="BD9">IF($F$12-$I$4+VLOOKUP($Q9,武学奇术!$A:$ZZ,11,FALSE)+SUM(_xlfn.XLOOKUP($R9:$AK9,增益!$A:$A,增益!$K:$K,0))&gt;0,($F$12-$I$4+VLOOKUP($Q9,武学奇术!$A:$ZZ,11,FALSE)+SUM(_xlfn.XLOOKUP($R9:$AK9,增益!$A:$A,增益!$K:$K,0)))/200,($F$12-$I$4+VLOOKUP($Q9,武学奇术!$A:$ZZ,11,FALSE)+SUM(_xlfn.XLOOKUP($R9:$AK9,增益!$A:$A,增益!$K:$K,0)))/100)</f>
        <v>0.17</v>
      </c>
      <c r="BE9" s="34" cm="1">
        <f t="array" ref="BE9">$G$12+VLOOKUP($Q9,武学奇术!$A:$ZZ,12,FALSE)+SUM(_xlfn.XLOOKUP($R9:$AK9,增益!$A:$A,增益!$L:$L,0))</f>
        <v>0.15</v>
      </c>
      <c r="BF9">
        <f t="shared" si="5"/>
        <v>0</v>
      </c>
      <c r="BG9">
        <f t="shared" si="6"/>
        <v>0</v>
      </c>
      <c r="BH9" s="34" cm="1">
        <f t="array" ref="BH9">IF($F$13-$I$4+VLOOKUP($Q9,武学奇术!$A:$ZZ,13,FALSE)+SUM(_xlfn.XLOOKUP($R9:$AK9,增益!$A:$A,增益!$M:$M,0))&gt;0,($F$13-$I$4+VLOOKUP($Q9,武学奇术!$A:$ZZ,13,FALSE)+SUM(_xlfn.XLOOKUP($R9:$AK9,增益!$A:$A,增益!$K:$K,0)))/200,($F$13-$I$4+VLOOKUP($Q9,武学奇术!$A:$ZZ,13,FALSE)+SUM(_xlfn.XLOOKUP($R9:$AK9,增益!$A:$A,增益!$M:$M,0)))/100)</f>
        <v>-0.14</v>
      </c>
      <c r="BI9" s="34" cm="1">
        <f t="array" ref="BI9">$G$13+VLOOKUP($Q9,武学奇术!$A:$ZZ,14,FALSE)+SUM(_xlfn.XLOOKUP($R9:$AK9,增益!$A:$A,增益!$N:$N,0))</f>
        <v>0</v>
      </c>
      <c r="BJ9">
        <f t="shared" si="7"/>
        <v>0</v>
      </c>
      <c r="BK9">
        <f t="shared" si="8"/>
        <v>0</v>
      </c>
      <c r="BL9" s="34" cm="1">
        <f t="array" ref="BL9">IF($F$14-$I$4+VLOOKUP($Q9,武学奇术!$A:$ZZ,15,FALSE)+SUM(_xlfn.XLOOKUP($R9:$AK9,增益!$A:$A,增益!$O:$O,0))&gt;0,($F$14-$I$4+VLOOKUP($Q9,武学奇术!$A:$ZZ,15,FALSE)+SUM(_xlfn.XLOOKUP($R9:$AK9,增益!$A:$A,增益!$O:$O,0)))/200,($F$14-$I$4+VLOOKUP($Q9,武学奇术!$A:$ZZ,15,FALSE)+SUM(_xlfn.XLOOKUP($R9:$AK9,增益!$A:$A,增益!$O:$O,0)))/100)</f>
        <v>-0.14</v>
      </c>
      <c r="BM9" s="34" cm="1">
        <f t="array" ref="BM9">$G$14+VLOOKUP($Q9,武学奇术!$A:$ZZ,16,FALSE)+SUM(_xlfn.XLOOKUP($R9:$AK9,增益!$A:$A,增益!$P:$P,0))</f>
        <v>0</v>
      </c>
      <c r="BN9" s="27">
        <f>MIN(IF(VLOOKUP($Q9,武学奇术!$A:$ZZ,23,FALSE)=1,100%,$B$8),100%)</f>
        <v>0.9859</v>
      </c>
      <c r="BO9" s="27" cm="1">
        <f t="array" ref="BO9">IF(VLOOKUP($Q9,武学奇术!$A:$ZZ,23,FALSE)=1,100%,MIN(80%,$B$9+VLOOKUP($Q9,武学奇术!$A:$ZZ,17,FALSE)+SUM(_xlfn.XLOOKUP($R9:$AK9,增益!$A:$A,增益!$Q:$Q,0)))+$B$11+SUM(_xlfn.XLOOKUP($R9:$AK9,增益!$A:$A,增益!$U:$U,0)))*IF(VLOOKUP($Q9,武学奇术!$A:$ZZ,24,FALSE)=1,0,1)</f>
        <v>0.8912</v>
      </c>
      <c r="BP9" s="27" cm="1">
        <f t="array" ref="BP9">1+$B$13+VLOOKUP($Q9,武学奇术!$A:$ZZ,18,FALSE)+SUM(_xlfn.XLOOKUP($R9:$AK9,增益!$A:$A,增益!$R:$R,0))</f>
        <v>1.88</v>
      </c>
      <c r="BQ9" s="27" cm="1">
        <f t="array" ref="BQ9">IF(VLOOKUP($Q9,武学奇术!$A:$ZZ,24,FALSE)=1,100%,MIN(40%,$B$10+VLOOKUP($Q9,武学奇术!$A:$ZZ,19,FALSE)+SUM(_xlfn.XLOOKUP($R9:$AK9,增益!$A:$A,增益!$S:$S,0)))+$B$12+SUM(_xlfn.XLOOKUP($R9:$AK9,增益!$A:$A,增益!$V:$V,0)))*IF(VLOOKUP($Q9,武学奇术!$A:$ZZ,23,FALSE)=1,0,1)</f>
        <v>0.0929</v>
      </c>
      <c r="BR9" s="27" cm="1">
        <f t="array" ref="BR9">1+$B$14+VLOOKUP($Q9,武学奇术!$A:$ZZ,20,FALSE)+SUM(_xlfn.XLOOKUP($R9:$AK9,增益!$A:$A,增益!$T:$T,0))</f>
        <v>1.35</v>
      </c>
      <c r="BS9" s="27">
        <f t="shared" si="9"/>
        <v>0.87863408</v>
      </c>
      <c r="BT9" s="27">
        <f t="shared" si="10"/>
        <v>0.01567581</v>
      </c>
      <c r="BU9" s="27">
        <f>IF(VLOOKUP($Q9,武学奇术!$A:$ZZ,22,FALSE)=1,0,(1-$BN9))*(1-$BQ9)</f>
        <v>0.01279011</v>
      </c>
      <c r="BV9" s="27" cm="1">
        <f t="array" ref="BV9">SUM(_xlfn.XLOOKUP($R9:$AK9,增益!$A:$A,增益!$W:$W,0))+$I$5</f>
        <v>0.11</v>
      </c>
    </row>
    <row r="10" spans="1:74">
      <c r="A10" s="43" t="s">
        <v>115</v>
      </c>
      <c r="B10" s="71">
        <v>0.0929</v>
      </c>
      <c r="C10" s="47" t="s">
        <v>71</v>
      </c>
      <c r="D10">
        <f>B2+B23</f>
        <v>4206.7</v>
      </c>
      <c r="E10">
        <f>MAX(B2+B23,C2+B24)</f>
        <v>4206.7</v>
      </c>
      <c r="F10">
        <f>D2</f>
        <v>58.4</v>
      </c>
      <c r="G10" s="88">
        <f>E2</f>
        <v>0</v>
      </c>
      <c r="H10" s="69" t="s">
        <v>116</v>
      </c>
      <c r="I10" s="24">
        <f>SUM(K:K)</f>
        <v>13685291.6916763</v>
      </c>
      <c r="J10" s="74"/>
      <c r="K10" s="40">
        <f t="shared" si="0"/>
        <v>32553.0119712062</v>
      </c>
      <c r="L10" s="40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BP10*$P10*(1+IF(VLOOKUP($Q10,武学奇术!$A:$ZZ,30,FALSE)="蓄力技",$B$21,0))*(1+$BV10)</f>
        <v>32553.0119712062</v>
      </c>
      <c r="M10" s="40">
        <f>(($AT10*$AM10+$AN10)*(1+$AU10)*(1+$AV10)+($AY10*IF($G$1="鸣金",$AO10,$AM10)+IF($G$1="鸣金",$AP10*1.5,0))*(1+$AZ10)*(1+$BA10)+($BC10*IF($G$1="裂石",$AO10,$AM10)+IF($G$1="裂石",$AP10*1.5,0))*(1+$BD10)*(1+$BE10)+($BG10*IF($G$1="牵丝",$AO10,$AM10)+IF($G$1="牵丝",$AP10*1.5,0))*(1+$BH10)*(1+$BI10)+($BK10*IF($G$1="破竹",$AO10,$AM10)+IF($G$1="破竹",$AP10*1.5,0))*(1+$BL10)*(1+$BM10))*(1+$AQ10)*$BR10*$P10*(1+IF(VLOOKUP($Q10,武学奇术!$A:$ZZ,30,FALSE)="蓄力技",$B$21,0))*(1+$BV10)</f>
        <v>25289.6497615059</v>
      </c>
      <c r="N10" s="40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P10*(1+IF(VLOOKUP($Q10,武学奇术!$A:$ZZ,30,FALSE)="蓄力技",$B$21,0))*(1+$BV10)</f>
        <v>16440.9151369728</v>
      </c>
      <c r="O10" s="40">
        <f>((($AS10*$AM10+$AN10)*(1+$AU10)*(1+$AV10)+($AX10*IF($G$1="鸣金",$AO10,$AM10)+IF($G$1="鸣金",$AP10*1.5,0))*(1+$AZ10)*(1+$BA10)+($BB10*IF($G$1="裂石",$AO10,$AM10)+IF($G$1="裂石",$AP10*1.5,0))*(1+$BD10)*(1+$BE10)+($BF10*IF($G$1="牵丝",$AO10,$AM10)+IF($G$1="牵丝",$AP10*1.5,0))*(1+$BH10)*(1+$BI10)+($BJ10*IF($G$1="破竹",$AO10,$AM10)+IF($G$1="破竹",$AP10*1.5,0))*(1+$BL10)*(1+$BM10))*(1+$AQ10))*$P10*(1+IF(VLOOKUP($Q10,武学奇术!$A:$ZZ,30,FALSE)="蓄力技",$B$21,0))*(1+$BV10)</f>
        <v>14148.7563765339</v>
      </c>
      <c r="P10" s="41">
        <v>1</v>
      </c>
      <c r="Q10" s="42" t="s">
        <v>117</v>
      </c>
      <c r="R10" s="42" t="s">
        <v>76</v>
      </c>
      <c r="S10" s="42" t="s">
        <v>77</v>
      </c>
      <c r="T10" s="42" t="s">
        <v>86</v>
      </c>
      <c r="U10" s="42" t="s">
        <v>113</v>
      </c>
      <c r="V10" s="42" t="s">
        <v>118</v>
      </c>
      <c r="W10" s="42" t="s">
        <v>114</v>
      </c>
      <c r="X10" s="42" t="s">
        <v>79</v>
      </c>
      <c r="Y10" s="42" t="s">
        <v>77</v>
      </c>
      <c r="Z10" s="42" t="s">
        <v>77</v>
      </c>
      <c r="AA10" s="42" t="s">
        <v>73</v>
      </c>
      <c r="AB10" s="42" t="s">
        <v>89</v>
      </c>
      <c r="AC10" s="42" t="s">
        <v>77</v>
      </c>
      <c r="AD10" s="42" t="s">
        <v>80</v>
      </c>
      <c r="AE10" s="42" t="s">
        <v>81</v>
      </c>
      <c r="AF10" s="42" t="s">
        <v>82</v>
      </c>
      <c r="AG10" s="42" t="s">
        <v>77</v>
      </c>
      <c r="AH10" s="42" t="s">
        <v>77</v>
      </c>
      <c r="AI10" s="42" t="s">
        <v>77</v>
      </c>
      <c r="AJ10" s="42" t="s">
        <v>77</v>
      </c>
      <c r="AK10" s="42" t="s">
        <v>90</v>
      </c>
      <c r="AL10" t="str">
        <f>VLOOKUP($Q10,武学奇术!$A:$ZZ,25,FALSE)</f>
        <v>陌刀</v>
      </c>
      <c r="AM10" s="27">
        <f>VLOOKUP($Q10,武学奇术!$A:$ZZ,26,FALSE)</f>
        <v>0.9</v>
      </c>
      <c r="AN10" s="28">
        <f>VLOOKUP($Q10,武学奇术!$A:$ZZ,27,FALSE)*(1+IF(OR($AL10=$F$4,$AL10=$F$5),$B$22,0))</f>
        <v>0</v>
      </c>
      <c r="AO10" s="27">
        <f>VLOOKUP($Q10,武学奇术!$A:$ZZ,28,FALSE)</f>
        <v>1.35</v>
      </c>
      <c r="AP10" s="28">
        <f>VLOOKUP($Q10,武学奇术!$A:$ZZ,29,FALSE)*(1+IF(OR($AL10=$F$4,$AL10=$F$5),$B$22,0))</f>
        <v>0</v>
      </c>
      <c r="AQ10" s="27" cm="1">
        <f t="array" ref="AQ10">$G$3+IFERROR(VLOOKUP($AL10,$F$4:$G$7,2,FALSE),0)+VLOOKUP($Q10,武学奇术!$A:$ZZ,2,FALSE)+SUM(_xlfn.XLOOKUP($R10:$AK10,增益!$A:$A,增益!$B:$B,0))</f>
        <v>0.7041</v>
      </c>
      <c r="AR10" s="27" cm="1">
        <f t="array" ref="AR10">VLOOKUP($Q10,武学奇术!$A:$ZZ,5,FALSE)+SUM(_xlfn.XLOOKUP($R10:$AK10,增益!$A:$A,增益!$E:$E,0))</f>
        <v>0</v>
      </c>
      <c r="AS10" cm="1">
        <f t="array" ref="AS10">$D$10*(1+$AR10)+VLOOKUP($Q10,武学奇术!$A:$ZZ,3,FALSE)+SUM(_xlfn.XLOOKUP($R10:$AK10,增益!$A:$A,增益!$C:$C,0))-$I$2</f>
        <v>3648.7</v>
      </c>
      <c r="AT10" cm="1">
        <f t="array" ref="AT10">$E$10*(1+$AR10)+VLOOKUP($Q10,武学奇术!$A:$ZZ,4,FALSE)+SUM(_xlfn.XLOOKUP($R10:$AK10,增益!$A:$A,增益!$D:$D,0))-$I$2</f>
        <v>3648.7</v>
      </c>
      <c r="AU10" s="34" cm="1">
        <f t="array" ref="AU10">IF($F$10-$I$3+VLOOKUP($Q10,武学奇术!$A:$ZZ,6,FALSE)+SUM(_xlfn.XLOOKUP($R10:$AK10,增益!$A:$A,增益!$F:$F,0))&gt;0,($F$10-$I$3+VLOOKUP($Q10,武学奇术!$A:$ZZ,6,FALSE)+SUM(_xlfn.XLOOKUP($R10:$AK10,增益!$A:$A,增益!$F:$F,0)))/200,($F$10-$I$3+VLOOKUP($Q10,武学奇术!$A:$ZZ,6,FALSE)+SUM(_xlfn.XLOOKUP($R10:$AK10,增益!$A:$A,增益!$F:$F,0)))/100)</f>
        <v>0.397</v>
      </c>
      <c r="AV10" s="34" cm="1">
        <f t="array" ref="AV10">$G$10+VLOOKUP($Q10,武学奇术!$A:$ZZ,7,FALSE)+SUM(_xlfn.XLOOKUP($R10:$AK10,增益!$A:$A,增益!$G:$G,0))</f>
        <v>0</v>
      </c>
      <c r="AW10" s="27" cm="1">
        <f t="array" ref="AW10">VLOOKUP($Q10,武学奇术!$A:$ZZ,8,FALSE)+SUM(_xlfn.XLOOKUP($R10:$AK10,增益!$A:$A,增益!$H:$H,0))</f>
        <v>0</v>
      </c>
      <c r="AX10">
        <f t="shared" si="1"/>
        <v>0</v>
      </c>
      <c r="AY10">
        <f t="shared" si="2"/>
        <v>0</v>
      </c>
      <c r="AZ10" s="34" cm="1">
        <f t="array" ref="AZ10">IF($F$11-$I$4+VLOOKUP($Q10,武学奇术!$A:$ZZ,9,FALSE)+SUM(_xlfn.XLOOKUP($R10:$AK10,增益!$A:$A,增益!$I:$I,0))&gt;0,($F$11-$I$4+VLOOKUP($Q10,武学奇术!$A:$ZZ,9,FALSE)+SUM(_xlfn.XLOOKUP($R10:$AK10,增益!$A:$A,增益!$I:$I,0)))/200,($F$11-$I$4+VLOOKUP($Q10,武学奇术!$A:$ZZ,9,FALSE)+SUM(_xlfn.XLOOKUP($R10:$AK10,增益!$A:$A,增益!$I:$I,0)))/100)</f>
        <v>-0.14</v>
      </c>
      <c r="BA10" s="34" cm="1">
        <f t="array" ref="BA10">$G$11+VLOOKUP($Q10,武学奇术!$A:$ZZ,10,FALSE)+SUM(_xlfn.XLOOKUP($R10:$AK10,增益!$A:$A,增益!$J:$J,0))</f>
        <v>0</v>
      </c>
      <c r="BB10">
        <f t="shared" si="3"/>
        <v>594.1</v>
      </c>
      <c r="BC10">
        <f t="shared" si="4"/>
        <v>1604.9</v>
      </c>
      <c r="BD10" s="34" cm="1">
        <f t="array" ref="BD10">IF($F$12-$I$4+VLOOKUP($Q10,武学奇术!$A:$ZZ,11,FALSE)+SUM(_xlfn.XLOOKUP($R10:$AK10,增益!$A:$A,增益!$K:$K,0))&gt;0,($F$12-$I$4+VLOOKUP($Q10,武学奇术!$A:$ZZ,11,FALSE)+SUM(_xlfn.XLOOKUP($R10:$AK10,增益!$A:$A,增益!$K:$K,0)))/200,($F$12-$I$4+VLOOKUP($Q10,武学奇术!$A:$ZZ,11,FALSE)+SUM(_xlfn.XLOOKUP($R10:$AK10,增益!$A:$A,增益!$K:$K,0)))/100)</f>
        <v>0.17</v>
      </c>
      <c r="BE10" s="34" cm="1">
        <f t="array" ref="BE10">$G$12+VLOOKUP($Q10,武学奇术!$A:$ZZ,12,FALSE)+SUM(_xlfn.XLOOKUP($R10:$AK10,增益!$A:$A,增益!$L:$L,0))</f>
        <v>0.15</v>
      </c>
      <c r="BF10">
        <f t="shared" si="5"/>
        <v>0</v>
      </c>
      <c r="BG10">
        <f t="shared" si="6"/>
        <v>0</v>
      </c>
      <c r="BH10" s="34" cm="1">
        <f t="array" ref="BH10">IF($F$13-$I$4+VLOOKUP($Q10,武学奇术!$A:$ZZ,13,FALSE)+SUM(_xlfn.XLOOKUP($R10:$AK10,增益!$A:$A,增益!$M:$M,0))&gt;0,($F$13-$I$4+VLOOKUP($Q10,武学奇术!$A:$ZZ,13,FALSE)+SUM(_xlfn.XLOOKUP($R10:$AK10,增益!$A:$A,增益!$K:$K,0)))/200,($F$13-$I$4+VLOOKUP($Q10,武学奇术!$A:$ZZ,13,FALSE)+SUM(_xlfn.XLOOKUP($R10:$AK10,增益!$A:$A,增益!$M:$M,0)))/100)</f>
        <v>-0.14</v>
      </c>
      <c r="BI10" s="34" cm="1">
        <f t="array" ref="BI10">$G$13+VLOOKUP($Q10,武学奇术!$A:$ZZ,14,FALSE)+SUM(_xlfn.XLOOKUP($R10:$AK10,增益!$A:$A,增益!$N:$N,0))</f>
        <v>0</v>
      </c>
      <c r="BJ10">
        <f t="shared" si="7"/>
        <v>0</v>
      </c>
      <c r="BK10">
        <f t="shared" si="8"/>
        <v>0</v>
      </c>
      <c r="BL10" s="34" cm="1">
        <f t="array" ref="BL10">IF($F$14-$I$4+VLOOKUP($Q10,武学奇术!$A:$ZZ,15,FALSE)+SUM(_xlfn.XLOOKUP($R10:$AK10,增益!$A:$A,增益!$O:$O,0))&gt;0,($F$14-$I$4+VLOOKUP($Q10,武学奇术!$A:$ZZ,15,FALSE)+SUM(_xlfn.XLOOKUP($R10:$AK10,增益!$A:$A,增益!$O:$O,0)))/200,($F$14-$I$4+VLOOKUP($Q10,武学奇术!$A:$ZZ,15,FALSE)+SUM(_xlfn.XLOOKUP($R10:$AK10,增益!$A:$A,增益!$O:$O,0)))/100)</f>
        <v>-0.14</v>
      </c>
      <c r="BM10" s="34" cm="1">
        <f t="array" ref="BM10">$G$14+VLOOKUP($Q10,武学奇术!$A:$ZZ,16,FALSE)+SUM(_xlfn.XLOOKUP($R10:$AK10,增益!$A:$A,增益!$P:$P,0))</f>
        <v>0</v>
      </c>
      <c r="BN10" s="27">
        <f>MIN(IF(VLOOKUP($Q10,武学奇术!$A:$ZZ,23,FALSE)=1,100%,$B$8),100%)</f>
        <v>1</v>
      </c>
      <c r="BO10" s="27" cm="1">
        <f t="array" ref="BO10">IF(VLOOKUP($Q10,武学奇术!$A:$ZZ,23,FALSE)=1,100%,MIN(80%,$B$9+VLOOKUP($Q10,武学奇术!$A:$ZZ,17,FALSE)+SUM(_xlfn.XLOOKUP($R10:$AK10,增益!$A:$A,增益!$Q:$Q,0)))+$B$11+SUM(_xlfn.XLOOKUP($R10:$AK10,增益!$A:$A,增益!$U:$U,0)))*IF(VLOOKUP($Q10,武学奇术!$A:$ZZ,24,FALSE)=1,0,1)</f>
        <v>1</v>
      </c>
      <c r="BP10" s="27" cm="1">
        <f t="array" ref="BP10">1+$B$13+VLOOKUP($Q10,武学奇术!$A:$ZZ,18,FALSE)+SUM(_xlfn.XLOOKUP($R10:$AK10,增益!$A:$A,增益!$R:$R,0))</f>
        <v>1.98</v>
      </c>
      <c r="BQ10" s="27" cm="1">
        <f t="array" ref="BQ10">IF(VLOOKUP($Q10,武学奇术!$A:$ZZ,24,FALSE)=1,100%,MIN(40%,$B$10+VLOOKUP($Q10,武学奇术!$A:$ZZ,19,FALSE)+SUM(_xlfn.XLOOKUP($R10:$AK10,增益!$A:$A,增益!$S:$S,0)))+$B$12+SUM(_xlfn.XLOOKUP($R10:$AK10,增益!$A:$A,增益!$V:$V,0)))*IF(VLOOKUP($Q10,武学奇术!$A:$ZZ,23,FALSE)=1,0,1)</f>
        <v>0</v>
      </c>
      <c r="BR10" s="27" cm="1">
        <f t="array" ref="BR10">1+$B$14+VLOOKUP($Q10,武学奇术!$A:$ZZ,20,FALSE)+SUM(_xlfn.XLOOKUP($R10:$AK10,增益!$A:$A,增益!$T:$T,0))</f>
        <v>1.35</v>
      </c>
      <c r="BS10" s="27">
        <f t="shared" si="9"/>
        <v>1</v>
      </c>
      <c r="BT10" s="27">
        <f t="shared" si="10"/>
        <v>0</v>
      </c>
      <c r="BU10" s="27">
        <f>IF(VLOOKUP($Q10,武学奇术!$A:$ZZ,22,FALSE)=1,0,(1-$BN10))*(1-$BQ10)</f>
        <v>0</v>
      </c>
      <c r="BV10" s="27" cm="1">
        <f t="array" ref="BV10">SUM(_xlfn.XLOOKUP($R10:$AK10,增益!$A:$A,增益!$W:$W,0))+$I$5</f>
        <v>0.11</v>
      </c>
    </row>
    <row r="11" ht="14.25" spans="1:74">
      <c r="A11" s="43" t="s">
        <v>119</v>
      </c>
      <c r="B11" s="71">
        <f>4.6%+IF($E$22="易水歌",4.6%,0)</f>
        <v>0.092</v>
      </c>
      <c r="C11" s="47" t="s">
        <v>83</v>
      </c>
      <c r="D11">
        <f>B3+IF($G$1=$C11,$B$7,0)</f>
        <v>0</v>
      </c>
      <c r="E11">
        <f>MAX(B3,C3)+IF($G$1=$C11,$C$7,0)</f>
        <v>0</v>
      </c>
      <c r="F11">
        <f>D3</f>
        <v>0</v>
      </c>
      <c r="G11" s="88">
        <f>E3</f>
        <v>0</v>
      </c>
      <c r="H11" s="72"/>
      <c r="I11" s="25"/>
      <c r="J11" s="75"/>
      <c r="K11" s="40">
        <f t="shared" si="0"/>
        <v>319166.768123888</v>
      </c>
      <c r="L11" s="40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BP11*$P11*(1+IF(VLOOKUP($Q11,武学奇术!$A:$ZZ,30,FALSE)="蓄力技",$B$21,0))*(1+$BV11)</f>
        <v>319166.768123888</v>
      </c>
      <c r="M11" s="40">
        <f>(($AT11*$AM11+$AN11)*(1+$AU11)*(1+$AV11)+($AY11*IF($G$1="鸣金",$AO11,$AM11)+IF($G$1="鸣金",$AP11*1.5,0))*(1+$AZ11)*(1+$BA11)+($BC11*IF($G$1="裂石",$AO11,$AM11)+IF($G$1="裂石",$AP11*1.5,0))*(1+$BD11)*(1+$BE11)+($BG11*IF($G$1="牵丝",$AO11,$AM11)+IF($G$1="牵丝",$AP11*1.5,0))*(1+$BH11)*(1+$BI11)+($BK11*IF($G$1="破竹",$AO11,$AM11)+IF($G$1="破竹",$AP11*1.5,0))*(1+$BL11)*(1+$BM11))*(1+$AQ11)*$BR11*$P11*(1+IF(VLOOKUP($Q11,武学奇术!$A:$ZZ,30,FALSE)="蓄力技",$B$21,0))*(1+$BV11)</f>
        <v>240231.809056847</v>
      </c>
      <c r="N11" s="40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P11*(1+IF(VLOOKUP($Q11,武学奇术!$A:$ZZ,30,FALSE)="蓄力技",$B$21,0))*(1+$BV11)</f>
        <v>158789.436877556</v>
      </c>
      <c r="O11" s="40">
        <f>((($AS11*$AM11+$AN11)*(1+$AU11)*(1+$AV11)+($AX11*IF($G$1="鸣金",$AO11,$AM11)+IF($G$1="鸣金",$AP11*1.5,0))*(1+$AZ11)*(1+$BA11)+($BB11*IF($G$1="裂石",$AO11,$AM11)+IF($G$1="裂石",$AP11*1.5,0))*(1+$BD11)*(1+$BE11)+($BF11*IF($G$1="牵丝",$AO11,$AM11)+IF($G$1="牵丝",$AP11*1.5,0))*(1+$BH11)*(1+$BI11)+($BJ11*IF($G$1="破竹",$AO11,$AM11)+IF($G$1="破竹",$AP11*1.5,0))*(1+$BL11)*(1+$BM11))*(1+$AQ11))*$P11*(1+IF(VLOOKUP($Q11,武学奇术!$A:$ZZ,30,FALSE)="蓄力技",$B$21,0))*(1+$BV11)</f>
        <v>139629.385564855</v>
      </c>
      <c r="P11" s="41">
        <v>1</v>
      </c>
      <c r="Q11" s="42" t="s">
        <v>120</v>
      </c>
      <c r="R11" s="42" t="s">
        <v>85</v>
      </c>
      <c r="S11" s="42" t="s">
        <v>77</v>
      </c>
      <c r="T11" s="42" t="s">
        <v>86</v>
      </c>
      <c r="U11" s="42" t="s">
        <v>121</v>
      </c>
      <c r="V11" s="42" t="s">
        <v>118</v>
      </c>
      <c r="W11" s="42" t="s">
        <v>122</v>
      </c>
      <c r="X11" s="42" t="s">
        <v>79</v>
      </c>
      <c r="Y11" s="42" t="s">
        <v>77</v>
      </c>
      <c r="Z11" s="42" t="s">
        <v>77</v>
      </c>
      <c r="AA11" s="42" t="s">
        <v>73</v>
      </c>
      <c r="AB11" s="42" t="s">
        <v>89</v>
      </c>
      <c r="AC11" s="42" t="s">
        <v>77</v>
      </c>
      <c r="AD11" s="42" t="s">
        <v>80</v>
      </c>
      <c r="AE11" s="42" t="s">
        <v>81</v>
      </c>
      <c r="AF11" s="42" t="s">
        <v>82</v>
      </c>
      <c r="AG11" s="42" t="s">
        <v>77</v>
      </c>
      <c r="AH11" s="42" t="s">
        <v>77</v>
      </c>
      <c r="AI11" s="42" t="s">
        <v>77</v>
      </c>
      <c r="AJ11" s="42" t="s">
        <v>77</v>
      </c>
      <c r="AK11" s="42" t="s">
        <v>90</v>
      </c>
      <c r="AL11" t="str">
        <f>VLOOKUP($Q11,武学奇术!$A:$ZZ,25,FALSE)</f>
        <v>陌刀</v>
      </c>
      <c r="AM11" s="27">
        <f>VLOOKUP($Q11,武学奇术!$A:$ZZ,26,FALSE)</f>
        <v>7.5674</v>
      </c>
      <c r="AN11" s="28">
        <f>VLOOKUP($Q11,武学奇术!$A:$ZZ,27,FALSE)*(1+IF(OR($AL11=$F$4,$AL11=$F$5),$B$22,0))</f>
        <v>3139.5</v>
      </c>
      <c r="AO11" s="27">
        <f>VLOOKUP($Q11,武学奇术!$A:$ZZ,28,FALSE)</f>
        <v>11.3512</v>
      </c>
      <c r="AP11" s="28">
        <f>VLOOKUP($Q11,武学奇术!$A:$ZZ,29,FALSE)*(1+IF(OR($AL11=$F$4,$AL11=$F$5),$B$22,0))</f>
        <v>1710</v>
      </c>
      <c r="AQ11" s="27" cm="1">
        <f t="array" ref="AQ11">$G$3+IFERROR(VLOOKUP($AL11,$F$4:$G$7,2,FALSE),0)+VLOOKUP($Q11,武学奇术!$A:$ZZ,2,FALSE)+SUM(_xlfn.XLOOKUP($R11:$AK11,增益!$A:$A,增益!$B:$B,0))</f>
        <v>0.6941</v>
      </c>
      <c r="AR11" s="27" cm="1">
        <f t="array" ref="AR11">VLOOKUP($Q11,武学奇术!$A:$ZZ,5,FALSE)+SUM(_xlfn.XLOOKUP($R11:$AK11,增益!$A:$A,增益!$E:$E,0))</f>
        <v>0</v>
      </c>
      <c r="AS11" cm="1">
        <f t="array" ref="AS11">$D$10*(1+$AR11)+VLOOKUP($Q11,武学奇术!$A:$ZZ,3,FALSE)+SUM(_xlfn.XLOOKUP($R11:$AK11,增益!$A:$A,增益!$C:$C,0))-$I$2</f>
        <v>3648.7</v>
      </c>
      <c r="AT11" cm="1">
        <f t="array" ref="AT11">$E$10*(1+$AR11)+VLOOKUP($Q11,武学奇术!$A:$ZZ,4,FALSE)+SUM(_xlfn.XLOOKUP($R11:$AK11,增益!$A:$A,增益!$D:$D,0))-$I$2</f>
        <v>3648.7</v>
      </c>
      <c r="AU11" s="34" cm="1">
        <f t="array" ref="AU11">IF($F$10-$I$3+VLOOKUP($Q11,武学奇术!$A:$ZZ,6,FALSE)+SUM(_xlfn.XLOOKUP($R11:$AK11,增益!$A:$A,增益!$F:$F,0))&gt;0,($F$10-$I$3+VLOOKUP($Q11,武学奇术!$A:$ZZ,6,FALSE)+SUM(_xlfn.XLOOKUP($R11:$AK11,增益!$A:$A,增益!$F:$F,0)))/200,($F$10-$I$3+VLOOKUP($Q11,武学奇术!$A:$ZZ,6,FALSE)+SUM(_xlfn.XLOOKUP($R11:$AK11,增益!$A:$A,增益!$F:$F,0)))/100)</f>
        <v>0.422</v>
      </c>
      <c r="AV11" s="34" cm="1">
        <f t="array" ref="AV11">$G$10+VLOOKUP($Q11,武学奇术!$A:$ZZ,7,FALSE)+SUM(_xlfn.XLOOKUP($R11:$AK11,增益!$A:$A,增益!$G:$G,0))</f>
        <v>0</v>
      </c>
      <c r="AW11" s="27" cm="1">
        <f t="array" ref="AW11">VLOOKUP($Q11,武学奇术!$A:$ZZ,8,FALSE)+SUM(_xlfn.XLOOKUP($R11:$AK11,增益!$A:$A,增益!$H:$H,0))</f>
        <v>0</v>
      </c>
      <c r="AX11">
        <f t="shared" si="1"/>
        <v>0</v>
      </c>
      <c r="AY11">
        <f t="shared" si="2"/>
        <v>0</v>
      </c>
      <c r="AZ11" s="34" cm="1">
        <f t="array" ref="AZ11">IF($F$11-$I$4+VLOOKUP($Q11,武学奇术!$A:$ZZ,9,FALSE)+SUM(_xlfn.XLOOKUP($R11:$AK11,增益!$A:$A,增益!$I:$I,0))&gt;0,($F$11-$I$4+VLOOKUP($Q11,武学奇术!$A:$ZZ,9,FALSE)+SUM(_xlfn.XLOOKUP($R11:$AK11,增益!$A:$A,增益!$I:$I,0)))/200,($F$11-$I$4+VLOOKUP($Q11,武学奇术!$A:$ZZ,9,FALSE)+SUM(_xlfn.XLOOKUP($R11:$AK11,增益!$A:$A,增益!$I:$I,0)))/100)</f>
        <v>-0.14</v>
      </c>
      <c r="BA11" s="34" cm="1">
        <f t="array" ref="BA11">$G$11+VLOOKUP($Q11,武学奇术!$A:$ZZ,10,FALSE)+SUM(_xlfn.XLOOKUP($R11:$AK11,增益!$A:$A,增益!$J:$J,0))</f>
        <v>0</v>
      </c>
      <c r="BB11">
        <f t="shared" si="3"/>
        <v>594.1</v>
      </c>
      <c r="BC11">
        <f t="shared" si="4"/>
        <v>1604.9</v>
      </c>
      <c r="BD11" s="34" cm="1">
        <f t="array" ref="BD11">IF($F$12-$I$4+VLOOKUP($Q11,武学奇术!$A:$ZZ,11,FALSE)+SUM(_xlfn.XLOOKUP($R11:$AK11,增益!$A:$A,增益!$K:$K,0))&gt;0,($F$12-$I$4+VLOOKUP($Q11,武学奇术!$A:$ZZ,11,FALSE)+SUM(_xlfn.XLOOKUP($R11:$AK11,增益!$A:$A,增益!$K:$K,0)))/200,($F$12-$I$4+VLOOKUP($Q11,武学奇术!$A:$ZZ,11,FALSE)+SUM(_xlfn.XLOOKUP($R11:$AK11,增益!$A:$A,增益!$K:$K,0)))/100)</f>
        <v>0.17</v>
      </c>
      <c r="BE11" s="34" cm="1">
        <f t="array" ref="BE11">$G$12+VLOOKUP($Q11,武学奇术!$A:$ZZ,12,FALSE)+SUM(_xlfn.XLOOKUP($R11:$AK11,增益!$A:$A,增益!$L:$L,0))</f>
        <v>0.15</v>
      </c>
      <c r="BF11">
        <f t="shared" si="5"/>
        <v>0</v>
      </c>
      <c r="BG11">
        <f t="shared" si="6"/>
        <v>0</v>
      </c>
      <c r="BH11" s="34" cm="1">
        <f t="array" ref="BH11">IF($F$13-$I$4+VLOOKUP($Q11,武学奇术!$A:$ZZ,13,FALSE)+SUM(_xlfn.XLOOKUP($R11:$AK11,增益!$A:$A,增益!$M:$M,0))&gt;0,($F$13-$I$4+VLOOKUP($Q11,武学奇术!$A:$ZZ,13,FALSE)+SUM(_xlfn.XLOOKUP($R11:$AK11,增益!$A:$A,增益!$K:$K,0)))/200,($F$13-$I$4+VLOOKUP($Q11,武学奇术!$A:$ZZ,13,FALSE)+SUM(_xlfn.XLOOKUP($R11:$AK11,增益!$A:$A,增益!$M:$M,0)))/100)</f>
        <v>-0.14</v>
      </c>
      <c r="BI11" s="34" cm="1">
        <f t="array" ref="BI11">$G$13+VLOOKUP($Q11,武学奇术!$A:$ZZ,14,FALSE)+SUM(_xlfn.XLOOKUP($R11:$AK11,增益!$A:$A,增益!$N:$N,0))</f>
        <v>0</v>
      </c>
      <c r="BJ11">
        <f t="shared" si="7"/>
        <v>0</v>
      </c>
      <c r="BK11">
        <f t="shared" si="8"/>
        <v>0</v>
      </c>
      <c r="BL11" s="34" cm="1">
        <f t="array" ref="BL11">IF($F$14-$I$4+VLOOKUP($Q11,武学奇术!$A:$ZZ,15,FALSE)+SUM(_xlfn.XLOOKUP($R11:$AK11,增益!$A:$A,增益!$O:$O,0))&gt;0,($F$14-$I$4+VLOOKUP($Q11,武学奇术!$A:$ZZ,15,FALSE)+SUM(_xlfn.XLOOKUP($R11:$AK11,增益!$A:$A,增益!$O:$O,0)))/200,($F$14-$I$4+VLOOKUP($Q11,武学奇术!$A:$ZZ,15,FALSE)+SUM(_xlfn.XLOOKUP($R11:$AK11,增益!$A:$A,增益!$O:$O,0)))/100)</f>
        <v>-0.14</v>
      </c>
      <c r="BM11" s="34" cm="1">
        <f t="array" ref="BM11">$G$14+VLOOKUP($Q11,武学奇术!$A:$ZZ,16,FALSE)+SUM(_xlfn.XLOOKUP($R11:$AK11,增益!$A:$A,增益!$P:$P,0))</f>
        <v>0</v>
      </c>
      <c r="BN11" s="27">
        <f>MIN(IF(VLOOKUP($Q11,武学奇术!$A:$ZZ,23,FALSE)=1,100%,$B$8),100%)</f>
        <v>1</v>
      </c>
      <c r="BO11" s="27" cm="1">
        <f t="array" ref="BO11">IF(VLOOKUP($Q11,武学奇术!$A:$ZZ,23,FALSE)=1,100%,MIN(80%,$B$9+VLOOKUP($Q11,武学奇术!$A:$ZZ,17,FALSE)+SUM(_xlfn.XLOOKUP($R11:$AK11,增益!$A:$A,增益!$Q:$Q,0)))+$B$11+SUM(_xlfn.XLOOKUP($R11:$AK11,增益!$A:$A,增益!$U:$U,0)))*IF(VLOOKUP($Q11,武学奇术!$A:$ZZ,24,FALSE)=1,0,1)</f>
        <v>1</v>
      </c>
      <c r="BP11" s="27" cm="1">
        <f t="array" ref="BP11">1+$B$13+VLOOKUP($Q11,武学奇术!$A:$ZZ,18,FALSE)+SUM(_xlfn.XLOOKUP($R11:$AK11,增益!$A:$A,增益!$R:$R,0))</f>
        <v>2.01</v>
      </c>
      <c r="BQ11" s="27" cm="1">
        <f t="array" ref="BQ11">IF(VLOOKUP($Q11,武学奇术!$A:$ZZ,24,FALSE)=1,100%,MIN(40%,$B$10+VLOOKUP($Q11,武学奇术!$A:$ZZ,19,FALSE)+SUM(_xlfn.XLOOKUP($R11:$AK11,增益!$A:$A,增益!$S:$S,0)))+$B$12+SUM(_xlfn.XLOOKUP($R11:$AK11,增益!$A:$A,增益!$V:$V,0)))*IF(VLOOKUP($Q11,武学奇术!$A:$ZZ,23,FALSE)=1,0,1)</f>
        <v>0</v>
      </c>
      <c r="BR11" s="27" cm="1">
        <f t="array" ref="BR11">1+$B$14+VLOOKUP($Q11,武学奇术!$A:$ZZ,20,FALSE)+SUM(_xlfn.XLOOKUP($R11:$AK11,增益!$A:$A,增益!$T:$T,0))</f>
        <v>1.35</v>
      </c>
      <c r="BS11" s="27">
        <f t="shared" si="9"/>
        <v>1</v>
      </c>
      <c r="BT11" s="27">
        <f t="shared" si="10"/>
        <v>0</v>
      </c>
      <c r="BU11" s="27">
        <f>IF(VLOOKUP($Q11,武学奇术!$A:$ZZ,22,FALSE)=1,0,(1-$BN11))*(1-$BQ11)</f>
        <v>0</v>
      </c>
      <c r="BV11" s="27" cm="1">
        <f t="array" ref="BV11">SUM(_xlfn.XLOOKUP($R11:$AK11,增益!$A:$A,增益!$W:$W,0))+$I$5</f>
        <v>0.11</v>
      </c>
    </row>
    <row r="12" spans="1:74">
      <c r="A12" s="43" t="s">
        <v>123</v>
      </c>
      <c r="B12" s="71">
        <v>0</v>
      </c>
      <c r="C12" s="47" t="s">
        <v>5</v>
      </c>
      <c r="D12">
        <f>B4+IF($G$1=$C12,$B$7,0)</f>
        <v>594.1</v>
      </c>
      <c r="E12">
        <f>MAX(B4,C4)+IF($G$1=$C12,$C$7,0)</f>
        <v>1604.9</v>
      </c>
      <c r="F12">
        <f>D4</f>
        <v>36</v>
      </c>
      <c r="G12" s="88">
        <f>E4</f>
        <v>0.15</v>
      </c>
      <c r="H12" s="69" t="s">
        <v>124</v>
      </c>
      <c r="I12" s="40">
        <f>I10/I8</f>
        <v>134565.306702815</v>
      </c>
      <c r="J12" s="76"/>
      <c r="K12" s="40">
        <f t="shared" si="0"/>
        <v>18790.0143450413</v>
      </c>
      <c r="L12" s="40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BP12*$P12*(1+IF(VLOOKUP($Q12,武学奇术!$A:$ZZ,30,FALSE)="蓄力技",$B$21,0))*(1+$BV12)</f>
        <v>18790.0143450413</v>
      </c>
      <c r="M12" s="40">
        <f>(($AT12*$AM12+$AN12)*(1+$AU12)*(1+$AV12)+($AY12*IF($G$1="鸣金",$AO12,$AM12)+IF($G$1="鸣金",$AP12*1.5,0))*(1+$AZ12)*(1+$BA12)+($BC12*IF($G$1="裂石",$AO12,$AM12)+IF($G$1="裂石",$AP12*1.5,0))*(1+$BD12)*(1+$BE12)+($BG12*IF($G$1="牵丝",$AO12,$AM12)+IF($G$1="牵丝",$AP12*1.5,0))*(1+$BH12)*(1+$BI12)+($BK12*IF($G$1="破竹",$AO12,$AM12)+IF($G$1="破竹",$AP12*1.5,0))*(1+$BL12)*(1+$BM12))*(1+$AQ12)*$BR12*$P12*(1+IF(VLOOKUP($Q12,武学奇术!$A:$ZZ,30,FALSE)="蓄力技",$B$21,0))*(1+$BV12)</f>
        <v>14286.8900596003</v>
      </c>
      <c r="N12" s="40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P12*(1+IF(VLOOKUP($Q12,武学奇术!$A:$ZZ,30,FALSE)="蓄力技",$B$21,0))*(1+$BV12)</f>
        <v>9301.98729952538</v>
      </c>
      <c r="O12" s="40">
        <f>((($AS12*$AM12+$AN12)*(1+$AU12)*(1+$AV12)+($AX12*IF($G$1="鸣金",$AO12,$AM12)+IF($G$1="鸣金",$AP12*1.5,0))*(1+$AZ12)*(1+$BA12)+($BB12*IF($G$1="裂石",$AO12,$AM12)+IF($G$1="裂石",$AP12*1.5,0))*(1+$BD12)*(1+$BE12)+($BF12*IF($G$1="牵丝",$AO12,$AM12)+IF($G$1="牵丝",$AP12*1.5,0))*(1+$BH12)*(1+$BI12)+($BJ12*IF($G$1="破竹",$AO12,$AM12)+IF($G$1="破竹",$AP12*1.5,0))*(1+$BL12)*(1+$BM12))*(1+$AQ12))*$P12*(1+IF(VLOOKUP($Q12,武学奇术!$A:$ZZ,30,FALSE)="蓄力技",$B$21,0))*(1+$BV12)</f>
        <v>8021.09307342089</v>
      </c>
      <c r="P12" s="41">
        <v>1</v>
      </c>
      <c r="Q12" s="42" t="s">
        <v>125</v>
      </c>
      <c r="R12" s="42" t="s">
        <v>85</v>
      </c>
      <c r="S12" s="42" t="s">
        <v>77</v>
      </c>
      <c r="T12" s="42" t="s">
        <v>86</v>
      </c>
      <c r="U12" s="42" t="s">
        <v>121</v>
      </c>
      <c r="V12" s="42" t="s">
        <v>118</v>
      </c>
      <c r="W12" s="42" t="s">
        <v>114</v>
      </c>
      <c r="X12" s="42" t="s">
        <v>88</v>
      </c>
      <c r="Y12" s="42" t="s">
        <v>77</v>
      </c>
      <c r="Z12" s="42" t="s">
        <v>77</v>
      </c>
      <c r="AA12" s="42" t="s">
        <v>73</v>
      </c>
      <c r="AB12" s="42" t="s">
        <v>95</v>
      </c>
      <c r="AC12" s="42" t="s">
        <v>77</v>
      </c>
      <c r="AD12" s="42" t="s">
        <v>80</v>
      </c>
      <c r="AE12" s="42" t="s">
        <v>81</v>
      </c>
      <c r="AF12" s="42" t="s">
        <v>82</v>
      </c>
      <c r="AG12" s="42" t="s">
        <v>77</v>
      </c>
      <c r="AH12" s="42" t="s">
        <v>77</v>
      </c>
      <c r="AI12" s="42" t="s">
        <v>77</v>
      </c>
      <c r="AJ12" s="42" t="s">
        <v>77</v>
      </c>
      <c r="AK12" s="42" t="s">
        <v>90</v>
      </c>
      <c r="AL12" t="str">
        <f>VLOOKUP($Q12,武学奇术!$A:$ZZ,25,FALSE)</f>
        <v>陌刀</v>
      </c>
      <c r="AM12" s="27">
        <f>VLOOKUP($Q12,武学奇术!$A:$ZZ,26,FALSE)</f>
        <v>0.5</v>
      </c>
      <c r="AN12" s="28">
        <f>VLOOKUP($Q12,武学奇术!$A:$ZZ,27,FALSE)*(1+IF(OR($AL12=$F$4,$AL12=$F$5),$B$22,0))</f>
        <v>0</v>
      </c>
      <c r="AO12" s="27">
        <f>VLOOKUP($Q12,武学奇术!$A:$ZZ,28,FALSE)</f>
        <v>0.75</v>
      </c>
      <c r="AP12" s="28">
        <f>VLOOKUP($Q12,武学奇术!$A:$ZZ,29,FALSE)*(1+IF(OR($AL12=$F$4,$AL12=$F$5),$B$22,0))</f>
        <v>0</v>
      </c>
      <c r="AQ12" s="27" cm="1">
        <f t="array" ref="AQ12">$G$3+IFERROR(VLOOKUP($AL12,$F$4:$G$7,2,FALSE),0)+VLOOKUP($Q12,武学奇术!$A:$ZZ,2,FALSE)+SUM(_xlfn.XLOOKUP($R12:$AK12,增益!$A:$A,增益!$B:$B,0))</f>
        <v>0.7141</v>
      </c>
      <c r="AR12" s="27" cm="1">
        <f t="array" ref="AR12">VLOOKUP($Q12,武学奇术!$A:$ZZ,5,FALSE)+SUM(_xlfn.XLOOKUP($R12:$AK12,增益!$A:$A,增益!$E:$E,0))</f>
        <v>0</v>
      </c>
      <c r="AS12" cm="1">
        <f t="array" ref="AS12">$D$10*(1+$AR12)+VLOOKUP($Q12,武学奇术!$A:$ZZ,3,FALSE)+SUM(_xlfn.XLOOKUP($R12:$AK12,增益!$A:$A,增益!$C:$C,0))-$I$2</f>
        <v>3648.7</v>
      </c>
      <c r="AT12" cm="1">
        <f t="array" ref="AT12">$E$10*(1+$AR12)+VLOOKUP($Q12,武学奇术!$A:$ZZ,4,FALSE)+SUM(_xlfn.XLOOKUP($R12:$AK12,增益!$A:$A,增益!$D:$D,0))-$I$2</f>
        <v>3648.7</v>
      </c>
      <c r="AU12" s="34" cm="1">
        <f t="array" ref="AU12">IF($F$10-$I$3+VLOOKUP($Q12,武学奇术!$A:$ZZ,6,FALSE)+SUM(_xlfn.XLOOKUP($R12:$AK12,增益!$A:$A,增益!$F:$F,0))&gt;0,($F$10-$I$3+VLOOKUP($Q12,武学奇术!$A:$ZZ,6,FALSE)+SUM(_xlfn.XLOOKUP($R12:$AK12,增益!$A:$A,增益!$F:$F,0)))/200,($F$10-$I$3+VLOOKUP($Q12,武学奇术!$A:$ZZ,6,FALSE)+SUM(_xlfn.XLOOKUP($R12:$AK12,增益!$A:$A,增益!$F:$F,0)))/100)</f>
        <v>0.422</v>
      </c>
      <c r="AV12" s="34" cm="1">
        <f t="array" ref="AV12">$G$10+VLOOKUP($Q12,武学奇术!$A:$ZZ,7,FALSE)+SUM(_xlfn.XLOOKUP($R12:$AK12,增益!$A:$A,增益!$G:$G,0))</f>
        <v>0</v>
      </c>
      <c r="AW12" s="27" cm="1">
        <f t="array" ref="AW12">VLOOKUP($Q12,武学奇术!$A:$ZZ,8,FALSE)+SUM(_xlfn.XLOOKUP($R12:$AK12,增益!$A:$A,增益!$H:$H,0))</f>
        <v>0</v>
      </c>
      <c r="AX12">
        <f t="shared" si="1"/>
        <v>0</v>
      </c>
      <c r="AY12">
        <f t="shared" si="2"/>
        <v>0</v>
      </c>
      <c r="AZ12" s="34" cm="1">
        <f t="array" ref="AZ12">IF($F$11-$I$4+VLOOKUP($Q12,武学奇术!$A:$ZZ,9,FALSE)+SUM(_xlfn.XLOOKUP($R12:$AK12,增益!$A:$A,增益!$I:$I,0))&gt;0,($F$11-$I$4+VLOOKUP($Q12,武学奇术!$A:$ZZ,9,FALSE)+SUM(_xlfn.XLOOKUP($R12:$AK12,增益!$A:$A,增益!$I:$I,0)))/200,($F$11-$I$4+VLOOKUP($Q12,武学奇术!$A:$ZZ,9,FALSE)+SUM(_xlfn.XLOOKUP($R12:$AK12,增益!$A:$A,增益!$I:$I,0)))/100)</f>
        <v>-0.14</v>
      </c>
      <c r="BA12" s="34" cm="1">
        <f t="array" ref="BA12">$G$11+VLOOKUP($Q12,武学奇术!$A:$ZZ,10,FALSE)+SUM(_xlfn.XLOOKUP($R12:$AK12,增益!$A:$A,增益!$J:$J,0))</f>
        <v>0</v>
      </c>
      <c r="BB12">
        <f t="shared" si="3"/>
        <v>594.1</v>
      </c>
      <c r="BC12">
        <f t="shared" si="4"/>
        <v>1604.9</v>
      </c>
      <c r="BD12" s="34" cm="1">
        <f t="array" ref="BD12">IF($F$12-$I$4+VLOOKUP($Q12,武学奇术!$A:$ZZ,11,FALSE)+SUM(_xlfn.XLOOKUP($R12:$AK12,增益!$A:$A,增益!$K:$K,0))&gt;0,($F$12-$I$4+VLOOKUP($Q12,武学奇术!$A:$ZZ,11,FALSE)+SUM(_xlfn.XLOOKUP($R12:$AK12,增益!$A:$A,增益!$K:$K,0)))/200,($F$12-$I$4+VLOOKUP($Q12,武学奇术!$A:$ZZ,11,FALSE)+SUM(_xlfn.XLOOKUP($R12:$AK12,增益!$A:$A,增益!$K:$K,0)))/100)</f>
        <v>0.17</v>
      </c>
      <c r="BE12" s="34" cm="1">
        <f t="array" ref="BE12">$G$12+VLOOKUP($Q12,武学奇术!$A:$ZZ,12,FALSE)+SUM(_xlfn.XLOOKUP($R12:$AK12,增益!$A:$A,增益!$L:$L,0))</f>
        <v>0.15</v>
      </c>
      <c r="BF12">
        <f t="shared" si="5"/>
        <v>0</v>
      </c>
      <c r="BG12">
        <f t="shared" si="6"/>
        <v>0</v>
      </c>
      <c r="BH12" s="34" cm="1">
        <f t="array" ref="BH12">IF($F$13-$I$4+VLOOKUP($Q12,武学奇术!$A:$ZZ,13,FALSE)+SUM(_xlfn.XLOOKUP($R12:$AK12,增益!$A:$A,增益!$M:$M,0))&gt;0,($F$13-$I$4+VLOOKUP($Q12,武学奇术!$A:$ZZ,13,FALSE)+SUM(_xlfn.XLOOKUP($R12:$AK12,增益!$A:$A,增益!$K:$K,0)))/200,($F$13-$I$4+VLOOKUP($Q12,武学奇术!$A:$ZZ,13,FALSE)+SUM(_xlfn.XLOOKUP($R12:$AK12,增益!$A:$A,增益!$M:$M,0)))/100)</f>
        <v>-0.14</v>
      </c>
      <c r="BI12" s="34" cm="1">
        <f t="array" ref="BI12">$G$13+VLOOKUP($Q12,武学奇术!$A:$ZZ,14,FALSE)+SUM(_xlfn.XLOOKUP($R12:$AK12,增益!$A:$A,增益!$N:$N,0))</f>
        <v>0</v>
      </c>
      <c r="BJ12">
        <f t="shared" si="7"/>
        <v>0</v>
      </c>
      <c r="BK12">
        <f t="shared" si="8"/>
        <v>0</v>
      </c>
      <c r="BL12" s="34" cm="1">
        <f t="array" ref="BL12">IF($F$14-$I$4+VLOOKUP($Q12,武学奇术!$A:$ZZ,15,FALSE)+SUM(_xlfn.XLOOKUP($R12:$AK12,增益!$A:$A,增益!$O:$O,0))&gt;0,($F$14-$I$4+VLOOKUP($Q12,武学奇术!$A:$ZZ,15,FALSE)+SUM(_xlfn.XLOOKUP($R12:$AK12,增益!$A:$A,增益!$O:$O,0)))/200,($F$14-$I$4+VLOOKUP($Q12,武学奇术!$A:$ZZ,15,FALSE)+SUM(_xlfn.XLOOKUP($R12:$AK12,增益!$A:$A,增益!$O:$O,0)))/100)</f>
        <v>-0.14</v>
      </c>
      <c r="BM12" s="34" cm="1">
        <f t="array" ref="BM12">$G$14+VLOOKUP($Q12,武学奇术!$A:$ZZ,16,FALSE)+SUM(_xlfn.XLOOKUP($R12:$AK12,增益!$A:$A,增益!$P:$P,0))</f>
        <v>0</v>
      </c>
      <c r="BN12" s="27">
        <f>MIN(IF(VLOOKUP($Q12,武学奇术!$A:$ZZ,23,FALSE)=1,100%,$B$8),100%)</f>
        <v>1</v>
      </c>
      <c r="BO12" s="27" cm="1">
        <f t="array" ref="BO12">IF(VLOOKUP($Q12,武学奇术!$A:$ZZ,23,FALSE)=1,100%,MIN(80%,$B$9+VLOOKUP($Q12,武学奇术!$A:$ZZ,17,FALSE)+SUM(_xlfn.XLOOKUP($R12:$AK12,增益!$A:$A,增益!$Q:$Q,0)))+$B$11+SUM(_xlfn.XLOOKUP($R12:$AK12,增益!$A:$A,增益!$U:$U,0)))*IF(VLOOKUP($Q12,武学奇术!$A:$ZZ,24,FALSE)=1,0,1)</f>
        <v>1</v>
      </c>
      <c r="BP12" s="27" cm="1">
        <f t="array" ref="BP12">1+$B$13+VLOOKUP($Q12,武学奇术!$A:$ZZ,18,FALSE)+SUM(_xlfn.XLOOKUP($R12:$AK12,增益!$A:$A,增益!$R:$R,0))</f>
        <v>2.02</v>
      </c>
      <c r="BQ12" s="27" cm="1">
        <f t="array" ref="BQ12">IF(VLOOKUP($Q12,武学奇术!$A:$ZZ,24,FALSE)=1,100%,MIN(40%,$B$10+VLOOKUP($Q12,武学奇术!$A:$ZZ,19,FALSE)+SUM(_xlfn.XLOOKUP($R12:$AK12,增益!$A:$A,增益!$S:$S,0)))+$B$12+SUM(_xlfn.XLOOKUP($R12:$AK12,增益!$A:$A,增益!$V:$V,0)))*IF(VLOOKUP($Q12,武学奇术!$A:$ZZ,23,FALSE)=1,0,1)</f>
        <v>0</v>
      </c>
      <c r="BR12" s="27" cm="1">
        <f t="array" ref="BR12">1+$B$14+VLOOKUP($Q12,武学奇术!$A:$ZZ,20,FALSE)+SUM(_xlfn.XLOOKUP($R12:$AK12,增益!$A:$A,增益!$T:$T,0))</f>
        <v>1.35</v>
      </c>
      <c r="BS12" s="27">
        <f t="shared" si="9"/>
        <v>1</v>
      </c>
      <c r="BT12" s="27">
        <f t="shared" si="10"/>
        <v>0</v>
      </c>
      <c r="BU12" s="27">
        <f>IF(VLOOKUP($Q12,武学奇术!$A:$ZZ,22,FALSE)=1,0,(1-$BN12))*(1-$BQ12)</f>
        <v>0</v>
      </c>
      <c r="BV12" s="27" cm="1">
        <f t="array" ref="BV12">SUM(_xlfn.XLOOKUP($R12:$AK12,增益!$A:$A,增益!$W:$W,0))+$I$5</f>
        <v>0.11</v>
      </c>
    </row>
    <row r="13" ht="14.25" spans="1:74">
      <c r="A13" s="43" t="s">
        <v>126</v>
      </c>
      <c r="B13" s="71">
        <v>0.54</v>
      </c>
      <c r="C13" s="47" t="s">
        <v>96</v>
      </c>
      <c r="D13">
        <f>B5+IF($G$1=$C13,$B$7,0)</f>
        <v>0</v>
      </c>
      <c r="E13">
        <f>MAX(B5,C5)+IF($G$1=$C13,$C$7,0)</f>
        <v>0</v>
      </c>
      <c r="F13">
        <f>D5</f>
        <v>0</v>
      </c>
      <c r="G13" s="88">
        <f>E5</f>
        <v>0</v>
      </c>
      <c r="H13" s="72"/>
      <c r="I13" s="77"/>
      <c r="J13" s="75"/>
      <c r="K13" s="40">
        <f t="shared" si="0"/>
        <v>34186.9104677352</v>
      </c>
      <c r="L13" s="40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BP13*$P13*(1+IF(VLOOKUP($Q13,武学奇术!$A:$ZZ,30,FALSE)="蓄力技",$B$21,0))*(1+$BV13)</f>
        <v>34186.9104677352</v>
      </c>
      <c r="M13" s="40">
        <f>(($AT13*$AM13+$AN13)*(1+$AU13)*(1+$AV13)+($AY13*IF($G$1="鸣金",$AO13,$AM13)+IF($G$1="鸣金",$AP13*1.5,0))*(1+$AZ13)*(1+$BA13)+($BC13*IF($G$1="裂石",$AO13,$AM13)+IF($G$1="裂石",$AP13*1.5,0))*(1+$BD13)*(1+$BE13)+($BG13*IF($G$1="牵丝",$AO13,$AM13)+IF($G$1="牵丝",$AP13*1.5,0))*(1+$BH13)*(1+$BI13)+($BK13*IF($G$1="破竹",$AO13,$AM13)+IF($G$1="破竹",$AP13*1.5,0))*(1+$BL13)*(1+$BM13))*(1+$AQ13)*$BR13*$P13*(1+IF(VLOOKUP($Q13,武学奇术!$A:$ZZ,30,FALSE)="蓄力技",$B$21,0))*(1+$BV13)</f>
        <v>25978.4193011082</v>
      </c>
      <c r="N13" s="40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P13*(1+IF(VLOOKUP($Q13,武学奇术!$A:$ZZ,30,FALSE)="蓄力技",$B$21,0))*(1+$BV13)</f>
        <v>16924.2131028392</v>
      </c>
      <c r="O13" s="40">
        <f>((($AS13*$AM13+$AN13)*(1+$AU13)*(1+$AV13)+($AX13*IF($G$1="鸣金",$AO13,$AM13)+IF($G$1="鸣金",$AP13*1.5,0))*(1+$AZ13)*(1+$BA13)+($BB13*IF($G$1="裂石",$AO13,$AM13)+IF($G$1="裂石",$AP13*1.5,0))*(1+$BD13)*(1+$BE13)+($BF13*IF($G$1="牵丝",$AO13,$AM13)+IF($G$1="牵丝",$AP13*1.5,0))*(1+$BH13)*(1+$BI13)+($BJ13*IF($G$1="破竹",$AO13,$AM13)+IF($G$1="破竹",$AP13*1.5,0))*(1+$BL13)*(1+$BM13))*(1+$AQ13))*$P13*(1+IF(VLOOKUP($Q13,武学奇术!$A:$ZZ,30,FALSE)="蓄力技",$B$21,0))*(1+$BV13)</f>
        <v>14605.152649302</v>
      </c>
      <c r="P13" s="41">
        <v>1</v>
      </c>
      <c r="Q13" s="42" t="s">
        <v>117</v>
      </c>
      <c r="R13" s="42" t="s">
        <v>93</v>
      </c>
      <c r="S13" s="42" t="s">
        <v>77</v>
      </c>
      <c r="T13" s="42" t="s">
        <v>86</v>
      </c>
      <c r="U13" s="42" t="s">
        <v>121</v>
      </c>
      <c r="V13" s="42" t="s">
        <v>118</v>
      </c>
      <c r="W13" s="42" t="s">
        <v>114</v>
      </c>
      <c r="X13" s="42" t="s">
        <v>88</v>
      </c>
      <c r="Y13" s="42" t="s">
        <v>77</v>
      </c>
      <c r="Z13" s="42" t="s">
        <v>77</v>
      </c>
      <c r="AA13" s="42" t="s">
        <v>73</v>
      </c>
      <c r="AB13" s="42" t="s">
        <v>95</v>
      </c>
      <c r="AC13" s="42" t="s">
        <v>77</v>
      </c>
      <c r="AD13" s="42" t="s">
        <v>80</v>
      </c>
      <c r="AE13" s="42" t="s">
        <v>81</v>
      </c>
      <c r="AF13" s="42" t="s">
        <v>82</v>
      </c>
      <c r="AG13" s="42" t="s">
        <v>77</v>
      </c>
      <c r="AH13" s="42" t="s">
        <v>77</v>
      </c>
      <c r="AI13" s="42" t="s">
        <v>77</v>
      </c>
      <c r="AJ13" s="42" t="s">
        <v>77</v>
      </c>
      <c r="AK13" s="42" t="s">
        <v>90</v>
      </c>
      <c r="AL13" t="str">
        <f>VLOOKUP($Q13,武学奇术!$A:$ZZ,25,FALSE)</f>
        <v>陌刀</v>
      </c>
      <c r="AM13" s="27">
        <f>VLOOKUP($Q13,武学奇术!$A:$ZZ,26,FALSE)</f>
        <v>0.9</v>
      </c>
      <c r="AN13" s="28">
        <f>VLOOKUP($Q13,武学奇术!$A:$ZZ,27,FALSE)*(1+IF(OR($AL13=$F$4,$AL13=$F$5),$B$22,0))</f>
        <v>0</v>
      </c>
      <c r="AO13" s="27">
        <f>VLOOKUP($Q13,武学奇术!$A:$ZZ,28,FALSE)</f>
        <v>1.35</v>
      </c>
      <c r="AP13" s="28">
        <f>VLOOKUP($Q13,武学奇术!$A:$ZZ,29,FALSE)*(1+IF(OR($AL13=$F$4,$AL13=$F$5),$B$22,0))</f>
        <v>0</v>
      </c>
      <c r="AQ13" s="27" cm="1">
        <f t="array" ref="AQ13">$G$3+IFERROR(VLOOKUP($AL13,$F$4:$G$7,2,FALSE),0)+VLOOKUP($Q13,武学奇术!$A:$ZZ,2,FALSE)+SUM(_xlfn.XLOOKUP($R13:$AK13,增益!$A:$A,增益!$B:$B,0))</f>
        <v>0.7241</v>
      </c>
      <c r="AR13" s="27" cm="1">
        <f t="array" ref="AR13">VLOOKUP($Q13,武学奇术!$A:$ZZ,5,FALSE)+SUM(_xlfn.XLOOKUP($R13:$AK13,增益!$A:$A,增益!$E:$E,0))</f>
        <v>0</v>
      </c>
      <c r="AS13" cm="1">
        <f t="array" ref="AS13">$D$10*(1+$AR13)+VLOOKUP($Q13,武学奇术!$A:$ZZ,3,FALSE)+SUM(_xlfn.XLOOKUP($R13:$AK13,增益!$A:$A,增益!$C:$C,0))-$I$2</f>
        <v>3648.7</v>
      </c>
      <c r="AT13" cm="1">
        <f t="array" ref="AT13">$E$10*(1+$AR13)+VLOOKUP($Q13,武学奇术!$A:$ZZ,4,FALSE)+SUM(_xlfn.XLOOKUP($R13:$AK13,增益!$A:$A,增益!$D:$D,0))-$I$2</f>
        <v>3648.7</v>
      </c>
      <c r="AU13" s="34" cm="1">
        <f t="array" ref="AU13">IF($F$10-$I$3+VLOOKUP($Q13,武学奇术!$A:$ZZ,6,FALSE)+SUM(_xlfn.XLOOKUP($R13:$AK13,增益!$A:$A,增益!$F:$F,0))&gt;0,($F$10-$I$3+VLOOKUP($Q13,武学奇术!$A:$ZZ,6,FALSE)+SUM(_xlfn.XLOOKUP($R13:$AK13,增益!$A:$A,增益!$F:$F,0)))/200,($F$10-$I$3+VLOOKUP($Q13,武学奇术!$A:$ZZ,6,FALSE)+SUM(_xlfn.XLOOKUP($R13:$AK13,增益!$A:$A,增益!$F:$F,0)))/100)</f>
        <v>0.432</v>
      </c>
      <c r="AV13" s="34" cm="1">
        <f t="array" ref="AV13">$G$10+VLOOKUP($Q13,武学奇术!$A:$ZZ,7,FALSE)+SUM(_xlfn.XLOOKUP($R13:$AK13,增益!$A:$A,增益!$G:$G,0))</f>
        <v>0</v>
      </c>
      <c r="AW13" s="27" cm="1">
        <f t="array" ref="AW13">VLOOKUP($Q13,武学奇术!$A:$ZZ,8,FALSE)+SUM(_xlfn.XLOOKUP($R13:$AK13,增益!$A:$A,增益!$H:$H,0))</f>
        <v>0</v>
      </c>
      <c r="AX13">
        <f t="shared" si="1"/>
        <v>0</v>
      </c>
      <c r="AY13">
        <f t="shared" si="2"/>
        <v>0</v>
      </c>
      <c r="AZ13" s="34" cm="1">
        <f t="array" ref="AZ13">IF($F$11-$I$4+VLOOKUP($Q13,武学奇术!$A:$ZZ,9,FALSE)+SUM(_xlfn.XLOOKUP($R13:$AK13,增益!$A:$A,增益!$I:$I,0))&gt;0,($F$11-$I$4+VLOOKUP($Q13,武学奇术!$A:$ZZ,9,FALSE)+SUM(_xlfn.XLOOKUP($R13:$AK13,增益!$A:$A,增益!$I:$I,0)))/200,($F$11-$I$4+VLOOKUP($Q13,武学奇术!$A:$ZZ,9,FALSE)+SUM(_xlfn.XLOOKUP($R13:$AK13,增益!$A:$A,增益!$I:$I,0)))/100)</f>
        <v>-0.14</v>
      </c>
      <c r="BA13" s="34" cm="1">
        <f t="array" ref="BA13">$G$11+VLOOKUP($Q13,武学奇术!$A:$ZZ,10,FALSE)+SUM(_xlfn.XLOOKUP($R13:$AK13,增益!$A:$A,增益!$J:$J,0))</f>
        <v>0</v>
      </c>
      <c r="BB13">
        <f t="shared" si="3"/>
        <v>594.1</v>
      </c>
      <c r="BC13">
        <f t="shared" si="4"/>
        <v>1604.9</v>
      </c>
      <c r="BD13" s="34" cm="1">
        <f t="array" ref="BD13">IF($F$12-$I$4+VLOOKUP($Q13,武学奇术!$A:$ZZ,11,FALSE)+SUM(_xlfn.XLOOKUP($R13:$AK13,增益!$A:$A,增益!$K:$K,0))&gt;0,($F$12-$I$4+VLOOKUP($Q13,武学奇术!$A:$ZZ,11,FALSE)+SUM(_xlfn.XLOOKUP($R13:$AK13,增益!$A:$A,增益!$K:$K,0)))/200,($F$12-$I$4+VLOOKUP($Q13,武学奇术!$A:$ZZ,11,FALSE)+SUM(_xlfn.XLOOKUP($R13:$AK13,增益!$A:$A,增益!$K:$K,0)))/100)</f>
        <v>0.17</v>
      </c>
      <c r="BE13" s="34" cm="1">
        <f t="array" ref="BE13">$G$12+VLOOKUP($Q13,武学奇术!$A:$ZZ,12,FALSE)+SUM(_xlfn.XLOOKUP($R13:$AK13,增益!$A:$A,增益!$L:$L,0))</f>
        <v>0.15</v>
      </c>
      <c r="BF13">
        <f t="shared" si="5"/>
        <v>0</v>
      </c>
      <c r="BG13">
        <f t="shared" si="6"/>
        <v>0</v>
      </c>
      <c r="BH13" s="34" cm="1">
        <f t="array" ref="BH13">IF($F$13-$I$4+VLOOKUP($Q13,武学奇术!$A:$ZZ,13,FALSE)+SUM(_xlfn.XLOOKUP($R13:$AK13,增益!$A:$A,增益!$M:$M,0))&gt;0,($F$13-$I$4+VLOOKUP($Q13,武学奇术!$A:$ZZ,13,FALSE)+SUM(_xlfn.XLOOKUP($R13:$AK13,增益!$A:$A,增益!$K:$K,0)))/200,($F$13-$I$4+VLOOKUP($Q13,武学奇术!$A:$ZZ,13,FALSE)+SUM(_xlfn.XLOOKUP($R13:$AK13,增益!$A:$A,增益!$M:$M,0)))/100)</f>
        <v>-0.14</v>
      </c>
      <c r="BI13" s="34" cm="1">
        <f t="array" ref="BI13">$G$13+VLOOKUP($Q13,武学奇术!$A:$ZZ,14,FALSE)+SUM(_xlfn.XLOOKUP($R13:$AK13,增益!$A:$A,增益!$N:$N,0))</f>
        <v>0</v>
      </c>
      <c r="BJ13">
        <f t="shared" si="7"/>
        <v>0</v>
      </c>
      <c r="BK13">
        <f t="shared" si="8"/>
        <v>0</v>
      </c>
      <c r="BL13" s="34" cm="1">
        <f t="array" ref="BL13">IF($F$14-$I$4+VLOOKUP($Q13,武学奇术!$A:$ZZ,15,FALSE)+SUM(_xlfn.XLOOKUP($R13:$AK13,增益!$A:$A,增益!$O:$O,0))&gt;0,($F$14-$I$4+VLOOKUP($Q13,武学奇术!$A:$ZZ,15,FALSE)+SUM(_xlfn.XLOOKUP($R13:$AK13,增益!$A:$A,增益!$O:$O,0)))/200,($F$14-$I$4+VLOOKUP($Q13,武学奇术!$A:$ZZ,15,FALSE)+SUM(_xlfn.XLOOKUP($R13:$AK13,增益!$A:$A,增益!$O:$O,0)))/100)</f>
        <v>-0.14</v>
      </c>
      <c r="BM13" s="34" cm="1">
        <f t="array" ref="BM13">$G$14+VLOOKUP($Q13,武学奇术!$A:$ZZ,16,FALSE)+SUM(_xlfn.XLOOKUP($R13:$AK13,增益!$A:$A,增益!$P:$P,0))</f>
        <v>0</v>
      </c>
      <c r="BN13" s="27">
        <f>MIN(IF(VLOOKUP($Q13,武学奇术!$A:$ZZ,23,FALSE)=1,100%,$B$8),100%)</f>
        <v>1</v>
      </c>
      <c r="BO13" s="27" cm="1">
        <f t="array" ref="BO13">IF(VLOOKUP($Q13,武学奇术!$A:$ZZ,23,FALSE)=1,100%,MIN(80%,$B$9+VLOOKUP($Q13,武学奇术!$A:$ZZ,17,FALSE)+SUM(_xlfn.XLOOKUP($R13:$AK13,增益!$A:$A,增益!$Q:$Q,0)))+$B$11+SUM(_xlfn.XLOOKUP($R13:$AK13,增益!$A:$A,增益!$U:$U,0)))*IF(VLOOKUP($Q13,武学奇术!$A:$ZZ,24,FALSE)=1,0,1)</f>
        <v>1</v>
      </c>
      <c r="BP13" s="27" cm="1">
        <f t="array" ref="BP13">1+$B$13+VLOOKUP($Q13,武学奇术!$A:$ZZ,18,FALSE)+SUM(_xlfn.XLOOKUP($R13:$AK13,增益!$A:$A,增益!$R:$R,0))</f>
        <v>2.02</v>
      </c>
      <c r="BQ13" s="27" cm="1">
        <f t="array" ref="BQ13">IF(VLOOKUP($Q13,武学奇术!$A:$ZZ,24,FALSE)=1,100%,MIN(40%,$B$10+VLOOKUP($Q13,武学奇术!$A:$ZZ,19,FALSE)+SUM(_xlfn.XLOOKUP($R13:$AK13,增益!$A:$A,增益!$S:$S,0)))+$B$12+SUM(_xlfn.XLOOKUP($R13:$AK13,增益!$A:$A,增益!$V:$V,0)))*IF(VLOOKUP($Q13,武学奇术!$A:$ZZ,23,FALSE)=1,0,1)</f>
        <v>0</v>
      </c>
      <c r="BR13" s="27" cm="1">
        <f t="array" ref="BR13">1+$B$14+VLOOKUP($Q13,武学奇术!$A:$ZZ,20,FALSE)+SUM(_xlfn.XLOOKUP($R13:$AK13,增益!$A:$A,增益!$T:$T,0))</f>
        <v>1.35</v>
      </c>
      <c r="BS13" s="27">
        <f t="shared" si="9"/>
        <v>1</v>
      </c>
      <c r="BT13" s="27">
        <f t="shared" si="10"/>
        <v>0</v>
      </c>
      <c r="BU13" s="27">
        <f>IF(VLOOKUP($Q13,武学奇术!$A:$ZZ,22,FALSE)=1,0,(1-$BN13))*(1-$BQ13)</f>
        <v>0</v>
      </c>
      <c r="BV13" s="27" cm="1">
        <f t="array" ref="BV13">SUM(_xlfn.XLOOKUP($R13:$AK13,增益!$A:$A,增益!$W:$W,0))+$I$5</f>
        <v>0.11</v>
      </c>
    </row>
    <row r="14" ht="14.25" spans="1:74">
      <c r="A14" s="43" t="s">
        <v>127</v>
      </c>
      <c r="B14" s="71">
        <v>0.35</v>
      </c>
      <c r="C14" s="55" t="s">
        <v>101</v>
      </c>
      <c r="D14" s="13">
        <f>B6+IF($G$1=$C14,B7,0)</f>
        <v>0</v>
      </c>
      <c r="E14" s="13">
        <f>MAX(B6,C6)+IF($G$1=$C14,$C$7,0)</f>
        <v>0</v>
      </c>
      <c r="F14" s="13">
        <f>D6</f>
        <v>0</v>
      </c>
      <c r="G14" s="89">
        <f>E6</f>
        <v>0</v>
      </c>
      <c r="H14" s="38" t="s">
        <v>128</v>
      </c>
      <c r="I14" s="24">
        <f>RD!I14</f>
        <v>127992.110001566</v>
      </c>
      <c r="J14" s="74"/>
      <c r="K14" s="40">
        <f t="shared" si="0"/>
        <v>324198.976334265</v>
      </c>
      <c r="L14" s="40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BP14*$P14*(1+IF(VLOOKUP($Q14,武学奇术!$A:$ZZ,30,FALSE)="蓄力技",$B$21,0))*(1+$BV14)</f>
        <v>324198.976334265</v>
      </c>
      <c r="M14" s="40">
        <f>(($AT14*$AM14+$AN14)*(1+$AU14)*(1+$AV14)+($AY14*IF($G$1="鸣金",$AO14,$AM14)+IF($G$1="鸣金",$AP14*1.5,0))*(1+$AZ14)*(1+$BA14)+($BC14*IF($G$1="裂石",$AO14,$AM14)+IF($G$1="裂石",$AP14*1.5,0))*(1+$BD14)*(1+$BE14)+($BG14*IF($G$1="牵丝",$AO14,$AM14)+IF($G$1="牵丝",$AP14*1.5,0))*(1+$BH14)*(1+$BI14)+($BK14*IF($G$1="破竹",$AO14,$AM14)+IF($G$1="破竹",$AP14*1.5,0))*(1+$BL14)*(1+$BM14))*(1+$AQ14)*$BR14*$P14*(1+IF(VLOOKUP($Q14,武学奇术!$A:$ZZ,30,FALSE)="蓄力技",$B$21,0))*(1+$BV14)</f>
        <v>242686.385220137</v>
      </c>
      <c r="N14" s="40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P14*(1+IF(VLOOKUP($Q14,武学奇术!$A:$ZZ,30,FALSE)="蓄力技",$B$21,0))*(1+$BV14)</f>
        <v>160494.542739735</v>
      </c>
      <c r="O14" s="40">
        <f>((($AS14*$AM14+$AN14)*(1+$AU14)*(1+$AV14)+($AX14*IF($G$1="鸣金",$AO14,$AM14)+IF($G$1="鸣金",$AP14*1.5,0))*(1+$AZ14)*(1+$BA14)+($BB14*IF($G$1="裂石",$AO14,$AM14)+IF($G$1="裂石",$AP14*1.5,0))*(1+$BD14)*(1+$BE14)+($BF14*IF($G$1="牵丝",$AO14,$AM14)+IF($G$1="牵丝",$AP14*1.5,0))*(1+$BH14)*(1+$BI14)+($BJ14*IF($G$1="破竹",$AO14,$AM14)+IF($G$1="破竹",$AP14*1.5,0))*(1+$BL14)*(1+$BM14))*(1+$AQ14))*$P14*(1+IF(VLOOKUP($Q14,武学奇术!$A:$ZZ,30,FALSE)="蓄力技",$B$21,0))*(1+$BV14)</f>
        <v>141221.392723813</v>
      </c>
      <c r="P14" s="41">
        <v>1</v>
      </c>
      <c r="Q14" s="42" t="s">
        <v>120</v>
      </c>
      <c r="R14" s="42" t="s">
        <v>93</v>
      </c>
      <c r="S14" s="42" t="s">
        <v>77</v>
      </c>
      <c r="T14" s="42" t="s">
        <v>86</v>
      </c>
      <c r="U14" s="42" t="s">
        <v>121</v>
      </c>
      <c r="V14" s="42" t="s">
        <v>118</v>
      </c>
      <c r="W14" s="42" t="s">
        <v>122</v>
      </c>
      <c r="X14" s="42" t="s">
        <v>88</v>
      </c>
      <c r="Y14" s="42" t="s">
        <v>77</v>
      </c>
      <c r="Z14" s="42" t="s">
        <v>77</v>
      </c>
      <c r="AA14" s="42" t="s">
        <v>73</v>
      </c>
      <c r="AB14" s="42" t="s">
        <v>95</v>
      </c>
      <c r="AC14" s="42" t="s">
        <v>77</v>
      </c>
      <c r="AD14" s="42" t="s">
        <v>80</v>
      </c>
      <c r="AE14" s="42" t="s">
        <v>81</v>
      </c>
      <c r="AF14" s="42" t="s">
        <v>82</v>
      </c>
      <c r="AG14" s="42" t="s">
        <v>77</v>
      </c>
      <c r="AH14" s="42" t="s">
        <v>77</v>
      </c>
      <c r="AI14" s="42" t="s">
        <v>77</v>
      </c>
      <c r="AJ14" s="42" t="s">
        <v>77</v>
      </c>
      <c r="AK14" s="42" t="s">
        <v>90</v>
      </c>
      <c r="AL14" t="str">
        <f>VLOOKUP($Q14,武学奇术!$A:$ZZ,25,FALSE)</f>
        <v>陌刀</v>
      </c>
      <c r="AM14" s="27">
        <f>VLOOKUP($Q14,武学奇术!$A:$ZZ,26,FALSE)</f>
        <v>7.5674</v>
      </c>
      <c r="AN14" s="28">
        <f>VLOOKUP($Q14,武学奇术!$A:$ZZ,27,FALSE)*(1+IF(OR($AL14=$F$4,$AL14=$F$5),$B$22,0))</f>
        <v>3139.5</v>
      </c>
      <c r="AO14" s="27">
        <f>VLOOKUP($Q14,武学奇术!$A:$ZZ,28,FALSE)</f>
        <v>11.3512</v>
      </c>
      <c r="AP14" s="28">
        <f>VLOOKUP($Q14,武学奇术!$A:$ZZ,29,FALSE)*(1+IF(OR($AL14=$F$4,$AL14=$F$5),$B$22,0))</f>
        <v>1710</v>
      </c>
      <c r="AQ14" s="27" cm="1">
        <f t="array" ref="AQ14">$G$3+IFERROR(VLOOKUP($AL14,$F$4:$G$7,2,FALSE),0)+VLOOKUP($Q14,武学奇术!$A:$ZZ,2,FALSE)+SUM(_xlfn.XLOOKUP($R14:$AK14,增益!$A:$A,增益!$B:$B,0))</f>
        <v>0.7041</v>
      </c>
      <c r="AR14" s="27" cm="1">
        <f t="array" ref="AR14">VLOOKUP($Q14,武学奇术!$A:$ZZ,5,FALSE)+SUM(_xlfn.XLOOKUP($R14:$AK14,增益!$A:$A,增益!$E:$E,0))</f>
        <v>0</v>
      </c>
      <c r="AS14" cm="1">
        <f t="array" ref="AS14">$D$10*(1+$AR14)+VLOOKUP($Q14,武学奇术!$A:$ZZ,3,FALSE)+SUM(_xlfn.XLOOKUP($R14:$AK14,增益!$A:$A,增益!$C:$C,0))-$I$2</f>
        <v>3648.7</v>
      </c>
      <c r="AT14" cm="1">
        <f t="array" ref="AT14">$E$10*(1+$AR14)+VLOOKUP($Q14,武学奇术!$A:$ZZ,4,FALSE)+SUM(_xlfn.XLOOKUP($R14:$AK14,增益!$A:$A,增益!$D:$D,0))-$I$2</f>
        <v>3648.7</v>
      </c>
      <c r="AU14" s="34" cm="1">
        <f t="array" ref="AU14">IF($F$10-$I$3+VLOOKUP($Q14,武学奇术!$A:$ZZ,6,FALSE)+SUM(_xlfn.XLOOKUP($R14:$AK14,增益!$A:$A,增益!$F:$F,0))&gt;0,($F$10-$I$3+VLOOKUP($Q14,武学奇术!$A:$ZZ,6,FALSE)+SUM(_xlfn.XLOOKUP($R14:$AK14,增益!$A:$A,增益!$F:$F,0)))/200,($F$10-$I$3+VLOOKUP($Q14,武学奇术!$A:$ZZ,6,FALSE)+SUM(_xlfn.XLOOKUP($R14:$AK14,增益!$A:$A,增益!$F:$F,0)))/100)</f>
        <v>0.432</v>
      </c>
      <c r="AV14" s="34" cm="1">
        <f t="array" ref="AV14">$G$10+VLOOKUP($Q14,武学奇术!$A:$ZZ,7,FALSE)+SUM(_xlfn.XLOOKUP($R14:$AK14,增益!$A:$A,增益!$G:$G,0))</f>
        <v>0</v>
      </c>
      <c r="AW14" s="27" cm="1">
        <f t="array" ref="AW14">VLOOKUP($Q14,武学奇术!$A:$ZZ,8,FALSE)+SUM(_xlfn.XLOOKUP($R14:$AK14,增益!$A:$A,增益!$H:$H,0))</f>
        <v>0</v>
      </c>
      <c r="AX14">
        <f t="shared" si="1"/>
        <v>0</v>
      </c>
      <c r="AY14">
        <f t="shared" si="2"/>
        <v>0</v>
      </c>
      <c r="AZ14" s="34" cm="1">
        <f t="array" ref="AZ14">IF($F$11-$I$4+VLOOKUP($Q14,武学奇术!$A:$ZZ,9,FALSE)+SUM(_xlfn.XLOOKUP($R14:$AK14,增益!$A:$A,增益!$I:$I,0))&gt;0,($F$11-$I$4+VLOOKUP($Q14,武学奇术!$A:$ZZ,9,FALSE)+SUM(_xlfn.XLOOKUP($R14:$AK14,增益!$A:$A,增益!$I:$I,0)))/200,($F$11-$I$4+VLOOKUP($Q14,武学奇术!$A:$ZZ,9,FALSE)+SUM(_xlfn.XLOOKUP($R14:$AK14,增益!$A:$A,增益!$I:$I,0)))/100)</f>
        <v>-0.14</v>
      </c>
      <c r="BA14" s="34" cm="1">
        <f t="array" ref="BA14">$G$11+VLOOKUP($Q14,武学奇术!$A:$ZZ,10,FALSE)+SUM(_xlfn.XLOOKUP($R14:$AK14,增益!$A:$A,增益!$J:$J,0))</f>
        <v>0</v>
      </c>
      <c r="BB14">
        <f t="shared" si="3"/>
        <v>594.1</v>
      </c>
      <c r="BC14">
        <f t="shared" si="4"/>
        <v>1604.9</v>
      </c>
      <c r="BD14" s="34" cm="1">
        <f t="array" ref="BD14">IF($F$12-$I$4+VLOOKUP($Q14,武学奇术!$A:$ZZ,11,FALSE)+SUM(_xlfn.XLOOKUP($R14:$AK14,增益!$A:$A,增益!$K:$K,0))&gt;0,($F$12-$I$4+VLOOKUP($Q14,武学奇术!$A:$ZZ,11,FALSE)+SUM(_xlfn.XLOOKUP($R14:$AK14,增益!$A:$A,增益!$K:$K,0)))/200,($F$12-$I$4+VLOOKUP($Q14,武学奇术!$A:$ZZ,11,FALSE)+SUM(_xlfn.XLOOKUP($R14:$AK14,增益!$A:$A,增益!$K:$K,0)))/100)</f>
        <v>0.17</v>
      </c>
      <c r="BE14" s="34" cm="1">
        <f t="array" ref="BE14">$G$12+VLOOKUP($Q14,武学奇术!$A:$ZZ,12,FALSE)+SUM(_xlfn.XLOOKUP($R14:$AK14,增益!$A:$A,增益!$L:$L,0))</f>
        <v>0.15</v>
      </c>
      <c r="BF14">
        <f t="shared" si="5"/>
        <v>0</v>
      </c>
      <c r="BG14">
        <f t="shared" si="6"/>
        <v>0</v>
      </c>
      <c r="BH14" s="34" cm="1">
        <f t="array" ref="BH14">IF($F$13-$I$4+VLOOKUP($Q14,武学奇术!$A:$ZZ,13,FALSE)+SUM(_xlfn.XLOOKUP($R14:$AK14,增益!$A:$A,增益!$M:$M,0))&gt;0,($F$13-$I$4+VLOOKUP($Q14,武学奇术!$A:$ZZ,13,FALSE)+SUM(_xlfn.XLOOKUP($R14:$AK14,增益!$A:$A,增益!$K:$K,0)))/200,($F$13-$I$4+VLOOKUP($Q14,武学奇术!$A:$ZZ,13,FALSE)+SUM(_xlfn.XLOOKUP($R14:$AK14,增益!$A:$A,增益!$M:$M,0)))/100)</f>
        <v>-0.14</v>
      </c>
      <c r="BI14" s="34" cm="1">
        <f t="array" ref="BI14">$G$13+VLOOKUP($Q14,武学奇术!$A:$ZZ,14,FALSE)+SUM(_xlfn.XLOOKUP($R14:$AK14,增益!$A:$A,增益!$N:$N,0))</f>
        <v>0</v>
      </c>
      <c r="BJ14">
        <f t="shared" si="7"/>
        <v>0</v>
      </c>
      <c r="BK14">
        <f t="shared" si="8"/>
        <v>0</v>
      </c>
      <c r="BL14" s="34" cm="1">
        <f t="array" ref="BL14">IF($F$14-$I$4+VLOOKUP($Q14,武学奇术!$A:$ZZ,15,FALSE)+SUM(_xlfn.XLOOKUP($R14:$AK14,增益!$A:$A,增益!$O:$O,0))&gt;0,($F$14-$I$4+VLOOKUP($Q14,武学奇术!$A:$ZZ,15,FALSE)+SUM(_xlfn.XLOOKUP($R14:$AK14,增益!$A:$A,增益!$O:$O,0)))/200,($F$14-$I$4+VLOOKUP($Q14,武学奇术!$A:$ZZ,15,FALSE)+SUM(_xlfn.XLOOKUP($R14:$AK14,增益!$A:$A,增益!$O:$O,0)))/100)</f>
        <v>-0.14</v>
      </c>
      <c r="BM14" s="34" cm="1">
        <f t="array" ref="BM14">$G$14+VLOOKUP($Q14,武学奇术!$A:$ZZ,16,FALSE)+SUM(_xlfn.XLOOKUP($R14:$AK14,增益!$A:$A,增益!$P:$P,0))</f>
        <v>0</v>
      </c>
      <c r="BN14" s="27">
        <f>MIN(IF(VLOOKUP($Q14,武学奇术!$A:$ZZ,23,FALSE)=1,100%,$B$8),100%)</f>
        <v>1</v>
      </c>
      <c r="BO14" s="27" cm="1">
        <f t="array" ref="BO14">IF(VLOOKUP($Q14,武学奇术!$A:$ZZ,23,FALSE)=1,100%,MIN(80%,$B$9+VLOOKUP($Q14,武学奇术!$A:$ZZ,17,FALSE)+SUM(_xlfn.XLOOKUP($R14:$AK14,增益!$A:$A,增益!$Q:$Q,0)))+$B$11+SUM(_xlfn.XLOOKUP($R14:$AK14,增益!$A:$A,增益!$U:$U,0)))*IF(VLOOKUP($Q14,武学奇术!$A:$ZZ,24,FALSE)=1,0,1)</f>
        <v>1</v>
      </c>
      <c r="BP14" s="27" cm="1">
        <f t="array" ref="BP14">1+$B$13+VLOOKUP($Q14,武学奇术!$A:$ZZ,18,FALSE)+SUM(_xlfn.XLOOKUP($R14:$AK14,增益!$A:$A,增益!$R:$R,0))</f>
        <v>2.02</v>
      </c>
      <c r="BQ14" s="27" cm="1">
        <f t="array" ref="BQ14">IF(VLOOKUP($Q14,武学奇术!$A:$ZZ,24,FALSE)=1,100%,MIN(40%,$B$10+VLOOKUP($Q14,武学奇术!$A:$ZZ,19,FALSE)+SUM(_xlfn.XLOOKUP($R14:$AK14,增益!$A:$A,增益!$S:$S,0)))+$B$12+SUM(_xlfn.XLOOKUP($R14:$AK14,增益!$A:$A,增益!$V:$V,0)))*IF(VLOOKUP($Q14,武学奇术!$A:$ZZ,23,FALSE)=1,0,1)</f>
        <v>0</v>
      </c>
      <c r="BR14" s="27" cm="1">
        <f t="array" ref="BR14">1+$B$14+VLOOKUP($Q14,武学奇术!$A:$ZZ,20,FALSE)+SUM(_xlfn.XLOOKUP($R14:$AK14,增益!$A:$A,增益!$T:$T,0))</f>
        <v>1.35</v>
      </c>
      <c r="BS14" s="27">
        <f t="shared" si="9"/>
        <v>1</v>
      </c>
      <c r="BT14" s="27">
        <f t="shared" si="10"/>
        <v>0</v>
      </c>
      <c r="BU14" s="27">
        <f>IF(VLOOKUP($Q14,武学奇术!$A:$ZZ,22,FALSE)=1,0,(1-$BN14))*(1-$BQ14)</f>
        <v>0</v>
      </c>
      <c r="BV14" s="27" cm="1">
        <f t="array" ref="BV14">SUM(_xlfn.XLOOKUP($R14:$AK14,增益!$A:$A,增益!$W:$W,0))+$I$5</f>
        <v>0.11</v>
      </c>
    </row>
    <row r="15" ht="14.25" spans="1:74">
      <c r="A15" s="43" t="s">
        <v>129</v>
      </c>
      <c r="B15" s="71">
        <v>0.0852</v>
      </c>
      <c r="C15" s="41" t="s">
        <v>130</v>
      </c>
      <c r="D15" s="41"/>
      <c r="F15" s="78"/>
      <c r="H15" s="79"/>
      <c r="I15" s="25"/>
      <c r="J15" s="75"/>
      <c r="K15" s="40">
        <f t="shared" si="0"/>
        <v>19291.5539227523</v>
      </c>
      <c r="L15" s="40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BP15*$P15*(1+IF(VLOOKUP($Q15,武学奇术!$A:$ZZ,30,FALSE)="蓄力技",$B$21,0))*(1+$BV15)</f>
        <v>19291.5539227523</v>
      </c>
      <c r="M15" s="40">
        <f>(($AT15*$AM15+$AN15)*(1+$AU15)*(1+$AV15)+($AY15*IF($G$1="鸣金",$AO15,$AM15)+IF($G$1="鸣金",$AP15*1.5,0))*(1+$AZ15)*(1+$BA15)+($BC15*IF($G$1="裂石",$AO15,$AM15)+IF($G$1="裂石",$AP15*1.5,0))*(1+$BD15)*(1+$BE15)+($BG15*IF($G$1="牵丝",$AO15,$AM15)+IF($G$1="牵丝",$AP15*1.5,0))*(1+$BH15)*(1+$BI15)+($BK15*IF($G$1="破竹",$AO15,$AM15)+IF($G$1="破竹",$AP15*1.5,0))*(1+$BL15)*(1+$BM15))*(1+$AQ15)*$BR15*$P15*(1+IF(VLOOKUP($Q15,武学奇术!$A:$ZZ,30,FALSE)="蓄力技",$B$21,0))*(1+$BV15)</f>
        <v>14578.7419951217</v>
      </c>
      <c r="N15" s="40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P15*(1+IF(VLOOKUP($Q15,武学奇术!$A:$ZZ,30,FALSE)="蓄力技",$B$21,0))*(1+$BV15)</f>
        <v>9503.22853337552</v>
      </c>
      <c r="O15" s="40">
        <f>((($AS15*$AM15+$AN15)*(1+$AU15)*(1+$AV15)+($AX15*IF($G$1="鸣金",$AO15,$AM15)+IF($G$1="鸣金",$AP15*1.5,0))*(1+$AZ15)*(1+$BA15)+($BB15*IF($G$1="裂石",$AO15,$AM15)+IF($G$1="裂石",$AP15*1.5,0))*(1+$BD15)*(1+$BE15)+($BF15*IF($G$1="牵丝",$AO15,$AM15)+IF($G$1="牵丝",$AP15*1.5,0))*(1+$BH15)*(1+$BI15)+($BJ15*IF($G$1="破竹",$AO15,$AM15)+IF($G$1="破竹",$AP15*1.5,0))*(1+$BL15)*(1+$BM15))*(1+$AQ15))*$P15*(1+IF(VLOOKUP($Q15,武学奇术!$A:$ZZ,30,FALSE)="蓄力技",$B$21,0))*(1+$BV15)</f>
        <v>8207.38892221642</v>
      </c>
      <c r="P15" s="41">
        <v>1</v>
      </c>
      <c r="Q15" s="42" t="s">
        <v>125</v>
      </c>
      <c r="R15" s="42" t="s">
        <v>99</v>
      </c>
      <c r="S15" s="42" t="s">
        <v>77</v>
      </c>
      <c r="T15" s="42" t="s">
        <v>86</v>
      </c>
      <c r="U15" s="42" t="s">
        <v>121</v>
      </c>
      <c r="V15" s="42" t="s">
        <v>118</v>
      </c>
      <c r="W15" s="42" t="s">
        <v>114</v>
      </c>
      <c r="X15" s="42" t="s">
        <v>94</v>
      </c>
      <c r="Y15" s="42" t="s">
        <v>77</v>
      </c>
      <c r="Z15" s="42" t="s">
        <v>77</v>
      </c>
      <c r="AA15" s="42" t="s">
        <v>73</v>
      </c>
      <c r="AB15" s="42" t="s">
        <v>95</v>
      </c>
      <c r="AC15" s="42" t="s">
        <v>77</v>
      </c>
      <c r="AD15" s="42" t="s">
        <v>80</v>
      </c>
      <c r="AE15" s="42" t="s">
        <v>81</v>
      </c>
      <c r="AF15" s="42" t="s">
        <v>82</v>
      </c>
      <c r="AG15" s="42" t="s">
        <v>77</v>
      </c>
      <c r="AH15" s="42" t="s">
        <v>77</v>
      </c>
      <c r="AI15" s="42" t="s">
        <v>77</v>
      </c>
      <c r="AJ15" s="42" t="s">
        <v>77</v>
      </c>
      <c r="AK15" s="42" t="s">
        <v>90</v>
      </c>
      <c r="AL15" t="str">
        <f>VLOOKUP($Q15,武学奇术!$A:$ZZ,25,FALSE)</f>
        <v>陌刀</v>
      </c>
      <c r="AM15" s="27">
        <f>VLOOKUP($Q15,武学奇术!$A:$ZZ,26,FALSE)</f>
        <v>0.5</v>
      </c>
      <c r="AN15" s="28">
        <f>VLOOKUP($Q15,武学奇术!$A:$ZZ,27,FALSE)*(1+IF(OR($AL15=$F$4,$AL15=$F$5),$B$22,0))</f>
        <v>0</v>
      </c>
      <c r="AO15" s="27">
        <f>VLOOKUP($Q15,武学奇术!$A:$ZZ,28,FALSE)</f>
        <v>0.75</v>
      </c>
      <c r="AP15" s="28">
        <f>VLOOKUP($Q15,武学奇术!$A:$ZZ,29,FALSE)*(1+IF(OR($AL15=$F$4,$AL15=$F$5),$B$22,0))</f>
        <v>0</v>
      </c>
      <c r="AQ15" s="27" cm="1">
        <f t="array" ref="AQ15">$G$3+IFERROR(VLOOKUP($AL15,$F$4:$G$7,2,FALSE),0)+VLOOKUP($Q15,武学奇术!$A:$ZZ,2,FALSE)+SUM(_xlfn.XLOOKUP($R15:$AK15,增益!$A:$A,增益!$B:$B,0))</f>
        <v>0.7341</v>
      </c>
      <c r="AR15" s="27" cm="1">
        <f t="array" ref="AR15">VLOOKUP($Q15,武学奇术!$A:$ZZ,5,FALSE)+SUM(_xlfn.XLOOKUP($R15:$AK15,增益!$A:$A,增益!$E:$E,0))</f>
        <v>0</v>
      </c>
      <c r="AS15" cm="1">
        <f t="array" ref="AS15">$D$10*(1+$AR15)+VLOOKUP($Q15,武学奇术!$A:$ZZ,3,FALSE)+SUM(_xlfn.XLOOKUP($R15:$AK15,增益!$A:$A,增益!$C:$C,0))-$I$2</f>
        <v>3648.7</v>
      </c>
      <c r="AT15" cm="1">
        <f t="array" ref="AT15">$E$10*(1+$AR15)+VLOOKUP($Q15,武学奇术!$A:$ZZ,4,FALSE)+SUM(_xlfn.XLOOKUP($R15:$AK15,增益!$A:$A,增益!$D:$D,0))-$I$2</f>
        <v>3648.7</v>
      </c>
      <c r="AU15" s="34" cm="1">
        <f t="array" ref="AU15">IF($F$10-$I$3+VLOOKUP($Q15,武学奇术!$A:$ZZ,6,FALSE)+SUM(_xlfn.XLOOKUP($R15:$AK15,增益!$A:$A,增益!$F:$F,0))&gt;0,($F$10-$I$3+VLOOKUP($Q15,武学奇术!$A:$ZZ,6,FALSE)+SUM(_xlfn.XLOOKUP($R15:$AK15,增益!$A:$A,增益!$F:$F,0)))/200,($F$10-$I$3+VLOOKUP($Q15,武学奇术!$A:$ZZ,6,FALSE)+SUM(_xlfn.XLOOKUP($R15:$AK15,增益!$A:$A,增益!$F:$F,0)))/100)</f>
        <v>0.442</v>
      </c>
      <c r="AV15" s="34" cm="1">
        <f t="array" ref="AV15">$G$10+VLOOKUP($Q15,武学奇术!$A:$ZZ,7,FALSE)+SUM(_xlfn.XLOOKUP($R15:$AK15,增益!$A:$A,增益!$G:$G,0))</f>
        <v>0</v>
      </c>
      <c r="AW15" s="27" cm="1">
        <f t="array" ref="AW15">VLOOKUP($Q15,武学奇术!$A:$ZZ,8,FALSE)+SUM(_xlfn.XLOOKUP($R15:$AK15,增益!$A:$A,增益!$H:$H,0))</f>
        <v>0</v>
      </c>
      <c r="AX15">
        <f t="shared" si="1"/>
        <v>0</v>
      </c>
      <c r="AY15">
        <f t="shared" si="2"/>
        <v>0</v>
      </c>
      <c r="AZ15" s="34" cm="1">
        <f t="array" ref="AZ15">IF($F$11-$I$4+VLOOKUP($Q15,武学奇术!$A:$ZZ,9,FALSE)+SUM(_xlfn.XLOOKUP($R15:$AK15,增益!$A:$A,增益!$I:$I,0))&gt;0,($F$11-$I$4+VLOOKUP($Q15,武学奇术!$A:$ZZ,9,FALSE)+SUM(_xlfn.XLOOKUP($R15:$AK15,增益!$A:$A,增益!$I:$I,0)))/200,($F$11-$I$4+VLOOKUP($Q15,武学奇术!$A:$ZZ,9,FALSE)+SUM(_xlfn.XLOOKUP($R15:$AK15,增益!$A:$A,增益!$I:$I,0)))/100)</f>
        <v>-0.14</v>
      </c>
      <c r="BA15" s="34" cm="1">
        <f t="array" ref="BA15">$G$11+VLOOKUP($Q15,武学奇术!$A:$ZZ,10,FALSE)+SUM(_xlfn.XLOOKUP($R15:$AK15,增益!$A:$A,增益!$J:$J,0))</f>
        <v>0</v>
      </c>
      <c r="BB15">
        <f t="shared" si="3"/>
        <v>594.1</v>
      </c>
      <c r="BC15">
        <f t="shared" si="4"/>
        <v>1604.9</v>
      </c>
      <c r="BD15" s="34" cm="1">
        <f t="array" ref="BD15">IF($F$12-$I$4+VLOOKUP($Q15,武学奇术!$A:$ZZ,11,FALSE)+SUM(_xlfn.XLOOKUP($R15:$AK15,增益!$A:$A,增益!$K:$K,0))&gt;0,($F$12-$I$4+VLOOKUP($Q15,武学奇术!$A:$ZZ,11,FALSE)+SUM(_xlfn.XLOOKUP($R15:$AK15,增益!$A:$A,增益!$K:$K,0)))/200,($F$12-$I$4+VLOOKUP($Q15,武学奇术!$A:$ZZ,11,FALSE)+SUM(_xlfn.XLOOKUP($R15:$AK15,增益!$A:$A,增益!$K:$K,0)))/100)</f>
        <v>0.17</v>
      </c>
      <c r="BE15" s="34" cm="1">
        <f t="array" ref="BE15">$G$12+VLOOKUP($Q15,武学奇术!$A:$ZZ,12,FALSE)+SUM(_xlfn.XLOOKUP($R15:$AK15,增益!$A:$A,增益!$L:$L,0))</f>
        <v>0.15</v>
      </c>
      <c r="BF15">
        <f t="shared" si="5"/>
        <v>0</v>
      </c>
      <c r="BG15">
        <f t="shared" si="6"/>
        <v>0</v>
      </c>
      <c r="BH15" s="34" cm="1">
        <f t="array" ref="BH15">IF($F$13-$I$4+VLOOKUP($Q15,武学奇术!$A:$ZZ,13,FALSE)+SUM(_xlfn.XLOOKUP($R15:$AK15,增益!$A:$A,增益!$M:$M,0))&gt;0,($F$13-$I$4+VLOOKUP($Q15,武学奇术!$A:$ZZ,13,FALSE)+SUM(_xlfn.XLOOKUP($R15:$AK15,增益!$A:$A,增益!$K:$K,0)))/200,($F$13-$I$4+VLOOKUP($Q15,武学奇术!$A:$ZZ,13,FALSE)+SUM(_xlfn.XLOOKUP($R15:$AK15,增益!$A:$A,增益!$M:$M,0)))/100)</f>
        <v>-0.14</v>
      </c>
      <c r="BI15" s="34" cm="1">
        <f t="array" ref="BI15">$G$13+VLOOKUP($Q15,武学奇术!$A:$ZZ,14,FALSE)+SUM(_xlfn.XLOOKUP($R15:$AK15,增益!$A:$A,增益!$N:$N,0))</f>
        <v>0</v>
      </c>
      <c r="BJ15">
        <f t="shared" si="7"/>
        <v>0</v>
      </c>
      <c r="BK15">
        <f t="shared" si="8"/>
        <v>0</v>
      </c>
      <c r="BL15" s="34" cm="1">
        <f t="array" ref="BL15">IF($F$14-$I$4+VLOOKUP($Q15,武学奇术!$A:$ZZ,15,FALSE)+SUM(_xlfn.XLOOKUP($R15:$AK15,增益!$A:$A,增益!$O:$O,0))&gt;0,($F$14-$I$4+VLOOKUP($Q15,武学奇术!$A:$ZZ,15,FALSE)+SUM(_xlfn.XLOOKUP($R15:$AK15,增益!$A:$A,增益!$O:$O,0)))/200,($F$14-$I$4+VLOOKUP($Q15,武学奇术!$A:$ZZ,15,FALSE)+SUM(_xlfn.XLOOKUP($R15:$AK15,增益!$A:$A,增益!$O:$O,0)))/100)</f>
        <v>-0.14</v>
      </c>
      <c r="BM15" s="34" cm="1">
        <f t="array" ref="BM15">$G$14+VLOOKUP($Q15,武学奇术!$A:$ZZ,16,FALSE)+SUM(_xlfn.XLOOKUP($R15:$AK15,增益!$A:$A,增益!$P:$P,0))</f>
        <v>0</v>
      </c>
      <c r="BN15" s="27">
        <f>MIN(IF(VLOOKUP($Q15,武学奇术!$A:$ZZ,23,FALSE)=1,100%,$B$8),100%)</f>
        <v>1</v>
      </c>
      <c r="BO15" s="27" cm="1">
        <f t="array" ref="BO15">IF(VLOOKUP($Q15,武学奇术!$A:$ZZ,23,FALSE)=1,100%,MIN(80%,$B$9+VLOOKUP($Q15,武学奇术!$A:$ZZ,17,FALSE)+SUM(_xlfn.XLOOKUP($R15:$AK15,增益!$A:$A,增益!$Q:$Q,0)))+$B$11+SUM(_xlfn.XLOOKUP($R15:$AK15,增益!$A:$A,增益!$U:$U,0)))*IF(VLOOKUP($Q15,武学奇术!$A:$ZZ,24,FALSE)=1,0,1)</f>
        <v>1</v>
      </c>
      <c r="BP15" s="27" cm="1">
        <f t="array" ref="BP15">1+$B$13+VLOOKUP($Q15,武学奇术!$A:$ZZ,18,FALSE)+SUM(_xlfn.XLOOKUP($R15:$AK15,增益!$A:$A,增益!$R:$R,0))</f>
        <v>2.03</v>
      </c>
      <c r="BQ15" s="27" cm="1">
        <f t="array" ref="BQ15">IF(VLOOKUP($Q15,武学奇术!$A:$ZZ,24,FALSE)=1,100%,MIN(40%,$B$10+VLOOKUP($Q15,武学奇术!$A:$ZZ,19,FALSE)+SUM(_xlfn.XLOOKUP($R15:$AK15,增益!$A:$A,增益!$S:$S,0)))+$B$12+SUM(_xlfn.XLOOKUP($R15:$AK15,增益!$A:$A,增益!$V:$V,0)))*IF(VLOOKUP($Q15,武学奇术!$A:$ZZ,23,FALSE)=1,0,1)</f>
        <v>0</v>
      </c>
      <c r="BR15" s="27" cm="1">
        <f t="array" ref="BR15">1+$B$14+VLOOKUP($Q15,武学奇术!$A:$ZZ,20,FALSE)+SUM(_xlfn.XLOOKUP($R15:$AK15,增益!$A:$A,增益!$T:$T,0))</f>
        <v>1.35</v>
      </c>
      <c r="BS15" s="27">
        <f t="shared" si="9"/>
        <v>1</v>
      </c>
      <c r="BT15" s="27">
        <f t="shared" si="10"/>
        <v>0</v>
      </c>
      <c r="BU15" s="27">
        <f>IF(VLOOKUP($Q15,武学奇术!$A:$ZZ,22,FALSE)=1,0,(1-$BN15))*(1-$BQ15)</f>
        <v>0</v>
      </c>
      <c r="BV15" s="27" cm="1">
        <f t="array" ref="BV15">SUM(_xlfn.XLOOKUP($R15:$AK15,增益!$A:$A,增益!$W:$W,0))+$I$5</f>
        <v>0.11</v>
      </c>
    </row>
    <row r="16" spans="1:74">
      <c r="A16" s="43" t="s">
        <v>131</v>
      </c>
      <c r="B16" s="71">
        <v>0.0887</v>
      </c>
      <c r="C16" s="41" t="s">
        <v>132</v>
      </c>
      <c r="D16" s="78" t="s">
        <v>133</v>
      </c>
      <c r="E16" s="41" t="s">
        <v>134</v>
      </c>
      <c r="F16" s="78" t="s">
        <v>133</v>
      </c>
      <c r="H16" s="69" t="s">
        <v>135</v>
      </c>
      <c r="I16" s="80">
        <f>I12/134565.31</f>
        <v>0.999999975497511</v>
      </c>
      <c r="J16" s="81"/>
      <c r="K16" s="40">
        <f t="shared" si="0"/>
        <v>34724.7970609541</v>
      </c>
      <c r="L16" s="40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BP16*$P16*(1+IF(VLOOKUP($Q16,武学奇术!$A:$ZZ,30,FALSE)="蓄力技",$B$21,0))*(1+$BV16)</f>
        <v>34724.7970609541</v>
      </c>
      <c r="M16" s="40">
        <f>(($AT16*$AM16+$AN16)*(1+$AU16)*(1+$AV16)+($AY16*IF($G$1="鸣金",$AO16,$AM16)+IF($G$1="鸣金",$AP16*1.5,0))*(1+$AZ16)*(1+$BA16)+($BC16*IF($G$1="裂石",$AO16,$AM16)+IF($G$1="裂石",$AP16*1.5,0))*(1+$BD16)*(1+$BE16)+($BG16*IF($G$1="牵丝",$AO16,$AM16)+IF($G$1="牵丝",$AP16*1.5,0))*(1+$BH16)*(1+$BI16)+($BK16*IF($G$1="破竹",$AO16,$AM16)+IF($G$1="破竹",$AP16*1.5,0))*(1+$BL16)*(1+$BM16))*(1+$AQ16)*$BR16*$P16*(1+IF(VLOOKUP($Q16,武学奇术!$A:$ZZ,30,FALSE)="蓄力技",$B$21,0))*(1+$BV16)</f>
        <v>26241.7355912191</v>
      </c>
      <c r="N16" s="40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P16*(1+IF(VLOOKUP($Q16,武学奇术!$A:$ZZ,30,FALSE)="蓄力技",$B$21,0))*(1+$BV16)</f>
        <v>17105.8113600759</v>
      </c>
      <c r="O16" s="40">
        <f>((($AS16*$AM16+$AN16)*(1+$AU16)*(1+$AV16)+($AX16*IF($G$1="鸣金",$AO16,$AM16)+IF($G$1="鸣金",$AP16*1.5,0))*(1+$AZ16)*(1+$BA16)+($BB16*IF($G$1="裂石",$AO16,$AM16)+IF($G$1="裂石",$AP16*1.5,0))*(1+$BD16)*(1+$BE16)+($BF16*IF($G$1="牵丝",$AO16,$AM16)+IF($G$1="牵丝",$AP16*1.5,0))*(1+$BH16)*(1+$BI16)+($BJ16*IF($G$1="破竹",$AO16,$AM16)+IF($G$1="破竹",$AP16*1.5,0))*(1+$BL16)*(1+$BM16))*(1+$AQ16))*$P16*(1+IF(VLOOKUP($Q16,武学奇术!$A:$ZZ,30,FALSE)="蓄力技",$B$21,0))*(1+$BV16)</f>
        <v>14773.3000599896</v>
      </c>
      <c r="P16" s="41">
        <v>1</v>
      </c>
      <c r="Q16" s="42" t="s">
        <v>117</v>
      </c>
      <c r="R16" s="42" t="s">
        <v>99</v>
      </c>
      <c r="S16" s="42" t="s">
        <v>77</v>
      </c>
      <c r="T16" s="42" t="s">
        <v>86</v>
      </c>
      <c r="U16" s="42" t="s">
        <v>121</v>
      </c>
      <c r="V16" s="42" t="s">
        <v>118</v>
      </c>
      <c r="W16" s="42" t="s">
        <v>114</v>
      </c>
      <c r="X16" s="42" t="s">
        <v>94</v>
      </c>
      <c r="Y16" s="42" t="s">
        <v>77</v>
      </c>
      <c r="Z16" s="42" t="s">
        <v>77</v>
      </c>
      <c r="AA16" s="42" t="s">
        <v>73</v>
      </c>
      <c r="AB16" s="42" t="s">
        <v>95</v>
      </c>
      <c r="AC16" s="42" t="s">
        <v>77</v>
      </c>
      <c r="AD16" s="42" t="s">
        <v>80</v>
      </c>
      <c r="AE16" s="42" t="s">
        <v>81</v>
      </c>
      <c r="AF16" s="42" t="s">
        <v>82</v>
      </c>
      <c r="AG16" s="42" t="s">
        <v>77</v>
      </c>
      <c r="AH16" s="42" t="s">
        <v>77</v>
      </c>
      <c r="AI16" s="42" t="s">
        <v>77</v>
      </c>
      <c r="AJ16" s="42" t="s">
        <v>77</v>
      </c>
      <c r="AK16" s="42" t="s">
        <v>90</v>
      </c>
      <c r="AL16" t="str">
        <f>VLOOKUP($Q16,武学奇术!$A:$ZZ,25,FALSE)</f>
        <v>陌刀</v>
      </c>
      <c r="AM16" s="27">
        <f>VLOOKUP($Q16,武学奇术!$A:$ZZ,26,FALSE)</f>
        <v>0.9</v>
      </c>
      <c r="AN16" s="28">
        <f>VLOOKUP($Q16,武学奇术!$A:$ZZ,27,FALSE)*(1+IF(OR($AL16=$F$4,$AL16=$F$5),$B$22,0))</f>
        <v>0</v>
      </c>
      <c r="AO16" s="27">
        <f>VLOOKUP($Q16,武学奇术!$A:$ZZ,28,FALSE)</f>
        <v>1.35</v>
      </c>
      <c r="AP16" s="28">
        <f>VLOOKUP($Q16,武学奇术!$A:$ZZ,29,FALSE)*(1+IF(OR($AL16=$F$4,$AL16=$F$5),$B$22,0))</f>
        <v>0</v>
      </c>
      <c r="AQ16" s="27" cm="1">
        <f t="array" ref="AQ16">$G$3+IFERROR(VLOOKUP($AL16,$F$4:$G$7,2,FALSE),0)+VLOOKUP($Q16,武学奇术!$A:$ZZ,2,FALSE)+SUM(_xlfn.XLOOKUP($R16:$AK16,增益!$A:$A,增益!$B:$B,0))</f>
        <v>0.7341</v>
      </c>
      <c r="AR16" s="27" cm="1">
        <f t="array" ref="AR16">VLOOKUP($Q16,武学奇术!$A:$ZZ,5,FALSE)+SUM(_xlfn.XLOOKUP($R16:$AK16,增益!$A:$A,增益!$E:$E,0))</f>
        <v>0</v>
      </c>
      <c r="AS16" cm="1">
        <f t="array" ref="AS16">$D$10*(1+$AR16)+VLOOKUP($Q16,武学奇术!$A:$ZZ,3,FALSE)+SUM(_xlfn.XLOOKUP($R16:$AK16,增益!$A:$A,增益!$C:$C,0))-$I$2</f>
        <v>3648.7</v>
      </c>
      <c r="AT16" cm="1">
        <f t="array" ref="AT16">$E$10*(1+$AR16)+VLOOKUP($Q16,武学奇术!$A:$ZZ,4,FALSE)+SUM(_xlfn.XLOOKUP($R16:$AK16,增益!$A:$A,增益!$D:$D,0))-$I$2</f>
        <v>3648.7</v>
      </c>
      <c r="AU16" s="34" cm="1">
        <f t="array" ref="AU16">IF($F$10-$I$3+VLOOKUP($Q16,武学奇术!$A:$ZZ,6,FALSE)+SUM(_xlfn.XLOOKUP($R16:$AK16,增益!$A:$A,增益!$F:$F,0))&gt;0,($F$10-$I$3+VLOOKUP($Q16,武学奇术!$A:$ZZ,6,FALSE)+SUM(_xlfn.XLOOKUP($R16:$AK16,增益!$A:$A,增益!$F:$F,0)))/200,($F$10-$I$3+VLOOKUP($Q16,武学奇术!$A:$ZZ,6,FALSE)+SUM(_xlfn.XLOOKUP($R16:$AK16,增益!$A:$A,增益!$F:$F,0)))/100)</f>
        <v>0.442</v>
      </c>
      <c r="AV16" s="34" cm="1">
        <f t="array" ref="AV16">$G$10+VLOOKUP($Q16,武学奇术!$A:$ZZ,7,FALSE)+SUM(_xlfn.XLOOKUP($R16:$AK16,增益!$A:$A,增益!$G:$G,0))</f>
        <v>0</v>
      </c>
      <c r="AW16" s="27" cm="1">
        <f t="array" ref="AW16">VLOOKUP($Q16,武学奇术!$A:$ZZ,8,FALSE)+SUM(_xlfn.XLOOKUP($R16:$AK16,增益!$A:$A,增益!$H:$H,0))</f>
        <v>0</v>
      </c>
      <c r="AX16">
        <f t="shared" si="1"/>
        <v>0</v>
      </c>
      <c r="AY16">
        <f t="shared" si="2"/>
        <v>0</v>
      </c>
      <c r="AZ16" s="34" cm="1">
        <f t="array" ref="AZ16">IF($F$11-$I$4+VLOOKUP($Q16,武学奇术!$A:$ZZ,9,FALSE)+SUM(_xlfn.XLOOKUP($R16:$AK16,增益!$A:$A,增益!$I:$I,0))&gt;0,($F$11-$I$4+VLOOKUP($Q16,武学奇术!$A:$ZZ,9,FALSE)+SUM(_xlfn.XLOOKUP($R16:$AK16,增益!$A:$A,增益!$I:$I,0)))/200,($F$11-$I$4+VLOOKUP($Q16,武学奇术!$A:$ZZ,9,FALSE)+SUM(_xlfn.XLOOKUP($R16:$AK16,增益!$A:$A,增益!$I:$I,0)))/100)</f>
        <v>-0.14</v>
      </c>
      <c r="BA16" s="34" cm="1">
        <f t="array" ref="BA16">$G$11+VLOOKUP($Q16,武学奇术!$A:$ZZ,10,FALSE)+SUM(_xlfn.XLOOKUP($R16:$AK16,增益!$A:$A,增益!$J:$J,0))</f>
        <v>0</v>
      </c>
      <c r="BB16">
        <f t="shared" si="3"/>
        <v>594.1</v>
      </c>
      <c r="BC16">
        <f t="shared" si="4"/>
        <v>1604.9</v>
      </c>
      <c r="BD16" s="34" cm="1">
        <f t="array" ref="BD16">IF($F$12-$I$4+VLOOKUP($Q16,武学奇术!$A:$ZZ,11,FALSE)+SUM(_xlfn.XLOOKUP($R16:$AK16,增益!$A:$A,增益!$K:$K,0))&gt;0,($F$12-$I$4+VLOOKUP($Q16,武学奇术!$A:$ZZ,11,FALSE)+SUM(_xlfn.XLOOKUP($R16:$AK16,增益!$A:$A,增益!$K:$K,0)))/200,($F$12-$I$4+VLOOKUP($Q16,武学奇术!$A:$ZZ,11,FALSE)+SUM(_xlfn.XLOOKUP($R16:$AK16,增益!$A:$A,增益!$K:$K,0)))/100)</f>
        <v>0.17</v>
      </c>
      <c r="BE16" s="34" cm="1">
        <f t="array" ref="BE16">$G$12+VLOOKUP($Q16,武学奇术!$A:$ZZ,12,FALSE)+SUM(_xlfn.XLOOKUP($R16:$AK16,增益!$A:$A,增益!$L:$L,0))</f>
        <v>0.15</v>
      </c>
      <c r="BF16">
        <f t="shared" si="5"/>
        <v>0</v>
      </c>
      <c r="BG16">
        <f t="shared" si="6"/>
        <v>0</v>
      </c>
      <c r="BH16" s="34" cm="1">
        <f t="array" ref="BH16">IF($F$13-$I$4+VLOOKUP($Q16,武学奇术!$A:$ZZ,13,FALSE)+SUM(_xlfn.XLOOKUP($R16:$AK16,增益!$A:$A,增益!$M:$M,0))&gt;0,($F$13-$I$4+VLOOKUP($Q16,武学奇术!$A:$ZZ,13,FALSE)+SUM(_xlfn.XLOOKUP($R16:$AK16,增益!$A:$A,增益!$K:$K,0)))/200,($F$13-$I$4+VLOOKUP($Q16,武学奇术!$A:$ZZ,13,FALSE)+SUM(_xlfn.XLOOKUP($R16:$AK16,增益!$A:$A,增益!$M:$M,0)))/100)</f>
        <v>-0.14</v>
      </c>
      <c r="BI16" s="34" cm="1">
        <f t="array" ref="BI16">$G$13+VLOOKUP($Q16,武学奇术!$A:$ZZ,14,FALSE)+SUM(_xlfn.XLOOKUP($R16:$AK16,增益!$A:$A,增益!$N:$N,0))</f>
        <v>0</v>
      </c>
      <c r="BJ16">
        <f t="shared" si="7"/>
        <v>0</v>
      </c>
      <c r="BK16">
        <f t="shared" si="8"/>
        <v>0</v>
      </c>
      <c r="BL16" s="34" cm="1">
        <f t="array" ref="BL16">IF($F$14-$I$4+VLOOKUP($Q16,武学奇术!$A:$ZZ,15,FALSE)+SUM(_xlfn.XLOOKUP($R16:$AK16,增益!$A:$A,增益!$O:$O,0))&gt;0,($F$14-$I$4+VLOOKUP($Q16,武学奇术!$A:$ZZ,15,FALSE)+SUM(_xlfn.XLOOKUP($R16:$AK16,增益!$A:$A,增益!$O:$O,0)))/200,($F$14-$I$4+VLOOKUP($Q16,武学奇术!$A:$ZZ,15,FALSE)+SUM(_xlfn.XLOOKUP($R16:$AK16,增益!$A:$A,增益!$O:$O,0)))/100)</f>
        <v>-0.14</v>
      </c>
      <c r="BM16" s="34" cm="1">
        <f t="array" ref="BM16">$G$14+VLOOKUP($Q16,武学奇术!$A:$ZZ,16,FALSE)+SUM(_xlfn.XLOOKUP($R16:$AK16,增益!$A:$A,增益!$P:$P,0))</f>
        <v>0</v>
      </c>
      <c r="BN16" s="27">
        <f>MIN(IF(VLOOKUP($Q16,武学奇术!$A:$ZZ,23,FALSE)=1,100%,$B$8),100%)</f>
        <v>1</v>
      </c>
      <c r="BO16" s="27" cm="1">
        <f t="array" ref="BO16">IF(VLOOKUP($Q16,武学奇术!$A:$ZZ,23,FALSE)=1,100%,MIN(80%,$B$9+VLOOKUP($Q16,武学奇术!$A:$ZZ,17,FALSE)+SUM(_xlfn.XLOOKUP($R16:$AK16,增益!$A:$A,增益!$Q:$Q,0)))+$B$11+SUM(_xlfn.XLOOKUP($R16:$AK16,增益!$A:$A,增益!$U:$U,0)))*IF(VLOOKUP($Q16,武学奇术!$A:$ZZ,24,FALSE)=1,0,1)</f>
        <v>1</v>
      </c>
      <c r="BP16" s="27" cm="1">
        <f t="array" ref="BP16">1+$B$13+VLOOKUP($Q16,武学奇术!$A:$ZZ,18,FALSE)+SUM(_xlfn.XLOOKUP($R16:$AK16,增益!$A:$A,增益!$R:$R,0))</f>
        <v>2.03</v>
      </c>
      <c r="BQ16" s="27" cm="1">
        <f t="array" ref="BQ16">IF(VLOOKUP($Q16,武学奇术!$A:$ZZ,24,FALSE)=1,100%,MIN(40%,$B$10+VLOOKUP($Q16,武学奇术!$A:$ZZ,19,FALSE)+SUM(_xlfn.XLOOKUP($R16:$AK16,增益!$A:$A,增益!$S:$S,0)))+$B$12+SUM(_xlfn.XLOOKUP($R16:$AK16,增益!$A:$A,增益!$V:$V,0)))*IF(VLOOKUP($Q16,武学奇术!$A:$ZZ,23,FALSE)=1,0,1)</f>
        <v>0</v>
      </c>
      <c r="BR16" s="27" cm="1">
        <f t="array" ref="BR16">1+$B$14+VLOOKUP($Q16,武学奇术!$A:$ZZ,20,FALSE)+SUM(_xlfn.XLOOKUP($R16:$AK16,增益!$A:$A,增益!$T:$T,0))</f>
        <v>1.35</v>
      </c>
      <c r="BS16" s="27">
        <f t="shared" si="9"/>
        <v>1</v>
      </c>
      <c r="BT16" s="27">
        <f t="shared" si="10"/>
        <v>0</v>
      </c>
      <c r="BU16" s="27">
        <f>IF(VLOOKUP($Q16,武学奇术!$A:$ZZ,22,FALSE)=1,0,(1-$BN16))*(1-$BQ16)</f>
        <v>0</v>
      </c>
      <c r="BV16" s="27" cm="1">
        <f t="array" ref="BV16">SUM(_xlfn.XLOOKUP($R16:$AK16,增益!$A:$A,增益!$W:$W,0))+$I$5</f>
        <v>0.11</v>
      </c>
    </row>
    <row r="17" ht="14.25" spans="1:74">
      <c r="A17" s="43" t="s">
        <v>136</v>
      </c>
      <c r="B17" s="71">
        <v>0.0852</v>
      </c>
      <c r="C17" s="41" t="s">
        <v>137</v>
      </c>
      <c r="D17" s="78" t="s">
        <v>133</v>
      </c>
      <c r="E17" s="41" t="s">
        <v>138</v>
      </c>
      <c r="F17" s="78" t="s">
        <v>133</v>
      </c>
      <c r="H17" s="72"/>
      <c r="I17" s="82"/>
      <c r="J17" s="83"/>
      <c r="K17" s="40">
        <f t="shared" si="0"/>
        <v>329283.579351266</v>
      </c>
      <c r="L17" s="40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BP17*$P17*(1+IF(VLOOKUP($Q17,武学奇术!$A:$ZZ,30,FALSE)="蓄力技",$B$21,0))*(1+$BV17)</f>
        <v>329283.579351266</v>
      </c>
      <c r="M17" s="40">
        <f>(($AT17*$AM17+$AN17)*(1+$AU17)*(1+$AV17)+($AY17*IF($G$1="鸣金",$AO17,$AM17)+IF($G$1="鸣金",$AP17*1.5,0))*(1+$AZ17)*(1+$BA17)+($BC17*IF($G$1="裂石",$AO17,$AM17)+IF($G$1="裂石",$AP17*1.5,0))*(1+$BD17)*(1+$BE17)+($BG17*IF($G$1="牵丝",$AO17,$AM17)+IF($G$1="牵丝",$AP17*1.5,0))*(1+$BH17)*(1+$BI17)+($BK17*IF($G$1="破竹",$AO17,$AM17)+IF($G$1="破竹",$AP17*1.5,0))*(1+$BL17)*(1+$BM17))*(1+$AQ17)*$BR17*$P17*(1+IF(VLOOKUP($Q17,武学奇术!$A:$ZZ,30,FALSE)="蓄力技",$B$21,0))*(1+$BV17)</f>
        <v>245153.126472424</v>
      </c>
      <c r="N17" s="40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P17*(1+IF(VLOOKUP($Q17,武学奇术!$A:$ZZ,30,FALSE)="蓄力技",$B$21,0))*(1+$BV17)</f>
        <v>162208.659778949</v>
      </c>
      <c r="O17" s="40">
        <f>((($AS17*$AM17+$AN17)*(1+$AU17)*(1+$AV17)+($AX17*IF($G$1="鸣金",$AO17,$AM17)+IF($G$1="鸣金",$AP17*1.5,0))*(1+$AZ17)*(1+$BA17)+($BB17*IF($G$1="裂石",$AO17,$AM17)+IF($G$1="裂石",$AP17*1.5,0))*(1+$BD17)*(1+$BE17)+($BF17*IF($G$1="牵丝",$AO17,$AM17)+IF($G$1="牵丝",$AP17*1.5,0))*(1+$BH17)*(1+$BI17)+($BJ17*IF($G$1="破竹",$AO17,$AM17)+IF($G$1="破竹",$AP17*1.5,0))*(1+$BL17)*(1+$BM17))*(1+$AQ17))*$P17*(1+IF(VLOOKUP($Q17,武学奇术!$A:$ZZ,30,FALSE)="蓄力技",$B$21,0))*(1+$BV17)</f>
        <v>142822.411059806</v>
      </c>
      <c r="P17" s="41">
        <v>1</v>
      </c>
      <c r="Q17" s="42" t="s">
        <v>120</v>
      </c>
      <c r="R17" s="42" t="s">
        <v>99</v>
      </c>
      <c r="S17" s="42" t="s">
        <v>77</v>
      </c>
      <c r="T17" s="42" t="s">
        <v>86</v>
      </c>
      <c r="U17" s="42" t="s">
        <v>121</v>
      </c>
      <c r="V17" s="42" t="s">
        <v>118</v>
      </c>
      <c r="W17" s="42" t="s">
        <v>122</v>
      </c>
      <c r="X17" s="42" t="s">
        <v>94</v>
      </c>
      <c r="Y17" s="42" t="s">
        <v>77</v>
      </c>
      <c r="Z17" s="42" t="s">
        <v>77</v>
      </c>
      <c r="AA17" s="42" t="s">
        <v>73</v>
      </c>
      <c r="AB17" s="42" t="s">
        <v>95</v>
      </c>
      <c r="AC17" s="42" t="s">
        <v>77</v>
      </c>
      <c r="AD17" s="42" t="s">
        <v>80</v>
      </c>
      <c r="AE17" s="42" t="s">
        <v>81</v>
      </c>
      <c r="AF17" s="42" t="s">
        <v>82</v>
      </c>
      <c r="AG17" s="42" t="s">
        <v>77</v>
      </c>
      <c r="AH17" s="42" t="s">
        <v>77</v>
      </c>
      <c r="AI17" s="42" t="s">
        <v>77</v>
      </c>
      <c r="AJ17" s="42" t="s">
        <v>77</v>
      </c>
      <c r="AK17" s="42" t="s">
        <v>90</v>
      </c>
      <c r="AL17" t="str">
        <f>VLOOKUP($Q17,武学奇术!$A:$ZZ,25,FALSE)</f>
        <v>陌刀</v>
      </c>
      <c r="AM17" s="27">
        <f>VLOOKUP($Q17,武学奇术!$A:$ZZ,26,FALSE)</f>
        <v>7.5674</v>
      </c>
      <c r="AN17" s="28">
        <f>VLOOKUP($Q17,武学奇术!$A:$ZZ,27,FALSE)*(1+IF(OR($AL17=$F$4,$AL17=$F$5),$B$22,0))</f>
        <v>3139.5</v>
      </c>
      <c r="AO17" s="27">
        <f>VLOOKUP($Q17,武学奇术!$A:$ZZ,28,FALSE)</f>
        <v>11.3512</v>
      </c>
      <c r="AP17" s="28">
        <f>VLOOKUP($Q17,武学奇术!$A:$ZZ,29,FALSE)*(1+IF(OR($AL17=$F$4,$AL17=$F$5),$B$22,0))</f>
        <v>1710</v>
      </c>
      <c r="AQ17" s="27" cm="1">
        <f t="array" ref="AQ17">$G$3+IFERROR(VLOOKUP($AL17,$F$4:$G$7,2,FALSE),0)+VLOOKUP($Q17,武学奇术!$A:$ZZ,2,FALSE)+SUM(_xlfn.XLOOKUP($R17:$AK17,增益!$A:$A,增益!$B:$B,0))</f>
        <v>0.7141</v>
      </c>
      <c r="AR17" s="27" cm="1">
        <f t="array" ref="AR17">VLOOKUP($Q17,武学奇术!$A:$ZZ,5,FALSE)+SUM(_xlfn.XLOOKUP($R17:$AK17,增益!$A:$A,增益!$E:$E,0))</f>
        <v>0</v>
      </c>
      <c r="AS17" cm="1">
        <f t="array" ref="AS17">$D$10*(1+$AR17)+VLOOKUP($Q17,武学奇术!$A:$ZZ,3,FALSE)+SUM(_xlfn.XLOOKUP($R17:$AK17,增益!$A:$A,增益!$C:$C,0))-$I$2</f>
        <v>3648.7</v>
      </c>
      <c r="AT17" cm="1">
        <f t="array" ref="AT17">$E$10*(1+$AR17)+VLOOKUP($Q17,武学奇术!$A:$ZZ,4,FALSE)+SUM(_xlfn.XLOOKUP($R17:$AK17,增益!$A:$A,增益!$D:$D,0))-$I$2</f>
        <v>3648.7</v>
      </c>
      <c r="AU17" s="34" cm="1">
        <f t="array" ref="AU17">IF($F$10-$I$3+VLOOKUP($Q17,武学奇术!$A:$ZZ,6,FALSE)+SUM(_xlfn.XLOOKUP($R17:$AK17,增益!$A:$A,增益!$F:$F,0))&gt;0,($F$10-$I$3+VLOOKUP($Q17,武学奇术!$A:$ZZ,6,FALSE)+SUM(_xlfn.XLOOKUP($R17:$AK17,增益!$A:$A,增益!$F:$F,0)))/200,($F$10-$I$3+VLOOKUP($Q17,武学奇术!$A:$ZZ,6,FALSE)+SUM(_xlfn.XLOOKUP($R17:$AK17,增益!$A:$A,增益!$F:$F,0)))/100)</f>
        <v>0.442</v>
      </c>
      <c r="AV17" s="34" cm="1">
        <f t="array" ref="AV17">$G$10+VLOOKUP($Q17,武学奇术!$A:$ZZ,7,FALSE)+SUM(_xlfn.XLOOKUP($R17:$AK17,增益!$A:$A,增益!$G:$G,0))</f>
        <v>0</v>
      </c>
      <c r="AW17" s="27" cm="1">
        <f t="array" ref="AW17">VLOOKUP($Q17,武学奇术!$A:$ZZ,8,FALSE)+SUM(_xlfn.XLOOKUP($R17:$AK17,增益!$A:$A,增益!$H:$H,0))</f>
        <v>0</v>
      </c>
      <c r="AX17">
        <f t="shared" si="1"/>
        <v>0</v>
      </c>
      <c r="AY17">
        <f t="shared" si="2"/>
        <v>0</v>
      </c>
      <c r="AZ17" s="34" cm="1">
        <f t="array" ref="AZ17">IF($F$11-$I$4+VLOOKUP($Q17,武学奇术!$A:$ZZ,9,FALSE)+SUM(_xlfn.XLOOKUP($R17:$AK17,增益!$A:$A,增益!$I:$I,0))&gt;0,($F$11-$I$4+VLOOKUP($Q17,武学奇术!$A:$ZZ,9,FALSE)+SUM(_xlfn.XLOOKUP($R17:$AK17,增益!$A:$A,增益!$I:$I,0)))/200,($F$11-$I$4+VLOOKUP($Q17,武学奇术!$A:$ZZ,9,FALSE)+SUM(_xlfn.XLOOKUP($R17:$AK17,增益!$A:$A,增益!$I:$I,0)))/100)</f>
        <v>-0.14</v>
      </c>
      <c r="BA17" s="34" cm="1">
        <f t="array" ref="BA17">$G$11+VLOOKUP($Q17,武学奇术!$A:$ZZ,10,FALSE)+SUM(_xlfn.XLOOKUP($R17:$AK17,增益!$A:$A,增益!$J:$J,0))</f>
        <v>0</v>
      </c>
      <c r="BB17">
        <f t="shared" si="3"/>
        <v>594.1</v>
      </c>
      <c r="BC17">
        <f t="shared" si="4"/>
        <v>1604.9</v>
      </c>
      <c r="BD17" s="34" cm="1">
        <f t="array" ref="BD17">IF($F$12-$I$4+VLOOKUP($Q17,武学奇术!$A:$ZZ,11,FALSE)+SUM(_xlfn.XLOOKUP($R17:$AK17,增益!$A:$A,增益!$K:$K,0))&gt;0,($F$12-$I$4+VLOOKUP($Q17,武学奇术!$A:$ZZ,11,FALSE)+SUM(_xlfn.XLOOKUP($R17:$AK17,增益!$A:$A,增益!$K:$K,0)))/200,($F$12-$I$4+VLOOKUP($Q17,武学奇术!$A:$ZZ,11,FALSE)+SUM(_xlfn.XLOOKUP($R17:$AK17,增益!$A:$A,增益!$K:$K,0)))/100)</f>
        <v>0.17</v>
      </c>
      <c r="BE17" s="34" cm="1">
        <f t="array" ref="BE17">$G$12+VLOOKUP($Q17,武学奇术!$A:$ZZ,12,FALSE)+SUM(_xlfn.XLOOKUP($R17:$AK17,增益!$A:$A,增益!$L:$L,0))</f>
        <v>0.15</v>
      </c>
      <c r="BF17">
        <f t="shared" si="5"/>
        <v>0</v>
      </c>
      <c r="BG17">
        <f t="shared" si="6"/>
        <v>0</v>
      </c>
      <c r="BH17" s="34" cm="1">
        <f t="array" ref="BH17">IF($F$13-$I$4+VLOOKUP($Q17,武学奇术!$A:$ZZ,13,FALSE)+SUM(_xlfn.XLOOKUP($R17:$AK17,增益!$A:$A,增益!$M:$M,0))&gt;0,($F$13-$I$4+VLOOKUP($Q17,武学奇术!$A:$ZZ,13,FALSE)+SUM(_xlfn.XLOOKUP($R17:$AK17,增益!$A:$A,增益!$K:$K,0)))/200,($F$13-$I$4+VLOOKUP($Q17,武学奇术!$A:$ZZ,13,FALSE)+SUM(_xlfn.XLOOKUP($R17:$AK17,增益!$A:$A,增益!$M:$M,0)))/100)</f>
        <v>-0.14</v>
      </c>
      <c r="BI17" s="34" cm="1">
        <f t="array" ref="BI17">$G$13+VLOOKUP($Q17,武学奇术!$A:$ZZ,14,FALSE)+SUM(_xlfn.XLOOKUP($R17:$AK17,增益!$A:$A,增益!$N:$N,0))</f>
        <v>0</v>
      </c>
      <c r="BJ17">
        <f t="shared" si="7"/>
        <v>0</v>
      </c>
      <c r="BK17">
        <f t="shared" si="8"/>
        <v>0</v>
      </c>
      <c r="BL17" s="34" cm="1">
        <f t="array" ref="BL17">IF($F$14-$I$4+VLOOKUP($Q17,武学奇术!$A:$ZZ,15,FALSE)+SUM(_xlfn.XLOOKUP($R17:$AK17,增益!$A:$A,增益!$O:$O,0))&gt;0,($F$14-$I$4+VLOOKUP($Q17,武学奇术!$A:$ZZ,15,FALSE)+SUM(_xlfn.XLOOKUP($R17:$AK17,增益!$A:$A,增益!$O:$O,0)))/200,($F$14-$I$4+VLOOKUP($Q17,武学奇术!$A:$ZZ,15,FALSE)+SUM(_xlfn.XLOOKUP($R17:$AK17,增益!$A:$A,增益!$O:$O,0)))/100)</f>
        <v>-0.14</v>
      </c>
      <c r="BM17" s="34" cm="1">
        <f t="array" ref="BM17">$G$14+VLOOKUP($Q17,武学奇术!$A:$ZZ,16,FALSE)+SUM(_xlfn.XLOOKUP($R17:$AK17,增益!$A:$A,增益!$P:$P,0))</f>
        <v>0</v>
      </c>
      <c r="BN17" s="27">
        <f>MIN(IF(VLOOKUP($Q17,武学奇术!$A:$ZZ,23,FALSE)=1,100%,$B$8),100%)</f>
        <v>1</v>
      </c>
      <c r="BO17" s="27" cm="1">
        <f t="array" ref="BO17">IF(VLOOKUP($Q17,武学奇术!$A:$ZZ,23,FALSE)=1,100%,MIN(80%,$B$9+VLOOKUP($Q17,武学奇术!$A:$ZZ,17,FALSE)+SUM(_xlfn.XLOOKUP($R17:$AK17,增益!$A:$A,增益!$Q:$Q,0)))+$B$11+SUM(_xlfn.XLOOKUP($R17:$AK17,增益!$A:$A,增益!$U:$U,0)))*IF(VLOOKUP($Q17,武学奇术!$A:$ZZ,24,FALSE)=1,0,1)</f>
        <v>1</v>
      </c>
      <c r="BP17" s="27" cm="1">
        <f t="array" ref="BP17">1+$B$13+VLOOKUP($Q17,武学奇术!$A:$ZZ,18,FALSE)+SUM(_xlfn.XLOOKUP($R17:$AK17,增益!$A:$A,增益!$R:$R,0))</f>
        <v>2.03</v>
      </c>
      <c r="BQ17" s="27" cm="1">
        <f t="array" ref="BQ17">IF(VLOOKUP($Q17,武学奇术!$A:$ZZ,24,FALSE)=1,100%,MIN(40%,$B$10+VLOOKUP($Q17,武学奇术!$A:$ZZ,19,FALSE)+SUM(_xlfn.XLOOKUP($R17:$AK17,增益!$A:$A,增益!$S:$S,0)))+$B$12+SUM(_xlfn.XLOOKUP($R17:$AK17,增益!$A:$A,增益!$V:$V,0)))*IF(VLOOKUP($Q17,武学奇术!$A:$ZZ,23,FALSE)=1,0,1)</f>
        <v>0</v>
      </c>
      <c r="BR17" s="27" cm="1">
        <f t="array" ref="BR17">1+$B$14+VLOOKUP($Q17,武学奇术!$A:$ZZ,20,FALSE)+SUM(_xlfn.XLOOKUP($R17:$AK17,增益!$A:$A,增益!$T:$T,0))</f>
        <v>1.35</v>
      </c>
      <c r="BS17" s="27">
        <f t="shared" si="9"/>
        <v>1</v>
      </c>
      <c r="BT17" s="27">
        <f t="shared" si="10"/>
        <v>0</v>
      </c>
      <c r="BU17" s="27">
        <f>IF(VLOOKUP($Q17,武学奇术!$A:$ZZ,22,FALSE)=1,0,(1-$BN17))*(1-$BQ17)</f>
        <v>0</v>
      </c>
      <c r="BV17" s="27" cm="1">
        <f t="array" ref="BV17">SUM(_xlfn.XLOOKUP($R17:$AK17,增益!$A:$A,增益!$W:$W,0))+$I$5</f>
        <v>0.11</v>
      </c>
    </row>
    <row r="18" ht="14.25" spans="1:74">
      <c r="A18" s="43" t="s">
        <v>139</v>
      </c>
      <c r="B18" s="71">
        <v>0</v>
      </c>
      <c r="C18" s="41" t="s">
        <v>140</v>
      </c>
      <c r="D18" s="78" t="s">
        <v>133</v>
      </c>
      <c r="E18" s="41" t="s">
        <v>63</v>
      </c>
      <c r="F18" s="84">
        <f>MIN(1,$B$8)*($B$9+$B$11)</f>
        <v>0.87863408</v>
      </c>
      <c r="H18" s="69" t="s">
        <v>141</v>
      </c>
      <c r="I18" s="38">
        <v>50</v>
      </c>
      <c r="J18" s="39"/>
      <c r="K18" s="40">
        <f t="shared" si="0"/>
        <v>19593.4881656366</v>
      </c>
      <c r="L18" s="40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BP18*$P18*(1+IF(VLOOKUP($Q18,武学奇术!$A:$ZZ,30,FALSE)="蓄力技",$B$21,0))*(1+$BV18)</f>
        <v>19593.4881656366</v>
      </c>
      <c r="M18" s="40">
        <f>(($AT18*$AM18+$AN18)*(1+$AU18)*(1+$AV18)+($AY18*IF($G$1="鸣金",$AO18,$AM18)+IF($G$1="鸣金",$AP18*1.5,0))*(1+$AZ18)*(1+$BA18)+($BC18*IF($G$1="裂石",$AO18,$AM18)+IF($G$1="裂石",$AP18*1.5,0))*(1+$BD18)*(1+$BE18)+($BG18*IF($G$1="牵丝",$AO18,$AM18)+IF($G$1="牵丝",$AP18*1.5,0))*(1+$BH18)*(1+$BI18)+($BK18*IF($G$1="破竹",$AO18,$AM18)+IF($G$1="破竹",$AP18*1.5,0))*(1+$BL18)*(1+$BM18))*(1+$AQ18)*$BR18*$P18*(1+IF(VLOOKUP($Q18,武学奇术!$A:$ZZ,30,FALSE)="蓄力技",$B$21,0))*(1+$BV18)</f>
        <v>14725.7505431185</v>
      </c>
      <c r="N18" s="40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P18*(1+IF(VLOOKUP($Q18,武学奇术!$A:$ZZ,30,FALSE)="蓄力技",$B$21,0))*(1+$BV18)</f>
        <v>9604.65106158659</v>
      </c>
      <c r="O18" s="40">
        <f>((($AS18*$AM18+$AN18)*(1+$AU18)*(1+$AV18)+($AX18*IF($G$1="鸣金",$AO18,$AM18)+IF($G$1="鸣金",$AP18*1.5,0))*(1+$AZ18)*(1+$BA18)+($BB18*IF($G$1="裂石",$AO18,$AM18)+IF($G$1="裂石",$AP18*1.5,0))*(1+$BD18)*(1+$BE18)+($BF18*IF($G$1="牵丝",$AO18,$AM18)+IF($G$1="牵丝",$AP18*1.5,0))*(1+$BH18)*(1+$BI18)+($BJ18*IF($G$1="破竹",$AO18,$AM18)+IF($G$1="破竹",$AP18*1.5,0))*(1+$BL18)*(1+$BM18))*(1+$AQ18))*$P18*(1+IF(VLOOKUP($Q18,武学奇术!$A:$ZZ,30,FALSE)="蓄力技",$B$21,0))*(1+$BV18)</f>
        <v>8301.33875790019</v>
      </c>
      <c r="P18" s="41">
        <v>1</v>
      </c>
      <c r="Q18" s="42" t="s">
        <v>125</v>
      </c>
      <c r="R18" s="42" t="s">
        <v>103</v>
      </c>
      <c r="S18" s="42" t="s">
        <v>77</v>
      </c>
      <c r="T18" s="42" t="s">
        <v>86</v>
      </c>
      <c r="U18" s="42" t="s">
        <v>121</v>
      </c>
      <c r="V18" s="42" t="s">
        <v>118</v>
      </c>
      <c r="W18" s="42" t="s">
        <v>114</v>
      </c>
      <c r="X18" s="42" t="s">
        <v>100</v>
      </c>
      <c r="Y18" s="42" t="s">
        <v>77</v>
      </c>
      <c r="Z18" s="42" t="s">
        <v>77</v>
      </c>
      <c r="AA18" s="42" t="s">
        <v>73</v>
      </c>
      <c r="AB18" s="42" t="s">
        <v>95</v>
      </c>
      <c r="AC18" s="42" t="s">
        <v>77</v>
      </c>
      <c r="AD18" s="42" t="s">
        <v>80</v>
      </c>
      <c r="AE18" s="42" t="s">
        <v>81</v>
      </c>
      <c r="AF18" s="42" t="s">
        <v>82</v>
      </c>
      <c r="AG18" s="42" t="s">
        <v>77</v>
      </c>
      <c r="AH18" s="42" t="s">
        <v>77</v>
      </c>
      <c r="AI18" s="42" t="s">
        <v>77</v>
      </c>
      <c r="AJ18" s="42" t="s">
        <v>77</v>
      </c>
      <c r="AK18" s="42" t="s">
        <v>90</v>
      </c>
      <c r="AL18" t="str">
        <f>VLOOKUP($Q18,武学奇术!$A:$ZZ,25,FALSE)</f>
        <v>陌刀</v>
      </c>
      <c r="AM18" s="27">
        <f>VLOOKUP($Q18,武学奇术!$A:$ZZ,26,FALSE)</f>
        <v>0.5</v>
      </c>
      <c r="AN18" s="28">
        <f>VLOOKUP($Q18,武学奇术!$A:$ZZ,27,FALSE)*(1+IF(OR($AL18=$F$4,$AL18=$F$5),$B$22,0))</f>
        <v>0</v>
      </c>
      <c r="AO18" s="27">
        <f>VLOOKUP($Q18,武学奇术!$A:$ZZ,28,FALSE)</f>
        <v>0.75</v>
      </c>
      <c r="AP18" s="28">
        <f>VLOOKUP($Q18,武学奇术!$A:$ZZ,29,FALSE)*(1+IF(OR($AL18=$F$4,$AL18=$F$5),$B$22,0))</f>
        <v>0</v>
      </c>
      <c r="AQ18" s="27" cm="1">
        <f t="array" ref="AQ18">$G$3+IFERROR(VLOOKUP($AL18,$F$4:$G$7,2,FALSE),0)+VLOOKUP($Q18,武学奇术!$A:$ZZ,2,FALSE)+SUM(_xlfn.XLOOKUP($R18:$AK18,增益!$A:$A,增益!$B:$B,0))</f>
        <v>0.7441</v>
      </c>
      <c r="AR18" s="27" cm="1">
        <f t="array" ref="AR18">VLOOKUP($Q18,武学奇术!$A:$ZZ,5,FALSE)+SUM(_xlfn.XLOOKUP($R18:$AK18,增益!$A:$A,增益!$E:$E,0))</f>
        <v>0</v>
      </c>
      <c r="AS18" cm="1">
        <f t="array" ref="AS18">$D$10*(1+$AR18)+VLOOKUP($Q18,武学奇术!$A:$ZZ,3,FALSE)+SUM(_xlfn.XLOOKUP($R18:$AK18,增益!$A:$A,增益!$C:$C,0))-$I$2</f>
        <v>3648.7</v>
      </c>
      <c r="AT18" cm="1">
        <f t="array" ref="AT18">$E$10*(1+$AR18)+VLOOKUP($Q18,武学奇术!$A:$ZZ,4,FALSE)+SUM(_xlfn.XLOOKUP($R18:$AK18,增益!$A:$A,增益!$D:$D,0))-$I$2</f>
        <v>3648.7</v>
      </c>
      <c r="AU18" s="34" cm="1">
        <f t="array" ref="AU18">IF($F$10-$I$3+VLOOKUP($Q18,武学奇术!$A:$ZZ,6,FALSE)+SUM(_xlfn.XLOOKUP($R18:$AK18,增益!$A:$A,增益!$F:$F,0))&gt;0,($F$10-$I$3+VLOOKUP($Q18,武学奇术!$A:$ZZ,6,FALSE)+SUM(_xlfn.XLOOKUP($R18:$AK18,增益!$A:$A,增益!$F:$F,0)))/200,($F$10-$I$3+VLOOKUP($Q18,武学奇术!$A:$ZZ,6,FALSE)+SUM(_xlfn.XLOOKUP($R18:$AK18,增益!$A:$A,增益!$F:$F,0)))/100)</f>
        <v>0.452</v>
      </c>
      <c r="AV18" s="34" cm="1">
        <f t="array" ref="AV18">$G$10+VLOOKUP($Q18,武学奇术!$A:$ZZ,7,FALSE)+SUM(_xlfn.XLOOKUP($R18:$AK18,增益!$A:$A,增益!$G:$G,0))</f>
        <v>0</v>
      </c>
      <c r="AW18" s="27" cm="1">
        <f t="array" ref="AW18">VLOOKUP($Q18,武学奇术!$A:$ZZ,8,FALSE)+SUM(_xlfn.XLOOKUP($R18:$AK18,增益!$A:$A,增益!$H:$H,0))</f>
        <v>0</v>
      </c>
      <c r="AX18">
        <f t="shared" si="1"/>
        <v>0</v>
      </c>
      <c r="AY18">
        <f t="shared" si="2"/>
        <v>0</v>
      </c>
      <c r="AZ18" s="34" cm="1">
        <f t="array" ref="AZ18">IF($F$11-$I$4+VLOOKUP($Q18,武学奇术!$A:$ZZ,9,FALSE)+SUM(_xlfn.XLOOKUP($R18:$AK18,增益!$A:$A,增益!$I:$I,0))&gt;0,($F$11-$I$4+VLOOKUP($Q18,武学奇术!$A:$ZZ,9,FALSE)+SUM(_xlfn.XLOOKUP($R18:$AK18,增益!$A:$A,增益!$I:$I,0)))/200,($F$11-$I$4+VLOOKUP($Q18,武学奇术!$A:$ZZ,9,FALSE)+SUM(_xlfn.XLOOKUP($R18:$AK18,增益!$A:$A,增益!$I:$I,0)))/100)</f>
        <v>-0.14</v>
      </c>
      <c r="BA18" s="34" cm="1">
        <f t="array" ref="BA18">$G$11+VLOOKUP($Q18,武学奇术!$A:$ZZ,10,FALSE)+SUM(_xlfn.XLOOKUP($R18:$AK18,增益!$A:$A,增益!$J:$J,0))</f>
        <v>0</v>
      </c>
      <c r="BB18">
        <f t="shared" si="3"/>
        <v>594.1</v>
      </c>
      <c r="BC18">
        <f t="shared" si="4"/>
        <v>1604.9</v>
      </c>
      <c r="BD18" s="34" cm="1">
        <f t="array" ref="BD18">IF($F$12-$I$4+VLOOKUP($Q18,武学奇术!$A:$ZZ,11,FALSE)+SUM(_xlfn.XLOOKUP($R18:$AK18,增益!$A:$A,增益!$K:$K,0))&gt;0,($F$12-$I$4+VLOOKUP($Q18,武学奇术!$A:$ZZ,11,FALSE)+SUM(_xlfn.XLOOKUP($R18:$AK18,增益!$A:$A,增益!$K:$K,0)))/200,($F$12-$I$4+VLOOKUP($Q18,武学奇术!$A:$ZZ,11,FALSE)+SUM(_xlfn.XLOOKUP($R18:$AK18,增益!$A:$A,增益!$K:$K,0)))/100)</f>
        <v>0.17</v>
      </c>
      <c r="BE18" s="34" cm="1">
        <f t="array" ref="BE18">$G$12+VLOOKUP($Q18,武学奇术!$A:$ZZ,12,FALSE)+SUM(_xlfn.XLOOKUP($R18:$AK18,增益!$A:$A,增益!$L:$L,0))</f>
        <v>0.15</v>
      </c>
      <c r="BF18">
        <f t="shared" si="5"/>
        <v>0</v>
      </c>
      <c r="BG18">
        <f t="shared" si="6"/>
        <v>0</v>
      </c>
      <c r="BH18" s="34" cm="1">
        <f t="array" ref="BH18">IF($F$13-$I$4+VLOOKUP($Q18,武学奇术!$A:$ZZ,13,FALSE)+SUM(_xlfn.XLOOKUP($R18:$AK18,增益!$A:$A,增益!$M:$M,0))&gt;0,($F$13-$I$4+VLOOKUP($Q18,武学奇术!$A:$ZZ,13,FALSE)+SUM(_xlfn.XLOOKUP($R18:$AK18,增益!$A:$A,增益!$K:$K,0)))/200,($F$13-$I$4+VLOOKUP($Q18,武学奇术!$A:$ZZ,13,FALSE)+SUM(_xlfn.XLOOKUP($R18:$AK18,增益!$A:$A,增益!$M:$M,0)))/100)</f>
        <v>-0.14</v>
      </c>
      <c r="BI18" s="34" cm="1">
        <f t="array" ref="BI18">$G$13+VLOOKUP($Q18,武学奇术!$A:$ZZ,14,FALSE)+SUM(_xlfn.XLOOKUP($R18:$AK18,增益!$A:$A,增益!$N:$N,0))</f>
        <v>0</v>
      </c>
      <c r="BJ18">
        <f t="shared" si="7"/>
        <v>0</v>
      </c>
      <c r="BK18">
        <f t="shared" si="8"/>
        <v>0</v>
      </c>
      <c r="BL18" s="34" cm="1">
        <f t="array" ref="BL18">IF($F$14-$I$4+VLOOKUP($Q18,武学奇术!$A:$ZZ,15,FALSE)+SUM(_xlfn.XLOOKUP($R18:$AK18,增益!$A:$A,增益!$O:$O,0))&gt;0,($F$14-$I$4+VLOOKUP($Q18,武学奇术!$A:$ZZ,15,FALSE)+SUM(_xlfn.XLOOKUP($R18:$AK18,增益!$A:$A,增益!$O:$O,0)))/200,($F$14-$I$4+VLOOKUP($Q18,武学奇术!$A:$ZZ,15,FALSE)+SUM(_xlfn.XLOOKUP($R18:$AK18,增益!$A:$A,增益!$O:$O,0)))/100)</f>
        <v>-0.14</v>
      </c>
      <c r="BM18" s="34" cm="1">
        <f t="array" ref="BM18">$G$14+VLOOKUP($Q18,武学奇术!$A:$ZZ,16,FALSE)+SUM(_xlfn.XLOOKUP($R18:$AK18,增益!$A:$A,增益!$P:$P,0))</f>
        <v>0</v>
      </c>
      <c r="BN18" s="27">
        <f>MIN(IF(VLOOKUP($Q18,武学奇术!$A:$ZZ,23,FALSE)=1,100%,$B$8),100%)</f>
        <v>1</v>
      </c>
      <c r="BO18" s="27" cm="1">
        <f t="array" ref="BO18">IF(VLOOKUP($Q18,武学奇术!$A:$ZZ,23,FALSE)=1,100%,MIN(80%,$B$9+VLOOKUP($Q18,武学奇术!$A:$ZZ,17,FALSE)+SUM(_xlfn.XLOOKUP($R18:$AK18,增益!$A:$A,增益!$Q:$Q,0)))+$B$11+SUM(_xlfn.XLOOKUP($R18:$AK18,增益!$A:$A,增益!$U:$U,0)))*IF(VLOOKUP($Q18,武学奇术!$A:$ZZ,24,FALSE)=1,0,1)</f>
        <v>1</v>
      </c>
      <c r="BP18" s="27" cm="1">
        <f t="array" ref="BP18">1+$B$13+VLOOKUP($Q18,武学奇术!$A:$ZZ,18,FALSE)+SUM(_xlfn.XLOOKUP($R18:$AK18,增益!$A:$A,增益!$R:$R,0))</f>
        <v>2.04</v>
      </c>
      <c r="BQ18" s="27" cm="1">
        <f t="array" ref="BQ18">IF(VLOOKUP($Q18,武学奇术!$A:$ZZ,24,FALSE)=1,100%,MIN(40%,$B$10+VLOOKUP($Q18,武学奇术!$A:$ZZ,19,FALSE)+SUM(_xlfn.XLOOKUP($R18:$AK18,增益!$A:$A,增益!$S:$S,0)))+$B$12+SUM(_xlfn.XLOOKUP($R18:$AK18,增益!$A:$A,增益!$V:$V,0)))*IF(VLOOKUP($Q18,武学奇术!$A:$ZZ,23,FALSE)=1,0,1)</f>
        <v>0</v>
      </c>
      <c r="BR18" s="27" cm="1">
        <f t="array" ref="BR18">1+$B$14+VLOOKUP($Q18,武学奇术!$A:$ZZ,20,FALSE)+SUM(_xlfn.XLOOKUP($R18:$AK18,增益!$A:$A,增益!$T:$T,0))</f>
        <v>1.35</v>
      </c>
      <c r="BS18" s="27">
        <f t="shared" si="9"/>
        <v>1</v>
      </c>
      <c r="BT18" s="27">
        <f t="shared" si="10"/>
        <v>0</v>
      </c>
      <c r="BU18" s="27">
        <f>IF(VLOOKUP($Q18,武学奇术!$A:$ZZ,22,FALSE)=1,0,(1-$BN18))*(1-$BQ18)</f>
        <v>0</v>
      </c>
      <c r="BV18" s="27" cm="1">
        <f t="array" ref="BV18">SUM(_xlfn.XLOOKUP($R18:$AK18,增益!$A:$A,增益!$W:$W,0))+$I$5</f>
        <v>0.11</v>
      </c>
    </row>
    <row r="19" ht="14.25" spans="1:74">
      <c r="A19" s="43" t="s">
        <v>142</v>
      </c>
      <c r="B19" s="71">
        <v>0</v>
      </c>
      <c r="H19" s="72"/>
      <c r="I19" s="79"/>
      <c r="J19" s="90"/>
      <c r="K19" s="40">
        <f t="shared" si="0"/>
        <v>35268.278698146</v>
      </c>
      <c r="L19" s="40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BP19*$P19*(1+IF(VLOOKUP($Q19,武学奇术!$A:$ZZ,30,FALSE)="蓄力技",$B$21,0))*(1+$BV19)</f>
        <v>35268.278698146</v>
      </c>
      <c r="M19" s="40">
        <f>(($AT19*$AM19+$AN19)*(1+$AU19)*(1+$AV19)+($AY19*IF($G$1="鸣金",$AO19,$AM19)+IF($G$1="鸣金",$AP19*1.5,0))*(1+$AZ19)*(1+$BA19)+($BC19*IF($G$1="裂石",$AO19,$AM19)+IF($G$1="裂石",$AP19*1.5,0))*(1+$BD19)*(1+$BE19)+($BG19*IF($G$1="牵丝",$AO19,$AM19)+IF($G$1="牵丝",$AP19*1.5,0))*(1+$BH19)*(1+$BI19)+($BK19*IF($G$1="破竹",$AO19,$AM19)+IF($G$1="破竹",$AP19*1.5,0))*(1+$BL19)*(1+$BM19))*(1+$AQ19)*$BR19*$P19*(1+IF(VLOOKUP($Q19,武学奇术!$A:$ZZ,30,FALSE)="蓄力技",$B$21,0))*(1+$BV19)</f>
        <v>26506.3509776133</v>
      </c>
      <c r="N19" s="40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P19*(1+IF(VLOOKUP($Q19,武学奇术!$A:$ZZ,30,FALSE)="蓄力技",$B$21,0))*(1+$BV19)</f>
        <v>17288.3719108559</v>
      </c>
      <c r="O19" s="40">
        <f>((($AS19*$AM19+$AN19)*(1+$AU19)*(1+$AV19)+($AX19*IF($G$1="鸣金",$AO19,$AM19)+IF($G$1="鸣金",$AP19*1.5,0))*(1+$AZ19)*(1+$BA19)+($BB19*IF($G$1="裂石",$AO19,$AM19)+IF($G$1="裂石",$AP19*1.5,0))*(1+$BD19)*(1+$BE19)+($BF19*IF($G$1="牵丝",$AO19,$AM19)+IF($G$1="牵丝",$AP19*1.5,0))*(1+$BH19)*(1+$BI19)+($BJ19*IF($G$1="破竹",$AO19,$AM19)+IF($G$1="破竹",$AP19*1.5,0))*(1+$BL19)*(1+$BM19))*(1+$AQ19))*$P19*(1+IF(VLOOKUP($Q19,武学奇术!$A:$ZZ,30,FALSE)="蓄力技",$B$21,0))*(1+$BV19)</f>
        <v>14942.4097642204</v>
      </c>
      <c r="P19" s="41">
        <v>1</v>
      </c>
      <c r="Q19" s="42" t="s">
        <v>117</v>
      </c>
      <c r="R19" s="42" t="s">
        <v>103</v>
      </c>
      <c r="S19" s="42" t="s">
        <v>77</v>
      </c>
      <c r="T19" s="42" t="s">
        <v>86</v>
      </c>
      <c r="U19" s="42" t="s">
        <v>121</v>
      </c>
      <c r="V19" s="42" t="s">
        <v>118</v>
      </c>
      <c r="W19" s="42" t="s">
        <v>114</v>
      </c>
      <c r="X19" s="42" t="s">
        <v>100</v>
      </c>
      <c r="Y19" s="42" t="s">
        <v>77</v>
      </c>
      <c r="Z19" s="42" t="s">
        <v>77</v>
      </c>
      <c r="AA19" s="42" t="s">
        <v>73</v>
      </c>
      <c r="AB19" s="42" t="s">
        <v>95</v>
      </c>
      <c r="AC19" s="42" t="s">
        <v>77</v>
      </c>
      <c r="AD19" s="42" t="s">
        <v>80</v>
      </c>
      <c r="AE19" s="42" t="s">
        <v>81</v>
      </c>
      <c r="AF19" s="42" t="s">
        <v>82</v>
      </c>
      <c r="AG19" s="42" t="s">
        <v>77</v>
      </c>
      <c r="AH19" s="42" t="s">
        <v>77</v>
      </c>
      <c r="AI19" s="42" t="s">
        <v>77</v>
      </c>
      <c r="AJ19" s="42" t="s">
        <v>77</v>
      </c>
      <c r="AK19" s="42" t="s">
        <v>90</v>
      </c>
      <c r="AL19" t="str">
        <f>VLOOKUP($Q19,武学奇术!$A:$ZZ,25,FALSE)</f>
        <v>陌刀</v>
      </c>
      <c r="AM19" s="27">
        <f>VLOOKUP($Q19,武学奇术!$A:$ZZ,26,FALSE)</f>
        <v>0.9</v>
      </c>
      <c r="AN19" s="28">
        <f>VLOOKUP($Q19,武学奇术!$A:$ZZ,27,FALSE)*(1+IF(OR($AL19=$F$4,$AL19=$F$5),$B$22,0))</f>
        <v>0</v>
      </c>
      <c r="AO19" s="27">
        <f>VLOOKUP($Q19,武学奇术!$A:$ZZ,28,FALSE)</f>
        <v>1.35</v>
      </c>
      <c r="AP19" s="28">
        <f>VLOOKUP($Q19,武学奇术!$A:$ZZ,29,FALSE)*(1+IF(OR($AL19=$F$4,$AL19=$F$5),$B$22,0))</f>
        <v>0</v>
      </c>
      <c r="AQ19" s="27" cm="1">
        <f t="array" ref="AQ19">$G$3+IFERROR(VLOOKUP($AL19,$F$4:$G$7,2,FALSE),0)+VLOOKUP($Q19,武学奇术!$A:$ZZ,2,FALSE)+SUM(_xlfn.XLOOKUP($R19:$AK19,增益!$A:$A,增益!$B:$B,0))</f>
        <v>0.7441</v>
      </c>
      <c r="AR19" s="27" cm="1">
        <f t="array" ref="AR19">VLOOKUP($Q19,武学奇术!$A:$ZZ,5,FALSE)+SUM(_xlfn.XLOOKUP($R19:$AK19,增益!$A:$A,增益!$E:$E,0))</f>
        <v>0</v>
      </c>
      <c r="AS19" cm="1">
        <f t="array" ref="AS19">$D$10*(1+$AR19)+VLOOKUP($Q19,武学奇术!$A:$ZZ,3,FALSE)+SUM(_xlfn.XLOOKUP($R19:$AK19,增益!$A:$A,增益!$C:$C,0))-$I$2</f>
        <v>3648.7</v>
      </c>
      <c r="AT19" cm="1">
        <f t="array" ref="AT19">$E$10*(1+$AR19)+VLOOKUP($Q19,武学奇术!$A:$ZZ,4,FALSE)+SUM(_xlfn.XLOOKUP($R19:$AK19,增益!$A:$A,增益!$D:$D,0))-$I$2</f>
        <v>3648.7</v>
      </c>
      <c r="AU19" s="34" cm="1">
        <f t="array" ref="AU19">IF($F$10-$I$3+VLOOKUP($Q19,武学奇术!$A:$ZZ,6,FALSE)+SUM(_xlfn.XLOOKUP($R19:$AK19,增益!$A:$A,增益!$F:$F,0))&gt;0,($F$10-$I$3+VLOOKUP($Q19,武学奇术!$A:$ZZ,6,FALSE)+SUM(_xlfn.XLOOKUP($R19:$AK19,增益!$A:$A,增益!$F:$F,0)))/200,($F$10-$I$3+VLOOKUP($Q19,武学奇术!$A:$ZZ,6,FALSE)+SUM(_xlfn.XLOOKUP($R19:$AK19,增益!$A:$A,增益!$F:$F,0)))/100)</f>
        <v>0.452</v>
      </c>
      <c r="AV19" s="34" cm="1">
        <f t="array" ref="AV19">$G$10+VLOOKUP($Q19,武学奇术!$A:$ZZ,7,FALSE)+SUM(_xlfn.XLOOKUP($R19:$AK19,增益!$A:$A,增益!$G:$G,0))</f>
        <v>0</v>
      </c>
      <c r="AW19" s="27" cm="1">
        <f t="array" ref="AW19">VLOOKUP($Q19,武学奇术!$A:$ZZ,8,FALSE)+SUM(_xlfn.XLOOKUP($R19:$AK19,增益!$A:$A,增益!$H:$H,0))</f>
        <v>0</v>
      </c>
      <c r="AX19">
        <f t="shared" si="1"/>
        <v>0</v>
      </c>
      <c r="AY19">
        <f t="shared" si="2"/>
        <v>0</v>
      </c>
      <c r="AZ19" s="34" cm="1">
        <f t="array" ref="AZ19">IF($F$11-$I$4+VLOOKUP($Q19,武学奇术!$A:$ZZ,9,FALSE)+SUM(_xlfn.XLOOKUP($R19:$AK19,增益!$A:$A,增益!$I:$I,0))&gt;0,($F$11-$I$4+VLOOKUP($Q19,武学奇术!$A:$ZZ,9,FALSE)+SUM(_xlfn.XLOOKUP($R19:$AK19,增益!$A:$A,增益!$I:$I,0)))/200,($F$11-$I$4+VLOOKUP($Q19,武学奇术!$A:$ZZ,9,FALSE)+SUM(_xlfn.XLOOKUP($R19:$AK19,增益!$A:$A,增益!$I:$I,0)))/100)</f>
        <v>-0.14</v>
      </c>
      <c r="BA19" s="34" cm="1">
        <f t="array" ref="BA19">$G$11+VLOOKUP($Q19,武学奇术!$A:$ZZ,10,FALSE)+SUM(_xlfn.XLOOKUP($R19:$AK19,增益!$A:$A,增益!$J:$J,0))</f>
        <v>0</v>
      </c>
      <c r="BB19">
        <f t="shared" si="3"/>
        <v>594.1</v>
      </c>
      <c r="BC19">
        <f t="shared" si="4"/>
        <v>1604.9</v>
      </c>
      <c r="BD19" s="34" cm="1">
        <f t="array" ref="BD19">IF($F$12-$I$4+VLOOKUP($Q19,武学奇术!$A:$ZZ,11,FALSE)+SUM(_xlfn.XLOOKUP($R19:$AK19,增益!$A:$A,增益!$K:$K,0))&gt;0,($F$12-$I$4+VLOOKUP($Q19,武学奇术!$A:$ZZ,11,FALSE)+SUM(_xlfn.XLOOKUP($R19:$AK19,增益!$A:$A,增益!$K:$K,0)))/200,($F$12-$I$4+VLOOKUP($Q19,武学奇术!$A:$ZZ,11,FALSE)+SUM(_xlfn.XLOOKUP($R19:$AK19,增益!$A:$A,增益!$K:$K,0)))/100)</f>
        <v>0.17</v>
      </c>
      <c r="BE19" s="34" cm="1">
        <f t="array" ref="BE19">$G$12+VLOOKUP($Q19,武学奇术!$A:$ZZ,12,FALSE)+SUM(_xlfn.XLOOKUP($R19:$AK19,增益!$A:$A,增益!$L:$L,0))</f>
        <v>0.15</v>
      </c>
      <c r="BF19">
        <f t="shared" si="5"/>
        <v>0</v>
      </c>
      <c r="BG19">
        <f t="shared" si="6"/>
        <v>0</v>
      </c>
      <c r="BH19" s="34" cm="1">
        <f t="array" ref="BH19">IF($F$13-$I$4+VLOOKUP($Q19,武学奇术!$A:$ZZ,13,FALSE)+SUM(_xlfn.XLOOKUP($R19:$AK19,增益!$A:$A,增益!$M:$M,0))&gt;0,($F$13-$I$4+VLOOKUP($Q19,武学奇术!$A:$ZZ,13,FALSE)+SUM(_xlfn.XLOOKUP($R19:$AK19,增益!$A:$A,增益!$K:$K,0)))/200,($F$13-$I$4+VLOOKUP($Q19,武学奇术!$A:$ZZ,13,FALSE)+SUM(_xlfn.XLOOKUP($R19:$AK19,增益!$A:$A,增益!$M:$M,0)))/100)</f>
        <v>-0.14</v>
      </c>
      <c r="BI19" s="34" cm="1">
        <f t="array" ref="BI19">$G$13+VLOOKUP($Q19,武学奇术!$A:$ZZ,14,FALSE)+SUM(_xlfn.XLOOKUP($R19:$AK19,增益!$A:$A,增益!$N:$N,0))</f>
        <v>0</v>
      </c>
      <c r="BJ19">
        <f t="shared" si="7"/>
        <v>0</v>
      </c>
      <c r="BK19">
        <f t="shared" si="8"/>
        <v>0</v>
      </c>
      <c r="BL19" s="34" cm="1">
        <f t="array" ref="BL19">IF($F$14-$I$4+VLOOKUP($Q19,武学奇术!$A:$ZZ,15,FALSE)+SUM(_xlfn.XLOOKUP($R19:$AK19,增益!$A:$A,增益!$O:$O,0))&gt;0,($F$14-$I$4+VLOOKUP($Q19,武学奇术!$A:$ZZ,15,FALSE)+SUM(_xlfn.XLOOKUP($R19:$AK19,增益!$A:$A,增益!$O:$O,0)))/200,($F$14-$I$4+VLOOKUP($Q19,武学奇术!$A:$ZZ,15,FALSE)+SUM(_xlfn.XLOOKUP($R19:$AK19,增益!$A:$A,增益!$O:$O,0)))/100)</f>
        <v>-0.14</v>
      </c>
      <c r="BM19" s="34" cm="1">
        <f t="array" ref="BM19">$G$14+VLOOKUP($Q19,武学奇术!$A:$ZZ,16,FALSE)+SUM(_xlfn.XLOOKUP($R19:$AK19,增益!$A:$A,增益!$P:$P,0))</f>
        <v>0</v>
      </c>
      <c r="BN19" s="27">
        <f>MIN(IF(VLOOKUP($Q19,武学奇术!$A:$ZZ,23,FALSE)=1,100%,$B$8),100%)</f>
        <v>1</v>
      </c>
      <c r="BO19" s="27" cm="1">
        <f t="array" ref="BO19">IF(VLOOKUP($Q19,武学奇术!$A:$ZZ,23,FALSE)=1,100%,MIN(80%,$B$9+VLOOKUP($Q19,武学奇术!$A:$ZZ,17,FALSE)+SUM(_xlfn.XLOOKUP($R19:$AK19,增益!$A:$A,增益!$Q:$Q,0)))+$B$11+SUM(_xlfn.XLOOKUP($R19:$AK19,增益!$A:$A,增益!$U:$U,0)))*IF(VLOOKUP($Q19,武学奇术!$A:$ZZ,24,FALSE)=1,0,1)</f>
        <v>1</v>
      </c>
      <c r="BP19" s="27" cm="1">
        <f t="array" ref="BP19">1+$B$13+VLOOKUP($Q19,武学奇术!$A:$ZZ,18,FALSE)+SUM(_xlfn.XLOOKUP($R19:$AK19,增益!$A:$A,增益!$R:$R,0))</f>
        <v>2.04</v>
      </c>
      <c r="BQ19" s="27" cm="1">
        <f t="array" ref="BQ19">IF(VLOOKUP($Q19,武学奇术!$A:$ZZ,24,FALSE)=1,100%,MIN(40%,$B$10+VLOOKUP($Q19,武学奇术!$A:$ZZ,19,FALSE)+SUM(_xlfn.XLOOKUP($R19:$AK19,增益!$A:$A,增益!$S:$S,0)))+$B$12+SUM(_xlfn.XLOOKUP($R19:$AK19,增益!$A:$A,增益!$V:$V,0)))*IF(VLOOKUP($Q19,武学奇术!$A:$ZZ,23,FALSE)=1,0,1)</f>
        <v>0</v>
      </c>
      <c r="BR19" s="27" cm="1">
        <f t="array" ref="BR19">1+$B$14+VLOOKUP($Q19,武学奇术!$A:$ZZ,20,FALSE)+SUM(_xlfn.XLOOKUP($R19:$AK19,增益!$A:$A,增益!$T:$T,0))</f>
        <v>1.35</v>
      </c>
      <c r="BS19" s="27">
        <f t="shared" si="9"/>
        <v>1</v>
      </c>
      <c r="BT19" s="27">
        <f t="shared" si="10"/>
        <v>0</v>
      </c>
      <c r="BU19" s="27">
        <f>IF(VLOOKUP($Q19,武学奇术!$A:$ZZ,22,FALSE)=1,0,(1-$BN19))*(1-$BQ19)</f>
        <v>0</v>
      </c>
      <c r="BV19" s="27" cm="1">
        <f t="array" ref="BV19">SUM(_xlfn.XLOOKUP($R19:$AK19,增益!$A:$A,增益!$W:$W,0))+$I$5</f>
        <v>0.11</v>
      </c>
    </row>
    <row r="20" spans="1:74">
      <c r="A20" s="43" t="s">
        <v>143</v>
      </c>
      <c r="B20" s="71">
        <v>0</v>
      </c>
      <c r="C20" s="41" t="s">
        <v>144</v>
      </c>
      <c r="D20" s="78" t="s">
        <v>133</v>
      </c>
      <c r="H20" s="69"/>
      <c r="I20" s="38"/>
      <c r="J20" s="39"/>
      <c r="K20" s="40">
        <f t="shared" si="0"/>
        <v>334420.8475102</v>
      </c>
      <c r="L20" s="40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BP20*$P20*(1+IF(VLOOKUP($Q20,武学奇术!$A:$ZZ,30,FALSE)="蓄力技",$B$21,0))*(1+$BV20)</f>
        <v>334420.8475102</v>
      </c>
      <c r="M20" s="40">
        <f>(($AT20*$AM20+$AN20)*(1+$AU20)*(1+$AV20)+($AY20*IF($G$1="鸣金",$AO20,$AM20)+IF($G$1="鸣金",$AP20*1.5,0))*(1+$AZ20)*(1+$BA20)+($BC20*IF($G$1="裂石",$AO20,$AM20)+IF($G$1="裂石",$AP20*1.5,0))*(1+$BD20)*(1+$BE20)+($BG20*IF($G$1="牵丝",$AO20,$AM20)+IF($G$1="牵丝",$AP20*1.5,0))*(1+$BH20)*(1+$BI20)+($BK20*IF($G$1="破竹",$AO20,$AM20)+IF($G$1="破竹",$AP20*1.5,0))*(1+$BL20)*(1+$BM20))*(1+$AQ20)*$BR20*$P20*(1+IF(VLOOKUP($Q20,武学奇术!$A:$ZZ,30,FALSE)="蓄力技",$B$21,0))*(1+$BV20)</f>
        <v>247632.032813707</v>
      </c>
      <c r="N20" s="40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P20*(1+IF(VLOOKUP($Q20,武学奇术!$A:$ZZ,30,FALSE)="蓄力技",$B$21,0))*(1+$BV20)</f>
        <v>163931.787995196</v>
      </c>
      <c r="O20" s="40">
        <f>((($AS20*$AM20+$AN20)*(1+$AU20)*(1+$AV20)+($AX20*IF($G$1="鸣金",$AO20,$AM20)+IF($G$1="鸣金",$AP20*1.5,0))*(1+$AZ20)*(1+$BA20)+($BB20*IF($G$1="裂石",$AO20,$AM20)+IF($G$1="裂石",$AP20*1.5,0))*(1+$BD20)*(1+$BE20)+($BF20*IF($G$1="牵丝",$AO20,$AM20)+IF($G$1="牵丝",$AP20*1.5,0))*(1+$BH20)*(1+$BI20)+($BJ20*IF($G$1="破竹",$AO20,$AM20)+IF($G$1="破竹",$AP20*1.5,0))*(1+$BL20)*(1+$BM20))*(1+$AQ20))*$P20*(1+IF(VLOOKUP($Q20,武学奇术!$A:$ZZ,30,FALSE)="蓄力技",$B$21,0))*(1+$BV20)</f>
        <v>144432.440572832</v>
      </c>
      <c r="P20" s="41">
        <v>1</v>
      </c>
      <c r="Q20" s="42" t="s">
        <v>120</v>
      </c>
      <c r="R20" s="42" t="s">
        <v>103</v>
      </c>
      <c r="S20" s="42" t="s">
        <v>77</v>
      </c>
      <c r="T20" s="42" t="s">
        <v>86</v>
      </c>
      <c r="U20" s="42" t="s">
        <v>121</v>
      </c>
      <c r="V20" s="42" t="s">
        <v>118</v>
      </c>
      <c r="W20" s="42" t="s">
        <v>122</v>
      </c>
      <c r="X20" s="42" t="s">
        <v>100</v>
      </c>
      <c r="Y20" s="42" t="s">
        <v>77</v>
      </c>
      <c r="Z20" s="42" t="s">
        <v>77</v>
      </c>
      <c r="AA20" s="42" t="s">
        <v>73</v>
      </c>
      <c r="AB20" s="42" t="s">
        <v>95</v>
      </c>
      <c r="AC20" s="42" t="s">
        <v>77</v>
      </c>
      <c r="AD20" s="42" t="s">
        <v>80</v>
      </c>
      <c r="AE20" s="42" t="s">
        <v>81</v>
      </c>
      <c r="AF20" s="42" t="s">
        <v>82</v>
      </c>
      <c r="AG20" s="42" t="s">
        <v>77</v>
      </c>
      <c r="AH20" s="42" t="s">
        <v>77</v>
      </c>
      <c r="AI20" s="42" t="s">
        <v>77</v>
      </c>
      <c r="AJ20" s="42" t="s">
        <v>77</v>
      </c>
      <c r="AK20" s="42" t="s">
        <v>90</v>
      </c>
      <c r="AL20" t="str">
        <f>VLOOKUP($Q20,武学奇术!$A:$ZZ,25,FALSE)</f>
        <v>陌刀</v>
      </c>
      <c r="AM20" s="27">
        <f>VLOOKUP($Q20,武学奇术!$A:$ZZ,26,FALSE)</f>
        <v>7.5674</v>
      </c>
      <c r="AN20" s="28">
        <f>VLOOKUP($Q20,武学奇术!$A:$ZZ,27,FALSE)*(1+IF(OR($AL20=$F$4,$AL20=$F$5),$B$22,0))</f>
        <v>3139.5</v>
      </c>
      <c r="AO20" s="27">
        <f>VLOOKUP($Q20,武学奇术!$A:$ZZ,28,FALSE)</f>
        <v>11.3512</v>
      </c>
      <c r="AP20" s="28">
        <f>VLOOKUP($Q20,武学奇术!$A:$ZZ,29,FALSE)*(1+IF(OR($AL20=$F$4,$AL20=$F$5),$B$22,0))</f>
        <v>1710</v>
      </c>
      <c r="AQ20" s="27" cm="1">
        <f t="array" ref="AQ20">$G$3+IFERROR(VLOOKUP($AL20,$F$4:$G$7,2,FALSE),0)+VLOOKUP($Q20,武学奇术!$A:$ZZ,2,FALSE)+SUM(_xlfn.XLOOKUP($R20:$AK20,增益!$A:$A,增益!$B:$B,0))</f>
        <v>0.7241</v>
      </c>
      <c r="AR20" s="27" cm="1">
        <f t="array" ref="AR20">VLOOKUP($Q20,武学奇术!$A:$ZZ,5,FALSE)+SUM(_xlfn.XLOOKUP($R20:$AK20,增益!$A:$A,增益!$E:$E,0))</f>
        <v>0</v>
      </c>
      <c r="AS20" cm="1">
        <f t="array" ref="AS20">$D$10*(1+$AR20)+VLOOKUP($Q20,武学奇术!$A:$ZZ,3,FALSE)+SUM(_xlfn.XLOOKUP($R20:$AK20,增益!$A:$A,增益!$C:$C,0))-$I$2</f>
        <v>3648.7</v>
      </c>
      <c r="AT20" cm="1">
        <f t="array" ref="AT20">$E$10*(1+$AR20)+VLOOKUP($Q20,武学奇术!$A:$ZZ,4,FALSE)+SUM(_xlfn.XLOOKUP($R20:$AK20,增益!$A:$A,增益!$D:$D,0))-$I$2</f>
        <v>3648.7</v>
      </c>
      <c r="AU20" s="34" cm="1">
        <f t="array" ref="AU20">IF($F$10-$I$3+VLOOKUP($Q20,武学奇术!$A:$ZZ,6,FALSE)+SUM(_xlfn.XLOOKUP($R20:$AK20,增益!$A:$A,增益!$F:$F,0))&gt;0,($F$10-$I$3+VLOOKUP($Q20,武学奇术!$A:$ZZ,6,FALSE)+SUM(_xlfn.XLOOKUP($R20:$AK20,增益!$A:$A,增益!$F:$F,0)))/200,($F$10-$I$3+VLOOKUP($Q20,武学奇术!$A:$ZZ,6,FALSE)+SUM(_xlfn.XLOOKUP($R20:$AK20,增益!$A:$A,增益!$F:$F,0)))/100)</f>
        <v>0.452</v>
      </c>
      <c r="AV20" s="34" cm="1">
        <f t="array" ref="AV20">$G$10+VLOOKUP($Q20,武学奇术!$A:$ZZ,7,FALSE)+SUM(_xlfn.XLOOKUP($R20:$AK20,增益!$A:$A,增益!$G:$G,0))</f>
        <v>0</v>
      </c>
      <c r="AW20" s="27" cm="1">
        <f t="array" ref="AW20">VLOOKUP($Q20,武学奇术!$A:$ZZ,8,FALSE)+SUM(_xlfn.XLOOKUP($R20:$AK20,增益!$A:$A,增益!$H:$H,0))</f>
        <v>0</v>
      </c>
      <c r="AX20">
        <f t="shared" si="1"/>
        <v>0</v>
      </c>
      <c r="AY20">
        <f t="shared" si="2"/>
        <v>0</v>
      </c>
      <c r="AZ20" s="34" cm="1">
        <f t="array" ref="AZ20">IF($F$11-$I$4+VLOOKUP($Q20,武学奇术!$A:$ZZ,9,FALSE)+SUM(_xlfn.XLOOKUP($R20:$AK20,增益!$A:$A,增益!$I:$I,0))&gt;0,($F$11-$I$4+VLOOKUP($Q20,武学奇术!$A:$ZZ,9,FALSE)+SUM(_xlfn.XLOOKUP($R20:$AK20,增益!$A:$A,增益!$I:$I,0)))/200,($F$11-$I$4+VLOOKUP($Q20,武学奇术!$A:$ZZ,9,FALSE)+SUM(_xlfn.XLOOKUP($R20:$AK20,增益!$A:$A,增益!$I:$I,0)))/100)</f>
        <v>-0.14</v>
      </c>
      <c r="BA20" s="34" cm="1">
        <f t="array" ref="BA20">$G$11+VLOOKUP($Q20,武学奇术!$A:$ZZ,10,FALSE)+SUM(_xlfn.XLOOKUP($R20:$AK20,增益!$A:$A,增益!$J:$J,0))</f>
        <v>0</v>
      </c>
      <c r="BB20">
        <f t="shared" si="3"/>
        <v>594.1</v>
      </c>
      <c r="BC20">
        <f t="shared" si="4"/>
        <v>1604.9</v>
      </c>
      <c r="BD20" s="34" cm="1">
        <f t="array" ref="BD20">IF($F$12-$I$4+VLOOKUP($Q20,武学奇术!$A:$ZZ,11,FALSE)+SUM(_xlfn.XLOOKUP($R20:$AK20,增益!$A:$A,增益!$K:$K,0))&gt;0,($F$12-$I$4+VLOOKUP($Q20,武学奇术!$A:$ZZ,11,FALSE)+SUM(_xlfn.XLOOKUP($R20:$AK20,增益!$A:$A,增益!$K:$K,0)))/200,($F$12-$I$4+VLOOKUP($Q20,武学奇术!$A:$ZZ,11,FALSE)+SUM(_xlfn.XLOOKUP($R20:$AK20,增益!$A:$A,增益!$K:$K,0)))/100)</f>
        <v>0.17</v>
      </c>
      <c r="BE20" s="34" cm="1">
        <f t="array" ref="BE20">$G$12+VLOOKUP($Q20,武学奇术!$A:$ZZ,12,FALSE)+SUM(_xlfn.XLOOKUP($R20:$AK20,增益!$A:$A,增益!$L:$L,0))</f>
        <v>0.15</v>
      </c>
      <c r="BF20">
        <f t="shared" si="5"/>
        <v>0</v>
      </c>
      <c r="BG20">
        <f t="shared" si="6"/>
        <v>0</v>
      </c>
      <c r="BH20" s="34" cm="1">
        <f t="array" ref="BH20">IF($F$13-$I$4+VLOOKUP($Q20,武学奇术!$A:$ZZ,13,FALSE)+SUM(_xlfn.XLOOKUP($R20:$AK20,增益!$A:$A,增益!$M:$M,0))&gt;0,($F$13-$I$4+VLOOKUP($Q20,武学奇术!$A:$ZZ,13,FALSE)+SUM(_xlfn.XLOOKUP($R20:$AK20,增益!$A:$A,增益!$K:$K,0)))/200,($F$13-$I$4+VLOOKUP($Q20,武学奇术!$A:$ZZ,13,FALSE)+SUM(_xlfn.XLOOKUP($R20:$AK20,增益!$A:$A,增益!$M:$M,0)))/100)</f>
        <v>-0.14</v>
      </c>
      <c r="BI20" s="34" cm="1">
        <f t="array" ref="BI20">$G$13+VLOOKUP($Q20,武学奇术!$A:$ZZ,14,FALSE)+SUM(_xlfn.XLOOKUP($R20:$AK20,增益!$A:$A,增益!$N:$N,0))</f>
        <v>0</v>
      </c>
      <c r="BJ20">
        <f t="shared" si="7"/>
        <v>0</v>
      </c>
      <c r="BK20">
        <f t="shared" si="8"/>
        <v>0</v>
      </c>
      <c r="BL20" s="34" cm="1">
        <f t="array" ref="BL20">IF($F$14-$I$4+VLOOKUP($Q20,武学奇术!$A:$ZZ,15,FALSE)+SUM(_xlfn.XLOOKUP($R20:$AK20,增益!$A:$A,增益!$O:$O,0))&gt;0,($F$14-$I$4+VLOOKUP($Q20,武学奇术!$A:$ZZ,15,FALSE)+SUM(_xlfn.XLOOKUP($R20:$AK20,增益!$A:$A,增益!$O:$O,0)))/200,($F$14-$I$4+VLOOKUP($Q20,武学奇术!$A:$ZZ,15,FALSE)+SUM(_xlfn.XLOOKUP($R20:$AK20,增益!$A:$A,增益!$O:$O,0)))/100)</f>
        <v>-0.14</v>
      </c>
      <c r="BM20" s="34" cm="1">
        <f t="array" ref="BM20">$G$14+VLOOKUP($Q20,武学奇术!$A:$ZZ,16,FALSE)+SUM(_xlfn.XLOOKUP($R20:$AK20,增益!$A:$A,增益!$P:$P,0))</f>
        <v>0</v>
      </c>
      <c r="BN20" s="27">
        <f>MIN(IF(VLOOKUP($Q20,武学奇术!$A:$ZZ,23,FALSE)=1,100%,$B$8),100%)</f>
        <v>1</v>
      </c>
      <c r="BO20" s="27" cm="1">
        <f t="array" ref="BO20">IF(VLOOKUP($Q20,武学奇术!$A:$ZZ,23,FALSE)=1,100%,MIN(80%,$B$9+VLOOKUP($Q20,武学奇术!$A:$ZZ,17,FALSE)+SUM(_xlfn.XLOOKUP($R20:$AK20,增益!$A:$A,增益!$Q:$Q,0)))+$B$11+SUM(_xlfn.XLOOKUP($R20:$AK20,增益!$A:$A,增益!$U:$U,0)))*IF(VLOOKUP($Q20,武学奇术!$A:$ZZ,24,FALSE)=1,0,1)</f>
        <v>1</v>
      </c>
      <c r="BP20" s="27" cm="1">
        <f t="array" ref="BP20">1+$B$13+VLOOKUP($Q20,武学奇术!$A:$ZZ,18,FALSE)+SUM(_xlfn.XLOOKUP($R20:$AK20,增益!$A:$A,增益!$R:$R,0))</f>
        <v>2.04</v>
      </c>
      <c r="BQ20" s="27" cm="1">
        <f t="array" ref="BQ20">IF(VLOOKUP($Q20,武学奇术!$A:$ZZ,24,FALSE)=1,100%,MIN(40%,$B$10+VLOOKUP($Q20,武学奇术!$A:$ZZ,19,FALSE)+SUM(_xlfn.XLOOKUP($R20:$AK20,增益!$A:$A,增益!$S:$S,0)))+$B$12+SUM(_xlfn.XLOOKUP($R20:$AK20,增益!$A:$A,增益!$V:$V,0)))*IF(VLOOKUP($Q20,武学奇术!$A:$ZZ,23,FALSE)=1,0,1)</f>
        <v>0</v>
      </c>
      <c r="BR20" s="27" cm="1">
        <f t="array" ref="BR20">1+$B$14+VLOOKUP($Q20,武学奇术!$A:$ZZ,20,FALSE)+SUM(_xlfn.XLOOKUP($R20:$AK20,增益!$A:$A,增益!$T:$T,0))</f>
        <v>1.35</v>
      </c>
      <c r="BS20" s="27">
        <f t="shared" si="9"/>
        <v>1</v>
      </c>
      <c r="BT20" s="27">
        <f t="shared" si="10"/>
        <v>0</v>
      </c>
      <c r="BU20" s="27">
        <f>IF(VLOOKUP($Q20,武学奇术!$A:$ZZ,22,FALSE)=1,0,(1-$BN20))*(1-$BQ20)</f>
        <v>0</v>
      </c>
      <c r="BV20" s="27" cm="1">
        <f t="array" ref="BV20">SUM(_xlfn.XLOOKUP($R20:$AK20,增益!$A:$A,增益!$W:$W,0))+$I$5</f>
        <v>0.11</v>
      </c>
    </row>
    <row r="21" ht="14.25" spans="1:74">
      <c r="A21" s="85" t="s">
        <v>145</v>
      </c>
      <c r="B21" s="91">
        <v>0.32</v>
      </c>
      <c r="C21" s="41" t="s">
        <v>146</v>
      </c>
      <c r="D21" s="78" t="s">
        <v>147</v>
      </c>
      <c r="E21" s="41" t="s">
        <v>148</v>
      </c>
      <c r="F21" s="41"/>
      <c r="H21" s="72"/>
      <c r="I21" s="79"/>
      <c r="J21" s="90"/>
      <c r="K21" s="40">
        <f t="shared" si="0"/>
        <v>146288.889826134</v>
      </c>
      <c r="L21" s="40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BP21*$P21*(1+IF(VLOOKUP($Q21,武学奇术!$A:$ZZ,30,FALSE)="蓄力技",$B$21,0))*(1+$BV21)</f>
        <v>149410.090990876</v>
      </c>
      <c r="M21" s="40">
        <f>(($AT21*$AM21+$AN21)*(1+$AU21)*(1+$AV21)+($AY21*IF($G$1="鸣金",$AO21,$AM21)+IF($G$1="鸣金",$AP21*1.5,0))*(1+$AZ21)*(1+$BA21)+($BC21*IF($G$1="裂石",$AO21,$AM21)+IF($G$1="裂石",$AP21*1.5,0))*(1+$BD21)*(1+$BE21)+($BG21*IF($G$1="牵丝",$AO21,$AM21)+IF($G$1="牵丝",$AP21*1.5,0))*(1+$BH21)*(1+$BI21)+($BK21*IF($G$1="破竹",$AO21,$AM21)+IF($G$1="破竹",$AP21*1.5,0))*(1+$BL21)*(1+$BM21))*(1+$AQ21)*$BR21*$P21*(1+IF(VLOOKUP($Q21,武学奇术!$A:$ZZ,30,FALSE)="蓄力技",$B$21,0))*(1+$BV21)</f>
        <v>135965.113022073</v>
      </c>
      <c r="N21" s="40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P21*(1+IF(VLOOKUP($Q21,武学奇术!$A:$ZZ,30,FALSE)="蓄力技",$B$21,0))*(1+$BV21)</f>
        <v>88934.5779707596</v>
      </c>
      <c r="O21" s="40">
        <f>((($AS21*$AM21+$AN21)*(1+$AU21)*(1+$AV21)+($AX21*IF($G$1="鸣金",$AO21,$AM21)+IF($G$1="鸣金",$AP21*1.5,0))*(1+$AZ21)*(1+$BA21)+($BB21*IF($G$1="裂石",$AO21,$AM21)+IF($G$1="裂石",$AP21*1.5,0))*(1+$BD21)*(1+$BE21)+($BF21*IF($G$1="牵丝",$AO21,$AM21)+IF($G$1="牵丝",$AP21*1.5,0))*(1+$BH21)*(1+$BI21)+($BJ21*IF($G$1="破竹",$AO21,$AM21)+IF($G$1="破竹",$AP21*1.5,0))*(1+$BL21)*(1+$BM21))*(1+$AQ21))*$P21*(1+IF(VLOOKUP($Q21,武学奇术!$A:$ZZ,30,FALSE)="蓄力技",$B$21,0))*(1+$BV21)</f>
        <v>77154.2574066501</v>
      </c>
      <c r="P21" s="41">
        <v>1</v>
      </c>
      <c r="Q21" s="42" t="s">
        <v>149</v>
      </c>
      <c r="R21" s="42" t="s">
        <v>103</v>
      </c>
      <c r="S21" s="42" t="s">
        <v>77</v>
      </c>
      <c r="T21" s="42" t="s">
        <v>86</v>
      </c>
      <c r="U21" s="42" t="s">
        <v>87</v>
      </c>
      <c r="V21" s="42" t="s">
        <v>77</v>
      </c>
      <c r="W21" s="42" t="s">
        <v>78</v>
      </c>
      <c r="X21" s="42" t="s">
        <v>100</v>
      </c>
      <c r="Y21" s="42" t="s">
        <v>77</v>
      </c>
      <c r="Z21" s="42" t="s">
        <v>77</v>
      </c>
      <c r="AA21" s="42" t="s">
        <v>77</v>
      </c>
      <c r="AB21" s="42" t="s">
        <v>89</v>
      </c>
      <c r="AC21" s="42" t="s">
        <v>77</v>
      </c>
      <c r="AD21" s="42" t="s">
        <v>80</v>
      </c>
      <c r="AE21" s="42" t="s">
        <v>81</v>
      </c>
      <c r="AF21" s="42" t="s">
        <v>82</v>
      </c>
      <c r="AG21" s="42" t="s">
        <v>77</v>
      </c>
      <c r="AH21" s="42" t="s">
        <v>77</v>
      </c>
      <c r="AI21" s="42" t="s">
        <v>77</v>
      </c>
      <c r="AJ21" s="42" t="s">
        <v>77</v>
      </c>
      <c r="AK21" s="42" t="s">
        <v>90</v>
      </c>
      <c r="AL21" t="str">
        <f>VLOOKUP($Q21,武学奇术!$A:$ZZ,25,FALSE)</f>
        <v>单体奇术</v>
      </c>
      <c r="AM21" s="27">
        <f>VLOOKUP($Q21,武学奇术!$A:$ZZ,26,FALSE)</f>
        <v>7.1084</v>
      </c>
      <c r="AN21" s="28">
        <f>VLOOKUP($Q21,武学奇术!$A:$ZZ,27,FALSE)*(1+IF(OR($AL21=$F$4,$AL21=$F$5),$B$22,0))</f>
        <v>1369</v>
      </c>
      <c r="AO21" s="27">
        <f>VLOOKUP($Q21,武学奇术!$A:$ZZ,28,FALSE)</f>
        <v>10.6626</v>
      </c>
      <c r="AP21" s="28">
        <f>VLOOKUP($Q21,武学奇术!$A:$ZZ,29,FALSE)*(1+IF(OR($AL21=$F$4,$AL21=$F$5),$B$22,0))</f>
        <v>0</v>
      </c>
      <c r="AQ21" s="27" cm="1">
        <f t="array" ref="AQ21">$G$3+IFERROR(VLOOKUP($AL21,$F$4:$G$7,2,FALSE),0)+VLOOKUP($Q21,武学奇术!$A:$ZZ,2,FALSE)+SUM(_xlfn.XLOOKUP($R21:$AK21,增益!$A:$A,增益!$B:$B,0))</f>
        <v>0.4637</v>
      </c>
      <c r="AR21" s="27" cm="1">
        <f t="array" ref="AR21">VLOOKUP($Q21,武学奇术!$A:$ZZ,5,FALSE)+SUM(_xlfn.XLOOKUP($R21:$AK21,增益!$A:$A,增益!$E:$E,0))</f>
        <v>0</v>
      </c>
      <c r="AS21" cm="1">
        <f t="array" ref="AS21">$D$10*(1+$AR21)+VLOOKUP($Q21,武学奇术!$A:$ZZ,3,FALSE)+SUM(_xlfn.XLOOKUP($R21:$AK21,增益!$A:$A,增益!$C:$C,0))-$I$2</f>
        <v>3648.7</v>
      </c>
      <c r="AT21" cm="1">
        <f t="array" ref="AT21">$E$10*(1+$AR21)+VLOOKUP($Q21,武学奇术!$A:$ZZ,4,FALSE)+SUM(_xlfn.XLOOKUP($R21:$AK21,增益!$A:$A,增益!$D:$D,0))-$I$2</f>
        <v>3648.7</v>
      </c>
      <c r="AU21" s="34" cm="1">
        <f t="array" ref="AU21">IF($F$10-$I$3+VLOOKUP($Q21,武学奇术!$A:$ZZ,6,FALSE)+SUM(_xlfn.XLOOKUP($R21:$AK21,增益!$A:$A,增益!$F:$F,0))&gt;0,($F$10-$I$3+VLOOKUP($Q21,武学奇术!$A:$ZZ,6,FALSE)+SUM(_xlfn.XLOOKUP($R21:$AK21,增益!$A:$A,增益!$F:$F,0)))/200,($F$10-$I$3+VLOOKUP($Q21,武学奇术!$A:$ZZ,6,FALSE)+SUM(_xlfn.XLOOKUP($R21:$AK21,增益!$A:$A,增益!$F:$F,0)))/100)</f>
        <v>0.427</v>
      </c>
      <c r="AV21" s="34" cm="1">
        <f t="array" ref="AV21">$G$10+VLOOKUP($Q21,武学奇术!$A:$ZZ,7,FALSE)+SUM(_xlfn.XLOOKUP($R21:$AK21,增益!$A:$A,增益!$G:$G,0))</f>
        <v>0</v>
      </c>
      <c r="AW21" s="27" cm="1">
        <f t="array" ref="AW21">VLOOKUP($Q21,武学奇术!$A:$ZZ,8,FALSE)+SUM(_xlfn.XLOOKUP($R21:$AK21,增益!$A:$A,增益!$H:$H,0))</f>
        <v>0</v>
      </c>
      <c r="AX21">
        <f t="shared" si="1"/>
        <v>0</v>
      </c>
      <c r="AY21">
        <f t="shared" si="2"/>
        <v>0</v>
      </c>
      <c r="AZ21" s="34" cm="1">
        <f t="array" ref="AZ21">IF($F$11-$I$4+VLOOKUP($Q21,武学奇术!$A:$ZZ,9,FALSE)+SUM(_xlfn.XLOOKUP($R21:$AK21,增益!$A:$A,增益!$I:$I,0))&gt;0,($F$11-$I$4+VLOOKUP($Q21,武学奇术!$A:$ZZ,9,FALSE)+SUM(_xlfn.XLOOKUP($R21:$AK21,增益!$A:$A,增益!$I:$I,0)))/200,($F$11-$I$4+VLOOKUP($Q21,武学奇术!$A:$ZZ,9,FALSE)+SUM(_xlfn.XLOOKUP($R21:$AK21,增益!$A:$A,增益!$I:$I,0)))/100)</f>
        <v>-0.14</v>
      </c>
      <c r="BA21" s="34" cm="1">
        <f t="array" ref="BA21">$G$11+VLOOKUP($Q21,武学奇术!$A:$ZZ,10,FALSE)+SUM(_xlfn.XLOOKUP($R21:$AK21,增益!$A:$A,增益!$J:$J,0))</f>
        <v>0</v>
      </c>
      <c r="BB21">
        <f t="shared" si="3"/>
        <v>594.1</v>
      </c>
      <c r="BC21">
        <f t="shared" si="4"/>
        <v>1604.9</v>
      </c>
      <c r="BD21" s="34" cm="1">
        <f t="array" ref="BD21">IF($F$12-$I$4+VLOOKUP($Q21,武学奇术!$A:$ZZ,11,FALSE)+SUM(_xlfn.XLOOKUP($R21:$AK21,增益!$A:$A,增益!$K:$K,0))&gt;0,($F$12-$I$4+VLOOKUP($Q21,武学奇术!$A:$ZZ,11,FALSE)+SUM(_xlfn.XLOOKUP($R21:$AK21,增益!$A:$A,增益!$K:$K,0)))/200,($F$12-$I$4+VLOOKUP($Q21,武学奇术!$A:$ZZ,11,FALSE)+SUM(_xlfn.XLOOKUP($R21:$AK21,增益!$A:$A,增益!$K:$K,0)))/100)</f>
        <v>0.17</v>
      </c>
      <c r="BE21" s="34" cm="1">
        <f t="array" ref="BE21">$G$12+VLOOKUP($Q21,武学奇术!$A:$ZZ,12,FALSE)+SUM(_xlfn.XLOOKUP($R21:$AK21,增益!$A:$A,增益!$L:$L,0))</f>
        <v>0.15</v>
      </c>
      <c r="BF21">
        <f t="shared" si="5"/>
        <v>0</v>
      </c>
      <c r="BG21">
        <f t="shared" si="6"/>
        <v>0</v>
      </c>
      <c r="BH21" s="34" cm="1">
        <f t="array" ref="BH21">IF($F$13-$I$4+VLOOKUP($Q21,武学奇术!$A:$ZZ,13,FALSE)+SUM(_xlfn.XLOOKUP($R21:$AK21,增益!$A:$A,增益!$M:$M,0))&gt;0,($F$13-$I$4+VLOOKUP($Q21,武学奇术!$A:$ZZ,13,FALSE)+SUM(_xlfn.XLOOKUP($R21:$AK21,增益!$A:$A,增益!$K:$K,0)))/200,($F$13-$I$4+VLOOKUP($Q21,武学奇术!$A:$ZZ,13,FALSE)+SUM(_xlfn.XLOOKUP($R21:$AK21,增益!$A:$A,增益!$M:$M,0)))/100)</f>
        <v>-0.14</v>
      </c>
      <c r="BI21" s="34" cm="1">
        <f t="array" ref="BI21">$G$13+VLOOKUP($Q21,武学奇术!$A:$ZZ,14,FALSE)+SUM(_xlfn.XLOOKUP($R21:$AK21,增益!$A:$A,增益!$N:$N,0))</f>
        <v>0</v>
      </c>
      <c r="BJ21">
        <f t="shared" si="7"/>
        <v>0</v>
      </c>
      <c r="BK21">
        <f t="shared" si="8"/>
        <v>0</v>
      </c>
      <c r="BL21" s="34" cm="1">
        <f t="array" ref="BL21">IF($F$14-$I$4+VLOOKUP($Q21,武学奇术!$A:$ZZ,15,FALSE)+SUM(_xlfn.XLOOKUP($R21:$AK21,增益!$A:$A,增益!$O:$O,0))&gt;0,($F$14-$I$4+VLOOKUP($Q21,武学奇术!$A:$ZZ,15,FALSE)+SUM(_xlfn.XLOOKUP($R21:$AK21,增益!$A:$A,增益!$O:$O,0)))/200,($F$14-$I$4+VLOOKUP($Q21,武学奇术!$A:$ZZ,15,FALSE)+SUM(_xlfn.XLOOKUP($R21:$AK21,增益!$A:$A,增益!$O:$O,0)))/100)</f>
        <v>-0.14</v>
      </c>
      <c r="BM21" s="34" cm="1">
        <f t="array" ref="BM21">$G$14+VLOOKUP($Q21,武学奇术!$A:$ZZ,16,FALSE)+SUM(_xlfn.XLOOKUP($R21:$AK21,增益!$A:$A,增益!$P:$P,0))</f>
        <v>0</v>
      </c>
      <c r="BN21" s="27">
        <f>MIN(IF(VLOOKUP($Q21,武学奇术!$A:$ZZ,23,FALSE)=1,100%,$B$8),100%)</f>
        <v>0.9859</v>
      </c>
      <c r="BO21" s="27" cm="1">
        <f t="array" ref="BO21">IF(VLOOKUP($Q21,武学奇术!$A:$ZZ,23,FALSE)=1,100%,MIN(80%,$B$9+VLOOKUP($Q21,武学奇术!$A:$ZZ,17,FALSE)+SUM(_xlfn.XLOOKUP($R21:$AK21,增益!$A:$A,增益!$Q:$Q,0)))+$B$11+SUM(_xlfn.XLOOKUP($R21:$AK21,增益!$A:$A,增益!$U:$U,0)))*IF(VLOOKUP($Q21,武学奇术!$A:$ZZ,24,FALSE)=1,0,1)</f>
        <v>0.8912</v>
      </c>
      <c r="BP21" s="27" cm="1">
        <f t="array" ref="BP21">1+$B$13+VLOOKUP($Q21,武学奇术!$A:$ZZ,18,FALSE)+SUM(_xlfn.XLOOKUP($R21:$AK21,增益!$A:$A,增益!$R:$R,0))</f>
        <v>1.68</v>
      </c>
      <c r="BQ21" s="27" cm="1">
        <f t="array" ref="BQ21">IF(VLOOKUP($Q21,武学奇术!$A:$ZZ,24,FALSE)=1,100%,MIN(40%,$B$10+VLOOKUP($Q21,武学奇术!$A:$ZZ,19,FALSE)+SUM(_xlfn.XLOOKUP($R21:$AK21,增益!$A:$A,增益!$S:$S,0)))+$B$12+SUM(_xlfn.XLOOKUP($R21:$AK21,增益!$A:$A,增益!$V:$V,0)))*IF(VLOOKUP($Q21,武学奇术!$A:$ZZ,23,FALSE)=1,0,1)</f>
        <v>0.0929</v>
      </c>
      <c r="BR21" s="27" cm="1">
        <f t="array" ref="BR21">1+$B$14+VLOOKUP($Q21,武学奇术!$A:$ZZ,20,FALSE)+SUM(_xlfn.XLOOKUP($R21:$AK21,增益!$A:$A,增益!$T:$T,0))</f>
        <v>1.35</v>
      </c>
      <c r="BS21" s="27">
        <f t="shared" si="9"/>
        <v>0.87863408</v>
      </c>
      <c r="BT21" s="27">
        <f t="shared" si="10"/>
        <v>0.01567581</v>
      </c>
      <c r="BU21" s="27">
        <f>IF(VLOOKUP($Q21,武学奇术!$A:$ZZ,22,FALSE)=1,0,(1-$BN21))*(1-$BQ21)</f>
        <v>0.01279011</v>
      </c>
      <c r="BV21" s="27" cm="1">
        <f t="array" ref="BV21">SUM(_xlfn.XLOOKUP($R21:$AK21,增益!$A:$A,增益!$W:$W,0))+$I$5</f>
        <v>0.11</v>
      </c>
    </row>
    <row r="22" spans="1:74">
      <c r="A22" t="s">
        <v>150</v>
      </c>
      <c r="B22" s="29">
        <v>0.5</v>
      </c>
      <c r="C22" s="41" t="s">
        <v>151</v>
      </c>
      <c r="D22" s="78" t="s">
        <v>147</v>
      </c>
      <c r="E22" s="42" t="s">
        <v>152</v>
      </c>
      <c r="F22" s="42"/>
      <c r="K22" s="40">
        <f t="shared" si="0"/>
        <v>17562.4161589332</v>
      </c>
      <c r="L22" s="40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BP22*$P22*(1+IF(VLOOKUP($Q22,武学奇术!$A:$ZZ,30,FALSE)="蓄力技",$B$21,0))*(1+$BV22)</f>
        <v>18192.143087378</v>
      </c>
      <c r="M22" s="40">
        <f>(($AT22*$AM22+$AN22)*(1+$AU22)*(1+$AV22)+($AY22*IF($G$1="鸣金",$AO22,$AM22)+IF($G$1="鸣金",$AP22*1.5,0))*(1+$AZ22)*(1+$BA22)+($BC22*IF($G$1="裂石",$AO22,$AM22)+IF($G$1="裂石",$AP22*1.5,0))*(1+$BD22)*(1+$BE22)+($BG22*IF($G$1="牵丝",$AO22,$AM22)+IF($G$1="牵丝",$AP22*1.5,0))*(1+$BH22)*(1+$BI22)+($BK22*IF($G$1="破竹",$AO22,$AM22)+IF($G$1="破竹",$AP22*1.5,0))*(1+$BL22)*(1+$BM22))*(1+$AQ22)*$BR22*$P22*(1+IF(VLOOKUP($Q22,武学奇术!$A:$ZZ,30,FALSE)="蓄力技",$B$21,0))*(1+$BV22)</f>
        <v>14303.5915343714</v>
      </c>
      <c r="N22" s="40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P22*(1+IF(VLOOKUP($Q22,武学奇术!$A:$ZZ,30,FALSE)="蓄力技",$B$21,0))*(1+$BV22)</f>
        <v>9329.30414737334</v>
      </c>
      <c r="O22" s="40">
        <f>((($AS22*$AM22+$AN22)*(1+$AU22)*(1+$AV22)+($AX22*IF($G$1="鸣金",$AO22,$AM22)+IF($G$1="鸣金",$AP22*1.5,0))*(1+$AZ22)*(1+$BA22)+($BB22*IF($G$1="裂石",$AO22,$AM22)+IF($G$1="裂石",$AP22*1.5,0))*(1+$BD22)*(1+$BE22)+($BF22*IF($G$1="牵丝",$AO22,$AM22)+IF($G$1="牵丝",$AP22*1.5,0))*(1+$BH22)*(1+$BI22)+($BJ22*IF($G$1="破竹",$AO22,$AM22)+IF($G$1="破竹",$AP22*1.5,0))*(1+$BL22)*(1+$BM22))*(1+$AQ22))*$P22*(1+IF(VLOOKUP($Q22,武学奇术!$A:$ZZ,30,FALSE)="蓄力技",$B$21,0))*(1+$BV22)</f>
        <v>8063.35530632344</v>
      </c>
      <c r="P22" s="41">
        <v>1</v>
      </c>
      <c r="Q22" s="42" t="s">
        <v>112</v>
      </c>
      <c r="R22" s="42" t="s">
        <v>103</v>
      </c>
      <c r="S22" s="42" t="s">
        <v>77</v>
      </c>
      <c r="T22" s="42" t="s">
        <v>86</v>
      </c>
      <c r="U22" s="42" t="s">
        <v>121</v>
      </c>
      <c r="V22" s="42" t="s">
        <v>77</v>
      </c>
      <c r="W22" s="42" t="s">
        <v>77</v>
      </c>
      <c r="X22" s="42" t="s">
        <v>153</v>
      </c>
      <c r="Y22" s="42" t="s">
        <v>77</v>
      </c>
      <c r="Z22" s="42" t="s">
        <v>77</v>
      </c>
      <c r="AA22" s="42" t="s">
        <v>73</v>
      </c>
      <c r="AB22" s="42" t="s">
        <v>89</v>
      </c>
      <c r="AC22" s="42" t="s">
        <v>77</v>
      </c>
      <c r="AD22" s="42" t="s">
        <v>80</v>
      </c>
      <c r="AE22" s="42" t="s">
        <v>81</v>
      </c>
      <c r="AF22" s="42" t="s">
        <v>82</v>
      </c>
      <c r="AG22" s="42" t="s">
        <v>77</v>
      </c>
      <c r="AH22" s="42" t="s">
        <v>77</v>
      </c>
      <c r="AI22" s="42" t="s">
        <v>77</v>
      </c>
      <c r="AJ22" s="42" t="s">
        <v>77</v>
      </c>
      <c r="AK22" s="42" t="s">
        <v>90</v>
      </c>
      <c r="AL22" t="str">
        <f>VLOOKUP($Q22,武学奇术!$A:$ZZ,25,FALSE)</f>
        <v>陌刀</v>
      </c>
      <c r="AM22" s="27">
        <f>VLOOKUP($Q22,武学奇术!$A:$ZZ,26,FALSE)</f>
        <v>0.5</v>
      </c>
      <c r="AN22" s="28">
        <f>VLOOKUP($Q22,武学奇术!$A:$ZZ,27,FALSE)*(1+IF(OR($AL22=$F$4,$AL22=$F$5),$B$22,0))</f>
        <v>0</v>
      </c>
      <c r="AO22" s="27">
        <f>VLOOKUP($Q22,武学奇术!$A:$ZZ,28,FALSE)</f>
        <v>0.75</v>
      </c>
      <c r="AP22" s="28">
        <f>VLOOKUP($Q22,武学奇术!$A:$ZZ,29,FALSE)*(1+IF(OR($AL22=$F$4,$AL22=$F$5),$B$22,0))</f>
        <v>0</v>
      </c>
      <c r="AQ22" s="27" cm="1">
        <f t="array" ref="AQ22">$G$3+IFERROR(VLOOKUP($AL22,$F$4:$G$7,2,FALSE),0)+VLOOKUP($Q22,武学奇术!$A:$ZZ,2,FALSE)+SUM(_xlfn.XLOOKUP($R22:$AK22,增益!$A:$A,增益!$B:$B,0))</f>
        <v>0.6941</v>
      </c>
      <c r="AR22" s="27" cm="1">
        <f t="array" ref="AR22">VLOOKUP($Q22,武学奇术!$A:$ZZ,5,FALSE)+SUM(_xlfn.XLOOKUP($R22:$AK22,增益!$A:$A,增益!$E:$E,0))</f>
        <v>0</v>
      </c>
      <c r="AS22" cm="1">
        <f t="array" ref="AS22">$D$10*(1+$AR22)+VLOOKUP($Q22,武学奇术!$A:$ZZ,3,FALSE)+SUM(_xlfn.XLOOKUP($R22:$AK22,增益!$A:$A,增益!$C:$C,0))-$I$2</f>
        <v>3648.7</v>
      </c>
      <c r="AT22" cm="1">
        <f t="array" ref="AT22">$E$10*(1+$AR22)+VLOOKUP($Q22,武学奇术!$A:$ZZ,4,FALSE)+SUM(_xlfn.XLOOKUP($R22:$AK22,增益!$A:$A,增益!$D:$D,0))-$I$2</f>
        <v>3648.7</v>
      </c>
      <c r="AU22" s="34" cm="1">
        <f t="array" ref="AU22">IF($F$10-$I$3+VLOOKUP($Q22,武学奇术!$A:$ZZ,6,FALSE)+SUM(_xlfn.XLOOKUP($R22:$AK22,增益!$A:$A,增益!$F:$F,0))&gt;0,($F$10-$I$3+VLOOKUP($Q22,武学奇术!$A:$ZZ,6,FALSE)+SUM(_xlfn.XLOOKUP($R22:$AK22,增益!$A:$A,增益!$F:$F,0)))/200,($F$10-$I$3+VLOOKUP($Q22,武学奇术!$A:$ZZ,6,FALSE)+SUM(_xlfn.XLOOKUP($R22:$AK22,增益!$A:$A,增益!$F:$F,0)))/100)</f>
        <v>0.452</v>
      </c>
      <c r="AV22" s="34" cm="1">
        <f t="array" ref="AV22">$G$10+VLOOKUP($Q22,武学奇术!$A:$ZZ,7,FALSE)+SUM(_xlfn.XLOOKUP($R22:$AK22,增益!$A:$A,增益!$G:$G,0))</f>
        <v>0</v>
      </c>
      <c r="AW22" s="27" cm="1">
        <f t="array" ref="AW22">VLOOKUP($Q22,武学奇术!$A:$ZZ,8,FALSE)+SUM(_xlfn.XLOOKUP($R22:$AK22,增益!$A:$A,增益!$H:$H,0))</f>
        <v>0</v>
      </c>
      <c r="AX22">
        <f t="shared" si="1"/>
        <v>0</v>
      </c>
      <c r="AY22">
        <f t="shared" si="2"/>
        <v>0</v>
      </c>
      <c r="AZ22" s="34" cm="1">
        <f t="array" ref="AZ22">IF($F$11-$I$4+VLOOKUP($Q22,武学奇术!$A:$ZZ,9,FALSE)+SUM(_xlfn.XLOOKUP($R22:$AK22,增益!$A:$A,增益!$I:$I,0))&gt;0,($F$11-$I$4+VLOOKUP($Q22,武学奇术!$A:$ZZ,9,FALSE)+SUM(_xlfn.XLOOKUP($R22:$AK22,增益!$A:$A,增益!$I:$I,0)))/200,($F$11-$I$4+VLOOKUP($Q22,武学奇术!$A:$ZZ,9,FALSE)+SUM(_xlfn.XLOOKUP($R22:$AK22,增益!$A:$A,增益!$I:$I,0)))/100)</f>
        <v>-0.14</v>
      </c>
      <c r="BA22" s="34" cm="1">
        <f t="array" ref="BA22">$G$11+VLOOKUP($Q22,武学奇术!$A:$ZZ,10,FALSE)+SUM(_xlfn.XLOOKUP($R22:$AK22,增益!$A:$A,增益!$J:$J,0))</f>
        <v>0</v>
      </c>
      <c r="BB22">
        <f t="shared" si="3"/>
        <v>594.1</v>
      </c>
      <c r="BC22">
        <f t="shared" si="4"/>
        <v>1604.9</v>
      </c>
      <c r="BD22" s="34" cm="1">
        <f t="array" ref="BD22">IF($F$12-$I$4+VLOOKUP($Q22,武学奇术!$A:$ZZ,11,FALSE)+SUM(_xlfn.XLOOKUP($R22:$AK22,增益!$A:$A,增益!$K:$K,0))&gt;0,($F$12-$I$4+VLOOKUP($Q22,武学奇术!$A:$ZZ,11,FALSE)+SUM(_xlfn.XLOOKUP($R22:$AK22,增益!$A:$A,增益!$K:$K,0)))/200,($F$12-$I$4+VLOOKUP($Q22,武学奇术!$A:$ZZ,11,FALSE)+SUM(_xlfn.XLOOKUP($R22:$AK22,增益!$A:$A,增益!$K:$K,0)))/100)</f>
        <v>0.17</v>
      </c>
      <c r="BE22" s="34" cm="1">
        <f t="array" ref="BE22">$G$12+VLOOKUP($Q22,武学奇术!$A:$ZZ,12,FALSE)+SUM(_xlfn.XLOOKUP($R22:$AK22,增益!$A:$A,增益!$L:$L,0))</f>
        <v>0.15</v>
      </c>
      <c r="BF22">
        <f t="shared" si="5"/>
        <v>0</v>
      </c>
      <c r="BG22">
        <f t="shared" si="6"/>
        <v>0</v>
      </c>
      <c r="BH22" s="34" cm="1">
        <f t="array" ref="BH22">IF($F$13-$I$4+VLOOKUP($Q22,武学奇术!$A:$ZZ,13,FALSE)+SUM(_xlfn.XLOOKUP($R22:$AK22,增益!$A:$A,增益!$M:$M,0))&gt;0,($F$13-$I$4+VLOOKUP($Q22,武学奇术!$A:$ZZ,13,FALSE)+SUM(_xlfn.XLOOKUP($R22:$AK22,增益!$A:$A,增益!$K:$K,0)))/200,($F$13-$I$4+VLOOKUP($Q22,武学奇术!$A:$ZZ,13,FALSE)+SUM(_xlfn.XLOOKUP($R22:$AK22,增益!$A:$A,增益!$M:$M,0)))/100)</f>
        <v>-0.14</v>
      </c>
      <c r="BI22" s="34" cm="1">
        <f t="array" ref="BI22">$G$13+VLOOKUP($Q22,武学奇术!$A:$ZZ,14,FALSE)+SUM(_xlfn.XLOOKUP($R22:$AK22,增益!$A:$A,增益!$N:$N,0))</f>
        <v>0</v>
      </c>
      <c r="BJ22">
        <f t="shared" si="7"/>
        <v>0</v>
      </c>
      <c r="BK22">
        <f t="shared" si="8"/>
        <v>0</v>
      </c>
      <c r="BL22" s="34" cm="1">
        <f t="array" ref="BL22">IF($F$14-$I$4+VLOOKUP($Q22,武学奇术!$A:$ZZ,15,FALSE)+SUM(_xlfn.XLOOKUP($R22:$AK22,增益!$A:$A,增益!$O:$O,0))&gt;0,($F$14-$I$4+VLOOKUP($Q22,武学奇术!$A:$ZZ,15,FALSE)+SUM(_xlfn.XLOOKUP($R22:$AK22,增益!$A:$A,增益!$O:$O,0)))/200,($F$14-$I$4+VLOOKUP($Q22,武学奇术!$A:$ZZ,15,FALSE)+SUM(_xlfn.XLOOKUP($R22:$AK22,增益!$A:$A,增益!$O:$O,0)))/100)</f>
        <v>-0.14</v>
      </c>
      <c r="BM22" s="34" cm="1">
        <f t="array" ref="BM22">$G$14+VLOOKUP($Q22,武学奇术!$A:$ZZ,16,FALSE)+SUM(_xlfn.XLOOKUP($R22:$AK22,增益!$A:$A,增益!$P:$P,0))</f>
        <v>0</v>
      </c>
      <c r="BN22" s="27">
        <f>MIN(IF(VLOOKUP($Q22,武学奇术!$A:$ZZ,23,FALSE)=1,100%,$B$8),100%)</f>
        <v>0.9859</v>
      </c>
      <c r="BO22" s="27" cm="1">
        <f t="array" ref="BO22">IF(VLOOKUP($Q22,武学奇术!$A:$ZZ,23,FALSE)=1,100%,MIN(80%,$B$9+VLOOKUP($Q22,武学奇术!$A:$ZZ,17,FALSE)+SUM(_xlfn.XLOOKUP($R22:$AK22,增益!$A:$A,增益!$Q:$Q,0)))+$B$11+SUM(_xlfn.XLOOKUP($R22:$AK22,增益!$A:$A,增益!$U:$U,0)))*IF(VLOOKUP($Q22,武学奇术!$A:$ZZ,24,FALSE)=1,0,1)</f>
        <v>0.8912</v>
      </c>
      <c r="BP22" s="27" cm="1">
        <f t="array" ref="BP22">1+$B$13+VLOOKUP($Q22,武学奇术!$A:$ZZ,18,FALSE)+SUM(_xlfn.XLOOKUP($R22:$AK22,增益!$A:$A,增益!$R:$R,0))</f>
        <v>1.95</v>
      </c>
      <c r="BQ22" s="27" cm="1">
        <f t="array" ref="BQ22">IF(VLOOKUP($Q22,武学奇术!$A:$ZZ,24,FALSE)=1,100%,MIN(40%,$B$10+VLOOKUP($Q22,武学奇术!$A:$ZZ,19,FALSE)+SUM(_xlfn.XLOOKUP($R22:$AK22,增益!$A:$A,增益!$S:$S,0)))+$B$12+SUM(_xlfn.XLOOKUP($R22:$AK22,增益!$A:$A,增益!$V:$V,0)))*IF(VLOOKUP($Q22,武学奇术!$A:$ZZ,23,FALSE)=1,0,1)</f>
        <v>0.0929</v>
      </c>
      <c r="BR22" s="27" cm="1">
        <f t="array" ref="BR22">1+$B$14+VLOOKUP($Q22,武学奇术!$A:$ZZ,20,FALSE)+SUM(_xlfn.XLOOKUP($R22:$AK22,增益!$A:$A,增益!$T:$T,0))</f>
        <v>1.35</v>
      </c>
      <c r="BS22" s="27">
        <f t="shared" si="9"/>
        <v>0.87863408</v>
      </c>
      <c r="BT22" s="27">
        <f t="shared" si="10"/>
        <v>0.01567581</v>
      </c>
      <c r="BU22" s="27">
        <f>IF(VLOOKUP($Q22,武学奇术!$A:$ZZ,22,FALSE)=1,0,(1-$BN22))*(1-$BQ22)</f>
        <v>0.01279011</v>
      </c>
      <c r="BV22" s="27" cm="1">
        <f t="array" ref="BV22">SUM(_xlfn.XLOOKUP($R22:$AK22,增益!$A:$A,增益!$W:$W,0))+$I$5</f>
        <v>0.11</v>
      </c>
    </row>
    <row r="23" spans="1:74">
      <c r="A23" s="41" t="s">
        <v>154</v>
      </c>
      <c r="B23">
        <v>200</v>
      </c>
      <c r="K23" s="40">
        <f t="shared" si="0"/>
        <v>31612.3490860798</v>
      </c>
      <c r="L23" s="40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BP23*$P23*(1+IF(VLOOKUP($Q23,武学奇术!$A:$ZZ,30,FALSE)="蓄力技",$B$21,0))*(1+$BV23)</f>
        <v>32745.8575572804</v>
      </c>
      <c r="M23" s="40">
        <f>(($AT23*$AM23+$AN23)*(1+$AU23)*(1+$AV23)+($AY23*IF($G$1="鸣金",$AO23,$AM23)+IF($G$1="鸣金",$AP23*1.5,0))*(1+$AZ23)*(1+$BA23)+($BC23*IF($G$1="裂石",$AO23,$AM23)+IF($G$1="裂石",$AP23*1.5,0))*(1+$BD23)*(1+$BE23)+($BG23*IF($G$1="牵丝",$AO23,$AM23)+IF($G$1="牵丝",$AP23*1.5,0))*(1+$BH23)*(1+$BI23)+($BK23*IF($G$1="破竹",$AO23,$AM23)+IF($G$1="破竹",$AP23*1.5,0))*(1+$BL23)*(1+$BM23))*(1+$AQ23)*$BR23*$P23*(1+IF(VLOOKUP($Q23,武学奇术!$A:$ZZ,30,FALSE)="蓄力技",$B$21,0))*(1+$BV23)</f>
        <v>25746.4647618685</v>
      </c>
      <c r="N23" s="40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P23*(1+IF(VLOOKUP($Q23,武学奇术!$A:$ZZ,30,FALSE)="蓄力技",$B$21,0))*(1+$BV23)</f>
        <v>16792.747465272</v>
      </c>
      <c r="O23" s="40">
        <f>((($AS23*$AM23+$AN23)*(1+$AU23)*(1+$AV23)+($AX23*IF($G$1="鸣金",$AO23,$AM23)+IF($G$1="鸣金",$AP23*1.5,0))*(1+$AZ23)*(1+$BA23)+($BB23*IF($G$1="裂石",$AO23,$AM23)+IF($G$1="裂石",$AP23*1.5,0))*(1+$BD23)*(1+$BE23)+($BF23*IF($G$1="牵丝",$AO23,$AM23)+IF($G$1="牵丝",$AP23*1.5,0))*(1+$BH23)*(1+$BI23)+($BJ23*IF($G$1="破竹",$AO23,$AM23)+IF($G$1="破竹",$AP23*1.5,0))*(1+$BL23)*(1+$BM23))*(1+$AQ23))*$P23*(1+IF(VLOOKUP($Q23,武学奇术!$A:$ZZ,30,FALSE)="蓄力技",$B$21,0))*(1+$BV23)</f>
        <v>14514.0395513822</v>
      </c>
      <c r="P23" s="41">
        <v>1</v>
      </c>
      <c r="Q23" s="42" t="s">
        <v>155</v>
      </c>
      <c r="R23" s="42" t="s">
        <v>103</v>
      </c>
      <c r="S23" s="42" t="s">
        <v>77</v>
      </c>
      <c r="T23" s="42" t="s">
        <v>86</v>
      </c>
      <c r="U23" s="42" t="s">
        <v>121</v>
      </c>
      <c r="V23" s="42" t="s">
        <v>77</v>
      </c>
      <c r="W23" s="42" t="s">
        <v>77</v>
      </c>
      <c r="X23" s="42" t="s">
        <v>153</v>
      </c>
      <c r="Y23" s="42" t="s">
        <v>77</v>
      </c>
      <c r="Z23" s="42" t="s">
        <v>77</v>
      </c>
      <c r="AA23" s="42" t="s">
        <v>73</v>
      </c>
      <c r="AB23" s="42" t="s">
        <v>89</v>
      </c>
      <c r="AC23" s="42" t="s">
        <v>77</v>
      </c>
      <c r="AD23" s="42" t="s">
        <v>80</v>
      </c>
      <c r="AE23" s="42" t="s">
        <v>81</v>
      </c>
      <c r="AF23" s="42" t="s">
        <v>82</v>
      </c>
      <c r="AG23" s="42" t="s">
        <v>77</v>
      </c>
      <c r="AH23" s="42" t="s">
        <v>77</v>
      </c>
      <c r="AI23" s="42" t="s">
        <v>77</v>
      </c>
      <c r="AJ23" s="42" t="s">
        <v>77</v>
      </c>
      <c r="AK23" s="42" t="s">
        <v>90</v>
      </c>
      <c r="AL23" t="str">
        <f>VLOOKUP($Q23,武学奇术!$A:$ZZ,25,FALSE)</f>
        <v>陌刀</v>
      </c>
      <c r="AM23" s="27">
        <f>VLOOKUP($Q23,武学奇术!$A:$ZZ,26,FALSE)</f>
        <v>0.9</v>
      </c>
      <c r="AN23" s="28">
        <f>VLOOKUP($Q23,武学奇术!$A:$ZZ,27,FALSE)*(1+IF(OR($AL23=$F$4,$AL23=$F$5),$B$22,0))</f>
        <v>0</v>
      </c>
      <c r="AO23" s="27">
        <f>VLOOKUP($Q23,武学奇术!$A:$ZZ,28,FALSE)</f>
        <v>1.35</v>
      </c>
      <c r="AP23" s="28">
        <f>VLOOKUP($Q23,武学奇术!$A:$ZZ,29,FALSE)*(1+IF(OR($AL23=$F$4,$AL23=$F$5),$B$22,0))</f>
        <v>0</v>
      </c>
      <c r="AQ23" s="27" cm="1">
        <f t="array" ref="AQ23">$G$3+IFERROR(VLOOKUP($AL23,$F$4:$G$7,2,FALSE),0)+VLOOKUP($Q23,武学奇术!$A:$ZZ,2,FALSE)+SUM(_xlfn.XLOOKUP($R23:$AK23,增益!$A:$A,增益!$B:$B,0))</f>
        <v>0.6941</v>
      </c>
      <c r="AR23" s="27" cm="1">
        <f t="array" ref="AR23">VLOOKUP($Q23,武学奇术!$A:$ZZ,5,FALSE)+SUM(_xlfn.XLOOKUP($R23:$AK23,增益!$A:$A,增益!$E:$E,0))</f>
        <v>0</v>
      </c>
      <c r="AS23" cm="1">
        <f t="array" ref="AS23">$D$10*(1+$AR23)+VLOOKUP($Q23,武学奇术!$A:$ZZ,3,FALSE)+SUM(_xlfn.XLOOKUP($R23:$AK23,增益!$A:$A,增益!$C:$C,0))-$I$2</f>
        <v>3648.7</v>
      </c>
      <c r="AT23" cm="1">
        <f t="array" ref="AT23">$E$10*(1+$AR23)+VLOOKUP($Q23,武学奇术!$A:$ZZ,4,FALSE)+SUM(_xlfn.XLOOKUP($R23:$AK23,增益!$A:$A,增益!$D:$D,0))-$I$2</f>
        <v>3648.7</v>
      </c>
      <c r="AU23" s="34" cm="1">
        <f t="array" ref="AU23">IF($F$10-$I$3+VLOOKUP($Q23,武学奇术!$A:$ZZ,6,FALSE)+SUM(_xlfn.XLOOKUP($R23:$AK23,增益!$A:$A,增益!$F:$F,0))&gt;0,($F$10-$I$3+VLOOKUP($Q23,武学奇术!$A:$ZZ,6,FALSE)+SUM(_xlfn.XLOOKUP($R23:$AK23,增益!$A:$A,增益!$F:$F,0)))/200,($F$10-$I$3+VLOOKUP($Q23,武学奇术!$A:$ZZ,6,FALSE)+SUM(_xlfn.XLOOKUP($R23:$AK23,增益!$A:$A,增益!$F:$F,0)))/100)</f>
        <v>0.452</v>
      </c>
      <c r="AV23" s="34" cm="1">
        <f t="array" ref="AV23">$G$10+VLOOKUP($Q23,武学奇术!$A:$ZZ,7,FALSE)+SUM(_xlfn.XLOOKUP($R23:$AK23,增益!$A:$A,增益!$G:$G,0))</f>
        <v>0</v>
      </c>
      <c r="AW23" s="27" cm="1">
        <f t="array" ref="AW23">VLOOKUP($Q23,武学奇术!$A:$ZZ,8,FALSE)+SUM(_xlfn.XLOOKUP($R23:$AK23,增益!$A:$A,增益!$H:$H,0))</f>
        <v>0</v>
      </c>
      <c r="AX23">
        <f t="shared" si="1"/>
        <v>0</v>
      </c>
      <c r="AY23">
        <f t="shared" si="2"/>
        <v>0</v>
      </c>
      <c r="AZ23" s="34" cm="1">
        <f t="array" ref="AZ23">IF($F$11-$I$4+VLOOKUP($Q23,武学奇术!$A:$ZZ,9,FALSE)+SUM(_xlfn.XLOOKUP($R23:$AK23,增益!$A:$A,增益!$I:$I,0))&gt;0,($F$11-$I$4+VLOOKUP($Q23,武学奇术!$A:$ZZ,9,FALSE)+SUM(_xlfn.XLOOKUP($R23:$AK23,增益!$A:$A,增益!$I:$I,0)))/200,($F$11-$I$4+VLOOKUP($Q23,武学奇术!$A:$ZZ,9,FALSE)+SUM(_xlfn.XLOOKUP($R23:$AK23,增益!$A:$A,增益!$I:$I,0)))/100)</f>
        <v>-0.14</v>
      </c>
      <c r="BA23" s="34" cm="1">
        <f t="array" ref="BA23">$G$11+VLOOKUP($Q23,武学奇术!$A:$ZZ,10,FALSE)+SUM(_xlfn.XLOOKUP($R23:$AK23,增益!$A:$A,增益!$J:$J,0))</f>
        <v>0</v>
      </c>
      <c r="BB23">
        <f t="shared" si="3"/>
        <v>594.1</v>
      </c>
      <c r="BC23">
        <f t="shared" si="4"/>
        <v>1604.9</v>
      </c>
      <c r="BD23" s="34" cm="1">
        <f t="array" ref="BD23">IF($F$12-$I$4+VLOOKUP($Q23,武学奇术!$A:$ZZ,11,FALSE)+SUM(_xlfn.XLOOKUP($R23:$AK23,增益!$A:$A,增益!$K:$K,0))&gt;0,($F$12-$I$4+VLOOKUP($Q23,武学奇术!$A:$ZZ,11,FALSE)+SUM(_xlfn.XLOOKUP($R23:$AK23,增益!$A:$A,增益!$K:$K,0)))/200,($F$12-$I$4+VLOOKUP($Q23,武学奇术!$A:$ZZ,11,FALSE)+SUM(_xlfn.XLOOKUP($R23:$AK23,增益!$A:$A,增益!$K:$K,0)))/100)</f>
        <v>0.17</v>
      </c>
      <c r="BE23" s="34" cm="1">
        <f t="array" ref="BE23">$G$12+VLOOKUP($Q23,武学奇术!$A:$ZZ,12,FALSE)+SUM(_xlfn.XLOOKUP($R23:$AK23,增益!$A:$A,增益!$L:$L,0))</f>
        <v>0.15</v>
      </c>
      <c r="BF23">
        <f t="shared" si="5"/>
        <v>0</v>
      </c>
      <c r="BG23">
        <f t="shared" si="6"/>
        <v>0</v>
      </c>
      <c r="BH23" s="34" cm="1">
        <f t="array" ref="BH23">IF($F$13-$I$4+VLOOKUP($Q23,武学奇术!$A:$ZZ,13,FALSE)+SUM(_xlfn.XLOOKUP($R23:$AK23,增益!$A:$A,增益!$M:$M,0))&gt;0,($F$13-$I$4+VLOOKUP($Q23,武学奇术!$A:$ZZ,13,FALSE)+SUM(_xlfn.XLOOKUP($R23:$AK23,增益!$A:$A,增益!$K:$K,0)))/200,($F$13-$I$4+VLOOKUP($Q23,武学奇术!$A:$ZZ,13,FALSE)+SUM(_xlfn.XLOOKUP($R23:$AK23,增益!$A:$A,增益!$M:$M,0)))/100)</f>
        <v>-0.14</v>
      </c>
      <c r="BI23" s="34" cm="1">
        <f t="array" ref="BI23">$G$13+VLOOKUP($Q23,武学奇术!$A:$ZZ,14,FALSE)+SUM(_xlfn.XLOOKUP($R23:$AK23,增益!$A:$A,增益!$N:$N,0))</f>
        <v>0</v>
      </c>
      <c r="BJ23">
        <f t="shared" si="7"/>
        <v>0</v>
      </c>
      <c r="BK23">
        <f t="shared" si="8"/>
        <v>0</v>
      </c>
      <c r="BL23" s="34" cm="1">
        <f t="array" ref="BL23">IF($F$14-$I$4+VLOOKUP($Q23,武学奇术!$A:$ZZ,15,FALSE)+SUM(_xlfn.XLOOKUP($R23:$AK23,增益!$A:$A,增益!$O:$O,0))&gt;0,($F$14-$I$4+VLOOKUP($Q23,武学奇术!$A:$ZZ,15,FALSE)+SUM(_xlfn.XLOOKUP($R23:$AK23,增益!$A:$A,增益!$O:$O,0)))/200,($F$14-$I$4+VLOOKUP($Q23,武学奇术!$A:$ZZ,15,FALSE)+SUM(_xlfn.XLOOKUP($R23:$AK23,增益!$A:$A,增益!$O:$O,0)))/100)</f>
        <v>-0.14</v>
      </c>
      <c r="BM23" s="34" cm="1">
        <f t="array" ref="BM23">$G$14+VLOOKUP($Q23,武学奇术!$A:$ZZ,16,FALSE)+SUM(_xlfn.XLOOKUP($R23:$AK23,增益!$A:$A,增益!$P:$P,0))</f>
        <v>0</v>
      </c>
      <c r="BN23" s="27">
        <f>MIN(IF(VLOOKUP($Q23,武学奇术!$A:$ZZ,23,FALSE)=1,100%,$B$8),100%)</f>
        <v>0.9859</v>
      </c>
      <c r="BO23" s="27" cm="1">
        <f t="array" ref="BO23">IF(VLOOKUP($Q23,武学奇术!$A:$ZZ,23,FALSE)=1,100%,MIN(80%,$B$9+VLOOKUP($Q23,武学奇术!$A:$ZZ,17,FALSE)+SUM(_xlfn.XLOOKUP($R23:$AK23,增益!$A:$A,增益!$Q:$Q,0)))+$B$11+SUM(_xlfn.XLOOKUP($R23:$AK23,增益!$A:$A,增益!$U:$U,0)))*IF(VLOOKUP($Q23,武学奇术!$A:$ZZ,24,FALSE)=1,0,1)</f>
        <v>0.8912</v>
      </c>
      <c r="BP23" s="27" cm="1">
        <f t="array" ref="BP23">1+$B$13+VLOOKUP($Q23,武学奇术!$A:$ZZ,18,FALSE)+SUM(_xlfn.XLOOKUP($R23:$AK23,增益!$A:$A,增益!$R:$R,0))</f>
        <v>1.95</v>
      </c>
      <c r="BQ23" s="27" cm="1">
        <f t="array" ref="BQ23">IF(VLOOKUP($Q23,武学奇术!$A:$ZZ,24,FALSE)=1,100%,MIN(40%,$B$10+VLOOKUP($Q23,武学奇术!$A:$ZZ,19,FALSE)+SUM(_xlfn.XLOOKUP($R23:$AK23,增益!$A:$A,增益!$S:$S,0)))+$B$12+SUM(_xlfn.XLOOKUP($R23:$AK23,增益!$A:$A,增益!$V:$V,0)))*IF(VLOOKUP($Q23,武学奇术!$A:$ZZ,23,FALSE)=1,0,1)</f>
        <v>0.0929</v>
      </c>
      <c r="BR23" s="27" cm="1">
        <f t="array" ref="BR23">1+$B$14+VLOOKUP($Q23,武学奇术!$A:$ZZ,20,FALSE)+SUM(_xlfn.XLOOKUP($R23:$AK23,增益!$A:$A,增益!$T:$T,0))</f>
        <v>1.35</v>
      </c>
      <c r="BS23" s="27">
        <f t="shared" si="9"/>
        <v>0.87863408</v>
      </c>
      <c r="BT23" s="27">
        <f t="shared" si="10"/>
        <v>0.01567581</v>
      </c>
      <c r="BU23" s="27">
        <f>IF(VLOOKUP($Q23,武学奇术!$A:$ZZ,22,FALSE)=1,0,(1-$BN23))*(1-$BQ23)</f>
        <v>0.01279011</v>
      </c>
      <c r="BV23" s="27" cm="1">
        <f t="array" ref="BV23">SUM(_xlfn.XLOOKUP($R23:$AK23,增益!$A:$A,增益!$W:$W,0))+$I$5</f>
        <v>0.11</v>
      </c>
    </row>
    <row r="24" spans="1:74">
      <c r="A24" s="41"/>
      <c r="B24">
        <v>400</v>
      </c>
      <c r="K24" s="40">
        <f t="shared" si="0"/>
        <v>229478.87302076</v>
      </c>
      <c r="L24" s="40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BP24*$P24*(1+IF(VLOOKUP($Q24,武学奇术!$A:$ZZ,30,FALSE)="蓄力技",$B$21,0))*(1+$BV24)</f>
        <v>237945.512396626</v>
      </c>
      <c r="M24" s="40">
        <f>(($AT24*$AM24+$AN24)*(1+$AU24)*(1+$AV24)+($AY24*IF($G$1="鸣金",$AO24,$AM24)+IF($G$1="鸣金",$AP24*1.5,0))*(1+$AZ24)*(1+$BA24)+($BC24*IF($G$1="裂石",$AO24,$AM24)+IF($G$1="裂石",$AP24*1.5,0))*(1+$BD24)*(1+$BE24)+($BG24*IF($G$1="牵丝",$AO24,$AM24)+IF($G$1="牵丝",$AP24*1.5,0))*(1+$BH24)*(1+$BI24)+($BK24*IF($G$1="破竹",$AO24,$AM24)+IF($G$1="破竹",$AP24*1.5,0))*(1+$BL24)*(1+$BM24))*(1+$AQ24)*$BR24*$P24*(1+IF(VLOOKUP($Q24,武学奇术!$A:$ZZ,30,FALSE)="蓄力技",$B$21,0))*(1+$BV24)</f>
        <v>184327.029416984</v>
      </c>
      <c r="N24" s="40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P24*(1+IF(VLOOKUP($Q24,武学奇术!$A:$ZZ,30,FALSE)="蓄力技",$B$21,0))*(1+$BV24)</f>
        <v>122023.339690577</v>
      </c>
      <c r="O24" s="40">
        <f>((($AS24*$AM24+$AN24)*(1+$AU24)*(1+$AV24)+($AX24*IF($G$1="鸣金",$AO24,$AM24)+IF($G$1="鸣金",$AP24*1.5,0))*(1+$AZ24)*(1+$BA24)+($BB24*IF($G$1="裂石",$AO24,$AM24)+IF($G$1="裂石",$AP24*1.5,0))*(1+$BD24)*(1+$BE24)+($BF24*IF($G$1="牵丝",$AO24,$AM24)+IF($G$1="牵丝",$AP24*1.5,0))*(1+$BH24)*(1+$BI24)+($BJ24*IF($G$1="破竹",$AO24,$AM24)+IF($G$1="破竹",$AP24*1.5,0))*(1+$BL24)*(1+$BM24))*(1+$AQ24))*$P24*(1+IF(VLOOKUP($Q24,武学奇术!$A:$ZZ,30,FALSE)="蓄力技",$B$21,0))*(1+$BV24)</f>
        <v>107508.139072278</v>
      </c>
      <c r="P24" s="41">
        <v>1</v>
      </c>
      <c r="Q24" s="42" t="s">
        <v>156</v>
      </c>
      <c r="R24" s="42" t="s">
        <v>103</v>
      </c>
      <c r="S24" s="42" t="s">
        <v>77</v>
      </c>
      <c r="T24" s="42" t="s">
        <v>86</v>
      </c>
      <c r="U24" s="42" t="s">
        <v>121</v>
      </c>
      <c r="V24" s="42" t="s">
        <v>77</v>
      </c>
      <c r="W24" s="42" t="s">
        <v>77</v>
      </c>
      <c r="X24" s="42" t="s">
        <v>153</v>
      </c>
      <c r="Y24" s="42" t="s">
        <v>77</v>
      </c>
      <c r="Z24" s="42" t="s">
        <v>77</v>
      </c>
      <c r="AA24" s="42" t="s">
        <v>73</v>
      </c>
      <c r="AB24" s="42" t="s">
        <v>89</v>
      </c>
      <c r="AC24" s="42" t="s">
        <v>77</v>
      </c>
      <c r="AD24" s="42" t="s">
        <v>80</v>
      </c>
      <c r="AE24" s="42" t="s">
        <v>81</v>
      </c>
      <c r="AF24" s="42" t="s">
        <v>82</v>
      </c>
      <c r="AG24" s="42" t="s">
        <v>77</v>
      </c>
      <c r="AH24" s="42" t="s">
        <v>77</v>
      </c>
      <c r="AI24" s="42" t="s">
        <v>77</v>
      </c>
      <c r="AJ24" s="42" t="s">
        <v>77</v>
      </c>
      <c r="AK24" s="42" t="s">
        <v>90</v>
      </c>
      <c r="AL24" t="str">
        <f>VLOOKUP($Q24,武学奇术!$A:$ZZ,25,FALSE)</f>
        <v>陌刀</v>
      </c>
      <c r="AM24" s="27">
        <f>VLOOKUP($Q24,武学奇术!$A:$ZZ,26,FALSE)</f>
        <v>5.733</v>
      </c>
      <c r="AN24" s="28">
        <f>VLOOKUP($Q24,武学奇术!$A:$ZZ,27,FALSE)*(1+IF(OR($AL24=$F$4,$AL24=$F$5),$B$22,0))</f>
        <v>2377.5</v>
      </c>
      <c r="AO24" s="27">
        <f>VLOOKUP($Q24,武学奇术!$A:$ZZ,28,FALSE)</f>
        <v>8.5994</v>
      </c>
      <c r="AP24" s="28">
        <f>VLOOKUP($Q24,武学奇术!$A:$ZZ,29,FALSE)*(1+IF(OR($AL24=$F$4,$AL24=$F$5),$B$22,0))</f>
        <v>1294.5</v>
      </c>
      <c r="AQ24" s="27" cm="1">
        <f t="array" ref="AQ24">$G$3+IFERROR(VLOOKUP($AL24,$F$4:$G$7,2,FALSE),0)+VLOOKUP($Q24,武学奇术!$A:$ZZ,2,FALSE)+SUM(_xlfn.XLOOKUP($R24:$AK24,增益!$A:$A,增益!$B:$B,0))</f>
        <v>0.6941</v>
      </c>
      <c r="AR24" s="27" cm="1">
        <f t="array" ref="AR24">VLOOKUP($Q24,武学奇术!$A:$ZZ,5,FALSE)+SUM(_xlfn.XLOOKUP($R24:$AK24,增益!$A:$A,增益!$E:$E,0))</f>
        <v>0</v>
      </c>
      <c r="AS24" cm="1">
        <f t="array" ref="AS24">$D$10*(1+$AR24)+VLOOKUP($Q24,武学奇术!$A:$ZZ,3,FALSE)+SUM(_xlfn.XLOOKUP($R24:$AK24,增益!$A:$A,增益!$C:$C,0))-$I$2</f>
        <v>3648.7</v>
      </c>
      <c r="AT24" cm="1">
        <f t="array" ref="AT24">$E$10*(1+$AR24)+VLOOKUP($Q24,武学奇术!$A:$ZZ,4,FALSE)+SUM(_xlfn.XLOOKUP($R24:$AK24,增益!$A:$A,增益!$D:$D,0))-$I$2</f>
        <v>3648.7</v>
      </c>
      <c r="AU24" s="34" cm="1">
        <f t="array" ref="AU24">IF($F$10-$I$3+VLOOKUP($Q24,武学奇术!$A:$ZZ,6,FALSE)+SUM(_xlfn.XLOOKUP($R24:$AK24,增益!$A:$A,增益!$F:$F,0))&gt;0,($F$10-$I$3+VLOOKUP($Q24,武学奇术!$A:$ZZ,6,FALSE)+SUM(_xlfn.XLOOKUP($R24:$AK24,增益!$A:$A,增益!$F:$F,0)))/200,($F$10-$I$3+VLOOKUP($Q24,武学奇术!$A:$ZZ,6,FALSE)+SUM(_xlfn.XLOOKUP($R24:$AK24,增益!$A:$A,增益!$F:$F,0)))/100)</f>
        <v>0.452</v>
      </c>
      <c r="AV24" s="34" cm="1">
        <f t="array" ref="AV24">$G$10+VLOOKUP($Q24,武学奇术!$A:$ZZ,7,FALSE)+SUM(_xlfn.XLOOKUP($R24:$AK24,增益!$A:$A,增益!$G:$G,0))</f>
        <v>0</v>
      </c>
      <c r="AW24" s="27" cm="1">
        <f t="array" ref="AW24">VLOOKUP($Q24,武学奇术!$A:$ZZ,8,FALSE)+SUM(_xlfn.XLOOKUP($R24:$AK24,增益!$A:$A,增益!$H:$H,0))</f>
        <v>0</v>
      </c>
      <c r="AX24">
        <f t="shared" si="1"/>
        <v>0</v>
      </c>
      <c r="AY24">
        <f t="shared" si="2"/>
        <v>0</v>
      </c>
      <c r="AZ24" s="34" cm="1">
        <f t="array" ref="AZ24">IF($F$11-$I$4+VLOOKUP($Q24,武学奇术!$A:$ZZ,9,FALSE)+SUM(_xlfn.XLOOKUP($R24:$AK24,增益!$A:$A,增益!$I:$I,0))&gt;0,($F$11-$I$4+VLOOKUP($Q24,武学奇术!$A:$ZZ,9,FALSE)+SUM(_xlfn.XLOOKUP($R24:$AK24,增益!$A:$A,增益!$I:$I,0)))/200,($F$11-$I$4+VLOOKUP($Q24,武学奇术!$A:$ZZ,9,FALSE)+SUM(_xlfn.XLOOKUP($R24:$AK24,增益!$A:$A,增益!$I:$I,0)))/100)</f>
        <v>-0.14</v>
      </c>
      <c r="BA24" s="34" cm="1">
        <f t="array" ref="BA24">$G$11+VLOOKUP($Q24,武学奇术!$A:$ZZ,10,FALSE)+SUM(_xlfn.XLOOKUP($R24:$AK24,增益!$A:$A,增益!$J:$J,0))</f>
        <v>0</v>
      </c>
      <c r="BB24">
        <f t="shared" si="3"/>
        <v>594.1</v>
      </c>
      <c r="BC24">
        <f t="shared" si="4"/>
        <v>1604.9</v>
      </c>
      <c r="BD24" s="34" cm="1">
        <f t="array" ref="BD24">IF($F$12-$I$4+VLOOKUP($Q24,武学奇术!$A:$ZZ,11,FALSE)+SUM(_xlfn.XLOOKUP($R24:$AK24,增益!$A:$A,增益!$K:$K,0))&gt;0,($F$12-$I$4+VLOOKUP($Q24,武学奇术!$A:$ZZ,11,FALSE)+SUM(_xlfn.XLOOKUP($R24:$AK24,增益!$A:$A,增益!$K:$K,0)))/200,($F$12-$I$4+VLOOKUP($Q24,武学奇术!$A:$ZZ,11,FALSE)+SUM(_xlfn.XLOOKUP($R24:$AK24,增益!$A:$A,增益!$K:$K,0)))/100)</f>
        <v>0.17</v>
      </c>
      <c r="BE24" s="34" cm="1">
        <f t="array" ref="BE24">$G$12+VLOOKUP($Q24,武学奇术!$A:$ZZ,12,FALSE)+SUM(_xlfn.XLOOKUP($R24:$AK24,增益!$A:$A,增益!$L:$L,0))</f>
        <v>0.15</v>
      </c>
      <c r="BF24">
        <f t="shared" si="5"/>
        <v>0</v>
      </c>
      <c r="BG24">
        <f t="shared" si="6"/>
        <v>0</v>
      </c>
      <c r="BH24" s="34" cm="1">
        <f t="array" ref="BH24">IF($F$13-$I$4+VLOOKUP($Q24,武学奇术!$A:$ZZ,13,FALSE)+SUM(_xlfn.XLOOKUP($R24:$AK24,增益!$A:$A,增益!$M:$M,0))&gt;0,($F$13-$I$4+VLOOKUP($Q24,武学奇术!$A:$ZZ,13,FALSE)+SUM(_xlfn.XLOOKUP($R24:$AK24,增益!$A:$A,增益!$K:$K,0)))/200,($F$13-$I$4+VLOOKUP($Q24,武学奇术!$A:$ZZ,13,FALSE)+SUM(_xlfn.XLOOKUP($R24:$AK24,增益!$A:$A,增益!$M:$M,0)))/100)</f>
        <v>-0.14</v>
      </c>
      <c r="BI24" s="34" cm="1">
        <f t="array" ref="BI24">$G$13+VLOOKUP($Q24,武学奇术!$A:$ZZ,14,FALSE)+SUM(_xlfn.XLOOKUP($R24:$AK24,增益!$A:$A,增益!$N:$N,0))</f>
        <v>0</v>
      </c>
      <c r="BJ24">
        <f t="shared" si="7"/>
        <v>0</v>
      </c>
      <c r="BK24">
        <f t="shared" si="8"/>
        <v>0</v>
      </c>
      <c r="BL24" s="34" cm="1">
        <f t="array" ref="BL24">IF($F$14-$I$4+VLOOKUP($Q24,武学奇术!$A:$ZZ,15,FALSE)+SUM(_xlfn.XLOOKUP($R24:$AK24,增益!$A:$A,增益!$O:$O,0))&gt;0,($F$14-$I$4+VLOOKUP($Q24,武学奇术!$A:$ZZ,15,FALSE)+SUM(_xlfn.XLOOKUP($R24:$AK24,增益!$A:$A,增益!$O:$O,0)))/200,($F$14-$I$4+VLOOKUP($Q24,武学奇术!$A:$ZZ,15,FALSE)+SUM(_xlfn.XLOOKUP($R24:$AK24,增益!$A:$A,增益!$O:$O,0)))/100)</f>
        <v>-0.14</v>
      </c>
      <c r="BM24" s="34" cm="1">
        <f t="array" ref="BM24">$G$14+VLOOKUP($Q24,武学奇术!$A:$ZZ,16,FALSE)+SUM(_xlfn.XLOOKUP($R24:$AK24,增益!$A:$A,增益!$P:$P,0))</f>
        <v>0</v>
      </c>
      <c r="BN24" s="27">
        <f>MIN(IF(VLOOKUP($Q24,武学奇术!$A:$ZZ,23,FALSE)=1,100%,$B$8),100%)</f>
        <v>0.9859</v>
      </c>
      <c r="BO24" s="27" cm="1">
        <f t="array" ref="BO24">IF(VLOOKUP($Q24,武学奇术!$A:$ZZ,23,FALSE)=1,100%,MIN(80%,$B$9+VLOOKUP($Q24,武学奇术!$A:$ZZ,17,FALSE)+SUM(_xlfn.XLOOKUP($R24:$AK24,增益!$A:$A,增益!$Q:$Q,0)))+$B$11+SUM(_xlfn.XLOOKUP($R24:$AK24,增益!$A:$A,增益!$U:$U,0)))*IF(VLOOKUP($Q24,武学奇术!$A:$ZZ,24,FALSE)=1,0,1)</f>
        <v>0.8912</v>
      </c>
      <c r="BP24" s="27" cm="1">
        <f t="array" ref="BP24">1+$B$13+VLOOKUP($Q24,武学奇术!$A:$ZZ,18,FALSE)+SUM(_xlfn.XLOOKUP($R24:$AK24,增益!$A:$A,增益!$R:$R,0))</f>
        <v>1.95</v>
      </c>
      <c r="BQ24" s="27" cm="1">
        <f t="array" ref="BQ24">IF(VLOOKUP($Q24,武学奇术!$A:$ZZ,24,FALSE)=1,100%,MIN(40%,$B$10+VLOOKUP($Q24,武学奇术!$A:$ZZ,19,FALSE)+SUM(_xlfn.XLOOKUP($R24:$AK24,增益!$A:$A,增益!$S:$S,0)))+$B$12+SUM(_xlfn.XLOOKUP($R24:$AK24,增益!$A:$A,增益!$V:$V,0)))*IF(VLOOKUP($Q24,武学奇术!$A:$ZZ,23,FALSE)=1,0,1)</f>
        <v>0.0929</v>
      </c>
      <c r="BR24" s="27" cm="1">
        <f t="array" ref="BR24">1+$B$14+VLOOKUP($Q24,武学奇术!$A:$ZZ,20,FALSE)+SUM(_xlfn.XLOOKUP($R24:$AK24,增益!$A:$A,增益!$T:$T,0))</f>
        <v>1.35</v>
      </c>
      <c r="BS24" s="27">
        <f t="shared" si="9"/>
        <v>0.87863408</v>
      </c>
      <c r="BT24" s="27">
        <f t="shared" si="10"/>
        <v>0.01567581</v>
      </c>
      <c r="BU24" s="27">
        <f>IF(VLOOKUP($Q24,武学奇术!$A:$ZZ,22,FALSE)=1,0,(1-$BN24))*(1-$BQ24)</f>
        <v>0.01279011</v>
      </c>
      <c r="BV24" s="27" cm="1">
        <f t="array" ref="BV24">SUM(_xlfn.XLOOKUP($R24:$AK24,增益!$A:$A,增益!$W:$W,0))+$I$5</f>
        <v>0.11</v>
      </c>
    </row>
    <row r="25" spans="1:74">
      <c r="K25" s="40">
        <f t="shared" si="0"/>
        <v>53824.8383341098</v>
      </c>
      <c r="L25" s="40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BP25*$P25*(1+IF(VLOOKUP($Q25,武学奇术!$A:$ZZ,30,FALSE)="蓄力技",$B$21,0))*(1+$BV25)</f>
        <v>55855.1958983608</v>
      </c>
      <c r="M25" s="40">
        <f>(($AT25*$AM25+$AN25)*(1+$AU25)*(1+$AV25)+($AY25*IF($G$1="鸣金",$AO25,$AM25)+IF($G$1="鸣金",$AP25*1.5,0))*(1+$AZ25)*(1+$BA25)+($BC25*IF($G$1="裂石",$AO25,$AM25)+IF($G$1="裂石",$AP25*1.5,0))*(1+$BD25)*(1+$BE25)+($BG25*IF($G$1="牵丝",$AO25,$AM25)+IF($G$1="牵丝",$AP25*1.5,0))*(1+$BH25)*(1+$BI25)+($BK25*IF($G$1="破竹",$AO25,$AM25)+IF($G$1="破竹",$AP25*1.5,0))*(1+$BL25)*(1+$BM25))*(1+$AQ25)*$BR25*$P25*(1+IF(VLOOKUP($Q25,武学奇术!$A:$ZZ,30,FALSE)="蓄力技",$B$21,0))*(1+$BV25)</f>
        <v>42826.8237862901</v>
      </c>
      <c r="N25" s="40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P25*(1+IF(VLOOKUP($Q25,武学奇术!$A:$ZZ,30,FALSE)="蓄力技",$B$21,0))*(1+$BV25)</f>
        <v>28497.5489277351</v>
      </c>
      <c r="O25" s="40">
        <f>((($AS25*$AM25+$AN25)*(1+$AU25)*(1+$AV25)+($AX25*IF($G$1="鸣金",$AO25,$AM25)+IF($G$1="鸣金",$AP25*1.5,0))*(1+$AZ25)*(1+$BA25)+($BB25*IF($G$1="裂石",$AO25,$AM25)+IF($G$1="裂石",$AP25*1.5,0))*(1+$BD25)*(1+$BE25)+($BF25*IF($G$1="牵丝",$AO25,$AM25)+IF($G$1="牵丝",$AP25*1.5,0))*(1+$BH25)*(1+$BI25)+($BJ25*IF($G$1="破竹",$AO25,$AM25)+IF($G$1="破竹",$AP25*1.5,0))*(1+$BL25)*(1+$BM25))*(1+$AQ25))*$P25*(1+IF(VLOOKUP($Q25,武学奇术!$A:$ZZ,30,FALSE)="蓄力技",$B$21,0))*(1+$BV25)</f>
        <v>25271.5246804405</v>
      </c>
      <c r="P25" s="41">
        <v>1</v>
      </c>
      <c r="Q25" s="42" t="s">
        <v>157</v>
      </c>
      <c r="R25" s="42" t="s">
        <v>103</v>
      </c>
      <c r="S25" s="42" t="s">
        <v>77</v>
      </c>
      <c r="T25" s="42" t="s">
        <v>77</v>
      </c>
      <c r="U25" s="42" t="s">
        <v>121</v>
      </c>
      <c r="V25" s="42" t="s">
        <v>77</v>
      </c>
      <c r="W25" s="42" t="s">
        <v>77</v>
      </c>
      <c r="X25" s="42" t="s">
        <v>158</v>
      </c>
      <c r="Y25" s="42" t="s">
        <v>77</v>
      </c>
      <c r="Z25" s="42" t="s">
        <v>77</v>
      </c>
      <c r="AA25" s="42" t="s">
        <v>73</v>
      </c>
      <c r="AB25" s="42" t="s">
        <v>89</v>
      </c>
      <c r="AC25" s="42" t="s">
        <v>77</v>
      </c>
      <c r="AD25" s="42" t="s">
        <v>80</v>
      </c>
      <c r="AE25" s="42" t="s">
        <v>81</v>
      </c>
      <c r="AF25" s="42" t="s">
        <v>82</v>
      </c>
      <c r="AG25" s="42" t="s">
        <v>77</v>
      </c>
      <c r="AH25" s="42" t="s">
        <v>77</v>
      </c>
      <c r="AI25" s="42" t="s">
        <v>77</v>
      </c>
      <c r="AJ25" s="42" t="s">
        <v>77</v>
      </c>
      <c r="AK25" s="42" t="s">
        <v>90</v>
      </c>
      <c r="AL25" t="str">
        <f>VLOOKUP($Q25,武学奇术!$A:$ZZ,25,FALSE)</f>
        <v>陌刀</v>
      </c>
      <c r="AM25" s="27">
        <f>VLOOKUP($Q25,武学奇术!$A:$ZZ,26,FALSE)</f>
        <v>1.8948</v>
      </c>
      <c r="AN25" s="28">
        <f>VLOOKUP($Q25,武学奇术!$A:$ZZ,27,FALSE)*(1+IF(OR($AL25=$F$4,$AL25=$F$5),$B$22,0))</f>
        <v>787.5</v>
      </c>
      <c r="AO25" s="27">
        <f>VLOOKUP($Q25,武学奇术!$A:$ZZ,28,FALSE)</f>
        <v>2.8422</v>
      </c>
      <c r="AP25" s="28">
        <f>VLOOKUP($Q25,武学奇术!$A:$ZZ,29,FALSE)*(1+IF(OR($AL25=$F$4,$AL25=$F$5),$B$22,0))</f>
        <v>429</v>
      </c>
      <c r="AQ25" s="27" cm="1">
        <f t="array" ref="AQ25">$G$3+IFERROR(VLOOKUP($AL25,$F$4:$G$7,2,FALSE),0)+VLOOKUP($Q25,武学奇术!$A:$ZZ,2,FALSE)+SUM(_xlfn.XLOOKUP($R25:$AK25,增益!$A:$A,增益!$B:$B,0))</f>
        <v>0.6141</v>
      </c>
      <c r="AR25" s="27" cm="1">
        <f t="array" ref="AR25">VLOOKUP($Q25,武学奇术!$A:$ZZ,5,FALSE)+SUM(_xlfn.XLOOKUP($R25:$AK25,增益!$A:$A,增益!$E:$E,0))</f>
        <v>0</v>
      </c>
      <c r="AS25" cm="1">
        <f t="array" ref="AS25">$D$10*(1+$AR25)+VLOOKUP($Q25,武学奇术!$A:$ZZ,3,FALSE)+SUM(_xlfn.XLOOKUP($R25:$AK25,增益!$A:$A,增益!$C:$C,0))-$I$2</f>
        <v>3648.7</v>
      </c>
      <c r="AT25" cm="1">
        <f t="array" ref="AT25">$E$10*(1+$AR25)+VLOOKUP($Q25,武学奇术!$A:$ZZ,4,FALSE)+SUM(_xlfn.XLOOKUP($R25:$AK25,增益!$A:$A,增益!$D:$D,0))-$I$2</f>
        <v>3648.7</v>
      </c>
      <c r="AU25" s="34" cm="1">
        <f t="array" ref="AU25">IF($F$10-$I$3+VLOOKUP($Q25,武学奇术!$A:$ZZ,6,FALSE)+SUM(_xlfn.XLOOKUP($R25:$AK25,增益!$A:$A,增益!$F:$F,0))&gt;0,($F$10-$I$3+VLOOKUP($Q25,武学奇术!$A:$ZZ,6,FALSE)+SUM(_xlfn.XLOOKUP($R25:$AK25,增益!$A:$A,增益!$F:$F,0)))/200,($F$10-$I$3+VLOOKUP($Q25,武学奇术!$A:$ZZ,6,FALSE)+SUM(_xlfn.XLOOKUP($R25:$AK25,增益!$A:$A,增益!$F:$F,0)))/100)</f>
        <v>0.452</v>
      </c>
      <c r="AV25" s="34" cm="1">
        <f t="array" ref="AV25">$G$10+VLOOKUP($Q25,武学奇术!$A:$ZZ,7,FALSE)+SUM(_xlfn.XLOOKUP($R25:$AK25,增益!$A:$A,增益!$G:$G,0))</f>
        <v>0</v>
      </c>
      <c r="AW25" s="27" cm="1">
        <f t="array" ref="AW25">VLOOKUP($Q25,武学奇术!$A:$ZZ,8,FALSE)+SUM(_xlfn.XLOOKUP($R25:$AK25,增益!$A:$A,增益!$H:$H,0))</f>
        <v>0</v>
      </c>
      <c r="AX25">
        <f t="shared" si="1"/>
        <v>0</v>
      </c>
      <c r="AY25">
        <f t="shared" si="2"/>
        <v>0</v>
      </c>
      <c r="AZ25" s="34" cm="1">
        <f t="array" ref="AZ25">IF($F$11-$I$4+VLOOKUP($Q25,武学奇术!$A:$ZZ,9,FALSE)+SUM(_xlfn.XLOOKUP($R25:$AK25,增益!$A:$A,增益!$I:$I,0))&gt;0,($F$11-$I$4+VLOOKUP($Q25,武学奇术!$A:$ZZ,9,FALSE)+SUM(_xlfn.XLOOKUP($R25:$AK25,增益!$A:$A,增益!$I:$I,0)))/200,($F$11-$I$4+VLOOKUP($Q25,武学奇术!$A:$ZZ,9,FALSE)+SUM(_xlfn.XLOOKUP($R25:$AK25,增益!$A:$A,增益!$I:$I,0)))/100)</f>
        <v>-0.3</v>
      </c>
      <c r="BA25" s="34" cm="1">
        <f t="array" ref="BA25">$G$11+VLOOKUP($Q25,武学奇术!$A:$ZZ,10,FALSE)+SUM(_xlfn.XLOOKUP($R25:$AK25,增益!$A:$A,增益!$J:$J,0))</f>
        <v>0</v>
      </c>
      <c r="BB25">
        <f t="shared" si="3"/>
        <v>594.1</v>
      </c>
      <c r="BC25">
        <f t="shared" si="4"/>
        <v>1604.9</v>
      </c>
      <c r="BD25" s="34" cm="1">
        <f t="array" ref="BD25">IF($F$12-$I$4+VLOOKUP($Q25,武学奇术!$A:$ZZ,11,FALSE)+SUM(_xlfn.XLOOKUP($R25:$AK25,增益!$A:$A,增益!$K:$K,0))&gt;0,($F$12-$I$4+VLOOKUP($Q25,武学奇术!$A:$ZZ,11,FALSE)+SUM(_xlfn.XLOOKUP($R25:$AK25,增益!$A:$A,增益!$K:$K,0)))/200,($F$12-$I$4+VLOOKUP($Q25,武学奇术!$A:$ZZ,11,FALSE)+SUM(_xlfn.XLOOKUP($R25:$AK25,增益!$A:$A,增益!$K:$K,0)))/100)</f>
        <v>0.09</v>
      </c>
      <c r="BE25" s="34" cm="1">
        <f t="array" ref="BE25">$G$12+VLOOKUP($Q25,武学奇术!$A:$ZZ,12,FALSE)+SUM(_xlfn.XLOOKUP($R25:$AK25,增益!$A:$A,增益!$L:$L,0))</f>
        <v>0.15</v>
      </c>
      <c r="BF25">
        <f t="shared" si="5"/>
        <v>0</v>
      </c>
      <c r="BG25">
        <f t="shared" si="6"/>
        <v>0</v>
      </c>
      <c r="BH25" s="34" cm="1">
        <f t="array" ref="BH25">IF($F$13-$I$4+VLOOKUP($Q25,武学奇术!$A:$ZZ,13,FALSE)+SUM(_xlfn.XLOOKUP($R25:$AK25,增益!$A:$A,增益!$M:$M,0))&gt;0,($F$13-$I$4+VLOOKUP($Q25,武学奇术!$A:$ZZ,13,FALSE)+SUM(_xlfn.XLOOKUP($R25:$AK25,增益!$A:$A,增益!$K:$K,0)))/200,($F$13-$I$4+VLOOKUP($Q25,武学奇术!$A:$ZZ,13,FALSE)+SUM(_xlfn.XLOOKUP($R25:$AK25,增益!$A:$A,增益!$M:$M,0)))/100)</f>
        <v>-0.3</v>
      </c>
      <c r="BI25" s="34" cm="1">
        <f t="array" ref="BI25">$G$13+VLOOKUP($Q25,武学奇术!$A:$ZZ,14,FALSE)+SUM(_xlfn.XLOOKUP($R25:$AK25,增益!$A:$A,增益!$N:$N,0))</f>
        <v>0</v>
      </c>
      <c r="BJ25">
        <f t="shared" si="7"/>
        <v>0</v>
      </c>
      <c r="BK25">
        <f t="shared" si="8"/>
        <v>0</v>
      </c>
      <c r="BL25" s="34" cm="1">
        <f t="array" ref="BL25">IF($F$14-$I$4+VLOOKUP($Q25,武学奇术!$A:$ZZ,15,FALSE)+SUM(_xlfn.XLOOKUP($R25:$AK25,增益!$A:$A,增益!$O:$O,0))&gt;0,($F$14-$I$4+VLOOKUP($Q25,武学奇术!$A:$ZZ,15,FALSE)+SUM(_xlfn.XLOOKUP($R25:$AK25,增益!$A:$A,增益!$O:$O,0)))/200,($F$14-$I$4+VLOOKUP($Q25,武学奇术!$A:$ZZ,15,FALSE)+SUM(_xlfn.XLOOKUP($R25:$AK25,增益!$A:$A,增益!$O:$O,0)))/100)</f>
        <v>-0.3</v>
      </c>
      <c r="BM25" s="34" cm="1">
        <f t="array" ref="BM25">$G$14+VLOOKUP($Q25,武学奇术!$A:$ZZ,16,FALSE)+SUM(_xlfn.XLOOKUP($R25:$AK25,增益!$A:$A,增益!$P:$P,0))</f>
        <v>0</v>
      </c>
      <c r="BN25" s="27">
        <f>MIN(IF(VLOOKUP($Q25,武学奇术!$A:$ZZ,23,FALSE)=1,100%,$B$8),100%)</f>
        <v>0.9859</v>
      </c>
      <c r="BO25" s="27" cm="1">
        <f t="array" ref="BO25">IF(VLOOKUP($Q25,武学奇术!$A:$ZZ,23,FALSE)=1,100%,MIN(80%,$B$9+VLOOKUP($Q25,武学奇术!$A:$ZZ,17,FALSE)+SUM(_xlfn.XLOOKUP($R25:$AK25,增益!$A:$A,增益!$Q:$Q,0)))+$B$11+SUM(_xlfn.XLOOKUP($R25:$AK25,增益!$A:$A,增益!$U:$U,0)))*IF(VLOOKUP($Q25,武学奇术!$A:$ZZ,24,FALSE)=1,0,1)</f>
        <v>0.8912</v>
      </c>
      <c r="BP25" s="27" cm="1">
        <f t="array" ref="BP25">1+$B$13+VLOOKUP($Q25,武学奇术!$A:$ZZ,18,FALSE)+SUM(_xlfn.XLOOKUP($R25:$AK25,增益!$A:$A,增益!$R:$R,0))</f>
        <v>1.96</v>
      </c>
      <c r="BQ25" s="27" cm="1">
        <f t="array" ref="BQ25">IF(VLOOKUP($Q25,武学奇术!$A:$ZZ,24,FALSE)=1,100%,MIN(40%,$B$10+VLOOKUP($Q25,武学奇术!$A:$ZZ,19,FALSE)+SUM(_xlfn.XLOOKUP($R25:$AK25,增益!$A:$A,增益!$S:$S,0)))+$B$12+SUM(_xlfn.XLOOKUP($R25:$AK25,增益!$A:$A,增益!$V:$V,0)))*IF(VLOOKUP($Q25,武学奇术!$A:$ZZ,23,FALSE)=1,0,1)</f>
        <v>0.0929</v>
      </c>
      <c r="BR25" s="27" cm="1">
        <f t="array" ref="BR25">1+$B$14+VLOOKUP($Q25,武学奇术!$A:$ZZ,20,FALSE)+SUM(_xlfn.XLOOKUP($R25:$AK25,增益!$A:$A,增益!$T:$T,0))</f>
        <v>1.35</v>
      </c>
      <c r="BS25" s="27">
        <f t="shared" si="9"/>
        <v>0.87863408</v>
      </c>
      <c r="BT25" s="27">
        <f t="shared" si="10"/>
        <v>0.01567581</v>
      </c>
      <c r="BU25" s="27">
        <f>IF(VLOOKUP($Q25,武学奇术!$A:$ZZ,22,FALSE)=1,0,(1-$BN25))*(1-$BQ25)</f>
        <v>0.01279011</v>
      </c>
      <c r="BV25" s="27" cm="1">
        <f t="array" ref="BV25">SUM(_xlfn.XLOOKUP($R25:$AK25,增益!$A:$A,增益!$W:$W,0))+$I$5</f>
        <v>0.11</v>
      </c>
    </row>
    <row r="26" spans="1:74">
      <c r="K26" s="40">
        <f t="shared" si="0"/>
        <v>24947.4076483451</v>
      </c>
      <c r="L26" s="40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BP26*$P26*(1+IF(VLOOKUP($Q26,武学奇术!$A:$ZZ,30,FALSE)="蓄力技",$B$21,0))*(1+$BV26)</f>
        <v>25864.067185182</v>
      </c>
      <c r="M26" s="40">
        <f>(($AT26*$AM26+$AN26)*(1+$AU26)*(1+$AV26)+($AY26*IF($G$1="鸣金",$AO26,$AM26)+IF($G$1="鸣金",$AP26*1.5,0))*(1+$AZ26)*(1+$BA26)+($BC26*IF($G$1="裂石",$AO26,$AM26)+IF($G$1="裂石",$AP26*1.5,0))*(1+$BD26)*(1+$BE26)+($BG26*IF($G$1="牵丝",$AO26,$AM26)+IF($G$1="牵丝",$AP26*1.5,0))*(1+$BH26)*(1+$BI26)+($BK26*IF($G$1="破竹",$AO26,$AM26)+IF($G$1="破竹",$AP26*1.5,0))*(1+$BL26)*(1+$BM26))*(1+$AQ26)*$BR26*$P26*(1+IF(VLOOKUP($Q26,武学奇术!$A:$ZZ,30,FALSE)="蓄力技",$B$21,0))*(1+$BV26)</f>
        <v>20113.0017321018</v>
      </c>
      <c r="N26" s="40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P26*(1+IF(VLOOKUP($Q26,武学奇术!$A:$ZZ,30,FALSE)="蓄力技",$B$21,0))*(1+$BV26)</f>
        <v>13195.952645501</v>
      </c>
      <c r="O26" s="40">
        <f>((($AS26*$AM26+$AN26)*(1+$AU26)*(1+$AV26)+($AX26*IF($G$1="鸣金",$AO26,$AM26)+IF($G$1="鸣金",$AP26*1.5,0))*(1+$AZ26)*(1+$BA26)+($BB26*IF($G$1="裂石",$AO26,$AM26)+IF($G$1="裂石",$AP26*1.5,0))*(1+$BD26)*(1+$BE26)+($BF26*IF($G$1="牵丝",$AO26,$AM26)+IF($G$1="牵丝",$AP26*1.5,0))*(1+$BH26)*(1+$BI26)+($BJ26*IF($G$1="破竹",$AO26,$AM26)+IF($G$1="破竹",$AP26*1.5,0))*(1+$BL26)*(1+$BM26))*(1+$AQ26))*$P26*(1+IF(VLOOKUP($Q26,武学奇术!$A:$ZZ,30,FALSE)="蓄力技",$B$21,0))*(1+$BV26)</f>
        <v>11493.3854894452</v>
      </c>
      <c r="P26" s="41">
        <v>1</v>
      </c>
      <c r="Q26" s="42" t="s">
        <v>159</v>
      </c>
      <c r="R26" s="42" t="s">
        <v>103</v>
      </c>
      <c r="S26" s="42" t="s">
        <v>77</v>
      </c>
      <c r="T26" s="42" t="s">
        <v>77</v>
      </c>
      <c r="U26" s="42" t="s">
        <v>121</v>
      </c>
      <c r="V26" s="42" t="s">
        <v>77</v>
      </c>
      <c r="W26" s="42" t="s">
        <v>77</v>
      </c>
      <c r="X26" s="42" t="s">
        <v>158</v>
      </c>
      <c r="Y26" s="42" t="s">
        <v>77</v>
      </c>
      <c r="Z26" s="42" t="s">
        <v>77</v>
      </c>
      <c r="AA26" s="42" t="s">
        <v>73</v>
      </c>
      <c r="AB26" s="42" t="s">
        <v>89</v>
      </c>
      <c r="AC26" s="42" t="s">
        <v>77</v>
      </c>
      <c r="AD26" s="42" t="s">
        <v>80</v>
      </c>
      <c r="AE26" s="42" t="s">
        <v>81</v>
      </c>
      <c r="AF26" s="42" t="s">
        <v>82</v>
      </c>
      <c r="AG26" s="42" t="s">
        <v>77</v>
      </c>
      <c r="AH26" s="42" t="s">
        <v>77</v>
      </c>
      <c r="AI26" s="42" t="s">
        <v>77</v>
      </c>
      <c r="AJ26" s="42" t="s">
        <v>77</v>
      </c>
      <c r="AK26" s="42" t="s">
        <v>90</v>
      </c>
      <c r="AL26" t="str">
        <f>VLOOKUP($Q26,武学奇术!$A:$ZZ,25,FALSE)</f>
        <v>陌刀</v>
      </c>
      <c r="AM26" s="27">
        <f>VLOOKUP($Q26,武学奇术!$A:$ZZ,26,FALSE)</f>
        <v>1</v>
      </c>
      <c r="AN26" s="28">
        <f>VLOOKUP($Q26,武学奇术!$A:$ZZ,27,FALSE)*(1+IF(OR($AL26=$F$4,$AL26=$F$5),$B$22,0))</f>
        <v>0</v>
      </c>
      <c r="AO26" s="27">
        <f>VLOOKUP($Q26,武学奇术!$A:$ZZ,28,FALSE)</f>
        <v>1.5</v>
      </c>
      <c r="AP26" s="28">
        <f>VLOOKUP($Q26,武学奇术!$A:$ZZ,29,FALSE)*(1+IF(OR($AL26=$F$4,$AL26=$F$5),$B$22,0))</f>
        <v>0</v>
      </c>
      <c r="AQ26" s="27" cm="1">
        <f t="array" ref="AQ26">$G$3+IFERROR(VLOOKUP($AL26,$F$4:$G$7,2,FALSE),0)+VLOOKUP($Q26,武学奇术!$A:$ZZ,2,FALSE)+SUM(_xlfn.XLOOKUP($R26:$AK26,增益!$A:$A,增益!$B:$B,0))</f>
        <v>0.6141</v>
      </c>
      <c r="AR26" s="27" cm="1">
        <f t="array" ref="AR26">VLOOKUP($Q26,武学奇术!$A:$ZZ,5,FALSE)+SUM(_xlfn.XLOOKUP($R26:$AK26,增益!$A:$A,增益!$E:$E,0))</f>
        <v>0</v>
      </c>
      <c r="AS26" cm="1">
        <f t="array" ref="AS26">$D$10*(1+$AR26)+VLOOKUP($Q26,武学奇术!$A:$ZZ,3,FALSE)+SUM(_xlfn.XLOOKUP($R26:$AK26,增益!$A:$A,增益!$C:$C,0))-$I$2</f>
        <v>3648.7</v>
      </c>
      <c r="AT26" cm="1">
        <f t="array" ref="AT26">$E$10*(1+$AR26)+VLOOKUP($Q26,武学奇术!$A:$ZZ,4,FALSE)+SUM(_xlfn.XLOOKUP($R26:$AK26,增益!$A:$A,增益!$D:$D,0))-$I$2</f>
        <v>3648.7</v>
      </c>
      <c r="AU26" s="34" cm="1">
        <f t="array" ref="AU26">IF($F$10-$I$3+VLOOKUP($Q26,武学奇术!$A:$ZZ,6,FALSE)+SUM(_xlfn.XLOOKUP($R26:$AK26,增益!$A:$A,增益!$F:$F,0))&gt;0,($F$10-$I$3+VLOOKUP($Q26,武学奇术!$A:$ZZ,6,FALSE)+SUM(_xlfn.XLOOKUP($R26:$AK26,增益!$A:$A,增益!$F:$F,0)))/200,($F$10-$I$3+VLOOKUP($Q26,武学奇术!$A:$ZZ,6,FALSE)+SUM(_xlfn.XLOOKUP($R26:$AK26,增益!$A:$A,增益!$F:$F,0)))/100)</f>
        <v>0.452</v>
      </c>
      <c r="AV26" s="34" cm="1">
        <f t="array" ref="AV26">$G$10+VLOOKUP($Q26,武学奇术!$A:$ZZ,7,FALSE)+SUM(_xlfn.XLOOKUP($R26:$AK26,增益!$A:$A,增益!$G:$G,0))</f>
        <v>0</v>
      </c>
      <c r="AW26" s="27" cm="1">
        <f t="array" ref="AW26">VLOOKUP($Q26,武学奇术!$A:$ZZ,8,FALSE)+SUM(_xlfn.XLOOKUP($R26:$AK26,增益!$A:$A,增益!$H:$H,0))</f>
        <v>0</v>
      </c>
      <c r="AX26">
        <f t="shared" si="1"/>
        <v>0</v>
      </c>
      <c r="AY26">
        <f t="shared" si="2"/>
        <v>0</v>
      </c>
      <c r="AZ26" s="34" cm="1">
        <f t="array" ref="AZ26">IF($F$11-$I$4+VLOOKUP($Q26,武学奇术!$A:$ZZ,9,FALSE)+SUM(_xlfn.XLOOKUP($R26:$AK26,增益!$A:$A,增益!$I:$I,0))&gt;0,($F$11-$I$4+VLOOKUP($Q26,武学奇术!$A:$ZZ,9,FALSE)+SUM(_xlfn.XLOOKUP($R26:$AK26,增益!$A:$A,增益!$I:$I,0)))/200,($F$11-$I$4+VLOOKUP($Q26,武学奇术!$A:$ZZ,9,FALSE)+SUM(_xlfn.XLOOKUP($R26:$AK26,增益!$A:$A,增益!$I:$I,0)))/100)</f>
        <v>-0.3</v>
      </c>
      <c r="BA26" s="34" cm="1">
        <f t="array" ref="BA26">$G$11+VLOOKUP($Q26,武学奇术!$A:$ZZ,10,FALSE)+SUM(_xlfn.XLOOKUP($R26:$AK26,增益!$A:$A,增益!$J:$J,0))</f>
        <v>0</v>
      </c>
      <c r="BB26">
        <f t="shared" si="3"/>
        <v>594.1</v>
      </c>
      <c r="BC26">
        <f t="shared" si="4"/>
        <v>1604.9</v>
      </c>
      <c r="BD26" s="34" cm="1">
        <f t="array" ref="BD26">IF($F$12-$I$4+VLOOKUP($Q26,武学奇术!$A:$ZZ,11,FALSE)+SUM(_xlfn.XLOOKUP($R26:$AK26,增益!$A:$A,增益!$K:$K,0))&gt;0,($F$12-$I$4+VLOOKUP($Q26,武学奇术!$A:$ZZ,11,FALSE)+SUM(_xlfn.XLOOKUP($R26:$AK26,增益!$A:$A,增益!$K:$K,0)))/200,($F$12-$I$4+VLOOKUP($Q26,武学奇术!$A:$ZZ,11,FALSE)+SUM(_xlfn.XLOOKUP($R26:$AK26,增益!$A:$A,增益!$K:$K,0)))/100)</f>
        <v>0.09</v>
      </c>
      <c r="BE26" s="34" cm="1">
        <f t="array" ref="BE26">$G$12+VLOOKUP($Q26,武学奇术!$A:$ZZ,12,FALSE)+SUM(_xlfn.XLOOKUP($R26:$AK26,增益!$A:$A,增益!$L:$L,0))</f>
        <v>0.15</v>
      </c>
      <c r="BF26">
        <f t="shared" si="5"/>
        <v>0</v>
      </c>
      <c r="BG26">
        <f t="shared" si="6"/>
        <v>0</v>
      </c>
      <c r="BH26" s="34" cm="1">
        <f t="array" ref="BH26">IF($F$13-$I$4+VLOOKUP($Q26,武学奇术!$A:$ZZ,13,FALSE)+SUM(_xlfn.XLOOKUP($R26:$AK26,增益!$A:$A,增益!$M:$M,0))&gt;0,($F$13-$I$4+VLOOKUP($Q26,武学奇术!$A:$ZZ,13,FALSE)+SUM(_xlfn.XLOOKUP($R26:$AK26,增益!$A:$A,增益!$K:$K,0)))/200,($F$13-$I$4+VLOOKUP($Q26,武学奇术!$A:$ZZ,13,FALSE)+SUM(_xlfn.XLOOKUP($R26:$AK26,增益!$A:$A,增益!$M:$M,0)))/100)</f>
        <v>-0.3</v>
      </c>
      <c r="BI26" s="34" cm="1">
        <f t="array" ref="BI26">$G$13+VLOOKUP($Q26,武学奇术!$A:$ZZ,14,FALSE)+SUM(_xlfn.XLOOKUP($R26:$AK26,增益!$A:$A,增益!$N:$N,0))</f>
        <v>0</v>
      </c>
      <c r="BJ26">
        <f t="shared" si="7"/>
        <v>0</v>
      </c>
      <c r="BK26">
        <f t="shared" si="8"/>
        <v>0</v>
      </c>
      <c r="BL26" s="34" cm="1">
        <f t="array" ref="BL26">IF($F$14-$I$4+VLOOKUP($Q26,武学奇术!$A:$ZZ,15,FALSE)+SUM(_xlfn.XLOOKUP($R26:$AK26,增益!$A:$A,增益!$O:$O,0))&gt;0,($F$14-$I$4+VLOOKUP($Q26,武学奇术!$A:$ZZ,15,FALSE)+SUM(_xlfn.XLOOKUP($R26:$AK26,增益!$A:$A,增益!$O:$O,0)))/200,($F$14-$I$4+VLOOKUP($Q26,武学奇术!$A:$ZZ,15,FALSE)+SUM(_xlfn.XLOOKUP($R26:$AK26,增益!$A:$A,增益!$O:$O,0)))/100)</f>
        <v>-0.3</v>
      </c>
      <c r="BM26" s="34" cm="1">
        <f t="array" ref="BM26">$G$14+VLOOKUP($Q26,武学奇术!$A:$ZZ,16,FALSE)+SUM(_xlfn.XLOOKUP($R26:$AK26,增益!$A:$A,增益!$P:$P,0))</f>
        <v>0</v>
      </c>
      <c r="BN26" s="27">
        <f>MIN(IF(VLOOKUP($Q26,武学奇术!$A:$ZZ,23,FALSE)=1,100%,$B$8),100%)</f>
        <v>0.9859</v>
      </c>
      <c r="BO26" s="27" cm="1">
        <f t="array" ref="BO26">IF(VLOOKUP($Q26,武学奇术!$A:$ZZ,23,FALSE)=1,100%,MIN(80%,$B$9+VLOOKUP($Q26,武学奇术!$A:$ZZ,17,FALSE)+SUM(_xlfn.XLOOKUP($R26:$AK26,增益!$A:$A,增益!$Q:$Q,0)))+$B$11+SUM(_xlfn.XLOOKUP($R26:$AK26,增益!$A:$A,增益!$U:$U,0)))*IF(VLOOKUP($Q26,武学奇术!$A:$ZZ,24,FALSE)=1,0,1)</f>
        <v>0.8912</v>
      </c>
      <c r="BP26" s="27" cm="1">
        <f t="array" ref="BP26">1+$B$13+VLOOKUP($Q26,武学奇术!$A:$ZZ,18,FALSE)+SUM(_xlfn.XLOOKUP($R26:$AK26,增益!$A:$A,增益!$R:$R,0))</f>
        <v>1.96</v>
      </c>
      <c r="BQ26" s="27" cm="1">
        <f t="array" ref="BQ26">IF(VLOOKUP($Q26,武学奇术!$A:$ZZ,24,FALSE)=1,100%,MIN(40%,$B$10+VLOOKUP($Q26,武学奇术!$A:$ZZ,19,FALSE)+SUM(_xlfn.XLOOKUP($R26:$AK26,增益!$A:$A,增益!$S:$S,0)))+$B$12+SUM(_xlfn.XLOOKUP($R26:$AK26,增益!$A:$A,增益!$V:$V,0)))*IF(VLOOKUP($Q26,武学奇术!$A:$ZZ,23,FALSE)=1,0,1)</f>
        <v>0.0929</v>
      </c>
      <c r="BR26" s="27" cm="1">
        <f t="array" ref="BR26">1+$B$14+VLOOKUP($Q26,武学奇术!$A:$ZZ,20,FALSE)+SUM(_xlfn.XLOOKUP($R26:$AK26,增益!$A:$A,增益!$T:$T,0))</f>
        <v>1.35</v>
      </c>
      <c r="BS26" s="27">
        <f t="shared" si="9"/>
        <v>0.87863408</v>
      </c>
      <c r="BT26" s="27">
        <f t="shared" si="10"/>
        <v>0.01567581</v>
      </c>
      <c r="BU26" s="27">
        <f>IF(VLOOKUP($Q26,武学奇术!$A:$ZZ,22,FALSE)=1,0,(1-$BN26))*(1-$BQ26)</f>
        <v>0.01279011</v>
      </c>
      <c r="BV26" s="27" cm="1">
        <f t="array" ref="BV26">SUM(_xlfn.XLOOKUP($R26:$AK26,增益!$A:$A,增益!$W:$W,0))+$I$5</f>
        <v>0.11</v>
      </c>
    </row>
    <row r="27" spans="1:74">
      <c r="A27" t="s">
        <v>160</v>
      </c>
      <c r="B27">
        <v>2</v>
      </c>
      <c r="C27" s="41" t="s">
        <v>161</v>
      </c>
      <c r="K27" s="40">
        <f t="shared" si="0"/>
        <v>30358.8340628035</v>
      </c>
      <c r="L27" s="40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BP27*$P27*(1+IF(VLOOKUP($Q27,武学奇术!$A:$ZZ,30,FALSE)="蓄力技",$B$21,0))*(1+$BV27)</f>
        <v>31428.7580588238</v>
      </c>
      <c r="M27" s="40">
        <f>(($AT27*$AM27+$AN27)*(1+$AU27)*(1+$AV27)+($AY27*IF($G$1="鸣金",$AO27,$AM27)+IF($G$1="鸣金",$AP27*1.5,0))*(1+$AZ27)*(1+$BA27)+($BC27*IF($G$1="裂石",$AO27,$AM27)+IF($G$1="裂石",$AP27*1.5,0))*(1+$BD27)*(1+$BE27)+($BG27*IF($G$1="牵丝",$AO27,$AM27)+IF($G$1="牵丝",$AP27*1.5,0))*(1+$BH27)*(1+$BI27)+($BK27*IF($G$1="破竹",$AO27,$AM27)+IF($G$1="破竹",$AP27*1.5,0))*(1+$BL27)*(1+$BM27))*(1+$AQ27)*$BR27*$P27*(1+IF(VLOOKUP($Q27,武学奇术!$A:$ZZ,30,FALSE)="蓄力技",$B$21,0))*(1+$BV27)</f>
        <v>24759.6471607279</v>
      </c>
      <c r="N27" s="40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P27*(1+IF(VLOOKUP($Q27,武学奇术!$A:$ZZ,30,FALSE)="蓄力技",$B$21,0))*(1+$BV27)</f>
        <v>16454.8471512167</v>
      </c>
      <c r="O27" s="40">
        <f>((($AS27*$AM27+$AN27)*(1+$AU27)*(1+$AV27)+($AX27*IF($G$1="鸣金",$AO27,$AM27)+IF($G$1="鸣金",$AP27*1.5,0))*(1+$AZ27)*(1+$BA27)+($BB27*IF($G$1="裂石",$AO27,$AM27)+IF($G$1="裂石",$AP27*1.5,0))*(1+$BD27)*(1+$BE27)+($BF27*IF($G$1="牵丝",$AO27,$AM27)+IF($G$1="牵丝",$AP27*1.5,0))*(1+$BH27)*(1+$BI27)+($BJ27*IF($G$1="破竹",$AO27,$AM27)+IF($G$1="破竹",$AP27*1.5,0))*(1+$BL27)*(1+$BM27))*(1+$AQ27))*$P27*(1+IF(VLOOKUP($Q27,武学奇术!$A:$ZZ,30,FALSE)="蓄力技",$B$21,0))*(1+$BV27)</f>
        <v>14569.2149241164</v>
      </c>
      <c r="P27" s="41">
        <v>1</v>
      </c>
      <c r="Q27" s="42" t="s">
        <v>162</v>
      </c>
      <c r="R27" s="42" t="s">
        <v>103</v>
      </c>
      <c r="S27" s="42" t="s">
        <v>77</v>
      </c>
      <c r="T27" s="42" t="s">
        <v>77</v>
      </c>
      <c r="U27" s="42" t="s">
        <v>87</v>
      </c>
      <c r="V27" s="42" t="s">
        <v>77</v>
      </c>
      <c r="W27" s="42" t="s">
        <v>77</v>
      </c>
      <c r="X27" s="42" t="s">
        <v>158</v>
      </c>
      <c r="Y27" s="42" t="s">
        <v>77</v>
      </c>
      <c r="Z27" s="42" t="s">
        <v>77</v>
      </c>
      <c r="AA27" s="42" t="s">
        <v>77</v>
      </c>
      <c r="AB27" s="42" t="s">
        <v>89</v>
      </c>
      <c r="AC27" s="42" t="s">
        <v>77</v>
      </c>
      <c r="AD27" s="42" t="s">
        <v>80</v>
      </c>
      <c r="AE27" s="42" t="s">
        <v>81</v>
      </c>
      <c r="AF27" s="42" t="s">
        <v>82</v>
      </c>
      <c r="AG27" s="42" t="s">
        <v>77</v>
      </c>
      <c r="AH27" s="42" t="s">
        <v>77</v>
      </c>
      <c r="AI27" s="42" t="s">
        <v>77</v>
      </c>
      <c r="AJ27" s="42" t="s">
        <v>77</v>
      </c>
      <c r="AK27" s="42" t="s">
        <v>90</v>
      </c>
      <c r="AL27" t="str">
        <f>VLOOKUP($Q27,武学奇术!$A:$ZZ,25,FALSE)</f>
        <v>横刀</v>
      </c>
      <c r="AM27" s="27">
        <f>VLOOKUP($Q27,武学奇术!$A:$ZZ,26,FALSE)</f>
        <v>1.2338</v>
      </c>
      <c r="AN27" s="28">
        <f>VLOOKUP($Q27,武学奇术!$A:$ZZ,27,FALSE)*(1+IF(OR($AL27=$F$4,$AL27=$F$5),$B$22,0))</f>
        <v>513</v>
      </c>
      <c r="AO27" s="27">
        <f>VLOOKUP($Q27,武学奇术!$A:$ZZ,28,FALSE)</f>
        <v>1.8507</v>
      </c>
      <c r="AP27" s="28">
        <f>VLOOKUP($Q27,武学奇术!$A:$ZZ,29,FALSE)*(1+IF(OR($AL27=$F$4,$AL27=$F$5),$B$22,0))</f>
        <v>279</v>
      </c>
      <c r="AQ27" s="27" cm="1">
        <f t="array" ref="AQ27">$G$3+IFERROR(VLOOKUP($AL27,$F$4:$G$7,2,FALSE),0)+VLOOKUP($Q27,武学奇术!$A:$ZZ,2,FALSE)+SUM(_xlfn.XLOOKUP($R27:$AK27,增益!$A:$A,增益!$B:$B,0))</f>
        <v>0.4489</v>
      </c>
      <c r="AR27" s="27" cm="1">
        <f t="array" ref="AR27">VLOOKUP($Q27,武学奇术!$A:$ZZ,5,FALSE)+SUM(_xlfn.XLOOKUP($R27:$AK27,增益!$A:$A,增益!$E:$E,0))</f>
        <v>0</v>
      </c>
      <c r="AS27" cm="1">
        <f t="array" ref="AS27">$D$10*(1+$AR27)+VLOOKUP($Q27,武学奇术!$A:$ZZ,3,FALSE)+SUM(_xlfn.XLOOKUP($R27:$AK27,增益!$A:$A,增益!$C:$C,0))-$I$2</f>
        <v>3648.7</v>
      </c>
      <c r="AT27" cm="1">
        <f t="array" ref="AT27">$E$10*(1+$AR27)+VLOOKUP($Q27,武学奇术!$A:$ZZ,4,FALSE)+SUM(_xlfn.XLOOKUP($R27:$AK27,增益!$A:$A,增益!$D:$D,0))-$I$2</f>
        <v>3648.7</v>
      </c>
      <c r="AU27" s="34" cm="1">
        <f t="array" ref="AU27">IF($F$10-$I$3+VLOOKUP($Q27,武学奇术!$A:$ZZ,6,FALSE)+SUM(_xlfn.XLOOKUP($R27:$AK27,增益!$A:$A,增益!$F:$F,0))&gt;0,($F$10-$I$3+VLOOKUP($Q27,武学奇术!$A:$ZZ,6,FALSE)+SUM(_xlfn.XLOOKUP($R27:$AK27,增益!$A:$A,增益!$F:$F,0)))/200,($F$10-$I$3+VLOOKUP($Q27,武学奇术!$A:$ZZ,6,FALSE)+SUM(_xlfn.XLOOKUP($R27:$AK27,增益!$A:$A,增益!$F:$F,0)))/100)</f>
        <v>0.427</v>
      </c>
      <c r="AV27" s="34" cm="1">
        <f t="array" ref="AV27">$G$10+VLOOKUP($Q27,武学奇术!$A:$ZZ,7,FALSE)+SUM(_xlfn.XLOOKUP($R27:$AK27,增益!$A:$A,增益!$G:$G,0))</f>
        <v>0</v>
      </c>
      <c r="AW27" s="27" cm="1">
        <f t="array" ref="AW27">VLOOKUP($Q27,武学奇术!$A:$ZZ,8,FALSE)+SUM(_xlfn.XLOOKUP($R27:$AK27,增益!$A:$A,增益!$H:$H,0))</f>
        <v>0</v>
      </c>
      <c r="AX27">
        <f t="shared" si="1"/>
        <v>0</v>
      </c>
      <c r="AY27">
        <f t="shared" si="2"/>
        <v>0</v>
      </c>
      <c r="AZ27" s="34" cm="1">
        <f t="array" ref="AZ27">IF($F$11-$I$4+VLOOKUP($Q27,武学奇术!$A:$ZZ,9,FALSE)+SUM(_xlfn.XLOOKUP($R27:$AK27,增益!$A:$A,增益!$I:$I,0))&gt;0,($F$11-$I$4+VLOOKUP($Q27,武学奇术!$A:$ZZ,9,FALSE)+SUM(_xlfn.XLOOKUP($R27:$AK27,增益!$A:$A,增益!$I:$I,0)))/200,($F$11-$I$4+VLOOKUP($Q27,武学奇术!$A:$ZZ,9,FALSE)+SUM(_xlfn.XLOOKUP($R27:$AK27,增益!$A:$A,增益!$I:$I,0)))/100)</f>
        <v>-0.3</v>
      </c>
      <c r="BA27" s="34" cm="1">
        <f t="array" ref="BA27">$G$11+VLOOKUP($Q27,武学奇术!$A:$ZZ,10,FALSE)+SUM(_xlfn.XLOOKUP($R27:$AK27,增益!$A:$A,增益!$J:$J,0))</f>
        <v>0</v>
      </c>
      <c r="BB27">
        <f t="shared" si="3"/>
        <v>594.1</v>
      </c>
      <c r="BC27">
        <f t="shared" si="4"/>
        <v>1604.9</v>
      </c>
      <c r="BD27" s="34" cm="1">
        <f t="array" ref="BD27">IF($F$12-$I$4+VLOOKUP($Q27,武学奇术!$A:$ZZ,11,FALSE)+SUM(_xlfn.XLOOKUP($R27:$AK27,增益!$A:$A,增益!$K:$K,0))&gt;0,($F$12-$I$4+VLOOKUP($Q27,武学奇术!$A:$ZZ,11,FALSE)+SUM(_xlfn.XLOOKUP($R27:$AK27,增益!$A:$A,增益!$K:$K,0)))/200,($F$12-$I$4+VLOOKUP($Q27,武学奇术!$A:$ZZ,11,FALSE)+SUM(_xlfn.XLOOKUP($R27:$AK27,增益!$A:$A,增益!$K:$K,0)))/100)</f>
        <v>0.09</v>
      </c>
      <c r="BE27" s="34" cm="1">
        <f t="array" ref="BE27">$G$12+VLOOKUP($Q27,武学奇术!$A:$ZZ,12,FALSE)+SUM(_xlfn.XLOOKUP($R27:$AK27,增益!$A:$A,增益!$L:$L,0))</f>
        <v>0.15</v>
      </c>
      <c r="BF27">
        <f t="shared" si="5"/>
        <v>0</v>
      </c>
      <c r="BG27">
        <f t="shared" si="6"/>
        <v>0</v>
      </c>
      <c r="BH27" s="34" cm="1">
        <f t="array" ref="BH27">IF($F$13-$I$4+VLOOKUP($Q27,武学奇术!$A:$ZZ,13,FALSE)+SUM(_xlfn.XLOOKUP($R27:$AK27,增益!$A:$A,增益!$M:$M,0))&gt;0,($F$13-$I$4+VLOOKUP($Q27,武学奇术!$A:$ZZ,13,FALSE)+SUM(_xlfn.XLOOKUP($R27:$AK27,增益!$A:$A,增益!$K:$K,0)))/200,($F$13-$I$4+VLOOKUP($Q27,武学奇术!$A:$ZZ,13,FALSE)+SUM(_xlfn.XLOOKUP($R27:$AK27,增益!$A:$A,增益!$M:$M,0)))/100)</f>
        <v>-0.3</v>
      </c>
      <c r="BI27" s="34" cm="1">
        <f t="array" ref="BI27">$G$13+VLOOKUP($Q27,武学奇术!$A:$ZZ,14,FALSE)+SUM(_xlfn.XLOOKUP($R27:$AK27,增益!$A:$A,增益!$N:$N,0))</f>
        <v>0</v>
      </c>
      <c r="BJ27">
        <f t="shared" si="7"/>
        <v>0</v>
      </c>
      <c r="BK27">
        <f t="shared" si="8"/>
        <v>0</v>
      </c>
      <c r="BL27" s="34" cm="1">
        <f t="array" ref="BL27">IF($F$14-$I$4+VLOOKUP($Q27,武学奇术!$A:$ZZ,15,FALSE)+SUM(_xlfn.XLOOKUP($R27:$AK27,增益!$A:$A,增益!$O:$O,0))&gt;0,($F$14-$I$4+VLOOKUP($Q27,武学奇术!$A:$ZZ,15,FALSE)+SUM(_xlfn.XLOOKUP($R27:$AK27,增益!$A:$A,增益!$O:$O,0)))/200,($F$14-$I$4+VLOOKUP($Q27,武学奇术!$A:$ZZ,15,FALSE)+SUM(_xlfn.XLOOKUP($R27:$AK27,增益!$A:$A,增益!$O:$O,0)))/100)</f>
        <v>-0.3</v>
      </c>
      <c r="BM27" s="34" cm="1">
        <f t="array" ref="BM27">$G$14+VLOOKUP($Q27,武学奇术!$A:$ZZ,16,FALSE)+SUM(_xlfn.XLOOKUP($R27:$AK27,增益!$A:$A,增益!$P:$P,0))</f>
        <v>0</v>
      </c>
      <c r="BN27" s="27">
        <f>MIN(IF(VLOOKUP($Q27,武学奇术!$A:$ZZ,23,FALSE)=1,100%,$B$8),100%)</f>
        <v>0.9859</v>
      </c>
      <c r="BO27" s="27" cm="1">
        <f t="array" ref="BO27">IF(VLOOKUP($Q27,武学奇术!$A:$ZZ,23,FALSE)=1,100%,MIN(80%,$B$9+VLOOKUP($Q27,武学奇术!$A:$ZZ,17,FALSE)+SUM(_xlfn.XLOOKUP($R27:$AK27,增益!$A:$A,增益!$Q:$Q,0)))+$B$11+SUM(_xlfn.XLOOKUP($R27:$AK27,增益!$A:$A,增益!$U:$U,0)))*IF(VLOOKUP($Q27,武学奇术!$A:$ZZ,24,FALSE)=1,0,1)</f>
        <v>0.8912</v>
      </c>
      <c r="BP27" s="27" cm="1">
        <f t="array" ref="BP27">1+$B$13+VLOOKUP($Q27,武学奇术!$A:$ZZ,18,FALSE)+SUM(_xlfn.XLOOKUP($R27:$AK27,增益!$A:$A,增益!$R:$R,0))</f>
        <v>1.91</v>
      </c>
      <c r="BQ27" s="27" cm="1">
        <f t="array" ref="BQ27">IF(VLOOKUP($Q27,武学奇术!$A:$ZZ,24,FALSE)=1,100%,MIN(40%,$B$10+VLOOKUP($Q27,武学奇术!$A:$ZZ,19,FALSE)+SUM(_xlfn.XLOOKUP($R27:$AK27,增益!$A:$A,增益!$S:$S,0)))+$B$12+SUM(_xlfn.XLOOKUP($R27:$AK27,增益!$A:$A,增益!$V:$V,0)))*IF(VLOOKUP($Q27,武学奇术!$A:$ZZ,23,FALSE)=1,0,1)</f>
        <v>0.0929</v>
      </c>
      <c r="BR27" s="27" cm="1">
        <f t="array" ref="BR27">1+$B$14+VLOOKUP($Q27,武学奇术!$A:$ZZ,20,FALSE)+SUM(_xlfn.XLOOKUP($R27:$AK27,增益!$A:$A,增益!$T:$T,0))</f>
        <v>1.35</v>
      </c>
      <c r="BS27" s="27">
        <f t="shared" si="9"/>
        <v>0.87863408</v>
      </c>
      <c r="BT27" s="27">
        <f t="shared" si="10"/>
        <v>0.01567581</v>
      </c>
      <c r="BU27" s="27">
        <f>IF(VLOOKUP($Q27,武学奇术!$A:$ZZ,22,FALSE)=1,0,(1-$BN27))*(1-$BQ27)</f>
        <v>0.01279011</v>
      </c>
      <c r="BV27" s="27" cm="1">
        <f t="array" ref="BV27">SUM(_xlfn.XLOOKUP($R27:$AK27,增益!$A:$A,增益!$W:$W,0))+$I$5</f>
        <v>0.11</v>
      </c>
    </row>
    <row r="28" spans="1:74">
      <c r="A28" t="s">
        <v>163</v>
      </c>
      <c r="B28">
        <v>1.3</v>
      </c>
      <c r="C28" s="41"/>
      <c r="K28" s="40">
        <f t="shared" si="0"/>
        <v>93430.7672237941</v>
      </c>
      <c r="L28" s="40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BP28*$P28*(1+IF(VLOOKUP($Q28,武学奇术!$A:$ZZ,30,FALSE)="蓄力技",$B$21,0))*(1+$BV28)</f>
        <v>96768.9549929603</v>
      </c>
      <c r="M28" s="40">
        <f>(($AT28*$AM28+$AN28)*(1+$AU28)*(1+$AV28)+($AY28*IF($G$1="鸣金",$AO28,$AM28)+IF($G$1="鸣金",$AP28*1.5,0))*(1+$AZ28)*(1+$BA28)+($BC28*IF($G$1="裂石",$AO28,$AM28)+IF($G$1="裂石",$AP28*1.5,0))*(1+$BD28)*(1+$BE28)+($BG28*IF($G$1="牵丝",$AO28,$AM28)+IF($G$1="牵丝",$AP28*1.5,0))*(1+$BH28)*(1+$BI28)+($BK28*IF($G$1="破竹",$AO28,$AM28)+IF($G$1="破竹",$AP28*1.5,0))*(1+$BL28)*(1+$BM28))*(1+$AQ28)*$BR28*$P28*(1+IF(VLOOKUP($Q28,武学奇术!$A:$ZZ,30,FALSE)="蓄力技",$B$21,0))*(1+$BV28)</f>
        <v>75839.1010687356</v>
      </c>
      <c r="N28" s="40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P28*(1+IF(VLOOKUP($Q28,武学奇术!$A:$ZZ,30,FALSE)="蓄力技",$B$21,0))*(1+$BV28)</f>
        <v>50400.4973921668</v>
      </c>
      <c r="O28" s="40">
        <f>((($AS28*$AM28+$AN28)*(1+$AU28)*(1+$AV28)+($AX28*IF($G$1="鸣金",$AO28,$AM28)+IF($G$1="鸣金",$AP28*1.5,0))*(1+$AZ28)*(1+$BA28)+($BB28*IF($G$1="裂石",$AO28,$AM28)+IF($G$1="裂石",$AP28*1.5,0))*(1+$BD28)*(1+$BE28)+($BF28*IF($G$1="牵丝",$AO28,$AM28)+IF($G$1="牵丝",$AP28*1.5,0))*(1+$BH28)*(1+$BI28)+($BJ28*IF($G$1="破竹",$AO28,$AM28)+IF($G$1="破竹",$AP28*1.5,0))*(1+$BL28)*(1+$BM28))*(1+$AQ28))*$P28*(1+IF(VLOOKUP($Q28,武学奇术!$A:$ZZ,30,FALSE)="蓄力技",$B$21,0))*(1+$BV28)</f>
        <v>44623.8828815665</v>
      </c>
      <c r="P28" s="41">
        <v>1</v>
      </c>
      <c r="Q28" s="42" t="s">
        <v>164</v>
      </c>
      <c r="R28" s="42" t="s">
        <v>103</v>
      </c>
      <c r="S28" s="42" t="s">
        <v>77</v>
      </c>
      <c r="T28" s="42" t="s">
        <v>77</v>
      </c>
      <c r="U28" s="42" t="s">
        <v>87</v>
      </c>
      <c r="V28" s="42" t="s">
        <v>77</v>
      </c>
      <c r="W28" s="42" t="s">
        <v>77</v>
      </c>
      <c r="X28" s="42" t="s">
        <v>165</v>
      </c>
      <c r="Y28" s="42" t="s">
        <v>77</v>
      </c>
      <c r="Z28" s="42" t="s">
        <v>77</v>
      </c>
      <c r="AA28" s="42" t="s">
        <v>77</v>
      </c>
      <c r="AB28" s="42" t="s">
        <v>89</v>
      </c>
      <c r="AC28" s="42" t="s">
        <v>77</v>
      </c>
      <c r="AD28" s="42" t="s">
        <v>80</v>
      </c>
      <c r="AE28" s="42" t="s">
        <v>81</v>
      </c>
      <c r="AF28" s="42" t="s">
        <v>82</v>
      </c>
      <c r="AG28" s="42" t="s">
        <v>77</v>
      </c>
      <c r="AH28" s="42" t="s">
        <v>77</v>
      </c>
      <c r="AI28" s="42" t="s">
        <v>77</v>
      </c>
      <c r="AJ28" s="42" t="s">
        <v>77</v>
      </c>
      <c r="AK28" s="42" t="s">
        <v>90</v>
      </c>
      <c r="AL28" t="str">
        <f>VLOOKUP($Q28,武学奇术!$A:$ZZ,25,FALSE)</f>
        <v>横刀</v>
      </c>
      <c r="AM28" s="27">
        <f>VLOOKUP($Q28,武学奇术!$A:$ZZ,26,FALSE)</f>
        <v>3.7797</v>
      </c>
      <c r="AN28" s="28">
        <f>VLOOKUP($Q28,武学奇术!$A:$ZZ,27,FALSE)*(1+IF(OR($AL28=$F$4,$AL28=$F$5),$B$22,0))</f>
        <v>1567.5</v>
      </c>
      <c r="AO28" s="27">
        <f>VLOOKUP($Q28,武学奇术!$A:$ZZ,28,FALSE)</f>
        <v>5.6696</v>
      </c>
      <c r="AP28" s="28">
        <f>VLOOKUP($Q28,武学奇术!$A:$ZZ,29,FALSE)*(1+IF(OR($AL28=$F$4,$AL28=$F$5),$B$22,0))</f>
        <v>855</v>
      </c>
      <c r="AQ28" s="27" cm="1">
        <f t="array" ref="AQ28">$G$3+IFERROR(VLOOKUP($AL28,$F$4:$G$7,2,FALSE),0)+VLOOKUP($Q28,武学奇术!$A:$ZZ,2,FALSE)+SUM(_xlfn.XLOOKUP($R28:$AK28,增益!$A:$A,增益!$B:$B,0))</f>
        <v>0.4489</v>
      </c>
      <c r="AR28" s="27" cm="1">
        <f t="array" ref="AR28">VLOOKUP($Q28,武学奇术!$A:$ZZ,5,FALSE)+SUM(_xlfn.XLOOKUP($R28:$AK28,增益!$A:$A,增益!$E:$E,0))</f>
        <v>0</v>
      </c>
      <c r="AS28" cm="1">
        <f t="array" ref="AS28">$D$10*(1+$AR28)+VLOOKUP($Q28,武学奇术!$A:$ZZ,3,FALSE)+SUM(_xlfn.XLOOKUP($R28:$AK28,增益!$A:$A,增益!$C:$C,0))-$I$2</f>
        <v>3648.7</v>
      </c>
      <c r="AT28" cm="1">
        <f t="array" ref="AT28">$E$10*(1+$AR28)+VLOOKUP($Q28,武学奇术!$A:$ZZ,4,FALSE)+SUM(_xlfn.XLOOKUP($R28:$AK28,增益!$A:$A,增益!$D:$D,0))-$I$2</f>
        <v>3648.7</v>
      </c>
      <c r="AU28" s="34" cm="1">
        <f t="array" ref="AU28">IF($F$10-$I$3+VLOOKUP($Q28,武学奇术!$A:$ZZ,6,FALSE)+SUM(_xlfn.XLOOKUP($R28:$AK28,增益!$A:$A,增益!$F:$F,0))&gt;0,($F$10-$I$3+VLOOKUP($Q28,武学奇术!$A:$ZZ,6,FALSE)+SUM(_xlfn.XLOOKUP($R28:$AK28,增益!$A:$A,增益!$F:$F,0)))/200,($F$10-$I$3+VLOOKUP($Q28,武学奇术!$A:$ZZ,6,FALSE)+SUM(_xlfn.XLOOKUP($R28:$AK28,增益!$A:$A,增益!$F:$F,0)))/100)</f>
        <v>0.427</v>
      </c>
      <c r="AV28" s="34" cm="1">
        <f t="array" ref="AV28">$G$10+VLOOKUP($Q28,武学奇术!$A:$ZZ,7,FALSE)+SUM(_xlfn.XLOOKUP($R28:$AK28,增益!$A:$A,增益!$G:$G,0))</f>
        <v>0</v>
      </c>
      <c r="AW28" s="27" cm="1">
        <f t="array" ref="AW28">VLOOKUP($Q28,武学奇术!$A:$ZZ,8,FALSE)+SUM(_xlfn.XLOOKUP($R28:$AK28,增益!$A:$A,增益!$H:$H,0))</f>
        <v>0</v>
      </c>
      <c r="AX28">
        <f t="shared" si="1"/>
        <v>0</v>
      </c>
      <c r="AY28">
        <f t="shared" si="2"/>
        <v>0</v>
      </c>
      <c r="AZ28" s="34" cm="1">
        <f t="array" ref="AZ28">IF($F$11-$I$4+VLOOKUP($Q28,武学奇术!$A:$ZZ,9,FALSE)+SUM(_xlfn.XLOOKUP($R28:$AK28,增益!$A:$A,增益!$I:$I,0))&gt;0,($F$11-$I$4+VLOOKUP($Q28,武学奇术!$A:$ZZ,9,FALSE)+SUM(_xlfn.XLOOKUP($R28:$AK28,增益!$A:$A,增益!$I:$I,0)))/200,($F$11-$I$4+VLOOKUP($Q28,武学奇术!$A:$ZZ,9,FALSE)+SUM(_xlfn.XLOOKUP($R28:$AK28,增益!$A:$A,增益!$I:$I,0)))/100)</f>
        <v>-0.3</v>
      </c>
      <c r="BA28" s="34" cm="1">
        <f t="array" ref="BA28">$G$11+VLOOKUP($Q28,武学奇术!$A:$ZZ,10,FALSE)+SUM(_xlfn.XLOOKUP($R28:$AK28,增益!$A:$A,增益!$J:$J,0))</f>
        <v>0</v>
      </c>
      <c r="BB28">
        <f t="shared" si="3"/>
        <v>594.1</v>
      </c>
      <c r="BC28">
        <f t="shared" si="4"/>
        <v>1604.9</v>
      </c>
      <c r="BD28" s="34" cm="1">
        <f t="array" ref="BD28">IF($F$12-$I$4+VLOOKUP($Q28,武学奇术!$A:$ZZ,11,FALSE)+SUM(_xlfn.XLOOKUP($R28:$AK28,增益!$A:$A,增益!$K:$K,0))&gt;0,($F$12-$I$4+VLOOKUP($Q28,武学奇术!$A:$ZZ,11,FALSE)+SUM(_xlfn.XLOOKUP($R28:$AK28,增益!$A:$A,增益!$K:$K,0)))/200,($F$12-$I$4+VLOOKUP($Q28,武学奇术!$A:$ZZ,11,FALSE)+SUM(_xlfn.XLOOKUP($R28:$AK28,增益!$A:$A,增益!$K:$K,0)))/100)</f>
        <v>0.09</v>
      </c>
      <c r="BE28" s="34" cm="1">
        <f t="array" ref="BE28">$G$12+VLOOKUP($Q28,武学奇术!$A:$ZZ,12,FALSE)+SUM(_xlfn.XLOOKUP($R28:$AK28,增益!$A:$A,增益!$L:$L,0))</f>
        <v>0.15</v>
      </c>
      <c r="BF28">
        <f t="shared" si="5"/>
        <v>0</v>
      </c>
      <c r="BG28">
        <f t="shared" si="6"/>
        <v>0</v>
      </c>
      <c r="BH28" s="34" cm="1">
        <f t="array" ref="BH28">IF($F$13-$I$4+VLOOKUP($Q28,武学奇术!$A:$ZZ,13,FALSE)+SUM(_xlfn.XLOOKUP($R28:$AK28,增益!$A:$A,增益!$M:$M,0))&gt;0,($F$13-$I$4+VLOOKUP($Q28,武学奇术!$A:$ZZ,13,FALSE)+SUM(_xlfn.XLOOKUP($R28:$AK28,增益!$A:$A,增益!$K:$K,0)))/200,($F$13-$I$4+VLOOKUP($Q28,武学奇术!$A:$ZZ,13,FALSE)+SUM(_xlfn.XLOOKUP($R28:$AK28,增益!$A:$A,增益!$M:$M,0)))/100)</f>
        <v>-0.3</v>
      </c>
      <c r="BI28" s="34" cm="1">
        <f t="array" ref="BI28">$G$13+VLOOKUP($Q28,武学奇术!$A:$ZZ,14,FALSE)+SUM(_xlfn.XLOOKUP($R28:$AK28,增益!$A:$A,增益!$N:$N,0))</f>
        <v>0</v>
      </c>
      <c r="BJ28">
        <f t="shared" si="7"/>
        <v>0</v>
      </c>
      <c r="BK28">
        <f t="shared" si="8"/>
        <v>0</v>
      </c>
      <c r="BL28" s="34" cm="1">
        <f t="array" ref="BL28">IF($F$14-$I$4+VLOOKUP($Q28,武学奇术!$A:$ZZ,15,FALSE)+SUM(_xlfn.XLOOKUP($R28:$AK28,增益!$A:$A,增益!$O:$O,0))&gt;0,($F$14-$I$4+VLOOKUP($Q28,武学奇术!$A:$ZZ,15,FALSE)+SUM(_xlfn.XLOOKUP($R28:$AK28,增益!$A:$A,增益!$O:$O,0)))/200,($F$14-$I$4+VLOOKUP($Q28,武学奇术!$A:$ZZ,15,FALSE)+SUM(_xlfn.XLOOKUP($R28:$AK28,增益!$A:$A,增益!$O:$O,0)))/100)</f>
        <v>-0.3</v>
      </c>
      <c r="BM28" s="34" cm="1">
        <f t="array" ref="BM28">$G$14+VLOOKUP($Q28,武学奇术!$A:$ZZ,16,FALSE)+SUM(_xlfn.XLOOKUP($R28:$AK28,增益!$A:$A,增益!$P:$P,0))</f>
        <v>0</v>
      </c>
      <c r="BN28" s="27">
        <f>MIN(IF(VLOOKUP($Q28,武学奇术!$A:$ZZ,23,FALSE)=1,100%,$B$8),100%)</f>
        <v>0.9859</v>
      </c>
      <c r="BO28" s="27" cm="1">
        <f t="array" ref="BO28">IF(VLOOKUP($Q28,武学奇术!$A:$ZZ,23,FALSE)=1,100%,MIN(80%,$B$9+VLOOKUP($Q28,武学奇术!$A:$ZZ,17,FALSE)+SUM(_xlfn.XLOOKUP($R28:$AK28,增益!$A:$A,增益!$Q:$Q,0)))+$B$11+SUM(_xlfn.XLOOKUP($R28:$AK28,增益!$A:$A,增益!$U:$U,0)))*IF(VLOOKUP($Q28,武学奇术!$A:$ZZ,24,FALSE)=1,0,1)</f>
        <v>0.8912</v>
      </c>
      <c r="BP28" s="27" cm="1">
        <f t="array" ref="BP28">1+$B$13+VLOOKUP($Q28,武学奇术!$A:$ZZ,18,FALSE)+SUM(_xlfn.XLOOKUP($R28:$AK28,增益!$A:$A,增益!$R:$R,0))</f>
        <v>1.92</v>
      </c>
      <c r="BQ28" s="27" cm="1">
        <f t="array" ref="BQ28">IF(VLOOKUP($Q28,武学奇术!$A:$ZZ,24,FALSE)=1,100%,MIN(40%,$B$10+VLOOKUP($Q28,武学奇术!$A:$ZZ,19,FALSE)+SUM(_xlfn.XLOOKUP($R28:$AK28,增益!$A:$A,增益!$S:$S,0)))+$B$12+SUM(_xlfn.XLOOKUP($R28:$AK28,增益!$A:$A,增益!$V:$V,0)))*IF(VLOOKUP($Q28,武学奇术!$A:$ZZ,23,FALSE)=1,0,1)</f>
        <v>0.0929</v>
      </c>
      <c r="BR28" s="27" cm="1">
        <f t="array" ref="BR28">1+$B$14+VLOOKUP($Q28,武学奇术!$A:$ZZ,20,FALSE)+SUM(_xlfn.XLOOKUP($R28:$AK28,增益!$A:$A,增益!$T:$T,0))</f>
        <v>1.35</v>
      </c>
      <c r="BS28" s="27">
        <f t="shared" si="9"/>
        <v>0.87863408</v>
      </c>
      <c r="BT28" s="27">
        <f t="shared" si="10"/>
        <v>0.01567581</v>
      </c>
      <c r="BU28" s="27">
        <f>IF(VLOOKUP($Q28,武学奇术!$A:$ZZ,22,FALSE)=1,0,(1-$BN28))*(1-$BQ28)</f>
        <v>0.01279011</v>
      </c>
      <c r="BV28" s="27" cm="1">
        <f t="array" ref="BV28">SUM(_xlfn.XLOOKUP($R28:$AK28,增益!$A:$A,增益!$W:$W,0))+$I$5</f>
        <v>0.11</v>
      </c>
    </row>
    <row r="29" spans="1:74">
      <c r="A29" t="s">
        <v>164</v>
      </c>
      <c r="B29">
        <v>2.3</v>
      </c>
      <c r="K29" s="40">
        <f t="shared" si="0"/>
        <v>57639.1915588967</v>
      </c>
      <c r="L29" s="40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BP29*$P29*(1+IF(VLOOKUP($Q29,武学奇术!$A:$ZZ,30,FALSE)="蓄力技",$B$21,0))*(1+$BV29)</f>
        <v>59840.1986836841</v>
      </c>
      <c r="M29" s="40">
        <f>(($AT29*$AM29+$AN29)*(1+$AU29)*(1+$AV29)+($AY29*IF($G$1="鸣金",$AO29,$AM29)+IF($G$1="鸣金",$AP29*1.5,0))*(1+$AZ29)*(1+$BA29)+($BC29*IF($G$1="裂石",$AO29,$AM29)+IF($G$1="裂石",$AP29*1.5,0))*(1+$BD29)*(1+$BE29)+($BG29*IF($G$1="牵丝",$AO29,$AM29)+IF($G$1="牵丝",$AP29*1.5,0))*(1+$BH29)*(1+$BI29)+($BK29*IF($G$1="破竹",$AO29,$AM29)+IF($G$1="破竹",$AP29*1.5,0))*(1+$BL29)*(1+$BM29))*(1+$AQ29)*$BR29*$P29*(1+IF(VLOOKUP($Q29,武学奇术!$A:$ZZ,30,FALSE)="蓄力技",$B$21,0))*(1+$BV29)</f>
        <v>45649.7793580004</v>
      </c>
      <c r="N29" s="40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P29*(1+IF(VLOOKUP($Q29,武学奇术!$A:$ZZ,30,FALSE)="蓄力技",$B$21,0))*(1+$BV29)</f>
        <v>30375.7353724285</v>
      </c>
      <c r="O29" s="40">
        <f>((($AS29*$AM29+$AN29)*(1+$AU29)*(1+$AV29)+($AX29*IF($G$1="鸣金",$AO29,$AM29)+IF($G$1="鸣金",$AP29*1.5,0))*(1+$AZ29)*(1+$BA29)+($BB29*IF($G$1="裂石",$AO29,$AM29)+IF($G$1="裂石",$AP29*1.5,0))*(1+$BD29)*(1+$BE29)+($BF29*IF($G$1="牵丝",$AO29,$AM29)+IF($G$1="牵丝",$AP29*1.5,0))*(1+$BH29)*(1+$BI29)+($BJ29*IF($G$1="破竹",$AO29,$AM29)+IF($G$1="破竹",$AP29*1.5,0))*(1+$BL29)*(1+$BM29))*(1+$AQ29))*$P29*(1+IF(VLOOKUP($Q29,武学奇术!$A:$ZZ,30,FALSE)="蓄力技",$B$21,0))*(1+$BV29)</f>
        <v>26936.8193685604</v>
      </c>
      <c r="P29" s="41">
        <v>1</v>
      </c>
      <c r="Q29" s="42" t="s">
        <v>106</v>
      </c>
      <c r="R29" s="42" t="s">
        <v>103</v>
      </c>
      <c r="S29" s="42" t="s">
        <v>77</v>
      </c>
      <c r="T29" s="42" t="s">
        <v>77</v>
      </c>
      <c r="U29" s="42" t="s">
        <v>121</v>
      </c>
      <c r="V29" s="42" t="s">
        <v>77</v>
      </c>
      <c r="W29" s="42" t="s">
        <v>77</v>
      </c>
      <c r="X29" s="42" t="s">
        <v>165</v>
      </c>
      <c r="Y29" s="42" t="s">
        <v>77</v>
      </c>
      <c r="Z29" s="42" t="s">
        <v>77</v>
      </c>
      <c r="AA29" s="42" t="s">
        <v>73</v>
      </c>
      <c r="AB29" s="42" t="s">
        <v>89</v>
      </c>
      <c r="AC29" s="42" t="s">
        <v>77</v>
      </c>
      <c r="AD29" s="42" t="s">
        <v>80</v>
      </c>
      <c r="AE29" s="42" t="s">
        <v>81</v>
      </c>
      <c r="AF29" s="42" t="s">
        <v>82</v>
      </c>
      <c r="AG29" s="42" t="s">
        <v>77</v>
      </c>
      <c r="AH29" s="42" t="s">
        <v>77</v>
      </c>
      <c r="AI29" s="42" t="s">
        <v>77</v>
      </c>
      <c r="AJ29" s="42" t="s">
        <v>77</v>
      </c>
      <c r="AK29" s="42" t="s">
        <v>90</v>
      </c>
      <c r="AL29" t="str">
        <f>VLOOKUP($Q29,武学奇术!$A:$ZZ,25,FALSE)</f>
        <v>横刀</v>
      </c>
      <c r="AM29" s="27">
        <f>VLOOKUP($Q29,武学奇术!$A:$ZZ,26,FALSE)</f>
        <v>2.1324</v>
      </c>
      <c r="AN29" s="28">
        <f>VLOOKUP($Q29,武学奇术!$A:$ZZ,27,FALSE)*(1+IF(OR($AL29=$F$4,$AL29=$F$5),$B$22,0))</f>
        <v>885</v>
      </c>
      <c r="AO29" s="27">
        <f>VLOOKUP($Q29,武学奇术!$A:$ZZ,28,FALSE)</f>
        <v>3.1986</v>
      </c>
      <c r="AP29" s="28">
        <f>VLOOKUP($Q29,武学奇术!$A:$ZZ,29,FALSE)*(1+IF(OR($AL29=$F$4,$AL29=$F$5),$B$22,0))</f>
        <v>483</v>
      </c>
      <c r="AQ29" s="27" cm="1">
        <f t="array" ref="AQ29">$G$3+IFERROR(VLOOKUP($AL29,$F$4:$G$7,2,FALSE),0)+VLOOKUP($Q29,武学奇术!$A:$ZZ,2,FALSE)+SUM(_xlfn.XLOOKUP($R29:$AK29,增益!$A:$A,增益!$B:$B,0))</f>
        <v>0.5289</v>
      </c>
      <c r="AR29" s="27" cm="1">
        <f t="array" ref="AR29">VLOOKUP($Q29,武学奇术!$A:$ZZ,5,FALSE)+SUM(_xlfn.XLOOKUP($R29:$AK29,增益!$A:$A,增益!$E:$E,0))</f>
        <v>0</v>
      </c>
      <c r="AS29" cm="1">
        <f t="array" ref="AS29">$D$10*(1+$AR29)+VLOOKUP($Q29,武学奇术!$A:$ZZ,3,FALSE)+SUM(_xlfn.XLOOKUP($R29:$AK29,增益!$A:$A,增益!$C:$C,0))-$I$2</f>
        <v>3648.7</v>
      </c>
      <c r="AT29" cm="1">
        <f t="array" ref="AT29">$E$10*(1+$AR29)+VLOOKUP($Q29,武学奇术!$A:$ZZ,4,FALSE)+SUM(_xlfn.XLOOKUP($R29:$AK29,增益!$A:$A,增益!$D:$D,0))-$I$2</f>
        <v>3648.7</v>
      </c>
      <c r="AU29" s="34" cm="1">
        <f t="array" ref="AU29">IF($F$10-$I$3+VLOOKUP($Q29,武学奇术!$A:$ZZ,6,FALSE)+SUM(_xlfn.XLOOKUP($R29:$AK29,增益!$A:$A,增益!$F:$F,0))&gt;0,($F$10-$I$3+VLOOKUP($Q29,武学奇术!$A:$ZZ,6,FALSE)+SUM(_xlfn.XLOOKUP($R29:$AK29,增益!$A:$A,增益!$F:$F,0)))/200,($F$10-$I$3+VLOOKUP($Q29,武学奇术!$A:$ZZ,6,FALSE)+SUM(_xlfn.XLOOKUP($R29:$AK29,增益!$A:$A,增益!$F:$F,0)))/100)</f>
        <v>0.452</v>
      </c>
      <c r="AV29" s="34" cm="1">
        <f t="array" ref="AV29">$G$10+VLOOKUP($Q29,武学奇术!$A:$ZZ,7,FALSE)+SUM(_xlfn.XLOOKUP($R29:$AK29,增益!$A:$A,增益!$G:$G,0))</f>
        <v>0</v>
      </c>
      <c r="AW29" s="27" cm="1">
        <f t="array" ref="AW29">VLOOKUP($Q29,武学奇术!$A:$ZZ,8,FALSE)+SUM(_xlfn.XLOOKUP($R29:$AK29,增益!$A:$A,增益!$H:$H,0))</f>
        <v>0</v>
      </c>
      <c r="AX29">
        <f t="shared" si="1"/>
        <v>0</v>
      </c>
      <c r="AY29">
        <f t="shared" si="2"/>
        <v>0</v>
      </c>
      <c r="AZ29" s="34" cm="1">
        <f t="array" ref="AZ29">IF($F$11-$I$4+VLOOKUP($Q29,武学奇术!$A:$ZZ,9,FALSE)+SUM(_xlfn.XLOOKUP($R29:$AK29,增益!$A:$A,增益!$I:$I,0))&gt;0,($F$11-$I$4+VLOOKUP($Q29,武学奇术!$A:$ZZ,9,FALSE)+SUM(_xlfn.XLOOKUP($R29:$AK29,增益!$A:$A,增益!$I:$I,0)))/200,($F$11-$I$4+VLOOKUP($Q29,武学奇术!$A:$ZZ,9,FALSE)+SUM(_xlfn.XLOOKUP($R29:$AK29,增益!$A:$A,增益!$I:$I,0)))/100)</f>
        <v>-0.3</v>
      </c>
      <c r="BA29" s="34" cm="1">
        <f t="array" ref="BA29">$G$11+VLOOKUP($Q29,武学奇术!$A:$ZZ,10,FALSE)+SUM(_xlfn.XLOOKUP($R29:$AK29,增益!$A:$A,增益!$J:$J,0))</f>
        <v>0</v>
      </c>
      <c r="BB29">
        <f t="shared" si="3"/>
        <v>594.1</v>
      </c>
      <c r="BC29">
        <f t="shared" si="4"/>
        <v>1604.9</v>
      </c>
      <c r="BD29" s="34" cm="1">
        <f t="array" ref="BD29">IF($F$12-$I$4+VLOOKUP($Q29,武学奇术!$A:$ZZ,11,FALSE)+SUM(_xlfn.XLOOKUP($R29:$AK29,增益!$A:$A,增益!$K:$K,0))&gt;0,($F$12-$I$4+VLOOKUP($Q29,武学奇术!$A:$ZZ,11,FALSE)+SUM(_xlfn.XLOOKUP($R29:$AK29,增益!$A:$A,增益!$K:$K,0)))/200,($F$12-$I$4+VLOOKUP($Q29,武学奇术!$A:$ZZ,11,FALSE)+SUM(_xlfn.XLOOKUP($R29:$AK29,增益!$A:$A,增益!$K:$K,0)))/100)</f>
        <v>0.09</v>
      </c>
      <c r="BE29" s="34" cm="1">
        <f t="array" ref="BE29">$G$12+VLOOKUP($Q29,武学奇术!$A:$ZZ,12,FALSE)+SUM(_xlfn.XLOOKUP($R29:$AK29,增益!$A:$A,增益!$L:$L,0))</f>
        <v>0.15</v>
      </c>
      <c r="BF29">
        <f t="shared" si="5"/>
        <v>0</v>
      </c>
      <c r="BG29">
        <f t="shared" si="6"/>
        <v>0</v>
      </c>
      <c r="BH29" s="34" cm="1">
        <f t="array" ref="BH29">IF($F$13-$I$4+VLOOKUP($Q29,武学奇术!$A:$ZZ,13,FALSE)+SUM(_xlfn.XLOOKUP($R29:$AK29,增益!$A:$A,增益!$M:$M,0))&gt;0,($F$13-$I$4+VLOOKUP($Q29,武学奇术!$A:$ZZ,13,FALSE)+SUM(_xlfn.XLOOKUP($R29:$AK29,增益!$A:$A,增益!$K:$K,0)))/200,($F$13-$I$4+VLOOKUP($Q29,武学奇术!$A:$ZZ,13,FALSE)+SUM(_xlfn.XLOOKUP($R29:$AK29,增益!$A:$A,增益!$M:$M,0)))/100)</f>
        <v>-0.3</v>
      </c>
      <c r="BI29" s="34" cm="1">
        <f t="array" ref="BI29">$G$13+VLOOKUP($Q29,武学奇术!$A:$ZZ,14,FALSE)+SUM(_xlfn.XLOOKUP($R29:$AK29,增益!$A:$A,增益!$N:$N,0))</f>
        <v>0</v>
      </c>
      <c r="BJ29">
        <f t="shared" si="7"/>
        <v>0</v>
      </c>
      <c r="BK29">
        <f t="shared" si="8"/>
        <v>0</v>
      </c>
      <c r="BL29" s="34" cm="1">
        <f t="array" ref="BL29">IF($F$14-$I$4+VLOOKUP($Q29,武学奇术!$A:$ZZ,15,FALSE)+SUM(_xlfn.XLOOKUP($R29:$AK29,增益!$A:$A,增益!$O:$O,0))&gt;0,($F$14-$I$4+VLOOKUP($Q29,武学奇术!$A:$ZZ,15,FALSE)+SUM(_xlfn.XLOOKUP($R29:$AK29,增益!$A:$A,增益!$O:$O,0)))/200,($F$14-$I$4+VLOOKUP($Q29,武学奇术!$A:$ZZ,15,FALSE)+SUM(_xlfn.XLOOKUP($R29:$AK29,增益!$A:$A,增益!$O:$O,0)))/100)</f>
        <v>-0.3</v>
      </c>
      <c r="BM29" s="34" cm="1">
        <f t="array" ref="BM29">$G$14+VLOOKUP($Q29,武学奇术!$A:$ZZ,16,FALSE)+SUM(_xlfn.XLOOKUP($R29:$AK29,增益!$A:$A,增益!$P:$P,0))</f>
        <v>0</v>
      </c>
      <c r="BN29" s="27">
        <f>MIN(IF(VLOOKUP($Q29,武学奇术!$A:$ZZ,23,FALSE)=1,100%,$B$8),100%)</f>
        <v>0.9859</v>
      </c>
      <c r="BO29" s="27" cm="1">
        <f t="array" ref="BO29">IF(VLOOKUP($Q29,武学奇术!$A:$ZZ,23,FALSE)=1,100%,MIN(80%,$B$9+VLOOKUP($Q29,武学奇术!$A:$ZZ,17,FALSE)+SUM(_xlfn.XLOOKUP($R29:$AK29,增益!$A:$A,增益!$Q:$Q,0)))+$B$11+SUM(_xlfn.XLOOKUP($R29:$AK29,增益!$A:$A,增益!$U:$U,0)))*IF(VLOOKUP($Q29,武学奇术!$A:$ZZ,24,FALSE)=1,0,1)</f>
        <v>0.8912</v>
      </c>
      <c r="BP29" s="27" cm="1">
        <f t="array" ref="BP29">1+$B$13+VLOOKUP($Q29,武学奇术!$A:$ZZ,18,FALSE)+SUM(_xlfn.XLOOKUP($R29:$AK29,增益!$A:$A,增益!$R:$R,0))</f>
        <v>1.97</v>
      </c>
      <c r="BQ29" s="27" cm="1">
        <f t="array" ref="BQ29">IF(VLOOKUP($Q29,武学奇术!$A:$ZZ,24,FALSE)=1,100%,MIN(40%,$B$10+VLOOKUP($Q29,武学奇术!$A:$ZZ,19,FALSE)+SUM(_xlfn.XLOOKUP($R29:$AK29,增益!$A:$A,增益!$S:$S,0)))+$B$12+SUM(_xlfn.XLOOKUP($R29:$AK29,增益!$A:$A,增益!$V:$V,0)))*IF(VLOOKUP($Q29,武学奇术!$A:$ZZ,23,FALSE)=1,0,1)</f>
        <v>0.0929</v>
      </c>
      <c r="BR29" s="27" cm="1">
        <f t="array" ref="BR29">1+$B$14+VLOOKUP($Q29,武学奇术!$A:$ZZ,20,FALSE)+SUM(_xlfn.XLOOKUP($R29:$AK29,增益!$A:$A,增益!$T:$T,0))</f>
        <v>1.35</v>
      </c>
      <c r="BS29" s="27">
        <f t="shared" si="9"/>
        <v>0.87863408</v>
      </c>
      <c r="BT29" s="27">
        <f t="shared" si="10"/>
        <v>0.01567581</v>
      </c>
      <c r="BU29" s="27">
        <f>IF(VLOOKUP($Q29,武学奇术!$A:$ZZ,22,FALSE)=1,0,(1-$BN29))*(1-$BQ29)</f>
        <v>0.01279011</v>
      </c>
      <c r="BV29" s="27" cm="1">
        <f t="array" ref="BV29">SUM(_xlfn.XLOOKUP($R29:$AK29,增益!$A:$A,增益!$W:$W,0))+$I$5</f>
        <v>0.11</v>
      </c>
    </row>
    <row r="30" spans="1:74">
      <c r="A30" t="s">
        <v>166</v>
      </c>
      <c r="B30">
        <v>1</v>
      </c>
      <c r="C30" s="41" t="s">
        <v>163</v>
      </c>
      <c r="K30" s="40">
        <f t="shared" si="0"/>
        <v>35710.3085051318</v>
      </c>
      <c r="L30" s="40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BP30*$P30*(1+IF(VLOOKUP($Q30,武学奇术!$A:$ZZ,30,FALSE)="蓄力技",$B$21,0))*(1+$BV30)</f>
        <v>37024.5328322997</v>
      </c>
      <c r="M30" s="40">
        <f>(($AT30*$AM30+$AN30)*(1+$AU30)*(1+$AV30)+($AY30*IF($G$1="鸣金",$AO30,$AM30)+IF($G$1="鸣金",$AP30*1.5,0))*(1+$AZ30)*(1+$BA30)+($BC30*IF($G$1="裂石",$AO30,$AM30)+IF($G$1="裂石",$AP30*1.5,0))*(1+$BD30)*(1+$BE30)+($BG30*IF($G$1="牵丝",$AO30,$AM30)+IF($G$1="牵丝",$AP30*1.5,0))*(1+$BH30)*(1+$BI30)+($BK30*IF($G$1="破竹",$AO30,$AM30)+IF($G$1="破竹",$AP30*1.5,0))*(1+$BL30)*(1+$BM30))*(1+$AQ30)*$BR30*$P30*(1+IF(VLOOKUP($Q30,武学奇术!$A:$ZZ,30,FALSE)="蓄力技",$B$21,0))*(1+$BV30)</f>
        <v>28815.0388134131</v>
      </c>
      <c r="N30" s="40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P30*(1+IF(VLOOKUP($Q30,武学奇术!$A:$ZZ,30,FALSE)="蓄力技",$B$21,0))*(1+$BV30)</f>
        <v>18794.1791026902</v>
      </c>
      <c r="O30" s="40">
        <f>((($AS30*$AM30+$AN30)*(1+$AU30)*(1+$AV30)+($AX30*IF($G$1="鸣金",$AO30,$AM30)+IF($G$1="鸣金",$AP30*1.5,0))*(1+$AZ30)*(1+$BA30)+($BB30*IF($G$1="裂石",$AO30,$AM30)+IF($G$1="裂石",$AP30*1.5,0))*(1+$BD30)*(1+$BE30)+($BF30*IF($G$1="牵丝",$AO30,$AM30)+IF($G$1="牵丝",$AP30*1.5,0))*(1+$BH30)*(1+$BI30)+($BJ30*IF($G$1="破竹",$AO30,$AM30)+IF($G$1="破竹",$AP30*1.5,0))*(1+$BL30)*(1+$BM30))*(1+$AQ30))*$P30*(1+IF(VLOOKUP($Q30,武学奇术!$A:$ZZ,30,FALSE)="蓄力技",$B$21,0))*(1+$BV30)</f>
        <v>16243.8850102596</v>
      </c>
      <c r="P30" s="41">
        <v>1</v>
      </c>
      <c r="Q30" s="42" t="s">
        <v>110</v>
      </c>
      <c r="R30" s="42" t="s">
        <v>103</v>
      </c>
      <c r="S30" s="42" t="s">
        <v>77</v>
      </c>
      <c r="T30" s="42" t="s">
        <v>86</v>
      </c>
      <c r="U30" s="42" t="s">
        <v>121</v>
      </c>
      <c r="V30" s="42" t="s">
        <v>77</v>
      </c>
      <c r="W30" s="42" t="s">
        <v>77</v>
      </c>
      <c r="X30" s="42" t="s">
        <v>165</v>
      </c>
      <c r="Y30" s="42" t="s">
        <v>77</v>
      </c>
      <c r="Z30" s="42" t="s">
        <v>77</v>
      </c>
      <c r="AA30" s="42" t="s">
        <v>73</v>
      </c>
      <c r="AB30" s="42" t="s">
        <v>89</v>
      </c>
      <c r="AC30" s="42" t="s">
        <v>77</v>
      </c>
      <c r="AD30" s="42" t="s">
        <v>80</v>
      </c>
      <c r="AE30" s="42" t="s">
        <v>81</v>
      </c>
      <c r="AF30" s="42" t="s">
        <v>82</v>
      </c>
      <c r="AG30" s="42" t="s">
        <v>77</v>
      </c>
      <c r="AH30" s="42" t="s">
        <v>77</v>
      </c>
      <c r="AI30" s="42" t="s">
        <v>77</v>
      </c>
      <c r="AJ30" s="42" t="s">
        <v>77</v>
      </c>
      <c r="AK30" s="42" t="s">
        <v>90</v>
      </c>
      <c r="AL30" t="str">
        <f>VLOOKUP($Q30,武学奇术!$A:$ZZ,25,FALSE)</f>
        <v>横刀</v>
      </c>
      <c r="AM30" s="27">
        <f>VLOOKUP($Q30,武学奇术!$A:$ZZ,26,FALSE)</f>
        <v>1.4</v>
      </c>
      <c r="AN30" s="28">
        <f>VLOOKUP($Q30,武学奇术!$A:$ZZ,27,FALSE)*(1+IF(OR($AL30=$F$4,$AL30=$F$5),$B$22,0))</f>
        <v>0</v>
      </c>
      <c r="AO30" s="27">
        <f>VLOOKUP($Q30,武学奇术!$A:$ZZ,28,FALSE)</f>
        <v>2.1</v>
      </c>
      <c r="AP30" s="28">
        <f>VLOOKUP($Q30,武学奇术!$A:$ZZ,29,FALSE)*(1+IF(OR($AL30=$F$4,$AL30=$F$5),$B$22,0))</f>
        <v>0</v>
      </c>
      <c r="AQ30" s="27" cm="1">
        <f t="array" ref="AQ30">$G$3+IFERROR(VLOOKUP($AL30,$F$4:$G$7,2,FALSE),0)+VLOOKUP($Q30,武学奇术!$A:$ZZ,2,FALSE)+SUM(_xlfn.XLOOKUP($R30:$AK30,增益!$A:$A,增益!$B:$B,0))</f>
        <v>0.6089</v>
      </c>
      <c r="AR30" s="27" cm="1">
        <f t="array" ref="AR30">VLOOKUP($Q30,武学奇术!$A:$ZZ,5,FALSE)+SUM(_xlfn.XLOOKUP($R30:$AK30,增益!$A:$A,增益!$E:$E,0))</f>
        <v>0</v>
      </c>
      <c r="AS30" cm="1">
        <f t="array" ref="AS30">$D$10*(1+$AR30)+VLOOKUP($Q30,武学奇术!$A:$ZZ,3,FALSE)+SUM(_xlfn.XLOOKUP($R30:$AK30,增益!$A:$A,增益!$C:$C,0))-$I$2</f>
        <v>3648.7</v>
      </c>
      <c r="AT30" cm="1">
        <f t="array" ref="AT30">$E$10*(1+$AR30)+VLOOKUP($Q30,武学奇术!$A:$ZZ,4,FALSE)+SUM(_xlfn.XLOOKUP($R30:$AK30,增益!$A:$A,增益!$D:$D,0))-$I$2</f>
        <v>3648.7</v>
      </c>
      <c r="AU30" s="34" cm="1">
        <f t="array" ref="AU30">IF($F$10-$I$3+VLOOKUP($Q30,武学奇术!$A:$ZZ,6,FALSE)+SUM(_xlfn.XLOOKUP($R30:$AK30,增益!$A:$A,增益!$F:$F,0))&gt;0,($F$10-$I$3+VLOOKUP($Q30,武学奇术!$A:$ZZ,6,FALSE)+SUM(_xlfn.XLOOKUP($R30:$AK30,增益!$A:$A,增益!$F:$F,0)))/200,($F$10-$I$3+VLOOKUP($Q30,武学奇术!$A:$ZZ,6,FALSE)+SUM(_xlfn.XLOOKUP($R30:$AK30,增益!$A:$A,增益!$F:$F,0)))/100)</f>
        <v>0.452</v>
      </c>
      <c r="AV30" s="34" cm="1">
        <f t="array" ref="AV30">$G$10+VLOOKUP($Q30,武学奇术!$A:$ZZ,7,FALSE)+SUM(_xlfn.XLOOKUP($R30:$AK30,增益!$A:$A,增益!$G:$G,0))</f>
        <v>0</v>
      </c>
      <c r="AW30" s="27" cm="1">
        <f t="array" ref="AW30">VLOOKUP($Q30,武学奇术!$A:$ZZ,8,FALSE)+SUM(_xlfn.XLOOKUP($R30:$AK30,增益!$A:$A,增益!$H:$H,0))</f>
        <v>0</v>
      </c>
      <c r="AX30">
        <f t="shared" si="1"/>
        <v>0</v>
      </c>
      <c r="AY30">
        <f t="shared" si="2"/>
        <v>0</v>
      </c>
      <c r="AZ30" s="34" cm="1">
        <f t="array" ref="AZ30">IF($F$11-$I$4+VLOOKUP($Q30,武学奇术!$A:$ZZ,9,FALSE)+SUM(_xlfn.XLOOKUP($R30:$AK30,增益!$A:$A,增益!$I:$I,0))&gt;0,($F$11-$I$4+VLOOKUP($Q30,武学奇术!$A:$ZZ,9,FALSE)+SUM(_xlfn.XLOOKUP($R30:$AK30,增益!$A:$A,增益!$I:$I,0)))/200,($F$11-$I$4+VLOOKUP($Q30,武学奇术!$A:$ZZ,9,FALSE)+SUM(_xlfn.XLOOKUP($R30:$AK30,增益!$A:$A,增益!$I:$I,0)))/100)</f>
        <v>-0.14</v>
      </c>
      <c r="BA30" s="34" cm="1">
        <f t="array" ref="BA30">$G$11+VLOOKUP($Q30,武学奇术!$A:$ZZ,10,FALSE)+SUM(_xlfn.XLOOKUP($R30:$AK30,增益!$A:$A,增益!$J:$J,0))</f>
        <v>0</v>
      </c>
      <c r="BB30">
        <f t="shared" si="3"/>
        <v>594.1</v>
      </c>
      <c r="BC30">
        <f t="shared" si="4"/>
        <v>1604.9</v>
      </c>
      <c r="BD30" s="34" cm="1">
        <f t="array" ref="BD30">IF($F$12-$I$4+VLOOKUP($Q30,武学奇术!$A:$ZZ,11,FALSE)+SUM(_xlfn.XLOOKUP($R30:$AK30,增益!$A:$A,增益!$K:$K,0))&gt;0,($F$12-$I$4+VLOOKUP($Q30,武学奇术!$A:$ZZ,11,FALSE)+SUM(_xlfn.XLOOKUP($R30:$AK30,增益!$A:$A,增益!$K:$K,0)))/200,($F$12-$I$4+VLOOKUP($Q30,武学奇术!$A:$ZZ,11,FALSE)+SUM(_xlfn.XLOOKUP($R30:$AK30,增益!$A:$A,增益!$K:$K,0)))/100)</f>
        <v>0.17</v>
      </c>
      <c r="BE30" s="34" cm="1">
        <f t="array" ref="BE30">$G$12+VLOOKUP($Q30,武学奇术!$A:$ZZ,12,FALSE)+SUM(_xlfn.XLOOKUP($R30:$AK30,增益!$A:$A,增益!$L:$L,0))</f>
        <v>0.15</v>
      </c>
      <c r="BF30">
        <f t="shared" si="5"/>
        <v>0</v>
      </c>
      <c r="BG30">
        <f t="shared" si="6"/>
        <v>0</v>
      </c>
      <c r="BH30" s="34" cm="1">
        <f t="array" ref="BH30">IF($F$13-$I$4+VLOOKUP($Q30,武学奇术!$A:$ZZ,13,FALSE)+SUM(_xlfn.XLOOKUP($R30:$AK30,增益!$A:$A,增益!$M:$M,0))&gt;0,($F$13-$I$4+VLOOKUP($Q30,武学奇术!$A:$ZZ,13,FALSE)+SUM(_xlfn.XLOOKUP($R30:$AK30,增益!$A:$A,增益!$K:$K,0)))/200,($F$13-$I$4+VLOOKUP($Q30,武学奇术!$A:$ZZ,13,FALSE)+SUM(_xlfn.XLOOKUP($R30:$AK30,增益!$A:$A,增益!$M:$M,0)))/100)</f>
        <v>-0.14</v>
      </c>
      <c r="BI30" s="34" cm="1">
        <f t="array" ref="BI30">$G$13+VLOOKUP($Q30,武学奇术!$A:$ZZ,14,FALSE)+SUM(_xlfn.XLOOKUP($R30:$AK30,增益!$A:$A,增益!$N:$N,0))</f>
        <v>0</v>
      </c>
      <c r="BJ30">
        <f t="shared" si="7"/>
        <v>0</v>
      </c>
      <c r="BK30">
        <f t="shared" si="8"/>
        <v>0</v>
      </c>
      <c r="BL30" s="34" cm="1">
        <f t="array" ref="BL30">IF($F$14-$I$4+VLOOKUP($Q30,武学奇术!$A:$ZZ,15,FALSE)+SUM(_xlfn.XLOOKUP($R30:$AK30,增益!$A:$A,增益!$O:$O,0))&gt;0,($F$14-$I$4+VLOOKUP($Q30,武学奇术!$A:$ZZ,15,FALSE)+SUM(_xlfn.XLOOKUP($R30:$AK30,增益!$A:$A,增益!$O:$O,0)))/200,($F$14-$I$4+VLOOKUP($Q30,武学奇术!$A:$ZZ,15,FALSE)+SUM(_xlfn.XLOOKUP($R30:$AK30,增益!$A:$A,增益!$O:$O,0)))/100)</f>
        <v>-0.14</v>
      </c>
      <c r="BM30" s="34" cm="1">
        <f t="array" ref="BM30">$G$14+VLOOKUP($Q30,武学奇术!$A:$ZZ,16,FALSE)+SUM(_xlfn.XLOOKUP($R30:$AK30,增益!$A:$A,增益!$P:$P,0))</f>
        <v>0</v>
      </c>
      <c r="BN30" s="27">
        <f>MIN(IF(VLOOKUP($Q30,武学奇术!$A:$ZZ,23,FALSE)=1,100%,$B$8),100%)</f>
        <v>0.9859</v>
      </c>
      <c r="BO30" s="27" cm="1">
        <f t="array" ref="BO30">IF(VLOOKUP($Q30,武学奇术!$A:$ZZ,23,FALSE)=1,100%,MIN(80%,$B$9+VLOOKUP($Q30,武学奇术!$A:$ZZ,17,FALSE)+SUM(_xlfn.XLOOKUP($R30:$AK30,增益!$A:$A,增益!$Q:$Q,0)))+$B$11+SUM(_xlfn.XLOOKUP($R30:$AK30,增益!$A:$A,增益!$U:$U,0)))*IF(VLOOKUP($Q30,武学奇术!$A:$ZZ,24,FALSE)=1,0,1)</f>
        <v>0.8912</v>
      </c>
      <c r="BP30" s="27" cm="1">
        <f t="array" ref="BP30">1+$B$13+VLOOKUP($Q30,武学奇术!$A:$ZZ,18,FALSE)+SUM(_xlfn.XLOOKUP($R30:$AK30,增益!$A:$A,增益!$R:$R,0))</f>
        <v>1.97</v>
      </c>
      <c r="BQ30" s="27" cm="1">
        <f t="array" ref="BQ30">IF(VLOOKUP($Q30,武学奇术!$A:$ZZ,24,FALSE)=1,100%,MIN(40%,$B$10+VLOOKUP($Q30,武学奇术!$A:$ZZ,19,FALSE)+SUM(_xlfn.XLOOKUP($R30:$AK30,增益!$A:$A,增益!$S:$S,0)))+$B$12+SUM(_xlfn.XLOOKUP($R30:$AK30,增益!$A:$A,增益!$V:$V,0)))*IF(VLOOKUP($Q30,武学奇术!$A:$ZZ,23,FALSE)=1,0,1)</f>
        <v>0.0929</v>
      </c>
      <c r="BR30" s="27" cm="1">
        <f t="array" ref="BR30">1+$B$14+VLOOKUP($Q30,武学奇术!$A:$ZZ,20,FALSE)+SUM(_xlfn.XLOOKUP($R30:$AK30,增益!$A:$A,增益!$T:$T,0))</f>
        <v>1.35</v>
      </c>
      <c r="BS30" s="27">
        <f t="shared" si="9"/>
        <v>0.87863408</v>
      </c>
      <c r="BT30" s="27">
        <f t="shared" si="10"/>
        <v>0.01567581</v>
      </c>
      <c r="BU30" s="27">
        <f>IF(VLOOKUP($Q30,武学奇术!$A:$ZZ,22,FALSE)=1,0,(1-$BN30))*(1-$BQ30)</f>
        <v>0.01279011</v>
      </c>
      <c r="BV30" s="27" cm="1">
        <f t="array" ref="BV30">SUM(_xlfn.XLOOKUP($R30:$AK30,增益!$A:$A,增益!$W:$W,0))+$I$5</f>
        <v>0.11</v>
      </c>
    </row>
    <row r="31" spans="1:74">
      <c r="A31" s="4" t="s">
        <v>167</v>
      </c>
      <c r="B31" s="4">
        <v>0.1</v>
      </c>
      <c r="C31" s="41"/>
      <c r="D31" s="41" t="s">
        <v>168</v>
      </c>
      <c r="K31" s="40">
        <f t="shared" si="0"/>
        <v>19069.7638335205</v>
      </c>
      <c r="L31" s="40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BP31*$P31*(1+IF(VLOOKUP($Q31,武学奇术!$A:$ZZ,30,FALSE)="蓄力技",$B$21,0))*(1+$BV31)</f>
        <v>19780.4707481406</v>
      </c>
      <c r="M31" s="40">
        <f>(($AT31*$AM31+$AN31)*(1+$AU31)*(1+$AV31)+($AY31*IF($G$1="鸣金",$AO31,$AM31)+IF($G$1="鸣金",$AP31*1.5,0))*(1+$AZ31)*(1+$BA31)+($BC31*IF($G$1="裂石",$AO31,$AM31)+IF($G$1="裂石",$AP31*1.5,0))*(1+$BD31)*(1+$BE31)+($BG31*IF($G$1="牵丝",$AO31,$AM31)+IF($G$1="牵丝",$AP31*1.5,0))*(1+$BH31)*(1+$BI31)+($BK31*IF($G$1="破竹",$AO31,$AM31)+IF($G$1="破竹",$AP31*1.5,0))*(1+$BL31)*(1+$BM31))*(1+$AQ31)*$BR31*$P31*(1+IF(VLOOKUP($Q31,武学奇术!$A:$ZZ,30,FALSE)="蓄力技",$B$21,0))*(1+$BV31)</f>
        <v>15316.7731553646</v>
      </c>
      <c r="N31" s="40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P31*(1+IF(VLOOKUP($Q31,武学奇术!$A:$ZZ,30,FALSE)="蓄力技",$B$21,0))*(1+$BV31)</f>
        <v>9990.13674148514</v>
      </c>
      <c r="O31" s="40">
        <f>((($AS31*$AM31+$AN31)*(1+$AU31)*(1+$AV31)+($AX31*IF($G$1="鸣金",$AO31,$AM31)+IF($G$1="鸣金",$AP31*1.5,0))*(1+$AZ31)*(1+$BA31)+($BB31*IF($G$1="裂石",$AO31,$AM31)+IF($G$1="裂石",$AP31*1.5,0))*(1+$BD31)*(1+$BE31)+($BF31*IF($G$1="牵丝",$AO31,$AM31)+IF($G$1="牵丝",$AP31*1.5,0))*(1+$BH31)*(1+$BI31)+($BJ31*IF($G$1="破竹",$AO31,$AM31)+IF($G$1="破竹",$AP31*1.5,0))*(1+$BL31)*(1+$BM31))*(1+$AQ31))*$P31*(1+IF(VLOOKUP($Q31,武学奇术!$A:$ZZ,30,FALSE)="蓄力技",$B$21,0))*(1+$BV31)</f>
        <v>8634.51559010764</v>
      </c>
      <c r="P31" s="41">
        <v>1</v>
      </c>
      <c r="Q31" s="42" t="s">
        <v>112</v>
      </c>
      <c r="R31" s="42" t="s">
        <v>103</v>
      </c>
      <c r="S31" s="42" t="s">
        <v>169</v>
      </c>
      <c r="T31" s="42" t="s">
        <v>86</v>
      </c>
      <c r="U31" s="42" t="s">
        <v>121</v>
      </c>
      <c r="V31" s="42" t="s">
        <v>77</v>
      </c>
      <c r="W31" s="42" t="s">
        <v>77</v>
      </c>
      <c r="X31" s="42" t="s">
        <v>170</v>
      </c>
      <c r="Y31" s="42" t="s">
        <v>77</v>
      </c>
      <c r="Z31" s="42" t="s">
        <v>77</v>
      </c>
      <c r="AA31" s="42" t="s">
        <v>73</v>
      </c>
      <c r="AB31" s="42" t="s">
        <v>95</v>
      </c>
      <c r="AC31" s="42" t="s">
        <v>77</v>
      </c>
      <c r="AD31" s="42" t="s">
        <v>80</v>
      </c>
      <c r="AE31" s="42" t="s">
        <v>81</v>
      </c>
      <c r="AF31" s="42" t="s">
        <v>82</v>
      </c>
      <c r="AG31" s="42" t="s">
        <v>77</v>
      </c>
      <c r="AH31" s="42" t="s">
        <v>77</v>
      </c>
      <c r="AI31" s="42" t="s">
        <v>77</v>
      </c>
      <c r="AJ31" s="42" t="s">
        <v>77</v>
      </c>
      <c r="AK31" s="42" t="s">
        <v>90</v>
      </c>
      <c r="AL31" t="str">
        <f>VLOOKUP($Q31,武学奇术!$A:$ZZ,25,FALSE)</f>
        <v>陌刀</v>
      </c>
      <c r="AM31" s="27">
        <f>VLOOKUP($Q31,武学奇术!$A:$ZZ,26,FALSE)</f>
        <v>0.5</v>
      </c>
      <c r="AN31" s="28">
        <f>VLOOKUP($Q31,武学奇术!$A:$ZZ,27,FALSE)*(1+IF(OR($AL31=$F$4,$AL31=$F$5),$B$22,0))</f>
        <v>0</v>
      </c>
      <c r="AO31" s="27">
        <f>VLOOKUP($Q31,武学奇术!$A:$ZZ,28,FALSE)</f>
        <v>0.75</v>
      </c>
      <c r="AP31" s="28">
        <f>VLOOKUP($Q31,武学奇术!$A:$ZZ,29,FALSE)*(1+IF(OR($AL31=$F$4,$AL31=$F$5),$B$22,0))</f>
        <v>0</v>
      </c>
      <c r="AQ31" s="27" cm="1">
        <f t="array" ref="AQ31">$G$3+IFERROR(VLOOKUP($AL31,$F$4:$G$7,2,FALSE),0)+VLOOKUP($Q31,武学奇术!$A:$ZZ,2,FALSE)+SUM(_xlfn.XLOOKUP($R31:$AK31,增益!$A:$A,增益!$B:$B,0))</f>
        <v>0.8141</v>
      </c>
      <c r="AR31" s="27" cm="1">
        <f t="array" ref="AR31">VLOOKUP($Q31,武学奇术!$A:$ZZ,5,FALSE)+SUM(_xlfn.XLOOKUP($R31:$AK31,增益!$A:$A,增益!$E:$E,0))</f>
        <v>0</v>
      </c>
      <c r="AS31" cm="1">
        <f t="array" ref="AS31">$D$10*(1+$AR31)+VLOOKUP($Q31,武学奇术!$A:$ZZ,3,FALSE)+SUM(_xlfn.XLOOKUP($R31:$AK31,增益!$A:$A,增益!$C:$C,0))-$I$2</f>
        <v>3648.7</v>
      </c>
      <c r="AT31" cm="1">
        <f t="array" ref="AT31">$E$10*(1+$AR31)+VLOOKUP($Q31,武学奇术!$A:$ZZ,4,FALSE)+SUM(_xlfn.XLOOKUP($R31:$AK31,增益!$A:$A,增益!$D:$D,0))-$I$2</f>
        <v>3648.7</v>
      </c>
      <c r="AU31" s="34" cm="1">
        <f t="array" ref="AU31">IF($F$10-$I$3+VLOOKUP($Q31,武学奇术!$A:$ZZ,6,FALSE)+SUM(_xlfn.XLOOKUP($R31:$AK31,增益!$A:$A,增益!$F:$F,0))&gt;0,($F$10-$I$3+VLOOKUP($Q31,武学奇术!$A:$ZZ,6,FALSE)+SUM(_xlfn.XLOOKUP($R31:$AK31,增益!$A:$A,增益!$F:$F,0)))/200,($F$10-$I$3+VLOOKUP($Q31,武学奇术!$A:$ZZ,6,FALSE)+SUM(_xlfn.XLOOKUP($R31:$AK31,增益!$A:$A,增益!$F:$F,0)))/100)</f>
        <v>0.452</v>
      </c>
      <c r="AV31" s="34" cm="1">
        <f t="array" ref="AV31">$G$10+VLOOKUP($Q31,武学奇术!$A:$ZZ,7,FALSE)+SUM(_xlfn.XLOOKUP($R31:$AK31,增益!$A:$A,增益!$G:$G,0))</f>
        <v>0</v>
      </c>
      <c r="AW31" s="27" cm="1">
        <f t="array" ref="AW31">VLOOKUP($Q31,武学奇术!$A:$ZZ,8,FALSE)+SUM(_xlfn.XLOOKUP($R31:$AK31,增益!$A:$A,增益!$H:$H,0))</f>
        <v>0</v>
      </c>
      <c r="AX31">
        <f t="shared" si="1"/>
        <v>0</v>
      </c>
      <c r="AY31">
        <f t="shared" si="2"/>
        <v>0</v>
      </c>
      <c r="AZ31" s="34" cm="1">
        <f t="array" ref="AZ31">IF($F$11-$I$4+VLOOKUP($Q31,武学奇术!$A:$ZZ,9,FALSE)+SUM(_xlfn.XLOOKUP($R31:$AK31,增益!$A:$A,增益!$I:$I,0))&gt;0,($F$11-$I$4+VLOOKUP($Q31,武学奇术!$A:$ZZ,9,FALSE)+SUM(_xlfn.XLOOKUP($R31:$AK31,增益!$A:$A,增益!$I:$I,0)))/200,($F$11-$I$4+VLOOKUP($Q31,武学奇术!$A:$ZZ,9,FALSE)+SUM(_xlfn.XLOOKUP($R31:$AK31,增益!$A:$A,增益!$I:$I,0)))/100)</f>
        <v>-0.14</v>
      </c>
      <c r="BA31" s="34" cm="1">
        <f t="array" ref="BA31">$G$11+VLOOKUP($Q31,武学奇术!$A:$ZZ,10,FALSE)+SUM(_xlfn.XLOOKUP($R31:$AK31,增益!$A:$A,增益!$J:$J,0))</f>
        <v>0</v>
      </c>
      <c r="BB31">
        <f t="shared" si="3"/>
        <v>594.1</v>
      </c>
      <c r="BC31">
        <f t="shared" si="4"/>
        <v>1604.9</v>
      </c>
      <c r="BD31" s="34" cm="1">
        <f t="array" ref="BD31">IF($F$12-$I$4+VLOOKUP($Q31,武学奇术!$A:$ZZ,11,FALSE)+SUM(_xlfn.XLOOKUP($R31:$AK31,增益!$A:$A,增益!$K:$K,0))&gt;0,($F$12-$I$4+VLOOKUP($Q31,武学奇术!$A:$ZZ,11,FALSE)+SUM(_xlfn.XLOOKUP($R31:$AK31,增益!$A:$A,增益!$K:$K,0)))/200,($F$12-$I$4+VLOOKUP($Q31,武学奇术!$A:$ZZ,11,FALSE)+SUM(_xlfn.XLOOKUP($R31:$AK31,增益!$A:$A,增益!$K:$K,0)))/100)</f>
        <v>0.17</v>
      </c>
      <c r="BE31" s="34" cm="1">
        <f t="array" ref="BE31">$G$12+VLOOKUP($Q31,武学奇术!$A:$ZZ,12,FALSE)+SUM(_xlfn.XLOOKUP($R31:$AK31,增益!$A:$A,增益!$L:$L,0))</f>
        <v>0.15</v>
      </c>
      <c r="BF31">
        <f t="shared" si="5"/>
        <v>0</v>
      </c>
      <c r="BG31">
        <f t="shared" si="6"/>
        <v>0</v>
      </c>
      <c r="BH31" s="34" cm="1">
        <f t="array" ref="BH31">IF($F$13-$I$4+VLOOKUP($Q31,武学奇术!$A:$ZZ,13,FALSE)+SUM(_xlfn.XLOOKUP($R31:$AK31,增益!$A:$A,增益!$M:$M,0))&gt;0,($F$13-$I$4+VLOOKUP($Q31,武学奇术!$A:$ZZ,13,FALSE)+SUM(_xlfn.XLOOKUP($R31:$AK31,增益!$A:$A,增益!$K:$K,0)))/200,($F$13-$I$4+VLOOKUP($Q31,武学奇术!$A:$ZZ,13,FALSE)+SUM(_xlfn.XLOOKUP($R31:$AK31,增益!$A:$A,增益!$M:$M,0)))/100)</f>
        <v>-0.14</v>
      </c>
      <c r="BI31" s="34" cm="1">
        <f t="array" ref="BI31">$G$13+VLOOKUP($Q31,武学奇术!$A:$ZZ,14,FALSE)+SUM(_xlfn.XLOOKUP($R31:$AK31,增益!$A:$A,增益!$N:$N,0))</f>
        <v>0</v>
      </c>
      <c r="BJ31">
        <f t="shared" si="7"/>
        <v>0</v>
      </c>
      <c r="BK31">
        <f t="shared" si="8"/>
        <v>0</v>
      </c>
      <c r="BL31" s="34" cm="1">
        <f t="array" ref="BL31">IF($F$14-$I$4+VLOOKUP($Q31,武学奇术!$A:$ZZ,15,FALSE)+SUM(_xlfn.XLOOKUP($R31:$AK31,增益!$A:$A,增益!$O:$O,0))&gt;0,($F$14-$I$4+VLOOKUP($Q31,武学奇术!$A:$ZZ,15,FALSE)+SUM(_xlfn.XLOOKUP($R31:$AK31,增益!$A:$A,增益!$O:$O,0)))/200,($F$14-$I$4+VLOOKUP($Q31,武学奇术!$A:$ZZ,15,FALSE)+SUM(_xlfn.XLOOKUP($R31:$AK31,增益!$A:$A,增益!$O:$O,0)))/100)</f>
        <v>-0.14</v>
      </c>
      <c r="BM31" s="34" cm="1">
        <f t="array" ref="BM31">$G$14+VLOOKUP($Q31,武学奇术!$A:$ZZ,16,FALSE)+SUM(_xlfn.XLOOKUP($R31:$AK31,增益!$A:$A,增益!$P:$P,0))</f>
        <v>0</v>
      </c>
      <c r="BN31" s="27">
        <f>MIN(IF(VLOOKUP($Q31,武学奇术!$A:$ZZ,23,FALSE)=1,100%,$B$8),100%)</f>
        <v>0.9859</v>
      </c>
      <c r="BO31" s="27" cm="1">
        <f t="array" ref="BO31">IF(VLOOKUP($Q31,武学奇术!$A:$ZZ,23,FALSE)=1,100%,MIN(80%,$B$9+VLOOKUP($Q31,武学奇术!$A:$ZZ,17,FALSE)+SUM(_xlfn.XLOOKUP($R31:$AK31,增益!$A:$A,增益!$Q:$Q,0)))+$B$11+SUM(_xlfn.XLOOKUP($R31:$AK31,增益!$A:$A,增益!$U:$U,0)))*IF(VLOOKUP($Q31,武学奇术!$A:$ZZ,24,FALSE)=1,0,1)</f>
        <v>0.8912</v>
      </c>
      <c r="BP31" s="27" cm="1">
        <f t="array" ref="BP31">1+$B$13+VLOOKUP($Q31,武学奇术!$A:$ZZ,18,FALSE)+SUM(_xlfn.XLOOKUP($R31:$AK31,增益!$A:$A,增益!$R:$R,0))</f>
        <v>1.98</v>
      </c>
      <c r="BQ31" s="27" cm="1">
        <f t="array" ref="BQ31">IF(VLOOKUP($Q31,武学奇术!$A:$ZZ,24,FALSE)=1,100%,MIN(40%,$B$10+VLOOKUP($Q31,武学奇术!$A:$ZZ,19,FALSE)+SUM(_xlfn.XLOOKUP($R31:$AK31,增益!$A:$A,增益!$S:$S,0)))+$B$12+SUM(_xlfn.XLOOKUP($R31:$AK31,增益!$A:$A,增益!$V:$V,0)))*IF(VLOOKUP($Q31,武学奇术!$A:$ZZ,23,FALSE)=1,0,1)</f>
        <v>0.0929</v>
      </c>
      <c r="BR31" s="27" cm="1">
        <f t="array" ref="BR31">1+$B$14+VLOOKUP($Q31,武学奇术!$A:$ZZ,20,FALSE)+SUM(_xlfn.XLOOKUP($R31:$AK31,增益!$A:$A,增益!$T:$T,0))</f>
        <v>1.35</v>
      </c>
      <c r="BS31" s="27">
        <f t="shared" si="9"/>
        <v>0.87863408</v>
      </c>
      <c r="BT31" s="27">
        <f t="shared" si="10"/>
        <v>0.01567581</v>
      </c>
      <c r="BU31" s="27">
        <f>IF(VLOOKUP($Q31,武学奇术!$A:$ZZ,22,FALSE)=1,0,(1-$BN31))*(1-$BQ31)</f>
        <v>0.01279011</v>
      </c>
      <c r="BV31" s="27" cm="1">
        <f t="array" ref="BV31">SUM(_xlfn.XLOOKUP($R31:$AK31,增益!$A:$A,增益!$W:$W,0))+$I$5</f>
        <v>0.11</v>
      </c>
    </row>
    <row r="32" spans="1:74">
      <c r="A32" s="4" t="s">
        <v>171</v>
      </c>
      <c r="B32" s="4">
        <v>2.3</v>
      </c>
      <c r="C32" s="41"/>
      <c r="D32" s="41"/>
      <c r="K32" s="40">
        <f t="shared" si="0"/>
        <v>37403.0719601204</v>
      </c>
      <c r="L32" s="40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BP32*$P32*(1+IF(VLOOKUP($Q32,武学奇术!$A:$ZZ,30,FALSE)="蓄力技",$B$21,0))*(1+$BV32)</f>
        <v>37403.0719601204</v>
      </c>
      <c r="M32" s="40">
        <f>(($AT32*$AM32+$AN32)*(1+$AU32)*(1+$AV32)+($AY32*IF($G$1="鸣金",$AO32,$AM32)+IF($G$1="鸣金",$AP32*1.5,0))*(1+$AZ32)*(1+$BA32)+($BC32*IF($G$1="裂石",$AO32,$AM32)+IF($G$1="裂石",$AP32*1.5,0))*(1+$BD32)*(1+$BE32)+($BG32*IF($G$1="牵丝",$AO32,$AM32)+IF($G$1="牵丝",$AP32*1.5,0))*(1+$BH32)*(1+$BI32)+($BK32*IF($G$1="破竹",$AO32,$AM32)+IF($G$1="破竹",$AP32*1.5,0))*(1+$BL32)*(1+$BM32))*(1+$AQ32)*$BR32*$P32*(1+IF(VLOOKUP($Q32,武学奇术!$A:$ZZ,30,FALSE)="蓄力技",$B$21,0))*(1+$BV32)</f>
        <v>27570.1916796562</v>
      </c>
      <c r="N32" s="40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P32*(1+IF(VLOOKUP($Q32,武学奇术!$A:$ZZ,30,FALSE)="蓄力技",$B$21,0))*(1+$BV32)</f>
        <v>17982.2461346732</v>
      </c>
      <c r="O32" s="40">
        <f>((($AS32*$AM32+$AN32)*(1+$AU32)*(1+$AV32)+($AX32*IF($G$1="鸣金",$AO32,$AM32)+IF($G$1="鸣金",$AP32*1.5,0))*(1+$AZ32)*(1+$BA32)+($BB32*IF($G$1="裂石",$AO32,$AM32)+IF($G$1="裂石",$AP32*1.5,0))*(1+$BD32)*(1+$BE32)+($BF32*IF($G$1="牵丝",$AO32,$AM32)+IF($G$1="牵丝",$AP32*1.5,0))*(1+$BH32)*(1+$BI32)+($BJ32*IF($G$1="破竹",$AO32,$AM32)+IF($G$1="破竹",$AP32*1.5,0))*(1+$BL32)*(1+$BM32))*(1+$AQ32))*$P32*(1+IF(VLOOKUP($Q32,武学奇术!$A:$ZZ,30,FALSE)="蓄力技",$B$21,0))*(1+$BV32)</f>
        <v>15542.1280621938</v>
      </c>
      <c r="P32" s="41">
        <v>1</v>
      </c>
      <c r="Q32" s="42" t="s">
        <v>117</v>
      </c>
      <c r="R32" s="42" t="s">
        <v>103</v>
      </c>
      <c r="S32" s="42" t="s">
        <v>169</v>
      </c>
      <c r="T32" s="42" t="s">
        <v>86</v>
      </c>
      <c r="U32" s="42" t="s">
        <v>121</v>
      </c>
      <c r="V32" s="42" t="s">
        <v>118</v>
      </c>
      <c r="W32" s="42" t="s">
        <v>77</v>
      </c>
      <c r="X32" s="42" t="s">
        <v>170</v>
      </c>
      <c r="Y32" s="42" t="s">
        <v>77</v>
      </c>
      <c r="Z32" s="42" t="s">
        <v>77</v>
      </c>
      <c r="AA32" s="42" t="s">
        <v>73</v>
      </c>
      <c r="AB32" s="42" t="s">
        <v>95</v>
      </c>
      <c r="AC32" s="42" t="s">
        <v>77</v>
      </c>
      <c r="AD32" s="42" t="s">
        <v>80</v>
      </c>
      <c r="AE32" s="42" t="s">
        <v>81</v>
      </c>
      <c r="AF32" s="42" t="s">
        <v>82</v>
      </c>
      <c r="AG32" s="42" t="s">
        <v>77</v>
      </c>
      <c r="AH32" s="42" t="s">
        <v>77</v>
      </c>
      <c r="AI32" s="42" t="s">
        <v>77</v>
      </c>
      <c r="AJ32" s="42" t="s">
        <v>77</v>
      </c>
      <c r="AK32" s="42" t="s">
        <v>90</v>
      </c>
      <c r="AL32" t="str">
        <f>VLOOKUP($Q32,武学奇术!$A:$ZZ,25,FALSE)</f>
        <v>陌刀</v>
      </c>
      <c r="AM32" s="27">
        <f>VLOOKUP($Q32,武学奇术!$A:$ZZ,26,FALSE)</f>
        <v>0.9</v>
      </c>
      <c r="AN32" s="28">
        <f>VLOOKUP($Q32,武学奇术!$A:$ZZ,27,FALSE)*(1+IF(OR($AL32=$F$4,$AL32=$F$5),$B$22,0))</f>
        <v>0</v>
      </c>
      <c r="AO32" s="27">
        <f>VLOOKUP($Q32,武学奇术!$A:$ZZ,28,FALSE)</f>
        <v>1.35</v>
      </c>
      <c r="AP32" s="28">
        <f>VLOOKUP($Q32,武学奇术!$A:$ZZ,29,FALSE)*(1+IF(OR($AL32=$F$4,$AL32=$F$5),$B$22,0))</f>
        <v>0</v>
      </c>
      <c r="AQ32" s="27" cm="1">
        <f t="array" ref="AQ32">$G$3+IFERROR(VLOOKUP($AL32,$F$4:$G$7,2,FALSE),0)+VLOOKUP($Q32,武学奇术!$A:$ZZ,2,FALSE)+SUM(_xlfn.XLOOKUP($R32:$AK32,增益!$A:$A,增益!$B:$B,0))</f>
        <v>0.8141</v>
      </c>
      <c r="AR32" s="27" cm="1">
        <f t="array" ref="AR32">VLOOKUP($Q32,武学奇术!$A:$ZZ,5,FALSE)+SUM(_xlfn.XLOOKUP($R32:$AK32,增益!$A:$A,增益!$E:$E,0))</f>
        <v>0</v>
      </c>
      <c r="AS32" cm="1">
        <f t="array" ref="AS32">$D$10*(1+$AR32)+VLOOKUP($Q32,武学奇术!$A:$ZZ,3,FALSE)+SUM(_xlfn.XLOOKUP($R32:$AK32,增益!$A:$A,增益!$C:$C,0))-$I$2</f>
        <v>3648.7</v>
      </c>
      <c r="AT32" cm="1">
        <f t="array" ref="AT32">$E$10*(1+$AR32)+VLOOKUP($Q32,武学奇术!$A:$ZZ,4,FALSE)+SUM(_xlfn.XLOOKUP($R32:$AK32,增益!$A:$A,增益!$D:$D,0))-$I$2</f>
        <v>3648.7</v>
      </c>
      <c r="AU32" s="34" cm="1">
        <f t="array" ref="AU32">IF($F$10-$I$3+VLOOKUP($Q32,武学奇术!$A:$ZZ,6,FALSE)+SUM(_xlfn.XLOOKUP($R32:$AK32,增益!$A:$A,增益!$F:$F,0))&gt;0,($F$10-$I$3+VLOOKUP($Q32,武学奇术!$A:$ZZ,6,FALSE)+SUM(_xlfn.XLOOKUP($R32:$AK32,增益!$A:$A,增益!$F:$F,0)))/200,($F$10-$I$3+VLOOKUP($Q32,武学奇术!$A:$ZZ,6,FALSE)+SUM(_xlfn.XLOOKUP($R32:$AK32,增益!$A:$A,增益!$F:$F,0)))/100)</f>
        <v>0.452</v>
      </c>
      <c r="AV32" s="34" cm="1">
        <f t="array" ref="AV32">$G$10+VLOOKUP($Q32,武学奇术!$A:$ZZ,7,FALSE)+SUM(_xlfn.XLOOKUP($R32:$AK32,增益!$A:$A,增益!$G:$G,0))</f>
        <v>0</v>
      </c>
      <c r="AW32" s="27" cm="1">
        <f t="array" ref="AW32">VLOOKUP($Q32,武学奇术!$A:$ZZ,8,FALSE)+SUM(_xlfn.XLOOKUP($R32:$AK32,增益!$A:$A,增益!$H:$H,0))</f>
        <v>0</v>
      </c>
      <c r="AX32">
        <f t="shared" si="1"/>
        <v>0</v>
      </c>
      <c r="AY32">
        <f t="shared" si="2"/>
        <v>0</v>
      </c>
      <c r="AZ32" s="34" cm="1">
        <f t="array" ref="AZ32">IF($F$11-$I$4+VLOOKUP($Q32,武学奇术!$A:$ZZ,9,FALSE)+SUM(_xlfn.XLOOKUP($R32:$AK32,增益!$A:$A,增益!$I:$I,0))&gt;0,($F$11-$I$4+VLOOKUP($Q32,武学奇术!$A:$ZZ,9,FALSE)+SUM(_xlfn.XLOOKUP($R32:$AK32,增益!$A:$A,增益!$I:$I,0)))/200,($F$11-$I$4+VLOOKUP($Q32,武学奇术!$A:$ZZ,9,FALSE)+SUM(_xlfn.XLOOKUP($R32:$AK32,增益!$A:$A,增益!$I:$I,0)))/100)</f>
        <v>-0.14</v>
      </c>
      <c r="BA32" s="34" cm="1">
        <f t="array" ref="BA32">$G$11+VLOOKUP($Q32,武学奇术!$A:$ZZ,10,FALSE)+SUM(_xlfn.XLOOKUP($R32:$AK32,增益!$A:$A,增益!$J:$J,0))</f>
        <v>0</v>
      </c>
      <c r="BB32">
        <f t="shared" si="3"/>
        <v>594.1</v>
      </c>
      <c r="BC32">
        <f t="shared" si="4"/>
        <v>1604.9</v>
      </c>
      <c r="BD32" s="34" cm="1">
        <f t="array" ref="BD32">IF($F$12-$I$4+VLOOKUP($Q32,武学奇术!$A:$ZZ,11,FALSE)+SUM(_xlfn.XLOOKUP($R32:$AK32,增益!$A:$A,增益!$K:$K,0))&gt;0,($F$12-$I$4+VLOOKUP($Q32,武学奇术!$A:$ZZ,11,FALSE)+SUM(_xlfn.XLOOKUP($R32:$AK32,增益!$A:$A,增益!$K:$K,0)))/200,($F$12-$I$4+VLOOKUP($Q32,武学奇术!$A:$ZZ,11,FALSE)+SUM(_xlfn.XLOOKUP($R32:$AK32,增益!$A:$A,增益!$K:$K,0)))/100)</f>
        <v>0.17</v>
      </c>
      <c r="BE32" s="34" cm="1">
        <f t="array" ref="BE32">$G$12+VLOOKUP($Q32,武学奇术!$A:$ZZ,12,FALSE)+SUM(_xlfn.XLOOKUP($R32:$AK32,增益!$A:$A,增益!$L:$L,0))</f>
        <v>0.15</v>
      </c>
      <c r="BF32">
        <f t="shared" si="5"/>
        <v>0</v>
      </c>
      <c r="BG32">
        <f t="shared" si="6"/>
        <v>0</v>
      </c>
      <c r="BH32" s="34" cm="1">
        <f t="array" ref="BH32">IF($F$13-$I$4+VLOOKUP($Q32,武学奇术!$A:$ZZ,13,FALSE)+SUM(_xlfn.XLOOKUP($R32:$AK32,增益!$A:$A,增益!$M:$M,0))&gt;0,($F$13-$I$4+VLOOKUP($Q32,武学奇术!$A:$ZZ,13,FALSE)+SUM(_xlfn.XLOOKUP($R32:$AK32,增益!$A:$A,增益!$K:$K,0)))/200,($F$13-$I$4+VLOOKUP($Q32,武学奇术!$A:$ZZ,13,FALSE)+SUM(_xlfn.XLOOKUP($R32:$AK32,增益!$A:$A,增益!$M:$M,0)))/100)</f>
        <v>-0.14</v>
      </c>
      <c r="BI32" s="34" cm="1">
        <f t="array" ref="BI32">$G$13+VLOOKUP($Q32,武学奇术!$A:$ZZ,14,FALSE)+SUM(_xlfn.XLOOKUP($R32:$AK32,增益!$A:$A,增益!$N:$N,0))</f>
        <v>0</v>
      </c>
      <c r="BJ32">
        <f t="shared" si="7"/>
        <v>0</v>
      </c>
      <c r="BK32">
        <f t="shared" si="8"/>
        <v>0</v>
      </c>
      <c r="BL32" s="34" cm="1">
        <f t="array" ref="BL32">IF($F$14-$I$4+VLOOKUP($Q32,武学奇术!$A:$ZZ,15,FALSE)+SUM(_xlfn.XLOOKUP($R32:$AK32,增益!$A:$A,增益!$O:$O,0))&gt;0,($F$14-$I$4+VLOOKUP($Q32,武学奇术!$A:$ZZ,15,FALSE)+SUM(_xlfn.XLOOKUP($R32:$AK32,增益!$A:$A,增益!$O:$O,0)))/200,($F$14-$I$4+VLOOKUP($Q32,武学奇术!$A:$ZZ,15,FALSE)+SUM(_xlfn.XLOOKUP($R32:$AK32,增益!$A:$A,增益!$O:$O,0)))/100)</f>
        <v>-0.14</v>
      </c>
      <c r="BM32" s="34" cm="1">
        <f t="array" ref="BM32">$G$14+VLOOKUP($Q32,武学奇术!$A:$ZZ,16,FALSE)+SUM(_xlfn.XLOOKUP($R32:$AK32,增益!$A:$A,增益!$P:$P,0))</f>
        <v>0</v>
      </c>
      <c r="BN32" s="27">
        <f>MIN(IF(VLOOKUP($Q32,武学奇术!$A:$ZZ,23,FALSE)=1,100%,$B$8),100%)</f>
        <v>1</v>
      </c>
      <c r="BO32" s="27" cm="1">
        <f t="array" ref="BO32">IF(VLOOKUP($Q32,武学奇术!$A:$ZZ,23,FALSE)=1,100%,MIN(80%,$B$9+VLOOKUP($Q32,武学奇术!$A:$ZZ,17,FALSE)+SUM(_xlfn.XLOOKUP($R32:$AK32,增益!$A:$A,增益!$Q:$Q,0)))+$B$11+SUM(_xlfn.XLOOKUP($R32:$AK32,增益!$A:$A,增益!$U:$U,0)))*IF(VLOOKUP($Q32,武学奇术!$A:$ZZ,24,FALSE)=1,0,1)</f>
        <v>1</v>
      </c>
      <c r="BP32" s="27" cm="1">
        <f t="array" ref="BP32">1+$B$13+VLOOKUP($Q32,武学奇术!$A:$ZZ,18,FALSE)+SUM(_xlfn.XLOOKUP($R32:$AK32,增益!$A:$A,增益!$R:$R,0))</f>
        <v>2.08</v>
      </c>
      <c r="BQ32" s="27" cm="1">
        <f t="array" ref="BQ32">IF(VLOOKUP($Q32,武学奇术!$A:$ZZ,24,FALSE)=1,100%,MIN(40%,$B$10+VLOOKUP($Q32,武学奇术!$A:$ZZ,19,FALSE)+SUM(_xlfn.XLOOKUP($R32:$AK32,增益!$A:$A,增益!$S:$S,0)))+$B$12+SUM(_xlfn.XLOOKUP($R32:$AK32,增益!$A:$A,增益!$V:$V,0)))*IF(VLOOKUP($Q32,武学奇术!$A:$ZZ,23,FALSE)=1,0,1)</f>
        <v>0</v>
      </c>
      <c r="BR32" s="27" cm="1">
        <f t="array" ref="BR32">1+$B$14+VLOOKUP($Q32,武学奇术!$A:$ZZ,20,FALSE)+SUM(_xlfn.XLOOKUP($R32:$AK32,增益!$A:$A,增益!$T:$T,0))</f>
        <v>1.35</v>
      </c>
      <c r="BS32" s="27">
        <f t="shared" si="9"/>
        <v>1</v>
      </c>
      <c r="BT32" s="27">
        <f t="shared" si="10"/>
        <v>0</v>
      </c>
      <c r="BU32" s="27">
        <f>IF(VLOOKUP($Q32,武学奇术!$A:$ZZ,22,FALSE)=1,0,(1-$BN32))*(1-$BQ32)</f>
        <v>0</v>
      </c>
      <c r="BV32" s="27" cm="1">
        <f t="array" ref="BV32">SUM(_xlfn.XLOOKUP($R32:$AK32,增益!$A:$A,增益!$W:$W,0))+$I$5</f>
        <v>0.11</v>
      </c>
    </row>
    <row r="33" spans="1:74">
      <c r="A33" s="4" t="s">
        <v>171</v>
      </c>
      <c r="B33" s="4">
        <v>2.3</v>
      </c>
      <c r="C33" s="41"/>
      <c r="D33" s="41"/>
      <c r="E33" s="41" t="s">
        <v>172</v>
      </c>
      <c r="K33" s="40">
        <f t="shared" si="0"/>
        <v>360502.460587181</v>
      </c>
      <c r="L33" s="40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BP33*$P33*(1+IF(VLOOKUP($Q33,武学奇术!$A:$ZZ,30,FALSE)="蓄力技",$B$21,0))*(1+$BV33)</f>
        <v>360502.460587181</v>
      </c>
      <c r="M33" s="40">
        <f>(($AT33*$AM33+$AN33)*(1+$AU33)*(1+$AV33)+($AY33*IF($G$1="鸣金",$AO33,$AM33)+IF($G$1="鸣金",$AP33*1.5,0))*(1+$AZ33)*(1+$BA33)+($BC33*IF($G$1="裂石",$AO33,$AM33)+IF($G$1="裂石",$AP33*1.5,0))*(1+$BD33)*(1+$BE33)+($BG33*IF($G$1="牵丝",$AO33,$AM33)+IF($G$1="牵丝",$AP33*1.5,0))*(1+$BH33)*(1+$BI33)+($BK33*IF($G$1="破竹",$AO33,$AM33)+IF($G$1="破竹",$AP33*1.5,0))*(1+$BL33)*(1+$BM33))*(1+$AQ33)*$BR33*$P33*(1+IF(VLOOKUP($Q33,武学奇术!$A:$ZZ,30,FALSE)="蓄力技",$B$21,0))*(1+$BV33)</f>
        <v>260558.709313465</v>
      </c>
      <c r="N33" s="40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P33*(1+IF(VLOOKUP($Q33,武学奇术!$A:$ZZ,30,FALSE)="蓄力技",$B$21,0))*(1+$BV33)</f>
        <v>172489.215591953</v>
      </c>
      <c r="O33" s="40">
        <f>((($AS33*$AM33+$AN33)*(1+$AU33)*(1+$AV33)+($AX33*IF($G$1="鸣金",$AO33,$AM33)+IF($G$1="鸣金",$AP33*1.5,0))*(1+$AZ33)*(1+$BA33)+($BB33*IF($G$1="裂石",$AO33,$AM33)+IF($G$1="裂石",$AP33*1.5,0))*(1+$BD33)*(1+$BE33)+($BF33*IF($G$1="牵丝",$AO33,$AM33)+IF($G$1="牵丝",$AP33*1.5,0))*(1+$BH33)*(1+$BI33)+($BJ33*IF($G$1="破竹",$AO33,$AM33)+IF($G$1="破竹",$AP33*1.5,0))*(1+$BL33)*(1+$BM33))*(1+$AQ33))*$P33*(1+IF(VLOOKUP($Q33,武学奇术!$A:$ZZ,30,FALSE)="蓄力技",$B$21,0))*(1+$BV33)</f>
        <v>151971.979840598</v>
      </c>
      <c r="P33" s="41">
        <v>1</v>
      </c>
      <c r="Q33" s="42" t="s">
        <v>120</v>
      </c>
      <c r="R33" s="42" t="s">
        <v>103</v>
      </c>
      <c r="S33" s="42" t="s">
        <v>169</v>
      </c>
      <c r="T33" s="42" t="s">
        <v>86</v>
      </c>
      <c r="U33" s="42" t="s">
        <v>121</v>
      </c>
      <c r="V33" s="42" t="s">
        <v>118</v>
      </c>
      <c r="W33" s="42" t="s">
        <v>77</v>
      </c>
      <c r="X33" s="42" t="s">
        <v>173</v>
      </c>
      <c r="Y33" s="42" t="s">
        <v>77</v>
      </c>
      <c r="Z33" s="42" t="s">
        <v>77</v>
      </c>
      <c r="AA33" s="42" t="s">
        <v>73</v>
      </c>
      <c r="AB33" s="42" t="s">
        <v>95</v>
      </c>
      <c r="AC33" s="42" t="s">
        <v>77</v>
      </c>
      <c r="AD33" s="42" t="s">
        <v>80</v>
      </c>
      <c r="AE33" s="42" t="s">
        <v>81</v>
      </c>
      <c r="AF33" s="42" t="s">
        <v>82</v>
      </c>
      <c r="AG33" s="42" t="s">
        <v>77</v>
      </c>
      <c r="AH33" s="42" t="s">
        <v>77</v>
      </c>
      <c r="AI33" s="42" t="s">
        <v>77</v>
      </c>
      <c r="AJ33" s="42" t="s">
        <v>77</v>
      </c>
      <c r="AK33" s="42" t="s">
        <v>90</v>
      </c>
      <c r="AL33" t="str">
        <f>VLOOKUP($Q33,武学奇术!$A:$ZZ,25,FALSE)</f>
        <v>陌刀</v>
      </c>
      <c r="AM33" s="27">
        <f>VLOOKUP($Q33,武学奇术!$A:$ZZ,26,FALSE)</f>
        <v>7.5674</v>
      </c>
      <c r="AN33" s="28">
        <f>VLOOKUP($Q33,武学奇术!$A:$ZZ,27,FALSE)*(1+IF(OR($AL33=$F$4,$AL33=$F$5),$B$22,0))</f>
        <v>3139.5</v>
      </c>
      <c r="AO33" s="27">
        <f>VLOOKUP($Q33,武学奇术!$A:$ZZ,28,FALSE)</f>
        <v>11.3512</v>
      </c>
      <c r="AP33" s="28">
        <f>VLOOKUP($Q33,武学奇术!$A:$ZZ,29,FALSE)*(1+IF(OR($AL33=$F$4,$AL33=$F$5),$B$22,0))</f>
        <v>1710</v>
      </c>
      <c r="AQ33" s="27" cm="1">
        <f t="array" ref="AQ33">$G$3+IFERROR(VLOOKUP($AL33,$F$4:$G$7,2,FALSE),0)+VLOOKUP($Q33,武学奇术!$A:$ZZ,2,FALSE)+SUM(_xlfn.XLOOKUP($R33:$AK33,增益!$A:$A,增益!$B:$B,0))</f>
        <v>0.8141</v>
      </c>
      <c r="AR33" s="27" cm="1">
        <f t="array" ref="AR33">VLOOKUP($Q33,武学奇术!$A:$ZZ,5,FALSE)+SUM(_xlfn.XLOOKUP($R33:$AK33,增益!$A:$A,增益!$E:$E,0))</f>
        <v>0</v>
      </c>
      <c r="AS33" cm="1">
        <f t="array" ref="AS33">$D$10*(1+$AR33)+VLOOKUP($Q33,武学奇术!$A:$ZZ,3,FALSE)+SUM(_xlfn.XLOOKUP($R33:$AK33,增益!$A:$A,增益!$C:$C,0))-$I$2</f>
        <v>3648.7</v>
      </c>
      <c r="AT33" cm="1">
        <f t="array" ref="AT33">$E$10*(1+$AR33)+VLOOKUP($Q33,武学奇术!$A:$ZZ,4,FALSE)+SUM(_xlfn.XLOOKUP($R33:$AK33,增益!$A:$A,增益!$D:$D,0))-$I$2</f>
        <v>3648.7</v>
      </c>
      <c r="AU33" s="34" cm="1">
        <f t="array" ref="AU33">IF($F$10-$I$3+VLOOKUP($Q33,武学奇术!$A:$ZZ,6,FALSE)+SUM(_xlfn.XLOOKUP($R33:$AK33,增益!$A:$A,增益!$F:$F,0))&gt;0,($F$10-$I$3+VLOOKUP($Q33,武学奇术!$A:$ZZ,6,FALSE)+SUM(_xlfn.XLOOKUP($R33:$AK33,增益!$A:$A,增益!$F:$F,0)))/200,($F$10-$I$3+VLOOKUP($Q33,武学奇术!$A:$ZZ,6,FALSE)+SUM(_xlfn.XLOOKUP($R33:$AK33,增益!$A:$A,增益!$F:$F,0)))/100)</f>
        <v>0.452</v>
      </c>
      <c r="AV33" s="34" cm="1">
        <f t="array" ref="AV33">$G$10+VLOOKUP($Q33,武学奇术!$A:$ZZ,7,FALSE)+SUM(_xlfn.XLOOKUP($R33:$AK33,增益!$A:$A,增益!$G:$G,0))</f>
        <v>0</v>
      </c>
      <c r="AW33" s="27" cm="1">
        <f t="array" ref="AW33">VLOOKUP($Q33,武学奇术!$A:$ZZ,8,FALSE)+SUM(_xlfn.XLOOKUP($R33:$AK33,增益!$A:$A,增益!$H:$H,0))</f>
        <v>0</v>
      </c>
      <c r="AX33">
        <f t="shared" si="1"/>
        <v>0</v>
      </c>
      <c r="AY33">
        <f t="shared" si="2"/>
        <v>0</v>
      </c>
      <c r="AZ33" s="34" cm="1">
        <f t="array" ref="AZ33">IF($F$11-$I$4+VLOOKUP($Q33,武学奇术!$A:$ZZ,9,FALSE)+SUM(_xlfn.XLOOKUP($R33:$AK33,增益!$A:$A,增益!$I:$I,0))&gt;0,($F$11-$I$4+VLOOKUP($Q33,武学奇术!$A:$ZZ,9,FALSE)+SUM(_xlfn.XLOOKUP($R33:$AK33,增益!$A:$A,增益!$I:$I,0)))/200,($F$11-$I$4+VLOOKUP($Q33,武学奇术!$A:$ZZ,9,FALSE)+SUM(_xlfn.XLOOKUP($R33:$AK33,增益!$A:$A,增益!$I:$I,0)))/100)</f>
        <v>-0.14</v>
      </c>
      <c r="BA33" s="34" cm="1">
        <f t="array" ref="BA33">$G$11+VLOOKUP($Q33,武学奇术!$A:$ZZ,10,FALSE)+SUM(_xlfn.XLOOKUP($R33:$AK33,增益!$A:$A,增益!$J:$J,0))</f>
        <v>0</v>
      </c>
      <c r="BB33">
        <f t="shared" si="3"/>
        <v>594.1</v>
      </c>
      <c r="BC33">
        <f t="shared" si="4"/>
        <v>1604.9</v>
      </c>
      <c r="BD33" s="34" cm="1">
        <f t="array" ref="BD33">IF($F$12-$I$4+VLOOKUP($Q33,武学奇术!$A:$ZZ,11,FALSE)+SUM(_xlfn.XLOOKUP($R33:$AK33,增益!$A:$A,增益!$K:$K,0))&gt;0,($F$12-$I$4+VLOOKUP($Q33,武学奇术!$A:$ZZ,11,FALSE)+SUM(_xlfn.XLOOKUP($R33:$AK33,增益!$A:$A,增益!$K:$K,0)))/200,($F$12-$I$4+VLOOKUP($Q33,武学奇术!$A:$ZZ,11,FALSE)+SUM(_xlfn.XLOOKUP($R33:$AK33,增益!$A:$A,增益!$K:$K,0)))/100)</f>
        <v>0.17</v>
      </c>
      <c r="BE33" s="34" cm="1">
        <f t="array" ref="BE33">$G$12+VLOOKUP($Q33,武学奇术!$A:$ZZ,12,FALSE)+SUM(_xlfn.XLOOKUP($R33:$AK33,增益!$A:$A,增益!$L:$L,0))</f>
        <v>0.15</v>
      </c>
      <c r="BF33">
        <f t="shared" si="5"/>
        <v>0</v>
      </c>
      <c r="BG33">
        <f t="shared" si="6"/>
        <v>0</v>
      </c>
      <c r="BH33" s="34" cm="1">
        <f t="array" ref="BH33">IF($F$13-$I$4+VLOOKUP($Q33,武学奇术!$A:$ZZ,13,FALSE)+SUM(_xlfn.XLOOKUP($R33:$AK33,增益!$A:$A,增益!$M:$M,0))&gt;0,($F$13-$I$4+VLOOKUP($Q33,武学奇术!$A:$ZZ,13,FALSE)+SUM(_xlfn.XLOOKUP($R33:$AK33,增益!$A:$A,增益!$K:$K,0)))/200,($F$13-$I$4+VLOOKUP($Q33,武学奇术!$A:$ZZ,13,FALSE)+SUM(_xlfn.XLOOKUP($R33:$AK33,增益!$A:$A,增益!$M:$M,0)))/100)</f>
        <v>-0.14</v>
      </c>
      <c r="BI33" s="34" cm="1">
        <f t="array" ref="BI33">$G$13+VLOOKUP($Q33,武学奇术!$A:$ZZ,14,FALSE)+SUM(_xlfn.XLOOKUP($R33:$AK33,增益!$A:$A,增益!$N:$N,0))</f>
        <v>0</v>
      </c>
      <c r="BJ33">
        <f t="shared" si="7"/>
        <v>0</v>
      </c>
      <c r="BK33">
        <f t="shared" si="8"/>
        <v>0</v>
      </c>
      <c r="BL33" s="34" cm="1">
        <f t="array" ref="BL33">IF($F$14-$I$4+VLOOKUP($Q33,武学奇术!$A:$ZZ,15,FALSE)+SUM(_xlfn.XLOOKUP($R33:$AK33,增益!$A:$A,增益!$O:$O,0))&gt;0,($F$14-$I$4+VLOOKUP($Q33,武学奇术!$A:$ZZ,15,FALSE)+SUM(_xlfn.XLOOKUP($R33:$AK33,增益!$A:$A,增益!$O:$O,0)))/200,($F$14-$I$4+VLOOKUP($Q33,武学奇术!$A:$ZZ,15,FALSE)+SUM(_xlfn.XLOOKUP($R33:$AK33,增益!$A:$A,增益!$O:$O,0)))/100)</f>
        <v>-0.14</v>
      </c>
      <c r="BM33" s="34" cm="1">
        <f t="array" ref="BM33">$G$14+VLOOKUP($Q33,武学奇术!$A:$ZZ,16,FALSE)+SUM(_xlfn.XLOOKUP($R33:$AK33,增益!$A:$A,增益!$P:$P,0))</f>
        <v>0</v>
      </c>
      <c r="BN33" s="27">
        <f>MIN(IF(VLOOKUP($Q33,武学奇术!$A:$ZZ,23,FALSE)=1,100%,$B$8),100%)</f>
        <v>1</v>
      </c>
      <c r="BO33" s="27" cm="1">
        <f t="array" ref="BO33">IF(VLOOKUP($Q33,武学奇术!$A:$ZZ,23,FALSE)=1,100%,MIN(80%,$B$9+VLOOKUP($Q33,武学奇术!$A:$ZZ,17,FALSE)+SUM(_xlfn.XLOOKUP($R33:$AK33,增益!$A:$A,增益!$Q:$Q,0)))+$B$11+SUM(_xlfn.XLOOKUP($R33:$AK33,增益!$A:$A,增益!$U:$U,0)))*IF(VLOOKUP($Q33,武学奇术!$A:$ZZ,24,FALSE)=1,0,1)</f>
        <v>1</v>
      </c>
      <c r="BP33" s="27" cm="1">
        <f t="array" ref="BP33">1+$B$13+VLOOKUP($Q33,武学奇术!$A:$ZZ,18,FALSE)+SUM(_xlfn.XLOOKUP($R33:$AK33,增益!$A:$A,增益!$R:$R,0))</f>
        <v>2.09</v>
      </c>
      <c r="BQ33" s="27" cm="1">
        <f t="array" ref="BQ33">IF(VLOOKUP($Q33,武学奇术!$A:$ZZ,24,FALSE)=1,100%,MIN(40%,$B$10+VLOOKUP($Q33,武学奇术!$A:$ZZ,19,FALSE)+SUM(_xlfn.XLOOKUP($R33:$AK33,增益!$A:$A,增益!$S:$S,0)))+$B$12+SUM(_xlfn.XLOOKUP($R33:$AK33,增益!$A:$A,增益!$V:$V,0)))*IF(VLOOKUP($Q33,武学奇术!$A:$ZZ,23,FALSE)=1,0,1)</f>
        <v>0</v>
      </c>
      <c r="BR33" s="27" cm="1">
        <f t="array" ref="BR33">1+$B$14+VLOOKUP($Q33,武学奇术!$A:$ZZ,20,FALSE)+SUM(_xlfn.XLOOKUP($R33:$AK33,增益!$A:$A,增益!$T:$T,0))</f>
        <v>1.35</v>
      </c>
      <c r="BS33" s="27">
        <f t="shared" si="9"/>
        <v>1</v>
      </c>
      <c r="BT33" s="27">
        <f t="shared" si="10"/>
        <v>0</v>
      </c>
      <c r="BU33" s="27">
        <f>IF(VLOOKUP($Q33,武学奇术!$A:$ZZ,22,FALSE)=1,0,(1-$BN33))*(1-$BQ33)</f>
        <v>0</v>
      </c>
      <c r="BV33" s="27" cm="1">
        <f t="array" ref="BV33">SUM(_xlfn.XLOOKUP($R33:$AK33,增益!$A:$A,增益!$W:$W,0))+$I$5</f>
        <v>0.11</v>
      </c>
    </row>
    <row r="34" spans="1:74">
      <c r="A34" s="4" t="s">
        <v>171</v>
      </c>
      <c r="B34" s="4">
        <v>2.3</v>
      </c>
      <c r="C34" s="41"/>
      <c r="D34" s="41"/>
      <c r="E34" s="41"/>
      <c r="K34" s="40">
        <f t="shared" si="0"/>
        <v>20879.3857897039</v>
      </c>
      <c r="L34" s="40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BP34*$P34*(1+IF(VLOOKUP($Q34,武学奇术!$A:$ZZ,30,FALSE)="蓄力技",$B$21,0))*(1+$BV34)</f>
        <v>20879.3857897039</v>
      </c>
      <c r="M34" s="40">
        <f>(($AT34*$AM34+$AN34)*(1+$AU34)*(1+$AV34)+($AY34*IF($G$1="鸣金",$AO34,$AM34)+IF($G$1="鸣金",$AP34*1.5,0))*(1+$AZ34)*(1+$BA34)+($BC34*IF($G$1="裂石",$AO34,$AM34)+IF($G$1="裂石",$AP34*1.5,0))*(1+$BD34)*(1+$BE34)+($BG34*IF($G$1="牵丝",$AO34,$AM34)+IF($G$1="牵丝",$AP34*1.5,0))*(1+$BH34)*(1+$BI34)+($BK34*IF($G$1="破竹",$AO34,$AM34)+IF($G$1="破竹",$AP34*1.5,0))*(1+$BL34)*(1+$BM34))*(1+$AQ34)*$BR34*$P34*(1+IF(VLOOKUP($Q34,武学奇术!$A:$ZZ,30,FALSE)="蓄力技",$B$21,0))*(1+$BV34)</f>
        <v>15316.7731553646</v>
      </c>
      <c r="N34" s="40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P34*(1+IF(VLOOKUP($Q34,武学奇术!$A:$ZZ,30,FALSE)="蓄力技",$B$21,0))*(1+$BV34)</f>
        <v>9990.13674148514</v>
      </c>
      <c r="O34" s="40">
        <f>((($AS34*$AM34+$AN34)*(1+$AU34)*(1+$AV34)+($AX34*IF($G$1="鸣金",$AO34,$AM34)+IF($G$1="鸣金",$AP34*1.5,0))*(1+$AZ34)*(1+$BA34)+($BB34*IF($G$1="裂石",$AO34,$AM34)+IF($G$1="裂石",$AP34*1.5,0))*(1+$BD34)*(1+$BE34)+($BF34*IF($G$1="牵丝",$AO34,$AM34)+IF($G$1="牵丝",$AP34*1.5,0))*(1+$BH34)*(1+$BI34)+($BJ34*IF($G$1="破竹",$AO34,$AM34)+IF($G$1="破竹",$AP34*1.5,0))*(1+$BL34)*(1+$BM34))*(1+$AQ34))*$P34*(1+IF(VLOOKUP($Q34,武学奇术!$A:$ZZ,30,FALSE)="蓄力技",$B$21,0))*(1+$BV34)</f>
        <v>8634.51559010764</v>
      </c>
      <c r="P34" s="41">
        <v>1</v>
      </c>
      <c r="Q34" s="42" t="s">
        <v>125</v>
      </c>
      <c r="R34" s="42" t="s">
        <v>103</v>
      </c>
      <c r="S34" s="42" t="s">
        <v>169</v>
      </c>
      <c r="T34" s="42" t="s">
        <v>86</v>
      </c>
      <c r="U34" s="42" t="s">
        <v>121</v>
      </c>
      <c r="V34" s="42" t="s">
        <v>118</v>
      </c>
      <c r="W34" s="42" t="s">
        <v>77</v>
      </c>
      <c r="X34" s="42" t="s">
        <v>173</v>
      </c>
      <c r="Y34" s="42" t="s">
        <v>77</v>
      </c>
      <c r="Z34" s="42" t="s">
        <v>77</v>
      </c>
      <c r="AA34" s="42" t="s">
        <v>73</v>
      </c>
      <c r="AB34" s="42" t="s">
        <v>95</v>
      </c>
      <c r="AC34" s="42" t="s">
        <v>77</v>
      </c>
      <c r="AD34" s="42" t="s">
        <v>80</v>
      </c>
      <c r="AE34" s="42" t="s">
        <v>81</v>
      </c>
      <c r="AF34" s="42" t="s">
        <v>82</v>
      </c>
      <c r="AG34" s="42" t="s">
        <v>77</v>
      </c>
      <c r="AH34" s="42" t="s">
        <v>77</v>
      </c>
      <c r="AI34" s="42" t="s">
        <v>77</v>
      </c>
      <c r="AJ34" s="42" t="s">
        <v>77</v>
      </c>
      <c r="AK34" s="42" t="s">
        <v>90</v>
      </c>
      <c r="AL34" t="str">
        <f>VLOOKUP($Q34,武学奇术!$A:$ZZ,25,FALSE)</f>
        <v>陌刀</v>
      </c>
      <c r="AM34" s="27">
        <f>VLOOKUP($Q34,武学奇术!$A:$ZZ,26,FALSE)</f>
        <v>0.5</v>
      </c>
      <c r="AN34" s="28">
        <f>VLOOKUP($Q34,武学奇术!$A:$ZZ,27,FALSE)*(1+IF(OR($AL34=$F$4,$AL34=$F$5),$B$22,0))</f>
        <v>0</v>
      </c>
      <c r="AO34" s="27">
        <f>VLOOKUP($Q34,武学奇术!$A:$ZZ,28,FALSE)</f>
        <v>0.75</v>
      </c>
      <c r="AP34" s="28">
        <f>VLOOKUP($Q34,武学奇术!$A:$ZZ,29,FALSE)*(1+IF(OR($AL34=$F$4,$AL34=$F$5),$B$22,0))</f>
        <v>0</v>
      </c>
      <c r="AQ34" s="27" cm="1">
        <f t="array" ref="AQ34">$G$3+IFERROR(VLOOKUP($AL34,$F$4:$G$7,2,FALSE),0)+VLOOKUP($Q34,武学奇术!$A:$ZZ,2,FALSE)+SUM(_xlfn.XLOOKUP($R34:$AK34,增益!$A:$A,增益!$B:$B,0))</f>
        <v>0.8141</v>
      </c>
      <c r="AR34" s="27" cm="1">
        <f t="array" ref="AR34">VLOOKUP($Q34,武学奇术!$A:$ZZ,5,FALSE)+SUM(_xlfn.XLOOKUP($R34:$AK34,增益!$A:$A,增益!$E:$E,0))</f>
        <v>0</v>
      </c>
      <c r="AS34" cm="1">
        <f t="array" ref="AS34">$D$10*(1+$AR34)+VLOOKUP($Q34,武学奇术!$A:$ZZ,3,FALSE)+SUM(_xlfn.XLOOKUP($R34:$AK34,增益!$A:$A,增益!$C:$C,0))-$I$2</f>
        <v>3648.7</v>
      </c>
      <c r="AT34" cm="1">
        <f t="array" ref="AT34">$E$10*(1+$AR34)+VLOOKUP($Q34,武学奇术!$A:$ZZ,4,FALSE)+SUM(_xlfn.XLOOKUP($R34:$AK34,增益!$A:$A,增益!$D:$D,0))-$I$2</f>
        <v>3648.7</v>
      </c>
      <c r="AU34" s="34" cm="1">
        <f t="array" ref="AU34">IF($F$10-$I$3+VLOOKUP($Q34,武学奇术!$A:$ZZ,6,FALSE)+SUM(_xlfn.XLOOKUP($R34:$AK34,增益!$A:$A,增益!$F:$F,0))&gt;0,($F$10-$I$3+VLOOKUP($Q34,武学奇术!$A:$ZZ,6,FALSE)+SUM(_xlfn.XLOOKUP($R34:$AK34,增益!$A:$A,增益!$F:$F,0)))/200,($F$10-$I$3+VLOOKUP($Q34,武学奇术!$A:$ZZ,6,FALSE)+SUM(_xlfn.XLOOKUP($R34:$AK34,增益!$A:$A,增益!$F:$F,0)))/100)</f>
        <v>0.452</v>
      </c>
      <c r="AV34" s="34" cm="1">
        <f t="array" ref="AV34">$G$10+VLOOKUP($Q34,武学奇术!$A:$ZZ,7,FALSE)+SUM(_xlfn.XLOOKUP($R34:$AK34,增益!$A:$A,增益!$G:$G,0))</f>
        <v>0</v>
      </c>
      <c r="AW34" s="27" cm="1">
        <f t="array" ref="AW34">VLOOKUP($Q34,武学奇术!$A:$ZZ,8,FALSE)+SUM(_xlfn.XLOOKUP($R34:$AK34,增益!$A:$A,增益!$H:$H,0))</f>
        <v>0</v>
      </c>
      <c r="AX34">
        <f t="shared" si="1"/>
        <v>0</v>
      </c>
      <c r="AY34">
        <f t="shared" si="2"/>
        <v>0</v>
      </c>
      <c r="AZ34" s="34" cm="1">
        <f t="array" ref="AZ34">IF($F$11-$I$4+VLOOKUP($Q34,武学奇术!$A:$ZZ,9,FALSE)+SUM(_xlfn.XLOOKUP($R34:$AK34,增益!$A:$A,增益!$I:$I,0))&gt;0,($F$11-$I$4+VLOOKUP($Q34,武学奇术!$A:$ZZ,9,FALSE)+SUM(_xlfn.XLOOKUP($R34:$AK34,增益!$A:$A,增益!$I:$I,0)))/200,($F$11-$I$4+VLOOKUP($Q34,武学奇术!$A:$ZZ,9,FALSE)+SUM(_xlfn.XLOOKUP($R34:$AK34,增益!$A:$A,增益!$I:$I,0)))/100)</f>
        <v>-0.14</v>
      </c>
      <c r="BA34" s="34" cm="1">
        <f t="array" ref="BA34">$G$11+VLOOKUP($Q34,武学奇术!$A:$ZZ,10,FALSE)+SUM(_xlfn.XLOOKUP($R34:$AK34,增益!$A:$A,增益!$J:$J,0))</f>
        <v>0</v>
      </c>
      <c r="BB34">
        <f t="shared" si="3"/>
        <v>594.1</v>
      </c>
      <c r="BC34">
        <f t="shared" si="4"/>
        <v>1604.9</v>
      </c>
      <c r="BD34" s="34" cm="1">
        <f t="array" ref="BD34">IF($F$12-$I$4+VLOOKUP($Q34,武学奇术!$A:$ZZ,11,FALSE)+SUM(_xlfn.XLOOKUP($R34:$AK34,增益!$A:$A,增益!$K:$K,0))&gt;0,($F$12-$I$4+VLOOKUP($Q34,武学奇术!$A:$ZZ,11,FALSE)+SUM(_xlfn.XLOOKUP($R34:$AK34,增益!$A:$A,增益!$K:$K,0)))/200,($F$12-$I$4+VLOOKUP($Q34,武学奇术!$A:$ZZ,11,FALSE)+SUM(_xlfn.XLOOKUP($R34:$AK34,增益!$A:$A,增益!$K:$K,0)))/100)</f>
        <v>0.17</v>
      </c>
      <c r="BE34" s="34" cm="1">
        <f t="array" ref="BE34">$G$12+VLOOKUP($Q34,武学奇术!$A:$ZZ,12,FALSE)+SUM(_xlfn.XLOOKUP($R34:$AK34,增益!$A:$A,增益!$L:$L,0))</f>
        <v>0.15</v>
      </c>
      <c r="BF34">
        <f t="shared" si="5"/>
        <v>0</v>
      </c>
      <c r="BG34">
        <f t="shared" si="6"/>
        <v>0</v>
      </c>
      <c r="BH34" s="34" cm="1">
        <f t="array" ref="BH34">IF($F$13-$I$4+VLOOKUP($Q34,武学奇术!$A:$ZZ,13,FALSE)+SUM(_xlfn.XLOOKUP($R34:$AK34,增益!$A:$A,增益!$M:$M,0))&gt;0,($F$13-$I$4+VLOOKUP($Q34,武学奇术!$A:$ZZ,13,FALSE)+SUM(_xlfn.XLOOKUP($R34:$AK34,增益!$A:$A,增益!$K:$K,0)))/200,($F$13-$I$4+VLOOKUP($Q34,武学奇术!$A:$ZZ,13,FALSE)+SUM(_xlfn.XLOOKUP($R34:$AK34,增益!$A:$A,增益!$M:$M,0)))/100)</f>
        <v>-0.14</v>
      </c>
      <c r="BI34" s="34" cm="1">
        <f t="array" ref="BI34">$G$13+VLOOKUP($Q34,武学奇术!$A:$ZZ,14,FALSE)+SUM(_xlfn.XLOOKUP($R34:$AK34,增益!$A:$A,增益!$N:$N,0))</f>
        <v>0</v>
      </c>
      <c r="BJ34">
        <f t="shared" si="7"/>
        <v>0</v>
      </c>
      <c r="BK34">
        <f t="shared" si="8"/>
        <v>0</v>
      </c>
      <c r="BL34" s="34" cm="1">
        <f t="array" ref="BL34">IF($F$14-$I$4+VLOOKUP($Q34,武学奇术!$A:$ZZ,15,FALSE)+SUM(_xlfn.XLOOKUP($R34:$AK34,增益!$A:$A,增益!$O:$O,0))&gt;0,($F$14-$I$4+VLOOKUP($Q34,武学奇术!$A:$ZZ,15,FALSE)+SUM(_xlfn.XLOOKUP($R34:$AK34,增益!$A:$A,增益!$O:$O,0)))/200,($F$14-$I$4+VLOOKUP($Q34,武学奇术!$A:$ZZ,15,FALSE)+SUM(_xlfn.XLOOKUP($R34:$AK34,增益!$A:$A,增益!$O:$O,0)))/100)</f>
        <v>-0.14</v>
      </c>
      <c r="BM34" s="34" cm="1">
        <f t="array" ref="BM34">$G$14+VLOOKUP($Q34,武学奇术!$A:$ZZ,16,FALSE)+SUM(_xlfn.XLOOKUP($R34:$AK34,增益!$A:$A,增益!$P:$P,0))</f>
        <v>0</v>
      </c>
      <c r="BN34" s="27">
        <f>MIN(IF(VLOOKUP($Q34,武学奇术!$A:$ZZ,23,FALSE)=1,100%,$B$8),100%)</f>
        <v>1</v>
      </c>
      <c r="BO34" s="27" cm="1">
        <f t="array" ref="BO34">IF(VLOOKUP($Q34,武学奇术!$A:$ZZ,23,FALSE)=1,100%,MIN(80%,$B$9+VLOOKUP($Q34,武学奇术!$A:$ZZ,17,FALSE)+SUM(_xlfn.XLOOKUP($R34:$AK34,增益!$A:$A,增益!$Q:$Q,0)))+$B$11+SUM(_xlfn.XLOOKUP($R34:$AK34,增益!$A:$A,增益!$U:$U,0)))*IF(VLOOKUP($Q34,武学奇术!$A:$ZZ,24,FALSE)=1,0,1)</f>
        <v>1</v>
      </c>
      <c r="BP34" s="27" cm="1">
        <f t="array" ref="BP34">1+$B$13+VLOOKUP($Q34,武学奇术!$A:$ZZ,18,FALSE)+SUM(_xlfn.XLOOKUP($R34:$AK34,增益!$A:$A,增益!$R:$R,0))</f>
        <v>2.09</v>
      </c>
      <c r="BQ34" s="27" cm="1">
        <f t="array" ref="BQ34">IF(VLOOKUP($Q34,武学奇术!$A:$ZZ,24,FALSE)=1,100%,MIN(40%,$B$10+VLOOKUP($Q34,武学奇术!$A:$ZZ,19,FALSE)+SUM(_xlfn.XLOOKUP($R34:$AK34,增益!$A:$A,增益!$S:$S,0)))+$B$12+SUM(_xlfn.XLOOKUP($R34:$AK34,增益!$A:$A,增益!$V:$V,0)))*IF(VLOOKUP($Q34,武学奇术!$A:$ZZ,23,FALSE)=1,0,1)</f>
        <v>0</v>
      </c>
      <c r="BR34" s="27" cm="1">
        <f t="array" ref="BR34">1+$B$14+VLOOKUP($Q34,武学奇术!$A:$ZZ,20,FALSE)+SUM(_xlfn.XLOOKUP($R34:$AK34,增益!$A:$A,增益!$T:$T,0))</f>
        <v>1.35</v>
      </c>
      <c r="BS34" s="27">
        <f t="shared" si="9"/>
        <v>1</v>
      </c>
      <c r="BT34" s="27">
        <f t="shared" si="10"/>
        <v>0</v>
      </c>
      <c r="BU34" s="27">
        <f>IF(VLOOKUP($Q34,武学奇术!$A:$ZZ,22,FALSE)=1,0,(1-$BN34))*(1-$BQ34)</f>
        <v>0</v>
      </c>
      <c r="BV34" s="27" cm="1">
        <f t="array" ref="BV34">SUM(_xlfn.XLOOKUP($R34:$AK34,增益!$A:$A,增益!$W:$W,0))+$I$5</f>
        <v>0.11</v>
      </c>
    </row>
    <row r="35" spans="1:74">
      <c r="A35" s="4" t="s">
        <v>171</v>
      </c>
      <c r="B35" s="4">
        <v>2.3</v>
      </c>
      <c r="C35" s="41"/>
      <c r="D35" s="41"/>
      <c r="E35" s="41"/>
      <c r="K35" s="40">
        <f t="shared" ref="K35:K60" si="11">($L35*$BS35+$M35*$BQ35+$N35*$BT35+$O35*$BU35)</f>
        <v>37582.8944214671</v>
      </c>
      <c r="L35" s="40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BP35*$P35*(1+IF(VLOOKUP($Q35,武学奇术!$A:$ZZ,30,FALSE)="蓄力技",$B$21,0))*(1+$BV35)</f>
        <v>37582.8944214671</v>
      </c>
      <c r="M35" s="40">
        <f>(($AT35*$AM35+$AN35)*(1+$AU35)*(1+$AV35)+($AY35*IF($G$1="鸣金",$AO35,$AM35)+IF($G$1="鸣金",$AP35*1.5,0))*(1+$AZ35)*(1+$BA35)+($BC35*IF($G$1="裂石",$AO35,$AM35)+IF($G$1="裂石",$AP35*1.5,0))*(1+$BD35)*(1+$BE35)+($BG35*IF($G$1="牵丝",$AO35,$AM35)+IF($G$1="牵丝",$AP35*1.5,0))*(1+$BH35)*(1+$BI35)+($BK35*IF($G$1="破竹",$AO35,$AM35)+IF($G$1="破竹",$AP35*1.5,0))*(1+$BL35)*(1+$BM35))*(1+$AQ35)*$BR35*$P35*(1+IF(VLOOKUP($Q35,武学奇术!$A:$ZZ,30,FALSE)="蓄力技",$B$21,0))*(1+$BV35)</f>
        <v>27570.1916796562</v>
      </c>
      <c r="N35" s="40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P35*(1+IF(VLOOKUP($Q35,武学奇术!$A:$ZZ,30,FALSE)="蓄力技",$B$21,0))*(1+$BV35)</f>
        <v>17982.2461346732</v>
      </c>
      <c r="O35" s="40">
        <f>((($AS35*$AM35+$AN35)*(1+$AU35)*(1+$AV35)+($AX35*IF($G$1="鸣金",$AO35,$AM35)+IF($G$1="鸣金",$AP35*1.5,0))*(1+$AZ35)*(1+$BA35)+($BB35*IF($G$1="裂石",$AO35,$AM35)+IF($G$1="裂石",$AP35*1.5,0))*(1+$BD35)*(1+$BE35)+($BF35*IF($G$1="牵丝",$AO35,$AM35)+IF($G$1="牵丝",$AP35*1.5,0))*(1+$BH35)*(1+$BI35)+($BJ35*IF($G$1="破竹",$AO35,$AM35)+IF($G$1="破竹",$AP35*1.5,0))*(1+$BL35)*(1+$BM35))*(1+$AQ35))*$P35*(1+IF(VLOOKUP($Q35,武学奇术!$A:$ZZ,30,FALSE)="蓄力技",$B$21,0))*(1+$BV35)</f>
        <v>15542.1280621938</v>
      </c>
      <c r="P35" s="41">
        <v>1</v>
      </c>
      <c r="Q35" s="42" t="s">
        <v>117</v>
      </c>
      <c r="R35" s="42" t="s">
        <v>103</v>
      </c>
      <c r="S35" s="42" t="s">
        <v>169</v>
      </c>
      <c r="T35" s="42" t="s">
        <v>86</v>
      </c>
      <c r="U35" s="42" t="s">
        <v>121</v>
      </c>
      <c r="V35" s="42" t="s">
        <v>118</v>
      </c>
      <c r="W35" s="42" t="s">
        <v>77</v>
      </c>
      <c r="X35" s="42" t="s">
        <v>173</v>
      </c>
      <c r="Y35" s="42" t="s">
        <v>77</v>
      </c>
      <c r="Z35" s="42" t="s">
        <v>77</v>
      </c>
      <c r="AA35" s="42" t="s">
        <v>73</v>
      </c>
      <c r="AB35" s="42" t="s">
        <v>95</v>
      </c>
      <c r="AC35" s="42" t="s">
        <v>77</v>
      </c>
      <c r="AD35" s="42" t="s">
        <v>80</v>
      </c>
      <c r="AE35" s="42" t="s">
        <v>81</v>
      </c>
      <c r="AF35" s="42" t="s">
        <v>82</v>
      </c>
      <c r="AG35" s="42" t="s">
        <v>77</v>
      </c>
      <c r="AH35" s="42" t="s">
        <v>77</v>
      </c>
      <c r="AI35" s="42" t="s">
        <v>77</v>
      </c>
      <c r="AJ35" s="42" t="s">
        <v>77</v>
      </c>
      <c r="AK35" s="42" t="s">
        <v>90</v>
      </c>
      <c r="AL35" t="str">
        <f>VLOOKUP($Q35,武学奇术!$A:$ZZ,25,FALSE)</f>
        <v>陌刀</v>
      </c>
      <c r="AM35" s="27">
        <f>VLOOKUP($Q35,武学奇术!$A:$ZZ,26,FALSE)</f>
        <v>0.9</v>
      </c>
      <c r="AN35" s="28">
        <f>VLOOKUP($Q35,武学奇术!$A:$ZZ,27,FALSE)*(1+IF(OR($AL35=$F$4,$AL35=$F$5),$B$22,0))</f>
        <v>0</v>
      </c>
      <c r="AO35" s="27">
        <f>VLOOKUP($Q35,武学奇术!$A:$ZZ,28,FALSE)</f>
        <v>1.35</v>
      </c>
      <c r="AP35" s="28">
        <f>VLOOKUP($Q35,武学奇术!$A:$ZZ,29,FALSE)*(1+IF(OR($AL35=$F$4,$AL35=$F$5),$B$22,0))</f>
        <v>0</v>
      </c>
      <c r="AQ35" s="27" cm="1">
        <f t="array" ref="AQ35">$G$3+IFERROR(VLOOKUP($AL35,$F$4:$G$7,2,FALSE),0)+VLOOKUP($Q35,武学奇术!$A:$ZZ,2,FALSE)+SUM(_xlfn.XLOOKUP($R35:$AK35,增益!$A:$A,增益!$B:$B,0))</f>
        <v>0.8141</v>
      </c>
      <c r="AR35" s="27" cm="1">
        <f t="array" ref="AR35">VLOOKUP($Q35,武学奇术!$A:$ZZ,5,FALSE)+SUM(_xlfn.XLOOKUP($R35:$AK35,增益!$A:$A,增益!$E:$E,0))</f>
        <v>0</v>
      </c>
      <c r="AS35" cm="1">
        <f t="array" ref="AS35">$D$10*(1+$AR35)+VLOOKUP($Q35,武学奇术!$A:$ZZ,3,FALSE)+SUM(_xlfn.XLOOKUP($R35:$AK35,增益!$A:$A,增益!$C:$C,0))-$I$2</f>
        <v>3648.7</v>
      </c>
      <c r="AT35" cm="1">
        <f t="array" ref="AT35">$E$10*(1+$AR35)+VLOOKUP($Q35,武学奇术!$A:$ZZ,4,FALSE)+SUM(_xlfn.XLOOKUP($R35:$AK35,增益!$A:$A,增益!$D:$D,0))-$I$2</f>
        <v>3648.7</v>
      </c>
      <c r="AU35" s="34" cm="1">
        <f t="array" ref="AU35">IF($F$10-$I$3+VLOOKUP($Q35,武学奇术!$A:$ZZ,6,FALSE)+SUM(_xlfn.XLOOKUP($R35:$AK35,增益!$A:$A,增益!$F:$F,0))&gt;0,($F$10-$I$3+VLOOKUP($Q35,武学奇术!$A:$ZZ,6,FALSE)+SUM(_xlfn.XLOOKUP($R35:$AK35,增益!$A:$A,增益!$F:$F,0)))/200,($F$10-$I$3+VLOOKUP($Q35,武学奇术!$A:$ZZ,6,FALSE)+SUM(_xlfn.XLOOKUP($R35:$AK35,增益!$A:$A,增益!$F:$F,0)))/100)</f>
        <v>0.452</v>
      </c>
      <c r="AV35" s="34" cm="1">
        <f t="array" ref="AV35">$G$10+VLOOKUP($Q35,武学奇术!$A:$ZZ,7,FALSE)+SUM(_xlfn.XLOOKUP($R35:$AK35,增益!$A:$A,增益!$G:$G,0))</f>
        <v>0</v>
      </c>
      <c r="AW35" s="27" cm="1">
        <f t="array" ref="AW35">VLOOKUP($Q35,武学奇术!$A:$ZZ,8,FALSE)+SUM(_xlfn.XLOOKUP($R35:$AK35,增益!$A:$A,增益!$H:$H,0))</f>
        <v>0</v>
      </c>
      <c r="AX35">
        <f t="shared" ref="AX35:AX66" si="12">$D$11*(1+$AW35)</f>
        <v>0</v>
      </c>
      <c r="AY35">
        <f t="shared" ref="AY35:AY66" si="13">$E$11*(1+$AW35)</f>
        <v>0</v>
      </c>
      <c r="AZ35" s="34" cm="1">
        <f t="array" ref="AZ35">IF($F$11-$I$4+VLOOKUP($Q35,武学奇术!$A:$ZZ,9,FALSE)+SUM(_xlfn.XLOOKUP($R35:$AK35,增益!$A:$A,增益!$I:$I,0))&gt;0,($F$11-$I$4+VLOOKUP($Q35,武学奇术!$A:$ZZ,9,FALSE)+SUM(_xlfn.XLOOKUP($R35:$AK35,增益!$A:$A,增益!$I:$I,0)))/200,($F$11-$I$4+VLOOKUP($Q35,武学奇术!$A:$ZZ,9,FALSE)+SUM(_xlfn.XLOOKUP($R35:$AK35,增益!$A:$A,增益!$I:$I,0)))/100)</f>
        <v>-0.14</v>
      </c>
      <c r="BA35" s="34" cm="1">
        <f t="array" ref="BA35">$G$11+VLOOKUP($Q35,武学奇术!$A:$ZZ,10,FALSE)+SUM(_xlfn.XLOOKUP($R35:$AK35,增益!$A:$A,增益!$J:$J,0))</f>
        <v>0</v>
      </c>
      <c r="BB35">
        <f t="shared" ref="BB35:BB66" si="14">$D$12*(1+$AW35)</f>
        <v>594.1</v>
      </c>
      <c r="BC35">
        <f t="shared" ref="BC35:BC66" si="15">$E$12*(1+$AW35)</f>
        <v>1604.9</v>
      </c>
      <c r="BD35" s="34" cm="1">
        <f t="array" ref="BD35">IF($F$12-$I$4+VLOOKUP($Q35,武学奇术!$A:$ZZ,11,FALSE)+SUM(_xlfn.XLOOKUP($R35:$AK35,增益!$A:$A,增益!$K:$K,0))&gt;0,($F$12-$I$4+VLOOKUP($Q35,武学奇术!$A:$ZZ,11,FALSE)+SUM(_xlfn.XLOOKUP($R35:$AK35,增益!$A:$A,增益!$K:$K,0)))/200,($F$12-$I$4+VLOOKUP($Q35,武学奇术!$A:$ZZ,11,FALSE)+SUM(_xlfn.XLOOKUP($R35:$AK35,增益!$A:$A,增益!$K:$K,0)))/100)</f>
        <v>0.17</v>
      </c>
      <c r="BE35" s="34" cm="1">
        <f t="array" ref="BE35">$G$12+VLOOKUP($Q35,武学奇术!$A:$ZZ,12,FALSE)+SUM(_xlfn.XLOOKUP($R35:$AK35,增益!$A:$A,增益!$L:$L,0))</f>
        <v>0.15</v>
      </c>
      <c r="BF35">
        <f t="shared" ref="BF35:BF66" si="16">$D$13*(1+$AW35)</f>
        <v>0</v>
      </c>
      <c r="BG35">
        <f t="shared" ref="BG35:BG66" si="17">$E$13*(1+$AW35)</f>
        <v>0</v>
      </c>
      <c r="BH35" s="34" cm="1">
        <f t="array" ref="BH35">IF($F$13-$I$4+VLOOKUP($Q35,武学奇术!$A:$ZZ,13,FALSE)+SUM(_xlfn.XLOOKUP($R35:$AK35,增益!$A:$A,增益!$M:$M,0))&gt;0,($F$13-$I$4+VLOOKUP($Q35,武学奇术!$A:$ZZ,13,FALSE)+SUM(_xlfn.XLOOKUP($R35:$AK35,增益!$A:$A,增益!$K:$K,0)))/200,($F$13-$I$4+VLOOKUP($Q35,武学奇术!$A:$ZZ,13,FALSE)+SUM(_xlfn.XLOOKUP($R35:$AK35,增益!$A:$A,增益!$M:$M,0)))/100)</f>
        <v>-0.14</v>
      </c>
      <c r="BI35" s="34" cm="1">
        <f t="array" ref="BI35">$G$13+VLOOKUP($Q35,武学奇术!$A:$ZZ,14,FALSE)+SUM(_xlfn.XLOOKUP($R35:$AK35,增益!$A:$A,增益!$N:$N,0))</f>
        <v>0</v>
      </c>
      <c r="BJ35">
        <f t="shared" ref="BJ35:BJ66" si="18">$D$14*(1+$AW35)</f>
        <v>0</v>
      </c>
      <c r="BK35">
        <f t="shared" ref="BK35:BK66" si="19">$E$14*(1+$AW35)</f>
        <v>0</v>
      </c>
      <c r="BL35" s="34" cm="1">
        <f t="array" ref="BL35">IF($F$14-$I$4+VLOOKUP($Q35,武学奇术!$A:$ZZ,15,FALSE)+SUM(_xlfn.XLOOKUP($R35:$AK35,增益!$A:$A,增益!$O:$O,0))&gt;0,($F$14-$I$4+VLOOKUP($Q35,武学奇术!$A:$ZZ,15,FALSE)+SUM(_xlfn.XLOOKUP($R35:$AK35,增益!$A:$A,增益!$O:$O,0)))/200,($F$14-$I$4+VLOOKUP($Q35,武学奇术!$A:$ZZ,15,FALSE)+SUM(_xlfn.XLOOKUP($R35:$AK35,增益!$A:$A,增益!$O:$O,0)))/100)</f>
        <v>-0.14</v>
      </c>
      <c r="BM35" s="34" cm="1">
        <f t="array" ref="BM35">$G$14+VLOOKUP($Q35,武学奇术!$A:$ZZ,16,FALSE)+SUM(_xlfn.XLOOKUP($R35:$AK35,增益!$A:$A,增益!$P:$P,0))</f>
        <v>0</v>
      </c>
      <c r="BN35" s="27">
        <f>MIN(IF(VLOOKUP($Q35,武学奇术!$A:$ZZ,23,FALSE)=1,100%,$B$8),100%)</f>
        <v>1</v>
      </c>
      <c r="BO35" s="27" cm="1">
        <f t="array" ref="BO35">IF(VLOOKUP($Q35,武学奇术!$A:$ZZ,23,FALSE)=1,100%,MIN(80%,$B$9+VLOOKUP($Q35,武学奇术!$A:$ZZ,17,FALSE)+SUM(_xlfn.XLOOKUP($R35:$AK35,增益!$A:$A,增益!$Q:$Q,0)))+$B$11+SUM(_xlfn.XLOOKUP($R35:$AK35,增益!$A:$A,增益!$U:$U,0)))*IF(VLOOKUP($Q35,武学奇术!$A:$ZZ,24,FALSE)=1,0,1)</f>
        <v>1</v>
      </c>
      <c r="BP35" s="27" cm="1">
        <f t="array" ref="BP35">1+$B$13+VLOOKUP($Q35,武学奇术!$A:$ZZ,18,FALSE)+SUM(_xlfn.XLOOKUP($R35:$AK35,增益!$A:$A,增益!$R:$R,0))</f>
        <v>2.09</v>
      </c>
      <c r="BQ35" s="27" cm="1">
        <f t="array" ref="BQ35">IF(VLOOKUP($Q35,武学奇术!$A:$ZZ,24,FALSE)=1,100%,MIN(40%,$B$10+VLOOKUP($Q35,武学奇术!$A:$ZZ,19,FALSE)+SUM(_xlfn.XLOOKUP($R35:$AK35,增益!$A:$A,增益!$S:$S,0)))+$B$12+SUM(_xlfn.XLOOKUP($R35:$AK35,增益!$A:$A,增益!$V:$V,0)))*IF(VLOOKUP($Q35,武学奇术!$A:$ZZ,23,FALSE)=1,0,1)</f>
        <v>0</v>
      </c>
      <c r="BR35" s="27" cm="1">
        <f t="array" ref="BR35">1+$B$14+VLOOKUP($Q35,武学奇术!$A:$ZZ,20,FALSE)+SUM(_xlfn.XLOOKUP($R35:$AK35,增益!$A:$A,增益!$T:$T,0))</f>
        <v>1.35</v>
      </c>
      <c r="BS35" s="27">
        <f t="shared" ref="BS35:BS66" si="20">MIN((1-BQ35)*BN35,BN35*BO35)</f>
        <v>1</v>
      </c>
      <c r="BT35" s="27">
        <f t="shared" ref="BT35:BT66" si="21">1-BQ35-BS35-BU35</f>
        <v>0</v>
      </c>
      <c r="BU35" s="27">
        <f>IF(VLOOKUP($Q35,武学奇术!$A:$ZZ,22,FALSE)=1,0,(1-$BN35))*(1-$BQ35)</f>
        <v>0</v>
      </c>
      <c r="BV35" s="27" cm="1">
        <f t="array" ref="BV35">SUM(_xlfn.XLOOKUP($R35:$AK35,增益!$A:$A,增益!$W:$W,0))+$I$5</f>
        <v>0.11</v>
      </c>
    </row>
    <row r="36" spans="1:74">
      <c r="A36" s="4" t="s">
        <v>174</v>
      </c>
      <c r="B36" s="4">
        <v>2</v>
      </c>
      <c r="C36" s="41"/>
      <c r="D36" s="41"/>
      <c r="K36" s="40">
        <f t="shared" si="11"/>
        <v>360502.460587181</v>
      </c>
      <c r="L36" s="40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BP36*$P36*(1+IF(VLOOKUP($Q36,武学奇术!$A:$ZZ,30,FALSE)="蓄力技",$B$21,0))*(1+$BV36)</f>
        <v>360502.460587181</v>
      </c>
      <c r="M36" s="40">
        <f>(($AT36*$AM36+$AN36)*(1+$AU36)*(1+$AV36)+($AY36*IF($G$1="鸣金",$AO36,$AM36)+IF($G$1="鸣金",$AP36*1.5,0))*(1+$AZ36)*(1+$BA36)+($BC36*IF($G$1="裂石",$AO36,$AM36)+IF($G$1="裂石",$AP36*1.5,0))*(1+$BD36)*(1+$BE36)+($BG36*IF($G$1="牵丝",$AO36,$AM36)+IF($G$1="牵丝",$AP36*1.5,0))*(1+$BH36)*(1+$BI36)+($BK36*IF($G$1="破竹",$AO36,$AM36)+IF($G$1="破竹",$AP36*1.5,0))*(1+$BL36)*(1+$BM36))*(1+$AQ36)*$BR36*$P36*(1+IF(VLOOKUP($Q36,武学奇术!$A:$ZZ,30,FALSE)="蓄力技",$B$21,0))*(1+$BV36)</f>
        <v>260558.709313465</v>
      </c>
      <c r="N36" s="40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P36*(1+IF(VLOOKUP($Q36,武学奇术!$A:$ZZ,30,FALSE)="蓄力技",$B$21,0))*(1+$BV36)</f>
        <v>172489.215591953</v>
      </c>
      <c r="O36" s="40">
        <f>((($AS36*$AM36+$AN36)*(1+$AU36)*(1+$AV36)+($AX36*IF($G$1="鸣金",$AO36,$AM36)+IF($G$1="鸣金",$AP36*1.5,0))*(1+$AZ36)*(1+$BA36)+($BB36*IF($G$1="裂石",$AO36,$AM36)+IF($G$1="裂石",$AP36*1.5,0))*(1+$BD36)*(1+$BE36)+($BF36*IF($G$1="牵丝",$AO36,$AM36)+IF($G$1="牵丝",$AP36*1.5,0))*(1+$BH36)*(1+$BI36)+($BJ36*IF($G$1="破竹",$AO36,$AM36)+IF($G$1="破竹",$AP36*1.5,0))*(1+$BL36)*(1+$BM36))*(1+$AQ36))*$P36*(1+IF(VLOOKUP($Q36,武学奇术!$A:$ZZ,30,FALSE)="蓄力技",$B$21,0))*(1+$BV36)</f>
        <v>151971.979840598</v>
      </c>
      <c r="P36" s="41">
        <v>1</v>
      </c>
      <c r="Q36" s="42" t="s">
        <v>120</v>
      </c>
      <c r="R36" s="42" t="s">
        <v>103</v>
      </c>
      <c r="S36" s="42" t="s">
        <v>169</v>
      </c>
      <c r="T36" s="42" t="s">
        <v>86</v>
      </c>
      <c r="U36" s="42" t="s">
        <v>121</v>
      </c>
      <c r="V36" s="42" t="s">
        <v>118</v>
      </c>
      <c r="W36" s="42" t="s">
        <v>77</v>
      </c>
      <c r="X36" s="42" t="s">
        <v>173</v>
      </c>
      <c r="Y36" s="42" t="s">
        <v>77</v>
      </c>
      <c r="Z36" s="42" t="s">
        <v>77</v>
      </c>
      <c r="AA36" s="42" t="s">
        <v>73</v>
      </c>
      <c r="AB36" s="42" t="s">
        <v>95</v>
      </c>
      <c r="AC36" s="42" t="s">
        <v>77</v>
      </c>
      <c r="AD36" s="42" t="s">
        <v>80</v>
      </c>
      <c r="AE36" s="42" t="s">
        <v>81</v>
      </c>
      <c r="AF36" s="42" t="s">
        <v>82</v>
      </c>
      <c r="AG36" s="42" t="s">
        <v>77</v>
      </c>
      <c r="AH36" s="42" t="s">
        <v>77</v>
      </c>
      <c r="AI36" s="42" t="s">
        <v>77</v>
      </c>
      <c r="AJ36" s="42" t="s">
        <v>77</v>
      </c>
      <c r="AK36" s="42" t="s">
        <v>90</v>
      </c>
      <c r="AL36" t="str">
        <f>VLOOKUP($Q36,武学奇术!$A:$ZZ,25,FALSE)</f>
        <v>陌刀</v>
      </c>
      <c r="AM36" s="27">
        <f>VLOOKUP($Q36,武学奇术!$A:$ZZ,26,FALSE)</f>
        <v>7.5674</v>
      </c>
      <c r="AN36" s="28">
        <f>VLOOKUP($Q36,武学奇术!$A:$ZZ,27,FALSE)*(1+IF(OR($AL36=$F$4,$AL36=$F$5),$B$22,0))</f>
        <v>3139.5</v>
      </c>
      <c r="AO36" s="27">
        <f>VLOOKUP($Q36,武学奇术!$A:$ZZ,28,FALSE)</f>
        <v>11.3512</v>
      </c>
      <c r="AP36" s="28">
        <f>VLOOKUP($Q36,武学奇术!$A:$ZZ,29,FALSE)*(1+IF(OR($AL36=$F$4,$AL36=$F$5),$B$22,0))</f>
        <v>1710</v>
      </c>
      <c r="AQ36" s="27" cm="1">
        <f t="array" ref="AQ36">$G$3+IFERROR(VLOOKUP($AL36,$F$4:$G$7,2,FALSE),0)+VLOOKUP($Q36,武学奇术!$A:$ZZ,2,FALSE)+SUM(_xlfn.XLOOKUP($R36:$AK36,增益!$A:$A,增益!$B:$B,0))</f>
        <v>0.8141</v>
      </c>
      <c r="AR36" s="27" cm="1">
        <f t="array" ref="AR36">VLOOKUP($Q36,武学奇术!$A:$ZZ,5,FALSE)+SUM(_xlfn.XLOOKUP($R36:$AK36,增益!$A:$A,增益!$E:$E,0))</f>
        <v>0</v>
      </c>
      <c r="AS36" cm="1">
        <f t="array" ref="AS36">$D$10*(1+$AR36)+VLOOKUP($Q36,武学奇术!$A:$ZZ,3,FALSE)+SUM(_xlfn.XLOOKUP($R36:$AK36,增益!$A:$A,增益!$C:$C,0))-$I$2</f>
        <v>3648.7</v>
      </c>
      <c r="AT36" cm="1">
        <f t="array" ref="AT36">$E$10*(1+$AR36)+VLOOKUP($Q36,武学奇术!$A:$ZZ,4,FALSE)+SUM(_xlfn.XLOOKUP($R36:$AK36,增益!$A:$A,增益!$D:$D,0))-$I$2</f>
        <v>3648.7</v>
      </c>
      <c r="AU36" s="34" cm="1">
        <f t="array" ref="AU36">IF($F$10-$I$3+VLOOKUP($Q36,武学奇术!$A:$ZZ,6,FALSE)+SUM(_xlfn.XLOOKUP($R36:$AK36,增益!$A:$A,增益!$F:$F,0))&gt;0,($F$10-$I$3+VLOOKUP($Q36,武学奇术!$A:$ZZ,6,FALSE)+SUM(_xlfn.XLOOKUP($R36:$AK36,增益!$A:$A,增益!$F:$F,0)))/200,($F$10-$I$3+VLOOKUP($Q36,武学奇术!$A:$ZZ,6,FALSE)+SUM(_xlfn.XLOOKUP($R36:$AK36,增益!$A:$A,增益!$F:$F,0)))/100)</f>
        <v>0.452</v>
      </c>
      <c r="AV36" s="34" cm="1">
        <f t="array" ref="AV36">$G$10+VLOOKUP($Q36,武学奇术!$A:$ZZ,7,FALSE)+SUM(_xlfn.XLOOKUP($R36:$AK36,增益!$A:$A,增益!$G:$G,0))</f>
        <v>0</v>
      </c>
      <c r="AW36" s="27" cm="1">
        <f t="array" ref="AW36">VLOOKUP($Q36,武学奇术!$A:$ZZ,8,FALSE)+SUM(_xlfn.XLOOKUP($R36:$AK36,增益!$A:$A,增益!$H:$H,0))</f>
        <v>0</v>
      </c>
      <c r="AX36">
        <f t="shared" si="12"/>
        <v>0</v>
      </c>
      <c r="AY36">
        <f t="shared" si="13"/>
        <v>0</v>
      </c>
      <c r="AZ36" s="34" cm="1">
        <f t="array" ref="AZ36">IF($F$11-$I$4+VLOOKUP($Q36,武学奇术!$A:$ZZ,9,FALSE)+SUM(_xlfn.XLOOKUP($R36:$AK36,增益!$A:$A,增益!$I:$I,0))&gt;0,($F$11-$I$4+VLOOKUP($Q36,武学奇术!$A:$ZZ,9,FALSE)+SUM(_xlfn.XLOOKUP($R36:$AK36,增益!$A:$A,增益!$I:$I,0)))/200,($F$11-$I$4+VLOOKUP($Q36,武学奇术!$A:$ZZ,9,FALSE)+SUM(_xlfn.XLOOKUP($R36:$AK36,增益!$A:$A,增益!$I:$I,0)))/100)</f>
        <v>-0.14</v>
      </c>
      <c r="BA36" s="34" cm="1">
        <f t="array" ref="BA36">$G$11+VLOOKUP($Q36,武学奇术!$A:$ZZ,10,FALSE)+SUM(_xlfn.XLOOKUP($R36:$AK36,增益!$A:$A,增益!$J:$J,0))</f>
        <v>0</v>
      </c>
      <c r="BB36">
        <f t="shared" si="14"/>
        <v>594.1</v>
      </c>
      <c r="BC36">
        <f t="shared" si="15"/>
        <v>1604.9</v>
      </c>
      <c r="BD36" s="34" cm="1">
        <f t="array" ref="BD36">IF($F$12-$I$4+VLOOKUP($Q36,武学奇术!$A:$ZZ,11,FALSE)+SUM(_xlfn.XLOOKUP($R36:$AK36,增益!$A:$A,增益!$K:$K,0))&gt;0,($F$12-$I$4+VLOOKUP($Q36,武学奇术!$A:$ZZ,11,FALSE)+SUM(_xlfn.XLOOKUP($R36:$AK36,增益!$A:$A,增益!$K:$K,0)))/200,($F$12-$I$4+VLOOKUP($Q36,武学奇术!$A:$ZZ,11,FALSE)+SUM(_xlfn.XLOOKUP($R36:$AK36,增益!$A:$A,增益!$K:$K,0)))/100)</f>
        <v>0.17</v>
      </c>
      <c r="BE36" s="34" cm="1">
        <f t="array" ref="BE36">$G$12+VLOOKUP($Q36,武学奇术!$A:$ZZ,12,FALSE)+SUM(_xlfn.XLOOKUP($R36:$AK36,增益!$A:$A,增益!$L:$L,0))</f>
        <v>0.15</v>
      </c>
      <c r="BF36">
        <f t="shared" si="16"/>
        <v>0</v>
      </c>
      <c r="BG36">
        <f t="shared" si="17"/>
        <v>0</v>
      </c>
      <c r="BH36" s="34" cm="1">
        <f t="array" ref="BH36">IF($F$13-$I$4+VLOOKUP($Q36,武学奇术!$A:$ZZ,13,FALSE)+SUM(_xlfn.XLOOKUP($R36:$AK36,增益!$A:$A,增益!$M:$M,0))&gt;0,($F$13-$I$4+VLOOKUP($Q36,武学奇术!$A:$ZZ,13,FALSE)+SUM(_xlfn.XLOOKUP($R36:$AK36,增益!$A:$A,增益!$K:$K,0)))/200,($F$13-$I$4+VLOOKUP($Q36,武学奇术!$A:$ZZ,13,FALSE)+SUM(_xlfn.XLOOKUP($R36:$AK36,增益!$A:$A,增益!$M:$M,0)))/100)</f>
        <v>-0.14</v>
      </c>
      <c r="BI36" s="34" cm="1">
        <f t="array" ref="BI36">$G$13+VLOOKUP($Q36,武学奇术!$A:$ZZ,14,FALSE)+SUM(_xlfn.XLOOKUP($R36:$AK36,增益!$A:$A,增益!$N:$N,0))</f>
        <v>0</v>
      </c>
      <c r="BJ36">
        <f t="shared" si="18"/>
        <v>0</v>
      </c>
      <c r="BK36">
        <f t="shared" si="19"/>
        <v>0</v>
      </c>
      <c r="BL36" s="34" cm="1">
        <f t="array" ref="BL36">IF($F$14-$I$4+VLOOKUP($Q36,武学奇术!$A:$ZZ,15,FALSE)+SUM(_xlfn.XLOOKUP($R36:$AK36,增益!$A:$A,增益!$O:$O,0))&gt;0,($F$14-$I$4+VLOOKUP($Q36,武学奇术!$A:$ZZ,15,FALSE)+SUM(_xlfn.XLOOKUP($R36:$AK36,增益!$A:$A,增益!$O:$O,0)))/200,($F$14-$I$4+VLOOKUP($Q36,武学奇术!$A:$ZZ,15,FALSE)+SUM(_xlfn.XLOOKUP($R36:$AK36,增益!$A:$A,增益!$O:$O,0)))/100)</f>
        <v>-0.14</v>
      </c>
      <c r="BM36" s="34" cm="1">
        <f t="array" ref="BM36">$G$14+VLOOKUP($Q36,武学奇术!$A:$ZZ,16,FALSE)+SUM(_xlfn.XLOOKUP($R36:$AK36,增益!$A:$A,增益!$P:$P,0))</f>
        <v>0</v>
      </c>
      <c r="BN36" s="27">
        <f>MIN(IF(VLOOKUP($Q36,武学奇术!$A:$ZZ,23,FALSE)=1,100%,$B$8),100%)</f>
        <v>1</v>
      </c>
      <c r="BO36" s="27" cm="1">
        <f t="array" ref="BO36">IF(VLOOKUP($Q36,武学奇术!$A:$ZZ,23,FALSE)=1,100%,MIN(80%,$B$9+VLOOKUP($Q36,武学奇术!$A:$ZZ,17,FALSE)+SUM(_xlfn.XLOOKUP($R36:$AK36,增益!$A:$A,增益!$Q:$Q,0)))+$B$11+SUM(_xlfn.XLOOKUP($R36:$AK36,增益!$A:$A,增益!$U:$U,0)))*IF(VLOOKUP($Q36,武学奇术!$A:$ZZ,24,FALSE)=1,0,1)</f>
        <v>1</v>
      </c>
      <c r="BP36" s="27" cm="1">
        <f t="array" ref="BP36">1+$B$13+VLOOKUP($Q36,武学奇术!$A:$ZZ,18,FALSE)+SUM(_xlfn.XLOOKUP($R36:$AK36,增益!$A:$A,增益!$R:$R,0))</f>
        <v>2.09</v>
      </c>
      <c r="BQ36" s="27" cm="1">
        <f t="array" ref="BQ36">IF(VLOOKUP($Q36,武学奇术!$A:$ZZ,24,FALSE)=1,100%,MIN(40%,$B$10+VLOOKUP($Q36,武学奇术!$A:$ZZ,19,FALSE)+SUM(_xlfn.XLOOKUP($R36:$AK36,增益!$A:$A,增益!$S:$S,0)))+$B$12+SUM(_xlfn.XLOOKUP($R36:$AK36,增益!$A:$A,增益!$V:$V,0)))*IF(VLOOKUP($Q36,武学奇术!$A:$ZZ,23,FALSE)=1,0,1)</f>
        <v>0</v>
      </c>
      <c r="BR36" s="27" cm="1">
        <f t="array" ref="BR36">1+$B$14+VLOOKUP($Q36,武学奇术!$A:$ZZ,20,FALSE)+SUM(_xlfn.XLOOKUP($R36:$AK36,增益!$A:$A,增益!$T:$T,0))</f>
        <v>1.35</v>
      </c>
      <c r="BS36" s="27">
        <f t="shared" si="20"/>
        <v>1</v>
      </c>
      <c r="BT36" s="27">
        <f t="shared" si="21"/>
        <v>0</v>
      </c>
      <c r="BU36" s="27">
        <f>IF(VLOOKUP($Q36,武学奇术!$A:$ZZ,22,FALSE)=1,0,(1-$BN36))*(1-$BQ36)</f>
        <v>0</v>
      </c>
      <c r="BV36" s="27" cm="1">
        <f t="array" ref="BV36">SUM(_xlfn.XLOOKUP($R36:$AK36,增益!$A:$A,增益!$W:$W,0))+$I$5</f>
        <v>0.11</v>
      </c>
    </row>
    <row r="37" spans="1:74">
      <c r="A37" s="4" t="s">
        <v>175</v>
      </c>
      <c r="B37" s="4">
        <v>3.3</v>
      </c>
      <c r="D37" s="41"/>
      <c r="K37" s="40">
        <f t="shared" si="11"/>
        <v>20979.2871571188</v>
      </c>
      <c r="L37" s="40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BP37*$P37*(1+IF(VLOOKUP($Q37,武学奇术!$A:$ZZ,30,FALSE)="蓄力技",$B$21,0))*(1+$BV37)</f>
        <v>20979.2871571188</v>
      </c>
      <c r="M37" s="40">
        <f>(($AT37*$AM37+$AN37)*(1+$AU37)*(1+$AV37)+($AY37*IF($G$1="鸣金",$AO37,$AM37)+IF($G$1="鸣金",$AP37*1.5,0))*(1+$AZ37)*(1+$BA37)+($BC37*IF($G$1="裂石",$AO37,$AM37)+IF($G$1="裂石",$AP37*1.5,0))*(1+$BD37)*(1+$BE37)+($BG37*IF($G$1="牵丝",$AO37,$AM37)+IF($G$1="牵丝",$AP37*1.5,0))*(1+$BH37)*(1+$BI37)+($BK37*IF($G$1="破竹",$AO37,$AM37)+IF($G$1="破竹",$AP37*1.5,0))*(1+$BL37)*(1+$BM37))*(1+$AQ37)*$BR37*$P37*(1+IF(VLOOKUP($Q37,武学奇术!$A:$ZZ,30,FALSE)="蓄力技",$B$21,0))*(1+$BV37)</f>
        <v>15316.7731553646</v>
      </c>
      <c r="N37" s="40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P37*(1+IF(VLOOKUP($Q37,武学奇术!$A:$ZZ,30,FALSE)="蓄力技",$B$21,0))*(1+$BV37)</f>
        <v>9990.13674148514</v>
      </c>
      <c r="O37" s="40">
        <f>((($AS37*$AM37+$AN37)*(1+$AU37)*(1+$AV37)+($AX37*IF($G$1="鸣金",$AO37,$AM37)+IF($G$1="鸣金",$AP37*1.5,0))*(1+$AZ37)*(1+$BA37)+($BB37*IF($G$1="裂石",$AO37,$AM37)+IF($G$1="裂石",$AP37*1.5,0))*(1+$BD37)*(1+$BE37)+($BF37*IF($G$1="牵丝",$AO37,$AM37)+IF($G$1="牵丝",$AP37*1.5,0))*(1+$BH37)*(1+$BI37)+($BJ37*IF($G$1="破竹",$AO37,$AM37)+IF($G$1="破竹",$AP37*1.5,0))*(1+$BL37)*(1+$BM37))*(1+$AQ37))*$P37*(1+IF(VLOOKUP($Q37,武学奇术!$A:$ZZ,30,FALSE)="蓄力技",$B$21,0))*(1+$BV37)</f>
        <v>8634.51559010764</v>
      </c>
      <c r="P37" s="41">
        <v>1</v>
      </c>
      <c r="Q37" s="42" t="s">
        <v>125</v>
      </c>
      <c r="R37" s="42" t="s">
        <v>103</v>
      </c>
      <c r="S37" s="42" t="s">
        <v>169</v>
      </c>
      <c r="T37" s="42" t="s">
        <v>86</v>
      </c>
      <c r="U37" s="42" t="s">
        <v>121</v>
      </c>
      <c r="V37" s="42" t="s">
        <v>118</v>
      </c>
      <c r="W37" s="42" t="s">
        <v>77</v>
      </c>
      <c r="X37" s="42" t="s">
        <v>176</v>
      </c>
      <c r="Y37" s="42" t="s">
        <v>77</v>
      </c>
      <c r="Z37" s="42" t="s">
        <v>77</v>
      </c>
      <c r="AA37" s="42" t="s">
        <v>73</v>
      </c>
      <c r="AB37" s="42" t="s">
        <v>95</v>
      </c>
      <c r="AC37" s="42" t="s">
        <v>77</v>
      </c>
      <c r="AD37" s="42" t="s">
        <v>80</v>
      </c>
      <c r="AE37" s="42" t="s">
        <v>81</v>
      </c>
      <c r="AF37" s="42" t="s">
        <v>82</v>
      </c>
      <c r="AG37" s="42" t="s">
        <v>77</v>
      </c>
      <c r="AH37" s="42" t="s">
        <v>77</v>
      </c>
      <c r="AI37" s="42" t="s">
        <v>77</v>
      </c>
      <c r="AJ37" s="42" t="s">
        <v>77</v>
      </c>
      <c r="AK37" s="42" t="s">
        <v>90</v>
      </c>
      <c r="AL37" t="str">
        <f>VLOOKUP($Q37,武学奇术!$A:$ZZ,25,FALSE)</f>
        <v>陌刀</v>
      </c>
      <c r="AM37" s="27">
        <f>VLOOKUP($Q37,武学奇术!$A:$ZZ,26,FALSE)</f>
        <v>0.5</v>
      </c>
      <c r="AN37" s="28">
        <f>VLOOKUP($Q37,武学奇术!$A:$ZZ,27,FALSE)*(1+IF(OR($AL37=$F$4,$AL37=$F$5),$B$22,0))</f>
        <v>0</v>
      </c>
      <c r="AO37" s="27">
        <f>VLOOKUP($Q37,武学奇术!$A:$ZZ,28,FALSE)</f>
        <v>0.75</v>
      </c>
      <c r="AP37" s="28">
        <f>VLOOKUP($Q37,武学奇术!$A:$ZZ,29,FALSE)*(1+IF(OR($AL37=$F$4,$AL37=$F$5),$B$22,0))</f>
        <v>0</v>
      </c>
      <c r="AQ37" s="27" cm="1">
        <f t="array" ref="AQ37">$G$3+IFERROR(VLOOKUP($AL37,$F$4:$G$7,2,FALSE),0)+VLOOKUP($Q37,武学奇术!$A:$ZZ,2,FALSE)+SUM(_xlfn.XLOOKUP($R37:$AK37,增益!$A:$A,增益!$B:$B,0))</f>
        <v>0.8141</v>
      </c>
      <c r="AR37" s="27" cm="1">
        <f t="array" ref="AR37">VLOOKUP($Q37,武学奇术!$A:$ZZ,5,FALSE)+SUM(_xlfn.XLOOKUP($R37:$AK37,增益!$A:$A,增益!$E:$E,0))</f>
        <v>0</v>
      </c>
      <c r="AS37" cm="1">
        <f t="array" ref="AS37">$D$10*(1+$AR37)+VLOOKUP($Q37,武学奇术!$A:$ZZ,3,FALSE)+SUM(_xlfn.XLOOKUP($R37:$AK37,增益!$A:$A,增益!$C:$C,0))-$I$2</f>
        <v>3648.7</v>
      </c>
      <c r="AT37" cm="1">
        <f t="array" ref="AT37">$E$10*(1+$AR37)+VLOOKUP($Q37,武学奇术!$A:$ZZ,4,FALSE)+SUM(_xlfn.XLOOKUP($R37:$AK37,增益!$A:$A,增益!$D:$D,0))-$I$2</f>
        <v>3648.7</v>
      </c>
      <c r="AU37" s="34" cm="1">
        <f t="array" ref="AU37">IF($F$10-$I$3+VLOOKUP($Q37,武学奇术!$A:$ZZ,6,FALSE)+SUM(_xlfn.XLOOKUP($R37:$AK37,增益!$A:$A,增益!$F:$F,0))&gt;0,($F$10-$I$3+VLOOKUP($Q37,武学奇术!$A:$ZZ,6,FALSE)+SUM(_xlfn.XLOOKUP($R37:$AK37,增益!$A:$A,增益!$F:$F,0)))/200,($F$10-$I$3+VLOOKUP($Q37,武学奇术!$A:$ZZ,6,FALSE)+SUM(_xlfn.XLOOKUP($R37:$AK37,增益!$A:$A,增益!$F:$F,0)))/100)</f>
        <v>0.452</v>
      </c>
      <c r="AV37" s="34" cm="1">
        <f t="array" ref="AV37">$G$10+VLOOKUP($Q37,武学奇术!$A:$ZZ,7,FALSE)+SUM(_xlfn.XLOOKUP($R37:$AK37,增益!$A:$A,增益!$G:$G,0))</f>
        <v>0</v>
      </c>
      <c r="AW37" s="27" cm="1">
        <f t="array" ref="AW37">VLOOKUP($Q37,武学奇术!$A:$ZZ,8,FALSE)+SUM(_xlfn.XLOOKUP($R37:$AK37,增益!$A:$A,增益!$H:$H,0))</f>
        <v>0</v>
      </c>
      <c r="AX37">
        <f t="shared" si="12"/>
        <v>0</v>
      </c>
      <c r="AY37">
        <f t="shared" si="13"/>
        <v>0</v>
      </c>
      <c r="AZ37" s="34" cm="1">
        <f t="array" ref="AZ37">IF($F$11-$I$4+VLOOKUP($Q37,武学奇术!$A:$ZZ,9,FALSE)+SUM(_xlfn.XLOOKUP($R37:$AK37,增益!$A:$A,增益!$I:$I,0))&gt;0,($F$11-$I$4+VLOOKUP($Q37,武学奇术!$A:$ZZ,9,FALSE)+SUM(_xlfn.XLOOKUP($R37:$AK37,增益!$A:$A,增益!$I:$I,0)))/200,($F$11-$I$4+VLOOKUP($Q37,武学奇术!$A:$ZZ,9,FALSE)+SUM(_xlfn.XLOOKUP($R37:$AK37,增益!$A:$A,增益!$I:$I,0)))/100)</f>
        <v>-0.14</v>
      </c>
      <c r="BA37" s="34" cm="1">
        <f t="array" ref="BA37">$G$11+VLOOKUP($Q37,武学奇术!$A:$ZZ,10,FALSE)+SUM(_xlfn.XLOOKUP($R37:$AK37,增益!$A:$A,增益!$J:$J,0))</f>
        <v>0</v>
      </c>
      <c r="BB37">
        <f t="shared" si="14"/>
        <v>594.1</v>
      </c>
      <c r="BC37">
        <f t="shared" si="15"/>
        <v>1604.9</v>
      </c>
      <c r="BD37" s="34" cm="1">
        <f t="array" ref="BD37">IF($F$12-$I$4+VLOOKUP($Q37,武学奇术!$A:$ZZ,11,FALSE)+SUM(_xlfn.XLOOKUP($R37:$AK37,增益!$A:$A,增益!$K:$K,0))&gt;0,($F$12-$I$4+VLOOKUP($Q37,武学奇术!$A:$ZZ,11,FALSE)+SUM(_xlfn.XLOOKUP($R37:$AK37,增益!$A:$A,增益!$K:$K,0)))/200,($F$12-$I$4+VLOOKUP($Q37,武学奇术!$A:$ZZ,11,FALSE)+SUM(_xlfn.XLOOKUP($R37:$AK37,增益!$A:$A,增益!$K:$K,0)))/100)</f>
        <v>0.17</v>
      </c>
      <c r="BE37" s="34" cm="1">
        <f t="array" ref="BE37">$G$12+VLOOKUP($Q37,武学奇术!$A:$ZZ,12,FALSE)+SUM(_xlfn.XLOOKUP($R37:$AK37,增益!$A:$A,增益!$L:$L,0))</f>
        <v>0.15</v>
      </c>
      <c r="BF37">
        <f t="shared" si="16"/>
        <v>0</v>
      </c>
      <c r="BG37">
        <f t="shared" si="17"/>
        <v>0</v>
      </c>
      <c r="BH37" s="34" cm="1">
        <f t="array" ref="BH37">IF($F$13-$I$4+VLOOKUP($Q37,武学奇术!$A:$ZZ,13,FALSE)+SUM(_xlfn.XLOOKUP($R37:$AK37,增益!$A:$A,增益!$M:$M,0))&gt;0,($F$13-$I$4+VLOOKUP($Q37,武学奇术!$A:$ZZ,13,FALSE)+SUM(_xlfn.XLOOKUP($R37:$AK37,增益!$A:$A,增益!$K:$K,0)))/200,($F$13-$I$4+VLOOKUP($Q37,武学奇术!$A:$ZZ,13,FALSE)+SUM(_xlfn.XLOOKUP($R37:$AK37,增益!$A:$A,增益!$M:$M,0)))/100)</f>
        <v>-0.14</v>
      </c>
      <c r="BI37" s="34" cm="1">
        <f t="array" ref="BI37">$G$13+VLOOKUP($Q37,武学奇术!$A:$ZZ,14,FALSE)+SUM(_xlfn.XLOOKUP($R37:$AK37,增益!$A:$A,增益!$N:$N,0))</f>
        <v>0</v>
      </c>
      <c r="BJ37">
        <f t="shared" si="18"/>
        <v>0</v>
      </c>
      <c r="BK37">
        <f t="shared" si="19"/>
        <v>0</v>
      </c>
      <c r="BL37" s="34" cm="1">
        <f t="array" ref="BL37">IF($F$14-$I$4+VLOOKUP($Q37,武学奇术!$A:$ZZ,15,FALSE)+SUM(_xlfn.XLOOKUP($R37:$AK37,增益!$A:$A,增益!$O:$O,0))&gt;0,($F$14-$I$4+VLOOKUP($Q37,武学奇术!$A:$ZZ,15,FALSE)+SUM(_xlfn.XLOOKUP($R37:$AK37,增益!$A:$A,增益!$O:$O,0)))/200,($F$14-$I$4+VLOOKUP($Q37,武学奇术!$A:$ZZ,15,FALSE)+SUM(_xlfn.XLOOKUP($R37:$AK37,增益!$A:$A,增益!$O:$O,0)))/100)</f>
        <v>-0.14</v>
      </c>
      <c r="BM37" s="34" cm="1">
        <f t="array" ref="BM37">$G$14+VLOOKUP($Q37,武学奇术!$A:$ZZ,16,FALSE)+SUM(_xlfn.XLOOKUP($R37:$AK37,增益!$A:$A,增益!$P:$P,0))</f>
        <v>0</v>
      </c>
      <c r="BN37" s="27">
        <f>MIN(IF(VLOOKUP($Q37,武学奇术!$A:$ZZ,23,FALSE)=1,100%,$B$8),100%)</f>
        <v>1</v>
      </c>
      <c r="BO37" s="27" cm="1">
        <f t="array" ref="BO37">IF(VLOOKUP($Q37,武学奇术!$A:$ZZ,23,FALSE)=1,100%,MIN(80%,$B$9+VLOOKUP($Q37,武学奇术!$A:$ZZ,17,FALSE)+SUM(_xlfn.XLOOKUP($R37:$AK37,增益!$A:$A,增益!$Q:$Q,0)))+$B$11+SUM(_xlfn.XLOOKUP($R37:$AK37,增益!$A:$A,增益!$U:$U,0)))*IF(VLOOKUP($Q37,武学奇术!$A:$ZZ,24,FALSE)=1,0,1)</f>
        <v>1</v>
      </c>
      <c r="BP37" s="27" cm="1">
        <f t="array" ref="BP37">1+$B$13+VLOOKUP($Q37,武学奇术!$A:$ZZ,18,FALSE)+SUM(_xlfn.XLOOKUP($R37:$AK37,增益!$A:$A,增益!$R:$R,0))</f>
        <v>2.1</v>
      </c>
      <c r="BQ37" s="27" cm="1">
        <f t="array" ref="BQ37">IF(VLOOKUP($Q37,武学奇术!$A:$ZZ,24,FALSE)=1,100%,MIN(40%,$B$10+VLOOKUP($Q37,武学奇术!$A:$ZZ,19,FALSE)+SUM(_xlfn.XLOOKUP($R37:$AK37,增益!$A:$A,增益!$S:$S,0)))+$B$12+SUM(_xlfn.XLOOKUP($R37:$AK37,增益!$A:$A,增益!$V:$V,0)))*IF(VLOOKUP($Q37,武学奇术!$A:$ZZ,23,FALSE)=1,0,1)</f>
        <v>0</v>
      </c>
      <c r="BR37" s="27" cm="1">
        <f t="array" ref="BR37">1+$B$14+VLOOKUP($Q37,武学奇术!$A:$ZZ,20,FALSE)+SUM(_xlfn.XLOOKUP($R37:$AK37,增益!$A:$A,增益!$T:$T,0))</f>
        <v>1.35</v>
      </c>
      <c r="BS37" s="27">
        <f t="shared" si="20"/>
        <v>1</v>
      </c>
      <c r="BT37" s="27">
        <f t="shared" si="21"/>
        <v>0</v>
      </c>
      <c r="BU37" s="27">
        <f>IF(VLOOKUP($Q37,武学奇术!$A:$ZZ,22,FALSE)=1,0,(1-$BN37))*(1-$BQ37)</f>
        <v>0</v>
      </c>
      <c r="BV37" s="27" cm="1">
        <f t="array" ref="BV37">SUM(_xlfn.XLOOKUP($R37:$AK37,增益!$A:$A,增益!$W:$W,0))+$I$5</f>
        <v>0.11</v>
      </c>
    </row>
    <row r="38" spans="1:74">
      <c r="A38" s="4" t="s">
        <v>177</v>
      </c>
      <c r="B38" s="4">
        <v>1</v>
      </c>
      <c r="K38" s="40">
        <f t="shared" si="11"/>
        <v>37762.7168828138</v>
      </c>
      <c r="L38" s="40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BP38*$P38*(1+IF(VLOOKUP($Q38,武学奇术!$A:$ZZ,30,FALSE)="蓄力技",$B$21,0))*(1+$BV38)</f>
        <v>37762.7168828138</v>
      </c>
      <c r="M38" s="40">
        <f>(($AT38*$AM38+$AN38)*(1+$AU38)*(1+$AV38)+($AY38*IF($G$1="鸣金",$AO38,$AM38)+IF($G$1="鸣金",$AP38*1.5,0))*(1+$AZ38)*(1+$BA38)+($BC38*IF($G$1="裂石",$AO38,$AM38)+IF($G$1="裂石",$AP38*1.5,0))*(1+$BD38)*(1+$BE38)+($BG38*IF($G$1="牵丝",$AO38,$AM38)+IF($G$1="牵丝",$AP38*1.5,0))*(1+$BH38)*(1+$BI38)+($BK38*IF($G$1="破竹",$AO38,$AM38)+IF($G$1="破竹",$AP38*1.5,0))*(1+$BL38)*(1+$BM38))*(1+$AQ38)*$BR38*$P38*(1+IF(VLOOKUP($Q38,武学奇术!$A:$ZZ,30,FALSE)="蓄力技",$B$21,0))*(1+$BV38)</f>
        <v>27570.1916796562</v>
      </c>
      <c r="N38" s="40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P38*(1+IF(VLOOKUP($Q38,武学奇术!$A:$ZZ,30,FALSE)="蓄力技",$B$21,0))*(1+$BV38)</f>
        <v>17982.2461346732</v>
      </c>
      <c r="O38" s="40">
        <f>((($AS38*$AM38+$AN38)*(1+$AU38)*(1+$AV38)+($AX38*IF($G$1="鸣金",$AO38,$AM38)+IF($G$1="鸣金",$AP38*1.5,0))*(1+$AZ38)*(1+$BA38)+($BB38*IF($G$1="裂石",$AO38,$AM38)+IF($G$1="裂石",$AP38*1.5,0))*(1+$BD38)*(1+$BE38)+($BF38*IF($G$1="牵丝",$AO38,$AM38)+IF($G$1="牵丝",$AP38*1.5,0))*(1+$BH38)*(1+$BI38)+($BJ38*IF($G$1="破竹",$AO38,$AM38)+IF($G$1="破竹",$AP38*1.5,0))*(1+$BL38)*(1+$BM38))*(1+$AQ38))*$P38*(1+IF(VLOOKUP($Q38,武学奇术!$A:$ZZ,30,FALSE)="蓄力技",$B$21,0))*(1+$BV38)</f>
        <v>15542.1280621938</v>
      </c>
      <c r="P38" s="41">
        <v>1</v>
      </c>
      <c r="Q38" s="42" t="s">
        <v>117</v>
      </c>
      <c r="R38" s="42" t="s">
        <v>103</v>
      </c>
      <c r="S38" s="42" t="s">
        <v>169</v>
      </c>
      <c r="T38" s="42" t="s">
        <v>86</v>
      </c>
      <c r="U38" s="42" t="s">
        <v>121</v>
      </c>
      <c r="V38" s="42" t="s">
        <v>118</v>
      </c>
      <c r="W38" s="42" t="s">
        <v>77</v>
      </c>
      <c r="X38" s="42" t="s">
        <v>176</v>
      </c>
      <c r="Y38" s="42" t="s">
        <v>77</v>
      </c>
      <c r="Z38" s="42" t="s">
        <v>77</v>
      </c>
      <c r="AA38" s="42" t="s">
        <v>73</v>
      </c>
      <c r="AB38" s="42" t="s">
        <v>95</v>
      </c>
      <c r="AC38" s="42" t="s">
        <v>77</v>
      </c>
      <c r="AD38" s="42" t="s">
        <v>80</v>
      </c>
      <c r="AE38" s="42" t="s">
        <v>81</v>
      </c>
      <c r="AF38" s="42" t="s">
        <v>82</v>
      </c>
      <c r="AG38" s="42" t="s">
        <v>77</v>
      </c>
      <c r="AH38" s="42" t="s">
        <v>77</v>
      </c>
      <c r="AI38" s="42" t="s">
        <v>77</v>
      </c>
      <c r="AJ38" s="42" t="s">
        <v>77</v>
      </c>
      <c r="AK38" s="42" t="s">
        <v>90</v>
      </c>
      <c r="AL38" t="str">
        <f>VLOOKUP($Q38,武学奇术!$A:$ZZ,25,FALSE)</f>
        <v>陌刀</v>
      </c>
      <c r="AM38" s="27">
        <f>VLOOKUP($Q38,武学奇术!$A:$ZZ,26,FALSE)</f>
        <v>0.9</v>
      </c>
      <c r="AN38" s="28">
        <f>VLOOKUP($Q38,武学奇术!$A:$ZZ,27,FALSE)*(1+IF(OR($AL38=$F$4,$AL38=$F$5),$B$22,0))</f>
        <v>0</v>
      </c>
      <c r="AO38" s="27">
        <f>VLOOKUP($Q38,武学奇术!$A:$ZZ,28,FALSE)</f>
        <v>1.35</v>
      </c>
      <c r="AP38" s="28">
        <f>VLOOKUP($Q38,武学奇术!$A:$ZZ,29,FALSE)*(1+IF(OR($AL38=$F$4,$AL38=$F$5),$B$22,0))</f>
        <v>0</v>
      </c>
      <c r="AQ38" s="27" cm="1">
        <f t="array" ref="AQ38">$G$3+IFERROR(VLOOKUP($AL38,$F$4:$G$7,2,FALSE),0)+VLOOKUP($Q38,武学奇术!$A:$ZZ,2,FALSE)+SUM(_xlfn.XLOOKUP($R38:$AK38,增益!$A:$A,增益!$B:$B,0))</f>
        <v>0.8141</v>
      </c>
      <c r="AR38" s="27" cm="1">
        <f t="array" ref="AR38">VLOOKUP($Q38,武学奇术!$A:$ZZ,5,FALSE)+SUM(_xlfn.XLOOKUP($R38:$AK38,增益!$A:$A,增益!$E:$E,0))</f>
        <v>0</v>
      </c>
      <c r="AS38" cm="1">
        <f t="array" ref="AS38">$D$10*(1+$AR38)+VLOOKUP($Q38,武学奇术!$A:$ZZ,3,FALSE)+SUM(_xlfn.XLOOKUP($R38:$AK38,增益!$A:$A,增益!$C:$C,0))-$I$2</f>
        <v>3648.7</v>
      </c>
      <c r="AT38" cm="1">
        <f t="array" ref="AT38">$E$10*(1+$AR38)+VLOOKUP($Q38,武学奇术!$A:$ZZ,4,FALSE)+SUM(_xlfn.XLOOKUP($R38:$AK38,增益!$A:$A,增益!$D:$D,0))-$I$2</f>
        <v>3648.7</v>
      </c>
      <c r="AU38" s="34" cm="1">
        <f t="array" ref="AU38">IF($F$10-$I$3+VLOOKUP($Q38,武学奇术!$A:$ZZ,6,FALSE)+SUM(_xlfn.XLOOKUP($R38:$AK38,增益!$A:$A,增益!$F:$F,0))&gt;0,($F$10-$I$3+VLOOKUP($Q38,武学奇术!$A:$ZZ,6,FALSE)+SUM(_xlfn.XLOOKUP($R38:$AK38,增益!$A:$A,增益!$F:$F,0)))/200,($F$10-$I$3+VLOOKUP($Q38,武学奇术!$A:$ZZ,6,FALSE)+SUM(_xlfn.XLOOKUP($R38:$AK38,增益!$A:$A,增益!$F:$F,0)))/100)</f>
        <v>0.452</v>
      </c>
      <c r="AV38" s="34" cm="1">
        <f t="array" ref="AV38">$G$10+VLOOKUP($Q38,武学奇术!$A:$ZZ,7,FALSE)+SUM(_xlfn.XLOOKUP($R38:$AK38,增益!$A:$A,增益!$G:$G,0))</f>
        <v>0</v>
      </c>
      <c r="AW38" s="27" cm="1">
        <f t="array" ref="AW38">VLOOKUP($Q38,武学奇术!$A:$ZZ,8,FALSE)+SUM(_xlfn.XLOOKUP($R38:$AK38,增益!$A:$A,增益!$H:$H,0))</f>
        <v>0</v>
      </c>
      <c r="AX38">
        <f t="shared" si="12"/>
        <v>0</v>
      </c>
      <c r="AY38">
        <f t="shared" si="13"/>
        <v>0</v>
      </c>
      <c r="AZ38" s="34" cm="1">
        <f t="array" ref="AZ38">IF($F$11-$I$4+VLOOKUP($Q38,武学奇术!$A:$ZZ,9,FALSE)+SUM(_xlfn.XLOOKUP($R38:$AK38,增益!$A:$A,增益!$I:$I,0))&gt;0,($F$11-$I$4+VLOOKUP($Q38,武学奇术!$A:$ZZ,9,FALSE)+SUM(_xlfn.XLOOKUP($R38:$AK38,增益!$A:$A,增益!$I:$I,0)))/200,($F$11-$I$4+VLOOKUP($Q38,武学奇术!$A:$ZZ,9,FALSE)+SUM(_xlfn.XLOOKUP($R38:$AK38,增益!$A:$A,增益!$I:$I,0)))/100)</f>
        <v>-0.14</v>
      </c>
      <c r="BA38" s="34" cm="1">
        <f t="array" ref="BA38">$G$11+VLOOKUP($Q38,武学奇术!$A:$ZZ,10,FALSE)+SUM(_xlfn.XLOOKUP($R38:$AK38,增益!$A:$A,增益!$J:$J,0))</f>
        <v>0</v>
      </c>
      <c r="BB38">
        <f t="shared" si="14"/>
        <v>594.1</v>
      </c>
      <c r="BC38">
        <f t="shared" si="15"/>
        <v>1604.9</v>
      </c>
      <c r="BD38" s="34" cm="1">
        <f t="array" ref="BD38">IF($F$12-$I$4+VLOOKUP($Q38,武学奇术!$A:$ZZ,11,FALSE)+SUM(_xlfn.XLOOKUP($R38:$AK38,增益!$A:$A,增益!$K:$K,0))&gt;0,($F$12-$I$4+VLOOKUP($Q38,武学奇术!$A:$ZZ,11,FALSE)+SUM(_xlfn.XLOOKUP($R38:$AK38,增益!$A:$A,增益!$K:$K,0)))/200,($F$12-$I$4+VLOOKUP($Q38,武学奇术!$A:$ZZ,11,FALSE)+SUM(_xlfn.XLOOKUP($R38:$AK38,增益!$A:$A,增益!$K:$K,0)))/100)</f>
        <v>0.17</v>
      </c>
      <c r="BE38" s="34" cm="1">
        <f t="array" ref="BE38">$G$12+VLOOKUP($Q38,武学奇术!$A:$ZZ,12,FALSE)+SUM(_xlfn.XLOOKUP($R38:$AK38,增益!$A:$A,增益!$L:$L,0))</f>
        <v>0.15</v>
      </c>
      <c r="BF38">
        <f t="shared" si="16"/>
        <v>0</v>
      </c>
      <c r="BG38">
        <f t="shared" si="17"/>
        <v>0</v>
      </c>
      <c r="BH38" s="34" cm="1">
        <f t="array" ref="BH38">IF($F$13-$I$4+VLOOKUP($Q38,武学奇术!$A:$ZZ,13,FALSE)+SUM(_xlfn.XLOOKUP($R38:$AK38,增益!$A:$A,增益!$M:$M,0))&gt;0,($F$13-$I$4+VLOOKUP($Q38,武学奇术!$A:$ZZ,13,FALSE)+SUM(_xlfn.XLOOKUP($R38:$AK38,增益!$A:$A,增益!$K:$K,0)))/200,($F$13-$I$4+VLOOKUP($Q38,武学奇术!$A:$ZZ,13,FALSE)+SUM(_xlfn.XLOOKUP($R38:$AK38,增益!$A:$A,增益!$M:$M,0)))/100)</f>
        <v>-0.14</v>
      </c>
      <c r="BI38" s="34" cm="1">
        <f t="array" ref="BI38">$G$13+VLOOKUP($Q38,武学奇术!$A:$ZZ,14,FALSE)+SUM(_xlfn.XLOOKUP($R38:$AK38,增益!$A:$A,增益!$N:$N,0))</f>
        <v>0</v>
      </c>
      <c r="BJ38">
        <f t="shared" si="18"/>
        <v>0</v>
      </c>
      <c r="BK38">
        <f t="shared" si="19"/>
        <v>0</v>
      </c>
      <c r="BL38" s="34" cm="1">
        <f t="array" ref="BL38">IF($F$14-$I$4+VLOOKUP($Q38,武学奇术!$A:$ZZ,15,FALSE)+SUM(_xlfn.XLOOKUP($R38:$AK38,增益!$A:$A,增益!$O:$O,0))&gt;0,($F$14-$I$4+VLOOKUP($Q38,武学奇术!$A:$ZZ,15,FALSE)+SUM(_xlfn.XLOOKUP($R38:$AK38,增益!$A:$A,增益!$O:$O,0)))/200,($F$14-$I$4+VLOOKUP($Q38,武学奇术!$A:$ZZ,15,FALSE)+SUM(_xlfn.XLOOKUP($R38:$AK38,增益!$A:$A,增益!$O:$O,0)))/100)</f>
        <v>-0.14</v>
      </c>
      <c r="BM38" s="34" cm="1">
        <f t="array" ref="BM38">$G$14+VLOOKUP($Q38,武学奇术!$A:$ZZ,16,FALSE)+SUM(_xlfn.XLOOKUP($R38:$AK38,增益!$A:$A,增益!$P:$P,0))</f>
        <v>0</v>
      </c>
      <c r="BN38" s="27">
        <f>MIN(IF(VLOOKUP($Q38,武学奇术!$A:$ZZ,23,FALSE)=1,100%,$B$8),100%)</f>
        <v>1</v>
      </c>
      <c r="BO38" s="27" cm="1">
        <f t="array" ref="BO38">IF(VLOOKUP($Q38,武学奇术!$A:$ZZ,23,FALSE)=1,100%,MIN(80%,$B$9+VLOOKUP($Q38,武学奇术!$A:$ZZ,17,FALSE)+SUM(_xlfn.XLOOKUP($R38:$AK38,增益!$A:$A,增益!$Q:$Q,0)))+$B$11+SUM(_xlfn.XLOOKUP($R38:$AK38,增益!$A:$A,增益!$U:$U,0)))*IF(VLOOKUP($Q38,武学奇术!$A:$ZZ,24,FALSE)=1,0,1)</f>
        <v>1</v>
      </c>
      <c r="BP38" s="27" cm="1">
        <f t="array" ref="BP38">1+$B$13+VLOOKUP($Q38,武学奇术!$A:$ZZ,18,FALSE)+SUM(_xlfn.XLOOKUP($R38:$AK38,增益!$A:$A,增益!$R:$R,0))</f>
        <v>2.1</v>
      </c>
      <c r="BQ38" s="27" cm="1">
        <f t="array" ref="BQ38">IF(VLOOKUP($Q38,武学奇术!$A:$ZZ,24,FALSE)=1,100%,MIN(40%,$B$10+VLOOKUP($Q38,武学奇术!$A:$ZZ,19,FALSE)+SUM(_xlfn.XLOOKUP($R38:$AK38,增益!$A:$A,增益!$S:$S,0)))+$B$12+SUM(_xlfn.XLOOKUP($R38:$AK38,增益!$A:$A,增益!$V:$V,0)))*IF(VLOOKUP($Q38,武学奇术!$A:$ZZ,23,FALSE)=1,0,1)</f>
        <v>0</v>
      </c>
      <c r="BR38" s="27" cm="1">
        <f t="array" ref="BR38">1+$B$14+VLOOKUP($Q38,武学奇术!$A:$ZZ,20,FALSE)+SUM(_xlfn.XLOOKUP($R38:$AK38,增益!$A:$A,增益!$T:$T,0))</f>
        <v>1.35</v>
      </c>
      <c r="BS38" s="27">
        <f t="shared" si="20"/>
        <v>1</v>
      </c>
      <c r="BT38" s="27">
        <f t="shared" si="21"/>
        <v>0</v>
      </c>
      <c r="BU38" s="27">
        <f>IF(VLOOKUP($Q38,武学奇术!$A:$ZZ,22,FALSE)=1,0,(1-$BN38))*(1-$BQ38)</f>
        <v>0</v>
      </c>
      <c r="BV38" s="27" cm="1">
        <f t="array" ref="BV38">SUM(_xlfn.XLOOKUP($R38:$AK38,增益!$A:$A,增益!$W:$W,0))+$I$5</f>
        <v>0.11</v>
      </c>
    </row>
    <row r="39" spans="1:74">
      <c r="A39" s="4" t="s">
        <v>167</v>
      </c>
      <c r="B39" s="4">
        <v>0.1</v>
      </c>
      <c r="C39" s="4"/>
      <c r="K39" s="40">
        <f t="shared" si="11"/>
        <v>362227.3527431</v>
      </c>
      <c r="L39" s="40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BP39*$P39*(1+IF(VLOOKUP($Q39,武学奇术!$A:$ZZ,30,FALSE)="蓄力技",$B$21,0))*(1+$BV39)</f>
        <v>362227.3527431</v>
      </c>
      <c r="M39" s="40">
        <f>(($AT39*$AM39+$AN39)*(1+$AU39)*(1+$AV39)+($AY39*IF($G$1="鸣金",$AO39,$AM39)+IF($G$1="鸣金",$AP39*1.5,0))*(1+$AZ39)*(1+$BA39)+($BC39*IF($G$1="裂石",$AO39,$AM39)+IF($G$1="裂石",$AP39*1.5,0))*(1+$BD39)*(1+$BE39)+($BG39*IF($G$1="牵丝",$AO39,$AM39)+IF($G$1="牵丝",$AP39*1.5,0))*(1+$BH39)*(1+$BI39)+($BK39*IF($G$1="破竹",$AO39,$AM39)+IF($G$1="破竹",$AP39*1.5,0))*(1+$BL39)*(1+$BM39))*(1+$AQ39)*$BR39*$P39*(1+IF(VLOOKUP($Q39,武学奇术!$A:$ZZ,30,FALSE)="蓄力技",$B$21,0))*(1+$BV39)</f>
        <v>260558.709313465</v>
      </c>
      <c r="N39" s="40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P39*(1+IF(VLOOKUP($Q39,武学奇术!$A:$ZZ,30,FALSE)="蓄力技",$B$21,0))*(1+$BV39)</f>
        <v>172489.215591953</v>
      </c>
      <c r="O39" s="40">
        <f>((($AS39*$AM39+$AN39)*(1+$AU39)*(1+$AV39)+($AX39*IF($G$1="鸣金",$AO39,$AM39)+IF($G$1="鸣金",$AP39*1.5,0))*(1+$AZ39)*(1+$BA39)+($BB39*IF($G$1="裂石",$AO39,$AM39)+IF($G$1="裂石",$AP39*1.5,0))*(1+$BD39)*(1+$BE39)+($BF39*IF($G$1="牵丝",$AO39,$AM39)+IF($G$1="牵丝",$AP39*1.5,0))*(1+$BH39)*(1+$BI39)+($BJ39*IF($G$1="破竹",$AO39,$AM39)+IF($G$1="破竹",$AP39*1.5,0))*(1+$BL39)*(1+$BM39))*(1+$AQ39))*$P39*(1+IF(VLOOKUP($Q39,武学奇术!$A:$ZZ,30,FALSE)="蓄力技",$B$21,0))*(1+$BV39)</f>
        <v>151971.979840598</v>
      </c>
      <c r="P39" s="41">
        <v>1</v>
      </c>
      <c r="Q39" s="42" t="s">
        <v>120</v>
      </c>
      <c r="R39" s="42" t="s">
        <v>103</v>
      </c>
      <c r="S39" s="42" t="s">
        <v>169</v>
      </c>
      <c r="T39" s="42" t="s">
        <v>86</v>
      </c>
      <c r="U39" s="42" t="s">
        <v>121</v>
      </c>
      <c r="V39" s="42" t="s">
        <v>118</v>
      </c>
      <c r="W39" s="42" t="s">
        <v>77</v>
      </c>
      <c r="X39" s="42" t="s">
        <v>176</v>
      </c>
      <c r="Y39" s="42" t="s">
        <v>77</v>
      </c>
      <c r="Z39" s="42" t="s">
        <v>77</v>
      </c>
      <c r="AA39" s="42" t="s">
        <v>73</v>
      </c>
      <c r="AB39" s="42" t="s">
        <v>95</v>
      </c>
      <c r="AC39" s="42" t="s">
        <v>77</v>
      </c>
      <c r="AD39" s="42" t="s">
        <v>80</v>
      </c>
      <c r="AE39" s="42" t="s">
        <v>81</v>
      </c>
      <c r="AF39" s="42" t="s">
        <v>82</v>
      </c>
      <c r="AG39" s="42" t="s">
        <v>77</v>
      </c>
      <c r="AH39" s="42" t="s">
        <v>77</v>
      </c>
      <c r="AI39" s="42" t="s">
        <v>77</v>
      </c>
      <c r="AJ39" s="42" t="s">
        <v>77</v>
      </c>
      <c r="AK39" s="42" t="s">
        <v>90</v>
      </c>
      <c r="AL39" t="str">
        <f>VLOOKUP($Q39,武学奇术!$A:$ZZ,25,FALSE)</f>
        <v>陌刀</v>
      </c>
      <c r="AM39" s="27">
        <f>VLOOKUP($Q39,武学奇术!$A:$ZZ,26,FALSE)</f>
        <v>7.5674</v>
      </c>
      <c r="AN39" s="28">
        <f>VLOOKUP($Q39,武学奇术!$A:$ZZ,27,FALSE)*(1+IF(OR($AL39=$F$4,$AL39=$F$5),$B$22,0))</f>
        <v>3139.5</v>
      </c>
      <c r="AO39" s="27">
        <f>VLOOKUP($Q39,武学奇术!$A:$ZZ,28,FALSE)</f>
        <v>11.3512</v>
      </c>
      <c r="AP39" s="28">
        <f>VLOOKUP($Q39,武学奇术!$A:$ZZ,29,FALSE)*(1+IF(OR($AL39=$F$4,$AL39=$F$5),$B$22,0))</f>
        <v>1710</v>
      </c>
      <c r="AQ39" s="27" cm="1">
        <f t="array" ref="AQ39">$G$3+IFERROR(VLOOKUP($AL39,$F$4:$G$7,2,FALSE),0)+VLOOKUP($Q39,武学奇术!$A:$ZZ,2,FALSE)+SUM(_xlfn.XLOOKUP($R39:$AK39,增益!$A:$A,增益!$B:$B,0))</f>
        <v>0.8141</v>
      </c>
      <c r="AR39" s="27" cm="1">
        <f t="array" ref="AR39">VLOOKUP($Q39,武学奇术!$A:$ZZ,5,FALSE)+SUM(_xlfn.XLOOKUP($R39:$AK39,增益!$A:$A,增益!$E:$E,0))</f>
        <v>0</v>
      </c>
      <c r="AS39" cm="1">
        <f t="array" ref="AS39">$D$10*(1+$AR39)+VLOOKUP($Q39,武学奇术!$A:$ZZ,3,FALSE)+SUM(_xlfn.XLOOKUP($R39:$AK39,增益!$A:$A,增益!$C:$C,0))-$I$2</f>
        <v>3648.7</v>
      </c>
      <c r="AT39" cm="1">
        <f t="array" ref="AT39">$E$10*(1+$AR39)+VLOOKUP($Q39,武学奇术!$A:$ZZ,4,FALSE)+SUM(_xlfn.XLOOKUP($R39:$AK39,增益!$A:$A,增益!$D:$D,0))-$I$2</f>
        <v>3648.7</v>
      </c>
      <c r="AU39" s="34" cm="1">
        <f t="array" ref="AU39">IF($F$10-$I$3+VLOOKUP($Q39,武学奇术!$A:$ZZ,6,FALSE)+SUM(_xlfn.XLOOKUP($R39:$AK39,增益!$A:$A,增益!$F:$F,0))&gt;0,($F$10-$I$3+VLOOKUP($Q39,武学奇术!$A:$ZZ,6,FALSE)+SUM(_xlfn.XLOOKUP($R39:$AK39,增益!$A:$A,增益!$F:$F,0)))/200,($F$10-$I$3+VLOOKUP($Q39,武学奇术!$A:$ZZ,6,FALSE)+SUM(_xlfn.XLOOKUP($R39:$AK39,增益!$A:$A,增益!$F:$F,0)))/100)</f>
        <v>0.452</v>
      </c>
      <c r="AV39" s="34" cm="1">
        <f t="array" ref="AV39">$G$10+VLOOKUP($Q39,武学奇术!$A:$ZZ,7,FALSE)+SUM(_xlfn.XLOOKUP($R39:$AK39,增益!$A:$A,增益!$G:$G,0))</f>
        <v>0</v>
      </c>
      <c r="AW39" s="27" cm="1">
        <f t="array" ref="AW39">VLOOKUP($Q39,武学奇术!$A:$ZZ,8,FALSE)+SUM(_xlfn.XLOOKUP($R39:$AK39,增益!$A:$A,增益!$H:$H,0))</f>
        <v>0</v>
      </c>
      <c r="AX39">
        <f t="shared" si="12"/>
        <v>0</v>
      </c>
      <c r="AY39">
        <f t="shared" si="13"/>
        <v>0</v>
      </c>
      <c r="AZ39" s="34" cm="1">
        <f t="array" ref="AZ39">IF($F$11-$I$4+VLOOKUP($Q39,武学奇术!$A:$ZZ,9,FALSE)+SUM(_xlfn.XLOOKUP($R39:$AK39,增益!$A:$A,增益!$I:$I,0))&gt;0,($F$11-$I$4+VLOOKUP($Q39,武学奇术!$A:$ZZ,9,FALSE)+SUM(_xlfn.XLOOKUP($R39:$AK39,增益!$A:$A,增益!$I:$I,0)))/200,($F$11-$I$4+VLOOKUP($Q39,武学奇术!$A:$ZZ,9,FALSE)+SUM(_xlfn.XLOOKUP($R39:$AK39,增益!$A:$A,增益!$I:$I,0)))/100)</f>
        <v>-0.14</v>
      </c>
      <c r="BA39" s="34" cm="1">
        <f t="array" ref="BA39">$G$11+VLOOKUP($Q39,武学奇术!$A:$ZZ,10,FALSE)+SUM(_xlfn.XLOOKUP($R39:$AK39,增益!$A:$A,增益!$J:$J,0))</f>
        <v>0</v>
      </c>
      <c r="BB39">
        <f t="shared" si="14"/>
        <v>594.1</v>
      </c>
      <c r="BC39">
        <f t="shared" si="15"/>
        <v>1604.9</v>
      </c>
      <c r="BD39" s="34" cm="1">
        <f t="array" ref="BD39">IF($F$12-$I$4+VLOOKUP($Q39,武学奇术!$A:$ZZ,11,FALSE)+SUM(_xlfn.XLOOKUP($R39:$AK39,增益!$A:$A,增益!$K:$K,0))&gt;0,($F$12-$I$4+VLOOKUP($Q39,武学奇术!$A:$ZZ,11,FALSE)+SUM(_xlfn.XLOOKUP($R39:$AK39,增益!$A:$A,增益!$K:$K,0)))/200,($F$12-$I$4+VLOOKUP($Q39,武学奇术!$A:$ZZ,11,FALSE)+SUM(_xlfn.XLOOKUP($R39:$AK39,增益!$A:$A,增益!$K:$K,0)))/100)</f>
        <v>0.17</v>
      </c>
      <c r="BE39" s="34" cm="1">
        <f t="array" ref="BE39">$G$12+VLOOKUP($Q39,武学奇术!$A:$ZZ,12,FALSE)+SUM(_xlfn.XLOOKUP($R39:$AK39,增益!$A:$A,增益!$L:$L,0))</f>
        <v>0.15</v>
      </c>
      <c r="BF39">
        <f t="shared" si="16"/>
        <v>0</v>
      </c>
      <c r="BG39">
        <f t="shared" si="17"/>
        <v>0</v>
      </c>
      <c r="BH39" s="34" cm="1">
        <f t="array" ref="BH39">IF($F$13-$I$4+VLOOKUP($Q39,武学奇术!$A:$ZZ,13,FALSE)+SUM(_xlfn.XLOOKUP($R39:$AK39,增益!$A:$A,增益!$M:$M,0))&gt;0,($F$13-$I$4+VLOOKUP($Q39,武学奇术!$A:$ZZ,13,FALSE)+SUM(_xlfn.XLOOKUP($R39:$AK39,增益!$A:$A,增益!$K:$K,0)))/200,($F$13-$I$4+VLOOKUP($Q39,武学奇术!$A:$ZZ,13,FALSE)+SUM(_xlfn.XLOOKUP($R39:$AK39,增益!$A:$A,增益!$M:$M,0)))/100)</f>
        <v>-0.14</v>
      </c>
      <c r="BI39" s="34" cm="1">
        <f t="array" ref="BI39">$G$13+VLOOKUP($Q39,武学奇术!$A:$ZZ,14,FALSE)+SUM(_xlfn.XLOOKUP($R39:$AK39,增益!$A:$A,增益!$N:$N,0))</f>
        <v>0</v>
      </c>
      <c r="BJ39">
        <f t="shared" si="18"/>
        <v>0</v>
      </c>
      <c r="BK39">
        <f t="shared" si="19"/>
        <v>0</v>
      </c>
      <c r="BL39" s="34" cm="1">
        <f t="array" ref="BL39">IF($F$14-$I$4+VLOOKUP($Q39,武学奇术!$A:$ZZ,15,FALSE)+SUM(_xlfn.XLOOKUP($R39:$AK39,增益!$A:$A,增益!$O:$O,0))&gt;0,($F$14-$I$4+VLOOKUP($Q39,武学奇术!$A:$ZZ,15,FALSE)+SUM(_xlfn.XLOOKUP($R39:$AK39,增益!$A:$A,增益!$O:$O,0)))/200,($F$14-$I$4+VLOOKUP($Q39,武学奇术!$A:$ZZ,15,FALSE)+SUM(_xlfn.XLOOKUP($R39:$AK39,增益!$A:$A,增益!$O:$O,0)))/100)</f>
        <v>-0.14</v>
      </c>
      <c r="BM39" s="34" cm="1">
        <f t="array" ref="BM39">$G$14+VLOOKUP($Q39,武学奇术!$A:$ZZ,16,FALSE)+SUM(_xlfn.XLOOKUP($R39:$AK39,增益!$A:$A,增益!$P:$P,0))</f>
        <v>0</v>
      </c>
      <c r="BN39" s="27">
        <f>MIN(IF(VLOOKUP($Q39,武学奇术!$A:$ZZ,23,FALSE)=1,100%,$B$8),100%)</f>
        <v>1</v>
      </c>
      <c r="BO39" s="27" cm="1">
        <f t="array" ref="BO39">IF(VLOOKUP($Q39,武学奇术!$A:$ZZ,23,FALSE)=1,100%,MIN(80%,$B$9+VLOOKUP($Q39,武学奇术!$A:$ZZ,17,FALSE)+SUM(_xlfn.XLOOKUP($R39:$AK39,增益!$A:$A,增益!$Q:$Q,0)))+$B$11+SUM(_xlfn.XLOOKUP($R39:$AK39,增益!$A:$A,增益!$U:$U,0)))*IF(VLOOKUP($Q39,武学奇术!$A:$ZZ,24,FALSE)=1,0,1)</f>
        <v>1</v>
      </c>
      <c r="BP39" s="27" cm="1">
        <f t="array" ref="BP39">1+$B$13+VLOOKUP($Q39,武学奇术!$A:$ZZ,18,FALSE)+SUM(_xlfn.XLOOKUP($R39:$AK39,增益!$A:$A,增益!$R:$R,0))</f>
        <v>2.1</v>
      </c>
      <c r="BQ39" s="27" cm="1">
        <f t="array" ref="BQ39">IF(VLOOKUP($Q39,武学奇术!$A:$ZZ,24,FALSE)=1,100%,MIN(40%,$B$10+VLOOKUP($Q39,武学奇术!$A:$ZZ,19,FALSE)+SUM(_xlfn.XLOOKUP($R39:$AK39,增益!$A:$A,增益!$S:$S,0)))+$B$12+SUM(_xlfn.XLOOKUP($R39:$AK39,增益!$A:$A,增益!$V:$V,0)))*IF(VLOOKUP($Q39,武学奇术!$A:$ZZ,23,FALSE)=1,0,1)</f>
        <v>0</v>
      </c>
      <c r="BR39" s="27" cm="1">
        <f t="array" ref="BR39">1+$B$14+VLOOKUP($Q39,武学奇术!$A:$ZZ,20,FALSE)+SUM(_xlfn.XLOOKUP($R39:$AK39,增益!$A:$A,增益!$T:$T,0))</f>
        <v>1.35</v>
      </c>
      <c r="BS39" s="27">
        <f t="shared" si="20"/>
        <v>1</v>
      </c>
      <c r="BT39" s="27">
        <f t="shared" si="21"/>
        <v>0</v>
      </c>
      <c r="BU39" s="27">
        <f>IF(VLOOKUP($Q39,武学奇术!$A:$ZZ,22,FALSE)=1,0,(1-$BN39))*(1-$BQ39)</f>
        <v>0</v>
      </c>
      <c r="BV39" s="27" cm="1">
        <f t="array" ref="BV39">SUM(_xlfn.XLOOKUP($R39:$AK39,增益!$A:$A,增益!$W:$W,0))+$I$5</f>
        <v>0.11</v>
      </c>
    </row>
    <row r="40" spans="1:74">
      <c r="A40" t="s">
        <v>178</v>
      </c>
      <c r="B40">
        <v>1</v>
      </c>
      <c r="K40" s="40">
        <f t="shared" si="11"/>
        <v>161292.120881882</v>
      </c>
      <c r="L40" s="40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BP40*$P40*(1+IF(VLOOKUP($Q40,武学奇术!$A:$ZZ,30,FALSE)="蓄力技",$B$21,0))*(1+$BV40)</f>
        <v>165318.425399198</v>
      </c>
      <c r="M40" s="40">
        <f>(($AT40*$AM40+$AN40)*(1+$AU40)*(1+$AV40)+($AY40*IF($G$1="鸣金",$AO40,$AM40)+IF($G$1="鸣金",$AP40*1.5,0))*(1+$AZ40)*(1+$BA40)+($BC40*IF($G$1="裂石",$AO40,$AM40)+IF($G$1="裂石",$AP40*1.5,0))*(1+$BD40)*(1+$BE40)+($BG40*IF($G$1="牵丝",$AO40,$AM40)+IF($G$1="牵丝",$AP40*1.5,0))*(1+$BH40)*(1+$BI40)+($BK40*IF($G$1="破竹",$AO40,$AM40)+IF($G$1="破竹",$AP40*1.5,0))*(1+$BL40)*(1+$BM40))*(1+$AQ40)*$BR40*$P40*(1+IF(VLOOKUP($Q40,武学奇术!$A:$ZZ,30,FALSE)="蓄力技",$B$21,0))*(1+$BV40)</f>
        <v>145254.251030003</v>
      </c>
      <c r="N40" s="40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P40*(1+IF(VLOOKUP($Q40,武学奇术!$A:$ZZ,30,FALSE)="蓄力技",$B$21,0))*(1+$BV40)</f>
        <v>95010.5893098837</v>
      </c>
      <c r="O40" s="40">
        <f>((($AS40*$AM40+$AN40)*(1+$AU40)*(1+$AV40)+($AX40*IF($G$1="鸣金",$AO40,$AM40)+IF($G$1="鸣金",$AP40*1.5,0))*(1+$AZ40)*(1+$BA40)+($BB40*IF($G$1="裂石",$AO40,$AM40)+IF($G$1="裂石",$AP40*1.5,0))*(1+$BD40)*(1+$BE40)+($BF40*IF($G$1="牵丝",$AO40,$AM40)+IF($G$1="牵丝",$AP40*1.5,0))*(1+$BH40)*(1+$BI40)+($BJ40*IF($G$1="破竹",$AO40,$AM40)+IF($G$1="破竹",$AP40*1.5,0))*(1+$BL40)*(1+$BM40))*(1+$AQ40))*$P40*(1+IF(VLOOKUP($Q40,武学奇术!$A:$ZZ,30,FALSE)="蓄力技",$B$21,0))*(1+$BV40)</f>
        <v>82425.4371160612</v>
      </c>
      <c r="P40" s="41">
        <v>1</v>
      </c>
      <c r="Q40" s="42" t="s">
        <v>149</v>
      </c>
      <c r="R40" s="42" t="s">
        <v>103</v>
      </c>
      <c r="S40" s="42" t="s">
        <v>169</v>
      </c>
      <c r="T40" s="42" t="s">
        <v>86</v>
      </c>
      <c r="U40" s="42" t="s">
        <v>87</v>
      </c>
      <c r="V40" s="42" t="s">
        <v>77</v>
      </c>
      <c r="W40" s="42" t="s">
        <v>77</v>
      </c>
      <c r="X40" s="42" t="s">
        <v>176</v>
      </c>
      <c r="Y40" s="42" t="s">
        <v>77</v>
      </c>
      <c r="Z40" s="42" t="s">
        <v>77</v>
      </c>
      <c r="AA40" s="42" t="s">
        <v>77</v>
      </c>
      <c r="AB40" s="42" t="s">
        <v>89</v>
      </c>
      <c r="AC40" s="42" t="s">
        <v>77</v>
      </c>
      <c r="AD40" s="42" t="s">
        <v>80</v>
      </c>
      <c r="AE40" s="42" t="s">
        <v>81</v>
      </c>
      <c r="AF40" s="42" t="s">
        <v>82</v>
      </c>
      <c r="AG40" s="42" t="s">
        <v>77</v>
      </c>
      <c r="AH40" s="42" t="s">
        <v>77</v>
      </c>
      <c r="AI40" s="42" t="s">
        <v>77</v>
      </c>
      <c r="AJ40" s="42" t="s">
        <v>77</v>
      </c>
      <c r="AK40" s="42" t="s">
        <v>90</v>
      </c>
      <c r="AL40" t="str">
        <f>VLOOKUP($Q40,武学奇术!$A:$ZZ,25,FALSE)</f>
        <v>单体奇术</v>
      </c>
      <c r="AM40" s="27">
        <f>VLOOKUP($Q40,武学奇术!$A:$ZZ,26,FALSE)</f>
        <v>7.1084</v>
      </c>
      <c r="AN40" s="28">
        <f>VLOOKUP($Q40,武学奇术!$A:$ZZ,27,FALSE)*(1+IF(OR($AL40=$F$4,$AL40=$F$5),$B$22,0))</f>
        <v>1369</v>
      </c>
      <c r="AO40" s="27">
        <f>VLOOKUP($Q40,武学奇术!$A:$ZZ,28,FALSE)</f>
        <v>10.6626</v>
      </c>
      <c r="AP40" s="28">
        <f>VLOOKUP($Q40,武学奇术!$A:$ZZ,29,FALSE)*(1+IF(OR($AL40=$F$4,$AL40=$F$5),$B$22,0))</f>
        <v>0</v>
      </c>
      <c r="AQ40" s="27" cm="1">
        <f t="array" ref="AQ40">$G$3+IFERROR(VLOOKUP($AL40,$F$4:$G$7,2,FALSE),0)+VLOOKUP($Q40,武学奇术!$A:$ZZ,2,FALSE)+SUM(_xlfn.XLOOKUP($R40:$AK40,增益!$A:$A,增益!$B:$B,0))</f>
        <v>0.5637</v>
      </c>
      <c r="AR40" s="27" cm="1">
        <f t="array" ref="AR40">VLOOKUP($Q40,武学奇术!$A:$ZZ,5,FALSE)+SUM(_xlfn.XLOOKUP($R40:$AK40,增益!$A:$A,增益!$E:$E,0))</f>
        <v>0</v>
      </c>
      <c r="AS40" cm="1">
        <f t="array" ref="AS40">$D$10*(1+$AR40)+VLOOKUP($Q40,武学奇术!$A:$ZZ,3,FALSE)+SUM(_xlfn.XLOOKUP($R40:$AK40,增益!$A:$A,增益!$C:$C,0))-$I$2</f>
        <v>3648.7</v>
      </c>
      <c r="AT40" cm="1">
        <f t="array" ref="AT40">$E$10*(1+$AR40)+VLOOKUP($Q40,武学奇术!$A:$ZZ,4,FALSE)+SUM(_xlfn.XLOOKUP($R40:$AK40,增益!$A:$A,增益!$D:$D,0))-$I$2</f>
        <v>3648.7</v>
      </c>
      <c r="AU40" s="34" cm="1">
        <f t="array" ref="AU40">IF($F$10-$I$3+VLOOKUP($Q40,武学奇术!$A:$ZZ,6,FALSE)+SUM(_xlfn.XLOOKUP($R40:$AK40,增益!$A:$A,增益!$F:$F,0))&gt;0,($F$10-$I$3+VLOOKUP($Q40,武学奇术!$A:$ZZ,6,FALSE)+SUM(_xlfn.XLOOKUP($R40:$AK40,增益!$A:$A,增益!$F:$F,0)))/200,($F$10-$I$3+VLOOKUP($Q40,武学奇术!$A:$ZZ,6,FALSE)+SUM(_xlfn.XLOOKUP($R40:$AK40,增益!$A:$A,增益!$F:$F,0)))/100)</f>
        <v>0.427</v>
      </c>
      <c r="AV40" s="34" cm="1">
        <f t="array" ref="AV40">$G$10+VLOOKUP($Q40,武学奇术!$A:$ZZ,7,FALSE)+SUM(_xlfn.XLOOKUP($R40:$AK40,增益!$A:$A,增益!$G:$G,0))</f>
        <v>0</v>
      </c>
      <c r="AW40" s="27" cm="1">
        <f t="array" ref="AW40">VLOOKUP($Q40,武学奇术!$A:$ZZ,8,FALSE)+SUM(_xlfn.XLOOKUP($R40:$AK40,增益!$A:$A,增益!$H:$H,0))</f>
        <v>0</v>
      </c>
      <c r="AX40">
        <f t="shared" si="12"/>
        <v>0</v>
      </c>
      <c r="AY40">
        <f t="shared" si="13"/>
        <v>0</v>
      </c>
      <c r="AZ40" s="34" cm="1">
        <f t="array" ref="AZ40">IF($F$11-$I$4+VLOOKUP($Q40,武学奇术!$A:$ZZ,9,FALSE)+SUM(_xlfn.XLOOKUP($R40:$AK40,增益!$A:$A,增益!$I:$I,0))&gt;0,($F$11-$I$4+VLOOKUP($Q40,武学奇术!$A:$ZZ,9,FALSE)+SUM(_xlfn.XLOOKUP($R40:$AK40,增益!$A:$A,增益!$I:$I,0)))/200,($F$11-$I$4+VLOOKUP($Q40,武学奇术!$A:$ZZ,9,FALSE)+SUM(_xlfn.XLOOKUP($R40:$AK40,增益!$A:$A,增益!$I:$I,0)))/100)</f>
        <v>-0.14</v>
      </c>
      <c r="BA40" s="34" cm="1">
        <f t="array" ref="BA40">$G$11+VLOOKUP($Q40,武学奇术!$A:$ZZ,10,FALSE)+SUM(_xlfn.XLOOKUP($R40:$AK40,增益!$A:$A,增益!$J:$J,0))</f>
        <v>0</v>
      </c>
      <c r="BB40">
        <f t="shared" si="14"/>
        <v>594.1</v>
      </c>
      <c r="BC40">
        <f t="shared" si="15"/>
        <v>1604.9</v>
      </c>
      <c r="BD40" s="34" cm="1">
        <f t="array" ref="BD40">IF($F$12-$I$4+VLOOKUP($Q40,武学奇术!$A:$ZZ,11,FALSE)+SUM(_xlfn.XLOOKUP($R40:$AK40,增益!$A:$A,增益!$K:$K,0))&gt;0,($F$12-$I$4+VLOOKUP($Q40,武学奇术!$A:$ZZ,11,FALSE)+SUM(_xlfn.XLOOKUP($R40:$AK40,增益!$A:$A,增益!$K:$K,0)))/200,($F$12-$I$4+VLOOKUP($Q40,武学奇术!$A:$ZZ,11,FALSE)+SUM(_xlfn.XLOOKUP($R40:$AK40,增益!$A:$A,增益!$K:$K,0)))/100)</f>
        <v>0.17</v>
      </c>
      <c r="BE40" s="34" cm="1">
        <f t="array" ref="BE40">$G$12+VLOOKUP($Q40,武学奇术!$A:$ZZ,12,FALSE)+SUM(_xlfn.XLOOKUP($R40:$AK40,增益!$A:$A,增益!$L:$L,0))</f>
        <v>0.15</v>
      </c>
      <c r="BF40">
        <f t="shared" si="16"/>
        <v>0</v>
      </c>
      <c r="BG40">
        <f t="shared" si="17"/>
        <v>0</v>
      </c>
      <c r="BH40" s="34" cm="1">
        <f t="array" ref="BH40">IF($F$13-$I$4+VLOOKUP($Q40,武学奇术!$A:$ZZ,13,FALSE)+SUM(_xlfn.XLOOKUP($R40:$AK40,增益!$A:$A,增益!$M:$M,0))&gt;0,($F$13-$I$4+VLOOKUP($Q40,武学奇术!$A:$ZZ,13,FALSE)+SUM(_xlfn.XLOOKUP($R40:$AK40,增益!$A:$A,增益!$K:$K,0)))/200,($F$13-$I$4+VLOOKUP($Q40,武学奇术!$A:$ZZ,13,FALSE)+SUM(_xlfn.XLOOKUP($R40:$AK40,增益!$A:$A,增益!$M:$M,0)))/100)</f>
        <v>-0.14</v>
      </c>
      <c r="BI40" s="34" cm="1">
        <f t="array" ref="BI40">$G$13+VLOOKUP($Q40,武学奇术!$A:$ZZ,14,FALSE)+SUM(_xlfn.XLOOKUP($R40:$AK40,增益!$A:$A,增益!$N:$N,0))</f>
        <v>0</v>
      </c>
      <c r="BJ40">
        <f t="shared" si="18"/>
        <v>0</v>
      </c>
      <c r="BK40">
        <f t="shared" si="19"/>
        <v>0</v>
      </c>
      <c r="BL40" s="34" cm="1">
        <f t="array" ref="BL40">IF($F$14-$I$4+VLOOKUP($Q40,武学奇术!$A:$ZZ,15,FALSE)+SUM(_xlfn.XLOOKUP($R40:$AK40,增益!$A:$A,增益!$O:$O,0))&gt;0,($F$14-$I$4+VLOOKUP($Q40,武学奇术!$A:$ZZ,15,FALSE)+SUM(_xlfn.XLOOKUP($R40:$AK40,增益!$A:$A,增益!$O:$O,0)))/200,($F$14-$I$4+VLOOKUP($Q40,武学奇术!$A:$ZZ,15,FALSE)+SUM(_xlfn.XLOOKUP($R40:$AK40,增益!$A:$A,增益!$O:$O,0)))/100)</f>
        <v>-0.14</v>
      </c>
      <c r="BM40" s="34" cm="1">
        <f t="array" ref="BM40">$G$14+VLOOKUP($Q40,武学奇术!$A:$ZZ,16,FALSE)+SUM(_xlfn.XLOOKUP($R40:$AK40,增益!$A:$A,增益!$P:$P,0))</f>
        <v>0</v>
      </c>
      <c r="BN40" s="27">
        <f>MIN(IF(VLOOKUP($Q40,武学奇术!$A:$ZZ,23,FALSE)=1,100%,$B$8),100%)</f>
        <v>0.9859</v>
      </c>
      <c r="BO40" s="27" cm="1">
        <f t="array" ref="BO40">IF(VLOOKUP($Q40,武学奇术!$A:$ZZ,23,FALSE)=1,100%,MIN(80%,$B$9+VLOOKUP($Q40,武学奇术!$A:$ZZ,17,FALSE)+SUM(_xlfn.XLOOKUP($R40:$AK40,增益!$A:$A,增益!$Q:$Q,0)))+$B$11+SUM(_xlfn.XLOOKUP($R40:$AK40,增益!$A:$A,增益!$U:$U,0)))*IF(VLOOKUP($Q40,武学奇术!$A:$ZZ,24,FALSE)=1,0,1)</f>
        <v>0.8912</v>
      </c>
      <c r="BP40" s="27" cm="1">
        <f t="array" ref="BP40">1+$B$13+VLOOKUP($Q40,武学奇术!$A:$ZZ,18,FALSE)+SUM(_xlfn.XLOOKUP($R40:$AK40,增益!$A:$A,增益!$R:$R,0))</f>
        <v>1.74</v>
      </c>
      <c r="BQ40" s="27" cm="1">
        <f t="array" ref="BQ40">IF(VLOOKUP($Q40,武学奇术!$A:$ZZ,24,FALSE)=1,100%,MIN(40%,$B$10+VLOOKUP($Q40,武学奇术!$A:$ZZ,19,FALSE)+SUM(_xlfn.XLOOKUP($R40:$AK40,增益!$A:$A,增益!$S:$S,0)))+$B$12+SUM(_xlfn.XLOOKUP($R40:$AK40,增益!$A:$A,增益!$V:$V,0)))*IF(VLOOKUP($Q40,武学奇术!$A:$ZZ,23,FALSE)=1,0,1)</f>
        <v>0.0929</v>
      </c>
      <c r="BR40" s="27" cm="1">
        <f t="array" ref="BR40">1+$B$14+VLOOKUP($Q40,武学奇术!$A:$ZZ,20,FALSE)+SUM(_xlfn.XLOOKUP($R40:$AK40,增益!$A:$A,增益!$T:$T,0))</f>
        <v>1.35</v>
      </c>
      <c r="BS40" s="27">
        <f t="shared" si="20"/>
        <v>0.87863408</v>
      </c>
      <c r="BT40" s="27">
        <f t="shared" si="21"/>
        <v>0.01567581</v>
      </c>
      <c r="BU40" s="27">
        <f>IF(VLOOKUP($Q40,武学奇术!$A:$ZZ,22,FALSE)=1,0,(1-$BN40))*(1-$BQ40)</f>
        <v>0.01279011</v>
      </c>
      <c r="BV40" s="27" cm="1">
        <f t="array" ref="BV40">SUM(_xlfn.XLOOKUP($R40:$AK40,增益!$A:$A,增益!$W:$W,0))+$I$5</f>
        <v>0.11</v>
      </c>
    </row>
    <row r="41" spans="1:74">
      <c r="A41" t="s">
        <v>164</v>
      </c>
      <c r="B41">
        <v>2.3</v>
      </c>
      <c r="K41" s="40">
        <f t="shared" si="11"/>
        <v>18927.0470221759</v>
      </c>
      <c r="L41" s="40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BP41*$P41*(1+IF(VLOOKUP($Q41,武学奇术!$A:$ZZ,30,FALSE)="蓄力技",$B$21,0))*(1+$BV41)</f>
        <v>19623.7505233937</v>
      </c>
      <c r="M41" s="40">
        <f>(($AT41*$AM41+$AN41)*(1+$AU41)*(1+$AV41)+($AY41*IF($G$1="鸣金",$AO41,$AM41)+IF($G$1="鸣金",$AP41*1.5,0))*(1+$AZ41)*(1+$BA41)+($BC41*IF($G$1="裂石",$AO41,$AM41)+IF($G$1="裂石",$AP41*1.5,0))*(1+$BD41)*(1+$BE41)+($BG41*IF($G$1="牵丝",$AO41,$AM41)+IF($G$1="牵丝",$AP41*1.5,0))*(1+$BH41)*(1+$BI41)+($BK41*IF($G$1="破竹",$AO41,$AM41)+IF($G$1="破竹",$AP41*1.5,0))*(1+$BL41)*(1+$BM41))*(1+$AQ41)*$BR41*$P41*(1+IF(VLOOKUP($Q41,武学奇术!$A:$ZZ,30,FALSE)="蓄力技",$B$21,0))*(1+$BV41)</f>
        <v>15220.3739878459</v>
      </c>
      <c r="N41" s="40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P41*(1+IF(VLOOKUP($Q41,武学奇术!$A:$ZZ,30,FALSE)="蓄力技",$B$21,0))*(1+$BV41)</f>
        <v>10063.4618068686</v>
      </c>
      <c r="O41" s="40">
        <f>((($AS41*$AM41+$AN41)*(1+$AU41)*(1+$AV41)+($AX41*IF($G$1="鸣金",$AO41,$AM41)+IF($G$1="鸣金",$AP41*1.5,0))*(1+$AZ41)*(1+$BA41)+($BB41*IF($G$1="裂石",$AO41,$AM41)+IF($G$1="裂石",$AP41*1.5,0))*(1+$BD41)*(1+$BE41)+($BF41*IF($G$1="牵丝",$AO41,$AM41)+IF($G$1="牵丝",$AP41*1.5,0))*(1+$BH41)*(1+$BI41)+($BJ41*IF($G$1="破竹",$AO41,$AM41)+IF($G$1="破竹",$AP41*1.5,0))*(1+$BL41)*(1+$BM41))*(1+$AQ41))*$P41*(1+IF(VLOOKUP($Q41,武学奇术!$A:$ZZ,30,FALSE)="蓄力技",$B$21,0))*(1+$BV41)</f>
        <v>8852.57251162909</v>
      </c>
      <c r="P41" s="41">
        <v>1</v>
      </c>
      <c r="Q41" s="42" t="s">
        <v>179</v>
      </c>
      <c r="R41" s="42" t="s">
        <v>103</v>
      </c>
      <c r="S41" s="42" t="s">
        <v>169</v>
      </c>
      <c r="T41" s="42" t="s">
        <v>86</v>
      </c>
      <c r="U41" s="42" t="s">
        <v>87</v>
      </c>
      <c r="V41" s="42" t="s">
        <v>77</v>
      </c>
      <c r="W41" s="42" t="s">
        <v>77</v>
      </c>
      <c r="X41" s="42" t="s">
        <v>176</v>
      </c>
      <c r="Y41" s="42" t="s">
        <v>77</v>
      </c>
      <c r="Z41" s="42" t="s">
        <v>77</v>
      </c>
      <c r="AA41" s="42" t="s">
        <v>77</v>
      </c>
      <c r="AB41" s="42" t="s">
        <v>89</v>
      </c>
      <c r="AC41" s="42" t="s">
        <v>77</v>
      </c>
      <c r="AD41" s="42" t="s">
        <v>80</v>
      </c>
      <c r="AE41" s="42" t="s">
        <v>81</v>
      </c>
      <c r="AF41" s="42" t="s">
        <v>82</v>
      </c>
      <c r="AG41" s="42" t="s">
        <v>77</v>
      </c>
      <c r="AH41" s="42" t="s">
        <v>77</v>
      </c>
      <c r="AI41" s="42" t="s">
        <v>77</v>
      </c>
      <c r="AJ41" s="42" t="s">
        <v>77</v>
      </c>
      <c r="AK41" s="42" t="s">
        <v>90</v>
      </c>
      <c r="AL41" t="str">
        <f>VLOOKUP($Q41,武学奇术!$A:$ZZ,25,FALSE)</f>
        <v>横刀</v>
      </c>
      <c r="AM41" s="27">
        <f>VLOOKUP($Q41,武学奇术!$A:$ZZ,26,FALSE)</f>
        <v>0.6486</v>
      </c>
      <c r="AN41" s="28">
        <f>VLOOKUP($Q41,武学奇术!$A:$ZZ,27,FALSE)*(1+IF(OR($AL41=$F$4,$AL41=$F$5),$B$22,0))</f>
        <v>270</v>
      </c>
      <c r="AO41" s="27">
        <f>VLOOKUP($Q41,武学奇术!$A:$ZZ,28,FALSE)</f>
        <v>0.9729</v>
      </c>
      <c r="AP41" s="28">
        <f>VLOOKUP($Q41,武学奇术!$A:$ZZ,29,FALSE)*(1+IF(OR($AL41=$F$4,$AL41=$F$5),$B$22,0))</f>
        <v>147</v>
      </c>
      <c r="AQ41" s="27" cm="1">
        <f t="array" ref="AQ41">$G$3+IFERROR(VLOOKUP($AL41,$F$4:$G$7,2,FALSE),0)+VLOOKUP($Q41,武学奇术!$A:$ZZ,2,FALSE)+SUM(_xlfn.XLOOKUP($R41:$AK41,增益!$A:$A,增益!$B:$B,0))</f>
        <v>0.6489</v>
      </c>
      <c r="AR41" s="27" cm="1">
        <f t="array" ref="AR41">VLOOKUP($Q41,武学奇术!$A:$ZZ,5,FALSE)+SUM(_xlfn.XLOOKUP($R41:$AK41,增益!$A:$A,增益!$E:$E,0))</f>
        <v>0</v>
      </c>
      <c r="AS41" cm="1">
        <f t="array" ref="AS41">$D$10*(1+$AR41)+VLOOKUP($Q41,武学奇术!$A:$ZZ,3,FALSE)+SUM(_xlfn.XLOOKUP($R41:$AK41,增益!$A:$A,增益!$C:$C,0))-$I$2</f>
        <v>3648.7</v>
      </c>
      <c r="AT41" cm="1">
        <f t="array" ref="AT41">$E$10*(1+$AR41)+VLOOKUP($Q41,武学奇术!$A:$ZZ,4,FALSE)+SUM(_xlfn.XLOOKUP($R41:$AK41,增益!$A:$A,增益!$D:$D,0))-$I$2</f>
        <v>3648.7</v>
      </c>
      <c r="AU41" s="34" cm="1">
        <f t="array" ref="AU41">IF($F$10-$I$3+VLOOKUP($Q41,武学奇术!$A:$ZZ,6,FALSE)+SUM(_xlfn.XLOOKUP($R41:$AK41,增益!$A:$A,增益!$F:$F,0))&gt;0,($F$10-$I$3+VLOOKUP($Q41,武学奇术!$A:$ZZ,6,FALSE)+SUM(_xlfn.XLOOKUP($R41:$AK41,增益!$A:$A,增益!$F:$F,0)))/200,($F$10-$I$3+VLOOKUP($Q41,武学奇术!$A:$ZZ,6,FALSE)+SUM(_xlfn.XLOOKUP($R41:$AK41,增益!$A:$A,增益!$F:$F,0)))/100)</f>
        <v>0.427</v>
      </c>
      <c r="AV41" s="34" cm="1">
        <f t="array" ref="AV41">$G$10+VLOOKUP($Q41,武学奇术!$A:$ZZ,7,FALSE)+SUM(_xlfn.XLOOKUP($R41:$AK41,增益!$A:$A,增益!$G:$G,0))</f>
        <v>0</v>
      </c>
      <c r="AW41" s="27" cm="1">
        <f t="array" ref="AW41">VLOOKUP($Q41,武学奇术!$A:$ZZ,8,FALSE)+SUM(_xlfn.XLOOKUP($R41:$AK41,增益!$A:$A,增益!$H:$H,0))</f>
        <v>0</v>
      </c>
      <c r="AX41">
        <f t="shared" si="12"/>
        <v>0</v>
      </c>
      <c r="AY41">
        <f t="shared" si="13"/>
        <v>0</v>
      </c>
      <c r="AZ41" s="34" cm="1">
        <f t="array" ref="AZ41">IF($F$11-$I$4+VLOOKUP($Q41,武学奇术!$A:$ZZ,9,FALSE)+SUM(_xlfn.XLOOKUP($R41:$AK41,增益!$A:$A,增益!$I:$I,0))&gt;0,($F$11-$I$4+VLOOKUP($Q41,武学奇术!$A:$ZZ,9,FALSE)+SUM(_xlfn.XLOOKUP($R41:$AK41,增益!$A:$A,增益!$I:$I,0)))/200,($F$11-$I$4+VLOOKUP($Q41,武学奇术!$A:$ZZ,9,FALSE)+SUM(_xlfn.XLOOKUP($R41:$AK41,增益!$A:$A,增益!$I:$I,0)))/100)</f>
        <v>-0.14</v>
      </c>
      <c r="BA41" s="34" cm="1">
        <f t="array" ref="BA41">$G$11+VLOOKUP($Q41,武学奇术!$A:$ZZ,10,FALSE)+SUM(_xlfn.XLOOKUP($R41:$AK41,增益!$A:$A,增益!$J:$J,0))</f>
        <v>0</v>
      </c>
      <c r="BB41">
        <f t="shared" si="14"/>
        <v>594.1</v>
      </c>
      <c r="BC41">
        <f t="shared" si="15"/>
        <v>1604.9</v>
      </c>
      <c r="BD41" s="34" cm="1">
        <f t="array" ref="BD41">IF($F$12-$I$4+VLOOKUP($Q41,武学奇术!$A:$ZZ,11,FALSE)+SUM(_xlfn.XLOOKUP($R41:$AK41,增益!$A:$A,增益!$K:$K,0))&gt;0,($F$12-$I$4+VLOOKUP($Q41,武学奇术!$A:$ZZ,11,FALSE)+SUM(_xlfn.XLOOKUP($R41:$AK41,增益!$A:$A,增益!$K:$K,0)))/200,($F$12-$I$4+VLOOKUP($Q41,武学奇术!$A:$ZZ,11,FALSE)+SUM(_xlfn.XLOOKUP($R41:$AK41,增益!$A:$A,增益!$K:$K,0)))/100)</f>
        <v>0.17</v>
      </c>
      <c r="BE41" s="34" cm="1">
        <f t="array" ref="BE41">$G$12+VLOOKUP($Q41,武学奇术!$A:$ZZ,12,FALSE)+SUM(_xlfn.XLOOKUP($R41:$AK41,增益!$A:$A,增益!$L:$L,0))</f>
        <v>0.15</v>
      </c>
      <c r="BF41">
        <f t="shared" si="16"/>
        <v>0</v>
      </c>
      <c r="BG41">
        <f t="shared" si="17"/>
        <v>0</v>
      </c>
      <c r="BH41" s="34" cm="1">
        <f t="array" ref="BH41">IF($F$13-$I$4+VLOOKUP($Q41,武学奇术!$A:$ZZ,13,FALSE)+SUM(_xlfn.XLOOKUP($R41:$AK41,增益!$A:$A,增益!$M:$M,0))&gt;0,($F$13-$I$4+VLOOKUP($Q41,武学奇术!$A:$ZZ,13,FALSE)+SUM(_xlfn.XLOOKUP($R41:$AK41,增益!$A:$A,增益!$K:$K,0)))/200,($F$13-$I$4+VLOOKUP($Q41,武学奇术!$A:$ZZ,13,FALSE)+SUM(_xlfn.XLOOKUP($R41:$AK41,增益!$A:$A,增益!$M:$M,0)))/100)</f>
        <v>-0.14</v>
      </c>
      <c r="BI41" s="34" cm="1">
        <f t="array" ref="BI41">$G$13+VLOOKUP($Q41,武学奇术!$A:$ZZ,14,FALSE)+SUM(_xlfn.XLOOKUP($R41:$AK41,增益!$A:$A,增益!$N:$N,0))</f>
        <v>0</v>
      </c>
      <c r="BJ41">
        <f t="shared" si="18"/>
        <v>0</v>
      </c>
      <c r="BK41">
        <f t="shared" si="19"/>
        <v>0</v>
      </c>
      <c r="BL41" s="34" cm="1">
        <f t="array" ref="BL41">IF($F$14-$I$4+VLOOKUP($Q41,武学奇术!$A:$ZZ,15,FALSE)+SUM(_xlfn.XLOOKUP($R41:$AK41,增益!$A:$A,增益!$O:$O,0))&gt;0,($F$14-$I$4+VLOOKUP($Q41,武学奇术!$A:$ZZ,15,FALSE)+SUM(_xlfn.XLOOKUP($R41:$AK41,增益!$A:$A,增益!$O:$O,0)))/200,($F$14-$I$4+VLOOKUP($Q41,武学奇术!$A:$ZZ,15,FALSE)+SUM(_xlfn.XLOOKUP($R41:$AK41,增益!$A:$A,增益!$O:$O,0)))/100)</f>
        <v>-0.14</v>
      </c>
      <c r="BM41" s="34" cm="1">
        <f t="array" ref="BM41">$G$14+VLOOKUP($Q41,武学奇术!$A:$ZZ,16,FALSE)+SUM(_xlfn.XLOOKUP($R41:$AK41,增益!$A:$A,增益!$P:$P,0))</f>
        <v>0</v>
      </c>
      <c r="BN41" s="27">
        <f>MIN(IF(VLOOKUP($Q41,武学奇术!$A:$ZZ,23,FALSE)=1,100%,$B$8),100%)</f>
        <v>0.9859</v>
      </c>
      <c r="BO41" s="27" cm="1">
        <f t="array" ref="BO41">IF(VLOOKUP($Q41,武学奇术!$A:$ZZ,23,FALSE)=1,100%,MIN(80%,$B$9+VLOOKUP($Q41,武学奇术!$A:$ZZ,17,FALSE)+SUM(_xlfn.XLOOKUP($R41:$AK41,增益!$A:$A,增益!$Q:$Q,0)))+$B$11+SUM(_xlfn.XLOOKUP($R41:$AK41,增益!$A:$A,增益!$U:$U,0)))*IF(VLOOKUP($Q41,武学奇术!$A:$ZZ,24,FALSE)=1,0,1)</f>
        <v>0.8912</v>
      </c>
      <c r="BP41" s="27" cm="1">
        <f t="array" ref="BP41">1+$B$13+VLOOKUP($Q41,武学奇术!$A:$ZZ,18,FALSE)+SUM(_xlfn.XLOOKUP($R41:$AK41,增益!$A:$A,增益!$R:$R,0))</f>
        <v>1.95</v>
      </c>
      <c r="BQ41" s="27" cm="1">
        <f t="array" ref="BQ41">IF(VLOOKUP($Q41,武学奇术!$A:$ZZ,24,FALSE)=1,100%,MIN(40%,$B$10+VLOOKUP($Q41,武学奇术!$A:$ZZ,19,FALSE)+SUM(_xlfn.XLOOKUP($R41:$AK41,增益!$A:$A,增益!$S:$S,0)))+$B$12+SUM(_xlfn.XLOOKUP($R41:$AK41,增益!$A:$A,增益!$V:$V,0)))*IF(VLOOKUP($Q41,武学奇术!$A:$ZZ,23,FALSE)=1,0,1)</f>
        <v>0.0929</v>
      </c>
      <c r="BR41" s="27" cm="1">
        <f t="array" ref="BR41">1+$B$14+VLOOKUP($Q41,武学奇术!$A:$ZZ,20,FALSE)+SUM(_xlfn.XLOOKUP($R41:$AK41,增益!$A:$A,增益!$T:$T,0))</f>
        <v>1.35</v>
      </c>
      <c r="BS41" s="27">
        <f t="shared" si="20"/>
        <v>0.87863408</v>
      </c>
      <c r="BT41" s="27">
        <f t="shared" si="21"/>
        <v>0.01567581</v>
      </c>
      <c r="BU41" s="27">
        <f>IF(VLOOKUP($Q41,武学奇术!$A:$ZZ,22,FALSE)=1,0,(1-$BN41))*(1-$BQ41)</f>
        <v>0.01279011</v>
      </c>
      <c r="BV41" s="27" cm="1">
        <f t="array" ref="BV41">SUM(_xlfn.XLOOKUP($R41:$AK41,增益!$A:$A,增益!$W:$W,0))+$I$5</f>
        <v>0.11</v>
      </c>
    </row>
    <row r="42" spans="1:74">
      <c r="A42" t="s">
        <v>166</v>
      </c>
      <c r="B42">
        <v>1</v>
      </c>
      <c r="K42" s="40">
        <f t="shared" si="11"/>
        <v>82459.6683294569</v>
      </c>
      <c r="L42" s="40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BP42*$P42*(1+IF(VLOOKUP($Q42,武学奇术!$A:$ZZ,30,FALSE)="蓄力技",$B$21,0))*(1+$BV42)</f>
        <v>85721.3010865585</v>
      </c>
      <c r="M42" s="40">
        <f>(($AT42*$AM42+$AN42)*(1+$AU42)*(1+$AV42)+($AY42*IF($G$1="鸣金",$AO42,$AM42)+IF($G$1="鸣金",$AP42*1.5,0))*(1+$AZ42)*(1+$BA42)+($BC42*IF($G$1="裂石",$AO42,$AM42)+IF($G$1="裂石",$AP42*1.5,0))*(1+$BD42)*(1+$BE42)+($BG42*IF($G$1="牵丝",$AO42,$AM42)+IF($G$1="牵丝",$AP42*1.5,0))*(1+$BH42)*(1+$BI42)+($BK42*IF($G$1="破竹",$AO42,$AM42)+IF($G$1="破竹",$AP42*1.5,0))*(1+$BL42)*(1+$BM42))*(1+$AQ42)*$BR42*$P42*(1+IF(VLOOKUP($Q42,武学奇术!$A:$ZZ,30,FALSE)="蓄力技",$B$21,0))*(1+$BV42)</f>
        <v>64413.5107533854</v>
      </c>
      <c r="N42" s="40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P42*(1+IF(VLOOKUP($Q42,武学奇术!$A:$ZZ,30,FALSE)="蓄力技",$B$21,0))*(1+$BV42)</f>
        <v>42860.6505432793</v>
      </c>
      <c r="O42" s="40">
        <f>((($AS42*$AM42+$AN42)*(1+$AU42)*(1+$AV42)+($AX42*IF($G$1="鸣金",$AO42,$AM42)+IF($G$1="鸣金",$AP42*1.5,0))*(1+$AZ42)*(1+$BA42)+($BB42*IF($G$1="裂石",$AO42,$AM42)+IF($G$1="裂石",$AP42*1.5,0))*(1+$BD42)*(1+$BE42)+($BF42*IF($G$1="牵丝",$AO42,$AM42)+IF($G$1="牵丝",$AP42*1.5,0))*(1+$BH42)*(1+$BI42)+($BJ42*IF($G$1="破竹",$AO42,$AM42)+IF($G$1="破竹",$AP42*1.5,0))*(1+$BL42)*(1+$BM42))*(1+$AQ42))*$P42*(1+IF(VLOOKUP($Q42,武学奇术!$A:$ZZ,30,FALSE)="蓄力技",$B$21,0))*(1+$BV42)</f>
        <v>38007.5894173842</v>
      </c>
      <c r="P42" s="41">
        <v>1</v>
      </c>
      <c r="Q42" s="42" t="s">
        <v>180</v>
      </c>
      <c r="R42" s="42" t="s">
        <v>103</v>
      </c>
      <c r="S42" s="42" t="s">
        <v>77</v>
      </c>
      <c r="T42" s="42" t="s">
        <v>77</v>
      </c>
      <c r="U42" s="42" t="s">
        <v>121</v>
      </c>
      <c r="V42" s="42" t="s">
        <v>77</v>
      </c>
      <c r="W42" s="42" t="s">
        <v>77</v>
      </c>
      <c r="X42" s="42" t="s">
        <v>176</v>
      </c>
      <c r="Y42" s="42" t="s">
        <v>77</v>
      </c>
      <c r="Z42" s="42" t="s">
        <v>77</v>
      </c>
      <c r="AA42" s="42" t="s">
        <v>73</v>
      </c>
      <c r="AB42" s="42" t="s">
        <v>89</v>
      </c>
      <c r="AC42" s="42" t="s">
        <v>77</v>
      </c>
      <c r="AD42" s="42" t="s">
        <v>80</v>
      </c>
      <c r="AE42" s="42" t="s">
        <v>81</v>
      </c>
      <c r="AF42" s="42" t="s">
        <v>82</v>
      </c>
      <c r="AG42" s="42" t="s">
        <v>77</v>
      </c>
      <c r="AH42" s="42" t="s">
        <v>77</v>
      </c>
      <c r="AI42" s="42" t="s">
        <v>77</v>
      </c>
      <c r="AJ42" s="42" t="s">
        <v>77</v>
      </c>
      <c r="AK42" s="42" t="s">
        <v>90</v>
      </c>
      <c r="AL42" t="str">
        <f>VLOOKUP($Q42,武学奇术!$A:$ZZ,25,FALSE)</f>
        <v>横刀</v>
      </c>
      <c r="AM42" s="27">
        <f>VLOOKUP($Q42,武学奇术!$A:$ZZ,26,FALSE)</f>
        <v>2.8245</v>
      </c>
      <c r="AN42" s="28">
        <f>VLOOKUP($Q42,武学奇术!$A:$ZZ,27,FALSE)*(1+IF(OR($AL42=$F$4,$AL42=$F$5),$B$22,0))</f>
        <v>1173</v>
      </c>
      <c r="AO42" s="27">
        <f>VLOOKUP($Q42,武学奇术!$A:$ZZ,28,FALSE)</f>
        <v>4.236808</v>
      </c>
      <c r="AP42" s="28">
        <f>VLOOKUP($Q42,武学奇术!$A:$ZZ,29,FALSE)*(1+IF(OR($AL42=$F$4,$AL42=$F$5),$B$22,0))</f>
        <v>637.5</v>
      </c>
      <c r="AQ42" s="27" cm="1">
        <f t="array" ref="AQ42">$G$3+IFERROR(VLOOKUP($AL42,$F$4:$G$7,2,FALSE),0)+VLOOKUP($Q42,武学奇术!$A:$ZZ,2,FALSE)+SUM(_xlfn.XLOOKUP($R42:$AK42,增益!$A:$A,增益!$B:$B,0))</f>
        <v>0.6289</v>
      </c>
      <c r="AR42" s="27" cm="1">
        <f t="array" ref="AR42">VLOOKUP($Q42,武学奇术!$A:$ZZ,5,FALSE)+SUM(_xlfn.XLOOKUP($R42:$AK42,增益!$A:$A,增益!$E:$E,0))</f>
        <v>0</v>
      </c>
      <c r="AS42" cm="1">
        <f t="array" ref="AS42">$D$10*(1+$AR42)+VLOOKUP($Q42,武学奇术!$A:$ZZ,3,FALSE)+SUM(_xlfn.XLOOKUP($R42:$AK42,增益!$A:$A,增益!$C:$C,0))-$I$2</f>
        <v>3648.7</v>
      </c>
      <c r="AT42" cm="1">
        <f t="array" ref="AT42">$E$10*(1+$AR42)+VLOOKUP($Q42,武学奇术!$A:$ZZ,4,FALSE)+SUM(_xlfn.XLOOKUP($R42:$AK42,增益!$A:$A,增益!$D:$D,0))-$I$2</f>
        <v>3648.7</v>
      </c>
      <c r="AU42" s="34" cm="1">
        <f t="array" ref="AU42">IF($F$10-$I$3+VLOOKUP($Q42,武学奇术!$A:$ZZ,6,FALSE)+SUM(_xlfn.XLOOKUP($R42:$AK42,增益!$A:$A,增益!$F:$F,0))&gt;0,($F$10-$I$3+VLOOKUP($Q42,武学奇术!$A:$ZZ,6,FALSE)+SUM(_xlfn.XLOOKUP($R42:$AK42,增益!$A:$A,增益!$F:$F,0)))/200,($F$10-$I$3+VLOOKUP($Q42,武学奇术!$A:$ZZ,6,FALSE)+SUM(_xlfn.XLOOKUP($R42:$AK42,增益!$A:$A,增益!$F:$F,0)))/100)</f>
        <v>0.452</v>
      </c>
      <c r="AV42" s="34" cm="1">
        <f t="array" ref="AV42">$G$10+VLOOKUP($Q42,武学奇术!$A:$ZZ,7,FALSE)+SUM(_xlfn.XLOOKUP($R42:$AK42,增益!$A:$A,增益!$G:$G,0))</f>
        <v>0</v>
      </c>
      <c r="AW42" s="27" cm="1">
        <f t="array" ref="AW42">VLOOKUP($Q42,武学奇术!$A:$ZZ,8,FALSE)+SUM(_xlfn.XLOOKUP($R42:$AK42,增益!$A:$A,增益!$H:$H,0))</f>
        <v>0</v>
      </c>
      <c r="AX42">
        <f t="shared" si="12"/>
        <v>0</v>
      </c>
      <c r="AY42">
        <f t="shared" si="13"/>
        <v>0</v>
      </c>
      <c r="AZ42" s="34" cm="1">
        <f t="array" ref="AZ42">IF($F$11-$I$4+VLOOKUP($Q42,武学奇术!$A:$ZZ,9,FALSE)+SUM(_xlfn.XLOOKUP($R42:$AK42,增益!$A:$A,增益!$I:$I,0))&gt;0,($F$11-$I$4+VLOOKUP($Q42,武学奇术!$A:$ZZ,9,FALSE)+SUM(_xlfn.XLOOKUP($R42:$AK42,增益!$A:$A,增益!$I:$I,0)))/200,($F$11-$I$4+VLOOKUP($Q42,武学奇术!$A:$ZZ,9,FALSE)+SUM(_xlfn.XLOOKUP($R42:$AK42,增益!$A:$A,增益!$I:$I,0)))/100)</f>
        <v>-0.3</v>
      </c>
      <c r="BA42" s="34" cm="1">
        <f t="array" ref="BA42">$G$11+VLOOKUP($Q42,武学奇术!$A:$ZZ,10,FALSE)+SUM(_xlfn.XLOOKUP($R42:$AK42,增益!$A:$A,增益!$J:$J,0))</f>
        <v>0</v>
      </c>
      <c r="BB42">
        <f t="shared" si="14"/>
        <v>594.1</v>
      </c>
      <c r="BC42">
        <f t="shared" si="15"/>
        <v>1604.9</v>
      </c>
      <c r="BD42" s="34" cm="1">
        <f t="array" ref="BD42">IF($F$12-$I$4+VLOOKUP($Q42,武学奇术!$A:$ZZ,11,FALSE)+SUM(_xlfn.XLOOKUP($R42:$AK42,增益!$A:$A,增益!$K:$K,0))&gt;0,($F$12-$I$4+VLOOKUP($Q42,武学奇术!$A:$ZZ,11,FALSE)+SUM(_xlfn.XLOOKUP($R42:$AK42,增益!$A:$A,增益!$K:$K,0)))/200,($F$12-$I$4+VLOOKUP($Q42,武学奇术!$A:$ZZ,11,FALSE)+SUM(_xlfn.XLOOKUP($R42:$AK42,增益!$A:$A,增益!$K:$K,0)))/100)</f>
        <v>0.09</v>
      </c>
      <c r="BE42" s="34" cm="1">
        <f t="array" ref="BE42">$G$12+VLOOKUP($Q42,武学奇术!$A:$ZZ,12,FALSE)+SUM(_xlfn.XLOOKUP($R42:$AK42,增益!$A:$A,增益!$L:$L,0))</f>
        <v>0.15</v>
      </c>
      <c r="BF42">
        <f t="shared" si="16"/>
        <v>0</v>
      </c>
      <c r="BG42">
        <f t="shared" si="17"/>
        <v>0</v>
      </c>
      <c r="BH42" s="34" cm="1">
        <f t="array" ref="BH42">IF($F$13-$I$4+VLOOKUP($Q42,武学奇术!$A:$ZZ,13,FALSE)+SUM(_xlfn.XLOOKUP($R42:$AK42,增益!$A:$A,增益!$M:$M,0))&gt;0,($F$13-$I$4+VLOOKUP($Q42,武学奇术!$A:$ZZ,13,FALSE)+SUM(_xlfn.XLOOKUP($R42:$AK42,增益!$A:$A,增益!$K:$K,0)))/200,($F$13-$I$4+VLOOKUP($Q42,武学奇术!$A:$ZZ,13,FALSE)+SUM(_xlfn.XLOOKUP($R42:$AK42,增益!$A:$A,增益!$M:$M,0)))/100)</f>
        <v>-0.3</v>
      </c>
      <c r="BI42" s="34" cm="1">
        <f t="array" ref="BI42">$G$13+VLOOKUP($Q42,武学奇术!$A:$ZZ,14,FALSE)+SUM(_xlfn.XLOOKUP($R42:$AK42,增益!$A:$A,增益!$N:$N,0))</f>
        <v>0</v>
      </c>
      <c r="BJ42">
        <f t="shared" si="18"/>
        <v>0</v>
      </c>
      <c r="BK42">
        <f t="shared" si="19"/>
        <v>0</v>
      </c>
      <c r="BL42" s="34" cm="1">
        <f t="array" ref="BL42">IF($F$14-$I$4+VLOOKUP($Q42,武学奇术!$A:$ZZ,15,FALSE)+SUM(_xlfn.XLOOKUP($R42:$AK42,增益!$A:$A,增益!$O:$O,0))&gt;0,($F$14-$I$4+VLOOKUP($Q42,武学奇术!$A:$ZZ,15,FALSE)+SUM(_xlfn.XLOOKUP($R42:$AK42,增益!$A:$A,增益!$O:$O,0)))/200,($F$14-$I$4+VLOOKUP($Q42,武学奇术!$A:$ZZ,15,FALSE)+SUM(_xlfn.XLOOKUP($R42:$AK42,增益!$A:$A,增益!$O:$O,0)))/100)</f>
        <v>-0.3</v>
      </c>
      <c r="BM42" s="34" cm="1">
        <f t="array" ref="BM42">$G$14+VLOOKUP($Q42,武学奇术!$A:$ZZ,16,FALSE)+SUM(_xlfn.XLOOKUP($R42:$AK42,增益!$A:$A,增益!$P:$P,0))</f>
        <v>0</v>
      </c>
      <c r="BN42" s="27">
        <f>MIN(IF(VLOOKUP($Q42,武学奇术!$A:$ZZ,23,FALSE)=1,100%,$B$8),100%)</f>
        <v>0.9859</v>
      </c>
      <c r="BO42" s="27" cm="1">
        <f t="array" ref="BO42">IF(VLOOKUP($Q42,武学奇术!$A:$ZZ,23,FALSE)=1,100%,MIN(80%,$B$9+VLOOKUP($Q42,武学奇术!$A:$ZZ,17,FALSE)+SUM(_xlfn.XLOOKUP($R42:$AK42,增益!$A:$A,增益!$Q:$Q,0)))+$B$11+SUM(_xlfn.XLOOKUP($R42:$AK42,增益!$A:$A,增益!$U:$U,0)))*IF(VLOOKUP($Q42,武学奇术!$A:$ZZ,24,FALSE)=1,0,1)</f>
        <v>0.8912</v>
      </c>
      <c r="BP42" s="27" cm="1">
        <f t="array" ref="BP42">1+$B$13+VLOOKUP($Q42,武学奇术!$A:$ZZ,18,FALSE)+SUM(_xlfn.XLOOKUP($R42:$AK42,增益!$A:$A,增益!$R:$R,0))</f>
        <v>2</v>
      </c>
      <c r="BQ42" s="27" cm="1">
        <f t="array" ref="BQ42">IF(VLOOKUP($Q42,武学奇术!$A:$ZZ,24,FALSE)=1,100%,MIN(40%,$B$10+VLOOKUP($Q42,武学奇术!$A:$ZZ,19,FALSE)+SUM(_xlfn.XLOOKUP($R42:$AK42,增益!$A:$A,增益!$S:$S,0)))+$B$12+SUM(_xlfn.XLOOKUP($R42:$AK42,增益!$A:$A,增益!$V:$V,0)))*IF(VLOOKUP($Q42,武学奇术!$A:$ZZ,23,FALSE)=1,0,1)</f>
        <v>0.0929</v>
      </c>
      <c r="BR42" s="27" cm="1">
        <f t="array" ref="BR42">1+$B$14+VLOOKUP($Q42,武学奇术!$A:$ZZ,20,FALSE)+SUM(_xlfn.XLOOKUP($R42:$AK42,增益!$A:$A,增益!$T:$T,0))</f>
        <v>1.35</v>
      </c>
      <c r="BS42" s="27">
        <f t="shared" si="20"/>
        <v>0.87863408</v>
      </c>
      <c r="BT42" s="27">
        <f t="shared" si="21"/>
        <v>0.01567581</v>
      </c>
      <c r="BU42" s="27">
        <f>IF(VLOOKUP($Q42,武学奇术!$A:$ZZ,22,FALSE)=1,0,(1-$BN42))*(1-$BQ42)</f>
        <v>0.01279011</v>
      </c>
      <c r="BV42" s="27" cm="1">
        <f t="array" ref="BV42">SUM(_xlfn.XLOOKUP($R42:$AK42,增益!$A:$A,增益!$W:$W,0))+$I$5</f>
        <v>0.11</v>
      </c>
    </row>
    <row r="43" spans="1:74">
      <c r="A43" s="4" t="s">
        <v>167</v>
      </c>
      <c r="B43" s="4">
        <v>0.1</v>
      </c>
      <c r="D43" s="41" t="s">
        <v>168</v>
      </c>
      <c r="K43" s="40">
        <f t="shared" si="11"/>
        <v>33697.8026925041</v>
      </c>
      <c r="L43" s="40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BP43*$P43*(1+IF(VLOOKUP($Q43,武学奇术!$A:$ZZ,30,FALSE)="蓄力技",$B$21,0))*(1+$BV43)</f>
        <v>34998.3381445872</v>
      </c>
      <c r="M43" s="40">
        <f>(($AT43*$AM43+$AN43)*(1+$AU43)*(1+$AV43)+($AY43*IF($G$1="鸣金",$AO43,$AM43)+IF($G$1="鸣金",$AP43*1.5,0))*(1+$AZ43)*(1+$BA43)+($BC43*IF($G$1="裂石",$AO43,$AM43)+IF($G$1="裂石",$AP43*1.5,0))*(1+$BD43)*(1+$BE43)+($BG43*IF($G$1="牵丝",$AO43,$AM43)+IF($G$1="牵丝",$AP43*1.5,0))*(1+$BH43)*(1+$BI43)+($BK43*IF($G$1="破竹",$AO43,$AM43)+IF($G$1="破竹",$AP43*1.5,0))*(1+$BL43)*(1+$BM43))*(1+$AQ43)*$BR43*$P43*(1+IF(VLOOKUP($Q43,武学奇术!$A:$ZZ,30,FALSE)="蓄力技",$B$21,0))*(1+$BV43)</f>
        <v>26671.8763939623</v>
      </c>
      <c r="N43" s="40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P43*(1+IF(VLOOKUP($Q43,武学奇术!$A:$ZZ,30,FALSE)="蓄力技",$B$21,0))*(1+$BV43)</f>
        <v>17499.1690722936</v>
      </c>
      <c r="O43" s="40">
        <f>((($AS43*$AM43+$AN43)*(1+$AU43)*(1+$AV43)+($AX43*IF($G$1="鸣金",$AO43,$AM43)+IF($G$1="鸣金",$AP43*1.5,0))*(1+$AZ43)*(1+$BA43)+($BB43*IF($G$1="裂石",$AO43,$AM43)+IF($G$1="裂石",$AP43*1.5,0))*(1+$BD43)*(1+$BE43)+($BF43*IF($G$1="牵丝",$AO43,$AM43)+IF($G$1="牵丝",$AP43*1.5,0))*(1+$BH43)*(1+$BI43)+($BJ43*IF($G$1="破竹",$AO43,$AM43)+IF($G$1="破竹",$AP43*1.5,0))*(1+$BL43)*(1+$BM43))*(1+$AQ43))*$P43*(1+IF(VLOOKUP($Q43,武学奇术!$A:$ZZ,30,FALSE)="蓄力技",$B$21,0))*(1+$BV43)</f>
        <v>15241.3926675781</v>
      </c>
      <c r="P43" s="41">
        <v>1</v>
      </c>
      <c r="Q43" s="42" t="s">
        <v>110</v>
      </c>
      <c r="R43" s="42" t="s">
        <v>103</v>
      </c>
      <c r="S43" s="42" t="s">
        <v>77</v>
      </c>
      <c r="T43" s="42" t="s">
        <v>77</v>
      </c>
      <c r="U43" s="42" t="s">
        <v>121</v>
      </c>
      <c r="V43" s="42" t="s">
        <v>77</v>
      </c>
      <c r="W43" s="42" t="s">
        <v>77</v>
      </c>
      <c r="X43" s="42" t="s">
        <v>176</v>
      </c>
      <c r="Y43" s="42" t="s">
        <v>77</v>
      </c>
      <c r="Z43" s="42" t="s">
        <v>77</v>
      </c>
      <c r="AA43" s="42" t="s">
        <v>73</v>
      </c>
      <c r="AB43" s="42" t="s">
        <v>89</v>
      </c>
      <c r="AC43" s="42" t="s">
        <v>77</v>
      </c>
      <c r="AD43" s="42" t="s">
        <v>80</v>
      </c>
      <c r="AE43" s="42" t="s">
        <v>81</v>
      </c>
      <c r="AF43" s="42" t="s">
        <v>82</v>
      </c>
      <c r="AG43" s="42" t="s">
        <v>77</v>
      </c>
      <c r="AH43" s="42" t="s">
        <v>77</v>
      </c>
      <c r="AI43" s="42" t="s">
        <v>77</v>
      </c>
      <c r="AJ43" s="42" t="s">
        <v>77</v>
      </c>
      <c r="AK43" s="42" t="s">
        <v>90</v>
      </c>
      <c r="AL43" t="str">
        <f>VLOOKUP($Q43,武学奇术!$A:$ZZ,25,FALSE)</f>
        <v>横刀</v>
      </c>
      <c r="AM43" s="27">
        <f>VLOOKUP($Q43,武学奇术!$A:$ZZ,26,FALSE)</f>
        <v>1.4</v>
      </c>
      <c r="AN43" s="28">
        <f>VLOOKUP($Q43,武学奇术!$A:$ZZ,27,FALSE)*(1+IF(OR($AL43=$F$4,$AL43=$F$5),$B$22,0))</f>
        <v>0</v>
      </c>
      <c r="AO43" s="27">
        <f>VLOOKUP($Q43,武学奇术!$A:$ZZ,28,FALSE)</f>
        <v>2.1</v>
      </c>
      <c r="AP43" s="28">
        <f>VLOOKUP($Q43,武学奇术!$A:$ZZ,29,FALSE)*(1+IF(OR($AL43=$F$4,$AL43=$F$5),$B$22,0))</f>
        <v>0</v>
      </c>
      <c r="AQ43" s="27" cm="1">
        <f t="array" ref="AQ43">$G$3+IFERROR(VLOOKUP($AL43,$F$4:$G$7,2,FALSE),0)+VLOOKUP($Q43,武学奇术!$A:$ZZ,2,FALSE)+SUM(_xlfn.XLOOKUP($R43:$AK43,增益!$A:$A,增益!$B:$B,0))</f>
        <v>0.5289</v>
      </c>
      <c r="AR43" s="27" cm="1">
        <f t="array" ref="AR43">VLOOKUP($Q43,武学奇术!$A:$ZZ,5,FALSE)+SUM(_xlfn.XLOOKUP($R43:$AK43,增益!$A:$A,增益!$E:$E,0))</f>
        <v>0</v>
      </c>
      <c r="AS43" cm="1">
        <f t="array" ref="AS43">$D$10*(1+$AR43)+VLOOKUP($Q43,武学奇术!$A:$ZZ,3,FALSE)+SUM(_xlfn.XLOOKUP($R43:$AK43,增益!$A:$A,增益!$C:$C,0))-$I$2</f>
        <v>3648.7</v>
      </c>
      <c r="AT43" cm="1">
        <f t="array" ref="AT43">$E$10*(1+$AR43)+VLOOKUP($Q43,武学奇术!$A:$ZZ,4,FALSE)+SUM(_xlfn.XLOOKUP($R43:$AK43,增益!$A:$A,增益!$D:$D,0))-$I$2</f>
        <v>3648.7</v>
      </c>
      <c r="AU43" s="34" cm="1">
        <f t="array" ref="AU43">IF($F$10-$I$3+VLOOKUP($Q43,武学奇术!$A:$ZZ,6,FALSE)+SUM(_xlfn.XLOOKUP($R43:$AK43,增益!$A:$A,增益!$F:$F,0))&gt;0,($F$10-$I$3+VLOOKUP($Q43,武学奇术!$A:$ZZ,6,FALSE)+SUM(_xlfn.XLOOKUP($R43:$AK43,增益!$A:$A,增益!$F:$F,0)))/200,($F$10-$I$3+VLOOKUP($Q43,武学奇术!$A:$ZZ,6,FALSE)+SUM(_xlfn.XLOOKUP($R43:$AK43,增益!$A:$A,增益!$F:$F,0)))/100)</f>
        <v>0.452</v>
      </c>
      <c r="AV43" s="34" cm="1">
        <f t="array" ref="AV43">$G$10+VLOOKUP($Q43,武学奇术!$A:$ZZ,7,FALSE)+SUM(_xlfn.XLOOKUP($R43:$AK43,增益!$A:$A,增益!$G:$G,0))</f>
        <v>0</v>
      </c>
      <c r="AW43" s="27" cm="1">
        <f t="array" ref="AW43">VLOOKUP($Q43,武学奇术!$A:$ZZ,8,FALSE)+SUM(_xlfn.XLOOKUP($R43:$AK43,增益!$A:$A,增益!$H:$H,0))</f>
        <v>0</v>
      </c>
      <c r="AX43">
        <f t="shared" si="12"/>
        <v>0</v>
      </c>
      <c r="AY43">
        <f t="shared" si="13"/>
        <v>0</v>
      </c>
      <c r="AZ43" s="34" cm="1">
        <f t="array" ref="AZ43">IF($F$11-$I$4+VLOOKUP($Q43,武学奇术!$A:$ZZ,9,FALSE)+SUM(_xlfn.XLOOKUP($R43:$AK43,增益!$A:$A,增益!$I:$I,0))&gt;0,($F$11-$I$4+VLOOKUP($Q43,武学奇术!$A:$ZZ,9,FALSE)+SUM(_xlfn.XLOOKUP($R43:$AK43,增益!$A:$A,增益!$I:$I,0)))/200,($F$11-$I$4+VLOOKUP($Q43,武学奇术!$A:$ZZ,9,FALSE)+SUM(_xlfn.XLOOKUP($R43:$AK43,增益!$A:$A,增益!$I:$I,0)))/100)</f>
        <v>-0.3</v>
      </c>
      <c r="BA43" s="34" cm="1">
        <f t="array" ref="BA43">$G$11+VLOOKUP($Q43,武学奇术!$A:$ZZ,10,FALSE)+SUM(_xlfn.XLOOKUP($R43:$AK43,增益!$A:$A,增益!$J:$J,0))</f>
        <v>0</v>
      </c>
      <c r="BB43">
        <f t="shared" si="14"/>
        <v>594.1</v>
      </c>
      <c r="BC43">
        <f t="shared" si="15"/>
        <v>1604.9</v>
      </c>
      <c r="BD43" s="34" cm="1">
        <f t="array" ref="BD43">IF($F$12-$I$4+VLOOKUP($Q43,武学奇术!$A:$ZZ,11,FALSE)+SUM(_xlfn.XLOOKUP($R43:$AK43,增益!$A:$A,增益!$K:$K,0))&gt;0,($F$12-$I$4+VLOOKUP($Q43,武学奇术!$A:$ZZ,11,FALSE)+SUM(_xlfn.XLOOKUP($R43:$AK43,增益!$A:$A,增益!$K:$K,0)))/200,($F$12-$I$4+VLOOKUP($Q43,武学奇术!$A:$ZZ,11,FALSE)+SUM(_xlfn.XLOOKUP($R43:$AK43,增益!$A:$A,增益!$K:$K,0)))/100)</f>
        <v>0.09</v>
      </c>
      <c r="BE43" s="34" cm="1">
        <f t="array" ref="BE43">$G$12+VLOOKUP($Q43,武学奇术!$A:$ZZ,12,FALSE)+SUM(_xlfn.XLOOKUP($R43:$AK43,增益!$A:$A,增益!$L:$L,0))</f>
        <v>0.15</v>
      </c>
      <c r="BF43">
        <f t="shared" si="16"/>
        <v>0</v>
      </c>
      <c r="BG43">
        <f t="shared" si="17"/>
        <v>0</v>
      </c>
      <c r="BH43" s="34" cm="1">
        <f t="array" ref="BH43">IF($F$13-$I$4+VLOOKUP($Q43,武学奇术!$A:$ZZ,13,FALSE)+SUM(_xlfn.XLOOKUP($R43:$AK43,增益!$A:$A,增益!$M:$M,0))&gt;0,($F$13-$I$4+VLOOKUP($Q43,武学奇术!$A:$ZZ,13,FALSE)+SUM(_xlfn.XLOOKUP($R43:$AK43,增益!$A:$A,增益!$K:$K,0)))/200,($F$13-$I$4+VLOOKUP($Q43,武学奇术!$A:$ZZ,13,FALSE)+SUM(_xlfn.XLOOKUP($R43:$AK43,增益!$A:$A,增益!$M:$M,0)))/100)</f>
        <v>-0.3</v>
      </c>
      <c r="BI43" s="34" cm="1">
        <f t="array" ref="BI43">$G$13+VLOOKUP($Q43,武学奇术!$A:$ZZ,14,FALSE)+SUM(_xlfn.XLOOKUP($R43:$AK43,增益!$A:$A,增益!$N:$N,0))</f>
        <v>0</v>
      </c>
      <c r="BJ43">
        <f t="shared" si="18"/>
        <v>0</v>
      </c>
      <c r="BK43">
        <f t="shared" si="19"/>
        <v>0</v>
      </c>
      <c r="BL43" s="34" cm="1">
        <f t="array" ref="BL43">IF($F$14-$I$4+VLOOKUP($Q43,武学奇术!$A:$ZZ,15,FALSE)+SUM(_xlfn.XLOOKUP($R43:$AK43,增益!$A:$A,增益!$O:$O,0))&gt;0,($F$14-$I$4+VLOOKUP($Q43,武学奇术!$A:$ZZ,15,FALSE)+SUM(_xlfn.XLOOKUP($R43:$AK43,增益!$A:$A,增益!$O:$O,0)))/200,($F$14-$I$4+VLOOKUP($Q43,武学奇术!$A:$ZZ,15,FALSE)+SUM(_xlfn.XLOOKUP($R43:$AK43,增益!$A:$A,增益!$O:$O,0)))/100)</f>
        <v>-0.3</v>
      </c>
      <c r="BM43" s="34" cm="1">
        <f t="array" ref="BM43">$G$14+VLOOKUP($Q43,武学奇术!$A:$ZZ,16,FALSE)+SUM(_xlfn.XLOOKUP($R43:$AK43,增益!$A:$A,增益!$P:$P,0))</f>
        <v>0</v>
      </c>
      <c r="BN43" s="27">
        <f>MIN(IF(VLOOKUP($Q43,武学奇术!$A:$ZZ,23,FALSE)=1,100%,$B$8),100%)</f>
        <v>0.9859</v>
      </c>
      <c r="BO43" s="27" cm="1">
        <f t="array" ref="BO43">IF(VLOOKUP($Q43,武学奇术!$A:$ZZ,23,FALSE)=1,100%,MIN(80%,$B$9+VLOOKUP($Q43,武学奇术!$A:$ZZ,17,FALSE)+SUM(_xlfn.XLOOKUP($R43:$AK43,增益!$A:$A,增益!$Q:$Q,0)))+$B$11+SUM(_xlfn.XLOOKUP($R43:$AK43,增益!$A:$A,增益!$U:$U,0)))*IF(VLOOKUP($Q43,武学奇术!$A:$ZZ,24,FALSE)=1,0,1)</f>
        <v>0.8912</v>
      </c>
      <c r="BP43" s="27" cm="1">
        <f t="array" ref="BP43">1+$B$13+VLOOKUP($Q43,武学奇术!$A:$ZZ,18,FALSE)+SUM(_xlfn.XLOOKUP($R43:$AK43,增益!$A:$A,增益!$R:$R,0))</f>
        <v>2</v>
      </c>
      <c r="BQ43" s="27" cm="1">
        <f t="array" ref="BQ43">IF(VLOOKUP($Q43,武学奇术!$A:$ZZ,24,FALSE)=1,100%,MIN(40%,$B$10+VLOOKUP($Q43,武学奇术!$A:$ZZ,19,FALSE)+SUM(_xlfn.XLOOKUP($R43:$AK43,增益!$A:$A,增益!$S:$S,0)))+$B$12+SUM(_xlfn.XLOOKUP($R43:$AK43,增益!$A:$A,增益!$V:$V,0)))*IF(VLOOKUP($Q43,武学奇术!$A:$ZZ,23,FALSE)=1,0,1)</f>
        <v>0.0929</v>
      </c>
      <c r="BR43" s="27" cm="1">
        <f t="array" ref="BR43">1+$B$14+VLOOKUP($Q43,武学奇术!$A:$ZZ,20,FALSE)+SUM(_xlfn.XLOOKUP($R43:$AK43,增益!$A:$A,增益!$T:$T,0))</f>
        <v>1.35</v>
      </c>
      <c r="BS43" s="27">
        <f t="shared" si="20"/>
        <v>0.87863408</v>
      </c>
      <c r="BT43" s="27">
        <f t="shared" si="21"/>
        <v>0.01567581</v>
      </c>
      <c r="BU43" s="27">
        <f>IF(VLOOKUP($Q43,武学奇术!$A:$ZZ,22,FALSE)=1,0,(1-$BN43))*(1-$BQ43)</f>
        <v>0.01279011</v>
      </c>
      <c r="BV43" s="27" cm="1">
        <f t="array" ref="BV43">SUM(_xlfn.XLOOKUP($R43:$AK43,增益!$A:$A,增益!$W:$W,0))+$I$5</f>
        <v>0.11</v>
      </c>
    </row>
    <row r="44" spans="1:74">
      <c r="A44" s="4" t="s">
        <v>181</v>
      </c>
      <c r="B44" s="4">
        <v>1.8</v>
      </c>
      <c r="D44" s="41"/>
      <c r="K44" s="40">
        <f t="shared" si="11"/>
        <v>61397.1388641368</v>
      </c>
      <c r="L44" s="40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BP44*$P44*(1+IF(VLOOKUP($Q44,武学奇术!$A:$ZZ,30,FALSE)="蓄力技",$B$21,0))*(1+$BV44)</f>
        <v>63678.8446475132</v>
      </c>
      <c r="M44" s="40">
        <f>(($AT44*$AM44+$AN44)*(1+$AU44)*(1+$AV44)+($AY44*IF($G$1="鸣金",$AO44,$AM44)+IF($G$1="鸣金",$AP44*1.5,0))*(1+$AZ44)*(1+$BA44)+($BC44*IF($G$1="裂石",$AO44,$AM44)+IF($G$1="裂石",$AP44*1.5,0))*(1+$BD44)*(1+$BE44)+($BG44*IF($G$1="牵丝",$AO44,$AM44)+IF($G$1="牵丝",$AP44*1.5,0))*(1+$BH44)*(1+$BI44)+($BK44*IF($G$1="破竹",$AO44,$AM44)+IF($G$1="破竹",$AP44*1.5,0))*(1+$BL44)*(1+$BM44))*(1+$AQ44)*$BR44*$P44*(1+IF(VLOOKUP($Q44,武学奇术!$A:$ZZ,30,FALSE)="蓄力技",$B$21,0))*(1+$BV44)</f>
        <v>49139.2854528051</v>
      </c>
      <c r="N44" s="40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P44*(1+IF(VLOOKUP($Q44,武学奇术!$A:$ZZ,30,FALSE)="蓄力技",$B$21,0))*(1+$BV44)</f>
        <v>32655.8177679555</v>
      </c>
      <c r="O44" s="40">
        <f>((($AS44*$AM44+$AN44)*(1+$AU44)*(1+$AV44)+($AX44*IF($G$1="鸣金",$AO44,$AM44)+IF($G$1="鸣金",$AP44*1.5,0))*(1+$AZ44)*(1+$BA44)+($BB44*IF($G$1="裂石",$AO44,$AM44)+IF($G$1="裂石",$AP44*1.5,0))*(1+$BD44)*(1+$BE44)+($BF44*IF($G$1="牵丝",$AO44,$AM44)+IF($G$1="牵丝",$AP44*1.5,0))*(1+$BH44)*(1+$BI44)+($BJ44*IF($G$1="破竹",$AO44,$AM44)+IF($G$1="破竹",$AP44*1.5,0))*(1+$BL44)*(1+$BM44))*(1+$AQ44))*$P44*(1+IF(VLOOKUP($Q44,武学奇术!$A:$ZZ,30,FALSE)="蓄力技",$B$21,0))*(1+$BV44)</f>
        <v>28912.1648301294</v>
      </c>
      <c r="P44" s="41">
        <v>1</v>
      </c>
      <c r="Q44" s="42" t="s">
        <v>182</v>
      </c>
      <c r="R44" s="42" t="s">
        <v>103</v>
      </c>
      <c r="S44" s="42" t="s">
        <v>77</v>
      </c>
      <c r="T44" s="42" t="s">
        <v>77</v>
      </c>
      <c r="U44" s="42" t="s">
        <v>87</v>
      </c>
      <c r="V44" s="42" t="s">
        <v>77</v>
      </c>
      <c r="W44" s="42" t="s">
        <v>77</v>
      </c>
      <c r="X44" s="42" t="s">
        <v>176</v>
      </c>
      <c r="Y44" s="42" t="s">
        <v>77</v>
      </c>
      <c r="Z44" s="42" t="s">
        <v>77</v>
      </c>
      <c r="AA44" s="42" t="s">
        <v>77</v>
      </c>
      <c r="AB44" s="42" t="s">
        <v>89</v>
      </c>
      <c r="AC44" s="42" t="s">
        <v>77</v>
      </c>
      <c r="AD44" s="42" t="s">
        <v>80</v>
      </c>
      <c r="AE44" s="42" t="s">
        <v>81</v>
      </c>
      <c r="AF44" s="42" t="s">
        <v>82</v>
      </c>
      <c r="AG44" s="42" t="s">
        <v>77</v>
      </c>
      <c r="AH44" s="42" t="s">
        <v>77</v>
      </c>
      <c r="AI44" s="42" t="s">
        <v>77</v>
      </c>
      <c r="AJ44" s="42" t="s">
        <v>77</v>
      </c>
      <c r="AK44" s="42" t="s">
        <v>90</v>
      </c>
      <c r="AL44" t="str">
        <f>VLOOKUP($Q44,武学奇术!$A:$ZZ,25,FALSE)</f>
        <v>横刀</v>
      </c>
      <c r="AM44" s="27">
        <f>VLOOKUP($Q44,武学奇术!$A:$ZZ,26,FALSE)</f>
        <v>2.4495</v>
      </c>
      <c r="AN44" s="28">
        <f>VLOOKUP($Q44,武学奇术!$A:$ZZ,27,FALSE)*(1+IF(OR($AL44=$F$4,$AL44=$F$5),$B$22,0))</f>
        <v>1015.5</v>
      </c>
      <c r="AO44" s="27">
        <f>VLOOKUP($Q44,武学奇术!$A:$ZZ,28,FALSE)</f>
        <v>3.6743</v>
      </c>
      <c r="AP44" s="28">
        <f>VLOOKUP($Q44,武学奇术!$A:$ZZ,29,FALSE)*(1+IF(OR($AL44=$F$4,$AL44=$F$5),$B$22,0))</f>
        <v>552</v>
      </c>
      <c r="AQ44" s="27" cm="1">
        <f t="array" ref="AQ44">$G$3+IFERROR(VLOOKUP($AL44,$F$4:$G$7,2,FALSE),0)+VLOOKUP($Q44,武学奇术!$A:$ZZ,2,FALSE)+SUM(_xlfn.XLOOKUP($R44:$AK44,增益!$A:$A,增益!$B:$B,0))</f>
        <v>0.4489</v>
      </c>
      <c r="AR44" s="27" cm="1">
        <f t="array" ref="AR44">VLOOKUP($Q44,武学奇术!$A:$ZZ,5,FALSE)+SUM(_xlfn.XLOOKUP($R44:$AK44,增益!$A:$A,增益!$E:$E,0))</f>
        <v>0</v>
      </c>
      <c r="AS44" cm="1">
        <f t="array" ref="AS44">$D$10*(1+$AR44)+VLOOKUP($Q44,武学奇术!$A:$ZZ,3,FALSE)+SUM(_xlfn.XLOOKUP($R44:$AK44,增益!$A:$A,增益!$C:$C,0))-$I$2</f>
        <v>3648.7</v>
      </c>
      <c r="AT44" cm="1">
        <f t="array" ref="AT44">$E$10*(1+$AR44)+VLOOKUP($Q44,武学奇术!$A:$ZZ,4,FALSE)+SUM(_xlfn.XLOOKUP($R44:$AK44,增益!$A:$A,增益!$D:$D,0))-$I$2</f>
        <v>3648.7</v>
      </c>
      <c r="AU44" s="34" cm="1">
        <f t="array" ref="AU44">IF($F$10-$I$3+VLOOKUP($Q44,武学奇术!$A:$ZZ,6,FALSE)+SUM(_xlfn.XLOOKUP($R44:$AK44,增益!$A:$A,增益!$F:$F,0))&gt;0,($F$10-$I$3+VLOOKUP($Q44,武学奇术!$A:$ZZ,6,FALSE)+SUM(_xlfn.XLOOKUP($R44:$AK44,增益!$A:$A,增益!$F:$F,0)))/200,($F$10-$I$3+VLOOKUP($Q44,武学奇术!$A:$ZZ,6,FALSE)+SUM(_xlfn.XLOOKUP($R44:$AK44,增益!$A:$A,增益!$F:$F,0)))/100)</f>
        <v>0.427</v>
      </c>
      <c r="AV44" s="34" cm="1">
        <f t="array" ref="AV44">$G$10+VLOOKUP($Q44,武学奇术!$A:$ZZ,7,FALSE)+SUM(_xlfn.XLOOKUP($R44:$AK44,增益!$A:$A,增益!$G:$G,0))</f>
        <v>0</v>
      </c>
      <c r="AW44" s="27" cm="1">
        <f t="array" ref="AW44">VLOOKUP($Q44,武学奇术!$A:$ZZ,8,FALSE)+SUM(_xlfn.XLOOKUP($R44:$AK44,增益!$A:$A,增益!$H:$H,0))</f>
        <v>0</v>
      </c>
      <c r="AX44">
        <f t="shared" si="12"/>
        <v>0</v>
      </c>
      <c r="AY44">
        <f t="shared" si="13"/>
        <v>0</v>
      </c>
      <c r="AZ44" s="34" cm="1">
        <f t="array" ref="AZ44">IF($F$11-$I$4+VLOOKUP($Q44,武学奇术!$A:$ZZ,9,FALSE)+SUM(_xlfn.XLOOKUP($R44:$AK44,增益!$A:$A,增益!$I:$I,0))&gt;0,($F$11-$I$4+VLOOKUP($Q44,武学奇术!$A:$ZZ,9,FALSE)+SUM(_xlfn.XLOOKUP($R44:$AK44,增益!$A:$A,增益!$I:$I,0)))/200,($F$11-$I$4+VLOOKUP($Q44,武学奇术!$A:$ZZ,9,FALSE)+SUM(_xlfn.XLOOKUP($R44:$AK44,增益!$A:$A,增益!$I:$I,0)))/100)</f>
        <v>-0.3</v>
      </c>
      <c r="BA44" s="34" cm="1">
        <f t="array" ref="BA44">$G$11+VLOOKUP($Q44,武学奇术!$A:$ZZ,10,FALSE)+SUM(_xlfn.XLOOKUP($R44:$AK44,增益!$A:$A,增益!$J:$J,0))</f>
        <v>0</v>
      </c>
      <c r="BB44">
        <f t="shared" si="14"/>
        <v>594.1</v>
      </c>
      <c r="BC44">
        <f t="shared" si="15"/>
        <v>1604.9</v>
      </c>
      <c r="BD44" s="34" cm="1">
        <f t="array" ref="BD44">IF($F$12-$I$4+VLOOKUP($Q44,武学奇术!$A:$ZZ,11,FALSE)+SUM(_xlfn.XLOOKUP($R44:$AK44,增益!$A:$A,增益!$K:$K,0))&gt;0,($F$12-$I$4+VLOOKUP($Q44,武学奇术!$A:$ZZ,11,FALSE)+SUM(_xlfn.XLOOKUP($R44:$AK44,增益!$A:$A,增益!$K:$K,0)))/200,($F$12-$I$4+VLOOKUP($Q44,武学奇术!$A:$ZZ,11,FALSE)+SUM(_xlfn.XLOOKUP($R44:$AK44,增益!$A:$A,增益!$K:$K,0)))/100)</f>
        <v>0.09</v>
      </c>
      <c r="BE44" s="34" cm="1">
        <f t="array" ref="BE44">$G$12+VLOOKUP($Q44,武学奇术!$A:$ZZ,12,FALSE)+SUM(_xlfn.XLOOKUP($R44:$AK44,增益!$A:$A,增益!$L:$L,0))</f>
        <v>0.15</v>
      </c>
      <c r="BF44">
        <f t="shared" si="16"/>
        <v>0</v>
      </c>
      <c r="BG44">
        <f t="shared" si="17"/>
        <v>0</v>
      </c>
      <c r="BH44" s="34" cm="1">
        <f t="array" ref="BH44">IF($F$13-$I$4+VLOOKUP($Q44,武学奇术!$A:$ZZ,13,FALSE)+SUM(_xlfn.XLOOKUP($R44:$AK44,增益!$A:$A,增益!$M:$M,0))&gt;0,($F$13-$I$4+VLOOKUP($Q44,武学奇术!$A:$ZZ,13,FALSE)+SUM(_xlfn.XLOOKUP($R44:$AK44,增益!$A:$A,增益!$K:$K,0)))/200,($F$13-$I$4+VLOOKUP($Q44,武学奇术!$A:$ZZ,13,FALSE)+SUM(_xlfn.XLOOKUP($R44:$AK44,增益!$A:$A,增益!$M:$M,0)))/100)</f>
        <v>-0.3</v>
      </c>
      <c r="BI44" s="34" cm="1">
        <f t="array" ref="BI44">$G$13+VLOOKUP($Q44,武学奇术!$A:$ZZ,14,FALSE)+SUM(_xlfn.XLOOKUP($R44:$AK44,增益!$A:$A,增益!$N:$N,0))</f>
        <v>0</v>
      </c>
      <c r="BJ44">
        <f t="shared" si="18"/>
        <v>0</v>
      </c>
      <c r="BK44">
        <f t="shared" si="19"/>
        <v>0</v>
      </c>
      <c r="BL44" s="34" cm="1">
        <f t="array" ref="BL44">IF($F$14-$I$4+VLOOKUP($Q44,武学奇术!$A:$ZZ,15,FALSE)+SUM(_xlfn.XLOOKUP($R44:$AK44,增益!$A:$A,增益!$O:$O,0))&gt;0,($F$14-$I$4+VLOOKUP($Q44,武学奇术!$A:$ZZ,15,FALSE)+SUM(_xlfn.XLOOKUP($R44:$AK44,增益!$A:$A,增益!$O:$O,0)))/200,($F$14-$I$4+VLOOKUP($Q44,武学奇术!$A:$ZZ,15,FALSE)+SUM(_xlfn.XLOOKUP($R44:$AK44,增益!$A:$A,增益!$O:$O,0)))/100)</f>
        <v>-0.3</v>
      </c>
      <c r="BM44" s="34" cm="1">
        <f t="array" ref="BM44">$G$14+VLOOKUP($Q44,武学奇术!$A:$ZZ,16,FALSE)+SUM(_xlfn.XLOOKUP($R44:$AK44,增益!$A:$A,增益!$P:$P,0))</f>
        <v>0</v>
      </c>
      <c r="BN44" s="27">
        <f>MIN(IF(VLOOKUP($Q44,武学奇术!$A:$ZZ,23,FALSE)=1,100%,$B$8),100%)</f>
        <v>0.9859</v>
      </c>
      <c r="BO44" s="27" cm="1">
        <f t="array" ref="BO44">IF(VLOOKUP($Q44,武学奇术!$A:$ZZ,23,FALSE)=1,100%,MIN(80%,$B$9+VLOOKUP($Q44,武学奇术!$A:$ZZ,17,FALSE)+SUM(_xlfn.XLOOKUP($R44:$AK44,增益!$A:$A,增益!$Q:$Q,0)))+$B$11+SUM(_xlfn.XLOOKUP($R44:$AK44,增益!$A:$A,增益!$U:$U,0)))*IF(VLOOKUP($Q44,武学奇术!$A:$ZZ,24,FALSE)=1,0,1)</f>
        <v>0.8912</v>
      </c>
      <c r="BP44" s="27" cm="1">
        <f t="array" ref="BP44">1+$B$13+VLOOKUP($Q44,武学奇术!$A:$ZZ,18,FALSE)+SUM(_xlfn.XLOOKUP($R44:$AK44,增益!$A:$A,增益!$R:$R,0))</f>
        <v>1.95</v>
      </c>
      <c r="BQ44" s="27" cm="1">
        <f t="array" ref="BQ44">IF(VLOOKUP($Q44,武学奇术!$A:$ZZ,24,FALSE)=1,100%,MIN(40%,$B$10+VLOOKUP($Q44,武学奇术!$A:$ZZ,19,FALSE)+SUM(_xlfn.XLOOKUP($R44:$AK44,增益!$A:$A,增益!$S:$S,0)))+$B$12+SUM(_xlfn.XLOOKUP($R44:$AK44,增益!$A:$A,增益!$V:$V,0)))*IF(VLOOKUP($Q44,武学奇术!$A:$ZZ,23,FALSE)=1,0,1)</f>
        <v>0.0929</v>
      </c>
      <c r="BR44" s="27" cm="1">
        <f t="array" ref="BR44">1+$B$14+VLOOKUP($Q44,武学奇术!$A:$ZZ,20,FALSE)+SUM(_xlfn.XLOOKUP($R44:$AK44,增益!$A:$A,增益!$T:$T,0))</f>
        <v>1.35</v>
      </c>
      <c r="BS44" s="27">
        <f t="shared" si="20"/>
        <v>0.87863408</v>
      </c>
      <c r="BT44" s="27">
        <f t="shared" si="21"/>
        <v>0.01567581</v>
      </c>
      <c r="BU44" s="27">
        <f>IF(VLOOKUP($Q44,武学奇术!$A:$ZZ,22,FALSE)=1,0,(1-$BN44))*(1-$BQ44)</f>
        <v>0.01279011</v>
      </c>
      <c r="BV44" s="27" cm="1">
        <f t="array" ref="BV44">SUM(_xlfn.XLOOKUP($R44:$AK44,增益!$A:$A,增益!$W:$W,0))+$I$5</f>
        <v>0.11</v>
      </c>
    </row>
    <row r="45" spans="1:74">
      <c r="A45" s="4" t="s">
        <v>171</v>
      </c>
      <c r="B45" s="4">
        <v>2.3</v>
      </c>
      <c r="D45" s="41"/>
      <c r="E45" s="41" t="s">
        <v>172</v>
      </c>
      <c r="K45" s="40">
        <f t="shared" si="11"/>
        <v>82459.6683294569</v>
      </c>
      <c r="L45" s="40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BP45*$P45*(1+IF(VLOOKUP($Q45,武学奇术!$A:$ZZ,30,FALSE)="蓄力技",$B$21,0))*(1+$BV45)</f>
        <v>85721.3010865585</v>
      </c>
      <c r="M45" s="40">
        <f>(($AT45*$AM45+$AN45)*(1+$AU45)*(1+$AV45)+($AY45*IF($G$1="鸣金",$AO45,$AM45)+IF($G$1="鸣金",$AP45*1.5,0))*(1+$AZ45)*(1+$BA45)+($BC45*IF($G$1="裂石",$AO45,$AM45)+IF($G$1="裂石",$AP45*1.5,0))*(1+$BD45)*(1+$BE45)+($BG45*IF($G$1="牵丝",$AO45,$AM45)+IF($G$1="牵丝",$AP45*1.5,0))*(1+$BH45)*(1+$BI45)+($BK45*IF($G$1="破竹",$AO45,$AM45)+IF($G$1="破竹",$AP45*1.5,0))*(1+$BL45)*(1+$BM45))*(1+$AQ45)*$BR45*$P45*(1+IF(VLOOKUP($Q45,武学奇术!$A:$ZZ,30,FALSE)="蓄力技",$B$21,0))*(1+$BV45)</f>
        <v>64413.5107533854</v>
      </c>
      <c r="N45" s="40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P45*(1+IF(VLOOKUP($Q45,武学奇术!$A:$ZZ,30,FALSE)="蓄力技",$B$21,0))*(1+$BV45)</f>
        <v>42860.6505432793</v>
      </c>
      <c r="O45" s="40">
        <f>((($AS45*$AM45+$AN45)*(1+$AU45)*(1+$AV45)+($AX45*IF($G$1="鸣金",$AO45,$AM45)+IF($G$1="鸣金",$AP45*1.5,0))*(1+$AZ45)*(1+$BA45)+($BB45*IF($G$1="裂石",$AO45,$AM45)+IF($G$1="裂石",$AP45*1.5,0))*(1+$BD45)*(1+$BE45)+($BF45*IF($G$1="牵丝",$AO45,$AM45)+IF($G$1="牵丝",$AP45*1.5,0))*(1+$BH45)*(1+$BI45)+($BJ45*IF($G$1="破竹",$AO45,$AM45)+IF($G$1="破竹",$AP45*1.5,0))*(1+$BL45)*(1+$BM45))*(1+$AQ45))*$P45*(1+IF(VLOOKUP($Q45,武学奇术!$A:$ZZ,30,FALSE)="蓄力技",$B$21,0))*(1+$BV45)</f>
        <v>38007.5894173842</v>
      </c>
      <c r="P45" s="41">
        <v>1</v>
      </c>
      <c r="Q45" s="42" t="s">
        <v>180</v>
      </c>
      <c r="R45" s="42" t="s">
        <v>103</v>
      </c>
      <c r="S45" s="42" t="s">
        <v>77</v>
      </c>
      <c r="T45" s="42" t="s">
        <v>77</v>
      </c>
      <c r="U45" s="42" t="s">
        <v>121</v>
      </c>
      <c r="V45" s="42" t="s">
        <v>77</v>
      </c>
      <c r="W45" s="42" t="s">
        <v>77</v>
      </c>
      <c r="X45" s="42" t="s">
        <v>176</v>
      </c>
      <c r="Y45" s="42" t="s">
        <v>77</v>
      </c>
      <c r="Z45" s="42" t="s">
        <v>77</v>
      </c>
      <c r="AA45" s="42" t="s">
        <v>73</v>
      </c>
      <c r="AB45" s="42" t="s">
        <v>89</v>
      </c>
      <c r="AC45" s="42" t="s">
        <v>77</v>
      </c>
      <c r="AD45" s="42" t="s">
        <v>80</v>
      </c>
      <c r="AE45" s="42" t="s">
        <v>81</v>
      </c>
      <c r="AF45" s="42" t="s">
        <v>82</v>
      </c>
      <c r="AG45" s="42" t="s">
        <v>77</v>
      </c>
      <c r="AH45" s="42" t="s">
        <v>77</v>
      </c>
      <c r="AI45" s="42" t="s">
        <v>77</v>
      </c>
      <c r="AJ45" s="42" t="s">
        <v>77</v>
      </c>
      <c r="AK45" s="42" t="s">
        <v>90</v>
      </c>
      <c r="AL45" t="str">
        <f>VLOOKUP($Q45,武学奇术!$A:$ZZ,25,FALSE)</f>
        <v>横刀</v>
      </c>
      <c r="AM45" s="27">
        <f>VLOOKUP($Q45,武学奇术!$A:$ZZ,26,FALSE)</f>
        <v>2.8245</v>
      </c>
      <c r="AN45" s="28">
        <f>VLOOKUP($Q45,武学奇术!$A:$ZZ,27,FALSE)*(1+IF(OR($AL45=$F$4,$AL45=$F$5),$B$22,0))</f>
        <v>1173</v>
      </c>
      <c r="AO45" s="27">
        <f>VLOOKUP($Q45,武学奇术!$A:$ZZ,28,FALSE)</f>
        <v>4.236808</v>
      </c>
      <c r="AP45" s="28">
        <f>VLOOKUP($Q45,武学奇术!$A:$ZZ,29,FALSE)*(1+IF(OR($AL45=$F$4,$AL45=$F$5),$B$22,0))</f>
        <v>637.5</v>
      </c>
      <c r="AQ45" s="27" cm="1">
        <f t="array" ref="AQ45">$G$3+IFERROR(VLOOKUP($AL45,$F$4:$G$7,2,FALSE),0)+VLOOKUP($Q45,武学奇术!$A:$ZZ,2,FALSE)+SUM(_xlfn.XLOOKUP($R45:$AK45,增益!$A:$A,增益!$B:$B,0))</f>
        <v>0.6289</v>
      </c>
      <c r="AR45" s="27" cm="1">
        <f t="array" ref="AR45">VLOOKUP($Q45,武学奇术!$A:$ZZ,5,FALSE)+SUM(_xlfn.XLOOKUP($R45:$AK45,增益!$A:$A,增益!$E:$E,0))</f>
        <v>0</v>
      </c>
      <c r="AS45" cm="1">
        <f t="array" ref="AS45">$D$10*(1+$AR45)+VLOOKUP($Q45,武学奇术!$A:$ZZ,3,FALSE)+SUM(_xlfn.XLOOKUP($R45:$AK45,增益!$A:$A,增益!$C:$C,0))-$I$2</f>
        <v>3648.7</v>
      </c>
      <c r="AT45" cm="1">
        <f t="array" ref="AT45">$E$10*(1+$AR45)+VLOOKUP($Q45,武学奇术!$A:$ZZ,4,FALSE)+SUM(_xlfn.XLOOKUP($R45:$AK45,增益!$A:$A,增益!$D:$D,0))-$I$2</f>
        <v>3648.7</v>
      </c>
      <c r="AU45" s="34" cm="1">
        <f t="array" ref="AU45">IF($F$10-$I$3+VLOOKUP($Q45,武学奇术!$A:$ZZ,6,FALSE)+SUM(_xlfn.XLOOKUP($R45:$AK45,增益!$A:$A,增益!$F:$F,0))&gt;0,($F$10-$I$3+VLOOKUP($Q45,武学奇术!$A:$ZZ,6,FALSE)+SUM(_xlfn.XLOOKUP($R45:$AK45,增益!$A:$A,增益!$F:$F,0)))/200,($F$10-$I$3+VLOOKUP($Q45,武学奇术!$A:$ZZ,6,FALSE)+SUM(_xlfn.XLOOKUP($R45:$AK45,增益!$A:$A,增益!$F:$F,0)))/100)</f>
        <v>0.452</v>
      </c>
      <c r="AV45" s="34" cm="1">
        <f t="array" ref="AV45">$G$10+VLOOKUP($Q45,武学奇术!$A:$ZZ,7,FALSE)+SUM(_xlfn.XLOOKUP($R45:$AK45,增益!$A:$A,增益!$G:$G,0))</f>
        <v>0</v>
      </c>
      <c r="AW45" s="27" cm="1">
        <f t="array" ref="AW45">VLOOKUP($Q45,武学奇术!$A:$ZZ,8,FALSE)+SUM(_xlfn.XLOOKUP($R45:$AK45,增益!$A:$A,增益!$H:$H,0))</f>
        <v>0</v>
      </c>
      <c r="AX45">
        <f t="shared" si="12"/>
        <v>0</v>
      </c>
      <c r="AY45">
        <f t="shared" si="13"/>
        <v>0</v>
      </c>
      <c r="AZ45" s="34" cm="1">
        <f t="array" ref="AZ45">IF($F$11-$I$4+VLOOKUP($Q45,武学奇术!$A:$ZZ,9,FALSE)+SUM(_xlfn.XLOOKUP($R45:$AK45,增益!$A:$A,增益!$I:$I,0))&gt;0,($F$11-$I$4+VLOOKUP($Q45,武学奇术!$A:$ZZ,9,FALSE)+SUM(_xlfn.XLOOKUP($R45:$AK45,增益!$A:$A,增益!$I:$I,0)))/200,($F$11-$I$4+VLOOKUP($Q45,武学奇术!$A:$ZZ,9,FALSE)+SUM(_xlfn.XLOOKUP($R45:$AK45,增益!$A:$A,增益!$I:$I,0)))/100)</f>
        <v>-0.3</v>
      </c>
      <c r="BA45" s="34" cm="1">
        <f t="array" ref="BA45">$G$11+VLOOKUP($Q45,武学奇术!$A:$ZZ,10,FALSE)+SUM(_xlfn.XLOOKUP($R45:$AK45,增益!$A:$A,增益!$J:$J,0))</f>
        <v>0</v>
      </c>
      <c r="BB45">
        <f t="shared" si="14"/>
        <v>594.1</v>
      </c>
      <c r="BC45">
        <f t="shared" si="15"/>
        <v>1604.9</v>
      </c>
      <c r="BD45" s="34" cm="1">
        <f t="array" ref="BD45">IF($F$12-$I$4+VLOOKUP($Q45,武学奇术!$A:$ZZ,11,FALSE)+SUM(_xlfn.XLOOKUP($R45:$AK45,增益!$A:$A,增益!$K:$K,0))&gt;0,($F$12-$I$4+VLOOKUP($Q45,武学奇术!$A:$ZZ,11,FALSE)+SUM(_xlfn.XLOOKUP($R45:$AK45,增益!$A:$A,增益!$K:$K,0)))/200,($F$12-$I$4+VLOOKUP($Q45,武学奇术!$A:$ZZ,11,FALSE)+SUM(_xlfn.XLOOKUP($R45:$AK45,增益!$A:$A,增益!$K:$K,0)))/100)</f>
        <v>0.09</v>
      </c>
      <c r="BE45" s="34" cm="1">
        <f t="array" ref="BE45">$G$12+VLOOKUP($Q45,武学奇术!$A:$ZZ,12,FALSE)+SUM(_xlfn.XLOOKUP($R45:$AK45,增益!$A:$A,增益!$L:$L,0))</f>
        <v>0.15</v>
      </c>
      <c r="BF45">
        <f t="shared" si="16"/>
        <v>0</v>
      </c>
      <c r="BG45">
        <f t="shared" si="17"/>
        <v>0</v>
      </c>
      <c r="BH45" s="34" cm="1">
        <f t="array" ref="BH45">IF($F$13-$I$4+VLOOKUP($Q45,武学奇术!$A:$ZZ,13,FALSE)+SUM(_xlfn.XLOOKUP($R45:$AK45,增益!$A:$A,增益!$M:$M,0))&gt;0,($F$13-$I$4+VLOOKUP($Q45,武学奇术!$A:$ZZ,13,FALSE)+SUM(_xlfn.XLOOKUP($R45:$AK45,增益!$A:$A,增益!$K:$K,0)))/200,($F$13-$I$4+VLOOKUP($Q45,武学奇术!$A:$ZZ,13,FALSE)+SUM(_xlfn.XLOOKUP($R45:$AK45,增益!$A:$A,增益!$M:$M,0)))/100)</f>
        <v>-0.3</v>
      </c>
      <c r="BI45" s="34" cm="1">
        <f t="array" ref="BI45">$G$13+VLOOKUP($Q45,武学奇术!$A:$ZZ,14,FALSE)+SUM(_xlfn.XLOOKUP($R45:$AK45,增益!$A:$A,增益!$N:$N,0))</f>
        <v>0</v>
      </c>
      <c r="BJ45">
        <f t="shared" si="18"/>
        <v>0</v>
      </c>
      <c r="BK45">
        <f t="shared" si="19"/>
        <v>0</v>
      </c>
      <c r="BL45" s="34" cm="1">
        <f t="array" ref="BL45">IF($F$14-$I$4+VLOOKUP($Q45,武学奇术!$A:$ZZ,15,FALSE)+SUM(_xlfn.XLOOKUP($R45:$AK45,增益!$A:$A,增益!$O:$O,0))&gt;0,($F$14-$I$4+VLOOKUP($Q45,武学奇术!$A:$ZZ,15,FALSE)+SUM(_xlfn.XLOOKUP($R45:$AK45,增益!$A:$A,增益!$O:$O,0)))/200,($F$14-$I$4+VLOOKUP($Q45,武学奇术!$A:$ZZ,15,FALSE)+SUM(_xlfn.XLOOKUP($R45:$AK45,增益!$A:$A,增益!$O:$O,0)))/100)</f>
        <v>-0.3</v>
      </c>
      <c r="BM45" s="34" cm="1">
        <f t="array" ref="BM45">$G$14+VLOOKUP($Q45,武学奇术!$A:$ZZ,16,FALSE)+SUM(_xlfn.XLOOKUP($R45:$AK45,增益!$A:$A,增益!$P:$P,0))</f>
        <v>0</v>
      </c>
      <c r="BN45" s="27">
        <f>MIN(IF(VLOOKUP($Q45,武学奇术!$A:$ZZ,23,FALSE)=1,100%,$B$8),100%)</f>
        <v>0.9859</v>
      </c>
      <c r="BO45" s="27" cm="1">
        <f t="array" ref="BO45">IF(VLOOKUP($Q45,武学奇术!$A:$ZZ,23,FALSE)=1,100%,MIN(80%,$B$9+VLOOKUP($Q45,武学奇术!$A:$ZZ,17,FALSE)+SUM(_xlfn.XLOOKUP($R45:$AK45,增益!$A:$A,增益!$Q:$Q,0)))+$B$11+SUM(_xlfn.XLOOKUP($R45:$AK45,增益!$A:$A,增益!$U:$U,0)))*IF(VLOOKUP($Q45,武学奇术!$A:$ZZ,24,FALSE)=1,0,1)</f>
        <v>0.8912</v>
      </c>
      <c r="BP45" s="27" cm="1">
        <f t="array" ref="BP45">1+$B$13+VLOOKUP($Q45,武学奇术!$A:$ZZ,18,FALSE)+SUM(_xlfn.XLOOKUP($R45:$AK45,增益!$A:$A,增益!$R:$R,0))</f>
        <v>2</v>
      </c>
      <c r="BQ45" s="27" cm="1">
        <f t="array" ref="BQ45">IF(VLOOKUP($Q45,武学奇术!$A:$ZZ,24,FALSE)=1,100%,MIN(40%,$B$10+VLOOKUP($Q45,武学奇术!$A:$ZZ,19,FALSE)+SUM(_xlfn.XLOOKUP($R45:$AK45,增益!$A:$A,增益!$S:$S,0)))+$B$12+SUM(_xlfn.XLOOKUP($R45:$AK45,增益!$A:$A,增益!$V:$V,0)))*IF(VLOOKUP($Q45,武学奇术!$A:$ZZ,23,FALSE)=1,0,1)</f>
        <v>0.0929</v>
      </c>
      <c r="BR45" s="27" cm="1">
        <f t="array" ref="BR45">1+$B$14+VLOOKUP($Q45,武学奇术!$A:$ZZ,20,FALSE)+SUM(_xlfn.XLOOKUP($R45:$AK45,增益!$A:$A,增益!$T:$T,0))</f>
        <v>1.35</v>
      </c>
      <c r="BS45" s="27">
        <f t="shared" si="20"/>
        <v>0.87863408</v>
      </c>
      <c r="BT45" s="27">
        <f t="shared" si="21"/>
        <v>0.01567581</v>
      </c>
      <c r="BU45" s="27">
        <f>IF(VLOOKUP($Q45,武学奇术!$A:$ZZ,22,FALSE)=1,0,(1-$BN45))*(1-$BQ45)</f>
        <v>0.01279011</v>
      </c>
      <c r="BV45" s="27" cm="1">
        <f t="array" ref="BV45">SUM(_xlfn.XLOOKUP($R45:$AK45,增益!$A:$A,增益!$W:$W,0))+$I$5</f>
        <v>0.11</v>
      </c>
    </row>
    <row r="46" spans="1:74">
      <c r="A46" s="4" t="s">
        <v>171</v>
      </c>
      <c r="B46" s="4">
        <v>2.3</v>
      </c>
      <c r="D46" s="41"/>
      <c r="E46" s="41"/>
      <c r="K46" s="40">
        <f t="shared" si="11"/>
        <v>33697.8026925041</v>
      </c>
      <c r="L46" s="40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BP46*$P46*(1+IF(VLOOKUP($Q46,武学奇术!$A:$ZZ,30,FALSE)="蓄力技",$B$21,0))*(1+$BV46)</f>
        <v>34998.3381445872</v>
      </c>
      <c r="M46" s="40">
        <f>(($AT46*$AM46+$AN46)*(1+$AU46)*(1+$AV46)+($AY46*IF($G$1="鸣金",$AO46,$AM46)+IF($G$1="鸣金",$AP46*1.5,0))*(1+$AZ46)*(1+$BA46)+($BC46*IF($G$1="裂石",$AO46,$AM46)+IF($G$1="裂石",$AP46*1.5,0))*(1+$BD46)*(1+$BE46)+($BG46*IF($G$1="牵丝",$AO46,$AM46)+IF($G$1="牵丝",$AP46*1.5,0))*(1+$BH46)*(1+$BI46)+($BK46*IF($G$1="破竹",$AO46,$AM46)+IF($G$1="破竹",$AP46*1.5,0))*(1+$BL46)*(1+$BM46))*(1+$AQ46)*$BR46*$P46*(1+IF(VLOOKUP($Q46,武学奇术!$A:$ZZ,30,FALSE)="蓄力技",$B$21,0))*(1+$BV46)</f>
        <v>26671.8763939623</v>
      </c>
      <c r="N46" s="40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P46*(1+IF(VLOOKUP($Q46,武学奇术!$A:$ZZ,30,FALSE)="蓄力技",$B$21,0))*(1+$BV46)</f>
        <v>17499.1690722936</v>
      </c>
      <c r="O46" s="40">
        <f>((($AS46*$AM46+$AN46)*(1+$AU46)*(1+$AV46)+($AX46*IF($G$1="鸣金",$AO46,$AM46)+IF($G$1="鸣金",$AP46*1.5,0))*(1+$AZ46)*(1+$BA46)+($BB46*IF($G$1="裂石",$AO46,$AM46)+IF($G$1="裂石",$AP46*1.5,0))*(1+$BD46)*(1+$BE46)+($BF46*IF($G$1="牵丝",$AO46,$AM46)+IF($G$1="牵丝",$AP46*1.5,0))*(1+$BH46)*(1+$BI46)+($BJ46*IF($G$1="破竹",$AO46,$AM46)+IF($G$1="破竹",$AP46*1.5,0))*(1+$BL46)*(1+$BM46))*(1+$AQ46))*$P46*(1+IF(VLOOKUP($Q46,武学奇术!$A:$ZZ,30,FALSE)="蓄力技",$B$21,0))*(1+$BV46)</f>
        <v>15241.3926675781</v>
      </c>
      <c r="P46" s="41">
        <v>1</v>
      </c>
      <c r="Q46" s="42" t="s">
        <v>110</v>
      </c>
      <c r="R46" s="42" t="s">
        <v>103</v>
      </c>
      <c r="S46" s="42" t="s">
        <v>77</v>
      </c>
      <c r="T46" s="42" t="s">
        <v>77</v>
      </c>
      <c r="U46" s="42" t="s">
        <v>121</v>
      </c>
      <c r="V46" s="42" t="s">
        <v>77</v>
      </c>
      <c r="W46" s="42" t="s">
        <v>77</v>
      </c>
      <c r="X46" s="42" t="s">
        <v>176</v>
      </c>
      <c r="Y46" s="42" t="s">
        <v>77</v>
      </c>
      <c r="Z46" s="42" t="s">
        <v>77</v>
      </c>
      <c r="AA46" s="42" t="s">
        <v>73</v>
      </c>
      <c r="AB46" s="42" t="s">
        <v>89</v>
      </c>
      <c r="AC46" s="42" t="s">
        <v>77</v>
      </c>
      <c r="AD46" s="42" t="s">
        <v>80</v>
      </c>
      <c r="AE46" s="42" t="s">
        <v>81</v>
      </c>
      <c r="AF46" s="42" t="s">
        <v>82</v>
      </c>
      <c r="AG46" s="42" t="s">
        <v>77</v>
      </c>
      <c r="AH46" s="42" t="s">
        <v>77</v>
      </c>
      <c r="AI46" s="42" t="s">
        <v>77</v>
      </c>
      <c r="AJ46" s="42" t="s">
        <v>77</v>
      </c>
      <c r="AK46" s="42" t="s">
        <v>90</v>
      </c>
      <c r="AL46" t="str">
        <f>VLOOKUP($Q46,武学奇术!$A:$ZZ,25,FALSE)</f>
        <v>横刀</v>
      </c>
      <c r="AM46" s="27">
        <f>VLOOKUP($Q46,武学奇术!$A:$ZZ,26,FALSE)</f>
        <v>1.4</v>
      </c>
      <c r="AN46" s="28">
        <f>VLOOKUP($Q46,武学奇术!$A:$ZZ,27,FALSE)*(1+IF(OR($AL46=$F$4,$AL46=$F$5),$B$22,0))</f>
        <v>0</v>
      </c>
      <c r="AO46" s="27">
        <f>VLOOKUP($Q46,武学奇术!$A:$ZZ,28,FALSE)</f>
        <v>2.1</v>
      </c>
      <c r="AP46" s="28">
        <f>VLOOKUP($Q46,武学奇术!$A:$ZZ,29,FALSE)*(1+IF(OR($AL46=$F$4,$AL46=$F$5),$B$22,0))</f>
        <v>0</v>
      </c>
      <c r="AQ46" s="27" cm="1">
        <f t="array" ref="AQ46">$G$3+IFERROR(VLOOKUP($AL46,$F$4:$G$7,2,FALSE),0)+VLOOKUP($Q46,武学奇术!$A:$ZZ,2,FALSE)+SUM(_xlfn.XLOOKUP($R46:$AK46,增益!$A:$A,增益!$B:$B,0))</f>
        <v>0.5289</v>
      </c>
      <c r="AR46" s="27" cm="1">
        <f t="array" ref="AR46">VLOOKUP($Q46,武学奇术!$A:$ZZ,5,FALSE)+SUM(_xlfn.XLOOKUP($R46:$AK46,增益!$A:$A,增益!$E:$E,0))</f>
        <v>0</v>
      </c>
      <c r="AS46" cm="1">
        <f t="array" ref="AS46">$D$10*(1+$AR46)+VLOOKUP($Q46,武学奇术!$A:$ZZ,3,FALSE)+SUM(_xlfn.XLOOKUP($R46:$AK46,增益!$A:$A,增益!$C:$C,0))-$I$2</f>
        <v>3648.7</v>
      </c>
      <c r="AT46" cm="1">
        <f t="array" ref="AT46">$E$10*(1+$AR46)+VLOOKUP($Q46,武学奇术!$A:$ZZ,4,FALSE)+SUM(_xlfn.XLOOKUP($R46:$AK46,增益!$A:$A,增益!$D:$D,0))-$I$2</f>
        <v>3648.7</v>
      </c>
      <c r="AU46" s="34" cm="1">
        <f t="array" ref="AU46">IF($F$10-$I$3+VLOOKUP($Q46,武学奇术!$A:$ZZ,6,FALSE)+SUM(_xlfn.XLOOKUP($R46:$AK46,增益!$A:$A,增益!$F:$F,0))&gt;0,($F$10-$I$3+VLOOKUP($Q46,武学奇术!$A:$ZZ,6,FALSE)+SUM(_xlfn.XLOOKUP($R46:$AK46,增益!$A:$A,增益!$F:$F,0)))/200,($F$10-$I$3+VLOOKUP($Q46,武学奇术!$A:$ZZ,6,FALSE)+SUM(_xlfn.XLOOKUP($R46:$AK46,增益!$A:$A,增益!$F:$F,0)))/100)</f>
        <v>0.452</v>
      </c>
      <c r="AV46" s="34" cm="1">
        <f t="array" ref="AV46">$G$10+VLOOKUP($Q46,武学奇术!$A:$ZZ,7,FALSE)+SUM(_xlfn.XLOOKUP($R46:$AK46,增益!$A:$A,增益!$G:$G,0))</f>
        <v>0</v>
      </c>
      <c r="AW46" s="27" cm="1">
        <f t="array" ref="AW46">VLOOKUP($Q46,武学奇术!$A:$ZZ,8,FALSE)+SUM(_xlfn.XLOOKUP($R46:$AK46,增益!$A:$A,增益!$H:$H,0))</f>
        <v>0</v>
      </c>
      <c r="AX46">
        <f t="shared" si="12"/>
        <v>0</v>
      </c>
      <c r="AY46">
        <f t="shared" si="13"/>
        <v>0</v>
      </c>
      <c r="AZ46" s="34" cm="1">
        <f t="array" ref="AZ46">IF($F$11-$I$4+VLOOKUP($Q46,武学奇术!$A:$ZZ,9,FALSE)+SUM(_xlfn.XLOOKUP($R46:$AK46,增益!$A:$A,增益!$I:$I,0))&gt;0,($F$11-$I$4+VLOOKUP($Q46,武学奇术!$A:$ZZ,9,FALSE)+SUM(_xlfn.XLOOKUP($R46:$AK46,增益!$A:$A,增益!$I:$I,0)))/200,($F$11-$I$4+VLOOKUP($Q46,武学奇术!$A:$ZZ,9,FALSE)+SUM(_xlfn.XLOOKUP($R46:$AK46,增益!$A:$A,增益!$I:$I,0)))/100)</f>
        <v>-0.3</v>
      </c>
      <c r="BA46" s="34" cm="1">
        <f t="array" ref="BA46">$G$11+VLOOKUP($Q46,武学奇术!$A:$ZZ,10,FALSE)+SUM(_xlfn.XLOOKUP($R46:$AK46,增益!$A:$A,增益!$J:$J,0))</f>
        <v>0</v>
      </c>
      <c r="BB46">
        <f t="shared" si="14"/>
        <v>594.1</v>
      </c>
      <c r="BC46">
        <f t="shared" si="15"/>
        <v>1604.9</v>
      </c>
      <c r="BD46" s="34" cm="1">
        <f t="array" ref="BD46">IF($F$12-$I$4+VLOOKUP($Q46,武学奇术!$A:$ZZ,11,FALSE)+SUM(_xlfn.XLOOKUP($R46:$AK46,增益!$A:$A,增益!$K:$K,0))&gt;0,($F$12-$I$4+VLOOKUP($Q46,武学奇术!$A:$ZZ,11,FALSE)+SUM(_xlfn.XLOOKUP($R46:$AK46,增益!$A:$A,增益!$K:$K,0)))/200,($F$12-$I$4+VLOOKUP($Q46,武学奇术!$A:$ZZ,11,FALSE)+SUM(_xlfn.XLOOKUP($R46:$AK46,增益!$A:$A,增益!$K:$K,0)))/100)</f>
        <v>0.09</v>
      </c>
      <c r="BE46" s="34" cm="1">
        <f t="array" ref="BE46">$G$12+VLOOKUP($Q46,武学奇术!$A:$ZZ,12,FALSE)+SUM(_xlfn.XLOOKUP($R46:$AK46,增益!$A:$A,增益!$L:$L,0))</f>
        <v>0.15</v>
      </c>
      <c r="BF46">
        <f t="shared" si="16"/>
        <v>0</v>
      </c>
      <c r="BG46">
        <f t="shared" si="17"/>
        <v>0</v>
      </c>
      <c r="BH46" s="34" cm="1">
        <f t="array" ref="BH46">IF($F$13-$I$4+VLOOKUP($Q46,武学奇术!$A:$ZZ,13,FALSE)+SUM(_xlfn.XLOOKUP($R46:$AK46,增益!$A:$A,增益!$M:$M,0))&gt;0,($F$13-$I$4+VLOOKUP($Q46,武学奇术!$A:$ZZ,13,FALSE)+SUM(_xlfn.XLOOKUP($R46:$AK46,增益!$A:$A,增益!$K:$K,0)))/200,($F$13-$I$4+VLOOKUP($Q46,武学奇术!$A:$ZZ,13,FALSE)+SUM(_xlfn.XLOOKUP($R46:$AK46,增益!$A:$A,增益!$M:$M,0)))/100)</f>
        <v>-0.3</v>
      </c>
      <c r="BI46" s="34" cm="1">
        <f t="array" ref="BI46">$G$13+VLOOKUP($Q46,武学奇术!$A:$ZZ,14,FALSE)+SUM(_xlfn.XLOOKUP($R46:$AK46,增益!$A:$A,增益!$N:$N,0))</f>
        <v>0</v>
      </c>
      <c r="BJ46">
        <f t="shared" si="18"/>
        <v>0</v>
      </c>
      <c r="BK46">
        <f t="shared" si="19"/>
        <v>0</v>
      </c>
      <c r="BL46" s="34" cm="1">
        <f t="array" ref="BL46">IF($F$14-$I$4+VLOOKUP($Q46,武学奇术!$A:$ZZ,15,FALSE)+SUM(_xlfn.XLOOKUP($R46:$AK46,增益!$A:$A,增益!$O:$O,0))&gt;0,($F$14-$I$4+VLOOKUP($Q46,武学奇术!$A:$ZZ,15,FALSE)+SUM(_xlfn.XLOOKUP($R46:$AK46,增益!$A:$A,增益!$O:$O,0)))/200,($F$14-$I$4+VLOOKUP($Q46,武学奇术!$A:$ZZ,15,FALSE)+SUM(_xlfn.XLOOKUP($R46:$AK46,增益!$A:$A,增益!$O:$O,0)))/100)</f>
        <v>-0.3</v>
      </c>
      <c r="BM46" s="34" cm="1">
        <f t="array" ref="BM46">$G$14+VLOOKUP($Q46,武学奇术!$A:$ZZ,16,FALSE)+SUM(_xlfn.XLOOKUP($R46:$AK46,增益!$A:$A,增益!$P:$P,0))</f>
        <v>0</v>
      </c>
      <c r="BN46" s="27">
        <f>MIN(IF(VLOOKUP($Q46,武学奇术!$A:$ZZ,23,FALSE)=1,100%,$B$8),100%)</f>
        <v>0.9859</v>
      </c>
      <c r="BO46" s="27" cm="1">
        <f t="array" ref="BO46">IF(VLOOKUP($Q46,武学奇术!$A:$ZZ,23,FALSE)=1,100%,MIN(80%,$B$9+VLOOKUP($Q46,武学奇术!$A:$ZZ,17,FALSE)+SUM(_xlfn.XLOOKUP($R46:$AK46,增益!$A:$A,增益!$Q:$Q,0)))+$B$11+SUM(_xlfn.XLOOKUP($R46:$AK46,增益!$A:$A,增益!$U:$U,0)))*IF(VLOOKUP($Q46,武学奇术!$A:$ZZ,24,FALSE)=1,0,1)</f>
        <v>0.8912</v>
      </c>
      <c r="BP46" s="27" cm="1">
        <f t="array" ref="BP46">1+$B$13+VLOOKUP($Q46,武学奇术!$A:$ZZ,18,FALSE)+SUM(_xlfn.XLOOKUP($R46:$AK46,增益!$A:$A,增益!$R:$R,0))</f>
        <v>2</v>
      </c>
      <c r="BQ46" s="27" cm="1">
        <f t="array" ref="BQ46">IF(VLOOKUP($Q46,武学奇术!$A:$ZZ,24,FALSE)=1,100%,MIN(40%,$B$10+VLOOKUP($Q46,武学奇术!$A:$ZZ,19,FALSE)+SUM(_xlfn.XLOOKUP($R46:$AK46,增益!$A:$A,增益!$S:$S,0)))+$B$12+SUM(_xlfn.XLOOKUP($R46:$AK46,增益!$A:$A,增益!$V:$V,0)))*IF(VLOOKUP($Q46,武学奇术!$A:$ZZ,23,FALSE)=1,0,1)</f>
        <v>0.0929</v>
      </c>
      <c r="BR46" s="27" cm="1">
        <f t="array" ref="BR46">1+$B$14+VLOOKUP($Q46,武学奇术!$A:$ZZ,20,FALSE)+SUM(_xlfn.XLOOKUP($R46:$AK46,增益!$A:$A,增益!$T:$T,0))</f>
        <v>1.35</v>
      </c>
      <c r="BS46" s="27">
        <f t="shared" si="20"/>
        <v>0.87863408</v>
      </c>
      <c r="BT46" s="27">
        <f t="shared" si="21"/>
        <v>0.01567581</v>
      </c>
      <c r="BU46" s="27">
        <f>IF(VLOOKUP($Q46,武学奇术!$A:$ZZ,22,FALSE)=1,0,(1-$BN46))*(1-$BQ46)</f>
        <v>0.01279011</v>
      </c>
      <c r="BV46" s="27" cm="1">
        <f t="array" ref="BV46">SUM(_xlfn.XLOOKUP($R46:$AK46,增益!$A:$A,增益!$W:$W,0))+$I$5</f>
        <v>0.11</v>
      </c>
    </row>
    <row r="47" spans="1:74">
      <c r="A47" s="4" t="s">
        <v>171</v>
      </c>
      <c r="B47" s="4">
        <v>2.3</v>
      </c>
      <c r="D47" s="41"/>
      <c r="E47" s="41"/>
      <c r="K47" s="40">
        <f t="shared" si="11"/>
        <v>30937.1456423335</v>
      </c>
      <c r="L47" s="40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BP47*$P47*(1+IF(VLOOKUP($Q47,武学奇术!$A:$ZZ,30,FALSE)="蓄力技",$B$21,0))*(1+$BV47)</f>
        <v>32086.9519448725</v>
      </c>
      <c r="M47" s="40">
        <f>(($AT47*$AM47+$AN47)*(1+$AU47)*(1+$AV47)+($AY47*IF($G$1="鸣金",$AO47,$AM47)+IF($G$1="鸣金",$AP47*1.5,0))*(1+$AZ47)*(1+$BA47)+($BC47*IF($G$1="裂石",$AO47,$AM47)+IF($G$1="裂石",$AP47*1.5,0))*(1+$BD47)*(1+$BE47)+($BG47*IF($G$1="牵丝",$AO47,$AM47)+IF($G$1="牵丝",$AP47*1.5,0))*(1+$BH47)*(1+$BI47)+($BK47*IF($G$1="破竹",$AO47,$AM47)+IF($G$1="破竹",$AP47*1.5,0))*(1+$BL47)*(1+$BM47))*(1+$AQ47)*$BR47*$P47*(1+IF(VLOOKUP($Q47,武学奇术!$A:$ZZ,30,FALSE)="蓄力技",$B$21,0))*(1+$BV47)</f>
        <v>24759.6471607279</v>
      </c>
      <c r="N47" s="40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P47*(1+IF(VLOOKUP($Q47,武学奇术!$A:$ZZ,30,FALSE)="蓄力技",$B$21,0))*(1+$BV47)</f>
        <v>16454.8471512167</v>
      </c>
      <c r="O47" s="40">
        <f>((($AS47*$AM47+$AN47)*(1+$AU47)*(1+$AV47)+($AX47*IF($G$1="鸣金",$AO47,$AM47)+IF($G$1="鸣金",$AP47*1.5,0))*(1+$AZ47)*(1+$BA47)+($BB47*IF($G$1="裂石",$AO47,$AM47)+IF($G$1="裂石",$AP47*1.5,0))*(1+$BD47)*(1+$BE47)+($BF47*IF($G$1="牵丝",$AO47,$AM47)+IF($G$1="牵丝",$AP47*1.5,0))*(1+$BH47)*(1+$BI47)+($BJ47*IF($G$1="破竹",$AO47,$AM47)+IF($G$1="破竹",$AP47*1.5,0))*(1+$BL47)*(1+$BM47))*(1+$AQ47))*$P47*(1+IF(VLOOKUP($Q47,武学奇术!$A:$ZZ,30,FALSE)="蓄力技",$B$21,0))*(1+$BV47)</f>
        <v>14569.2149241164</v>
      </c>
      <c r="P47" s="41">
        <v>1</v>
      </c>
      <c r="Q47" s="42" t="s">
        <v>162</v>
      </c>
      <c r="R47" s="42" t="s">
        <v>103</v>
      </c>
      <c r="S47" s="42" t="s">
        <v>77</v>
      </c>
      <c r="T47" s="42" t="s">
        <v>77</v>
      </c>
      <c r="U47" s="42" t="s">
        <v>87</v>
      </c>
      <c r="V47" s="42" t="s">
        <v>77</v>
      </c>
      <c r="W47" s="42" t="s">
        <v>77</v>
      </c>
      <c r="X47" s="42" t="s">
        <v>176</v>
      </c>
      <c r="Y47" s="42" t="s">
        <v>77</v>
      </c>
      <c r="Z47" s="42" t="s">
        <v>77</v>
      </c>
      <c r="AA47" s="42" t="s">
        <v>77</v>
      </c>
      <c r="AB47" s="42" t="s">
        <v>89</v>
      </c>
      <c r="AC47" s="42" t="s">
        <v>77</v>
      </c>
      <c r="AD47" s="42" t="s">
        <v>80</v>
      </c>
      <c r="AE47" s="42" t="s">
        <v>81</v>
      </c>
      <c r="AF47" s="42" t="s">
        <v>82</v>
      </c>
      <c r="AG47" s="42" t="s">
        <v>77</v>
      </c>
      <c r="AH47" s="42" t="s">
        <v>77</v>
      </c>
      <c r="AI47" s="42" t="s">
        <v>77</v>
      </c>
      <c r="AJ47" s="42" t="s">
        <v>77</v>
      </c>
      <c r="AK47" s="42" t="s">
        <v>90</v>
      </c>
      <c r="AL47" t="str">
        <f>VLOOKUP($Q47,武学奇术!$A:$ZZ,25,FALSE)</f>
        <v>横刀</v>
      </c>
      <c r="AM47" s="27">
        <f>VLOOKUP($Q47,武学奇术!$A:$ZZ,26,FALSE)</f>
        <v>1.2338</v>
      </c>
      <c r="AN47" s="28">
        <f>VLOOKUP($Q47,武学奇术!$A:$ZZ,27,FALSE)*(1+IF(OR($AL47=$F$4,$AL47=$F$5),$B$22,0))</f>
        <v>513</v>
      </c>
      <c r="AO47" s="27">
        <f>VLOOKUP($Q47,武学奇术!$A:$ZZ,28,FALSE)</f>
        <v>1.8507</v>
      </c>
      <c r="AP47" s="28">
        <f>VLOOKUP($Q47,武学奇术!$A:$ZZ,29,FALSE)*(1+IF(OR($AL47=$F$4,$AL47=$F$5),$B$22,0))</f>
        <v>279</v>
      </c>
      <c r="AQ47" s="27" cm="1">
        <f t="array" ref="AQ47">$G$3+IFERROR(VLOOKUP($AL47,$F$4:$G$7,2,FALSE),0)+VLOOKUP($Q47,武学奇术!$A:$ZZ,2,FALSE)+SUM(_xlfn.XLOOKUP($R47:$AK47,增益!$A:$A,增益!$B:$B,0))</f>
        <v>0.4489</v>
      </c>
      <c r="AR47" s="27" cm="1">
        <f t="array" ref="AR47">VLOOKUP($Q47,武学奇术!$A:$ZZ,5,FALSE)+SUM(_xlfn.XLOOKUP($R47:$AK47,增益!$A:$A,增益!$E:$E,0))</f>
        <v>0</v>
      </c>
      <c r="AS47" cm="1">
        <f t="array" ref="AS47">$D$10*(1+$AR47)+VLOOKUP($Q47,武学奇术!$A:$ZZ,3,FALSE)+SUM(_xlfn.XLOOKUP($R47:$AK47,增益!$A:$A,增益!$C:$C,0))-$I$2</f>
        <v>3648.7</v>
      </c>
      <c r="AT47" cm="1">
        <f t="array" ref="AT47">$E$10*(1+$AR47)+VLOOKUP($Q47,武学奇术!$A:$ZZ,4,FALSE)+SUM(_xlfn.XLOOKUP($R47:$AK47,增益!$A:$A,增益!$D:$D,0))-$I$2</f>
        <v>3648.7</v>
      </c>
      <c r="AU47" s="34" cm="1">
        <f t="array" ref="AU47">IF($F$10-$I$3+VLOOKUP($Q47,武学奇术!$A:$ZZ,6,FALSE)+SUM(_xlfn.XLOOKUP($R47:$AK47,增益!$A:$A,增益!$F:$F,0))&gt;0,($F$10-$I$3+VLOOKUP($Q47,武学奇术!$A:$ZZ,6,FALSE)+SUM(_xlfn.XLOOKUP($R47:$AK47,增益!$A:$A,增益!$F:$F,0)))/200,($F$10-$I$3+VLOOKUP($Q47,武学奇术!$A:$ZZ,6,FALSE)+SUM(_xlfn.XLOOKUP($R47:$AK47,增益!$A:$A,增益!$F:$F,0)))/100)</f>
        <v>0.427</v>
      </c>
      <c r="AV47" s="34" cm="1">
        <f t="array" ref="AV47">$G$10+VLOOKUP($Q47,武学奇术!$A:$ZZ,7,FALSE)+SUM(_xlfn.XLOOKUP($R47:$AK47,增益!$A:$A,增益!$G:$G,0))</f>
        <v>0</v>
      </c>
      <c r="AW47" s="27" cm="1">
        <f t="array" ref="AW47">VLOOKUP($Q47,武学奇术!$A:$ZZ,8,FALSE)+SUM(_xlfn.XLOOKUP($R47:$AK47,增益!$A:$A,增益!$H:$H,0))</f>
        <v>0</v>
      </c>
      <c r="AX47">
        <f t="shared" si="12"/>
        <v>0</v>
      </c>
      <c r="AY47">
        <f t="shared" si="13"/>
        <v>0</v>
      </c>
      <c r="AZ47" s="34" cm="1">
        <f t="array" ref="AZ47">IF($F$11-$I$4+VLOOKUP($Q47,武学奇术!$A:$ZZ,9,FALSE)+SUM(_xlfn.XLOOKUP($R47:$AK47,增益!$A:$A,增益!$I:$I,0))&gt;0,($F$11-$I$4+VLOOKUP($Q47,武学奇术!$A:$ZZ,9,FALSE)+SUM(_xlfn.XLOOKUP($R47:$AK47,增益!$A:$A,增益!$I:$I,0)))/200,($F$11-$I$4+VLOOKUP($Q47,武学奇术!$A:$ZZ,9,FALSE)+SUM(_xlfn.XLOOKUP($R47:$AK47,增益!$A:$A,增益!$I:$I,0)))/100)</f>
        <v>-0.3</v>
      </c>
      <c r="BA47" s="34" cm="1">
        <f t="array" ref="BA47">$G$11+VLOOKUP($Q47,武学奇术!$A:$ZZ,10,FALSE)+SUM(_xlfn.XLOOKUP($R47:$AK47,增益!$A:$A,增益!$J:$J,0))</f>
        <v>0</v>
      </c>
      <c r="BB47">
        <f t="shared" si="14"/>
        <v>594.1</v>
      </c>
      <c r="BC47">
        <f t="shared" si="15"/>
        <v>1604.9</v>
      </c>
      <c r="BD47" s="34" cm="1">
        <f t="array" ref="BD47">IF($F$12-$I$4+VLOOKUP($Q47,武学奇术!$A:$ZZ,11,FALSE)+SUM(_xlfn.XLOOKUP($R47:$AK47,增益!$A:$A,增益!$K:$K,0))&gt;0,($F$12-$I$4+VLOOKUP($Q47,武学奇术!$A:$ZZ,11,FALSE)+SUM(_xlfn.XLOOKUP($R47:$AK47,增益!$A:$A,增益!$K:$K,0)))/200,($F$12-$I$4+VLOOKUP($Q47,武学奇术!$A:$ZZ,11,FALSE)+SUM(_xlfn.XLOOKUP($R47:$AK47,增益!$A:$A,增益!$K:$K,0)))/100)</f>
        <v>0.09</v>
      </c>
      <c r="BE47" s="34" cm="1">
        <f t="array" ref="BE47">$G$12+VLOOKUP($Q47,武学奇术!$A:$ZZ,12,FALSE)+SUM(_xlfn.XLOOKUP($R47:$AK47,增益!$A:$A,增益!$L:$L,0))</f>
        <v>0.15</v>
      </c>
      <c r="BF47">
        <f t="shared" si="16"/>
        <v>0</v>
      </c>
      <c r="BG47">
        <f t="shared" si="17"/>
        <v>0</v>
      </c>
      <c r="BH47" s="34" cm="1">
        <f t="array" ref="BH47">IF($F$13-$I$4+VLOOKUP($Q47,武学奇术!$A:$ZZ,13,FALSE)+SUM(_xlfn.XLOOKUP($R47:$AK47,增益!$A:$A,增益!$M:$M,0))&gt;0,($F$13-$I$4+VLOOKUP($Q47,武学奇术!$A:$ZZ,13,FALSE)+SUM(_xlfn.XLOOKUP($R47:$AK47,增益!$A:$A,增益!$K:$K,0)))/200,($F$13-$I$4+VLOOKUP($Q47,武学奇术!$A:$ZZ,13,FALSE)+SUM(_xlfn.XLOOKUP($R47:$AK47,增益!$A:$A,增益!$M:$M,0)))/100)</f>
        <v>-0.3</v>
      </c>
      <c r="BI47" s="34" cm="1">
        <f t="array" ref="BI47">$G$13+VLOOKUP($Q47,武学奇术!$A:$ZZ,14,FALSE)+SUM(_xlfn.XLOOKUP($R47:$AK47,增益!$A:$A,增益!$N:$N,0))</f>
        <v>0</v>
      </c>
      <c r="BJ47">
        <f t="shared" si="18"/>
        <v>0</v>
      </c>
      <c r="BK47">
        <f t="shared" si="19"/>
        <v>0</v>
      </c>
      <c r="BL47" s="34" cm="1">
        <f t="array" ref="BL47">IF($F$14-$I$4+VLOOKUP($Q47,武学奇术!$A:$ZZ,15,FALSE)+SUM(_xlfn.XLOOKUP($R47:$AK47,增益!$A:$A,增益!$O:$O,0))&gt;0,($F$14-$I$4+VLOOKUP($Q47,武学奇术!$A:$ZZ,15,FALSE)+SUM(_xlfn.XLOOKUP($R47:$AK47,增益!$A:$A,增益!$O:$O,0)))/200,($F$14-$I$4+VLOOKUP($Q47,武学奇术!$A:$ZZ,15,FALSE)+SUM(_xlfn.XLOOKUP($R47:$AK47,增益!$A:$A,增益!$O:$O,0)))/100)</f>
        <v>-0.3</v>
      </c>
      <c r="BM47" s="34" cm="1">
        <f t="array" ref="BM47">$G$14+VLOOKUP($Q47,武学奇术!$A:$ZZ,16,FALSE)+SUM(_xlfn.XLOOKUP($R47:$AK47,增益!$A:$A,增益!$P:$P,0))</f>
        <v>0</v>
      </c>
      <c r="BN47" s="27">
        <f>MIN(IF(VLOOKUP($Q47,武学奇术!$A:$ZZ,23,FALSE)=1,100%,$B$8),100%)</f>
        <v>0.9859</v>
      </c>
      <c r="BO47" s="27" cm="1">
        <f t="array" ref="BO47">IF(VLOOKUP($Q47,武学奇术!$A:$ZZ,23,FALSE)=1,100%,MIN(80%,$B$9+VLOOKUP($Q47,武学奇术!$A:$ZZ,17,FALSE)+SUM(_xlfn.XLOOKUP($R47:$AK47,增益!$A:$A,增益!$Q:$Q,0)))+$B$11+SUM(_xlfn.XLOOKUP($R47:$AK47,增益!$A:$A,增益!$U:$U,0)))*IF(VLOOKUP($Q47,武学奇术!$A:$ZZ,24,FALSE)=1,0,1)</f>
        <v>0.8912</v>
      </c>
      <c r="BP47" s="27" cm="1">
        <f t="array" ref="BP47">1+$B$13+VLOOKUP($Q47,武学奇术!$A:$ZZ,18,FALSE)+SUM(_xlfn.XLOOKUP($R47:$AK47,增益!$A:$A,增益!$R:$R,0))</f>
        <v>1.95</v>
      </c>
      <c r="BQ47" s="27" cm="1">
        <f t="array" ref="BQ47">IF(VLOOKUP($Q47,武学奇术!$A:$ZZ,24,FALSE)=1,100%,MIN(40%,$B$10+VLOOKUP($Q47,武学奇术!$A:$ZZ,19,FALSE)+SUM(_xlfn.XLOOKUP($R47:$AK47,增益!$A:$A,增益!$S:$S,0)))+$B$12+SUM(_xlfn.XLOOKUP($R47:$AK47,增益!$A:$A,增益!$V:$V,0)))*IF(VLOOKUP($Q47,武学奇术!$A:$ZZ,23,FALSE)=1,0,1)</f>
        <v>0.0929</v>
      </c>
      <c r="BR47" s="27" cm="1">
        <f t="array" ref="BR47">1+$B$14+VLOOKUP($Q47,武学奇术!$A:$ZZ,20,FALSE)+SUM(_xlfn.XLOOKUP($R47:$AK47,增益!$A:$A,增益!$T:$T,0))</f>
        <v>1.35</v>
      </c>
      <c r="BS47" s="27">
        <f t="shared" si="20"/>
        <v>0.87863408</v>
      </c>
      <c r="BT47" s="27">
        <f t="shared" si="21"/>
        <v>0.01567581</v>
      </c>
      <c r="BU47" s="27">
        <f>IF(VLOOKUP($Q47,武学奇术!$A:$ZZ,22,FALSE)=1,0,(1-$BN47))*(1-$BQ47)</f>
        <v>0.01279011</v>
      </c>
      <c r="BV47" s="27" cm="1">
        <f t="array" ref="BV47">SUM(_xlfn.XLOOKUP($R47:$AK47,增益!$A:$A,增益!$W:$W,0))+$I$5</f>
        <v>0.11</v>
      </c>
    </row>
    <row r="48" spans="1:74">
      <c r="A48" s="4" t="s">
        <v>174</v>
      </c>
      <c r="B48" s="4">
        <v>2</v>
      </c>
      <c r="D48" s="41"/>
      <c r="K48" s="40">
        <f t="shared" si="11"/>
        <v>94759.2750635253</v>
      </c>
      <c r="L48" s="40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BP48*$P48*(1+IF(VLOOKUP($Q48,武学奇术!$A:$ZZ,30,FALSE)="蓄力技",$B$21,0))*(1+$BV48)</f>
        <v>98280.9699147253</v>
      </c>
      <c r="M48" s="40">
        <f>(($AT48*$AM48+$AN48)*(1+$AU48)*(1+$AV48)+($AY48*IF($G$1="鸣金",$AO48,$AM48)+IF($G$1="鸣金",$AP48*1.5,0))*(1+$AZ48)*(1+$BA48)+($BC48*IF($G$1="裂石",$AO48,$AM48)+IF($G$1="裂石",$AP48*1.5,0))*(1+$BD48)*(1+$BE48)+($BG48*IF($G$1="牵丝",$AO48,$AM48)+IF($G$1="牵丝",$AP48*1.5,0))*(1+$BH48)*(1+$BI48)+($BK48*IF($G$1="破竹",$AO48,$AM48)+IF($G$1="破竹",$AP48*1.5,0))*(1+$BL48)*(1+$BM48))*(1+$AQ48)*$BR48*$P48*(1+IF(VLOOKUP($Q48,武学奇术!$A:$ZZ,30,FALSE)="蓄力技",$B$21,0))*(1+$BV48)</f>
        <v>75839.1010687356</v>
      </c>
      <c r="N48" s="40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P48*(1+IF(VLOOKUP($Q48,武学奇术!$A:$ZZ,30,FALSE)="蓄力技",$B$21,0))*(1+$BV48)</f>
        <v>50400.4973921668</v>
      </c>
      <c r="O48" s="40">
        <f>((($AS48*$AM48+$AN48)*(1+$AU48)*(1+$AV48)+($AX48*IF($G$1="鸣金",$AO48,$AM48)+IF($G$1="鸣金",$AP48*1.5,0))*(1+$AZ48)*(1+$BA48)+($BB48*IF($G$1="裂石",$AO48,$AM48)+IF($G$1="裂石",$AP48*1.5,0))*(1+$BD48)*(1+$BE48)+($BF48*IF($G$1="牵丝",$AO48,$AM48)+IF($G$1="牵丝",$AP48*1.5,0))*(1+$BH48)*(1+$BI48)+($BJ48*IF($G$1="破竹",$AO48,$AM48)+IF($G$1="破竹",$AP48*1.5,0))*(1+$BL48)*(1+$BM48))*(1+$AQ48))*$P48*(1+IF(VLOOKUP($Q48,武学奇术!$A:$ZZ,30,FALSE)="蓄力技",$B$21,0))*(1+$BV48)</f>
        <v>44623.8828815665</v>
      </c>
      <c r="P48" s="41">
        <v>1</v>
      </c>
      <c r="Q48" s="42" t="s">
        <v>164</v>
      </c>
      <c r="R48" s="42" t="s">
        <v>103</v>
      </c>
      <c r="S48" s="42" t="s">
        <v>77</v>
      </c>
      <c r="T48" s="42" t="s">
        <v>77</v>
      </c>
      <c r="U48" s="42" t="s">
        <v>87</v>
      </c>
      <c r="V48" s="42" t="s">
        <v>77</v>
      </c>
      <c r="W48" s="42" t="s">
        <v>77</v>
      </c>
      <c r="X48" s="42" t="s">
        <v>176</v>
      </c>
      <c r="Y48" s="42" t="s">
        <v>77</v>
      </c>
      <c r="Z48" s="42" t="s">
        <v>77</v>
      </c>
      <c r="AA48" s="42" t="s">
        <v>77</v>
      </c>
      <c r="AB48" s="42" t="s">
        <v>89</v>
      </c>
      <c r="AC48" s="42" t="s">
        <v>77</v>
      </c>
      <c r="AD48" s="42" t="s">
        <v>80</v>
      </c>
      <c r="AE48" s="42" t="s">
        <v>81</v>
      </c>
      <c r="AF48" s="42" t="s">
        <v>82</v>
      </c>
      <c r="AG48" s="42" t="s">
        <v>77</v>
      </c>
      <c r="AH48" s="42" t="s">
        <v>77</v>
      </c>
      <c r="AI48" s="42" t="s">
        <v>77</v>
      </c>
      <c r="AJ48" s="42" t="s">
        <v>77</v>
      </c>
      <c r="AK48" s="42" t="s">
        <v>90</v>
      </c>
      <c r="AL48" t="str">
        <f>VLOOKUP($Q48,武学奇术!$A:$ZZ,25,FALSE)</f>
        <v>横刀</v>
      </c>
      <c r="AM48" s="27">
        <f>VLOOKUP($Q48,武学奇术!$A:$ZZ,26,FALSE)</f>
        <v>3.7797</v>
      </c>
      <c r="AN48" s="28">
        <f>VLOOKUP($Q48,武学奇术!$A:$ZZ,27,FALSE)*(1+IF(OR($AL48=$F$4,$AL48=$F$5),$B$22,0))</f>
        <v>1567.5</v>
      </c>
      <c r="AO48" s="27">
        <f>VLOOKUP($Q48,武学奇术!$A:$ZZ,28,FALSE)</f>
        <v>5.6696</v>
      </c>
      <c r="AP48" s="28">
        <f>VLOOKUP($Q48,武学奇术!$A:$ZZ,29,FALSE)*(1+IF(OR($AL48=$F$4,$AL48=$F$5),$B$22,0))</f>
        <v>855</v>
      </c>
      <c r="AQ48" s="27" cm="1">
        <f t="array" ref="AQ48">$G$3+IFERROR(VLOOKUP($AL48,$F$4:$G$7,2,FALSE),0)+VLOOKUP($Q48,武学奇术!$A:$ZZ,2,FALSE)+SUM(_xlfn.XLOOKUP($R48:$AK48,增益!$A:$A,增益!$B:$B,0))</f>
        <v>0.4489</v>
      </c>
      <c r="AR48" s="27" cm="1">
        <f t="array" ref="AR48">VLOOKUP($Q48,武学奇术!$A:$ZZ,5,FALSE)+SUM(_xlfn.XLOOKUP($R48:$AK48,增益!$A:$A,增益!$E:$E,0))</f>
        <v>0</v>
      </c>
      <c r="AS48" cm="1">
        <f t="array" ref="AS48">$D$10*(1+$AR48)+VLOOKUP($Q48,武学奇术!$A:$ZZ,3,FALSE)+SUM(_xlfn.XLOOKUP($R48:$AK48,增益!$A:$A,增益!$C:$C,0))-$I$2</f>
        <v>3648.7</v>
      </c>
      <c r="AT48" cm="1">
        <f t="array" ref="AT48">$E$10*(1+$AR48)+VLOOKUP($Q48,武学奇术!$A:$ZZ,4,FALSE)+SUM(_xlfn.XLOOKUP($R48:$AK48,增益!$A:$A,增益!$D:$D,0))-$I$2</f>
        <v>3648.7</v>
      </c>
      <c r="AU48" s="34" cm="1">
        <f t="array" ref="AU48">IF($F$10-$I$3+VLOOKUP($Q48,武学奇术!$A:$ZZ,6,FALSE)+SUM(_xlfn.XLOOKUP($R48:$AK48,增益!$A:$A,增益!$F:$F,0))&gt;0,($F$10-$I$3+VLOOKUP($Q48,武学奇术!$A:$ZZ,6,FALSE)+SUM(_xlfn.XLOOKUP($R48:$AK48,增益!$A:$A,增益!$F:$F,0)))/200,($F$10-$I$3+VLOOKUP($Q48,武学奇术!$A:$ZZ,6,FALSE)+SUM(_xlfn.XLOOKUP($R48:$AK48,增益!$A:$A,增益!$F:$F,0)))/100)</f>
        <v>0.427</v>
      </c>
      <c r="AV48" s="34" cm="1">
        <f t="array" ref="AV48">$G$10+VLOOKUP($Q48,武学奇术!$A:$ZZ,7,FALSE)+SUM(_xlfn.XLOOKUP($R48:$AK48,增益!$A:$A,增益!$G:$G,0))</f>
        <v>0</v>
      </c>
      <c r="AW48" s="27" cm="1">
        <f t="array" ref="AW48">VLOOKUP($Q48,武学奇术!$A:$ZZ,8,FALSE)+SUM(_xlfn.XLOOKUP($R48:$AK48,增益!$A:$A,增益!$H:$H,0))</f>
        <v>0</v>
      </c>
      <c r="AX48">
        <f t="shared" si="12"/>
        <v>0</v>
      </c>
      <c r="AY48">
        <f t="shared" si="13"/>
        <v>0</v>
      </c>
      <c r="AZ48" s="34" cm="1">
        <f t="array" ref="AZ48">IF($F$11-$I$4+VLOOKUP($Q48,武学奇术!$A:$ZZ,9,FALSE)+SUM(_xlfn.XLOOKUP($R48:$AK48,增益!$A:$A,增益!$I:$I,0))&gt;0,($F$11-$I$4+VLOOKUP($Q48,武学奇术!$A:$ZZ,9,FALSE)+SUM(_xlfn.XLOOKUP($R48:$AK48,增益!$A:$A,增益!$I:$I,0)))/200,($F$11-$I$4+VLOOKUP($Q48,武学奇术!$A:$ZZ,9,FALSE)+SUM(_xlfn.XLOOKUP($R48:$AK48,增益!$A:$A,增益!$I:$I,0)))/100)</f>
        <v>-0.3</v>
      </c>
      <c r="BA48" s="34" cm="1">
        <f t="array" ref="BA48">$G$11+VLOOKUP($Q48,武学奇术!$A:$ZZ,10,FALSE)+SUM(_xlfn.XLOOKUP($R48:$AK48,增益!$A:$A,增益!$J:$J,0))</f>
        <v>0</v>
      </c>
      <c r="BB48">
        <f t="shared" si="14"/>
        <v>594.1</v>
      </c>
      <c r="BC48">
        <f t="shared" si="15"/>
        <v>1604.9</v>
      </c>
      <c r="BD48" s="34" cm="1">
        <f t="array" ref="BD48">IF($F$12-$I$4+VLOOKUP($Q48,武学奇术!$A:$ZZ,11,FALSE)+SUM(_xlfn.XLOOKUP($R48:$AK48,增益!$A:$A,增益!$K:$K,0))&gt;0,($F$12-$I$4+VLOOKUP($Q48,武学奇术!$A:$ZZ,11,FALSE)+SUM(_xlfn.XLOOKUP($R48:$AK48,增益!$A:$A,增益!$K:$K,0)))/200,($F$12-$I$4+VLOOKUP($Q48,武学奇术!$A:$ZZ,11,FALSE)+SUM(_xlfn.XLOOKUP($R48:$AK48,增益!$A:$A,增益!$K:$K,0)))/100)</f>
        <v>0.09</v>
      </c>
      <c r="BE48" s="34" cm="1">
        <f t="array" ref="BE48">$G$12+VLOOKUP($Q48,武学奇术!$A:$ZZ,12,FALSE)+SUM(_xlfn.XLOOKUP($R48:$AK48,增益!$A:$A,增益!$L:$L,0))</f>
        <v>0.15</v>
      </c>
      <c r="BF48">
        <f t="shared" si="16"/>
        <v>0</v>
      </c>
      <c r="BG48">
        <f t="shared" si="17"/>
        <v>0</v>
      </c>
      <c r="BH48" s="34" cm="1">
        <f t="array" ref="BH48">IF($F$13-$I$4+VLOOKUP($Q48,武学奇术!$A:$ZZ,13,FALSE)+SUM(_xlfn.XLOOKUP($R48:$AK48,增益!$A:$A,增益!$M:$M,0))&gt;0,($F$13-$I$4+VLOOKUP($Q48,武学奇术!$A:$ZZ,13,FALSE)+SUM(_xlfn.XLOOKUP($R48:$AK48,增益!$A:$A,增益!$K:$K,0)))/200,($F$13-$I$4+VLOOKUP($Q48,武学奇术!$A:$ZZ,13,FALSE)+SUM(_xlfn.XLOOKUP($R48:$AK48,增益!$A:$A,增益!$M:$M,0)))/100)</f>
        <v>-0.3</v>
      </c>
      <c r="BI48" s="34" cm="1">
        <f t="array" ref="BI48">$G$13+VLOOKUP($Q48,武学奇术!$A:$ZZ,14,FALSE)+SUM(_xlfn.XLOOKUP($R48:$AK48,增益!$A:$A,增益!$N:$N,0))</f>
        <v>0</v>
      </c>
      <c r="BJ48">
        <f t="shared" si="18"/>
        <v>0</v>
      </c>
      <c r="BK48">
        <f t="shared" si="19"/>
        <v>0</v>
      </c>
      <c r="BL48" s="34" cm="1">
        <f t="array" ref="BL48">IF($F$14-$I$4+VLOOKUP($Q48,武学奇术!$A:$ZZ,15,FALSE)+SUM(_xlfn.XLOOKUP($R48:$AK48,增益!$A:$A,增益!$O:$O,0))&gt;0,($F$14-$I$4+VLOOKUP($Q48,武学奇术!$A:$ZZ,15,FALSE)+SUM(_xlfn.XLOOKUP($R48:$AK48,增益!$A:$A,增益!$O:$O,0)))/200,($F$14-$I$4+VLOOKUP($Q48,武学奇术!$A:$ZZ,15,FALSE)+SUM(_xlfn.XLOOKUP($R48:$AK48,增益!$A:$A,增益!$O:$O,0)))/100)</f>
        <v>-0.3</v>
      </c>
      <c r="BM48" s="34" cm="1">
        <f t="array" ref="BM48">$G$14+VLOOKUP($Q48,武学奇术!$A:$ZZ,16,FALSE)+SUM(_xlfn.XLOOKUP($R48:$AK48,增益!$A:$A,增益!$P:$P,0))</f>
        <v>0</v>
      </c>
      <c r="BN48" s="27">
        <f>MIN(IF(VLOOKUP($Q48,武学奇术!$A:$ZZ,23,FALSE)=1,100%,$B$8),100%)</f>
        <v>0.9859</v>
      </c>
      <c r="BO48" s="27" cm="1">
        <f t="array" ref="BO48">IF(VLOOKUP($Q48,武学奇术!$A:$ZZ,23,FALSE)=1,100%,MIN(80%,$B$9+VLOOKUP($Q48,武学奇术!$A:$ZZ,17,FALSE)+SUM(_xlfn.XLOOKUP($R48:$AK48,增益!$A:$A,增益!$Q:$Q,0)))+$B$11+SUM(_xlfn.XLOOKUP($R48:$AK48,增益!$A:$A,增益!$U:$U,0)))*IF(VLOOKUP($Q48,武学奇术!$A:$ZZ,24,FALSE)=1,0,1)</f>
        <v>0.8912</v>
      </c>
      <c r="BP48" s="27" cm="1">
        <f t="array" ref="BP48">1+$B$13+VLOOKUP($Q48,武学奇术!$A:$ZZ,18,FALSE)+SUM(_xlfn.XLOOKUP($R48:$AK48,增益!$A:$A,增益!$R:$R,0))</f>
        <v>1.95</v>
      </c>
      <c r="BQ48" s="27" cm="1">
        <f t="array" ref="BQ48">IF(VLOOKUP($Q48,武学奇术!$A:$ZZ,24,FALSE)=1,100%,MIN(40%,$B$10+VLOOKUP($Q48,武学奇术!$A:$ZZ,19,FALSE)+SUM(_xlfn.XLOOKUP($R48:$AK48,增益!$A:$A,增益!$S:$S,0)))+$B$12+SUM(_xlfn.XLOOKUP($R48:$AK48,增益!$A:$A,增益!$V:$V,0)))*IF(VLOOKUP($Q48,武学奇术!$A:$ZZ,23,FALSE)=1,0,1)</f>
        <v>0.0929</v>
      </c>
      <c r="BR48" s="27" cm="1">
        <f t="array" ref="BR48">1+$B$14+VLOOKUP($Q48,武学奇术!$A:$ZZ,20,FALSE)+SUM(_xlfn.XLOOKUP($R48:$AK48,增益!$A:$A,增益!$T:$T,0))</f>
        <v>1.35</v>
      </c>
      <c r="BS48" s="27">
        <f t="shared" si="20"/>
        <v>0.87863408</v>
      </c>
      <c r="BT48" s="27">
        <f t="shared" si="21"/>
        <v>0.01567581</v>
      </c>
      <c r="BU48" s="27">
        <f>IF(VLOOKUP($Q48,武学奇术!$A:$ZZ,22,FALSE)=1,0,(1-$BN48))*(1-$BQ48)</f>
        <v>0.01279011</v>
      </c>
      <c r="BV48" s="27" cm="1">
        <f t="array" ref="BV48">SUM(_xlfn.XLOOKUP($R48:$AK48,增益!$A:$A,增益!$W:$W,0))+$I$5</f>
        <v>0.11</v>
      </c>
    </row>
    <row r="49" spans="1:74">
      <c r="A49" s="4" t="s">
        <v>183</v>
      </c>
      <c r="B49" s="4">
        <v>1.6</v>
      </c>
      <c r="D49" s="41"/>
      <c r="K49" s="40">
        <f t="shared" si="11"/>
        <v>63026.682880711</v>
      </c>
      <c r="L49" s="40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BP49*$P49*(1+IF(VLOOKUP($Q49,武学奇术!$A:$ZZ,30,FALSE)="蓄力技",$B$21,0))*(1+$BV49)</f>
        <v>65519.7201329025</v>
      </c>
      <c r="M49" s="40">
        <f>(($AT49*$AM49+$AN49)*(1+$AU49)*(1+$AV49)+($AY49*IF($G$1="鸣金",$AO49,$AM49)+IF($G$1="鸣金",$AP49*1.5,0))*(1+$AZ49)*(1+$BA49)+($BC49*IF($G$1="裂石",$AO49,$AM49)+IF($G$1="裂石",$AP49*1.5,0))*(1+$BD49)*(1+$BE49)+($BG49*IF($G$1="牵丝",$AO49,$AM49)+IF($G$1="牵丝",$AP49*1.5,0))*(1+$BH49)*(1+$BI49)+($BK49*IF($G$1="破竹",$AO49,$AM49)+IF($G$1="破竹",$AP49*1.5,0))*(1+$BL49)*(1+$BM49))*(1+$AQ49)*$BR49*$P49*(1+IF(VLOOKUP($Q49,武学奇术!$A:$ZZ,30,FALSE)="蓄力技",$B$21,0))*(1+$BV49)</f>
        <v>49232.7301873287</v>
      </c>
      <c r="N49" s="40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P49*(1+IF(VLOOKUP($Q49,武学奇术!$A:$ZZ,30,FALSE)="蓄力技",$B$21,0))*(1+$BV49)</f>
        <v>32759.8600664512</v>
      </c>
      <c r="O49" s="40">
        <f>((($AS49*$AM49+$AN49)*(1+$AU49)*(1+$AV49)+($AX49*IF($G$1="鸣金",$AO49,$AM49)+IF($G$1="鸣金",$AP49*1.5,0))*(1+$AZ49)*(1+$BA49)+($BB49*IF($G$1="裂石",$AO49,$AM49)+IF($G$1="裂石",$AP49*1.5,0))*(1+$BD49)*(1+$BE49)+($BF49*IF($G$1="牵丝",$AO49,$AM49)+IF($G$1="牵丝",$AP49*1.5,0))*(1+$BH49)*(1+$BI49)+($BJ49*IF($G$1="破竹",$AO49,$AM49)+IF($G$1="破竹",$AP49*1.5,0))*(1+$BL49)*(1+$BM49))*(1+$AQ49))*$P49*(1+IF(VLOOKUP($Q49,武学奇术!$A:$ZZ,30,FALSE)="蓄力技",$B$21,0))*(1+$BV49)</f>
        <v>29051.0311052516</v>
      </c>
      <c r="P49" s="41">
        <v>1</v>
      </c>
      <c r="Q49" s="42" t="s">
        <v>106</v>
      </c>
      <c r="R49" s="42" t="s">
        <v>103</v>
      </c>
      <c r="S49" s="42" t="s">
        <v>169</v>
      </c>
      <c r="T49" s="42" t="s">
        <v>77</v>
      </c>
      <c r="U49" s="42" t="s">
        <v>121</v>
      </c>
      <c r="V49" s="42" t="s">
        <v>77</v>
      </c>
      <c r="W49" s="42" t="s">
        <v>77</v>
      </c>
      <c r="X49" s="42" t="s">
        <v>176</v>
      </c>
      <c r="Y49" s="42" t="s">
        <v>77</v>
      </c>
      <c r="Z49" s="42" t="s">
        <v>77</v>
      </c>
      <c r="AA49" s="42" t="s">
        <v>73</v>
      </c>
      <c r="AB49" s="42" t="s">
        <v>89</v>
      </c>
      <c r="AC49" s="42" t="s">
        <v>77</v>
      </c>
      <c r="AD49" s="42" t="s">
        <v>80</v>
      </c>
      <c r="AE49" s="42" t="s">
        <v>81</v>
      </c>
      <c r="AF49" s="42" t="s">
        <v>82</v>
      </c>
      <c r="AG49" s="42" t="s">
        <v>77</v>
      </c>
      <c r="AH49" s="42" t="s">
        <v>77</v>
      </c>
      <c r="AI49" s="42" t="s">
        <v>77</v>
      </c>
      <c r="AJ49" s="42" t="s">
        <v>77</v>
      </c>
      <c r="AK49" s="42" t="s">
        <v>90</v>
      </c>
      <c r="AL49" t="str">
        <f>VLOOKUP($Q49,武学奇术!$A:$ZZ,25,FALSE)</f>
        <v>横刀</v>
      </c>
      <c r="AM49" s="27">
        <f>VLOOKUP($Q49,武学奇术!$A:$ZZ,26,FALSE)</f>
        <v>2.1324</v>
      </c>
      <c r="AN49" s="28">
        <f>VLOOKUP($Q49,武学奇术!$A:$ZZ,27,FALSE)*(1+IF(OR($AL49=$F$4,$AL49=$F$5),$B$22,0))</f>
        <v>885</v>
      </c>
      <c r="AO49" s="27">
        <f>VLOOKUP($Q49,武学奇术!$A:$ZZ,28,FALSE)</f>
        <v>3.1986</v>
      </c>
      <c r="AP49" s="28">
        <f>VLOOKUP($Q49,武学奇术!$A:$ZZ,29,FALSE)*(1+IF(OR($AL49=$F$4,$AL49=$F$5),$B$22,0))</f>
        <v>483</v>
      </c>
      <c r="AQ49" s="27" cm="1">
        <f t="array" ref="AQ49">$G$3+IFERROR(VLOOKUP($AL49,$F$4:$G$7,2,FALSE),0)+VLOOKUP($Q49,武学奇术!$A:$ZZ,2,FALSE)+SUM(_xlfn.XLOOKUP($R49:$AK49,增益!$A:$A,增益!$B:$B,0))</f>
        <v>0.6489</v>
      </c>
      <c r="AR49" s="27" cm="1">
        <f t="array" ref="AR49">VLOOKUP($Q49,武学奇术!$A:$ZZ,5,FALSE)+SUM(_xlfn.XLOOKUP($R49:$AK49,增益!$A:$A,增益!$E:$E,0))</f>
        <v>0</v>
      </c>
      <c r="AS49" cm="1">
        <f t="array" ref="AS49">$D$10*(1+$AR49)+VLOOKUP($Q49,武学奇术!$A:$ZZ,3,FALSE)+SUM(_xlfn.XLOOKUP($R49:$AK49,增益!$A:$A,增益!$C:$C,0))-$I$2</f>
        <v>3648.7</v>
      </c>
      <c r="AT49" cm="1">
        <f t="array" ref="AT49">$E$10*(1+$AR49)+VLOOKUP($Q49,武学奇术!$A:$ZZ,4,FALSE)+SUM(_xlfn.XLOOKUP($R49:$AK49,增益!$A:$A,增益!$D:$D,0))-$I$2</f>
        <v>3648.7</v>
      </c>
      <c r="AU49" s="34" cm="1">
        <f t="array" ref="AU49">IF($F$10-$I$3+VLOOKUP($Q49,武学奇术!$A:$ZZ,6,FALSE)+SUM(_xlfn.XLOOKUP($R49:$AK49,增益!$A:$A,增益!$F:$F,0))&gt;0,($F$10-$I$3+VLOOKUP($Q49,武学奇术!$A:$ZZ,6,FALSE)+SUM(_xlfn.XLOOKUP($R49:$AK49,增益!$A:$A,增益!$F:$F,0)))/200,($F$10-$I$3+VLOOKUP($Q49,武学奇术!$A:$ZZ,6,FALSE)+SUM(_xlfn.XLOOKUP($R49:$AK49,增益!$A:$A,增益!$F:$F,0)))/100)</f>
        <v>0.452</v>
      </c>
      <c r="AV49" s="34" cm="1">
        <f t="array" ref="AV49">$G$10+VLOOKUP($Q49,武学奇术!$A:$ZZ,7,FALSE)+SUM(_xlfn.XLOOKUP($R49:$AK49,增益!$A:$A,增益!$G:$G,0))</f>
        <v>0</v>
      </c>
      <c r="AW49" s="27" cm="1">
        <f t="array" ref="AW49">VLOOKUP($Q49,武学奇术!$A:$ZZ,8,FALSE)+SUM(_xlfn.XLOOKUP($R49:$AK49,增益!$A:$A,增益!$H:$H,0))</f>
        <v>0</v>
      </c>
      <c r="AX49">
        <f t="shared" si="12"/>
        <v>0</v>
      </c>
      <c r="AY49">
        <f t="shared" si="13"/>
        <v>0</v>
      </c>
      <c r="AZ49" s="34" cm="1">
        <f t="array" ref="AZ49">IF($F$11-$I$4+VLOOKUP($Q49,武学奇术!$A:$ZZ,9,FALSE)+SUM(_xlfn.XLOOKUP($R49:$AK49,增益!$A:$A,增益!$I:$I,0))&gt;0,($F$11-$I$4+VLOOKUP($Q49,武学奇术!$A:$ZZ,9,FALSE)+SUM(_xlfn.XLOOKUP($R49:$AK49,增益!$A:$A,增益!$I:$I,0)))/200,($F$11-$I$4+VLOOKUP($Q49,武学奇术!$A:$ZZ,9,FALSE)+SUM(_xlfn.XLOOKUP($R49:$AK49,增益!$A:$A,增益!$I:$I,0)))/100)</f>
        <v>-0.3</v>
      </c>
      <c r="BA49" s="34" cm="1">
        <f t="array" ref="BA49">$G$11+VLOOKUP($Q49,武学奇术!$A:$ZZ,10,FALSE)+SUM(_xlfn.XLOOKUP($R49:$AK49,增益!$A:$A,增益!$J:$J,0))</f>
        <v>0</v>
      </c>
      <c r="BB49">
        <f t="shared" si="14"/>
        <v>594.1</v>
      </c>
      <c r="BC49">
        <f t="shared" si="15"/>
        <v>1604.9</v>
      </c>
      <c r="BD49" s="34" cm="1">
        <f t="array" ref="BD49">IF($F$12-$I$4+VLOOKUP($Q49,武学奇术!$A:$ZZ,11,FALSE)+SUM(_xlfn.XLOOKUP($R49:$AK49,增益!$A:$A,增益!$K:$K,0))&gt;0,($F$12-$I$4+VLOOKUP($Q49,武学奇术!$A:$ZZ,11,FALSE)+SUM(_xlfn.XLOOKUP($R49:$AK49,增益!$A:$A,增益!$K:$K,0)))/200,($F$12-$I$4+VLOOKUP($Q49,武学奇术!$A:$ZZ,11,FALSE)+SUM(_xlfn.XLOOKUP($R49:$AK49,增益!$A:$A,增益!$K:$K,0)))/100)</f>
        <v>0.09</v>
      </c>
      <c r="BE49" s="34" cm="1">
        <f t="array" ref="BE49">$G$12+VLOOKUP($Q49,武学奇术!$A:$ZZ,12,FALSE)+SUM(_xlfn.XLOOKUP($R49:$AK49,增益!$A:$A,增益!$L:$L,0))</f>
        <v>0.15</v>
      </c>
      <c r="BF49">
        <f t="shared" si="16"/>
        <v>0</v>
      </c>
      <c r="BG49">
        <f t="shared" si="17"/>
        <v>0</v>
      </c>
      <c r="BH49" s="34" cm="1">
        <f t="array" ref="BH49">IF($F$13-$I$4+VLOOKUP($Q49,武学奇术!$A:$ZZ,13,FALSE)+SUM(_xlfn.XLOOKUP($R49:$AK49,增益!$A:$A,增益!$M:$M,0))&gt;0,($F$13-$I$4+VLOOKUP($Q49,武学奇术!$A:$ZZ,13,FALSE)+SUM(_xlfn.XLOOKUP($R49:$AK49,增益!$A:$A,增益!$K:$K,0)))/200,($F$13-$I$4+VLOOKUP($Q49,武学奇术!$A:$ZZ,13,FALSE)+SUM(_xlfn.XLOOKUP($R49:$AK49,增益!$A:$A,增益!$M:$M,0)))/100)</f>
        <v>-0.3</v>
      </c>
      <c r="BI49" s="34" cm="1">
        <f t="array" ref="BI49">$G$13+VLOOKUP($Q49,武学奇术!$A:$ZZ,14,FALSE)+SUM(_xlfn.XLOOKUP($R49:$AK49,增益!$A:$A,增益!$N:$N,0))</f>
        <v>0</v>
      </c>
      <c r="BJ49">
        <f t="shared" si="18"/>
        <v>0</v>
      </c>
      <c r="BK49">
        <f t="shared" si="19"/>
        <v>0</v>
      </c>
      <c r="BL49" s="34" cm="1">
        <f t="array" ref="BL49">IF($F$14-$I$4+VLOOKUP($Q49,武学奇术!$A:$ZZ,15,FALSE)+SUM(_xlfn.XLOOKUP($R49:$AK49,增益!$A:$A,增益!$O:$O,0))&gt;0,($F$14-$I$4+VLOOKUP($Q49,武学奇术!$A:$ZZ,15,FALSE)+SUM(_xlfn.XLOOKUP($R49:$AK49,增益!$A:$A,增益!$O:$O,0)))/200,($F$14-$I$4+VLOOKUP($Q49,武学奇术!$A:$ZZ,15,FALSE)+SUM(_xlfn.XLOOKUP($R49:$AK49,增益!$A:$A,增益!$O:$O,0)))/100)</f>
        <v>-0.3</v>
      </c>
      <c r="BM49" s="34" cm="1">
        <f t="array" ref="BM49">$G$14+VLOOKUP($Q49,武学奇术!$A:$ZZ,16,FALSE)+SUM(_xlfn.XLOOKUP($R49:$AK49,增益!$A:$A,增益!$P:$P,0))</f>
        <v>0</v>
      </c>
      <c r="BN49" s="27">
        <f>MIN(IF(VLOOKUP($Q49,武学奇术!$A:$ZZ,23,FALSE)=1,100%,$B$8),100%)</f>
        <v>0.9859</v>
      </c>
      <c r="BO49" s="27" cm="1">
        <f t="array" ref="BO49">IF(VLOOKUP($Q49,武学奇术!$A:$ZZ,23,FALSE)=1,100%,MIN(80%,$B$9+VLOOKUP($Q49,武学奇术!$A:$ZZ,17,FALSE)+SUM(_xlfn.XLOOKUP($R49:$AK49,增益!$A:$A,增益!$Q:$Q,0)))+$B$11+SUM(_xlfn.XLOOKUP($R49:$AK49,增益!$A:$A,增益!$U:$U,0)))*IF(VLOOKUP($Q49,武学奇术!$A:$ZZ,24,FALSE)=1,0,1)</f>
        <v>0.8912</v>
      </c>
      <c r="BP49" s="27" cm="1">
        <f t="array" ref="BP49">1+$B$13+VLOOKUP($Q49,武学奇术!$A:$ZZ,18,FALSE)+SUM(_xlfn.XLOOKUP($R49:$AK49,增益!$A:$A,增益!$R:$R,0))</f>
        <v>2</v>
      </c>
      <c r="BQ49" s="27" cm="1">
        <f t="array" ref="BQ49">IF(VLOOKUP($Q49,武学奇术!$A:$ZZ,24,FALSE)=1,100%,MIN(40%,$B$10+VLOOKUP($Q49,武学奇术!$A:$ZZ,19,FALSE)+SUM(_xlfn.XLOOKUP($R49:$AK49,增益!$A:$A,增益!$S:$S,0)))+$B$12+SUM(_xlfn.XLOOKUP($R49:$AK49,增益!$A:$A,增益!$V:$V,0)))*IF(VLOOKUP($Q49,武学奇术!$A:$ZZ,23,FALSE)=1,0,1)</f>
        <v>0.0929</v>
      </c>
      <c r="BR49" s="27" cm="1">
        <f t="array" ref="BR49">1+$B$14+VLOOKUP($Q49,武学奇术!$A:$ZZ,20,FALSE)+SUM(_xlfn.XLOOKUP($R49:$AK49,增益!$A:$A,增益!$T:$T,0))</f>
        <v>1.35</v>
      </c>
      <c r="BS49" s="27">
        <f t="shared" si="20"/>
        <v>0.87863408</v>
      </c>
      <c r="BT49" s="27">
        <f t="shared" si="21"/>
        <v>0.01567581</v>
      </c>
      <c r="BU49" s="27">
        <f>IF(VLOOKUP($Q49,武学奇术!$A:$ZZ,22,FALSE)=1,0,(1-$BN49))*(1-$BQ49)</f>
        <v>0.01279011</v>
      </c>
      <c r="BV49" s="27" cm="1">
        <f t="array" ref="BV49">SUM(_xlfn.XLOOKUP($R49:$AK49,增益!$A:$A,增益!$W:$W,0))+$I$5</f>
        <v>0.11</v>
      </c>
    </row>
    <row r="50" spans="1:74">
      <c r="A50" s="4" t="s">
        <v>184</v>
      </c>
      <c r="B50" s="4">
        <v>1.1</v>
      </c>
      <c r="D50" s="41"/>
      <c r="K50" s="40">
        <f t="shared" si="11"/>
        <v>38906.1115320294</v>
      </c>
      <c r="L50" s="40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BP50*$P50*(1+IF(VLOOKUP($Q50,武学奇术!$A:$ZZ,30,FALSE)="蓄力技",$B$21,0))*(1+$BV50)</f>
        <v>40391.8904228244</v>
      </c>
      <c r="M50" s="40">
        <f>(($AT50*$AM50+$AN50)*(1+$AU50)*(1+$AV50)+($AY50*IF($G$1="鸣金",$AO50,$AM50)+IF($G$1="鸣金",$AP50*1.5,0))*(1+$AZ50)*(1+$BA50)+($BC50*IF($G$1="裂石",$AO50,$AM50)+IF($G$1="裂石",$AP50*1.5,0))*(1+$BD50)*(1+$BE50)+($BG50*IF($G$1="牵丝",$AO50,$AM50)+IF($G$1="牵丝",$AP50*1.5,0))*(1+$BH50)*(1+$BI50)+($BK50*IF($G$1="破竹",$AO50,$AM50)+IF($G$1="破竹",$AP50*1.5,0))*(1+$BL50)*(1+$BM50))*(1+$AQ50)*$BR50*$P50*(1+IF(VLOOKUP($Q50,武学奇术!$A:$ZZ,30,FALSE)="蓄力技",$B$21,0))*(1+$BV50)</f>
        <v>30964.2119488532</v>
      </c>
      <c r="N50" s="40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P50*(1+IF(VLOOKUP($Q50,武学奇术!$A:$ZZ,30,FALSE)="蓄力技",$B$21,0))*(1+$BV50)</f>
        <v>20195.9452114122</v>
      </c>
      <c r="O50" s="40">
        <f>((($AS50*$AM50+$AN50)*(1+$AU50)*(1+$AV50)+($AX50*IF($G$1="鸣金",$AO50,$AM50)+IF($G$1="鸣金",$AP50*1.5,0))*(1+$AZ50)*(1+$BA50)+($BB50*IF($G$1="裂石",$AO50,$AM50)+IF($G$1="裂石",$AP50*1.5,0))*(1+$BD50)*(1+$BE50)+($BF50*IF($G$1="牵丝",$AO50,$AM50)+IF($G$1="牵丝",$AP50*1.5,0))*(1+$BH50)*(1+$BI50)+($BJ50*IF($G$1="破竹",$AO50,$AM50)+IF($G$1="破竹",$AP50*1.5,0))*(1+$BL50)*(1+$BM50))*(1+$AQ50))*$P50*(1+IF(VLOOKUP($Q50,武学奇术!$A:$ZZ,30,FALSE)="蓄力技",$B$21,0))*(1+$BV50)</f>
        <v>17455.4371273776</v>
      </c>
      <c r="P50" s="41">
        <v>1</v>
      </c>
      <c r="Q50" s="42" t="s">
        <v>110</v>
      </c>
      <c r="R50" s="42" t="s">
        <v>103</v>
      </c>
      <c r="S50" s="42" t="s">
        <v>169</v>
      </c>
      <c r="T50" s="42" t="s">
        <v>86</v>
      </c>
      <c r="U50" s="42" t="s">
        <v>121</v>
      </c>
      <c r="V50" s="42" t="s">
        <v>77</v>
      </c>
      <c r="W50" s="42" t="s">
        <v>77</v>
      </c>
      <c r="X50" s="42" t="s">
        <v>176</v>
      </c>
      <c r="Y50" s="42" t="s">
        <v>77</v>
      </c>
      <c r="Z50" s="42" t="s">
        <v>77</v>
      </c>
      <c r="AA50" s="42" t="s">
        <v>73</v>
      </c>
      <c r="AB50" s="42" t="s">
        <v>89</v>
      </c>
      <c r="AC50" s="42" t="s">
        <v>77</v>
      </c>
      <c r="AD50" s="42" t="s">
        <v>80</v>
      </c>
      <c r="AE50" s="42" t="s">
        <v>81</v>
      </c>
      <c r="AF50" s="42" t="s">
        <v>82</v>
      </c>
      <c r="AG50" s="42" t="s">
        <v>77</v>
      </c>
      <c r="AH50" s="42" t="s">
        <v>77</v>
      </c>
      <c r="AI50" s="42" t="s">
        <v>77</v>
      </c>
      <c r="AJ50" s="42" t="s">
        <v>77</v>
      </c>
      <c r="AK50" s="42" t="s">
        <v>90</v>
      </c>
      <c r="AL50" t="str">
        <f>VLOOKUP($Q50,武学奇术!$A:$ZZ,25,FALSE)</f>
        <v>横刀</v>
      </c>
      <c r="AM50" s="27">
        <f>VLOOKUP($Q50,武学奇术!$A:$ZZ,26,FALSE)</f>
        <v>1.4</v>
      </c>
      <c r="AN50" s="28">
        <f>VLOOKUP($Q50,武学奇术!$A:$ZZ,27,FALSE)*(1+IF(OR($AL50=$F$4,$AL50=$F$5),$B$22,0))</f>
        <v>0</v>
      </c>
      <c r="AO50" s="27">
        <f>VLOOKUP($Q50,武学奇术!$A:$ZZ,28,FALSE)</f>
        <v>2.1</v>
      </c>
      <c r="AP50" s="28">
        <f>VLOOKUP($Q50,武学奇术!$A:$ZZ,29,FALSE)*(1+IF(OR($AL50=$F$4,$AL50=$F$5),$B$22,0))</f>
        <v>0</v>
      </c>
      <c r="AQ50" s="27" cm="1">
        <f t="array" ref="AQ50">$G$3+IFERROR(VLOOKUP($AL50,$F$4:$G$7,2,FALSE),0)+VLOOKUP($Q50,武学奇术!$A:$ZZ,2,FALSE)+SUM(_xlfn.XLOOKUP($R50:$AK50,增益!$A:$A,增益!$B:$B,0))</f>
        <v>0.7289</v>
      </c>
      <c r="AR50" s="27" cm="1">
        <f t="array" ref="AR50">VLOOKUP($Q50,武学奇术!$A:$ZZ,5,FALSE)+SUM(_xlfn.XLOOKUP($R50:$AK50,增益!$A:$A,增益!$E:$E,0))</f>
        <v>0</v>
      </c>
      <c r="AS50" cm="1">
        <f t="array" ref="AS50">$D$10*(1+$AR50)+VLOOKUP($Q50,武学奇术!$A:$ZZ,3,FALSE)+SUM(_xlfn.XLOOKUP($R50:$AK50,增益!$A:$A,增益!$C:$C,0))-$I$2</f>
        <v>3648.7</v>
      </c>
      <c r="AT50" cm="1">
        <f t="array" ref="AT50">$E$10*(1+$AR50)+VLOOKUP($Q50,武学奇术!$A:$ZZ,4,FALSE)+SUM(_xlfn.XLOOKUP($R50:$AK50,增益!$A:$A,增益!$D:$D,0))-$I$2</f>
        <v>3648.7</v>
      </c>
      <c r="AU50" s="34" cm="1">
        <f t="array" ref="AU50">IF($F$10-$I$3+VLOOKUP($Q50,武学奇术!$A:$ZZ,6,FALSE)+SUM(_xlfn.XLOOKUP($R50:$AK50,增益!$A:$A,增益!$F:$F,0))&gt;0,($F$10-$I$3+VLOOKUP($Q50,武学奇术!$A:$ZZ,6,FALSE)+SUM(_xlfn.XLOOKUP($R50:$AK50,增益!$A:$A,增益!$F:$F,0)))/200,($F$10-$I$3+VLOOKUP($Q50,武学奇术!$A:$ZZ,6,FALSE)+SUM(_xlfn.XLOOKUP($R50:$AK50,增益!$A:$A,增益!$F:$F,0)))/100)</f>
        <v>0.452</v>
      </c>
      <c r="AV50" s="34" cm="1">
        <f t="array" ref="AV50">$G$10+VLOOKUP($Q50,武学奇术!$A:$ZZ,7,FALSE)+SUM(_xlfn.XLOOKUP($R50:$AK50,增益!$A:$A,增益!$G:$G,0))</f>
        <v>0</v>
      </c>
      <c r="AW50" s="27" cm="1">
        <f t="array" ref="AW50">VLOOKUP($Q50,武学奇术!$A:$ZZ,8,FALSE)+SUM(_xlfn.XLOOKUP($R50:$AK50,增益!$A:$A,增益!$H:$H,0))</f>
        <v>0</v>
      </c>
      <c r="AX50">
        <f t="shared" si="12"/>
        <v>0</v>
      </c>
      <c r="AY50">
        <f t="shared" si="13"/>
        <v>0</v>
      </c>
      <c r="AZ50" s="34" cm="1">
        <f t="array" ref="AZ50">IF($F$11-$I$4+VLOOKUP($Q50,武学奇术!$A:$ZZ,9,FALSE)+SUM(_xlfn.XLOOKUP($R50:$AK50,增益!$A:$A,增益!$I:$I,0))&gt;0,($F$11-$I$4+VLOOKUP($Q50,武学奇术!$A:$ZZ,9,FALSE)+SUM(_xlfn.XLOOKUP($R50:$AK50,增益!$A:$A,增益!$I:$I,0)))/200,($F$11-$I$4+VLOOKUP($Q50,武学奇术!$A:$ZZ,9,FALSE)+SUM(_xlfn.XLOOKUP($R50:$AK50,增益!$A:$A,增益!$I:$I,0)))/100)</f>
        <v>-0.14</v>
      </c>
      <c r="BA50" s="34" cm="1">
        <f t="array" ref="BA50">$G$11+VLOOKUP($Q50,武学奇术!$A:$ZZ,10,FALSE)+SUM(_xlfn.XLOOKUP($R50:$AK50,增益!$A:$A,增益!$J:$J,0))</f>
        <v>0</v>
      </c>
      <c r="BB50">
        <f t="shared" si="14"/>
        <v>594.1</v>
      </c>
      <c r="BC50">
        <f t="shared" si="15"/>
        <v>1604.9</v>
      </c>
      <c r="BD50" s="34" cm="1">
        <f t="array" ref="BD50">IF($F$12-$I$4+VLOOKUP($Q50,武学奇术!$A:$ZZ,11,FALSE)+SUM(_xlfn.XLOOKUP($R50:$AK50,增益!$A:$A,增益!$K:$K,0))&gt;0,($F$12-$I$4+VLOOKUP($Q50,武学奇术!$A:$ZZ,11,FALSE)+SUM(_xlfn.XLOOKUP($R50:$AK50,增益!$A:$A,增益!$K:$K,0)))/200,($F$12-$I$4+VLOOKUP($Q50,武学奇术!$A:$ZZ,11,FALSE)+SUM(_xlfn.XLOOKUP($R50:$AK50,增益!$A:$A,增益!$K:$K,0)))/100)</f>
        <v>0.17</v>
      </c>
      <c r="BE50" s="34" cm="1">
        <f t="array" ref="BE50">$G$12+VLOOKUP($Q50,武学奇术!$A:$ZZ,12,FALSE)+SUM(_xlfn.XLOOKUP($R50:$AK50,增益!$A:$A,增益!$L:$L,0))</f>
        <v>0.15</v>
      </c>
      <c r="BF50">
        <f t="shared" si="16"/>
        <v>0</v>
      </c>
      <c r="BG50">
        <f t="shared" si="17"/>
        <v>0</v>
      </c>
      <c r="BH50" s="34" cm="1">
        <f t="array" ref="BH50">IF($F$13-$I$4+VLOOKUP($Q50,武学奇术!$A:$ZZ,13,FALSE)+SUM(_xlfn.XLOOKUP($R50:$AK50,增益!$A:$A,增益!$M:$M,0))&gt;0,($F$13-$I$4+VLOOKUP($Q50,武学奇术!$A:$ZZ,13,FALSE)+SUM(_xlfn.XLOOKUP($R50:$AK50,增益!$A:$A,增益!$K:$K,0)))/200,($F$13-$I$4+VLOOKUP($Q50,武学奇术!$A:$ZZ,13,FALSE)+SUM(_xlfn.XLOOKUP($R50:$AK50,增益!$A:$A,增益!$M:$M,0)))/100)</f>
        <v>-0.14</v>
      </c>
      <c r="BI50" s="34" cm="1">
        <f t="array" ref="BI50">$G$13+VLOOKUP($Q50,武学奇术!$A:$ZZ,14,FALSE)+SUM(_xlfn.XLOOKUP($R50:$AK50,增益!$A:$A,增益!$N:$N,0))</f>
        <v>0</v>
      </c>
      <c r="BJ50">
        <f t="shared" si="18"/>
        <v>0</v>
      </c>
      <c r="BK50">
        <f t="shared" si="19"/>
        <v>0</v>
      </c>
      <c r="BL50" s="34" cm="1">
        <f t="array" ref="BL50">IF($F$14-$I$4+VLOOKUP($Q50,武学奇术!$A:$ZZ,15,FALSE)+SUM(_xlfn.XLOOKUP($R50:$AK50,增益!$A:$A,增益!$O:$O,0))&gt;0,($F$14-$I$4+VLOOKUP($Q50,武学奇术!$A:$ZZ,15,FALSE)+SUM(_xlfn.XLOOKUP($R50:$AK50,增益!$A:$A,增益!$O:$O,0)))/200,($F$14-$I$4+VLOOKUP($Q50,武学奇术!$A:$ZZ,15,FALSE)+SUM(_xlfn.XLOOKUP($R50:$AK50,增益!$A:$A,增益!$O:$O,0)))/100)</f>
        <v>-0.14</v>
      </c>
      <c r="BM50" s="34" cm="1">
        <f t="array" ref="BM50">$G$14+VLOOKUP($Q50,武学奇术!$A:$ZZ,16,FALSE)+SUM(_xlfn.XLOOKUP($R50:$AK50,增益!$A:$A,增益!$P:$P,0))</f>
        <v>0</v>
      </c>
      <c r="BN50" s="27">
        <f>MIN(IF(VLOOKUP($Q50,武学奇术!$A:$ZZ,23,FALSE)=1,100%,$B$8),100%)</f>
        <v>0.9859</v>
      </c>
      <c r="BO50" s="27" cm="1">
        <f t="array" ref="BO50">IF(VLOOKUP($Q50,武学奇术!$A:$ZZ,23,FALSE)=1,100%,MIN(80%,$B$9+VLOOKUP($Q50,武学奇术!$A:$ZZ,17,FALSE)+SUM(_xlfn.XLOOKUP($R50:$AK50,增益!$A:$A,增益!$Q:$Q,0)))+$B$11+SUM(_xlfn.XLOOKUP($R50:$AK50,增益!$A:$A,增益!$U:$U,0)))*IF(VLOOKUP($Q50,武学奇术!$A:$ZZ,24,FALSE)=1,0,1)</f>
        <v>0.8912</v>
      </c>
      <c r="BP50" s="27" cm="1">
        <f t="array" ref="BP50">1+$B$13+VLOOKUP($Q50,武学奇术!$A:$ZZ,18,FALSE)+SUM(_xlfn.XLOOKUP($R50:$AK50,增益!$A:$A,增益!$R:$R,0))</f>
        <v>2</v>
      </c>
      <c r="BQ50" s="27" cm="1">
        <f t="array" ref="BQ50">IF(VLOOKUP($Q50,武学奇术!$A:$ZZ,24,FALSE)=1,100%,MIN(40%,$B$10+VLOOKUP($Q50,武学奇术!$A:$ZZ,19,FALSE)+SUM(_xlfn.XLOOKUP($R50:$AK50,增益!$A:$A,增益!$S:$S,0)))+$B$12+SUM(_xlfn.XLOOKUP($R50:$AK50,增益!$A:$A,增益!$V:$V,0)))*IF(VLOOKUP($Q50,武学奇术!$A:$ZZ,23,FALSE)=1,0,1)</f>
        <v>0.0929</v>
      </c>
      <c r="BR50" s="27" cm="1">
        <f t="array" ref="BR50">1+$B$14+VLOOKUP($Q50,武学奇术!$A:$ZZ,20,FALSE)+SUM(_xlfn.XLOOKUP($R50:$AK50,增益!$A:$A,增益!$T:$T,0))</f>
        <v>1.35</v>
      </c>
      <c r="BS50" s="27">
        <f t="shared" si="20"/>
        <v>0.87863408</v>
      </c>
      <c r="BT50" s="27">
        <f t="shared" si="21"/>
        <v>0.01567581</v>
      </c>
      <c r="BU50" s="27">
        <f>IF(VLOOKUP($Q50,武学奇术!$A:$ZZ,22,FALSE)=1,0,(1-$BN50))*(1-$BQ50)</f>
        <v>0.01279011</v>
      </c>
      <c r="BV50" s="27" cm="1">
        <f t="array" ref="BV50">SUM(_xlfn.XLOOKUP($R50:$AK50,增益!$A:$A,增益!$W:$W,0))+$I$5</f>
        <v>0.11</v>
      </c>
    </row>
    <row r="51" spans="1:74">
      <c r="A51" s="4" t="s">
        <v>185</v>
      </c>
      <c r="B51" s="4">
        <v>1.17</v>
      </c>
      <c r="D51" s="41"/>
      <c r="K51" s="40">
        <f t="shared" si="11"/>
        <v>22712.9420689739</v>
      </c>
      <c r="L51" s="40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BP51*$P51*(1+IF(VLOOKUP($Q51,武学奇术!$A:$ZZ,30,FALSE)="蓄力技",$B$21,0))*(1+$BV51)</f>
        <v>23580.3227591811</v>
      </c>
      <c r="M51" s="40">
        <f>(($AT51*$AM51+$AN51)*(1+$AU51)*(1+$AV51)+($AY51*IF($G$1="鸣金",$AO51,$AM51)+IF($G$1="鸣金",$AP51*1.5,0))*(1+$AZ51)*(1+$BA51)+($BC51*IF($G$1="裂石",$AO51,$AM51)+IF($G$1="裂石",$AP51*1.5,0))*(1+$BD51)*(1+$BE51)+($BG51*IF($G$1="牵丝",$AO51,$AM51)+IF($G$1="牵丝",$AP51*1.5,0))*(1+$BH51)*(1+$BI51)+($BK51*IF($G$1="破竹",$AO51,$AM51)+IF($G$1="破竹",$AP51*1.5,0))*(1+$BL51)*(1+$BM51))*(1+$AQ51)*$BR51*$P51*(1+IF(VLOOKUP($Q51,武学奇术!$A:$ZZ,30,FALSE)="蓄力技",$B$21,0))*(1+$BV51)</f>
        <v>18076.5521022771</v>
      </c>
      <c r="N51" s="40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P51*(1+IF(VLOOKUP($Q51,武学奇术!$A:$ZZ,30,FALSE)="蓄力技",$B$21,0))*(1+$BV51)</f>
        <v>11790.1613795906</v>
      </c>
      <c r="O51" s="40">
        <f>((($AS51*$AM51+$AN51)*(1+$AU51)*(1+$AV51)+($AX51*IF($G$1="鸣金",$AO51,$AM51)+IF($G$1="鸣金",$AP51*1.5,0))*(1+$AZ51)*(1+$BA51)+($BB51*IF($G$1="裂石",$AO51,$AM51)+IF($G$1="裂石",$AP51*1.5,0))*(1+$BD51)*(1+$BE51)+($BF51*IF($G$1="牵丝",$AO51,$AM51)+IF($G$1="牵丝",$AP51*1.5,0))*(1+$BH51)*(1+$BI51)+($BJ51*IF($G$1="破竹",$AO51,$AM51)+IF($G$1="破竹",$AP51*1.5,0))*(1+$BL51)*(1+$BM51))*(1+$AQ51))*$P51*(1+IF(VLOOKUP($Q51,武学奇术!$A:$ZZ,30,FALSE)="蓄力技",$B$21,0))*(1+$BV51)</f>
        <v>10190.2841649018</v>
      </c>
      <c r="P51" s="41">
        <v>1</v>
      </c>
      <c r="Q51" s="42" t="s">
        <v>112</v>
      </c>
      <c r="R51" s="42" t="s">
        <v>103</v>
      </c>
      <c r="S51" s="42" t="s">
        <v>169</v>
      </c>
      <c r="T51" s="42" t="s">
        <v>86</v>
      </c>
      <c r="U51" s="42" t="s">
        <v>121</v>
      </c>
      <c r="V51" s="42" t="s">
        <v>77</v>
      </c>
      <c r="W51" s="42" t="s">
        <v>77</v>
      </c>
      <c r="X51" s="42" t="s">
        <v>176</v>
      </c>
      <c r="Y51" s="42" t="s">
        <v>186</v>
      </c>
      <c r="Z51" s="42" t="s">
        <v>187</v>
      </c>
      <c r="AA51" s="42" t="s">
        <v>73</v>
      </c>
      <c r="AB51" s="42" t="s">
        <v>89</v>
      </c>
      <c r="AC51" s="42" t="s">
        <v>77</v>
      </c>
      <c r="AD51" s="42" t="s">
        <v>80</v>
      </c>
      <c r="AE51" s="42" t="s">
        <v>81</v>
      </c>
      <c r="AF51" s="42" t="s">
        <v>82</v>
      </c>
      <c r="AG51" s="42" t="s">
        <v>77</v>
      </c>
      <c r="AH51" s="42" t="s">
        <v>77</v>
      </c>
      <c r="AI51" s="42" t="s">
        <v>77</v>
      </c>
      <c r="AJ51" s="42" t="s">
        <v>77</v>
      </c>
      <c r="AK51" s="42" t="s">
        <v>90</v>
      </c>
      <c r="AL51" t="str">
        <f>VLOOKUP($Q51,武学奇术!$A:$ZZ,25,FALSE)</f>
        <v>陌刀</v>
      </c>
      <c r="AM51" s="27">
        <f>VLOOKUP($Q51,武学奇术!$A:$ZZ,26,FALSE)</f>
        <v>0.5</v>
      </c>
      <c r="AN51" s="28">
        <f>VLOOKUP($Q51,武学奇术!$A:$ZZ,27,FALSE)*(1+IF(OR($AL51=$F$4,$AL51=$F$5),$B$22,0))</f>
        <v>0</v>
      </c>
      <c r="AO51" s="27">
        <f>VLOOKUP($Q51,武学奇术!$A:$ZZ,28,FALSE)</f>
        <v>0.75</v>
      </c>
      <c r="AP51" s="28">
        <f>VLOOKUP($Q51,武学奇术!$A:$ZZ,29,FALSE)*(1+IF(OR($AL51=$F$4,$AL51=$F$5),$B$22,0))</f>
        <v>0</v>
      </c>
      <c r="AQ51" s="27" cm="1">
        <f t="array" ref="AQ51">$G$3+IFERROR(VLOOKUP($AL51,$F$4:$G$7,2,FALSE),0)+VLOOKUP($Q51,武学奇术!$A:$ZZ,2,FALSE)+SUM(_xlfn.XLOOKUP($R51:$AK51,增益!$A:$A,增益!$B:$B,0))</f>
        <v>0.8141</v>
      </c>
      <c r="AR51" s="27" cm="1">
        <f t="array" ref="AR51">VLOOKUP($Q51,武学奇术!$A:$ZZ,5,FALSE)+SUM(_xlfn.XLOOKUP($R51:$AK51,增益!$A:$A,增益!$E:$E,0))</f>
        <v>0</v>
      </c>
      <c r="AS51" cm="1">
        <f t="array" ref="AS51">$D$10*(1+$AR51)+VLOOKUP($Q51,武学奇术!$A:$ZZ,3,FALSE)+SUM(_xlfn.XLOOKUP($R51:$AK51,增益!$A:$A,增益!$C:$C,0))-$I$2</f>
        <v>3648.7</v>
      </c>
      <c r="AT51" cm="1">
        <f t="array" ref="AT51">$E$10*(1+$AR51)+VLOOKUP($Q51,武学奇术!$A:$ZZ,4,FALSE)+SUM(_xlfn.XLOOKUP($R51:$AK51,增益!$A:$A,增益!$D:$D,0))-$I$2</f>
        <v>3648.7</v>
      </c>
      <c r="AU51" s="34" cm="1">
        <f t="array" ref="AU51">IF($F$10-$I$3+VLOOKUP($Q51,武学奇术!$A:$ZZ,6,FALSE)+SUM(_xlfn.XLOOKUP($R51:$AK51,增益!$A:$A,增益!$F:$F,0))&gt;0,($F$10-$I$3+VLOOKUP($Q51,武学奇术!$A:$ZZ,6,FALSE)+SUM(_xlfn.XLOOKUP($R51:$AK51,增益!$A:$A,增益!$F:$F,0)))/200,($F$10-$I$3+VLOOKUP($Q51,武学奇术!$A:$ZZ,6,FALSE)+SUM(_xlfn.XLOOKUP($R51:$AK51,增益!$A:$A,增益!$F:$F,0)))/100)</f>
        <v>0.452</v>
      </c>
      <c r="AV51" s="34" cm="1">
        <f t="array" ref="AV51">$G$10+VLOOKUP($Q51,武学奇术!$A:$ZZ,7,FALSE)+SUM(_xlfn.XLOOKUP($R51:$AK51,增益!$A:$A,增益!$G:$G,0))</f>
        <v>0</v>
      </c>
      <c r="AW51" s="27" cm="1">
        <f t="array" ref="AW51">VLOOKUP($Q51,武学奇术!$A:$ZZ,8,FALSE)+SUM(_xlfn.XLOOKUP($R51:$AK51,增益!$A:$A,增益!$H:$H,0))</f>
        <v>0</v>
      </c>
      <c r="AX51">
        <f t="shared" si="12"/>
        <v>0</v>
      </c>
      <c r="AY51">
        <f t="shared" si="13"/>
        <v>0</v>
      </c>
      <c r="AZ51" s="34" cm="1">
        <f t="array" ref="AZ51">IF($F$11-$I$4+VLOOKUP($Q51,武学奇术!$A:$ZZ,9,FALSE)+SUM(_xlfn.XLOOKUP($R51:$AK51,增益!$A:$A,增益!$I:$I,0))&gt;0,($F$11-$I$4+VLOOKUP($Q51,武学奇术!$A:$ZZ,9,FALSE)+SUM(_xlfn.XLOOKUP($R51:$AK51,增益!$A:$A,增益!$I:$I,0)))/200,($F$11-$I$4+VLOOKUP($Q51,武学奇术!$A:$ZZ,9,FALSE)+SUM(_xlfn.XLOOKUP($R51:$AK51,增益!$A:$A,增益!$I:$I,0)))/100)</f>
        <v>-0.14</v>
      </c>
      <c r="BA51" s="34" cm="1">
        <f t="array" ref="BA51">$G$11+VLOOKUP($Q51,武学奇术!$A:$ZZ,10,FALSE)+SUM(_xlfn.XLOOKUP($R51:$AK51,增益!$A:$A,增益!$J:$J,0))</f>
        <v>0.1</v>
      </c>
      <c r="BB51">
        <f t="shared" si="14"/>
        <v>594.1</v>
      </c>
      <c r="BC51">
        <f t="shared" si="15"/>
        <v>1604.9</v>
      </c>
      <c r="BD51" s="34" cm="1">
        <f t="array" ref="BD51">IF($F$12-$I$4+VLOOKUP($Q51,武学奇术!$A:$ZZ,11,FALSE)+SUM(_xlfn.XLOOKUP($R51:$AK51,增益!$A:$A,增益!$K:$K,0))&gt;0,($F$12-$I$4+VLOOKUP($Q51,武学奇术!$A:$ZZ,11,FALSE)+SUM(_xlfn.XLOOKUP($R51:$AK51,增益!$A:$A,增益!$K:$K,0)))/200,($F$12-$I$4+VLOOKUP($Q51,武学奇术!$A:$ZZ,11,FALSE)+SUM(_xlfn.XLOOKUP($R51:$AK51,增益!$A:$A,增益!$K:$K,0)))/100)</f>
        <v>0.17</v>
      </c>
      <c r="BE51" s="34" cm="1">
        <f t="array" ref="BE51">$G$12+VLOOKUP($Q51,武学奇术!$A:$ZZ,12,FALSE)+SUM(_xlfn.XLOOKUP($R51:$AK51,增益!$A:$A,增益!$L:$L,0))</f>
        <v>0.15</v>
      </c>
      <c r="BF51">
        <f t="shared" si="16"/>
        <v>0</v>
      </c>
      <c r="BG51">
        <f t="shared" si="17"/>
        <v>0</v>
      </c>
      <c r="BH51" s="34" cm="1">
        <f t="array" ref="BH51">IF($F$13-$I$4+VLOOKUP($Q51,武学奇术!$A:$ZZ,13,FALSE)+SUM(_xlfn.XLOOKUP($R51:$AK51,增益!$A:$A,增益!$M:$M,0))&gt;0,($F$13-$I$4+VLOOKUP($Q51,武学奇术!$A:$ZZ,13,FALSE)+SUM(_xlfn.XLOOKUP($R51:$AK51,增益!$A:$A,增益!$K:$K,0)))/200,($F$13-$I$4+VLOOKUP($Q51,武学奇术!$A:$ZZ,13,FALSE)+SUM(_xlfn.XLOOKUP($R51:$AK51,增益!$A:$A,增益!$M:$M,0)))/100)</f>
        <v>-0.14</v>
      </c>
      <c r="BI51" s="34" cm="1">
        <f t="array" ref="BI51">$G$13+VLOOKUP($Q51,武学奇术!$A:$ZZ,14,FALSE)+SUM(_xlfn.XLOOKUP($R51:$AK51,增益!$A:$A,增益!$N:$N,0))</f>
        <v>0</v>
      </c>
      <c r="BJ51">
        <f t="shared" si="18"/>
        <v>0</v>
      </c>
      <c r="BK51">
        <f t="shared" si="19"/>
        <v>0</v>
      </c>
      <c r="BL51" s="34" cm="1">
        <f t="array" ref="BL51">IF($F$14-$I$4+VLOOKUP($Q51,武学奇术!$A:$ZZ,15,FALSE)+SUM(_xlfn.XLOOKUP($R51:$AK51,增益!$A:$A,增益!$O:$O,0))&gt;0,($F$14-$I$4+VLOOKUP($Q51,武学奇术!$A:$ZZ,15,FALSE)+SUM(_xlfn.XLOOKUP($R51:$AK51,增益!$A:$A,增益!$O:$O,0)))/200,($F$14-$I$4+VLOOKUP($Q51,武学奇术!$A:$ZZ,15,FALSE)+SUM(_xlfn.XLOOKUP($R51:$AK51,增益!$A:$A,增益!$O:$O,0)))/100)</f>
        <v>-0.14</v>
      </c>
      <c r="BM51" s="34" cm="1">
        <f t="array" ref="BM51">$G$14+VLOOKUP($Q51,武学奇术!$A:$ZZ,16,FALSE)+SUM(_xlfn.XLOOKUP($R51:$AK51,增益!$A:$A,增益!$P:$P,0))</f>
        <v>0</v>
      </c>
      <c r="BN51" s="27">
        <f>MIN(IF(VLOOKUP($Q51,武学奇术!$A:$ZZ,23,FALSE)=1,100%,$B$8),100%)</f>
        <v>0.9859</v>
      </c>
      <c r="BO51" s="27" cm="1">
        <f t="array" ref="BO51">IF(VLOOKUP($Q51,武学奇术!$A:$ZZ,23,FALSE)=1,100%,MIN(80%,$B$9+VLOOKUP($Q51,武学奇术!$A:$ZZ,17,FALSE)+SUM(_xlfn.XLOOKUP($R51:$AK51,增益!$A:$A,增益!$Q:$Q,0)))+$B$11+SUM(_xlfn.XLOOKUP($R51:$AK51,增益!$A:$A,增益!$U:$U,0)))*IF(VLOOKUP($Q51,武学奇术!$A:$ZZ,24,FALSE)=1,0,1)</f>
        <v>0.8912</v>
      </c>
      <c r="BP51" s="27" cm="1">
        <f t="array" ref="BP51">1+$B$13+VLOOKUP($Q51,武学奇术!$A:$ZZ,18,FALSE)+SUM(_xlfn.XLOOKUP($R51:$AK51,增益!$A:$A,增益!$R:$R,0))</f>
        <v>2</v>
      </c>
      <c r="BQ51" s="27" cm="1">
        <f t="array" ref="BQ51">IF(VLOOKUP($Q51,武学奇术!$A:$ZZ,24,FALSE)=1,100%,MIN(40%,$B$10+VLOOKUP($Q51,武学奇术!$A:$ZZ,19,FALSE)+SUM(_xlfn.XLOOKUP($R51:$AK51,增益!$A:$A,增益!$S:$S,0)))+$B$12+SUM(_xlfn.XLOOKUP($R51:$AK51,增益!$A:$A,增益!$V:$V,0)))*IF(VLOOKUP($Q51,武学奇术!$A:$ZZ,23,FALSE)=1,0,1)</f>
        <v>0.0929</v>
      </c>
      <c r="BR51" s="27" cm="1">
        <f t="array" ref="BR51">1+$B$14+VLOOKUP($Q51,武学奇术!$A:$ZZ,20,FALSE)+SUM(_xlfn.XLOOKUP($R51:$AK51,增益!$A:$A,增益!$T:$T,0))</f>
        <v>1.35</v>
      </c>
      <c r="BS51" s="27">
        <f t="shared" si="20"/>
        <v>0.87863408</v>
      </c>
      <c r="BT51" s="27">
        <f t="shared" si="21"/>
        <v>0.01567581</v>
      </c>
      <c r="BU51" s="27">
        <f>IF(VLOOKUP($Q51,武学奇术!$A:$ZZ,22,FALSE)=1,0,(1-$BN51))*(1-$BQ51)</f>
        <v>0.01279011</v>
      </c>
      <c r="BV51" s="27" cm="1">
        <f t="array" ref="BV51">SUM(_xlfn.XLOOKUP($R51:$AK51,增益!$A:$A,增益!$W:$W,0))+$I$5</f>
        <v>0.31</v>
      </c>
    </row>
    <row r="52" spans="1:74">
      <c r="A52" s="4" t="s">
        <v>188</v>
      </c>
      <c r="B52" s="4">
        <v>0.9</v>
      </c>
      <c r="K52" s="40">
        <f t="shared" si="11"/>
        <v>44566.8100148524</v>
      </c>
      <c r="L52" s="40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BP52*$P52*(1+IF(VLOOKUP($Q52,武学奇术!$A:$ZZ,30,FALSE)="蓄力技",$B$21,0))*(1+$BV52)</f>
        <v>44566.8100148524</v>
      </c>
      <c r="M52" s="40">
        <f>(($AT52*$AM52+$AN52)*(1+$AU52)*(1+$AV52)+($AY52*IF($G$1="鸣金",$AO52,$AM52)+IF($G$1="鸣金",$AP52*1.5,0))*(1+$AZ52)*(1+$BA52)+($BC52*IF($G$1="裂石",$AO52,$AM52)+IF($G$1="裂石",$AP52*1.5,0))*(1+$BD52)*(1+$BE52)+($BG52*IF($G$1="牵丝",$AO52,$AM52)+IF($G$1="牵丝",$AP52*1.5,0))*(1+$BH52)*(1+$BI52)+($BK52*IF($G$1="破竹",$AO52,$AM52)+IF($G$1="破竹",$AP52*1.5,0))*(1+$BL52)*(1+$BM52))*(1+$AQ52)*$BR52*$P52*(1+IF(VLOOKUP($Q52,武学奇术!$A:$ZZ,30,FALSE)="蓄力技",$B$21,0))*(1+$BV52)</f>
        <v>32537.7937840988</v>
      </c>
      <c r="N52" s="40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P52*(1+IF(VLOOKUP($Q52,武学奇术!$A:$ZZ,30,FALSE)="蓄力技",$B$21,0))*(1+$BV52)</f>
        <v>21222.290483263</v>
      </c>
      <c r="O52" s="40">
        <f>((($AS52*$AM52+$AN52)*(1+$AU52)*(1+$AV52)+($AX52*IF($G$1="鸣金",$AO52,$AM52)+IF($G$1="鸣金",$AP52*1.5,0))*(1+$AZ52)*(1+$BA52)+($BB52*IF($G$1="裂石",$AO52,$AM52)+IF($G$1="裂石",$AP52*1.5,0))*(1+$BD52)*(1+$BE52)+($BF52*IF($G$1="牵丝",$AO52,$AM52)+IF($G$1="牵丝",$AP52*1.5,0))*(1+$BH52)*(1+$BI52)+($BJ52*IF($G$1="破竹",$AO52,$AM52)+IF($G$1="破竹",$AP52*1.5,0))*(1+$BL52)*(1+$BM52))*(1+$AQ52))*$P52*(1+IF(VLOOKUP($Q52,武学奇术!$A:$ZZ,30,FALSE)="蓄力技",$B$21,0))*(1+$BV52)</f>
        <v>18342.5114968233</v>
      </c>
      <c r="P52" s="41">
        <v>1</v>
      </c>
      <c r="Q52" s="42" t="s">
        <v>117</v>
      </c>
      <c r="R52" s="42" t="s">
        <v>103</v>
      </c>
      <c r="S52" s="42" t="s">
        <v>169</v>
      </c>
      <c r="T52" s="42" t="s">
        <v>86</v>
      </c>
      <c r="U52" s="42" t="s">
        <v>121</v>
      </c>
      <c r="V52" s="42" t="s">
        <v>118</v>
      </c>
      <c r="W52" s="42" t="s">
        <v>77</v>
      </c>
      <c r="X52" s="42" t="s">
        <v>176</v>
      </c>
      <c r="Y52" s="42" t="s">
        <v>186</v>
      </c>
      <c r="Z52" s="42" t="s">
        <v>187</v>
      </c>
      <c r="AA52" s="42" t="s">
        <v>73</v>
      </c>
      <c r="AB52" s="42" t="s">
        <v>89</v>
      </c>
      <c r="AC52" s="42" t="s">
        <v>77</v>
      </c>
      <c r="AD52" s="42" t="s">
        <v>80</v>
      </c>
      <c r="AE52" s="42" t="s">
        <v>81</v>
      </c>
      <c r="AF52" s="42" t="s">
        <v>82</v>
      </c>
      <c r="AG52" s="42" t="s">
        <v>77</v>
      </c>
      <c r="AH52" s="42" t="s">
        <v>77</v>
      </c>
      <c r="AI52" s="42" t="s">
        <v>77</v>
      </c>
      <c r="AJ52" s="42" t="s">
        <v>77</v>
      </c>
      <c r="AK52" s="42" t="s">
        <v>90</v>
      </c>
      <c r="AL52" t="str">
        <f>VLOOKUP($Q52,武学奇术!$A:$ZZ,25,FALSE)</f>
        <v>陌刀</v>
      </c>
      <c r="AM52" s="27">
        <f>VLOOKUP($Q52,武学奇术!$A:$ZZ,26,FALSE)</f>
        <v>0.9</v>
      </c>
      <c r="AN52" s="28">
        <f>VLOOKUP($Q52,武学奇术!$A:$ZZ,27,FALSE)*(1+IF(OR($AL52=$F$4,$AL52=$F$5),$B$22,0))</f>
        <v>0</v>
      </c>
      <c r="AO52" s="27">
        <f>VLOOKUP($Q52,武学奇术!$A:$ZZ,28,FALSE)</f>
        <v>1.35</v>
      </c>
      <c r="AP52" s="28">
        <f>VLOOKUP($Q52,武学奇术!$A:$ZZ,29,FALSE)*(1+IF(OR($AL52=$F$4,$AL52=$F$5),$B$22,0))</f>
        <v>0</v>
      </c>
      <c r="AQ52" s="27" cm="1">
        <f t="array" ref="AQ52">$G$3+IFERROR(VLOOKUP($AL52,$F$4:$G$7,2,FALSE),0)+VLOOKUP($Q52,武学奇术!$A:$ZZ,2,FALSE)+SUM(_xlfn.XLOOKUP($R52:$AK52,增益!$A:$A,增益!$B:$B,0))</f>
        <v>0.8141</v>
      </c>
      <c r="AR52" s="27" cm="1">
        <f t="array" ref="AR52">VLOOKUP($Q52,武学奇术!$A:$ZZ,5,FALSE)+SUM(_xlfn.XLOOKUP($R52:$AK52,增益!$A:$A,增益!$E:$E,0))</f>
        <v>0</v>
      </c>
      <c r="AS52" cm="1">
        <f t="array" ref="AS52">$D$10*(1+$AR52)+VLOOKUP($Q52,武学奇术!$A:$ZZ,3,FALSE)+SUM(_xlfn.XLOOKUP($R52:$AK52,增益!$A:$A,增益!$C:$C,0))-$I$2</f>
        <v>3648.7</v>
      </c>
      <c r="AT52" cm="1">
        <f t="array" ref="AT52">$E$10*(1+$AR52)+VLOOKUP($Q52,武学奇术!$A:$ZZ,4,FALSE)+SUM(_xlfn.XLOOKUP($R52:$AK52,增益!$A:$A,增益!$D:$D,0))-$I$2</f>
        <v>3648.7</v>
      </c>
      <c r="AU52" s="34" cm="1">
        <f t="array" ref="AU52">IF($F$10-$I$3+VLOOKUP($Q52,武学奇术!$A:$ZZ,6,FALSE)+SUM(_xlfn.XLOOKUP($R52:$AK52,增益!$A:$A,增益!$F:$F,0))&gt;0,($F$10-$I$3+VLOOKUP($Q52,武学奇术!$A:$ZZ,6,FALSE)+SUM(_xlfn.XLOOKUP($R52:$AK52,增益!$A:$A,增益!$F:$F,0)))/200,($F$10-$I$3+VLOOKUP($Q52,武学奇术!$A:$ZZ,6,FALSE)+SUM(_xlfn.XLOOKUP($R52:$AK52,增益!$A:$A,增益!$F:$F,0)))/100)</f>
        <v>0.452</v>
      </c>
      <c r="AV52" s="34" cm="1">
        <f t="array" ref="AV52">$G$10+VLOOKUP($Q52,武学奇术!$A:$ZZ,7,FALSE)+SUM(_xlfn.XLOOKUP($R52:$AK52,增益!$A:$A,增益!$G:$G,0))</f>
        <v>0</v>
      </c>
      <c r="AW52" s="27" cm="1">
        <f t="array" ref="AW52">VLOOKUP($Q52,武学奇术!$A:$ZZ,8,FALSE)+SUM(_xlfn.XLOOKUP($R52:$AK52,增益!$A:$A,增益!$H:$H,0))</f>
        <v>0</v>
      </c>
      <c r="AX52">
        <f t="shared" si="12"/>
        <v>0</v>
      </c>
      <c r="AY52">
        <f t="shared" si="13"/>
        <v>0</v>
      </c>
      <c r="AZ52" s="34" cm="1">
        <f t="array" ref="AZ52">IF($F$11-$I$4+VLOOKUP($Q52,武学奇术!$A:$ZZ,9,FALSE)+SUM(_xlfn.XLOOKUP($R52:$AK52,增益!$A:$A,增益!$I:$I,0))&gt;0,($F$11-$I$4+VLOOKUP($Q52,武学奇术!$A:$ZZ,9,FALSE)+SUM(_xlfn.XLOOKUP($R52:$AK52,增益!$A:$A,增益!$I:$I,0)))/200,($F$11-$I$4+VLOOKUP($Q52,武学奇术!$A:$ZZ,9,FALSE)+SUM(_xlfn.XLOOKUP($R52:$AK52,增益!$A:$A,增益!$I:$I,0)))/100)</f>
        <v>-0.14</v>
      </c>
      <c r="BA52" s="34" cm="1">
        <f t="array" ref="BA52">$G$11+VLOOKUP($Q52,武学奇术!$A:$ZZ,10,FALSE)+SUM(_xlfn.XLOOKUP($R52:$AK52,增益!$A:$A,增益!$J:$J,0))</f>
        <v>0.1</v>
      </c>
      <c r="BB52">
        <f t="shared" si="14"/>
        <v>594.1</v>
      </c>
      <c r="BC52">
        <f t="shared" si="15"/>
        <v>1604.9</v>
      </c>
      <c r="BD52" s="34" cm="1">
        <f t="array" ref="BD52">IF($F$12-$I$4+VLOOKUP($Q52,武学奇术!$A:$ZZ,11,FALSE)+SUM(_xlfn.XLOOKUP($R52:$AK52,增益!$A:$A,增益!$K:$K,0))&gt;0,($F$12-$I$4+VLOOKUP($Q52,武学奇术!$A:$ZZ,11,FALSE)+SUM(_xlfn.XLOOKUP($R52:$AK52,增益!$A:$A,增益!$K:$K,0)))/200,($F$12-$I$4+VLOOKUP($Q52,武学奇术!$A:$ZZ,11,FALSE)+SUM(_xlfn.XLOOKUP($R52:$AK52,增益!$A:$A,增益!$K:$K,0)))/100)</f>
        <v>0.17</v>
      </c>
      <c r="BE52" s="34" cm="1">
        <f t="array" ref="BE52">$G$12+VLOOKUP($Q52,武学奇术!$A:$ZZ,12,FALSE)+SUM(_xlfn.XLOOKUP($R52:$AK52,增益!$A:$A,增益!$L:$L,0))</f>
        <v>0.15</v>
      </c>
      <c r="BF52">
        <f t="shared" si="16"/>
        <v>0</v>
      </c>
      <c r="BG52">
        <f t="shared" si="17"/>
        <v>0</v>
      </c>
      <c r="BH52" s="34" cm="1">
        <f t="array" ref="BH52">IF($F$13-$I$4+VLOOKUP($Q52,武学奇术!$A:$ZZ,13,FALSE)+SUM(_xlfn.XLOOKUP($R52:$AK52,增益!$A:$A,增益!$M:$M,0))&gt;0,($F$13-$I$4+VLOOKUP($Q52,武学奇术!$A:$ZZ,13,FALSE)+SUM(_xlfn.XLOOKUP($R52:$AK52,增益!$A:$A,增益!$K:$K,0)))/200,($F$13-$I$4+VLOOKUP($Q52,武学奇术!$A:$ZZ,13,FALSE)+SUM(_xlfn.XLOOKUP($R52:$AK52,增益!$A:$A,增益!$M:$M,0)))/100)</f>
        <v>-0.14</v>
      </c>
      <c r="BI52" s="34" cm="1">
        <f t="array" ref="BI52">$G$13+VLOOKUP($Q52,武学奇术!$A:$ZZ,14,FALSE)+SUM(_xlfn.XLOOKUP($R52:$AK52,增益!$A:$A,增益!$N:$N,0))</f>
        <v>0</v>
      </c>
      <c r="BJ52">
        <f t="shared" si="18"/>
        <v>0</v>
      </c>
      <c r="BK52">
        <f t="shared" si="19"/>
        <v>0</v>
      </c>
      <c r="BL52" s="34" cm="1">
        <f t="array" ref="BL52">IF($F$14-$I$4+VLOOKUP($Q52,武学奇术!$A:$ZZ,15,FALSE)+SUM(_xlfn.XLOOKUP($R52:$AK52,增益!$A:$A,增益!$O:$O,0))&gt;0,($F$14-$I$4+VLOOKUP($Q52,武学奇术!$A:$ZZ,15,FALSE)+SUM(_xlfn.XLOOKUP($R52:$AK52,增益!$A:$A,增益!$O:$O,0)))/200,($F$14-$I$4+VLOOKUP($Q52,武学奇术!$A:$ZZ,15,FALSE)+SUM(_xlfn.XLOOKUP($R52:$AK52,增益!$A:$A,增益!$O:$O,0)))/100)</f>
        <v>-0.14</v>
      </c>
      <c r="BM52" s="34" cm="1">
        <f t="array" ref="BM52">$G$14+VLOOKUP($Q52,武学奇术!$A:$ZZ,16,FALSE)+SUM(_xlfn.XLOOKUP($R52:$AK52,增益!$A:$A,增益!$P:$P,0))</f>
        <v>0</v>
      </c>
      <c r="BN52" s="27">
        <f>MIN(IF(VLOOKUP($Q52,武学奇术!$A:$ZZ,23,FALSE)=1,100%,$B$8),100%)</f>
        <v>1</v>
      </c>
      <c r="BO52" s="27" cm="1">
        <f t="array" ref="BO52">IF(VLOOKUP($Q52,武学奇术!$A:$ZZ,23,FALSE)=1,100%,MIN(80%,$B$9+VLOOKUP($Q52,武学奇术!$A:$ZZ,17,FALSE)+SUM(_xlfn.XLOOKUP($R52:$AK52,增益!$A:$A,增益!$Q:$Q,0)))+$B$11+SUM(_xlfn.XLOOKUP($R52:$AK52,增益!$A:$A,增益!$U:$U,0)))*IF(VLOOKUP($Q52,武学奇术!$A:$ZZ,24,FALSE)=1,0,1)</f>
        <v>1</v>
      </c>
      <c r="BP52" s="27" cm="1">
        <f t="array" ref="BP52">1+$B$13+VLOOKUP($Q52,武学奇术!$A:$ZZ,18,FALSE)+SUM(_xlfn.XLOOKUP($R52:$AK52,增益!$A:$A,增益!$R:$R,0))</f>
        <v>2.1</v>
      </c>
      <c r="BQ52" s="27" cm="1">
        <f t="array" ref="BQ52">IF(VLOOKUP($Q52,武学奇术!$A:$ZZ,24,FALSE)=1,100%,MIN(40%,$B$10+VLOOKUP($Q52,武学奇术!$A:$ZZ,19,FALSE)+SUM(_xlfn.XLOOKUP($R52:$AK52,增益!$A:$A,增益!$S:$S,0)))+$B$12+SUM(_xlfn.XLOOKUP($R52:$AK52,增益!$A:$A,增益!$V:$V,0)))*IF(VLOOKUP($Q52,武学奇术!$A:$ZZ,23,FALSE)=1,0,1)</f>
        <v>0</v>
      </c>
      <c r="BR52" s="27" cm="1">
        <f t="array" ref="BR52">1+$B$14+VLOOKUP($Q52,武学奇术!$A:$ZZ,20,FALSE)+SUM(_xlfn.XLOOKUP($R52:$AK52,增益!$A:$A,增益!$T:$T,0))</f>
        <v>1.35</v>
      </c>
      <c r="BS52" s="27">
        <f t="shared" si="20"/>
        <v>1</v>
      </c>
      <c r="BT52" s="27">
        <f t="shared" si="21"/>
        <v>0</v>
      </c>
      <c r="BU52" s="27">
        <f>IF(VLOOKUP($Q52,武学奇术!$A:$ZZ,22,FALSE)=1,0,(1-$BN52))*(1-$BQ52)</f>
        <v>0</v>
      </c>
      <c r="BV52" s="27" cm="1">
        <f t="array" ref="BV52">SUM(_xlfn.XLOOKUP($R52:$AK52,增益!$A:$A,增益!$W:$W,0))+$I$5</f>
        <v>0.31</v>
      </c>
    </row>
    <row r="53" spans="1:74">
      <c r="A53" s="4" t="s">
        <v>189</v>
      </c>
      <c r="B53" s="4">
        <v>0.13</v>
      </c>
      <c r="K53" s="40">
        <f t="shared" si="11"/>
        <v>427493.542426542</v>
      </c>
      <c r="L53" s="40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BP53*$P53*(1+IF(VLOOKUP($Q53,武学奇术!$A:$ZZ,30,FALSE)="蓄力技",$B$21,0))*(1+$BV53)</f>
        <v>427493.542426542</v>
      </c>
      <c r="M53" s="40">
        <f>(($AT53*$AM53+$AN53)*(1+$AU53)*(1+$AV53)+($AY53*IF($G$1="鸣金",$AO53,$AM53)+IF($G$1="鸣金",$AP53*1.5,0))*(1+$AZ53)*(1+$BA53)+($BC53*IF($G$1="裂石",$AO53,$AM53)+IF($G$1="裂石",$AP53*1.5,0))*(1+$BD53)*(1+$BE53)+($BG53*IF($G$1="牵丝",$AO53,$AM53)+IF($G$1="牵丝",$AP53*1.5,0))*(1+$BH53)*(1+$BI53)+($BK53*IF($G$1="破竹",$AO53,$AM53)+IF($G$1="破竹",$AP53*1.5,0))*(1+$BL53)*(1+$BM53))*(1+$AQ53)*$BR53*$P53*(1+IF(VLOOKUP($Q53,武学奇术!$A:$ZZ,30,FALSE)="蓄力技",$B$21,0))*(1+$BV53)</f>
        <v>307506.224505081</v>
      </c>
      <c r="N53" s="40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P53*(1+IF(VLOOKUP($Q53,武学奇术!$A:$ZZ,30,FALSE)="蓄力技",$B$21,0))*(1+$BV53)</f>
        <v>203568.353536449</v>
      </c>
      <c r="O53" s="40">
        <f>((($AS53*$AM53+$AN53)*(1+$AU53)*(1+$AV53)+($AX53*IF($G$1="鸣金",$AO53,$AM53)+IF($G$1="鸣金",$AP53*1.5,0))*(1+$AZ53)*(1+$BA53)+($BB53*IF($G$1="裂石",$AO53,$AM53)+IF($G$1="裂石",$AP53*1.5,0))*(1+$BD53)*(1+$BE53)+($BF53*IF($G$1="牵丝",$AO53,$AM53)+IF($G$1="牵丝",$AP53*1.5,0))*(1+$BH53)*(1+$BI53)+($BJ53*IF($G$1="破竹",$AO53,$AM53)+IF($G$1="破竹",$AP53*1.5,0))*(1+$BL53)*(1+$BM53))*(1+$AQ53))*$P53*(1+IF(VLOOKUP($Q53,武学奇术!$A:$ZZ,30,FALSE)="蓄力技",$B$21,0))*(1+$BV53)</f>
        <v>179354.318550615</v>
      </c>
      <c r="P53" s="41">
        <v>1</v>
      </c>
      <c r="Q53" s="42" t="s">
        <v>120</v>
      </c>
      <c r="R53" s="42" t="s">
        <v>103</v>
      </c>
      <c r="S53" s="42" t="s">
        <v>169</v>
      </c>
      <c r="T53" s="42" t="s">
        <v>86</v>
      </c>
      <c r="U53" s="42" t="s">
        <v>121</v>
      </c>
      <c r="V53" s="42" t="s">
        <v>118</v>
      </c>
      <c r="W53" s="42" t="s">
        <v>77</v>
      </c>
      <c r="X53" s="42" t="s">
        <v>176</v>
      </c>
      <c r="Y53" s="42" t="s">
        <v>186</v>
      </c>
      <c r="Z53" s="42" t="s">
        <v>187</v>
      </c>
      <c r="AA53" s="42" t="s">
        <v>73</v>
      </c>
      <c r="AB53" s="42" t="s">
        <v>89</v>
      </c>
      <c r="AC53" s="42" t="s">
        <v>77</v>
      </c>
      <c r="AD53" s="42" t="s">
        <v>80</v>
      </c>
      <c r="AE53" s="42" t="s">
        <v>81</v>
      </c>
      <c r="AF53" s="42" t="s">
        <v>82</v>
      </c>
      <c r="AG53" s="42" t="s">
        <v>77</v>
      </c>
      <c r="AH53" s="42" t="s">
        <v>77</v>
      </c>
      <c r="AI53" s="42" t="s">
        <v>77</v>
      </c>
      <c r="AJ53" s="42" t="s">
        <v>77</v>
      </c>
      <c r="AK53" s="42" t="s">
        <v>90</v>
      </c>
      <c r="AL53" t="str">
        <f>VLOOKUP($Q53,武学奇术!$A:$ZZ,25,FALSE)</f>
        <v>陌刀</v>
      </c>
      <c r="AM53" s="27">
        <f>VLOOKUP($Q53,武学奇术!$A:$ZZ,26,FALSE)</f>
        <v>7.5674</v>
      </c>
      <c r="AN53" s="28">
        <f>VLOOKUP($Q53,武学奇术!$A:$ZZ,27,FALSE)*(1+IF(OR($AL53=$F$4,$AL53=$F$5),$B$22,0))</f>
        <v>3139.5</v>
      </c>
      <c r="AO53" s="27">
        <f>VLOOKUP($Q53,武学奇术!$A:$ZZ,28,FALSE)</f>
        <v>11.3512</v>
      </c>
      <c r="AP53" s="28">
        <f>VLOOKUP($Q53,武学奇术!$A:$ZZ,29,FALSE)*(1+IF(OR($AL53=$F$4,$AL53=$F$5),$B$22,0))</f>
        <v>1710</v>
      </c>
      <c r="AQ53" s="27" cm="1">
        <f t="array" ref="AQ53">$G$3+IFERROR(VLOOKUP($AL53,$F$4:$G$7,2,FALSE),0)+VLOOKUP($Q53,武学奇术!$A:$ZZ,2,FALSE)+SUM(_xlfn.XLOOKUP($R53:$AK53,增益!$A:$A,增益!$B:$B,0))</f>
        <v>0.8141</v>
      </c>
      <c r="AR53" s="27" cm="1">
        <f t="array" ref="AR53">VLOOKUP($Q53,武学奇术!$A:$ZZ,5,FALSE)+SUM(_xlfn.XLOOKUP($R53:$AK53,增益!$A:$A,增益!$E:$E,0))</f>
        <v>0</v>
      </c>
      <c r="AS53" cm="1">
        <f t="array" ref="AS53">$D$10*(1+$AR53)+VLOOKUP($Q53,武学奇术!$A:$ZZ,3,FALSE)+SUM(_xlfn.XLOOKUP($R53:$AK53,增益!$A:$A,增益!$C:$C,0))-$I$2</f>
        <v>3648.7</v>
      </c>
      <c r="AT53" cm="1">
        <f t="array" ref="AT53">$E$10*(1+$AR53)+VLOOKUP($Q53,武学奇术!$A:$ZZ,4,FALSE)+SUM(_xlfn.XLOOKUP($R53:$AK53,增益!$A:$A,增益!$D:$D,0))-$I$2</f>
        <v>3648.7</v>
      </c>
      <c r="AU53" s="34" cm="1">
        <f t="array" ref="AU53">IF($F$10-$I$3+VLOOKUP($Q53,武学奇术!$A:$ZZ,6,FALSE)+SUM(_xlfn.XLOOKUP($R53:$AK53,增益!$A:$A,增益!$F:$F,0))&gt;0,($F$10-$I$3+VLOOKUP($Q53,武学奇术!$A:$ZZ,6,FALSE)+SUM(_xlfn.XLOOKUP($R53:$AK53,增益!$A:$A,增益!$F:$F,0)))/200,($F$10-$I$3+VLOOKUP($Q53,武学奇术!$A:$ZZ,6,FALSE)+SUM(_xlfn.XLOOKUP($R53:$AK53,增益!$A:$A,增益!$F:$F,0)))/100)</f>
        <v>0.452</v>
      </c>
      <c r="AV53" s="34" cm="1">
        <f t="array" ref="AV53">$G$10+VLOOKUP($Q53,武学奇术!$A:$ZZ,7,FALSE)+SUM(_xlfn.XLOOKUP($R53:$AK53,增益!$A:$A,增益!$G:$G,0))</f>
        <v>0</v>
      </c>
      <c r="AW53" s="27" cm="1">
        <f t="array" ref="AW53">VLOOKUP($Q53,武学奇术!$A:$ZZ,8,FALSE)+SUM(_xlfn.XLOOKUP($R53:$AK53,增益!$A:$A,增益!$H:$H,0))</f>
        <v>0</v>
      </c>
      <c r="AX53">
        <f t="shared" si="12"/>
        <v>0</v>
      </c>
      <c r="AY53">
        <f t="shared" si="13"/>
        <v>0</v>
      </c>
      <c r="AZ53" s="34" cm="1">
        <f t="array" ref="AZ53">IF($F$11-$I$4+VLOOKUP($Q53,武学奇术!$A:$ZZ,9,FALSE)+SUM(_xlfn.XLOOKUP($R53:$AK53,增益!$A:$A,增益!$I:$I,0))&gt;0,($F$11-$I$4+VLOOKUP($Q53,武学奇术!$A:$ZZ,9,FALSE)+SUM(_xlfn.XLOOKUP($R53:$AK53,增益!$A:$A,增益!$I:$I,0)))/200,($F$11-$I$4+VLOOKUP($Q53,武学奇术!$A:$ZZ,9,FALSE)+SUM(_xlfn.XLOOKUP($R53:$AK53,增益!$A:$A,增益!$I:$I,0)))/100)</f>
        <v>-0.14</v>
      </c>
      <c r="BA53" s="34" cm="1">
        <f t="array" ref="BA53">$G$11+VLOOKUP($Q53,武学奇术!$A:$ZZ,10,FALSE)+SUM(_xlfn.XLOOKUP($R53:$AK53,增益!$A:$A,增益!$J:$J,0))</f>
        <v>0.1</v>
      </c>
      <c r="BB53">
        <f t="shared" si="14"/>
        <v>594.1</v>
      </c>
      <c r="BC53">
        <f t="shared" si="15"/>
        <v>1604.9</v>
      </c>
      <c r="BD53" s="34" cm="1">
        <f t="array" ref="BD53">IF($F$12-$I$4+VLOOKUP($Q53,武学奇术!$A:$ZZ,11,FALSE)+SUM(_xlfn.XLOOKUP($R53:$AK53,增益!$A:$A,增益!$K:$K,0))&gt;0,($F$12-$I$4+VLOOKUP($Q53,武学奇术!$A:$ZZ,11,FALSE)+SUM(_xlfn.XLOOKUP($R53:$AK53,增益!$A:$A,增益!$K:$K,0)))/200,($F$12-$I$4+VLOOKUP($Q53,武学奇术!$A:$ZZ,11,FALSE)+SUM(_xlfn.XLOOKUP($R53:$AK53,增益!$A:$A,增益!$K:$K,0)))/100)</f>
        <v>0.17</v>
      </c>
      <c r="BE53" s="34" cm="1">
        <f t="array" ref="BE53">$G$12+VLOOKUP($Q53,武学奇术!$A:$ZZ,12,FALSE)+SUM(_xlfn.XLOOKUP($R53:$AK53,增益!$A:$A,增益!$L:$L,0))</f>
        <v>0.15</v>
      </c>
      <c r="BF53">
        <f t="shared" si="16"/>
        <v>0</v>
      </c>
      <c r="BG53">
        <f t="shared" si="17"/>
        <v>0</v>
      </c>
      <c r="BH53" s="34" cm="1">
        <f t="array" ref="BH53">IF($F$13-$I$4+VLOOKUP($Q53,武学奇术!$A:$ZZ,13,FALSE)+SUM(_xlfn.XLOOKUP($R53:$AK53,增益!$A:$A,增益!$M:$M,0))&gt;0,($F$13-$I$4+VLOOKUP($Q53,武学奇术!$A:$ZZ,13,FALSE)+SUM(_xlfn.XLOOKUP($R53:$AK53,增益!$A:$A,增益!$K:$K,0)))/200,($F$13-$I$4+VLOOKUP($Q53,武学奇术!$A:$ZZ,13,FALSE)+SUM(_xlfn.XLOOKUP($R53:$AK53,增益!$A:$A,增益!$M:$M,0)))/100)</f>
        <v>-0.14</v>
      </c>
      <c r="BI53" s="34" cm="1">
        <f t="array" ref="BI53">$G$13+VLOOKUP($Q53,武学奇术!$A:$ZZ,14,FALSE)+SUM(_xlfn.XLOOKUP($R53:$AK53,增益!$A:$A,增益!$N:$N,0))</f>
        <v>0</v>
      </c>
      <c r="BJ53">
        <f t="shared" si="18"/>
        <v>0</v>
      </c>
      <c r="BK53">
        <f t="shared" si="19"/>
        <v>0</v>
      </c>
      <c r="BL53" s="34" cm="1">
        <f t="array" ref="BL53">IF($F$14-$I$4+VLOOKUP($Q53,武学奇术!$A:$ZZ,15,FALSE)+SUM(_xlfn.XLOOKUP($R53:$AK53,增益!$A:$A,增益!$O:$O,0))&gt;0,($F$14-$I$4+VLOOKUP($Q53,武学奇术!$A:$ZZ,15,FALSE)+SUM(_xlfn.XLOOKUP($R53:$AK53,增益!$A:$A,增益!$O:$O,0)))/200,($F$14-$I$4+VLOOKUP($Q53,武学奇术!$A:$ZZ,15,FALSE)+SUM(_xlfn.XLOOKUP($R53:$AK53,增益!$A:$A,增益!$O:$O,0)))/100)</f>
        <v>-0.14</v>
      </c>
      <c r="BM53" s="34" cm="1">
        <f t="array" ref="BM53">$G$14+VLOOKUP($Q53,武学奇术!$A:$ZZ,16,FALSE)+SUM(_xlfn.XLOOKUP($R53:$AK53,增益!$A:$A,增益!$P:$P,0))</f>
        <v>0</v>
      </c>
      <c r="BN53" s="27">
        <f>MIN(IF(VLOOKUP($Q53,武学奇术!$A:$ZZ,23,FALSE)=1,100%,$B$8),100%)</f>
        <v>1</v>
      </c>
      <c r="BO53" s="27" cm="1">
        <f t="array" ref="BO53">IF(VLOOKUP($Q53,武学奇术!$A:$ZZ,23,FALSE)=1,100%,MIN(80%,$B$9+VLOOKUP($Q53,武学奇术!$A:$ZZ,17,FALSE)+SUM(_xlfn.XLOOKUP($R53:$AK53,增益!$A:$A,增益!$Q:$Q,0)))+$B$11+SUM(_xlfn.XLOOKUP($R53:$AK53,增益!$A:$A,增益!$U:$U,0)))*IF(VLOOKUP($Q53,武学奇术!$A:$ZZ,24,FALSE)=1,0,1)</f>
        <v>1</v>
      </c>
      <c r="BP53" s="27" cm="1">
        <f t="array" ref="BP53">1+$B$13+VLOOKUP($Q53,武学奇术!$A:$ZZ,18,FALSE)+SUM(_xlfn.XLOOKUP($R53:$AK53,增益!$A:$A,增益!$R:$R,0))</f>
        <v>2.1</v>
      </c>
      <c r="BQ53" s="27" cm="1">
        <f t="array" ref="BQ53">IF(VLOOKUP($Q53,武学奇术!$A:$ZZ,24,FALSE)=1,100%,MIN(40%,$B$10+VLOOKUP($Q53,武学奇术!$A:$ZZ,19,FALSE)+SUM(_xlfn.XLOOKUP($R53:$AK53,增益!$A:$A,增益!$S:$S,0)))+$B$12+SUM(_xlfn.XLOOKUP($R53:$AK53,增益!$A:$A,增益!$V:$V,0)))*IF(VLOOKUP($Q53,武学奇术!$A:$ZZ,23,FALSE)=1,0,1)</f>
        <v>0</v>
      </c>
      <c r="BR53" s="27" cm="1">
        <f t="array" ref="BR53">1+$B$14+VLOOKUP($Q53,武学奇术!$A:$ZZ,20,FALSE)+SUM(_xlfn.XLOOKUP($R53:$AK53,增益!$A:$A,增益!$T:$T,0))</f>
        <v>1.35</v>
      </c>
      <c r="BS53" s="27">
        <f t="shared" si="20"/>
        <v>1</v>
      </c>
      <c r="BT53" s="27">
        <f t="shared" si="21"/>
        <v>0</v>
      </c>
      <c r="BU53" s="27">
        <f>IF(VLOOKUP($Q53,武学奇术!$A:$ZZ,22,FALSE)=1,0,(1-$BN53))*(1-$BQ53)</f>
        <v>0</v>
      </c>
      <c r="BV53" s="27" cm="1">
        <f t="array" ref="BV53">SUM(_xlfn.XLOOKUP($R53:$AK53,增益!$A:$A,增益!$W:$W,0))+$I$5</f>
        <v>0.31</v>
      </c>
    </row>
    <row r="54" spans="1:74">
      <c r="A54" t="s">
        <v>178</v>
      </c>
      <c r="B54">
        <v>1</v>
      </c>
      <c r="K54" s="40">
        <f t="shared" si="11"/>
        <v>74278.0166914206</v>
      </c>
      <c r="L54" s="40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BP54*$P54*(1+IF(VLOOKUP($Q54,武学奇术!$A:$ZZ,30,FALSE)="蓄力技",$B$21,0))*(1+$BV54)</f>
        <v>74278.0166914206</v>
      </c>
      <c r="M54" s="40">
        <f>(($AT54*$AM54+$AN54)*(1+$AU54)*(1+$AV54)+($AY54*IF($G$1="鸣金",$AO54,$AM54)+IF($G$1="鸣金",$AP54*1.5,0))*(1+$AZ54)*(1+$BA54)+($BC54*IF($G$1="裂石",$AO54,$AM54)+IF($G$1="裂石",$AP54*1.5,0))*(1+$BD54)*(1+$BE54)+($BG54*IF($G$1="牵丝",$AO54,$AM54)+IF($G$1="牵丝",$AP54*1.5,0))*(1+$BH54)*(1+$BI54)+($BK54*IF($G$1="破竹",$AO54,$AM54)+IF($G$1="破竹",$AP54*1.5,0))*(1+$BL54)*(1+$BM54))*(1+$AQ54)*$BR54*$P54*(1+IF(VLOOKUP($Q54,武学奇术!$A:$ZZ,30,FALSE)="蓄力技",$B$21,0))*(1+$BV54)</f>
        <v>54229.6563068312</v>
      </c>
      <c r="N54" s="40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P54*(1+IF(VLOOKUP($Q54,武学奇术!$A:$ZZ,30,FALSE)="蓄力技",$B$21,0))*(1+$BV54)</f>
        <v>35370.4841387717</v>
      </c>
      <c r="O54" s="40">
        <f>((($AS54*$AM54+$AN54)*(1+$AU54)*(1+$AV54)+($AX54*IF($G$1="鸣金",$AO54,$AM54)+IF($G$1="鸣金",$AP54*1.5,0))*(1+$AZ54)*(1+$BA54)+($BB54*IF($G$1="裂石",$AO54,$AM54)+IF($G$1="裂石",$AP54*1.5,0))*(1+$BD54)*(1+$BE54)+($BF54*IF($G$1="牵丝",$AO54,$AM54)+IF($G$1="牵丝",$AP54*1.5,0))*(1+$BH54)*(1+$BI54)+($BJ54*IF($G$1="破竹",$AO54,$AM54)+IF($G$1="破竹",$AP54*1.5,0))*(1+$BL54)*(1+$BM54))*(1+$AQ54))*$P54*(1+IF(VLOOKUP($Q54,武学奇术!$A:$ZZ,30,FALSE)="蓄力技",$B$21,0))*(1+$BV54)</f>
        <v>30570.8524947054</v>
      </c>
      <c r="P54" s="41">
        <v>3</v>
      </c>
      <c r="Q54" s="42" t="s">
        <v>125</v>
      </c>
      <c r="R54" s="42" t="s">
        <v>103</v>
      </c>
      <c r="S54" s="42" t="s">
        <v>169</v>
      </c>
      <c r="T54" s="42" t="s">
        <v>86</v>
      </c>
      <c r="U54" s="42" t="s">
        <v>121</v>
      </c>
      <c r="V54" s="42" t="s">
        <v>118</v>
      </c>
      <c r="W54" s="42" t="s">
        <v>77</v>
      </c>
      <c r="X54" s="42" t="s">
        <v>176</v>
      </c>
      <c r="Y54" s="42" t="s">
        <v>186</v>
      </c>
      <c r="Z54" s="42" t="s">
        <v>187</v>
      </c>
      <c r="AA54" s="42" t="s">
        <v>73</v>
      </c>
      <c r="AB54" s="42" t="s">
        <v>95</v>
      </c>
      <c r="AC54" s="42" t="s">
        <v>77</v>
      </c>
      <c r="AD54" s="42" t="s">
        <v>80</v>
      </c>
      <c r="AE54" s="42" t="s">
        <v>81</v>
      </c>
      <c r="AF54" s="42" t="s">
        <v>82</v>
      </c>
      <c r="AG54" s="42" t="s">
        <v>77</v>
      </c>
      <c r="AH54" s="42" t="s">
        <v>77</v>
      </c>
      <c r="AI54" s="42" t="s">
        <v>77</v>
      </c>
      <c r="AJ54" s="42" t="s">
        <v>77</v>
      </c>
      <c r="AK54" s="42" t="s">
        <v>90</v>
      </c>
      <c r="AL54" t="str">
        <f>VLOOKUP($Q54,武学奇术!$A:$ZZ,25,FALSE)</f>
        <v>陌刀</v>
      </c>
      <c r="AM54" s="27">
        <f>VLOOKUP($Q54,武学奇术!$A:$ZZ,26,FALSE)</f>
        <v>0.5</v>
      </c>
      <c r="AN54" s="28">
        <f>VLOOKUP($Q54,武学奇术!$A:$ZZ,27,FALSE)*(1+IF(OR($AL54=$F$4,$AL54=$F$5),$B$22,0))</f>
        <v>0</v>
      </c>
      <c r="AO54" s="27">
        <f>VLOOKUP($Q54,武学奇术!$A:$ZZ,28,FALSE)</f>
        <v>0.75</v>
      </c>
      <c r="AP54" s="28">
        <f>VLOOKUP($Q54,武学奇术!$A:$ZZ,29,FALSE)*(1+IF(OR($AL54=$F$4,$AL54=$F$5),$B$22,0))</f>
        <v>0</v>
      </c>
      <c r="AQ54" s="27" cm="1">
        <f t="array" ref="AQ54">$G$3+IFERROR(VLOOKUP($AL54,$F$4:$G$7,2,FALSE),0)+VLOOKUP($Q54,武学奇术!$A:$ZZ,2,FALSE)+SUM(_xlfn.XLOOKUP($R54:$AK54,增益!$A:$A,增益!$B:$B,0))</f>
        <v>0.8141</v>
      </c>
      <c r="AR54" s="27" cm="1">
        <f t="array" ref="AR54">VLOOKUP($Q54,武学奇术!$A:$ZZ,5,FALSE)+SUM(_xlfn.XLOOKUP($R54:$AK54,增益!$A:$A,增益!$E:$E,0))</f>
        <v>0</v>
      </c>
      <c r="AS54" cm="1">
        <f t="array" ref="AS54">$D$10*(1+$AR54)+VLOOKUP($Q54,武学奇术!$A:$ZZ,3,FALSE)+SUM(_xlfn.XLOOKUP($R54:$AK54,增益!$A:$A,增益!$C:$C,0))-$I$2</f>
        <v>3648.7</v>
      </c>
      <c r="AT54" cm="1">
        <f t="array" ref="AT54">$E$10*(1+$AR54)+VLOOKUP($Q54,武学奇术!$A:$ZZ,4,FALSE)+SUM(_xlfn.XLOOKUP($R54:$AK54,增益!$A:$A,增益!$D:$D,0))-$I$2</f>
        <v>3648.7</v>
      </c>
      <c r="AU54" s="34" cm="1">
        <f t="array" ref="AU54">IF($F$10-$I$3+VLOOKUP($Q54,武学奇术!$A:$ZZ,6,FALSE)+SUM(_xlfn.XLOOKUP($R54:$AK54,增益!$A:$A,增益!$F:$F,0))&gt;0,($F$10-$I$3+VLOOKUP($Q54,武学奇术!$A:$ZZ,6,FALSE)+SUM(_xlfn.XLOOKUP($R54:$AK54,增益!$A:$A,增益!$F:$F,0)))/200,($F$10-$I$3+VLOOKUP($Q54,武学奇术!$A:$ZZ,6,FALSE)+SUM(_xlfn.XLOOKUP($R54:$AK54,增益!$A:$A,增益!$F:$F,0)))/100)</f>
        <v>0.452</v>
      </c>
      <c r="AV54" s="34" cm="1">
        <f t="array" ref="AV54">$G$10+VLOOKUP($Q54,武学奇术!$A:$ZZ,7,FALSE)+SUM(_xlfn.XLOOKUP($R54:$AK54,增益!$A:$A,增益!$G:$G,0))</f>
        <v>0</v>
      </c>
      <c r="AW54" s="27" cm="1">
        <f t="array" ref="AW54">VLOOKUP($Q54,武学奇术!$A:$ZZ,8,FALSE)+SUM(_xlfn.XLOOKUP($R54:$AK54,增益!$A:$A,增益!$H:$H,0))</f>
        <v>0</v>
      </c>
      <c r="AX54">
        <f t="shared" si="12"/>
        <v>0</v>
      </c>
      <c r="AY54">
        <f t="shared" si="13"/>
        <v>0</v>
      </c>
      <c r="AZ54" s="34" cm="1">
        <f t="array" ref="AZ54">IF($F$11-$I$4+VLOOKUP($Q54,武学奇术!$A:$ZZ,9,FALSE)+SUM(_xlfn.XLOOKUP($R54:$AK54,增益!$A:$A,增益!$I:$I,0))&gt;0,($F$11-$I$4+VLOOKUP($Q54,武学奇术!$A:$ZZ,9,FALSE)+SUM(_xlfn.XLOOKUP($R54:$AK54,增益!$A:$A,增益!$I:$I,0)))/200,($F$11-$I$4+VLOOKUP($Q54,武学奇术!$A:$ZZ,9,FALSE)+SUM(_xlfn.XLOOKUP($R54:$AK54,增益!$A:$A,增益!$I:$I,0)))/100)</f>
        <v>-0.14</v>
      </c>
      <c r="BA54" s="34" cm="1">
        <f t="array" ref="BA54">$G$11+VLOOKUP($Q54,武学奇术!$A:$ZZ,10,FALSE)+SUM(_xlfn.XLOOKUP($R54:$AK54,增益!$A:$A,增益!$J:$J,0))</f>
        <v>0.1</v>
      </c>
      <c r="BB54">
        <f t="shared" si="14"/>
        <v>594.1</v>
      </c>
      <c r="BC54">
        <f t="shared" si="15"/>
        <v>1604.9</v>
      </c>
      <c r="BD54" s="34" cm="1">
        <f t="array" ref="BD54">IF($F$12-$I$4+VLOOKUP($Q54,武学奇术!$A:$ZZ,11,FALSE)+SUM(_xlfn.XLOOKUP($R54:$AK54,增益!$A:$A,增益!$K:$K,0))&gt;0,($F$12-$I$4+VLOOKUP($Q54,武学奇术!$A:$ZZ,11,FALSE)+SUM(_xlfn.XLOOKUP($R54:$AK54,增益!$A:$A,增益!$K:$K,0)))/200,($F$12-$I$4+VLOOKUP($Q54,武学奇术!$A:$ZZ,11,FALSE)+SUM(_xlfn.XLOOKUP($R54:$AK54,增益!$A:$A,增益!$K:$K,0)))/100)</f>
        <v>0.17</v>
      </c>
      <c r="BE54" s="34" cm="1">
        <f t="array" ref="BE54">$G$12+VLOOKUP($Q54,武学奇术!$A:$ZZ,12,FALSE)+SUM(_xlfn.XLOOKUP($R54:$AK54,增益!$A:$A,增益!$L:$L,0))</f>
        <v>0.15</v>
      </c>
      <c r="BF54">
        <f t="shared" si="16"/>
        <v>0</v>
      </c>
      <c r="BG54">
        <f t="shared" si="17"/>
        <v>0</v>
      </c>
      <c r="BH54" s="34" cm="1">
        <f t="array" ref="BH54">IF($F$13-$I$4+VLOOKUP($Q54,武学奇术!$A:$ZZ,13,FALSE)+SUM(_xlfn.XLOOKUP($R54:$AK54,增益!$A:$A,增益!$M:$M,0))&gt;0,($F$13-$I$4+VLOOKUP($Q54,武学奇术!$A:$ZZ,13,FALSE)+SUM(_xlfn.XLOOKUP($R54:$AK54,增益!$A:$A,增益!$K:$K,0)))/200,($F$13-$I$4+VLOOKUP($Q54,武学奇术!$A:$ZZ,13,FALSE)+SUM(_xlfn.XLOOKUP($R54:$AK54,增益!$A:$A,增益!$M:$M,0)))/100)</f>
        <v>-0.14</v>
      </c>
      <c r="BI54" s="34" cm="1">
        <f t="array" ref="BI54">$G$13+VLOOKUP($Q54,武学奇术!$A:$ZZ,14,FALSE)+SUM(_xlfn.XLOOKUP($R54:$AK54,增益!$A:$A,增益!$N:$N,0))</f>
        <v>0</v>
      </c>
      <c r="BJ54">
        <f t="shared" si="18"/>
        <v>0</v>
      </c>
      <c r="BK54">
        <f t="shared" si="19"/>
        <v>0</v>
      </c>
      <c r="BL54" s="34" cm="1">
        <f t="array" ref="BL54">IF($F$14-$I$4+VLOOKUP($Q54,武学奇术!$A:$ZZ,15,FALSE)+SUM(_xlfn.XLOOKUP($R54:$AK54,增益!$A:$A,增益!$O:$O,0))&gt;0,($F$14-$I$4+VLOOKUP($Q54,武学奇术!$A:$ZZ,15,FALSE)+SUM(_xlfn.XLOOKUP($R54:$AK54,增益!$A:$A,增益!$O:$O,0)))/200,($F$14-$I$4+VLOOKUP($Q54,武学奇术!$A:$ZZ,15,FALSE)+SUM(_xlfn.XLOOKUP($R54:$AK54,增益!$A:$A,增益!$O:$O,0)))/100)</f>
        <v>-0.14</v>
      </c>
      <c r="BM54" s="34" cm="1">
        <f t="array" ref="BM54">$G$14+VLOOKUP($Q54,武学奇术!$A:$ZZ,16,FALSE)+SUM(_xlfn.XLOOKUP($R54:$AK54,增益!$A:$A,增益!$P:$P,0))</f>
        <v>0</v>
      </c>
      <c r="BN54" s="27">
        <f>MIN(IF(VLOOKUP($Q54,武学奇术!$A:$ZZ,23,FALSE)=1,100%,$B$8),100%)</f>
        <v>1</v>
      </c>
      <c r="BO54" s="27" cm="1">
        <f t="array" ref="BO54">IF(VLOOKUP($Q54,武学奇术!$A:$ZZ,23,FALSE)=1,100%,MIN(80%,$B$9+VLOOKUP($Q54,武学奇术!$A:$ZZ,17,FALSE)+SUM(_xlfn.XLOOKUP($R54:$AK54,增益!$A:$A,增益!$Q:$Q,0)))+$B$11+SUM(_xlfn.XLOOKUP($R54:$AK54,增益!$A:$A,增益!$U:$U,0)))*IF(VLOOKUP($Q54,武学奇术!$A:$ZZ,24,FALSE)=1,0,1)</f>
        <v>1</v>
      </c>
      <c r="BP54" s="27" cm="1">
        <f t="array" ref="BP54">1+$B$13+VLOOKUP($Q54,武学奇术!$A:$ZZ,18,FALSE)+SUM(_xlfn.XLOOKUP($R54:$AK54,增益!$A:$A,增益!$R:$R,0))</f>
        <v>2.1</v>
      </c>
      <c r="BQ54" s="27" cm="1">
        <f t="array" ref="BQ54">IF(VLOOKUP($Q54,武学奇术!$A:$ZZ,24,FALSE)=1,100%,MIN(40%,$B$10+VLOOKUP($Q54,武学奇术!$A:$ZZ,19,FALSE)+SUM(_xlfn.XLOOKUP($R54:$AK54,增益!$A:$A,增益!$S:$S,0)))+$B$12+SUM(_xlfn.XLOOKUP($R54:$AK54,增益!$A:$A,增益!$V:$V,0)))*IF(VLOOKUP($Q54,武学奇术!$A:$ZZ,23,FALSE)=1,0,1)</f>
        <v>0</v>
      </c>
      <c r="BR54" s="27" cm="1">
        <f t="array" ref="BR54">1+$B$14+VLOOKUP($Q54,武学奇术!$A:$ZZ,20,FALSE)+SUM(_xlfn.XLOOKUP($R54:$AK54,增益!$A:$A,增益!$T:$T,0))</f>
        <v>1.35</v>
      </c>
      <c r="BS54" s="27">
        <f t="shared" si="20"/>
        <v>1</v>
      </c>
      <c r="BT54" s="27">
        <f t="shared" si="21"/>
        <v>0</v>
      </c>
      <c r="BU54" s="27">
        <f>IF(VLOOKUP($Q54,武学奇术!$A:$ZZ,22,FALSE)=1,0,(1-$BN54))*(1-$BQ54)</f>
        <v>0</v>
      </c>
      <c r="BV54" s="27" cm="1">
        <f t="array" ref="BV54">SUM(_xlfn.XLOOKUP($R54:$AK54,增益!$A:$A,增益!$W:$W,0))+$I$5</f>
        <v>0.31</v>
      </c>
    </row>
    <row r="55" spans="1:74">
      <c r="A55" t="s">
        <v>164</v>
      </c>
      <c r="B55">
        <v>2.3</v>
      </c>
      <c r="D55" s="41" t="s">
        <v>168</v>
      </c>
      <c r="K55" s="40">
        <f t="shared" si="11"/>
        <v>133700.430044557</v>
      </c>
      <c r="L55" s="40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BP55*$P55*(1+IF(VLOOKUP($Q55,武学奇术!$A:$ZZ,30,FALSE)="蓄力技",$B$21,0))*(1+$BV55)</f>
        <v>133700.430044557</v>
      </c>
      <c r="M55" s="40">
        <f>(($AT55*$AM55+$AN55)*(1+$AU55)*(1+$AV55)+($AY55*IF($G$1="鸣金",$AO55,$AM55)+IF($G$1="鸣金",$AP55*1.5,0))*(1+$AZ55)*(1+$BA55)+($BC55*IF($G$1="裂石",$AO55,$AM55)+IF($G$1="裂石",$AP55*1.5,0))*(1+$BD55)*(1+$BE55)+($BG55*IF($G$1="牵丝",$AO55,$AM55)+IF($G$1="牵丝",$AP55*1.5,0))*(1+$BH55)*(1+$BI55)+($BK55*IF($G$1="破竹",$AO55,$AM55)+IF($G$1="破竹",$AP55*1.5,0))*(1+$BL55)*(1+$BM55))*(1+$AQ55)*$BR55*$P55*(1+IF(VLOOKUP($Q55,武学奇术!$A:$ZZ,30,FALSE)="蓄力技",$B$21,0))*(1+$BV55)</f>
        <v>97613.3813522963</v>
      </c>
      <c r="N55" s="40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P55*(1+IF(VLOOKUP($Q55,武学奇术!$A:$ZZ,30,FALSE)="蓄力技",$B$21,0))*(1+$BV55)</f>
        <v>63666.8714497891</v>
      </c>
      <c r="O55" s="40">
        <f>((($AS55*$AM55+$AN55)*(1+$AU55)*(1+$AV55)+($AX55*IF($G$1="鸣金",$AO55,$AM55)+IF($G$1="鸣金",$AP55*1.5,0))*(1+$AZ55)*(1+$BA55)+($BB55*IF($G$1="裂石",$AO55,$AM55)+IF($G$1="裂石",$AP55*1.5,0))*(1+$BD55)*(1+$BE55)+($BF55*IF($G$1="牵丝",$AO55,$AM55)+IF($G$1="牵丝",$AP55*1.5,0))*(1+$BH55)*(1+$BI55)+($BJ55*IF($G$1="破竹",$AO55,$AM55)+IF($G$1="破竹",$AP55*1.5,0))*(1+$BL55)*(1+$BM55))*(1+$AQ55))*$P55*(1+IF(VLOOKUP($Q55,武学奇术!$A:$ZZ,30,FALSE)="蓄力技",$B$21,0))*(1+$BV55)</f>
        <v>55027.5344904698</v>
      </c>
      <c r="P55" s="41">
        <v>3</v>
      </c>
      <c r="Q55" s="42" t="s">
        <v>117</v>
      </c>
      <c r="R55" s="42" t="s">
        <v>103</v>
      </c>
      <c r="S55" s="42" t="s">
        <v>169</v>
      </c>
      <c r="T55" s="42" t="s">
        <v>86</v>
      </c>
      <c r="U55" s="42" t="s">
        <v>121</v>
      </c>
      <c r="V55" s="42" t="s">
        <v>118</v>
      </c>
      <c r="W55" s="42" t="s">
        <v>77</v>
      </c>
      <c r="X55" s="42" t="s">
        <v>176</v>
      </c>
      <c r="Y55" s="42" t="s">
        <v>186</v>
      </c>
      <c r="Z55" s="42" t="s">
        <v>187</v>
      </c>
      <c r="AA55" s="42" t="s">
        <v>73</v>
      </c>
      <c r="AB55" s="42" t="s">
        <v>95</v>
      </c>
      <c r="AC55" s="42" t="s">
        <v>77</v>
      </c>
      <c r="AD55" s="42" t="s">
        <v>80</v>
      </c>
      <c r="AE55" s="42" t="s">
        <v>81</v>
      </c>
      <c r="AF55" s="42" t="s">
        <v>82</v>
      </c>
      <c r="AG55" s="42" t="s">
        <v>77</v>
      </c>
      <c r="AH55" s="42" t="s">
        <v>77</v>
      </c>
      <c r="AI55" s="42" t="s">
        <v>77</v>
      </c>
      <c r="AJ55" s="42" t="s">
        <v>77</v>
      </c>
      <c r="AK55" s="42" t="s">
        <v>90</v>
      </c>
      <c r="AL55" t="str">
        <f>VLOOKUP($Q55,武学奇术!$A:$ZZ,25,FALSE)</f>
        <v>陌刀</v>
      </c>
      <c r="AM55" s="27">
        <f>VLOOKUP($Q55,武学奇术!$A:$ZZ,26,FALSE)</f>
        <v>0.9</v>
      </c>
      <c r="AN55" s="28">
        <f>VLOOKUP($Q55,武学奇术!$A:$ZZ,27,FALSE)*(1+IF(OR($AL55=$F$4,$AL55=$F$5),$B$22,0))</f>
        <v>0</v>
      </c>
      <c r="AO55" s="27">
        <f>VLOOKUP($Q55,武学奇术!$A:$ZZ,28,FALSE)</f>
        <v>1.35</v>
      </c>
      <c r="AP55" s="28">
        <f>VLOOKUP($Q55,武学奇术!$A:$ZZ,29,FALSE)*(1+IF(OR($AL55=$F$4,$AL55=$F$5),$B$22,0))</f>
        <v>0</v>
      </c>
      <c r="AQ55" s="27" cm="1">
        <f t="array" ref="AQ55">$G$3+IFERROR(VLOOKUP($AL55,$F$4:$G$7,2,FALSE),0)+VLOOKUP($Q55,武学奇术!$A:$ZZ,2,FALSE)+SUM(_xlfn.XLOOKUP($R55:$AK55,增益!$A:$A,增益!$B:$B,0))</f>
        <v>0.8141</v>
      </c>
      <c r="AR55" s="27" cm="1">
        <f t="array" ref="AR55">VLOOKUP($Q55,武学奇术!$A:$ZZ,5,FALSE)+SUM(_xlfn.XLOOKUP($R55:$AK55,增益!$A:$A,增益!$E:$E,0))</f>
        <v>0</v>
      </c>
      <c r="AS55" cm="1">
        <f t="array" ref="AS55">$D$10*(1+$AR55)+VLOOKUP($Q55,武学奇术!$A:$ZZ,3,FALSE)+SUM(_xlfn.XLOOKUP($R55:$AK55,增益!$A:$A,增益!$C:$C,0))-$I$2</f>
        <v>3648.7</v>
      </c>
      <c r="AT55" cm="1">
        <f t="array" ref="AT55">$E$10*(1+$AR55)+VLOOKUP($Q55,武学奇术!$A:$ZZ,4,FALSE)+SUM(_xlfn.XLOOKUP($R55:$AK55,增益!$A:$A,增益!$D:$D,0))-$I$2</f>
        <v>3648.7</v>
      </c>
      <c r="AU55" s="34" cm="1">
        <f t="array" ref="AU55">IF($F$10-$I$3+VLOOKUP($Q55,武学奇术!$A:$ZZ,6,FALSE)+SUM(_xlfn.XLOOKUP($R55:$AK55,增益!$A:$A,增益!$F:$F,0))&gt;0,($F$10-$I$3+VLOOKUP($Q55,武学奇术!$A:$ZZ,6,FALSE)+SUM(_xlfn.XLOOKUP($R55:$AK55,增益!$A:$A,增益!$F:$F,0)))/200,($F$10-$I$3+VLOOKUP($Q55,武学奇术!$A:$ZZ,6,FALSE)+SUM(_xlfn.XLOOKUP($R55:$AK55,增益!$A:$A,增益!$F:$F,0)))/100)</f>
        <v>0.452</v>
      </c>
      <c r="AV55" s="34" cm="1">
        <f t="array" ref="AV55">$G$10+VLOOKUP($Q55,武学奇术!$A:$ZZ,7,FALSE)+SUM(_xlfn.XLOOKUP($R55:$AK55,增益!$A:$A,增益!$G:$G,0))</f>
        <v>0</v>
      </c>
      <c r="AW55" s="27" cm="1">
        <f t="array" ref="AW55">VLOOKUP($Q55,武学奇术!$A:$ZZ,8,FALSE)+SUM(_xlfn.XLOOKUP($R55:$AK55,增益!$A:$A,增益!$H:$H,0))</f>
        <v>0</v>
      </c>
      <c r="AX55">
        <f t="shared" si="12"/>
        <v>0</v>
      </c>
      <c r="AY55">
        <f t="shared" si="13"/>
        <v>0</v>
      </c>
      <c r="AZ55" s="34" cm="1">
        <f t="array" ref="AZ55">IF($F$11-$I$4+VLOOKUP($Q55,武学奇术!$A:$ZZ,9,FALSE)+SUM(_xlfn.XLOOKUP($R55:$AK55,增益!$A:$A,增益!$I:$I,0))&gt;0,($F$11-$I$4+VLOOKUP($Q55,武学奇术!$A:$ZZ,9,FALSE)+SUM(_xlfn.XLOOKUP($R55:$AK55,增益!$A:$A,增益!$I:$I,0)))/200,($F$11-$I$4+VLOOKUP($Q55,武学奇术!$A:$ZZ,9,FALSE)+SUM(_xlfn.XLOOKUP($R55:$AK55,增益!$A:$A,增益!$I:$I,0)))/100)</f>
        <v>-0.14</v>
      </c>
      <c r="BA55" s="34" cm="1">
        <f t="array" ref="BA55">$G$11+VLOOKUP($Q55,武学奇术!$A:$ZZ,10,FALSE)+SUM(_xlfn.XLOOKUP($R55:$AK55,增益!$A:$A,增益!$J:$J,0))</f>
        <v>0.1</v>
      </c>
      <c r="BB55">
        <f t="shared" si="14"/>
        <v>594.1</v>
      </c>
      <c r="BC55">
        <f t="shared" si="15"/>
        <v>1604.9</v>
      </c>
      <c r="BD55" s="34" cm="1">
        <f t="array" ref="BD55">IF($F$12-$I$4+VLOOKUP($Q55,武学奇术!$A:$ZZ,11,FALSE)+SUM(_xlfn.XLOOKUP($R55:$AK55,增益!$A:$A,增益!$K:$K,0))&gt;0,($F$12-$I$4+VLOOKUP($Q55,武学奇术!$A:$ZZ,11,FALSE)+SUM(_xlfn.XLOOKUP($R55:$AK55,增益!$A:$A,增益!$K:$K,0)))/200,($F$12-$I$4+VLOOKUP($Q55,武学奇术!$A:$ZZ,11,FALSE)+SUM(_xlfn.XLOOKUP($R55:$AK55,增益!$A:$A,增益!$K:$K,0)))/100)</f>
        <v>0.17</v>
      </c>
      <c r="BE55" s="34" cm="1">
        <f t="array" ref="BE55">$G$12+VLOOKUP($Q55,武学奇术!$A:$ZZ,12,FALSE)+SUM(_xlfn.XLOOKUP($R55:$AK55,增益!$A:$A,增益!$L:$L,0))</f>
        <v>0.15</v>
      </c>
      <c r="BF55">
        <f t="shared" si="16"/>
        <v>0</v>
      </c>
      <c r="BG55">
        <f t="shared" si="17"/>
        <v>0</v>
      </c>
      <c r="BH55" s="34" cm="1">
        <f t="array" ref="BH55">IF($F$13-$I$4+VLOOKUP($Q55,武学奇术!$A:$ZZ,13,FALSE)+SUM(_xlfn.XLOOKUP($R55:$AK55,增益!$A:$A,增益!$M:$M,0))&gt;0,($F$13-$I$4+VLOOKUP($Q55,武学奇术!$A:$ZZ,13,FALSE)+SUM(_xlfn.XLOOKUP($R55:$AK55,增益!$A:$A,增益!$K:$K,0)))/200,($F$13-$I$4+VLOOKUP($Q55,武学奇术!$A:$ZZ,13,FALSE)+SUM(_xlfn.XLOOKUP($R55:$AK55,增益!$A:$A,增益!$M:$M,0)))/100)</f>
        <v>-0.14</v>
      </c>
      <c r="BI55" s="34" cm="1">
        <f t="array" ref="BI55">$G$13+VLOOKUP($Q55,武学奇术!$A:$ZZ,14,FALSE)+SUM(_xlfn.XLOOKUP($R55:$AK55,增益!$A:$A,增益!$N:$N,0))</f>
        <v>0</v>
      </c>
      <c r="BJ55">
        <f t="shared" si="18"/>
        <v>0</v>
      </c>
      <c r="BK55">
        <f t="shared" si="19"/>
        <v>0</v>
      </c>
      <c r="BL55" s="34" cm="1">
        <f t="array" ref="BL55">IF($F$14-$I$4+VLOOKUP($Q55,武学奇术!$A:$ZZ,15,FALSE)+SUM(_xlfn.XLOOKUP($R55:$AK55,增益!$A:$A,增益!$O:$O,0))&gt;0,($F$14-$I$4+VLOOKUP($Q55,武学奇术!$A:$ZZ,15,FALSE)+SUM(_xlfn.XLOOKUP($R55:$AK55,增益!$A:$A,增益!$O:$O,0)))/200,($F$14-$I$4+VLOOKUP($Q55,武学奇术!$A:$ZZ,15,FALSE)+SUM(_xlfn.XLOOKUP($R55:$AK55,增益!$A:$A,增益!$O:$O,0)))/100)</f>
        <v>-0.14</v>
      </c>
      <c r="BM55" s="34" cm="1">
        <f t="array" ref="BM55">$G$14+VLOOKUP($Q55,武学奇术!$A:$ZZ,16,FALSE)+SUM(_xlfn.XLOOKUP($R55:$AK55,增益!$A:$A,增益!$P:$P,0))</f>
        <v>0</v>
      </c>
      <c r="BN55" s="27">
        <f>MIN(IF(VLOOKUP($Q55,武学奇术!$A:$ZZ,23,FALSE)=1,100%,$B$8),100%)</f>
        <v>1</v>
      </c>
      <c r="BO55" s="27" cm="1">
        <f t="array" ref="BO55">IF(VLOOKUP($Q55,武学奇术!$A:$ZZ,23,FALSE)=1,100%,MIN(80%,$B$9+VLOOKUP($Q55,武学奇术!$A:$ZZ,17,FALSE)+SUM(_xlfn.XLOOKUP($R55:$AK55,增益!$A:$A,增益!$Q:$Q,0)))+$B$11+SUM(_xlfn.XLOOKUP($R55:$AK55,增益!$A:$A,增益!$U:$U,0)))*IF(VLOOKUP($Q55,武学奇术!$A:$ZZ,24,FALSE)=1,0,1)</f>
        <v>1</v>
      </c>
      <c r="BP55" s="27" cm="1">
        <f t="array" ref="BP55">1+$B$13+VLOOKUP($Q55,武学奇术!$A:$ZZ,18,FALSE)+SUM(_xlfn.XLOOKUP($R55:$AK55,增益!$A:$A,增益!$R:$R,0))</f>
        <v>2.1</v>
      </c>
      <c r="BQ55" s="27" cm="1">
        <f t="array" ref="BQ55">IF(VLOOKUP($Q55,武学奇术!$A:$ZZ,24,FALSE)=1,100%,MIN(40%,$B$10+VLOOKUP($Q55,武学奇术!$A:$ZZ,19,FALSE)+SUM(_xlfn.XLOOKUP($R55:$AK55,增益!$A:$A,增益!$S:$S,0)))+$B$12+SUM(_xlfn.XLOOKUP($R55:$AK55,增益!$A:$A,增益!$V:$V,0)))*IF(VLOOKUP($Q55,武学奇术!$A:$ZZ,23,FALSE)=1,0,1)</f>
        <v>0</v>
      </c>
      <c r="BR55" s="27" cm="1">
        <f t="array" ref="BR55">1+$B$14+VLOOKUP($Q55,武学奇术!$A:$ZZ,20,FALSE)+SUM(_xlfn.XLOOKUP($R55:$AK55,增益!$A:$A,增益!$T:$T,0))</f>
        <v>1.35</v>
      </c>
      <c r="BS55" s="27">
        <f t="shared" si="20"/>
        <v>1</v>
      </c>
      <c r="BT55" s="27">
        <f t="shared" si="21"/>
        <v>0</v>
      </c>
      <c r="BU55" s="27">
        <f>IF(VLOOKUP($Q55,武学奇术!$A:$ZZ,22,FALSE)=1,0,(1-$BN55))*(1-$BQ55)</f>
        <v>0</v>
      </c>
      <c r="BV55" s="27" cm="1">
        <f t="array" ref="BV55">SUM(_xlfn.XLOOKUP($R55:$AK55,增益!$A:$A,增益!$W:$W,0))+$I$5</f>
        <v>0.31</v>
      </c>
    </row>
    <row r="56" spans="1:74">
      <c r="A56" t="s">
        <v>166</v>
      </c>
      <c r="B56">
        <v>1</v>
      </c>
      <c r="D56" s="41"/>
      <c r="K56" s="40">
        <f t="shared" si="11"/>
        <v>1282480.62727963</v>
      </c>
      <c r="L56" s="40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BP56*$P56*(1+IF(VLOOKUP($Q56,武学奇术!$A:$ZZ,30,FALSE)="蓄力技",$B$21,0))*(1+$BV56)</f>
        <v>1282480.62727963</v>
      </c>
      <c r="M56" s="40">
        <f>(($AT56*$AM56+$AN56)*(1+$AU56)*(1+$AV56)+($AY56*IF($G$1="鸣金",$AO56,$AM56)+IF($G$1="鸣金",$AP56*1.5,0))*(1+$AZ56)*(1+$BA56)+($BC56*IF($G$1="裂石",$AO56,$AM56)+IF($G$1="裂石",$AP56*1.5,0))*(1+$BD56)*(1+$BE56)+($BG56*IF($G$1="牵丝",$AO56,$AM56)+IF($G$1="牵丝",$AP56*1.5,0))*(1+$BH56)*(1+$BI56)+($BK56*IF($G$1="破竹",$AO56,$AM56)+IF($G$1="破竹",$AP56*1.5,0))*(1+$BL56)*(1+$BM56))*(1+$AQ56)*$BR56*$P56*(1+IF(VLOOKUP($Q56,武学奇术!$A:$ZZ,30,FALSE)="蓄力技",$B$21,0))*(1+$BV56)</f>
        <v>922518.673515242</v>
      </c>
      <c r="N56" s="40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P56*(1+IF(VLOOKUP($Q56,武学奇术!$A:$ZZ,30,FALSE)="蓄力技",$B$21,0))*(1+$BV56)</f>
        <v>610705.060609346</v>
      </c>
      <c r="O56" s="40">
        <f>((($AS56*$AM56+$AN56)*(1+$AU56)*(1+$AV56)+($AX56*IF($G$1="鸣金",$AO56,$AM56)+IF($G$1="鸣金",$AP56*1.5,0))*(1+$AZ56)*(1+$BA56)+($BB56*IF($G$1="裂石",$AO56,$AM56)+IF($G$1="裂石",$AP56*1.5,0))*(1+$BD56)*(1+$BE56)+($BF56*IF($G$1="牵丝",$AO56,$AM56)+IF($G$1="牵丝",$AP56*1.5,0))*(1+$BH56)*(1+$BI56)+($BJ56*IF($G$1="破竹",$AO56,$AM56)+IF($G$1="破竹",$AP56*1.5,0))*(1+$BL56)*(1+$BM56))*(1+$AQ56))*$P56*(1+IF(VLOOKUP($Q56,武学奇术!$A:$ZZ,30,FALSE)="蓄力技",$B$21,0))*(1+$BV56)</f>
        <v>538062.955651846</v>
      </c>
      <c r="P56" s="41">
        <v>3</v>
      </c>
      <c r="Q56" s="42" t="s">
        <v>120</v>
      </c>
      <c r="R56" s="42" t="s">
        <v>103</v>
      </c>
      <c r="S56" s="42" t="s">
        <v>169</v>
      </c>
      <c r="T56" s="42" t="s">
        <v>86</v>
      </c>
      <c r="U56" s="42" t="s">
        <v>121</v>
      </c>
      <c r="V56" s="42" t="s">
        <v>118</v>
      </c>
      <c r="W56" s="42" t="s">
        <v>77</v>
      </c>
      <c r="X56" s="42" t="s">
        <v>176</v>
      </c>
      <c r="Y56" s="42" t="s">
        <v>186</v>
      </c>
      <c r="Z56" s="42" t="s">
        <v>187</v>
      </c>
      <c r="AA56" s="42" t="s">
        <v>73</v>
      </c>
      <c r="AB56" s="42" t="s">
        <v>95</v>
      </c>
      <c r="AC56" s="42" t="s">
        <v>77</v>
      </c>
      <c r="AD56" s="42" t="s">
        <v>80</v>
      </c>
      <c r="AE56" s="42" t="s">
        <v>81</v>
      </c>
      <c r="AF56" s="42" t="s">
        <v>82</v>
      </c>
      <c r="AG56" s="42" t="s">
        <v>77</v>
      </c>
      <c r="AH56" s="42" t="s">
        <v>77</v>
      </c>
      <c r="AI56" s="42" t="s">
        <v>77</v>
      </c>
      <c r="AJ56" s="42" t="s">
        <v>77</v>
      </c>
      <c r="AK56" s="42" t="s">
        <v>90</v>
      </c>
      <c r="AL56" t="str">
        <f>VLOOKUP($Q56,武学奇术!$A:$ZZ,25,FALSE)</f>
        <v>陌刀</v>
      </c>
      <c r="AM56" s="27">
        <f>VLOOKUP($Q56,武学奇术!$A:$ZZ,26,FALSE)</f>
        <v>7.5674</v>
      </c>
      <c r="AN56" s="28">
        <f>VLOOKUP($Q56,武学奇术!$A:$ZZ,27,FALSE)*(1+IF(OR($AL56=$F$4,$AL56=$F$5),$B$22,0))</f>
        <v>3139.5</v>
      </c>
      <c r="AO56" s="27">
        <f>VLOOKUP($Q56,武学奇术!$A:$ZZ,28,FALSE)</f>
        <v>11.3512</v>
      </c>
      <c r="AP56" s="28">
        <f>VLOOKUP($Q56,武学奇术!$A:$ZZ,29,FALSE)*(1+IF(OR($AL56=$F$4,$AL56=$F$5),$B$22,0))</f>
        <v>1710</v>
      </c>
      <c r="AQ56" s="27" cm="1">
        <f t="array" ref="AQ56">$G$3+IFERROR(VLOOKUP($AL56,$F$4:$G$7,2,FALSE),0)+VLOOKUP($Q56,武学奇术!$A:$ZZ,2,FALSE)+SUM(_xlfn.XLOOKUP($R56:$AK56,增益!$A:$A,增益!$B:$B,0))</f>
        <v>0.8141</v>
      </c>
      <c r="AR56" s="27" cm="1">
        <f t="array" ref="AR56">VLOOKUP($Q56,武学奇术!$A:$ZZ,5,FALSE)+SUM(_xlfn.XLOOKUP($R56:$AK56,增益!$A:$A,增益!$E:$E,0))</f>
        <v>0</v>
      </c>
      <c r="AS56" cm="1">
        <f t="array" ref="AS56">$D$10*(1+$AR56)+VLOOKUP($Q56,武学奇术!$A:$ZZ,3,FALSE)+SUM(_xlfn.XLOOKUP($R56:$AK56,增益!$A:$A,增益!$C:$C,0))-$I$2</f>
        <v>3648.7</v>
      </c>
      <c r="AT56" cm="1">
        <f t="array" ref="AT56">$E$10*(1+$AR56)+VLOOKUP($Q56,武学奇术!$A:$ZZ,4,FALSE)+SUM(_xlfn.XLOOKUP($R56:$AK56,增益!$A:$A,增益!$D:$D,0))-$I$2</f>
        <v>3648.7</v>
      </c>
      <c r="AU56" s="34" cm="1">
        <f t="array" ref="AU56">IF($F$10-$I$3+VLOOKUP($Q56,武学奇术!$A:$ZZ,6,FALSE)+SUM(_xlfn.XLOOKUP($R56:$AK56,增益!$A:$A,增益!$F:$F,0))&gt;0,($F$10-$I$3+VLOOKUP($Q56,武学奇术!$A:$ZZ,6,FALSE)+SUM(_xlfn.XLOOKUP($R56:$AK56,增益!$A:$A,增益!$F:$F,0)))/200,($F$10-$I$3+VLOOKUP($Q56,武学奇术!$A:$ZZ,6,FALSE)+SUM(_xlfn.XLOOKUP($R56:$AK56,增益!$A:$A,增益!$F:$F,0)))/100)</f>
        <v>0.452</v>
      </c>
      <c r="AV56" s="34" cm="1">
        <f t="array" ref="AV56">$G$10+VLOOKUP($Q56,武学奇术!$A:$ZZ,7,FALSE)+SUM(_xlfn.XLOOKUP($R56:$AK56,增益!$A:$A,增益!$G:$G,0))</f>
        <v>0</v>
      </c>
      <c r="AW56" s="27" cm="1">
        <f t="array" ref="AW56">VLOOKUP($Q56,武学奇术!$A:$ZZ,8,FALSE)+SUM(_xlfn.XLOOKUP($R56:$AK56,增益!$A:$A,增益!$H:$H,0))</f>
        <v>0</v>
      </c>
      <c r="AX56">
        <f t="shared" si="12"/>
        <v>0</v>
      </c>
      <c r="AY56">
        <f t="shared" si="13"/>
        <v>0</v>
      </c>
      <c r="AZ56" s="34" cm="1">
        <f t="array" ref="AZ56">IF($F$11-$I$4+VLOOKUP($Q56,武学奇术!$A:$ZZ,9,FALSE)+SUM(_xlfn.XLOOKUP($R56:$AK56,增益!$A:$A,增益!$I:$I,0))&gt;0,($F$11-$I$4+VLOOKUP($Q56,武学奇术!$A:$ZZ,9,FALSE)+SUM(_xlfn.XLOOKUP($R56:$AK56,增益!$A:$A,增益!$I:$I,0)))/200,($F$11-$I$4+VLOOKUP($Q56,武学奇术!$A:$ZZ,9,FALSE)+SUM(_xlfn.XLOOKUP($R56:$AK56,增益!$A:$A,增益!$I:$I,0)))/100)</f>
        <v>-0.14</v>
      </c>
      <c r="BA56" s="34" cm="1">
        <f t="array" ref="BA56">$G$11+VLOOKUP($Q56,武学奇术!$A:$ZZ,10,FALSE)+SUM(_xlfn.XLOOKUP($R56:$AK56,增益!$A:$A,增益!$J:$J,0))</f>
        <v>0.1</v>
      </c>
      <c r="BB56">
        <f t="shared" si="14"/>
        <v>594.1</v>
      </c>
      <c r="BC56">
        <f t="shared" si="15"/>
        <v>1604.9</v>
      </c>
      <c r="BD56" s="34" cm="1">
        <f t="array" ref="BD56">IF($F$12-$I$4+VLOOKUP($Q56,武学奇术!$A:$ZZ,11,FALSE)+SUM(_xlfn.XLOOKUP($R56:$AK56,增益!$A:$A,增益!$K:$K,0))&gt;0,($F$12-$I$4+VLOOKUP($Q56,武学奇术!$A:$ZZ,11,FALSE)+SUM(_xlfn.XLOOKUP($R56:$AK56,增益!$A:$A,增益!$K:$K,0)))/200,($F$12-$I$4+VLOOKUP($Q56,武学奇术!$A:$ZZ,11,FALSE)+SUM(_xlfn.XLOOKUP($R56:$AK56,增益!$A:$A,增益!$K:$K,0)))/100)</f>
        <v>0.17</v>
      </c>
      <c r="BE56" s="34" cm="1">
        <f t="array" ref="BE56">$G$12+VLOOKUP($Q56,武学奇术!$A:$ZZ,12,FALSE)+SUM(_xlfn.XLOOKUP($R56:$AK56,增益!$A:$A,增益!$L:$L,0))</f>
        <v>0.15</v>
      </c>
      <c r="BF56">
        <f t="shared" si="16"/>
        <v>0</v>
      </c>
      <c r="BG56">
        <f t="shared" si="17"/>
        <v>0</v>
      </c>
      <c r="BH56" s="34" cm="1">
        <f t="array" ref="BH56">IF($F$13-$I$4+VLOOKUP($Q56,武学奇术!$A:$ZZ,13,FALSE)+SUM(_xlfn.XLOOKUP($R56:$AK56,增益!$A:$A,增益!$M:$M,0))&gt;0,($F$13-$I$4+VLOOKUP($Q56,武学奇术!$A:$ZZ,13,FALSE)+SUM(_xlfn.XLOOKUP($R56:$AK56,增益!$A:$A,增益!$K:$K,0)))/200,($F$13-$I$4+VLOOKUP($Q56,武学奇术!$A:$ZZ,13,FALSE)+SUM(_xlfn.XLOOKUP($R56:$AK56,增益!$A:$A,增益!$M:$M,0)))/100)</f>
        <v>-0.14</v>
      </c>
      <c r="BI56" s="34" cm="1">
        <f t="array" ref="BI56">$G$13+VLOOKUP($Q56,武学奇术!$A:$ZZ,14,FALSE)+SUM(_xlfn.XLOOKUP($R56:$AK56,增益!$A:$A,增益!$N:$N,0))</f>
        <v>0</v>
      </c>
      <c r="BJ56">
        <f t="shared" si="18"/>
        <v>0</v>
      </c>
      <c r="BK56">
        <f t="shared" si="19"/>
        <v>0</v>
      </c>
      <c r="BL56" s="34" cm="1">
        <f t="array" ref="BL56">IF($F$14-$I$4+VLOOKUP($Q56,武学奇术!$A:$ZZ,15,FALSE)+SUM(_xlfn.XLOOKUP($R56:$AK56,增益!$A:$A,增益!$O:$O,0))&gt;0,($F$14-$I$4+VLOOKUP($Q56,武学奇术!$A:$ZZ,15,FALSE)+SUM(_xlfn.XLOOKUP($R56:$AK56,增益!$A:$A,增益!$O:$O,0)))/200,($F$14-$I$4+VLOOKUP($Q56,武学奇术!$A:$ZZ,15,FALSE)+SUM(_xlfn.XLOOKUP($R56:$AK56,增益!$A:$A,增益!$O:$O,0)))/100)</f>
        <v>-0.14</v>
      </c>
      <c r="BM56" s="34" cm="1">
        <f t="array" ref="BM56">$G$14+VLOOKUP($Q56,武学奇术!$A:$ZZ,16,FALSE)+SUM(_xlfn.XLOOKUP($R56:$AK56,增益!$A:$A,增益!$P:$P,0))</f>
        <v>0</v>
      </c>
      <c r="BN56" s="27">
        <f>MIN(IF(VLOOKUP($Q56,武学奇术!$A:$ZZ,23,FALSE)=1,100%,$B$8),100%)</f>
        <v>1</v>
      </c>
      <c r="BO56" s="27" cm="1">
        <f t="array" ref="BO56">IF(VLOOKUP($Q56,武学奇术!$A:$ZZ,23,FALSE)=1,100%,MIN(80%,$B$9+VLOOKUP($Q56,武学奇术!$A:$ZZ,17,FALSE)+SUM(_xlfn.XLOOKUP($R56:$AK56,增益!$A:$A,增益!$Q:$Q,0)))+$B$11+SUM(_xlfn.XLOOKUP($R56:$AK56,增益!$A:$A,增益!$U:$U,0)))*IF(VLOOKUP($Q56,武学奇术!$A:$ZZ,24,FALSE)=1,0,1)</f>
        <v>1</v>
      </c>
      <c r="BP56" s="27" cm="1">
        <f t="array" ref="BP56">1+$B$13+VLOOKUP($Q56,武学奇术!$A:$ZZ,18,FALSE)+SUM(_xlfn.XLOOKUP($R56:$AK56,增益!$A:$A,增益!$R:$R,0))</f>
        <v>2.1</v>
      </c>
      <c r="BQ56" s="27" cm="1">
        <f t="array" ref="BQ56">IF(VLOOKUP($Q56,武学奇术!$A:$ZZ,24,FALSE)=1,100%,MIN(40%,$B$10+VLOOKUP($Q56,武学奇术!$A:$ZZ,19,FALSE)+SUM(_xlfn.XLOOKUP($R56:$AK56,增益!$A:$A,增益!$S:$S,0)))+$B$12+SUM(_xlfn.XLOOKUP($R56:$AK56,增益!$A:$A,增益!$V:$V,0)))*IF(VLOOKUP($Q56,武学奇术!$A:$ZZ,23,FALSE)=1,0,1)</f>
        <v>0</v>
      </c>
      <c r="BR56" s="27" cm="1">
        <f t="array" ref="BR56">1+$B$14+VLOOKUP($Q56,武学奇术!$A:$ZZ,20,FALSE)+SUM(_xlfn.XLOOKUP($R56:$AK56,增益!$A:$A,增益!$T:$T,0))</f>
        <v>1.35</v>
      </c>
      <c r="BS56" s="27">
        <f t="shared" si="20"/>
        <v>1</v>
      </c>
      <c r="BT56" s="27">
        <f t="shared" si="21"/>
        <v>0</v>
      </c>
      <c r="BU56" s="27">
        <f>IF(VLOOKUP($Q56,武学奇术!$A:$ZZ,22,FALSE)=1,0,(1-$BN56))*(1-$BQ56)</f>
        <v>0</v>
      </c>
      <c r="BV56" s="27" cm="1">
        <f t="array" ref="BV56">SUM(_xlfn.XLOOKUP($R56:$AK56,增益!$A:$A,增益!$W:$W,0))+$I$5</f>
        <v>0.31</v>
      </c>
    </row>
    <row r="57" spans="1:74">
      <c r="A57" s="4" t="s">
        <v>167</v>
      </c>
      <c r="B57" s="4">
        <v>0.1</v>
      </c>
      <c r="D57" s="41"/>
      <c r="K57" s="40">
        <f t="shared" si="11"/>
        <v>74332.5170059492</v>
      </c>
      <c r="L57" s="40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BP57*$P57*(1+IF(VLOOKUP($Q57,武学奇术!$A:$ZZ,30,FALSE)="蓄力技",$B$21,0))*(1+$BV57)</f>
        <v>77246.9507129571</v>
      </c>
      <c r="M57" s="40">
        <f>(($AT57*$AM57+$AN57)*(1+$AU57)*(1+$AV57)+($AY57*IF($G$1="鸣金",$AO57,$AM57)+IF($G$1="鸣金",$AP57*1.5,0))*(1+$AZ57)*(1+$BA57)+($BC57*IF($G$1="裂石",$AO57,$AM57)+IF($G$1="裂石",$AP57*1.5,0))*(1+$BD57)*(1+$BE57)+($BG57*IF($G$1="牵丝",$AO57,$AM57)+IF($G$1="牵丝",$AP57*1.5,0))*(1+$BH57)*(1+$BI57)+($BK57*IF($G$1="破竹",$AO57,$AM57)+IF($G$1="破竹",$AP57*1.5,0))*(1+$BL57)*(1+$BM57))*(1+$AQ57)*$BR57*$P57*(1+IF(VLOOKUP($Q57,武学奇术!$A:$ZZ,30,FALSE)="蓄力技",$B$21,0))*(1+$BV57)</f>
        <v>58342.3794852302</v>
      </c>
      <c r="N57" s="40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P57*(1+IF(VLOOKUP($Q57,武学奇术!$A:$ZZ,30,FALSE)="蓄力技",$B$21,0))*(1+$BV57)</f>
        <v>38623.4753564786</v>
      </c>
      <c r="O57" s="40">
        <f>((($AS57*$AM57+$AN57)*(1+$AU57)*(1+$AV57)+($AX57*IF($G$1="鸣金",$AO57,$AM57)+IF($G$1="鸣金",$AP57*1.5,0))*(1+$AZ57)*(1+$BA57)+($BB57*IF($G$1="裂石",$AO57,$AM57)+IF($G$1="裂石",$AP57*1.5,0))*(1+$BD57)*(1+$BE57)+($BF57*IF($G$1="牵丝",$AO57,$AM57)+IF($G$1="牵丝",$AP57*1.5,0))*(1+$BH57)*(1+$BI57)+($BJ57*IF($G$1="破竹",$AO57,$AM57)+IF($G$1="破竹",$AP57*1.5,0))*(1+$BL57)*(1+$BM57))*(1+$AQ57))*$P57*(1+IF(VLOOKUP($Q57,武学奇术!$A:$ZZ,30,FALSE)="蓄力技",$B$21,0))*(1+$BV57)</f>
        <v>34030.3733164903</v>
      </c>
      <c r="P57" s="41">
        <v>1</v>
      </c>
      <c r="Q57" s="42" t="s">
        <v>157</v>
      </c>
      <c r="R57" s="42" t="s">
        <v>103</v>
      </c>
      <c r="S57" s="42" t="s">
        <v>169</v>
      </c>
      <c r="T57" s="42" t="s">
        <v>86</v>
      </c>
      <c r="U57" s="42" t="s">
        <v>121</v>
      </c>
      <c r="V57" s="42" t="s">
        <v>77</v>
      </c>
      <c r="W57" s="42" t="s">
        <v>77</v>
      </c>
      <c r="X57" s="42" t="s">
        <v>176</v>
      </c>
      <c r="Y57" s="42" t="s">
        <v>186</v>
      </c>
      <c r="Z57" s="42" t="s">
        <v>187</v>
      </c>
      <c r="AA57" s="42" t="s">
        <v>73</v>
      </c>
      <c r="AB57" s="42" t="s">
        <v>89</v>
      </c>
      <c r="AC57" s="42" t="s">
        <v>77</v>
      </c>
      <c r="AD57" s="42" t="s">
        <v>80</v>
      </c>
      <c r="AE57" s="42" t="s">
        <v>81</v>
      </c>
      <c r="AF57" s="42" t="s">
        <v>82</v>
      </c>
      <c r="AG57" s="42" t="s">
        <v>77</v>
      </c>
      <c r="AH57" s="42" t="s">
        <v>77</v>
      </c>
      <c r="AI57" s="42" t="s">
        <v>77</v>
      </c>
      <c r="AJ57" s="42" t="s">
        <v>77</v>
      </c>
      <c r="AK57" s="42" t="s">
        <v>90</v>
      </c>
      <c r="AL57" t="str">
        <f>VLOOKUP($Q57,武学奇术!$A:$ZZ,25,FALSE)</f>
        <v>陌刀</v>
      </c>
      <c r="AM57" s="27">
        <f>VLOOKUP($Q57,武学奇术!$A:$ZZ,26,FALSE)</f>
        <v>1.8948</v>
      </c>
      <c r="AN57" s="28">
        <f>VLOOKUP($Q57,武学奇术!$A:$ZZ,27,FALSE)*(1+IF(OR($AL57=$F$4,$AL57=$F$5),$B$22,0))</f>
        <v>787.5</v>
      </c>
      <c r="AO57" s="27">
        <f>VLOOKUP($Q57,武学奇术!$A:$ZZ,28,FALSE)</f>
        <v>2.8422</v>
      </c>
      <c r="AP57" s="28">
        <f>VLOOKUP($Q57,武学奇术!$A:$ZZ,29,FALSE)*(1+IF(OR($AL57=$F$4,$AL57=$F$5),$B$22,0))</f>
        <v>429</v>
      </c>
      <c r="AQ57" s="27" cm="1">
        <f t="array" ref="AQ57">$G$3+IFERROR(VLOOKUP($AL57,$F$4:$G$7,2,FALSE),0)+VLOOKUP($Q57,武学奇术!$A:$ZZ,2,FALSE)+SUM(_xlfn.XLOOKUP($R57:$AK57,增益!$A:$A,增益!$B:$B,0))</f>
        <v>0.8141</v>
      </c>
      <c r="AR57" s="27" cm="1">
        <f t="array" ref="AR57">VLOOKUP($Q57,武学奇术!$A:$ZZ,5,FALSE)+SUM(_xlfn.XLOOKUP($R57:$AK57,增益!$A:$A,增益!$E:$E,0))</f>
        <v>0</v>
      </c>
      <c r="AS57" cm="1">
        <f t="array" ref="AS57">$D$10*(1+$AR57)+VLOOKUP($Q57,武学奇术!$A:$ZZ,3,FALSE)+SUM(_xlfn.XLOOKUP($R57:$AK57,增益!$A:$A,增益!$C:$C,0))-$I$2</f>
        <v>3648.7</v>
      </c>
      <c r="AT57" cm="1">
        <f t="array" ref="AT57">$E$10*(1+$AR57)+VLOOKUP($Q57,武学奇术!$A:$ZZ,4,FALSE)+SUM(_xlfn.XLOOKUP($R57:$AK57,增益!$A:$A,增益!$D:$D,0))-$I$2</f>
        <v>3648.7</v>
      </c>
      <c r="AU57" s="34" cm="1">
        <f t="array" ref="AU57">IF($F$10-$I$3+VLOOKUP($Q57,武学奇术!$A:$ZZ,6,FALSE)+SUM(_xlfn.XLOOKUP($R57:$AK57,增益!$A:$A,增益!$F:$F,0))&gt;0,($F$10-$I$3+VLOOKUP($Q57,武学奇术!$A:$ZZ,6,FALSE)+SUM(_xlfn.XLOOKUP($R57:$AK57,增益!$A:$A,增益!$F:$F,0)))/200,($F$10-$I$3+VLOOKUP($Q57,武学奇术!$A:$ZZ,6,FALSE)+SUM(_xlfn.XLOOKUP($R57:$AK57,增益!$A:$A,增益!$F:$F,0)))/100)</f>
        <v>0.452</v>
      </c>
      <c r="AV57" s="34" cm="1">
        <f t="array" ref="AV57">$G$10+VLOOKUP($Q57,武学奇术!$A:$ZZ,7,FALSE)+SUM(_xlfn.XLOOKUP($R57:$AK57,增益!$A:$A,增益!$G:$G,0))</f>
        <v>0</v>
      </c>
      <c r="AW57" s="27" cm="1">
        <f t="array" ref="AW57">VLOOKUP($Q57,武学奇术!$A:$ZZ,8,FALSE)+SUM(_xlfn.XLOOKUP($R57:$AK57,增益!$A:$A,增益!$H:$H,0))</f>
        <v>0</v>
      </c>
      <c r="AX57">
        <f t="shared" si="12"/>
        <v>0</v>
      </c>
      <c r="AY57">
        <f t="shared" si="13"/>
        <v>0</v>
      </c>
      <c r="AZ57" s="34" cm="1">
        <f t="array" ref="AZ57">IF($F$11-$I$4+VLOOKUP($Q57,武学奇术!$A:$ZZ,9,FALSE)+SUM(_xlfn.XLOOKUP($R57:$AK57,增益!$A:$A,增益!$I:$I,0))&gt;0,($F$11-$I$4+VLOOKUP($Q57,武学奇术!$A:$ZZ,9,FALSE)+SUM(_xlfn.XLOOKUP($R57:$AK57,增益!$A:$A,增益!$I:$I,0)))/200,($F$11-$I$4+VLOOKUP($Q57,武学奇术!$A:$ZZ,9,FALSE)+SUM(_xlfn.XLOOKUP($R57:$AK57,增益!$A:$A,增益!$I:$I,0)))/100)</f>
        <v>-0.14</v>
      </c>
      <c r="BA57" s="34" cm="1">
        <f t="array" ref="BA57">$G$11+VLOOKUP($Q57,武学奇术!$A:$ZZ,10,FALSE)+SUM(_xlfn.XLOOKUP($R57:$AK57,增益!$A:$A,增益!$J:$J,0))</f>
        <v>0.1</v>
      </c>
      <c r="BB57">
        <f t="shared" si="14"/>
        <v>594.1</v>
      </c>
      <c r="BC57">
        <f t="shared" si="15"/>
        <v>1604.9</v>
      </c>
      <c r="BD57" s="34" cm="1">
        <f t="array" ref="BD57">IF($F$12-$I$4+VLOOKUP($Q57,武学奇术!$A:$ZZ,11,FALSE)+SUM(_xlfn.XLOOKUP($R57:$AK57,增益!$A:$A,增益!$K:$K,0))&gt;0,($F$12-$I$4+VLOOKUP($Q57,武学奇术!$A:$ZZ,11,FALSE)+SUM(_xlfn.XLOOKUP($R57:$AK57,增益!$A:$A,增益!$K:$K,0)))/200,($F$12-$I$4+VLOOKUP($Q57,武学奇术!$A:$ZZ,11,FALSE)+SUM(_xlfn.XLOOKUP($R57:$AK57,增益!$A:$A,增益!$K:$K,0)))/100)</f>
        <v>0.17</v>
      </c>
      <c r="BE57" s="34" cm="1">
        <f t="array" ref="BE57">$G$12+VLOOKUP($Q57,武学奇术!$A:$ZZ,12,FALSE)+SUM(_xlfn.XLOOKUP($R57:$AK57,增益!$A:$A,增益!$L:$L,0))</f>
        <v>0.15</v>
      </c>
      <c r="BF57">
        <f t="shared" si="16"/>
        <v>0</v>
      </c>
      <c r="BG57">
        <f t="shared" si="17"/>
        <v>0</v>
      </c>
      <c r="BH57" s="34" cm="1">
        <f t="array" ref="BH57">IF($F$13-$I$4+VLOOKUP($Q57,武学奇术!$A:$ZZ,13,FALSE)+SUM(_xlfn.XLOOKUP($R57:$AK57,增益!$A:$A,增益!$M:$M,0))&gt;0,($F$13-$I$4+VLOOKUP($Q57,武学奇术!$A:$ZZ,13,FALSE)+SUM(_xlfn.XLOOKUP($R57:$AK57,增益!$A:$A,增益!$K:$K,0)))/200,($F$13-$I$4+VLOOKUP($Q57,武学奇术!$A:$ZZ,13,FALSE)+SUM(_xlfn.XLOOKUP($R57:$AK57,增益!$A:$A,增益!$M:$M,0)))/100)</f>
        <v>-0.14</v>
      </c>
      <c r="BI57" s="34" cm="1">
        <f t="array" ref="BI57">$G$13+VLOOKUP($Q57,武学奇术!$A:$ZZ,14,FALSE)+SUM(_xlfn.XLOOKUP($R57:$AK57,增益!$A:$A,增益!$N:$N,0))</f>
        <v>0</v>
      </c>
      <c r="BJ57">
        <f t="shared" si="18"/>
        <v>0</v>
      </c>
      <c r="BK57">
        <f t="shared" si="19"/>
        <v>0</v>
      </c>
      <c r="BL57" s="34" cm="1">
        <f t="array" ref="BL57">IF($F$14-$I$4+VLOOKUP($Q57,武学奇术!$A:$ZZ,15,FALSE)+SUM(_xlfn.XLOOKUP($R57:$AK57,增益!$A:$A,增益!$O:$O,0))&gt;0,($F$14-$I$4+VLOOKUP($Q57,武学奇术!$A:$ZZ,15,FALSE)+SUM(_xlfn.XLOOKUP($R57:$AK57,增益!$A:$A,增益!$O:$O,0)))/200,($F$14-$I$4+VLOOKUP($Q57,武学奇术!$A:$ZZ,15,FALSE)+SUM(_xlfn.XLOOKUP($R57:$AK57,增益!$A:$A,增益!$O:$O,0)))/100)</f>
        <v>-0.14</v>
      </c>
      <c r="BM57" s="34" cm="1">
        <f t="array" ref="BM57">$G$14+VLOOKUP($Q57,武学奇术!$A:$ZZ,16,FALSE)+SUM(_xlfn.XLOOKUP($R57:$AK57,增益!$A:$A,增益!$P:$P,0))</f>
        <v>0</v>
      </c>
      <c r="BN57" s="27">
        <f>MIN(IF(VLOOKUP($Q57,武学奇术!$A:$ZZ,23,FALSE)=1,100%,$B$8),100%)</f>
        <v>0.9859</v>
      </c>
      <c r="BO57" s="27" cm="1">
        <f t="array" ref="BO57">IF(VLOOKUP($Q57,武学奇术!$A:$ZZ,23,FALSE)=1,100%,MIN(80%,$B$9+VLOOKUP($Q57,武学奇术!$A:$ZZ,17,FALSE)+SUM(_xlfn.XLOOKUP($R57:$AK57,增益!$A:$A,增益!$Q:$Q,0)))+$B$11+SUM(_xlfn.XLOOKUP($R57:$AK57,增益!$A:$A,增益!$U:$U,0)))*IF(VLOOKUP($Q57,武学奇术!$A:$ZZ,24,FALSE)=1,0,1)</f>
        <v>0.8912</v>
      </c>
      <c r="BP57" s="27" cm="1">
        <f t="array" ref="BP57">1+$B$13+VLOOKUP($Q57,武学奇术!$A:$ZZ,18,FALSE)+SUM(_xlfn.XLOOKUP($R57:$AK57,增益!$A:$A,增益!$R:$R,0))</f>
        <v>2</v>
      </c>
      <c r="BQ57" s="27" cm="1">
        <f t="array" ref="BQ57">IF(VLOOKUP($Q57,武学奇术!$A:$ZZ,24,FALSE)=1,100%,MIN(40%,$B$10+VLOOKUP($Q57,武学奇术!$A:$ZZ,19,FALSE)+SUM(_xlfn.XLOOKUP($R57:$AK57,增益!$A:$A,增益!$S:$S,0)))+$B$12+SUM(_xlfn.XLOOKUP($R57:$AK57,增益!$A:$A,增益!$V:$V,0)))*IF(VLOOKUP($Q57,武学奇术!$A:$ZZ,23,FALSE)=1,0,1)</f>
        <v>0.0929</v>
      </c>
      <c r="BR57" s="27" cm="1">
        <f t="array" ref="BR57">1+$B$14+VLOOKUP($Q57,武学奇术!$A:$ZZ,20,FALSE)+SUM(_xlfn.XLOOKUP($R57:$AK57,增益!$A:$A,增益!$T:$T,0))</f>
        <v>1.35</v>
      </c>
      <c r="BS57" s="27">
        <f t="shared" si="20"/>
        <v>0.87863408</v>
      </c>
      <c r="BT57" s="27">
        <f t="shared" si="21"/>
        <v>0.01567581</v>
      </c>
      <c r="BU57" s="27">
        <f>IF(VLOOKUP($Q57,武学奇术!$A:$ZZ,22,FALSE)=1,0,(1-$BN57))*(1-$BQ57)</f>
        <v>0.01279011</v>
      </c>
      <c r="BV57" s="27" cm="1">
        <f t="array" ref="BV57">SUM(_xlfn.XLOOKUP($R57:$AK57,增益!$A:$A,增益!$W:$W,0))+$I$5</f>
        <v>0.31</v>
      </c>
    </row>
    <row r="58" spans="1:74">
      <c r="A58" s="4" t="s">
        <v>171</v>
      </c>
      <c r="B58" s="4">
        <v>2.3</v>
      </c>
      <c r="C58" s="41" t="s">
        <v>186</v>
      </c>
      <c r="D58" s="41"/>
      <c r="H58" s="4"/>
      <c r="I58" s="4"/>
      <c r="K58" s="40">
        <f t="shared" si="11"/>
        <v>30489.5224032</v>
      </c>
      <c r="L58" s="40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BP58*$P58*(1+IF(VLOOKUP($Q58,武学奇术!$A:$ZZ,30,FALSE)="蓄力技",$B$21,0))*(1+$BV58)</f>
        <v>31786.7987229073</v>
      </c>
      <c r="M58" s="40">
        <f>(($AT58*$AM58+$AN58)*(1+$AU58)*(1+$AV58)+($AY58*IF($G$1="鸣金",$AO58,$AM58)+IF($G$1="鸣金",$AP58*1.5,0))*(1+$AZ58)*(1+$BA58)+($BC58*IF($G$1="裂石",$AO58,$AM58)+IF($G$1="裂石",$AP58*1.5,0))*(1+$BD58)*(1+$BE58)+($BG58*IF($G$1="牵丝",$AO58,$AM58)+IF($G$1="牵丝",$AP58*1.5,0))*(1+$BH58)*(1+$BI58)+($BK58*IF($G$1="破竹",$AO58,$AM58)+IF($G$1="破竹",$AP58*1.5,0))*(1+$BL58)*(1+$BM58))*(1+$AQ58)*$BR58*$P58*(1+IF(VLOOKUP($Q58,武学奇术!$A:$ZZ,30,FALSE)="蓄力技",$B$21,0))*(1+$BV58)</f>
        <v>23207.2320535827</v>
      </c>
      <c r="N58" s="40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P58*(1+IF(VLOOKUP($Q58,武学奇术!$A:$ZZ,30,FALSE)="蓄力技",$B$21,0))*(1+$BV58)</f>
        <v>15136.570820432</v>
      </c>
      <c r="O58" s="40">
        <f>((($AS58*$AM58+$AN58)*(1+$AU58)*(1+$AV58)+($AX58*IF($G$1="鸣金",$AO58,$AM58)+IF($G$1="鸣金",$AP58*1.5,0))*(1+$AZ58)*(1+$BA58)+($BB58*IF($G$1="裂石",$AO58,$AM58)+IF($G$1="裂石",$AP58*1.5,0))*(1+$BD58)*(1+$BE58)+($BF58*IF($G$1="牵丝",$AO58,$AM58)+IF($G$1="牵丝",$AP58*1.5,0))*(1+$BH58)*(1+$BI58)+($BJ58*IF($G$1="破竹",$AO58,$AM58)+IF($G$1="破竹",$AP58*1.5,0))*(1+$BL58)*(1+$BM58))*(1+$AQ58))*$P58*(1+IF(VLOOKUP($Q58,武学奇术!$A:$ZZ,30,FALSE)="蓄力技",$B$21,0))*(1+$BV58)</f>
        <v>13082.599378951</v>
      </c>
      <c r="P58" s="41">
        <v>1</v>
      </c>
      <c r="Q58" s="42" t="s">
        <v>159</v>
      </c>
      <c r="R58" s="42" t="s">
        <v>103</v>
      </c>
      <c r="S58" s="42" t="s">
        <v>169</v>
      </c>
      <c r="T58" s="42" t="s">
        <v>86</v>
      </c>
      <c r="U58" s="42" t="s">
        <v>121</v>
      </c>
      <c r="V58" s="42" t="s">
        <v>118</v>
      </c>
      <c r="W58" s="42" t="s">
        <v>77</v>
      </c>
      <c r="X58" s="42" t="s">
        <v>176</v>
      </c>
      <c r="Y58" s="42" t="s">
        <v>77</v>
      </c>
      <c r="Z58" s="42" t="s">
        <v>77</v>
      </c>
      <c r="AA58" s="42" t="s">
        <v>73</v>
      </c>
      <c r="AB58" s="42" t="s">
        <v>89</v>
      </c>
      <c r="AC58" s="42" t="s">
        <v>77</v>
      </c>
      <c r="AD58" s="42" t="s">
        <v>80</v>
      </c>
      <c r="AE58" s="42" t="s">
        <v>81</v>
      </c>
      <c r="AF58" s="42" t="s">
        <v>82</v>
      </c>
      <c r="AG58" s="42" t="s">
        <v>77</v>
      </c>
      <c r="AH58" s="42" t="s">
        <v>77</v>
      </c>
      <c r="AI58" s="42" t="s">
        <v>77</v>
      </c>
      <c r="AJ58" s="42" t="s">
        <v>77</v>
      </c>
      <c r="AK58" s="42" t="s">
        <v>90</v>
      </c>
      <c r="AL58" t="str">
        <f>VLOOKUP($Q58,武学奇术!$A:$ZZ,25,FALSE)</f>
        <v>陌刀</v>
      </c>
      <c r="AM58" s="27">
        <f>VLOOKUP($Q58,武学奇术!$A:$ZZ,26,FALSE)</f>
        <v>1</v>
      </c>
      <c r="AN58" s="28">
        <f>VLOOKUP($Q58,武学奇术!$A:$ZZ,27,FALSE)*(1+IF(OR($AL58=$F$4,$AL58=$F$5),$B$22,0))</f>
        <v>0</v>
      </c>
      <c r="AO58" s="27">
        <f>VLOOKUP($Q58,武学奇术!$A:$ZZ,28,FALSE)</f>
        <v>1.5</v>
      </c>
      <c r="AP58" s="28">
        <f>VLOOKUP($Q58,武学奇术!$A:$ZZ,29,FALSE)*(1+IF(OR($AL58=$F$4,$AL58=$F$5),$B$22,0))</f>
        <v>0</v>
      </c>
      <c r="AQ58" s="27" cm="1">
        <f t="array" ref="AQ58">$G$3+IFERROR(VLOOKUP($AL58,$F$4:$G$7,2,FALSE),0)+VLOOKUP($Q58,武学奇术!$A:$ZZ,2,FALSE)+SUM(_xlfn.XLOOKUP($R58:$AK58,增益!$A:$A,增益!$B:$B,0))</f>
        <v>0.8141</v>
      </c>
      <c r="AR58" s="27" cm="1">
        <f t="array" ref="AR58">VLOOKUP($Q58,武学奇术!$A:$ZZ,5,FALSE)+SUM(_xlfn.XLOOKUP($R58:$AK58,增益!$A:$A,增益!$E:$E,0))</f>
        <v>0</v>
      </c>
      <c r="AS58" cm="1">
        <f t="array" ref="AS58">$D$10*(1+$AR58)+VLOOKUP($Q58,武学奇术!$A:$ZZ,3,FALSE)+SUM(_xlfn.XLOOKUP($R58:$AK58,增益!$A:$A,增益!$C:$C,0))-$I$2</f>
        <v>3648.7</v>
      </c>
      <c r="AT58" cm="1">
        <f t="array" ref="AT58">$E$10*(1+$AR58)+VLOOKUP($Q58,武学奇术!$A:$ZZ,4,FALSE)+SUM(_xlfn.XLOOKUP($R58:$AK58,增益!$A:$A,增益!$D:$D,0))-$I$2</f>
        <v>3648.7</v>
      </c>
      <c r="AU58" s="34" cm="1">
        <f t="array" ref="AU58">IF($F$10-$I$3+VLOOKUP($Q58,武学奇术!$A:$ZZ,6,FALSE)+SUM(_xlfn.XLOOKUP($R58:$AK58,增益!$A:$A,增益!$F:$F,0))&gt;0,($F$10-$I$3+VLOOKUP($Q58,武学奇术!$A:$ZZ,6,FALSE)+SUM(_xlfn.XLOOKUP($R58:$AK58,增益!$A:$A,增益!$F:$F,0)))/200,($F$10-$I$3+VLOOKUP($Q58,武学奇术!$A:$ZZ,6,FALSE)+SUM(_xlfn.XLOOKUP($R58:$AK58,增益!$A:$A,增益!$F:$F,0)))/100)</f>
        <v>0.452</v>
      </c>
      <c r="AV58" s="34" cm="1">
        <f t="array" ref="AV58">$G$10+VLOOKUP($Q58,武学奇术!$A:$ZZ,7,FALSE)+SUM(_xlfn.XLOOKUP($R58:$AK58,增益!$A:$A,增益!$G:$G,0))</f>
        <v>0</v>
      </c>
      <c r="AW58" s="27" cm="1">
        <f t="array" ref="AW58">VLOOKUP($Q58,武学奇术!$A:$ZZ,8,FALSE)+SUM(_xlfn.XLOOKUP($R58:$AK58,增益!$A:$A,增益!$H:$H,0))</f>
        <v>0</v>
      </c>
      <c r="AX58">
        <f t="shared" si="12"/>
        <v>0</v>
      </c>
      <c r="AY58">
        <f t="shared" si="13"/>
        <v>0</v>
      </c>
      <c r="AZ58" s="34" cm="1">
        <f t="array" ref="AZ58">IF($F$11-$I$4+VLOOKUP($Q58,武学奇术!$A:$ZZ,9,FALSE)+SUM(_xlfn.XLOOKUP($R58:$AK58,增益!$A:$A,增益!$I:$I,0))&gt;0,($F$11-$I$4+VLOOKUP($Q58,武学奇术!$A:$ZZ,9,FALSE)+SUM(_xlfn.XLOOKUP($R58:$AK58,增益!$A:$A,增益!$I:$I,0)))/200,($F$11-$I$4+VLOOKUP($Q58,武学奇术!$A:$ZZ,9,FALSE)+SUM(_xlfn.XLOOKUP($R58:$AK58,增益!$A:$A,增益!$I:$I,0)))/100)</f>
        <v>-0.14</v>
      </c>
      <c r="BA58" s="34" cm="1">
        <f t="array" ref="BA58">$G$11+VLOOKUP($Q58,武学奇术!$A:$ZZ,10,FALSE)+SUM(_xlfn.XLOOKUP($R58:$AK58,增益!$A:$A,增益!$J:$J,0))</f>
        <v>0</v>
      </c>
      <c r="BB58">
        <f t="shared" si="14"/>
        <v>594.1</v>
      </c>
      <c r="BC58">
        <f t="shared" si="15"/>
        <v>1604.9</v>
      </c>
      <c r="BD58" s="34" cm="1">
        <f t="array" ref="BD58">IF($F$12-$I$4+VLOOKUP($Q58,武学奇术!$A:$ZZ,11,FALSE)+SUM(_xlfn.XLOOKUP($R58:$AK58,增益!$A:$A,增益!$K:$K,0))&gt;0,($F$12-$I$4+VLOOKUP($Q58,武学奇术!$A:$ZZ,11,FALSE)+SUM(_xlfn.XLOOKUP($R58:$AK58,增益!$A:$A,增益!$K:$K,0)))/200,($F$12-$I$4+VLOOKUP($Q58,武学奇术!$A:$ZZ,11,FALSE)+SUM(_xlfn.XLOOKUP($R58:$AK58,增益!$A:$A,增益!$K:$K,0)))/100)</f>
        <v>0.17</v>
      </c>
      <c r="BE58" s="34" cm="1">
        <f t="array" ref="BE58">$G$12+VLOOKUP($Q58,武学奇术!$A:$ZZ,12,FALSE)+SUM(_xlfn.XLOOKUP($R58:$AK58,增益!$A:$A,增益!$L:$L,0))</f>
        <v>0.15</v>
      </c>
      <c r="BF58">
        <f t="shared" si="16"/>
        <v>0</v>
      </c>
      <c r="BG58">
        <f t="shared" si="17"/>
        <v>0</v>
      </c>
      <c r="BH58" s="34" cm="1">
        <f t="array" ref="BH58">IF($F$13-$I$4+VLOOKUP($Q58,武学奇术!$A:$ZZ,13,FALSE)+SUM(_xlfn.XLOOKUP($R58:$AK58,增益!$A:$A,增益!$M:$M,0))&gt;0,($F$13-$I$4+VLOOKUP($Q58,武学奇术!$A:$ZZ,13,FALSE)+SUM(_xlfn.XLOOKUP($R58:$AK58,增益!$A:$A,增益!$K:$K,0)))/200,($F$13-$I$4+VLOOKUP($Q58,武学奇术!$A:$ZZ,13,FALSE)+SUM(_xlfn.XLOOKUP($R58:$AK58,增益!$A:$A,增益!$M:$M,0)))/100)</f>
        <v>-0.14</v>
      </c>
      <c r="BI58" s="34" cm="1">
        <f t="array" ref="BI58">$G$13+VLOOKUP($Q58,武学奇术!$A:$ZZ,14,FALSE)+SUM(_xlfn.XLOOKUP($R58:$AK58,增益!$A:$A,增益!$N:$N,0))</f>
        <v>0</v>
      </c>
      <c r="BJ58">
        <f t="shared" si="18"/>
        <v>0</v>
      </c>
      <c r="BK58">
        <f t="shared" si="19"/>
        <v>0</v>
      </c>
      <c r="BL58" s="34" cm="1">
        <f t="array" ref="BL58">IF($F$14-$I$4+VLOOKUP($Q58,武学奇术!$A:$ZZ,15,FALSE)+SUM(_xlfn.XLOOKUP($R58:$AK58,增益!$A:$A,增益!$O:$O,0))&gt;0,($F$14-$I$4+VLOOKUP($Q58,武学奇术!$A:$ZZ,15,FALSE)+SUM(_xlfn.XLOOKUP($R58:$AK58,增益!$A:$A,增益!$O:$O,0)))/200,($F$14-$I$4+VLOOKUP($Q58,武学奇术!$A:$ZZ,15,FALSE)+SUM(_xlfn.XLOOKUP($R58:$AK58,增益!$A:$A,增益!$O:$O,0)))/100)</f>
        <v>-0.14</v>
      </c>
      <c r="BM58" s="34" cm="1">
        <f t="array" ref="BM58">$G$14+VLOOKUP($Q58,武学奇术!$A:$ZZ,16,FALSE)+SUM(_xlfn.XLOOKUP($R58:$AK58,增益!$A:$A,增益!$P:$P,0))</f>
        <v>0</v>
      </c>
      <c r="BN58" s="27">
        <f>MIN(IF(VLOOKUP($Q58,武学奇术!$A:$ZZ,23,FALSE)=1,100%,$B$8),100%)</f>
        <v>0.9859</v>
      </c>
      <c r="BO58" s="27" cm="1">
        <f t="array" ref="BO58">IF(VLOOKUP($Q58,武学奇术!$A:$ZZ,23,FALSE)=1,100%,MIN(80%,$B$9+VLOOKUP($Q58,武学奇术!$A:$ZZ,17,FALSE)+SUM(_xlfn.XLOOKUP($R58:$AK58,增益!$A:$A,增益!$Q:$Q,0)))+$B$11+SUM(_xlfn.XLOOKUP($R58:$AK58,增益!$A:$A,增益!$U:$U,0)))*IF(VLOOKUP($Q58,武学奇术!$A:$ZZ,24,FALSE)=1,0,1)</f>
        <v>0.8912</v>
      </c>
      <c r="BP58" s="27" cm="1">
        <f t="array" ref="BP58">1+$B$13+VLOOKUP($Q58,武学奇术!$A:$ZZ,18,FALSE)+SUM(_xlfn.XLOOKUP($R58:$AK58,增益!$A:$A,增益!$R:$R,0))</f>
        <v>2.1</v>
      </c>
      <c r="BQ58" s="27" cm="1">
        <f t="array" ref="BQ58">IF(VLOOKUP($Q58,武学奇术!$A:$ZZ,24,FALSE)=1,100%,MIN(40%,$B$10+VLOOKUP($Q58,武学奇术!$A:$ZZ,19,FALSE)+SUM(_xlfn.XLOOKUP($R58:$AK58,增益!$A:$A,增益!$S:$S,0)))+$B$12+SUM(_xlfn.XLOOKUP($R58:$AK58,增益!$A:$A,增益!$V:$V,0)))*IF(VLOOKUP($Q58,武学奇术!$A:$ZZ,23,FALSE)=1,0,1)</f>
        <v>0.0929</v>
      </c>
      <c r="BR58" s="27" cm="1">
        <f t="array" ref="BR58">1+$B$14+VLOOKUP($Q58,武学奇术!$A:$ZZ,20,FALSE)+SUM(_xlfn.XLOOKUP($R58:$AK58,增益!$A:$A,增益!$T:$T,0))</f>
        <v>1.35</v>
      </c>
      <c r="BS58" s="27">
        <f t="shared" si="20"/>
        <v>0.87863408</v>
      </c>
      <c r="BT58" s="27">
        <f t="shared" si="21"/>
        <v>0.01567581</v>
      </c>
      <c r="BU58" s="27">
        <f>IF(VLOOKUP($Q58,武学奇术!$A:$ZZ,22,FALSE)=1,0,(1-$BN58))*(1-$BQ58)</f>
        <v>0.01279011</v>
      </c>
      <c r="BV58" s="27" cm="1">
        <f t="array" ref="BV58">SUM(_xlfn.XLOOKUP($R58:$AK58,增益!$A:$A,增益!$W:$W,0))+$I$5</f>
        <v>0.11</v>
      </c>
    </row>
    <row r="59" spans="1:74">
      <c r="A59" s="4" t="s">
        <v>171</v>
      </c>
      <c r="B59" s="4">
        <v>2.3</v>
      </c>
      <c r="C59" s="41"/>
      <c r="D59" s="41"/>
      <c r="E59" s="41" t="s">
        <v>172</v>
      </c>
      <c r="K59" s="40">
        <f t="shared" si="11"/>
        <v>0</v>
      </c>
      <c r="L59" s="40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BP59*$P59*(1+IF(VLOOKUP($Q59,武学奇术!$A:$ZZ,30,FALSE)="蓄力技",$B$21,0))*(1+$BV59)</f>
        <v>0</v>
      </c>
      <c r="M59" s="40">
        <f>(($AT59*$AM59+$AN59)*(1+$AU59)*(1+$AV59)+($AY59*IF($G$1="鸣金",$AO59,$AM59)+IF($G$1="鸣金",$AP59*1.5,0))*(1+$AZ59)*(1+$BA59)+($BC59*IF($G$1="裂石",$AO59,$AM59)+IF($G$1="裂石",$AP59*1.5,0))*(1+$BD59)*(1+$BE59)+($BG59*IF($G$1="牵丝",$AO59,$AM59)+IF($G$1="牵丝",$AP59*1.5,0))*(1+$BH59)*(1+$BI59)+($BK59*IF($G$1="破竹",$AO59,$AM59)+IF($G$1="破竹",$AP59*1.5,0))*(1+$BL59)*(1+$BM59))*(1+$AQ59)*$BR59*$P59*(1+IF(VLOOKUP($Q59,武学奇术!$A:$ZZ,30,FALSE)="蓄力技",$B$21,0))*(1+$BV59)</f>
        <v>0</v>
      </c>
      <c r="N59" s="40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P59*(1+IF(VLOOKUP($Q59,武学奇术!$A:$ZZ,30,FALSE)="蓄力技",$B$21,0))*(1+$BV59)</f>
        <v>0</v>
      </c>
      <c r="O59" s="40">
        <f>((($AS59*$AM59+$AN59)*(1+$AU59)*(1+$AV59)+($AX59*IF($G$1="鸣金",$AO59,$AM59)+IF($G$1="鸣金",$AP59*1.5,0))*(1+$AZ59)*(1+$BA59)+($BB59*IF($G$1="裂石",$AO59,$AM59)+IF($G$1="裂石",$AP59*1.5,0))*(1+$BD59)*(1+$BE59)+($BF59*IF($G$1="牵丝",$AO59,$AM59)+IF($G$1="牵丝",$AP59*1.5,0))*(1+$BH59)*(1+$BI59)+($BJ59*IF($G$1="破竹",$AO59,$AM59)+IF($G$1="破竹",$AP59*1.5,0))*(1+$BL59)*(1+$BM59))*(1+$AQ59))*$P59*(1+IF(VLOOKUP($Q59,武学奇术!$A:$ZZ,30,FALSE)="蓄力技",$B$21,0))*(1+$BV59)</f>
        <v>0</v>
      </c>
      <c r="P59" s="41">
        <v>1</v>
      </c>
      <c r="Q59" s="42" t="s">
        <v>77</v>
      </c>
      <c r="R59" s="42" t="s">
        <v>77</v>
      </c>
      <c r="S59" s="42" t="s">
        <v>77</v>
      </c>
      <c r="T59" s="42" t="s">
        <v>77</v>
      </c>
      <c r="U59" s="42" t="s">
        <v>77</v>
      </c>
      <c r="V59" s="42" t="s">
        <v>77</v>
      </c>
      <c r="W59" s="42" t="s">
        <v>77</v>
      </c>
      <c r="X59" s="42" t="s">
        <v>77</v>
      </c>
      <c r="Y59" s="42" t="s">
        <v>77</v>
      </c>
      <c r="Z59" s="42" t="s">
        <v>77</v>
      </c>
      <c r="AA59" s="42" t="s">
        <v>77</v>
      </c>
      <c r="AB59" s="42" t="s">
        <v>77</v>
      </c>
      <c r="AC59" s="42" t="s">
        <v>77</v>
      </c>
      <c r="AD59" s="42" t="s">
        <v>80</v>
      </c>
      <c r="AE59" s="42" t="s">
        <v>81</v>
      </c>
      <c r="AF59" s="42" t="s">
        <v>82</v>
      </c>
      <c r="AG59" s="42" t="s">
        <v>77</v>
      </c>
      <c r="AH59" s="42" t="s">
        <v>77</v>
      </c>
      <c r="AI59" s="42" t="s">
        <v>77</v>
      </c>
      <c r="AJ59" s="42" t="s">
        <v>77</v>
      </c>
      <c r="AK59" s="42" t="s">
        <v>90</v>
      </c>
      <c r="AL59" t="str">
        <f>VLOOKUP($Q59,武学奇术!$A:$ZZ,25,FALSE)</f>
        <v>心法</v>
      </c>
      <c r="AM59" s="27">
        <f>VLOOKUP($Q59,武学奇术!$A:$ZZ,26,FALSE)</f>
        <v>0</v>
      </c>
      <c r="AN59" s="28">
        <f>VLOOKUP($Q59,武学奇术!$A:$ZZ,27,FALSE)*(1+IF(OR($AL59=$F$4,$AL59=$F$5),$B$22,0))</f>
        <v>0</v>
      </c>
      <c r="AO59" s="27">
        <f>VLOOKUP($Q59,武学奇术!$A:$ZZ,28,FALSE)</f>
        <v>0</v>
      </c>
      <c r="AP59" s="28">
        <f>VLOOKUP($Q59,武学奇术!$A:$ZZ,29,FALSE)*(1+IF(OR($AL59=$F$4,$AL59=$F$5),$B$22,0))</f>
        <v>0</v>
      </c>
      <c r="AQ59" s="27" cm="1">
        <f t="array" ref="AQ59">$G$3+IFERROR(VLOOKUP($AL59,$F$4:$G$7,2,FALSE),0)+VLOOKUP($Q59,武学奇术!$A:$ZZ,2,FALSE)+SUM(_xlfn.XLOOKUP($R59:$AK59,增益!$A:$A,增益!$B:$B,0))</f>
        <v>0.3137</v>
      </c>
      <c r="AR59" s="27" cm="1">
        <f t="array" ref="AR59">VLOOKUP($Q59,武学奇术!$A:$ZZ,5,FALSE)+SUM(_xlfn.XLOOKUP($R59:$AK59,增益!$A:$A,增益!$E:$E,0))</f>
        <v>0</v>
      </c>
      <c r="AS59" cm="1">
        <f t="array" ref="AS59">$D$10*(1+$AR59)+VLOOKUP($Q59,武学奇术!$A:$ZZ,3,FALSE)+SUM(_xlfn.XLOOKUP($R59:$AK59,增益!$A:$A,增益!$C:$C,0))-$I$2</f>
        <v>3648.7</v>
      </c>
      <c r="AT59" cm="1">
        <f t="array" ref="AT59">$E$10*(1+$AR59)+VLOOKUP($Q59,武学奇术!$A:$ZZ,4,FALSE)+SUM(_xlfn.XLOOKUP($R59:$AK59,增益!$A:$A,增益!$D:$D,0))-$I$2</f>
        <v>3648.7</v>
      </c>
      <c r="AU59" s="34" cm="1">
        <f t="array" ref="AU59">IF($F$10-$I$3+VLOOKUP($Q59,武学奇术!$A:$ZZ,6,FALSE)+SUM(_xlfn.XLOOKUP($R59:$AK59,增益!$A:$A,增益!$F:$F,0))&gt;0,($F$10-$I$3+VLOOKUP($Q59,武学奇术!$A:$ZZ,6,FALSE)+SUM(_xlfn.XLOOKUP($R59:$AK59,增益!$A:$A,增益!$F:$F,0)))/200,($F$10-$I$3+VLOOKUP($Q59,武学奇术!$A:$ZZ,6,FALSE)+SUM(_xlfn.XLOOKUP($R59:$AK59,增益!$A:$A,增益!$F:$F,0)))/100)</f>
        <v>0.327</v>
      </c>
      <c r="AV59" s="34" cm="1">
        <f t="array" ref="AV59">$G$10+VLOOKUP($Q59,武学奇术!$A:$ZZ,7,FALSE)+SUM(_xlfn.XLOOKUP($R59:$AK59,增益!$A:$A,增益!$G:$G,0))</f>
        <v>0</v>
      </c>
      <c r="AW59" s="27" cm="1">
        <f t="array" ref="AW59">VLOOKUP($Q59,武学奇术!$A:$ZZ,8,FALSE)+SUM(_xlfn.XLOOKUP($R59:$AK59,增益!$A:$A,增益!$H:$H,0))</f>
        <v>0</v>
      </c>
      <c r="AX59">
        <f t="shared" si="12"/>
        <v>0</v>
      </c>
      <c r="AY59">
        <f t="shared" si="13"/>
        <v>0</v>
      </c>
      <c r="AZ59" s="34" cm="1">
        <f t="array" ref="AZ59">IF($F$11-$I$4+VLOOKUP($Q59,武学奇术!$A:$ZZ,9,FALSE)+SUM(_xlfn.XLOOKUP($R59:$AK59,增益!$A:$A,增益!$I:$I,0))&gt;0,($F$11-$I$4+VLOOKUP($Q59,武学奇术!$A:$ZZ,9,FALSE)+SUM(_xlfn.XLOOKUP($R59:$AK59,增益!$A:$A,增益!$I:$I,0)))/200,($F$11-$I$4+VLOOKUP($Q59,武学奇术!$A:$ZZ,9,FALSE)+SUM(_xlfn.XLOOKUP($R59:$AK59,增益!$A:$A,增益!$I:$I,0)))/100)</f>
        <v>-0.3</v>
      </c>
      <c r="BA59" s="34" cm="1">
        <f t="array" ref="BA59">$G$11+VLOOKUP($Q59,武学奇术!$A:$ZZ,10,FALSE)+SUM(_xlfn.XLOOKUP($R59:$AK59,增益!$A:$A,增益!$J:$J,0))</f>
        <v>0</v>
      </c>
      <c r="BB59">
        <f t="shared" si="14"/>
        <v>594.1</v>
      </c>
      <c r="BC59">
        <f t="shared" si="15"/>
        <v>1604.9</v>
      </c>
      <c r="BD59" s="34" cm="1">
        <f t="array" ref="BD59">IF($F$12-$I$4+VLOOKUP($Q59,武学奇术!$A:$ZZ,11,FALSE)+SUM(_xlfn.XLOOKUP($R59:$AK59,增益!$A:$A,增益!$K:$K,0))&gt;0,($F$12-$I$4+VLOOKUP($Q59,武学奇术!$A:$ZZ,11,FALSE)+SUM(_xlfn.XLOOKUP($R59:$AK59,增益!$A:$A,增益!$K:$K,0)))/200,($F$12-$I$4+VLOOKUP($Q59,武学奇术!$A:$ZZ,11,FALSE)+SUM(_xlfn.XLOOKUP($R59:$AK59,增益!$A:$A,增益!$K:$K,0)))/100)</f>
        <v>0.09</v>
      </c>
      <c r="BE59" s="34" cm="1">
        <f t="array" ref="BE59">$G$12+VLOOKUP($Q59,武学奇术!$A:$ZZ,12,FALSE)+SUM(_xlfn.XLOOKUP($R59:$AK59,增益!$A:$A,增益!$L:$L,0))</f>
        <v>0.15</v>
      </c>
      <c r="BF59">
        <f t="shared" si="16"/>
        <v>0</v>
      </c>
      <c r="BG59">
        <f t="shared" si="17"/>
        <v>0</v>
      </c>
      <c r="BH59" s="34" cm="1">
        <f t="array" ref="BH59">IF($F$13-$I$4+VLOOKUP($Q59,武学奇术!$A:$ZZ,13,FALSE)+SUM(_xlfn.XLOOKUP($R59:$AK59,增益!$A:$A,增益!$M:$M,0))&gt;0,($F$13-$I$4+VLOOKUP($Q59,武学奇术!$A:$ZZ,13,FALSE)+SUM(_xlfn.XLOOKUP($R59:$AK59,增益!$A:$A,增益!$K:$K,0)))/200,($F$13-$I$4+VLOOKUP($Q59,武学奇术!$A:$ZZ,13,FALSE)+SUM(_xlfn.XLOOKUP($R59:$AK59,增益!$A:$A,增益!$M:$M,0)))/100)</f>
        <v>-0.3</v>
      </c>
      <c r="BI59" s="34" cm="1">
        <f t="array" ref="BI59">$G$13+VLOOKUP($Q59,武学奇术!$A:$ZZ,14,FALSE)+SUM(_xlfn.XLOOKUP($R59:$AK59,增益!$A:$A,增益!$N:$N,0))</f>
        <v>0</v>
      </c>
      <c r="BJ59">
        <f t="shared" si="18"/>
        <v>0</v>
      </c>
      <c r="BK59">
        <f t="shared" si="19"/>
        <v>0</v>
      </c>
      <c r="BL59" s="34" cm="1">
        <f t="array" ref="BL59">IF($F$14-$I$4+VLOOKUP($Q59,武学奇术!$A:$ZZ,15,FALSE)+SUM(_xlfn.XLOOKUP($R59:$AK59,增益!$A:$A,增益!$O:$O,0))&gt;0,($F$14-$I$4+VLOOKUP($Q59,武学奇术!$A:$ZZ,15,FALSE)+SUM(_xlfn.XLOOKUP($R59:$AK59,增益!$A:$A,增益!$O:$O,0)))/200,($F$14-$I$4+VLOOKUP($Q59,武学奇术!$A:$ZZ,15,FALSE)+SUM(_xlfn.XLOOKUP($R59:$AK59,增益!$A:$A,增益!$O:$O,0)))/100)</f>
        <v>-0.3</v>
      </c>
      <c r="BM59" s="34" cm="1">
        <f t="array" ref="BM59">$G$14+VLOOKUP($Q59,武学奇术!$A:$ZZ,16,FALSE)+SUM(_xlfn.XLOOKUP($R59:$AK59,增益!$A:$A,增益!$P:$P,0))</f>
        <v>0</v>
      </c>
      <c r="BN59" s="27">
        <f>MIN(IF(VLOOKUP($Q59,武学奇术!$A:$ZZ,23,FALSE)=1,100%,$B$8),100%)</f>
        <v>0.9859</v>
      </c>
      <c r="BO59" s="27" cm="1">
        <f t="array" ref="BO59">IF(VLOOKUP($Q59,武学奇术!$A:$ZZ,23,FALSE)=1,100%,MIN(80%,$B$9+VLOOKUP($Q59,武学奇术!$A:$ZZ,17,FALSE)+SUM(_xlfn.XLOOKUP($R59:$AK59,增益!$A:$A,增益!$Q:$Q,0)))+$B$11+SUM(_xlfn.XLOOKUP($R59:$AK59,增益!$A:$A,增益!$U:$U,0)))*IF(VLOOKUP($Q59,武学奇术!$A:$ZZ,24,FALSE)=1,0,1)</f>
        <v>0.8912</v>
      </c>
      <c r="BP59" s="27" cm="1">
        <f t="array" ref="BP59">1+$B$13+VLOOKUP($Q59,武学奇术!$A:$ZZ,18,FALSE)+SUM(_xlfn.XLOOKUP($R59:$AK59,增益!$A:$A,增益!$R:$R,0))</f>
        <v>1.54</v>
      </c>
      <c r="BQ59" s="27" cm="1">
        <f t="array" ref="BQ59">IF(VLOOKUP($Q59,武学奇术!$A:$ZZ,24,FALSE)=1,100%,MIN(40%,$B$10+VLOOKUP($Q59,武学奇术!$A:$ZZ,19,FALSE)+SUM(_xlfn.XLOOKUP($R59:$AK59,增益!$A:$A,增益!$S:$S,0)))+$B$12+SUM(_xlfn.XLOOKUP($R59:$AK59,增益!$A:$A,增益!$V:$V,0)))*IF(VLOOKUP($Q59,武学奇术!$A:$ZZ,23,FALSE)=1,0,1)</f>
        <v>0.0929</v>
      </c>
      <c r="BR59" s="27" cm="1">
        <f t="array" ref="BR59">1+$B$14+VLOOKUP($Q59,武学奇术!$A:$ZZ,20,FALSE)+SUM(_xlfn.XLOOKUP($R59:$AK59,增益!$A:$A,增益!$T:$T,0))</f>
        <v>1.35</v>
      </c>
      <c r="BS59" s="27">
        <f t="shared" si="20"/>
        <v>0.87863408</v>
      </c>
      <c r="BT59" s="27">
        <f t="shared" si="21"/>
        <v>0.01567581</v>
      </c>
      <c r="BU59" s="27">
        <f>IF(VLOOKUP($Q59,武学奇术!$A:$ZZ,22,FALSE)=1,0,(1-$BN59))*(1-$BQ59)</f>
        <v>0.01279011</v>
      </c>
      <c r="BV59" s="27" cm="1">
        <f t="array" ref="BV59">SUM(_xlfn.XLOOKUP($R59:$AK59,增益!$A:$A,增益!$W:$W,0))+$I$5</f>
        <v>0.11</v>
      </c>
    </row>
    <row r="60" spans="1:74">
      <c r="A60" s="4" t="s">
        <v>171</v>
      </c>
      <c r="B60" s="4">
        <v>2.3</v>
      </c>
      <c r="C60" s="41"/>
      <c r="D60" s="41"/>
      <c r="E60" s="41"/>
      <c r="K60" s="40">
        <f t="shared" si="11"/>
        <v>63026.682880711</v>
      </c>
      <c r="L60" s="40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BP60*$P60*(1+IF(VLOOKUP($Q60,武学奇术!$A:$ZZ,30,FALSE)="蓄力技",$B$21,0))*(1+$BV60)</f>
        <v>65519.7201329025</v>
      </c>
      <c r="M60" s="40">
        <f>(($AT60*$AM60+$AN60)*(1+$AU60)*(1+$AV60)+($AY60*IF($G$1="鸣金",$AO60,$AM60)+IF($G$1="鸣金",$AP60*1.5,0))*(1+$AZ60)*(1+$BA60)+($BC60*IF($G$1="裂石",$AO60,$AM60)+IF($G$1="裂石",$AP60*1.5,0))*(1+$BD60)*(1+$BE60)+($BG60*IF($G$1="牵丝",$AO60,$AM60)+IF($G$1="牵丝",$AP60*1.5,0))*(1+$BH60)*(1+$BI60)+($BK60*IF($G$1="破竹",$AO60,$AM60)+IF($G$1="破竹",$AP60*1.5,0))*(1+$BL60)*(1+$BM60))*(1+$AQ60)*$BR60*$P60*(1+IF(VLOOKUP($Q60,武学奇术!$A:$ZZ,30,FALSE)="蓄力技",$B$21,0))*(1+$BV60)</f>
        <v>49232.7301873287</v>
      </c>
      <c r="N60" s="40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P60*(1+IF(VLOOKUP($Q60,武学奇术!$A:$ZZ,30,FALSE)="蓄力技",$B$21,0))*(1+$BV60)</f>
        <v>32759.8600664512</v>
      </c>
      <c r="O60" s="40">
        <f>((($AS60*$AM60+$AN60)*(1+$AU60)*(1+$AV60)+($AX60*IF($G$1="鸣金",$AO60,$AM60)+IF($G$1="鸣金",$AP60*1.5,0))*(1+$AZ60)*(1+$BA60)+($BB60*IF($G$1="裂石",$AO60,$AM60)+IF($G$1="裂石",$AP60*1.5,0))*(1+$BD60)*(1+$BE60)+($BF60*IF($G$1="牵丝",$AO60,$AM60)+IF($G$1="牵丝",$AP60*1.5,0))*(1+$BH60)*(1+$BI60)+($BJ60*IF($G$1="破竹",$AO60,$AM60)+IF($G$1="破竹",$AP60*1.5,0))*(1+$BL60)*(1+$BM60))*(1+$AQ60))*$P60*(1+IF(VLOOKUP($Q60,武学奇术!$A:$ZZ,30,FALSE)="蓄力技",$B$21,0))*(1+$BV60)</f>
        <v>29051.0311052516</v>
      </c>
      <c r="P60" s="41">
        <v>1</v>
      </c>
      <c r="Q60" s="42" t="s">
        <v>106</v>
      </c>
      <c r="R60" s="42" t="s">
        <v>103</v>
      </c>
      <c r="S60" s="42" t="s">
        <v>169</v>
      </c>
      <c r="T60" s="42" t="s">
        <v>77</v>
      </c>
      <c r="U60" s="42" t="s">
        <v>121</v>
      </c>
      <c r="V60" s="42" t="s">
        <v>77</v>
      </c>
      <c r="W60" s="42" t="s">
        <v>77</v>
      </c>
      <c r="X60" s="42" t="s">
        <v>176</v>
      </c>
      <c r="Y60" s="42" t="s">
        <v>77</v>
      </c>
      <c r="Z60" s="42" t="s">
        <v>77</v>
      </c>
      <c r="AA60" s="42" t="s">
        <v>73</v>
      </c>
      <c r="AB60" s="42" t="s">
        <v>89</v>
      </c>
      <c r="AC60" s="42" t="s">
        <v>77</v>
      </c>
      <c r="AD60" s="42" t="s">
        <v>80</v>
      </c>
      <c r="AE60" s="42" t="s">
        <v>81</v>
      </c>
      <c r="AF60" s="42" t="s">
        <v>82</v>
      </c>
      <c r="AG60" s="42" t="s">
        <v>77</v>
      </c>
      <c r="AH60" s="42" t="s">
        <v>77</v>
      </c>
      <c r="AI60" s="42" t="s">
        <v>77</v>
      </c>
      <c r="AJ60" s="42" t="s">
        <v>77</v>
      </c>
      <c r="AK60" s="42" t="s">
        <v>90</v>
      </c>
      <c r="AL60" t="str">
        <f>VLOOKUP($Q60,武学奇术!$A:$ZZ,25,FALSE)</f>
        <v>横刀</v>
      </c>
      <c r="AM60" s="27">
        <f>VLOOKUP($Q60,武学奇术!$A:$ZZ,26,FALSE)</f>
        <v>2.1324</v>
      </c>
      <c r="AN60" s="28">
        <f>VLOOKUP($Q60,武学奇术!$A:$ZZ,27,FALSE)*(1+IF(OR($AL60=$F$4,$AL60=$F$5),$B$22,0))</f>
        <v>885</v>
      </c>
      <c r="AO60" s="27">
        <f>VLOOKUP($Q60,武学奇术!$A:$ZZ,28,FALSE)</f>
        <v>3.1986</v>
      </c>
      <c r="AP60" s="28">
        <f>VLOOKUP($Q60,武学奇术!$A:$ZZ,29,FALSE)*(1+IF(OR($AL60=$F$4,$AL60=$F$5),$B$22,0))</f>
        <v>483</v>
      </c>
      <c r="AQ60" s="27" cm="1">
        <f t="array" ref="AQ60">$G$3+IFERROR(VLOOKUP($AL60,$F$4:$G$7,2,FALSE),0)+VLOOKUP($Q60,武学奇术!$A:$ZZ,2,FALSE)+SUM(_xlfn.XLOOKUP($R60:$AK60,增益!$A:$A,增益!$B:$B,0))</f>
        <v>0.6489</v>
      </c>
      <c r="AR60" s="27" cm="1">
        <f t="array" ref="AR60">VLOOKUP($Q60,武学奇术!$A:$ZZ,5,FALSE)+SUM(_xlfn.XLOOKUP($R60:$AK60,增益!$A:$A,增益!$E:$E,0))</f>
        <v>0</v>
      </c>
      <c r="AS60" cm="1">
        <f t="array" ref="AS60">$D$10*(1+$AR60)+VLOOKUP($Q60,武学奇术!$A:$ZZ,3,FALSE)+SUM(_xlfn.XLOOKUP($R60:$AK60,增益!$A:$A,增益!$C:$C,0))-$I$2</f>
        <v>3648.7</v>
      </c>
      <c r="AT60" cm="1">
        <f t="array" ref="AT60">$E$10*(1+$AR60)+VLOOKUP($Q60,武学奇术!$A:$ZZ,4,FALSE)+SUM(_xlfn.XLOOKUP($R60:$AK60,增益!$A:$A,增益!$D:$D,0))-$I$2</f>
        <v>3648.7</v>
      </c>
      <c r="AU60" s="34" cm="1">
        <f t="array" ref="AU60">IF($F$10-$I$3+VLOOKUP($Q60,武学奇术!$A:$ZZ,6,FALSE)+SUM(_xlfn.XLOOKUP($R60:$AK60,增益!$A:$A,增益!$F:$F,0))&gt;0,($F$10-$I$3+VLOOKUP($Q60,武学奇术!$A:$ZZ,6,FALSE)+SUM(_xlfn.XLOOKUP($R60:$AK60,增益!$A:$A,增益!$F:$F,0)))/200,($F$10-$I$3+VLOOKUP($Q60,武学奇术!$A:$ZZ,6,FALSE)+SUM(_xlfn.XLOOKUP($R60:$AK60,增益!$A:$A,增益!$F:$F,0)))/100)</f>
        <v>0.452</v>
      </c>
      <c r="AV60" s="34" cm="1">
        <f t="array" ref="AV60">$G$10+VLOOKUP($Q60,武学奇术!$A:$ZZ,7,FALSE)+SUM(_xlfn.XLOOKUP($R60:$AK60,增益!$A:$A,增益!$G:$G,0))</f>
        <v>0</v>
      </c>
      <c r="AW60" s="27" cm="1">
        <f t="array" ref="AW60">VLOOKUP($Q60,武学奇术!$A:$ZZ,8,FALSE)+SUM(_xlfn.XLOOKUP($R60:$AK60,增益!$A:$A,增益!$H:$H,0))</f>
        <v>0</v>
      </c>
      <c r="AX60">
        <f t="shared" si="12"/>
        <v>0</v>
      </c>
      <c r="AY60">
        <f t="shared" si="13"/>
        <v>0</v>
      </c>
      <c r="AZ60" s="34" cm="1">
        <f t="array" ref="AZ60">IF($F$11-$I$4+VLOOKUP($Q60,武学奇术!$A:$ZZ,9,FALSE)+SUM(_xlfn.XLOOKUP($R60:$AK60,增益!$A:$A,增益!$I:$I,0))&gt;0,($F$11-$I$4+VLOOKUP($Q60,武学奇术!$A:$ZZ,9,FALSE)+SUM(_xlfn.XLOOKUP($R60:$AK60,增益!$A:$A,增益!$I:$I,0)))/200,($F$11-$I$4+VLOOKUP($Q60,武学奇术!$A:$ZZ,9,FALSE)+SUM(_xlfn.XLOOKUP($R60:$AK60,增益!$A:$A,增益!$I:$I,0)))/100)</f>
        <v>-0.3</v>
      </c>
      <c r="BA60" s="34" cm="1">
        <f t="array" ref="BA60">$G$11+VLOOKUP($Q60,武学奇术!$A:$ZZ,10,FALSE)+SUM(_xlfn.XLOOKUP($R60:$AK60,增益!$A:$A,增益!$J:$J,0))</f>
        <v>0</v>
      </c>
      <c r="BB60">
        <f t="shared" si="14"/>
        <v>594.1</v>
      </c>
      <c r="BC60">
        <f t="shared" si="15"/>
        <v>1604.9</v>
      </c>
      <c r="BD60" s="34" cm="1">
        <f t="array" ref="BD60">IF($F$12-$I$4+VLOOKUP($Q60,武学奇术!$A:$ZZ,11,FALSE)+SUM(_xlfn.XLOOKUP($R60:$AK60,增益!$A:$A,增益!$K:$K,0))&gt;0,($F$12-$I$4+VLOOKUP($Q60,武学奇术!$A:$ZZ,11,FALSE)+SUM(_xlfn.XLOOKUP($R60:$AK60,增益!$A:$A,增益!$K:$K,0)))/200,($F$12-$I$4+VLOOKUP($Q60,武学奇术!$A:$ZZ,11,FALSE)+SUM(_xlfn.XLOOKUP($R60:$AK60,增益!$A:$A,增益!$K:$K,0)))/100)</f>
        <v>0.09</v>
      </c>
      <c r="BE60" s="34" cm="1">
        <f t="array" ref="BE60">$G$12+VLOOKUP($Q60,武学奇术!$A:$ZZ,12,FALSE)+SUM(_xlfn.XLOOKUP($R60:$AK60,增益!$A:$A,增益!$L:$L,0))</f>
        <v>0.15</v>
      </c>
      <c r="BF60">
        <f t="shared" si="16"/>
        <v>0</v>
      </c>
      <c r="BG60">
        <f t="shared" si="17"/>
        <v>0</v>
      </c>
      <c r="BH60" s="34" cm="1">
        <f t="array" ref="BH60">IF($F$13-$I$4+VLOOKUP($Q60,武学奇术!$A:$ZZ,13,FALSE)+SUM(_xlfn.XLOOKUP($R60:$AK60,增益!$A:$A,增益!$M:$M,0))&gt;0,($F$13-$I$4+VLOOKUP($Q60,武学奇术!$A:$ZZ,13,FALSE)+SUM(_xlfn.XLOOKUP($R60:$AK60,增益!$A:$A,增益!$K:$K,0)))/200,($F$13-$I$4+VLOOKUP($Q60,武学奇术!$A:$ZZ,13,FALSE)+SUM(_xlfn.XLOOKUP($R60:$AK60,增益!$A:$A,增益!$M:$M,0)))/100)</f>
        <v>-0.3</v>
      </c>
      <c r="BI60" s="34" cm="1">
        <f t="array" ref="BI60">$G$13+VLOOKUP($Q60,武学奇术!$A:$ZZ,14,FALSE)+SUM(_xlfn.XLOOKUP($R60:$AK60,增益!$A:$A,增益!$N:$N,0))</f>
        <v>0</v>
      </c>
      <c r="BJ60">
        <f t="shared" si="18"/>
        <v>0</v>
      </c>
      <c r="BK60">
        <f t="shared" si="19"/>
        <v>0</v>
      </c>
      <c r="BL60" s="34" cm="1">
        <f t="array" ref="BL60">IF($F$14-$I$4+VLOOKUP($Q60,武学奇术!$A:$ZZ,15,FALSE)+SUM(_xlfn.XLOOKUP($R60:$AK60,增益!$A:$A,增益!$O:$O,0))&gt;0,($F$14-$I$4+VLOOKUP($Q60,武学奇术!$A:$ZZ,15,FALSE)+SUM(_xlfn.XLOOKUP($R60:$AK60,增益!$A:$A,增益!$O:$O,0)))/200,($F$14-$I$4+VLOOKUP($Q60,武学奇术!$A:$ZZ,15,FALSE)+SUM(_xlfn.XLOOKUP($R60:$AK60,增益!$A:$A,增益!$O:$O,0)))/100)</f>
        <v>-0.3</v>
      </c>
      <c r="BM60" s="34" cm="1">
        <f t="array" ref="BM60">$G$14+VLOOKUP($Q60,武学奇术!$A:$ZZ,16,FALSE)+SUM(_xlfn.XLOOKUP($R60:$AK60,增益!$A:$A,增益!$P:$P,0))</f>
        <v>0</v>
      </c>
      <c r="BN60" s="27">
        <f>MIN(IF(VLOOKUP($Q60,武学奇术!$A:$ZZ,23,FALSE)=1,100%,$B$8),100%)</f>
        <v>0.9859</v>
      </c>
      <c r="BO60" s="27" cm="1">
        <f t="array" ref="BO60">IF(VLOOKUP($Q60,武学奇术!$A:$ZZ,23,FALSE)=1,100%,MIN(80%,$B$9+VLOOKUP($Q60,武学奇术!$A:$ZZ,17,FALSE)+SUM(_xlfn.XLOOKUP($R60:$AK60,增益!$A:$A,增益!$Q:$Q,0)))+$B$11+SUM(_xlfn.XLOOKUP($R60:$AK60,增益!$A:$A,增益!$U:$U,0)))*IF(VLOOKUP($Q60,武学奇术!$A:$ZZ,24,FALSE)=1,0,1)</f>
        <v>0.8912</v>
      </c>
      <c r="BP60" s="27" cm="1">
        <f t="array" ref="BP60">1+$B$13+VLOOKUP($Q60,武学奇术!$A:$ZZ,18,FALSE)+SUM(_xlfn.XLOOKUP($R60:$AK60,增益!$A:$A,增益!$R:$R,0))</f>
        <v>2</v>
      </c>
      <c r="BQ60" s="27" cm="1">
        <f t="array" ref="BQ60">IF(VLOOKUP($Q60,武学奇术!$A:$ZZ,24,FALSE)=1,100%,MIN(40%,$B$10+VLOOKUP($Q60,武学奇术!$A:$ZZ,19,FALSE)+SUM(_xlfn.XLOOKUP($R60:$AK60,增益!$A:$A,增益!$S:$S,0)))+$B$12+SUM(_xlfn.XLOOKUP($R60:$AK60,增益!$A:$A,增益!$V:$V,0)))*IF(VLOOKUP($Q60,武学奇术!$A:$ZZ,23,FALSE)=1,0,1)</f>
        <v>0.0929</v>
      </c>
      <c r="BR60" s="27" cm="1">
        <f t="array" ref="BR60">1+$B$14+VLOOKUP($Q60,武学奇术!$A:$ZZ,20,FALSE)+SUM(_xlfn.XLOOKUP($R60:$AK60,增益!$A:$A,增益!$T:$T,0))</f>
        <v>1.35</v>
      </c>
      <c r="BS60" s="27">
        <f t="shared" si="20"/>
        <v>0.87863408</v>
      </c>
      <c r="BT60" s="27">
        <f t="shared" si="21"/>
        <v>0.01567581</v>
      </c>
      <c r="BU60" s="27">
        <f>IF(VLOOKUP($Q60,武学奇术!$A:$ZZ,22,FALSE)=1,0,(1-$BN60))*(1-$BQ60)</f>
        <v>0.01279011</v>
      </c>
      <c r="BV60" s="27" cm="1">
        <f t="array" ref="BV60">SUM(_xlfn.XLOOKUP($R60:$AK60,增益!$A:$A,增益!$W:$W,0))+$I$5</f>
        <v>0.11</v>
      </c>
    </row>
    <row r="61" spans="1:74">
      <c r="A61" s="4" t="s">
        <v>171</v>
      </c>
      <c r="B61" s="4">
        <v>2.3</v>
      </c>
      <c r="C61" s="41"/>
      <c r="D61" s="41"/>
      <c r="E61" s="41"/>
      <c r="K61" s="40">
        <f t="shared" ref="K61:K73" si="22">($L61*$BS61+$M61*$BQ61+$N61*$BT61+$O61*$BU61)</f>
        <v>38906.1115320294</v>
      </c>
      <c r="L61" s="40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BP61*$P61*(1+IF(VLOOKUP($Q61,武学奇术!$A:$ZZ,30,FALSE)="蓄力技",$B$21,0))*(1+$BV61)</f>
        <v>40391.8904228244</v>
      </c>
      <c r="M61" s="40">
        <f>(($AT61*$AM61+$AN61)*(1+$AU61)*(1+$AV61)+($AY61*IF($G$1="鸣金",$AO61,$AM61)+IF($G$1="鸣金",$AP61*1.5,0))*(1+$AZ61)*(1+$BA61)+($BC61*IF($G$1="裂石",$AO61,$AM61)+IF($G$1="裂石",$AP61*1.5,0))*(1+$BD61)*(1+$BE61)+($BG61*IF($G$1="牵丝",$AO61,$AM61)+IF($G$1="牵丝",$AP61*1.5,0))*(1+$BH61)*(1+$BI61)+($BK61*IF($G$1="破竹",$AO61,$AM61)+IF($G$1="破竹",$AP61*1.5,0))*(1+$BL61)*(1+$BM61))*(1+$AQ61)*$BR61*$P61*(1+IF(VLOOKUP($Q61,武学奇术!$A:$ZZ,30,FALSE)="蓄力技",$B$21,0))*(1+$BV61)</f>
        <v>30964.2119488532</v>
      </c>
      <c r="N61" s="40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P61*(1+IF(VLOOKUP($Q61,武学奇术!$A:$ZZ,30,FALSE)="蓄力技",$B$21,0))*(1+$BV61)</f>
        <v>20195.9452114122</v>
      </c>
      <c r="O61" s="40">
        <f>((($AS61*$AM61+$AN61)*(1+$AU61)*(1+$AV61)+($AX61*IF($G$1="鸣金",$AO61,$AM61)+IF($G$1="鸣金",$AP61*1.5,0))*(1+$AZ61)*(1+$BA61)+($BB61*IF($G$1="裂石",$AO61,$AM61)+IF($G$1="裂石",$AP61*1.5,0))*(1+$BD61)*(1+$BE61)+($BF61*IF($G$1="牵丝",$AO61,$AM61)+IF($G$1="牵丝",$AP61*1.5,0))*(1+$BH61)*(1+$BI61)+($BJ61*IF($G$1="破竹",$AO61,$AM61)+IF($G$1="破竹",$AP61*1.5,0))*(1+$BL61)*(1+$BM61))*(1+$AQ61))*$P61*(1+IF(VLOOKUP($Q61,武学奇术!$A:$ZZ,30,FALSE)="蓄力技",$B$21,0))*(1+$BV61)</f>
        <v>17455.4371273776</v>
      </c>
      <c r="P61" s="41">
        <v>1</v>
      </c>
      <c r="Q61" s="42" t="s">
        <v>110</v>
      </c>
      <c r="R61" s="42" t="s">
        <v>103</v>
      </c>
      <c r="S61" s="42" t="s">
        <v>169</v>
      </c>
      <c r="T61" s="42" t="s">
        <v>86</v>
      </c>
      <c r="U61" s="42" t="s">
        <v>121</v>
      </c>
      <c r="V61" s="42" t="s">
        <v>77</v>
      </c>
      <c r="W61" s="42" t="s">
        <v>77</v>
      </c>
      <c r="X61" s="42" t="s">
        <v>176</v>
      </c>
      <c r="Y61" s="42" t="s">
        <v>77</v>
      </c>
      <c r="Z61" s="42" t="s">
        <v>77</v>
      </c>
      <c r="AA61" s="42" t="s">
        <v>73</v>
      </c>
      <c r="AB61" s="42" t="s">
        <v>89</v>
      </c>
      <c r="AC61" s="42" t="s">
        <v>77</v>
      </c>
      <c r="AD61" s="42" t="s">
        <v>80</v>
      </c>
      <c r="AE61" s="42" t="s">
        <v>81</v>
      </c>
      <c r="AF61" s="42" t="s">
        <v>82</v>
      </c>
      <c r="AG61" s="42" t="s">
        <v>77</v>
      </c>
      <c r="AH61" s="42" t="s">
        <v>77</v>
      </c>
      <c r="AI61" s="42" t="s">
        <v>77</v>
      </c>
      <c r="AJ61" s="42" t="s">
        <v>77</v>
      </c>
      <c r="AK61" s="42" t="s">
        <v>90</v>
      </c>
      <c r="AL61" t="str">
        <f>VLOOKUP($Q61,武学奇术!$A:$ZZ,25,FALSE)</f>
        <v>横刀</v>
      </c>
      <c r="AM61" s="27">
        <f>VLOOKUP($Q61,武学奇术!$A:$ZZ,26,FALSE)</f>
        <v>1.4</v>
      </c>
      <c r="AN61" s="28">
        <f>VLOOKUP($Q61,武学奇术!$A:$ZZ,27,FALSE)*(1+IF(OR($AL61=$F$4,$AL61=$F$5),$B$22,0))</f>
        <v>0</v>
      </c>
      <c r="AO61" s="27">
        <f>VLOOKUP($Q61,武学奇术!$A:$ZZ,28,FALSE)</f>
        <v>2.1</v>
      </c>
      <c r="AP61" s="28">
        <f>VLOOKUP($Q61,武学奇术!$A:$ZZ,29,FALSE)*(1+IF(OR($AL61=$F$4,$AL61=$F$5),$B$22,0))</f>
        <v>0</v>
      </c>
      <c r="AQ61" s="27" cm="1">
        <f t="array" ref="AQ61">$G$3+IFERROR(VLOOKUP($AL61,$F$4:$G$7,2,FALSE),0)+VLOOKUP($Q61,武学奇术!$A:$ZZ,2,FALSE)+SUM(_xlfn.XLOOKUP($R61:$AK61,增益!$A:$A,增益!$B:$B,0))</f>
        <v>0.7289</v>
      </c>
      <c r="AR61" s="27" cm="1">
        <f t="array" ref="AR61">VLOOKUP($Q61,武学奇术!$A:$ZZ,5,FALSE)+SUM(_xlfn.XLOOKUP($R61:$AK61,增益!$A:$A,增益!$E:$E,0))</f>
        <v>0</v>
      </c>
      <c r="AS61" cm="1">
        <f t="array" ref="AS61">$D$10*(1+$AR61)+VLOOKUP($Q61,武学奇术!$A:$ZZ,3,FALSE)+SUM(_xlfn.XLOOKUP($R61:$AK61,增益!$A:$A,增益!$C:$C,0))-$I$2</f>
        <v>3648.7</v>
      </c>
      <c r="AT61" cm="1">
        <f t="array" ref="AT61">$E$10*(1+$AR61)+VLOOKUP($Q61,武学奇术!$A:$ZZ,4,FALSE)+SUM(_xlfn.XLOOKUP($R61:$AK61,增益!$A:$A,增益!$D:$D,0))-$I$2</f>
        <v>3648.7</v>
      </c>
      <c r="AU61" s="34" cm="1">
        <f t="array" ref="AU61">IF($F$10-$I$3+VLOOKUP($Q61,武学奇术!$A:$ZZ,6,FALSE)+SUM(_xlfn.XLOOKUP($R61:$AK61,增益!$A:$A,增益!$F:$F,0))&gt;0,($F$10-$I$3+VLOOKUP($Q61,武学奇术!$A:$ZZ,6,FALSE)+SUM(_xlfn.XLOOKUP($R61:$AK61,增益!$A:$A,增益!$F:$F,0)))/200,($F$10-$I$3+VLOOKUP($Q61,武学奇术!$A:$ZZ,6,FALSE)+SUM(_xlfn.XLOOKUP($R61:$AK61,增益!$A:$A,增益!$F:$F,0)))/100)</f>
        <v>0.452</v>
      </c>
      <c r="AV61" s="34" cm="1">
        <f t="array" ref="AV61">$G$10+VLOOKUP($Q61,武学奇术!$A:$ZZ,7,FALSE)+SUM(_xlfn.XLOOKUP($R61:$AK61,增益!$A:$A,增益!$G:$G,0))</f>
        <v>0</v>
      </c>
      <c r="AW61" s="27" cm="1">
        <f t="array" ref="AW61">VLOOKUP($Q61,武学奇术!$A:$ZZ,8,FALSE)+SUM(_xlfn.XLOOKUP($R61:$AK61,增益!$A:$A,增益!$H:$H,0))</f>
        <v>0</v>
      </c>
      <c r="AX61">
        <f t="shared" si="12"/>
        <v>0</v>
      </c>
      <c r="AY61">
        <f t="shared" si="13"/>
        <v>0</v>
      </c>
      <c r="AZ61" s="34" cm="1">
        <f t="array" ref="AZ61">IF($F$11-$I$4+VLOOKUP($Q61,武学奇术!$A:$ZZ,9,FALSE)+SUM(_xlfn.XLOOKUP($R61:$AK61,增益!$A:$A,增益!$I:$I,0))&gt;0,($F$11-$I$4+VLOOKUP($Q61,武学奇术!$A:$ZZ,9,FALSE)+SUM(_xlfn.XLOOKUP($R61:$AK61,增益!$A:$A,增益!$I:$I,0)))/200,($F$11-$I$4+VLOOKUP($Q61,武学奇术!$A:$ZZ,9,FALSE)+SUM(_xlfn.XLOOKUP($R61:$AK61,增益!$A:$A,增益!$I:$I,0)))/100)</f>
        <v>-0.14</v>
      </c>
      <c r="BA61" s="34" cm="1">
        <f t="array" ref="BA61">$G$11+VLOOKUP($Q61,武学奇术!$A:$ZZ,10,FALSE)+SUM(_xlfn.XLOOKUP($R61:$AK61,增益!$A:$A,增益!$J:$J,0))</f>
        <v>0</v>
      </c>
      <c r="BB61">
        <f t="shared" si="14"/>
        <v>594.1</v>
      </c>
      <c r="BC61">
        <f t="shared" si="15"/>
        <v>1604.9</v>
      </c>
      <c r="BD61" s="34" cm="1">
        <f t="array" ref="BD61">IF($F$12-$I$4+VLOOKUP($Q61,武学奇术!$A:$ZZ,11,FALSE)+SUM(_xlfn.XLOOKUP($R61:$AK61,增益!$A:$A,增益!$K:$K,0))&gt;0,($F$12-$I$4+VLOOKUP($Q61,武学奇术!$A:$ZZ,11,FALSE)+SUM(_xlfn.XLOOKUP($R61:$AK61,增益!$A:$A,增益!$K:$K,0)))/200,($F$12-$I$4+VLOOKUP($Q61,武学奇术!$A:$ZZ,11,FALSE)+SUM(_xlfn.XLOOKUP($R61:$AK61,增益!$A:$A,增益!$K:$K,0)))/100)</f>
        <v>0.17</v>
      </c>
      <c r="BE61" s="34" cm="1">
        <f t="array" ref="BE61">$G$12+VLOOKUP($Q61,武学奇术!$A:$ZZ,12,FALSE)+SUM(_xlfn.XLOOKUP($R61:$AK61,增益!$A:$A,增益!$L:$L,0))</f>
        <v>0.15</v>
      </c>
      <c r="BF61">
        <f t="shared" si="16"/>
        <v>0</v>
      </c>
      <c r="BG61">
        <f t="shared" si="17"/>
        <v>0</v>
      </c>
      <c r="BH61" s="34" cm="1">
        <f t="array" ref="BH61">IF($F$13-$I$4+VLOOKUP($Q61,武学奇术!$A:$ZZ,13,FALSE)+SUM(_xlfn.XLOOKUP($R61:$AK61,增益!$A:$A,增益!$M:$M,0))&gt;0,($F$13-$I$4+VLOOKUP($Q61,武学奇术!$A:$ZZ,13,FALSE)+SUM(_xlfn.XLOOKUP($R61:$AK61,增益!$A:$A,增益!$K:$K,0)))/200,($F$13-$I$4+VLOOKUP($Q61,武学奇术!$A:$ZZ,13,FALSE)+SUM(_xlfn.XLOOKUP($R61:$AK61,增益!$A:$A,增益!$M:$M,0)))/100)</f>
        <v>-0.14</v>
      </c>
      <c r="BI61" s="34" cm="1">
        <f t="array" ref="BI61">$G$13+VLOOKUP($Q61,武学奇术!$A:$ZZ,14,FALSE)+SUM(_xlfn.XLOOKUP($R61:$AK61,增益!$A:$A,增益!$N:$N,0))</f>
        <v>0</v>
      </c>
      <c r="BJ61">
        <f t="shared" si="18"/>
        <v>0</v>
      </c>
      <c r="BK61">
        <f t="shared" si="19"/>
        <v>0</v>
      </c>
      <c r="BL61" s="34" cm="1">
        <f t="array" ref="BL61">IF($F$14-$I$4+VLOOKUP($Q61,武学奇术!$A:$ZZ,15,FALSE)+SUM(_xlfn.XLOOKUP($R61:$AK61,增益!$A:$A,增益!$O:$O,0))&gt;0,($F$14-$I$4+VLOOKUP($Q61,武学奇术!$A:$ZZ,15,FALSE)+SUM(_xlfn.XLOOKUP($R61:$AK61,增益!$A:$A,增益!$O:$O,0)))/200,($F$14-$I$4+VLOOKUP($Q61,武学奇术!$A:$ZZ,15,FALSE)+SUM(_xlfn.XLOOKUP($R61:$AK61,增益!$A:$A,增益!$O:$O,0)))/100)</f>
        <v>-0.14</v>
      </c>
      <c r="BM61" s="34" cm="1">
        <f t="array" ref="BM61">$G$14+VLOOKUP($Q61,武学奇术!$A:$ZZ,16,FALSE)+SUM(_xlfn.XLOOKUP($R61:$AK61,增益!$A:$A,增益!$P:$P,0))</f>
        <v>0</v>
      </c>
      <c r="BN61" s="27">
        <f>MIN(IF(VLOOKUP($Q61,武学奇术!$A:$ZZ,23,FALSE)=1,100%,$B$8),100%)</f>
        <v>0.9859</v>
      </c>
      <c r="BO61" s="27" cm="1">
        <f t="array" ref="BO61">IF(VLOOKUP($Q61,武学奇术!$A:$ZZ,23,FALSE)=1,100%,MIN(80%,$B$9+VLOOKUP($Q61,武学奇术!$A:$ZZ,17,FALSE)+SUM(_xlfn.XLOOKUP($R61:$AK61,增益!$A:$A,增益!$Q:$Q,0)))+$B$11+SUM(_xlfn.XLOOKUP($R61:$AK61,增益!$A:$A,增益!$U:$U,0)))*IF(VLOOKUP($Q61,武学奇术!$A:$ZZ,24,FALSE)=1,0,1)</f>
        <v>0.8912</v>
      </c>
      <c r="BP61" s="27" cm="1">
        <f t="array" ref="BP61">1+$B$13+VLOOKUP($Q61,武学奇术!$A:$ZZ,18,FALSE)+SUM(_xlfn.XLOOKUP($R61:$AK61,增益!$A:$A,增益!$R:$R,0))</f>
        <v>2</v>
      </c>
      <c r="BQ61" s="27" cm="1">
        <f t="array" ref="BQ61">IF(VLOOKUP($Q61,武学奇术!$A:$ZZ,24,FALSE)=1,100%,MIN(40%,$B$10+VLOOKUP($Q61,武学奇术!$A:$ZZ,19,FALSE)+SUM(_xlfn.XLOOKUP($R61:$AK61,增益!$A:$A,增益!$S:$S,0)))+$B$12+SUM(_xlfn.XLOOKUP($R61:$AK61,增益!$A:$A,增益!$V:$V,0)))*IF(VLOOKUP($Q61,武学奇术!$A:$ZZ,23,FALSE)=1,0,1)</f>
        <v>0.0929</v>
      </c>
      <c r="BR61" s="27" cm="1">
        <f t="array" ref="BR61">1+$B$14+VLOOKUP($Q61,武学奇术!$A:$ZZ,20,FALSE)+SUM(_xlfn.XLOOKUP($R61:$AK61,增益!$A:$A,增益!$T:$T,0))</f>
        <v>1.35</v>
      </c>
      <c r="BS61" s="27">
        <f t="shared" si="20"/>
        <v>0.87863408</v>
      </c>
      <c r="BT61" s="27">
        <f t="shared" si="21"/>
        <v>0.01567581</v>
      </c>
      <c r="BU61" s="27">
        <f>IF(VLOOKUP($Q61,武学奇术!$A:$ZZ,22,FALSE)=1,0,(1-$BN61))*(1-$BQ61)</f>
        <v>0.01279011</v>
      </c>
      <c r="BV61" s="27" cm="1">
        <f t="array" ref="BV61">SUM(_xlfn.XLOOKUP($R61:$AK61,增益!$A:$A,增益!$W:$W,0))+$I$5</f>
        <v>0.11</v>
      </c>
    </row>
    <row r="62" spans="1:74">
      <c r="A62" s="4" t="s">
        <v>177</v>
      </c>
      <c r="B62" s="4">
        <v>1</v>
      </c>
      <c r="C62" s="41"/>
      <c r="D62" s="41"/>
      <c r="K62" s="40">
        <f t="shared" si="22"/>
        <v>19245.3173256191</v>
      </c>
      <c r="L62" s="40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BP62*$P62*(1+IF(VLOOKUP($Q62,武学奇术!$A:$ZZ,30,FALSE)="蓄力技",$B$21,0))*(1+$BV62)</f>
        <v>19980.2734829703</v>
      </c>
      <c r="M62" s="40">
        <f>(($AT62*$AM62+$AN62)*(1+$AU62)*(1+$AV62)+($AY62*IF($G$1="鸣金",$AO62,$AM62)+IF($G$1="鸣金",$AP62*1.5,0))*(1+$AZ62)*(1+$BA62)+($BC62*IF($G$1="裂石",$AO62,$AM62)+IF($G$1="裂石",$AP62*1.5,0))*(1+$BD62)*(1+$BE62)+($BG62*IF($G$1="牵丝",$AO62,$AM62)+IF($G$1="牵丝",$AP62*1.5,0))*(1+$BH62)*(1+$BI62)+($BK62*IF($G$1="破竹",$AO62,$AM62)+IF($G$1="破竹",$AP62*1.5,0))*(1+$BL62)*(1+$BM62))*(1+$AQ62)*$BR62*$P62*(1+IF(VLOOKUP($Q62,武学奇术!$A:$ZZ,30,FALSE)="蓄力技",$B$21,0))*(1+$BV62)</f>
        <v>15316.7731553646</v>
      </c>
      <c r="N62" s="40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P62*(1+IF(VLOOKUP($Q62,武学奇术!$A:$ZZ,30,FALSE)="蓄力技",$B$21,0))*(1+$BV62)</f>
        <v>9990.13674148514</v>
      </c>
      <c r="O62" s="40">
        <f>((($AS62*$AM62+$AN62)*(1+$AU62)*(1+$AV62)+($AX62*IF($G$1="鸣金",$AO62,$AM62)+IF($G$1="鸣金",$AP62*1.5,0))*(1+$AZ62)*(1+$BA62)+($BB62*IF($G$1="裂石",$AO62,$AM62)+IF($G$1="裂石",$AP62*1.5,0))*(1+$BD62)*(1+$BE62)+($BF62*IF($G$1="牵丝",$AO62,$AM62)+IF($G$1="牵丝",$AP62*1.5,0))*(1+$BH62)*(1+$BI62)+($BJ62*IF($G$1="破竹",$AO62,$AM62)+IF($G$1="破竹",$AP62*1.5,0))*(1+$BL62)*(1+$BM62))*(1+$AQ62))*$P62*(1+IF(VLOOKUP($Q62,武学奇术!$A:$ZZ,30,FALSE)="蓄力技",$B$21,0))*(1+$BV62)</f>
        <v>8634.51559010764</v>
      </c>
      <c r="P62" s="41">
        <v>1</v>
      </c>
      <c r="Q62" s="42" t="s">
        <v>112</v>
      </c>
      <c r="R62" s="42" t="s">
        <v>103</v>
      </c>
      <c r="S62" s="42" t="s">
        <v>169</v>
      </c>
      <c r="T62" s="42" t="s">
        <v>86</v>
      </c>
      <c r="U62" s="42" t="s">
        <v>121</v>
      </c>
      <c r="V62" s="42" t="s">
        <v>77</v>
      </c>
      <c r="W62" s="42" t="s">
        <v>77</v>
      </c>
      <c r="X62" s="42" t="s">
        <v>176</v>
      </c>
      <c r="Y62" s="42" t="s">
        <v>77</v>
      </c>
      <c r="Z62" s="42" t="s">
        <v>77</v>
      </c>
      <c r="AA62" s="42" t="s">
        <v>73</v>
      </c>
      <c r="AB62" s="42" t="s">
        <v>95</v>
      </c>
      <c r="AC62" s="42" t="s">
        <v>77</v>
      </c>
      <c r="AD62" s="42" t="s">
        <v>80</v>
      </c>
      <c r="AE62" s="42" t="s">
        <v>81</v>
      </c>
      <c r="AF62" s="42" t="s">
        <v>82</v>
      </c>
      <c r="AG62" s="42" t="s">
        <v>77</v>
      </c>
      <c r="AH62" s="42" t="s">
        <v>77</v>
      </c>
      <c r="AI62" s="42" t="s">
        <v>77</v>
      </c>
      <c r="AJ62" s="42" t="s">
        <v>77</v>
      </c>
      <c r="AK62" s="42" t="s">
        <v>90</v>
      </c>
      <c r="AL62" t="str">
        <f>VLOOKUP($Q62,武学奇术!$A:$ZZ,25,FALSE)</f>
        <v>陌刀</v>
      </c>
      <c r="AM62" s="27">
        <f>VLOOKUP($Q62,武学奇术!$A:$ZZ,26,FALSE)</f>
        <v>0.5</v>
      </c>
      <c r="AN62" s="28">
        <f>VLOOKUP($Q62,武学奇术!$A:$ZZ,27,FALSE)*(1+IF(OR($AL62=$F$4,$AL62=$F$5),$B$22,0))</f>
        <v>0</v>
      </c>
      <c r="AO62" s="27">
        <f>VLOOKUP($Q62,武学奇术!$A:$ZZ,28,FALSE)</f>
        <v>0.75</v>
      </c>
      <c r="AP62" s="28">
        <f>VLOOKUP($Q62,武学奇术!$A:$ZZ,29,FALSE)*(1+IF(OR($AL62=$F$4,$AL62=$F$5),$B$22,0))</f>
        <v>0</v>
      </c>
      <c r="AQ62" s="27" cm="1">
        <f t="array" ref="AQ62">$G$3+IFERROR(VLOOKUP($AL62,$F$4:$G$7,2,FALSE),0)+VLOOKUP($Q62,武学奇术!$A:$ZZ,2,FALSE)+SUM(_xlfn.XLOOKUP($R62:$AK62,增益!$A:$A,增益!$B:$B,0))</f>
        <v>0.8141</v>
      </c>
      <c r="AR62" s="27" cm="1">
        <f t="array" ref="AR62">VLOOKUP($Q62,武学奇术!$A:$ZZ,5,FALSE)+SUM(_xlfn.XLOOKUP($R62:$AK62,增益!$A:$A,增益!$E:$E,0))</f>
        <v>0</v>
      </c>
      <c r="AS62" cm="1">
        <f t="array" ref="AS62">$D$10*(1+$AR62)+VLOOKUP($Q62,武学奇术!$A:$ZZ,3,FALSE)+SUM(_xlfn.XLOOKUP($R62:$AK62,增益!$A:$A,增益!$C:$C,0))-$I$2</f>
        <v>3648.7</v>
      </c>
      <c r="AT62" cm="1">
        <f t="array" ref="AT62">$E$10*(1+$AR62)+VLOOKUP($Q62,武学奇术!$A:$ZZ,4,FALSE)+SUM(_xlfn.XLOOKUP($R62:$AK62,增益!$A:$A,增益!$D:$D,0))-$I$2</f>
        <v>3648.7</v>
      </c>
      <c r="AU62" s="34" cm="1">
        <f t="array" ref="AU62">IF($F$10-$I$3+VLOOKUP($Q62,武学奇术!$A:$ZZ,6,FALSE)+SUM(_xlfn.XLOOKUP($R62:$AK62,增益!$A:$A,增益!$F:$F,0))&gt;0,($F$10-$I$3+VLOOKUP($Q62,武学奇术!$A:$ZZ,6,FALSE)+SUM(_xlfn.XLOOKUP($R62:$AK62,增益!$A:$A,增益!$F:$F,0)))/200,($F$10-$I$3+VLOOKUP($Q62,武学奇术!$A:$ZZ,6,FALSE)+SUM(_xlfn.XLOOKUP($R62:$AK62,增益!$A:$A,增益!$F:$F,0)))/100)</f>
        <v>0.452</v>
      </c>
      <c r="AV62" s="34" cm="1">
        <f t="array" ref="AV62">$G$10+VLOOKUP($Q62,武学奇术!$A:$ZZ,7,FALSE)+SUM(_xlfn.XLOOKUP($R62:$AK62,增益!$A:$A,增益!$G:$G,0))</f>
        <v>0</v>
      </c>
      <c r="AW62" s="27" cm="1">
        <f t="array" ref="AW62">VLOOKUP($Q62,武学奇术!$A:$ZZ,8,FALSE)+SUM(_xlfn.XLOOKUP($R62:$AK62,增益!$A:$A,增益!$H:$H,0))</f>
        <v>0</v>
      </c>
      <c r="AX62">
        <f t="shared" si="12"/>
        <v>0</v>
      </c>
      <c r="AY62">
        <f t="shared" si="13"/>
        <v>0</v>
      </c>
      <c r="AZ62" s="34" cm="1">
        <f t="array" ref="AZ62">IF($F$11-$I$4+VLOOKUP($Q62,武学奇术!$A:$ZZ,9,FALSE)+SUM(_xlfn.XLOOKUP($R62:$AK62,增益!$A:$A,增益!$I:$I,0))&gt;0,($F$11-$I$4+VLOOKUP($Q62,武学奇术!$A:$ZZ,9,FALSE)+SUM(_xlfn.XLOOKUP($R62:$AK62,增益!$A:$A,增益!$I:$I,0)))/200,($F$11-$I$4+VLOOKUP($Q62,武学奇术!$A:$ZZ,9,FALSE)+SUM(_xlfn.XLOOKUP($R62:$AK62,增益!$A:$A,增益!$I:$I,0)))/100)</f>
        <v>-0.14</v>
      </c>
      <c r="BA62" s="34" cm="1">
        <f t="array" ref="BA62">$G$11+VLOOKUP($Q62,武学奇术!$A:$ZZ,10,FALSE)+SUM(_xlfn.XLOOKUP($R62:$AK62,增益!$A:$A,增益!$J:$J,0))</f>
        <v>0</v>
      </c>
      <c r="BB62">
        <f t="shared" si="14"/>
        <v>594.1</v>
      </c>
      <c r="BC62">
        <f t="shared" si="15"/>
        <v>1604.9</v>
      </c>
      <c r="BD62" s="34" cm="1">
        <f t="array" ref="BD62">IF($F$12-$I$4+VLOOKUP($Q62,武学奇术!$A:$ZZ,11,FALSE)+SUM(_xlfn.XLOOKUP($R62:$AK62,增益!$A:$A,增益!$K:$K,0))&gt;0,($F$12-$I$4+VLOOKUP($Q62,武学奇术!$A:$ZZ,11,FALSE)+SUM(_xlfn.XLOOKUP($R62:$AK62,增益!$A:$A,增益!$K:$K,0)))/200,($F$12-$I$4+VLOOKUP($Q62,武学奇术!$A:$ZZ,11,FALSE)+SUM(_xlfn.XLOOKUP($R62:$AK62,增益!$A:$A,增益!$K:$K,0)))/100)</f>
        <v>0.17</v>
      </c>
      <c r="BE62" s="34" cm="1">
        <f t="array" ref="BE62">$G$12+VLOOKUP($Q62,武学奇术!$A:$ZZ,12,FALSE)+SUM(_xlfn.XLOOKUP($R62:$AK62,增益!$A:$A,增益!$L:$L,0))</f>
        <v>0.15</v>
      </c>
      <c r="BF62">
        <f t="shared" si="16"/>
        <v>0</v>
      </c>
      <c r="BG62">
        <f t="shared" si="17"/>
        <v>0</v>
      </c>
      <c r="BH62" s="34" cm="1">
        <f t="array" ref="BH62">IF($F$13-$I$4+VLOOKUP($Q62,武学奇术!$A:$ZZ,13,FALSE)+SUM(_xlfn.XLOOKUP($R62:$AK62,增益!$A:$A,增益!$M:$M,0))&gt;0,($F$13-$I$4+VLOOKUP($Q62,武学奇术!$A:$ZZ,13,FALSE)+SUM(_xlfn.XLOOKUP($R62:$AK62,增益!$A:$A,增益!$K:$K,0)))/200,($F$13-$I$4+VLOOKUP($Q62,武学奇术!$A:$ZZ,13,FALSE)+SUM(_xlfn.XLOOKUP($R62:$AK62,增益!$A:$A,增益!$M:$M,0)))/100)</f>
        <v>-0.14</v>
      </c>
      <c r="BI62" s="34" cm="1">
        <f t="array" ref="BI62">$G$13+VLOOKUP($Q62,武学奇术!$A:$ZZ,14,FALSE)+SUM(_xlfn.XLOOKUP($R62:$AK62,增益!$A:$A,增益!$N:$N,0))</f>
        <v>0</v>
      </c>
      <c r="BJ62">
        <f t="shared" si="18"/>
        <v>0</v>
      </c>
      <c r="BK62">
        <f t="shared" si="19"/>
        <v>0</v>
      </c>
      <c r="BL62" s="34" cm="1">
        <f t="array" ref="BL62">IF($F$14-$I$4+VLOOKUP($Q62,武学奇术!$A:$ZZ,15,FALSE)+SUM(_xlfn.XLOOKUP($R62:$AK62,增益!$A:$A,增益!$O:$O,0))&gt;0,($F$14-$I$4+VLOOKUP($Q62,武学奇术!$A:$ZZ,15,FALSE)+SUM(_xlfn.XLOOKUP($R62:$AK62,增益!$A:$A,增益!$O:$O,0)))/200,($F$14-$I$4+VLOOKUP($Q62,武学奇术!$A:$ZZ,15,FALSE)+SUM(_xlfn.XLOOKUP($R62:$AK62,增益!$A:$A,增益!$O:$O,0)))/100)</f>
        <v>-0.14</v>
      </c>
      <c r="BM62" s="34" cm="1">
        <f t="array" ref="BM62">$G$14+VLOOKUP($Q62,武学奇术!$A:$ZZ,16,FALSE)+SUM(_xlfn.XLOOKUP($R62:$AK62,增益!$A:$A,增益!$P:$P,0))</f>
        <v>0</v>
      </c>
      <c r="BN62" s="27">
        <f>MIN(IF(VLOOKUP($Q62,武学奇术!$A:$ZZ,23,FALSE)=1,100%,$B$8),100%)</f>
        <v>0.9859</v>
      </c>
      <c r="BO62" s="27" cm="1">
        <f t="array" ref="BO62">IF(VLOOKUP($Q62,武学奇术!$A:$ZZ,23,FALSE)=1,100%,MIN(80%,$B$9+VLOOKUP($Q62,武学奇术!$A:$ZZ,17,FALSE)+SUM(_xlfn.XLOOKUP($R62:$AK62,增益!$A:$A,增益!$Q:$Q,0)))+$B$11+SUM(_xlfn.XLOOKUP($R62:$AK62,增益!$A:$A,增益!$U:$U,0)))*IF(VLOOKUP($Q62,武学奇术!$A:$ZZ,24,FALSE)=1,0,1)</f>
        <v>0.8912</v>
      </c>
      <c r="BP62" s="27" cm="1">
        <f t="array" ref="BP62">1+$B$13+VLOOKUP($Q62,武学奇术!$A:$ZZ,18,FALSE)+SUM(_xlfn.XLOOKUP($R62:$AK62,增益!$A:$A,增益!$R:$R,0))</f>
        <v>2</v>
      </c>
      <c r="BQ62" s="27" cm="1">
        <f t="array" ref="BQ62">IF(VLOOKUP($Q62,武学奇术!$A:$ZZ,24,FALSE)=1,100%,MIN(40%,$B$10+VLOOKUP($Q62,武学奇术!$A:$ZZ,19,FALSE)+SUM(_xlfn.XLOOKUP($R62:$AK62,增益!$A:$A,增益!$S:$S,0)))+$B$12+SUM(_xlfn.XLOOKUP($R62:$AK62,增益!$A:$A,增益!$V:$V,0)))*IF(VLOOKUP($Q62,武学奇术!$A:$ZZ,23,FALSE)=1,0,1)</f>
        <v>0.0929</v>
      </c>
      <c r="BR62" s="27" cm="1">
        <f t="array" ref="BR62">1+$B$14+VLOOKUP($Q62,武学奇术!$A:$ZZ,20,FALSE)+SUM(_xlfn.XLOOKUP($R62:$AK62,增益!$A:$A,增益!$T:$T,0))</f>
        <v>1.35</v>
      </c>
      <c r="BS62" s="27">
        <f t="shared" si="20"/>
        <v>0.87863408</v>
      </c>
      <c r="BT62" s="27">
        <f t="shared" si="21"/>
        <v>0.01567581</v>
      </c>
      <c r="BU62" s="27">
        <f>IF(VLOOKUP($Q62,武学奇术!$A:$ZZ,22,FALSE)=1,0,(1-$BN62))*(1-$BQ62)</f>
        <v>0.01279011</v>
      </c>
      <c r="BV62" s="27" cm="1">
        <f t="array" ref="BV62">SUM(_xlfn.XLOOKUP($R62:$AK62,增益!$A:$A,增益!$W:$W,0))+$I$5</f>
        <v>0.11</v>
      </c>
    </row>
    <row r="63" spans="1:74">
      <c r="A63" s="4" t="s">
        <v>190</v>
      </c>
      <c r="B63" s="4">
        <v>20.3</v>
      </c>
      <c r="K63" s="40">
        <f t="shared" si="22"/>
        <v>37762.7168828138</v>
      </c>
      <c r="L63" s="40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BP63*$P63*(1+IF(VLOOKUP($Q63,武学奇术!$A:$ZZ,30,FALSE)="蓄力技",$B$21,0))*(1+$BV63)</f>
        <v>37762.7168828138</v>
      </c>
      <c r="M63" s="40">
        <f>(($AT63*$AM63+$AN63)*(1+$AU63)*(1+$AV63)+($AY63*IF($G$1="鸣金",$AO63,$AM63)+IF($G$1="鸣金",$AP63*1.5,0))*(1+$AZ63)*(1+$BA63)+($BC63*IF($G$1="裂石",$AO63,$AM63)+IF($G$1="裂石",$AP63*1.5,0))*(1+$BD63)*(1+$BE63)+($BG63*IF($G$1="牵丝",$AO63,$AM63)+IF($G$1="牵丝",$AP63*1.5,0))*(1+$BH63)*(1+$BI63)+($BK63*IF($G$1="破竹",$AO63,$AM63)+IF($G$1="破竹",$AP63*1.5,0))*(1+$BL63)*(1+$BM63))*(1+$AQ63)*$BR63*$P63*(1+IF(VLOOKUP($Q63,武学奇术!$A:$ZZ,30,FALSE)="蓄力技",$B$21,0))*(1+$BV63)</f>
        <v>27570.1916796562</v>
      </c>
      <c r="N63" s="40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P63*(1+IF(VLOOKUP($Q63,武学奇术!$A:$ZZ,30,FALSE)="蓄力技",$B$21,0))*(1+$BV63)</f>
        <v>17982.2461346732</v>
      </c>
      <c r="O63" s="40">
        <f>((($AS63*$AM63+$AN63)*(1+$AU63)*(1+$AV63)+($AX63*IF($G$1="鸣金",$AO63,$AM63)+IF($G$1="鸣金",$AP63*1.5,0))*(1+$AZ63)*(1+$BA63)+($BB63*IF($G$1="裂石",$AO63,$AM63)+IF($G$1="裂石",$AP63*1.5,0))*(1+$BD63)*(1+$BE63)+($BF63*IF($G$1="牵丝",$AO63,$AM63)+IF($G$1="牵丝",$AP63*1.5,0))*(1+$BH63)*(1+$BI63)+($BJ63*IF($G$1="破竹",$AO63,$AM63)+IF($G$1="破竹",$AP63*1.5,0))*(1+$BL63)*(1+$BM63))*(1+$AQ63))*$P63*(1+IF(VLOOKUP($Q63,武学奇术!$A:$ZZ,30,FALSE)="蓄力技",$B$21,0))*(1+$BV63)</f>
        <v>15542.1280621938</v>
      </c>
      <c r="P63" s="41">
        <v>1</v>
      </c>
      <c r="Q63" s="42" t="s">
        <v>117</v>
      </c>
      <c r="R63" s="42" t="s">
        <v>103</v>
      </c>
      <c r="S63" s="42" t="s">
        <v>169</v>
      </c>
      <c r="T63" s="42" t="s">
        <v>86</v>
      </c>
      <c r="U63" s="42" t="s">
        <v>121</v>
      </c>
      <c r="V63" s="42" t="s">
        <v>118</v>
      </c>
      <c r="W63" s="42" t="s">
        <v>77</v>
      </c>
      <c r="X63" s="42" t="s">
        <v>176</v>
      </c>
      <c r="Y63" s="42" t="s">
        <v>77</v>
      </c>
      <c r="Z63" s="42" t="s">
        <v>77</v>
      </c>
      <c r="AA63" s="42" t="s">
        <v>73</v>
      </c>
      <c r="AB63" s="42" t="s">
        <v>95</v>
      </c>
      <c r="AC63" s="42" t="s">
        <v>77</v>
      </c>
      <c r="AD63" s="42" t="s">
        <v>80</v>
      </c>
      <c r="AE63" s="42" t="s">
        <v>81</v>
      </c>
      <c r="AF63" s="42" t="s">
        <v>82</v>
      </c>
      <c r="AG63" s="42" t="s">
        <v>77</v>
      </c>
      <c r="AH63" s="42" t="s">
        <v>77</v>
      </c>
      <c r="AI63" s="42" t="s">
        <v>77</v>
      </c>
      <c r="AJ63" s="42" t="s">
        <v>77</v>
      </c>
      <c r="AK63" s="42" t="s">
        <v>90</v>
      </c>
      <c r="AL63" t="str">
        <f>VLOOKUP($Q63,武学奇术!$A:$ZZ,25,FALSE)</f>
        <v>陌刀</v>
      </c>
      <c r="AM63" s="27">
        <f>VLOOKUP($Q63,武学奇术!$A:$ZZ,26,FALSE)</f>
        <v>0.9</v>
      </c>
      <c r="AN63" s="28">
        <f>VLOOKUP($Q63,武学奇术!$A:$ZZ,27,FALSE)*(1+IF(OR($AL63=$F$4,$AL63=$F$5),$B$22,0))</f>
        <v>0</v>
      </c>
      <c r="AO63" s="27">
        <f>VLOOKUP($Q63,武学奇术!$A:$ZZ,28,FALSE)</f>
        <v>1.35</v>
      </c>
      <c r="AP63" s="28">
        <f>VLOOKUP($Q63,武学奇术!$A:$ZZ,29,FALSE)*(1+IF(OR($AL63=$F$4,$AL63=$F$5),$B$22,0))</f>
        <v>0</v>
      </c>
      <c r="AQ63" s="27" cm="1">
        <f t="array" ref="AQ63">$G$3+IFERROR(VLOOKUP($AL63,$F$4:$G$7,2,FALSE),0)+VLOOKUP($Q63,武学奇术!$A:$ZZ,2,FALSE)+SUM(_xlfn.XLOOKUP($R63:$AK63,增益!$A:$A,增益!$B:$B,0))</f>
        <v>0.8141</v>
      </c>
      <c r="AR63" s="27" cm="1">
        <f t="array" ref="AR63">VLOOKUP($Q63,武学奇术!$A:$ZZ,5,FALSE)+SUM(_xlfn.XLOOKUP($R63:$AK63,增益!$A:$A,增益!$E:$E,0))</f>
        <v>0</v>
      </c>
      <c r="AS63" cm="1">
        <f t="array" ref="AS63">$D$10*(1+$AR63)+VLOOKUP($Q63,武学奇术!$A:$ZZ,3,FALSE)+SUM(_xlfn.XLOOKUP($R63:$AK63,增益!$A:$A,增益!$C:$C,0))-$I$2</f>
        <v>3648.7</v>
      </c>
      <c r="AT63" cm="1">
        <f t="array" ref="AT63">$E$10*(1+$AR63)+VLOOKUP($Q63,武学奇术!$A:$ZZ,4,FALSE)+SUM(_xlfn.XLOOKUP($R63:$AK63,增益!$A:$A,增益!$D:$D,0))-$I$2</f>
        <v>3648.7</v>
      </c>
      <c r="AU63" s="34" cm="1">
        <f t="array" ref="AU63">IF($F$10-$I$3+VLOOKUP($Q63,武学奇术!$A:$ZZ,6,FALSE)+SUM(_xlfn.XLOOKUP($R63:$AK63,增益!$A:$A,增益!$F:$F,0))&gt;0,($F$10-$I$3+VLOOKUP($Q63,武学奇术!$A:$ZZ,6,FALSE)+SUM(_xlfn.XLOOKUP($R63:$AK63,增益!$A:$A,增益!$F:$F,0)))/200,($F$10-$I$3+VLOOKUP($Q63,武学奇术!$A:$ZZ,6,FALSE)+SUM(_xlfn.XLOOKUP($R63:$AK63,增益!$A:$A,增益!$F:$F,0)))/100)</f>
        <v>0.452</v>
      </c>
      <c r="AV63" s="34" cm="1">
        <f t="array" ref="AV63">$G$10+VLOOKUP($Q63,武学奇术!$A:$ZZ,7,FALSE)+SUM(_xlfn.XLOOKUP($R63:$AK63,增益!$A:$A,增益!$G:$G,0))</f>
        <v>0</v>
      </c>
      <c r="AW63" s="27" cm="1">
        <f t="array" ref="AW63">VLOOKUP($Q63,武学奇术!$A:$ZZ,8,FALSE)+SUM(_xlfn.XLOOKUP($R63:$AK63,增益!$A:$A,增益!$H:$H,0))</f>
        <v>0</v>
      </c>
      <c r="AX63">
        <f t="shared" si="12"/>
        <v>0</v>
      </c>
      <c r="AY63">
        <f t="shared" si="13"/>
        <v>0</v>
      </c>
      <c r="AZ63" s="34" cm="1">
        <f t="array" ref="AZ63">IF($F$11-$I$4+VLOOKUP($Q63,武学奇术!$A:$ZZ,9,FALSE)+SUM(_xlfn.XLOOKUP($R63:$AK63,增益!$A:$A,增益!$I:$I,0))&gt;0,($F$11-$I$4+VLOOKUP($Q63,武学奇术!$A:$ZZ,9,FALSE)+SUM(_xlfn.XLOOKUP($R63:$AK63,增益!$A:$A,增益!$I:$I,0)))/200,($F$11-$I$4+VLOOKUP($Q63,武学奇术!$A:$ZZ,9,FALSE)+SUM(_xlfn.XLOOKUP($R63:$AK63,增益!$A:$A,增益!$I:$I,0)))/100)</f>
        <v>-0.14</v>
      </c>
      <c r="BA63" s="34" cm="1">
        <f t="array" ref="BA63">$G$11+VLOOKUP($Q63,武学奇术!$A:$ZZ,10,FALSE)+SUM(_xlfn.XLOOKUP($R63:$AK63,增益!$A:$A,增益!$J:$J,0))</f>
        <v>0</v>
      </c>
      <c r="BB63">
        <f t="shared" si="14"/>
        <v>594.1</v>
      </c>
      <c r="BC63">
        <f t="shared" si="15"/>
        <v>1604.9</v>
      </c>
      <c r="BD63" s="34" cm="1">
        <f t="array" ref="BD63">IF($F$12-$I$4+VLOOKUP($Q63,武学奇术!$A:$ZZ,11,FALSE)+SUM(_xlfn.XLOOKUP($R63:$AK63,增益!$A:$A,增益!$K:$K,0))&gt;0,($F$12-$I$4+VLOOKUP($Q63,武学奇术!$A:$ZZ,11,FALSE)+SUM(_xlfn.XLOOKUP($R63:$AK63,增益!$A:$A,增益!$K:$K,0)))/200,($F$12-$I$4+VLOOKUP($Q63,武学奇术!$A:$ZZ,11,FALSE)+SUM(_xlfn.XLOOKUP($R63:$AK63,增益!$A:$A,增益!$K:$K,0)))/100)</f>
        <v>0.17</v>
      </c>
      <c r="BE63" s="34" cm="1">
        <f t="array" ref="BE63">$G$12+VLOOKUP($Q63,武学奇术!$A:$ZZ,12,FALSE)+SUM(_xlfn.XLOOKUP($R63:$AK63,增益!$A:$A,增益!$L:$L,0))</f>
        <v>0.15</v>
      </c>
      <c r="BF63">
        <f t="shared" si="16"/>
        <v>0</v>
      </c>
      <c r="BG63">
        <f t="shared" si="17"/>
        <v>0</v>
      </c>
      <c r="BH63" s="34" cm="1">
        <f t="array" ref="BH63">IF($F$13-$I$4+VLOOKUP($Q63,武学奇术!$A:$ZZ,13,FALSE)+SUM(_xlfn.XLOOKUP($R63:$AK63,增益!$A:$A,增益!$M:$M,0))&gt;0,($F$13-$I$4+VLOOKUP($Q63,武学奇术!$A:$ZZ,13,FALSE)+SUM(_xlfn.XLOOKUP($R63:$AK63,增益!$A:$A,增益!$K:$K,0)))/200,($F$13-$I$4+VLOOKUP($Q63,武学奇术!$A:$ZZ,13,FALSE)+SUM(_xlfn.XLOOKUP($R63:$AK63,增益!$A:$A,增益!$M:$M,0)))/100)</f>
        <v>-0.14</v>
      </c>
      <c r="BI63" s="34" cm="1">
        <f t="array" ref="BI63">$G$13+VLOOKUP($Q63,武学奇术!$A:$ZZ,14,FALSE)+SUM(_xlfn.XLOOKUP($R63:$AK63,增益!$A:$A,增益!$N:$N,0))</f>
        <v>0</v>
      </c>
      <c r="BJ63">
        <f t="shared" si="18"/>
        <v>0</v>
      </c>
      <c r="BK63">
        <f t="shared" si="19"/>
        <v>0</v>
      </c>
      <c r="BL63" s="34" cm="1">
        <f t="array" ref="BL63">IF($F$14-$I$4+VLOOKUP($Q63,武学奇术!$A:$ZZ,15,FALSE)+SUM(_xlfn.XLOOKUP($R63:$AK63,增益!$A:$A,增益!$O:$O,0))&gt;0,($F$14-$I$4+VLOOKUP($Q63,武学奇术!$A:$ZZ,15,FALSE)+SUM(_xlfn.XLOOKUP($R63:$AK63,增益!$A:$A,增益!$O:$O,0)))/200,($F$14-$I$4+VLOOKUP($Q63,武学奇术!$A:$ZZ,15,FALSE)+SUM(_xlfn.XLOOKUP($R63:$AK63,增益!$A:$A,增益!$O:$O,0)))/100)</f>
        <v>-0.14</v>
      </c>
      <c r="BM63" s="34" cm="1">
        <f t="array" ref="BM63">$G$14+VLOOKUP($Q63,武学奇术!$A:$ZZ,16,FALSE)+SUM(_xlfn.XLOOKUP($R63:$AK63,增益!$A:$A,增益!$P:$P,0))</f>
        <v>0</v>
      </c>
      <c r="BN63" s="27">
        <f>MIN(IF(VLOOKUP($Q63,武学奇术!$A:$ZZ,23,FALSE)=1,100%,$B$8),100%)</f>
        <v>1</v>
      </c>
      <c r="BO63" s="27" cm="1">
        <f t="array" ref="BO63">IF(VLOOKUP($Q63,武学奇术!$A:$ZZ,23,FALSE)=1,100%,MIN(80%,$B$9+VLOOKUP($Q63,武学奇术!$A:$ZZ,17,FALSE)+SUM(_xlfn.XLOOKUP($R63:$AK63,增益!$A:$A,增益!$Q:$Q,0)))+$B$11+SUM(_xlfn.XLOOKUP($R63:$AK63,增益!$A:$A,增益!$U:$U,0)))*IF(VLOOKUP($Q63,武学奇术!$A:$ZZ,24,FALSE)=1,0,1)</f>
        <v>1</v>
      </c>
      <c r="BP63" s="27" cm="1">
        <f t="array" ref="BP63">1+$B$13+VLOOKUP($Q63,武学奇术!$A:$ZZ,18,FALSE)+SUM(_xlfn.XLOOKUP($R63:$AK63,增益!$A:$A,增益!$R:$R,0))</f>
        <v>2.1</v>
      </c>
      <c r="BQ63" s="27" cm="1">
        <f t="array" ref="BQ63">IF(VLOOKUP($Q63,武学奇术!$A:$ZZ,24,FALSE)=1,100%,MIN(40%,$B$10+VLOOKUP($Q63,武学奇术!$A:$ZZ,19,FALSE)+SUM(_xlfn.XLOOKUP($R63:$AK63,增益!$A:$A,增益!$S:$S,0)))+$B$12+SUM(_xlfn.XLOOKUP($R63:$AK63,增益!$A:$A,增益!$V:$V,0)))*IF(VLOOKUP($Q63,武学奇术!$A:$ZZ,23,FALSE)=1,0,1)</f>
        <v>0</v>
      </c>
      <c r="BR63" s="27" cm="1">
        <f t="array" ref="BR63">1+$B$14+VLOOKUP($Q63,武学奇术!$A:$ZZ,20,FALSE)+SUM(_xlfn.XLOOKUP($R63:$AK63,增益!$A:$A,增益!$T:$T,0))</f>
        <v>1.35</v>
      </c>
      <c r="BS63" s="27">
        <f t="shared" si="20"/>
        <v>1</v>
      </c>
      <c r="BT63" s="27">
        <f t="shared" si="21"/>
        <v>0</v>
      </c>
      <c r="BU63" s="27">
        <f>IF(VLOOKUP($Q63,武学奇术!$A:$ZZ,22,FALSE)=1,0,(1-$BN63))*(1-$BQ63)</f>
        <v>0</v>
      </c>
      <c r="BV63" s="27" cm="1">
        <f t="array" ref="BV63">SUM(_xlfn.XLOOKUP($R63:$AK63,增益!$A:$A,增益!$W:$W,0))+$I$5</f>
        <v>0.11</v>
      </c>
    </row>
    <row r="64" spans="1:74">
      <c r="A64" t="s">
        <v>166</v>
      </c>
      <c r="B64">
        <v>1</v>
      </c>
      <c r="K64" s="40">
        <f t="shared" si="22"/>
        <v>362227.3527431</v>
      </c>
      <c r="L64" s="40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BP64*$P64*(1+IF(VLOOKUP($Q64,武学奇术!$A:$ZZ,30,FALSE)="蓄力技",$B$21,0))*(1+$BV64)</f>
        <v>362227.3527431</v>
      </c>
      <c r="M64" s="40">
        <f>(($AT64*$AM64+$AN64)*(1+$AU64)*(1+$AV64)+($AY64*IF($G$1="鸣金",$AO64,$AM64)+IF($G$1="鸣金",$AP64*1.5,0))*(1+$AZ64)*(1+$BA64)+($BC64*IF($G$1="裂石",$AO64,$AM64)+IF($G$1="裂石",$AP64*1.5,0))*(1+$BD64)*(1+$BE64)+($BG64*IF($G$1="牵丝",$AO64,$AM64)+IF($G$1="牵丝",$AP64*1.5,0))*(1+$BH64)*(1+$BI64)+($BK64*IF($G$1="破竹",$AO64,$AM64)+IF($G$1="破竹",$AP64*1.5,0))*(1+$BL64)*(1+$BM64))*(1+$AQ64)*$BR64*$P64*(1+IF(VLOOKUP($Q64,武学奇术!$A:$ZZ,30,FALSE)="蓄力技",$B$21,0))*(1+$BV64)</f>
        <v>260558.709313465</v>
      </c>
      <c r="N64" s="40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P64*(1+IF(VLOOKUP($Q64,武学奇术!$A:$ZZ,30,FALSE)="蓄力技",$B$21,0))*(1+$BV64)</f>
        <v>172489.215591953</v>
      </c>
      <c r="O64" s="40">
        <f>((($AS64*$AM64+$AN64)*(1+$AU64)*(1+$AV64)+($AX64*IF($G$1="鸣金",$AO64,$AM64)+IF($G$1="鸣金",$AP64*1.5,0))*(1+$AZ64)*(1+$BA64)+($BB64*IF($G$1="裂石",$AO64,$AM64)+IF($G$1="裂石",$AP64*1.5,0))*(1+$BD64)*(1+$BE64)+($BF64*IF($G$1="牵丝",$AO64,$AM64)+IF($G$1="牵丝",$AP64*1.5,0))*(1+$BH64)*(1+$BI64)+($BJ64*IF($G$1="破竹",$AO64,$AM64)+IF($G$1="破竹",$AP64*1.5,0))*(1+$BL64)*(1+$BM64))*(1+$AQ64))*$P64*(1+IF(VLOOKUP($Q64,武学奇术!$A:$ZZ,30,FALSE)="蓄力技",$B$21,0))*(1+$BV64)</f>
        <v>151971.979840598</v>
      </c>
      <c r="P64" s="41">
        <v>1</v>
      </c>
      <c r="Q64" s="42" t="s">
        <v>120</v>
      </c>
      <c r="R64" s="42" t="s">
        <v>103</v>
      </c>
      <c r="S64" s="42" t="s">
        <v>169</v>
      </c>
      <c r="T64" s="42" t="s">
        <v>86</v>
      </c>
      <c r="U64" s="42" t="s">
        <v>121</v>
      </c>
      <c r="V64" s="42" t="s">
        <v>118</v>
      </c>
      <c r="W64" s="42" t="s">
        <v>77</v>
      </c>
      <c r="X64" s="42" t="s">
        <v>176</v>
      </c>
      <c r="Y64" s="42" t="s">
        <v>77</v>
      </c>
      <c r="Z64" s="42" t="s">
        <v>77</v>
      </c>
      <c r="AA64" s="42" t="s">
        <v>73</v>
      </c>
      <c r="AB64" s="42" t="s">
        <v>95</v>
      </c>
      <c r="AC64" s="42" t="s">
        <v>77</v>
      </c>
      <c r="AD64" s="42" t="s">
        <v>80</v>
      </c>
      <c r="AE64" s="42" t="s">
        <v>81</v>
      </c>
      <c r="AF64" s="42" t="s">
        <v>82</v>
      </c>
      <c r="AG64" s="42" t="s">
        <v>77</v>
      </c>
      <c r="AH64" s="42" t="s">
        <v>77</v>
      </c>
      <c r="AI64" s="42" t="s">
        <v>77</v>
      </c>
      <c r="AJ64" s="42" t="s">
        <v>77</v>
      </c>
      <c r="AK64" s="42" t="s">
        <v>90</v>
      </c>
      <c r="AL64" t="str">
        <f>VLOOKUP($Q64,武学奇术!$A:$ZZ,25,FALSE)</f>
        <v>陌刀</v>
      </c>
      <c r="AM64" s="27">
        <f>VLOOKUP($Q64,武学奇术!$A:$ZZ,26,FALSE)</f>
        <v>7.5674</v>
      </c>
      <c r="AN64" s="28">
        <f>VLOOKUP($Q64,武学奇术!$A:$ZZ,27,FALSE)*(1+IF(OR($AL64=$F$4,$AL64=$F$5),$B$22,0))</f>
        <v>3139.5</v>
      </c>
      <c r="AO64" s="27">
        <f>VLOOKUP($Q64,武学奇术!$A:$ZZ,28,FALSE)</f>
        <v>11.3512</v>
      </c>
      <c r="AP64" s="28">
        <f>VLOOKUP($Q64,武学奇术!$A:$ZZ,29,FALSE)*(1+IF(OR($AL64=$F$4,$AL64=$F$5),$B$22,0))</f>
        <v>1710</v>
      </c>
      <c r="AQ64" s="27" cm="1">
        <f t="array" ref="AQ64">$G$3+IFERROR(VLOOKUP($AL64,$F$4:$G$7,2,FALSE),0)+VLOOKUP($Q64,武学奇术!$A:$ZZ,2,FALSE)+SUM(_xlfn.XLOOKUP($R64:$AK64,增益!$A:$A,增益!$B:$B,0))</f>
        <v>0.8141</v>
      </c>
      <c r="AR64" s="27" cm="1">
        <f t="array" ref="AR64">VLOOKUP($Q64,武学奇术!$A:$ZZ,5,FALSE)+SUM(_xlfn.XLOOKUP($R64:$AK64,增益!$A:$A,增益!$E:$E,0))</f>
        <v>0</v>
      </c>
      <c r="AS64" cm="1">
        <f t="array" ref="AS64">$D$10*(1+$AR64)+VLOOKUP($Q64,武学奇术!$A:$ZZ,3,FALSE)+SUM(_xlfn.XLOOKUP($R64:$AK64,增益!$A:$A,增益!$C:$C,0))-$I$2</f>
        <v>3648.7</v>
      </c>
      <c r="AT64" cm="1">
        <f t="array" ref="AT64">$E$10*(1+$AR64)+VLOOKUP($Q64,武学奇术!$A:$ZZ,4,FALSE)+SUM(_xlfn.XLOOKUP($R64:$AK64,增益!$A:$A,增益!$D:$D,0))-$I$2</f>
        <v>3648.7</v>
      </c>
      <c r="AU64" s="34" cm="1">
        <f t="array" ref="AU64">IF($F$10-$I$3+VLOOKUP($Q64,武学奇术!$A:$ZZ,6,FALSE)+SUM(_xlfn.XLOOKUP($R64:$AK64,增益!$A:$A,增益!$F:$F,0))&gt;0,($F$10-$I$3+VLOOKUP($Q64,武学奇术!$A:$ZZ,6,FALSE)+SUM(_xlfn.XLOOKUP($R64:$AK64,增益!$A:$A,增益!$F:$F,0)))/200,($F$10-$I$3+VLOOKUP($Q64,武学奇术!$A:$ZZ,6,FALSE)+SUM(_xlfn.XLOOKUP($R64:$AK64,增益!$A:$A,增益!$F:$F,0)))/100)</f>
        <v>0.452</v>
      </c>
      <c r="AV64" s="34" cm="1">
        <f t="array" ref="AV64">$G$10+VLOOKUP($Q64,武学奇术!$A:$ZZ,7,FALSE)+SUM(_xlfn.XLOOKUP($R64:$AK64,增益!$A:$A,增益!$G:$G,0))</f>
        <v>0</v>
      </c>
      <c r="AW64" s="27" cm="1">
        <f t="array" ref="AW64">VLOOKUP($Q64,武学奇术!$A:$ZZ,8,FALSE)+SUM(_xlfn.XLOOKUP($R64:$AK64,增益!$A:$A,增益!$H:$H,0))</f>
        <v>0</v>
      </c>
      <c r="AX64">
        <f t="shared" si="12"/>
        <v>0</v>
      </c>
      <c r="AY64">
        <f t="shared" si="13"/>
        <v>0</v>
      </c>
      <c r="AZ64" s="34" cm="1">
        <f t="array" ref="AZ64">IF($F$11-$I$4+VLOOKUP($Q64,武学奇术!$A:$ZZ,9,FALSE)+SUM(_xlfn.XLOOKUP($R64:$AK64,增益!$A:$A,增益!$I:$I,0))&gt;0,($F$11-$I$4+VLOOKUP($Q64,武学奇术!$A:$ZZ,9,FALSE)+SUM(_xlfn.XLOOKUP($R64:$AK64,增益!$A:$A,增益!$I:$I,0)))/200,($F$11-$I$4+VLOOKUP($Q64,武学奇术!$A:$ZZ,9,FALSE)+SUM(_xlfn.XLOOKUP($R64:$AK64,增益!$A:$A,增益!$I:$I,0)))/100)</f>
        <v>-0.14</v>
      </c>
      <c r="BA64" s="34" cm="1">
        <f t="array" ref="BA64">$G$11+VLOOKUP($Q64,武学奇术!$A:$ZZ,10,FALSE)+SUM(_xlfn.XLOOKUP($R64:$AK64,增益!$A:$A,增益!$J:$J,0))</f>
        <v>0</v>
      </c>
      <c r="BB64">
        <f t="shared" si="14"/>
        <v>594.1</v>
      </c>
      <c r="BC64">
        <f t="shared" si="15"/>
        <v>1604.9</v>
      </c>
      <c r="BD64" s="34" cm="1">
        <f t="array" ref="BD64">IF($F$12-$I$4+VLOOKUP($Q64,武学奇术!$A:$ZZ,11,FALSE)+SUM(_xlfn.XLOOKUP($R64:$AK64,增益!$A:$A,增益!$K:$K,0))&gt;0,($F$12-$I$4+VLOOKUP($Q64,武学奇术!$A:$ZZ,11,FALSE)+SUM(_xlfn.XLOOKUP($R64:$AK64,增益!$A:$A,增益!$K:$K,0)))/200,($F$12-$I$4+VLOOKUP($Q64,武学奇术!$A:$ZZ,11,FALSE)+SUM(_xlfn.XLOOKUP($R64:$AK64,增益!$A:$A,增益!$K:$K,0)))/100)</f>
        <v>0.17</v>
      </c>
      <c r="BE64" s="34" cm="1">
        <f t="array" ref="BE64">$G$12+VLOOKUP($Q64,武学奇术!$A:$ZZ,12,FALSE)+SUM(_xlfn.XLOOKUP($R64:$AK64,增益!$A:$A,增益!$L:$L,0))</f>
        <v>0.15</v>
      </c>
      <c r="BF64">
        <f t="shared" si="16"/>
        <v>0</v>
      </c>
      <c r="BG64">
        <f t="shared" si="17"/>
        <v>0</v>
      </c>
      <c r="BH64" s="34" cm="1">
        <f t="array" ref="BH64">IF($F$13-$I$4+VLOOKUP($Q64,武学奇术!$A:$ZZ,13,FALSE)+SUM(_xlfn.XLOOKUP($R64:$AK64,增益!$A:$A,增益!$M:$M,0))&gt;0,($F$13-$I$4+VLOOKUP($Q64,武学奇术!$A:$ZZ,13,FALSE)+SUM(_xlfn.XLOOKUP($R64:$AK64,增益!$A:$A,增益!$K:$K,0)))/200,($F$13-$I$4+VLOOKUP($Q64,武学奇术!$A:$ZZ,13,FALSE)+SUM(_xlfn.XLOOKUP($R64:$AK64,增益!$A:$A,增益!$M:$M,0)))/100)</f>
        <v>-0.14</v>
      </c>
      <c r="BI64" s="34" cm="1">
        <f t="array" ref="BI64">$G$13+VLOOKUP($Q64,武学奇术!$A:$ZZ,14,FALSE)+SUM(_xlfn.XLOOKUP($R64:$AK64,增益!$A:$A,增益!$N:$N,0))</f>
        <v>0</v>
      </c>
      <c r="BJ64">
        <f t="shared" si="18"/>
        <v>0</v>
      </c>
      <c r="BK64">
        <f t="shared" si="19"/>
        <v>0</v>
      </c>
      <c r="BL64" s="34" cm="1">
        <f t="array" ref="BL64">IF($F$14-$I$4+VLOOKUP($Q64,武学奇术!$A:$ZZ,15,FALSE)+SUM(_xlfn.XLOOKUP($R64:$AK64,增益!$A:$A,增益!$O:$O,0))&gt;0,($F$14-$I$4+VLOOKUP($Q64,武学奇术!$A:$ZZ,15,FALSE)+SUM(_xlfn.XLOOKUP($R64:$AK64,增益!$A:$A,增益!$O:$O,0)))/200,($F$14-$I$4+VLOOKUP($Q64,武学奇术!$A:$ZZ,15,FALSE)+SUM(_xlfn.XLOOKUP($R64:$AK64,增益!$A:$A,增益!$O:$O,0)))/100)</f>
        <v>-0.14</v>
      </c>
      <c r="BM64" s="34" cm="1">
        <f t="array" ref="BM64">$G$14+VLOOKUP($Q64,武学奇术!$A:$ZZ,16,FALSE)+SUM(_xlfn.XLOOKUP($R64:$AK64,增益!$A:$A,增益!$P:$P,0))</f>
        <v>0</v>
      </c>
      <c r="BN64" s="27">
        <f>MIN(IF(VLOOKUP($Q64,武学奇术!$A:$ZZ,23,FALSE)=1,100%,$B$8),100%)</f>
        <v>1</v>
      </c>
      <c r="BO64" s="27" cm="1">
        <f t="array" ref="BO64">IF(VLOOKUP($Q64,武学奇术!$A:$ZZ,23,FALSE)=1,100%,MIN(80%,$B$9+VLOOKUP($Q64,武学奇术!$A:$ZZ,17,FALSE)+SUM(_xlfn.XLOOKUP($R64:$AK64,增益!$A:$A,增益!$Q:$Q,0)))+$B$11+SUM(_xlfn.XLOOKUP($R64:$AK64,增益!$A:$A,增益!$U:$U,0)))*IF(VLOOKUP($Q64,武学奇术!$A:$ZZ,24,FALSE)=1,0,1)</f>
        <v>1</v>
      </c>
      <c r="BP64" s="27" cm="1">
        <f t="array" ref="BP64">1+$B$13+VLOOKUP($Q64,武学奇术!$A:$ZZ,18,FALSE)+SUM(_xlfn.XLOOKUP($R64:$AK64,增益!$A:$A,增益!$R:$R,0))</f>
        <v>2.1</v>
      </c>
      <c r="BQ64" s="27" cm="1">
        <f t="array" ref="BQ64">IF(VLOOKUP($Q64,武学奇术!$A:$ZZ,24,FALSE)=1,100%,MIN(40%,$B$10+VLOOKUP($Q64,武学奇术!$A:$ZZ,19,FALSE)+SUM(_xlfn.XLOOKUP($R64:$AK64,增益!$A:$A,增益!$S:$S,0)))+$B$12+SUM(_xlfn.XLOOKUP($R64:$AK64,增益!$A:$A,增益!$V:$V,0)))*IF(VLOOKUP($Q64,武学奇术!$A:$ZZ,23,FALSE)=1,0,1)</f>
        <v>0</v>
      </c>
      <c r="BR64" s="27" cm="1">
        <f t="array" ref="BR64">1+$B$14+VLOOKUP($Q64,武学奇术!$A:$ZZ,20,FALSE)+SUM(_xlfn.XLOOKUP($R64:$AK64,增益!$A:$A,增益!$T:$T,0))</f>
        <v>1.35</v>
      </c>
      <c r="BS64" s="27">
        <f t="shared" si="20"/>
        <v>1</v>
      </c>
      <c r="BT64" s="27">
        <f t="shared" si="21"/>
        <v>0</v>
      </c>
      <c r="BU64" s="27">
        <f>IF(VLOOKUP($Q64,武学奇术!$A:$ZZ,22,FALSE)=1,0,(1-$BN64))*(1-$BQ64)</f>
        <v>0</v>
      </c>
      <c r="BV64" s="27" cm="1">
        <f t="array" ref="BV64">SUM(_xlfn.XLOOKUP($R64:$AK64,增益!$A:$A,增益!$W:$W,0))+$I$5</f>
        <v>0.11</v>
      </c>
    </row>
    <row r="65" spans="1:74">
      <c r="A65" s="4" t="s">
        <v>167</v>
      </c>
      <c r="B65" s="4">
        <v>0.1</v>
      </c>
      <c r="D65" s="41" t="s">
        <v>168</v>
      </c>
      <c r="K65" s="40">
        <f t="shared" si="22"/>
        <v>41958.5743142376</v>
      </c>
      <c r="L65" s="40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BP65*$P65*(1+IF(VLOOKUP($Q65,武学奇术!$A:$ZZ,30,FALSE)="蓄力技",$B$21,0))*(1+$BV65)</f>
        <v>41958.5743142376</v>
      </c>
      <c r="M65" s="40">
        <f>(($AT65*$AM65+$AN65)*(1+$AU65)*(1+$AV65)+($AY65*IF($G$1="鸣金",$AO65,$AM65)+IF($G$1="鸣金",$AP65*1.5,0))*(1+$AZ65)*(1+$BA65)+($BC65*IF($G$1="裂石",$AO65,$AM65)+IF($G$1="裂石",$AP65*1.5,0))*(1+$BD65)*(1+$BE65)+($BG65*IF($G$1="牵丝",$AO65,$AM65)+IF($G$1="牵丝",$AP65*1.5,0))*(1+$BH65)*(1+$BI65)+($BK65*IF($G$1="破竹",$AO65,$AM65)+IF($G$1="破竹",$AP65*1.5,0))*(1+$BL65)*(1+$BM65))*(1+$AQ65)*$BR65*$P65*(1+IF(VLOOKUP($Q65,武学奇术!$A:$ZZ,30,FALSE)="蓄力技",$B$21,0))*(1+$BV65)</f>
        <v>30633.5463107291</v>
      </c>
      <c r="N65" s="40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P65*(1+IF(VLOOKUP($Q65,武学奇术!$A:$ZZ,30,FALSE)="蓄力技",$B$21,0))*(1+$BV65)</f>
        <v>19980.2734829703</v>
      </c>
      <c r="O65" s="40">
        <f>((($AS65*$AM65+$AN65)*(1+$AU65)*(1+$AV65)+($AX65*IF($G$1="鸣金",$AO65,$AM65)+IF($G$1="鸣金",$AP65*1.5,0))*(1+$AZ65)*(1+$BA65)+($BB65*IF($G$1="裂石",$AO65,$AM65)+IF($G$1="裂石",$AP65*1.5,0))*(1+$BD65)*(1+$BE65)+($BF65*IF($G$1="牵丝",$AO65,$AM65)+IF($G$1="牵丝",$AP65*1.5,0))*(1+$BH65)*(1+$BI65)+($BJ65*IF($G$1="破竹",$AO65,$AM65)+IF($G$1="破竹",$AP65*1.5,0))*(1+$BL65)*(1+$BM65))*(1+$AQ65))*$P65*(1+IF(VLOOKUP($Q65,武学奇术!$A:$ZZ,30,FALSE)="蓄力技",$B$21,0))*(1+$BV65)</f>
        <v>17269.0311802153</v>
      </c>
      <c r="P65" s="41">
        <v>2</v>
      </c>
      <c r="Q65" s="42" t="s">
        <v>125</v>
      </c>
      <c r="R65" s="42" t="s">
        <v>103</v>
      </c>
      <c r="S65" s="42" t="s">
        <v>169</v>
      </c>
      <c r="T65" s="42" t="s">
        <v>86</v>
      </c>
      <c r="U65" s="42" t="s">
        <v>121</v>
      </c>
      <c r="V65" s="42" t="s">
        <v>118</v>
      </c>
      <c r="W65" s="42" t="s">
        <v>77</v>
      </c>
      <c r="X65" s="42" t="s">
        <v>176</v>
      </c>
      <c r="Y65" s="42" t="s">
        <v>77</v>
      </c>
      <c r="Z65" s="42" t="s">
        <v>77</v>
      </c>
      <c r="AA65" s="42" t="s">
        <v>73</v>
      </c>
      <c r="AB65" s="42" t="s">
        <v>95</v>
      </c>
      <c r="AC65" s="42" t="s">
        <v>77</v>
      </c>
      <c r="AD65" s="42" t="s">
        <v>80</v>
      </c>
      <c r="AE65" s="42" t="s">
        <v>81</v>
      </c>
      <c r="AF65" s="42" t="s">
        <v>82</v>
      </c>
      <c r="AG65" s="42" t="s">
        <v>77</v>
      </c>
      <c r="AH65" s="42" t="s">
        <v>77</v>
      </c>
      <c r="AI65" s="42" t="s">
        <v>77</v>
      </c>
      <c r="AJ65" s="42" t="s">
        <v>77</v>
      </c>
      <c r="AK65" s="42" t="s">
        <v>90</v>
      </c>
      <c r="AL65" t="str">
        <f>VLOOKUP($Q65,武学奇术!$A:$ZZ,25,FALSE)</f>
        <v>陌刀</v>
      </c>
      <c r="AM65" s="27">
        <f>VLOOKUP($Q65,武学奇术!$A:$ZZ,26,FALSE)</f>
        <v>0.5</v>
      </c>
      <c r="AN65" s="28">
        <f>VLOOKUP($Q65,武学奇术!$A:$ZZ,27,FALSE)*(1+IF(OR($AL65=$F$4,$AL65=$F$5),$B$22,0))</f>
        <v>0</v>
      </c>
      <c r="AO65" s="27">
        <f>VLOOKUP($Q65,武学奇术!$A:$ZZ,28,FALSE)</f>
        <v>0.75</v>
      </c>
      <c r="AP65" s="28">
        <f>VLOOKUP($Q65,武学奇术!$A:$ZZ,29,FALSE)*(1+IF(OR($AL65=$F$4,$AL65=$F$5),$B$22,0))</f>
        <v>0</v>
      </c>
      <c r="AQ65" s="27" cm="1">
        <f t="array" ref="AQ65">$G$3+IFERROR(VLOOKUP($AL65,$F$4:$G$7,2,FALSE),0)+VLOOKUP($Q65,武学奇术!$A:$ZZ,2,FALSE)+SUM(_xlfn.XLOOKUP($R65:$AK65,增益!$A:$A,增益!$B:$B,0))</f>
        <v>0.8141</v>
      </c>
      <c r="AR65" s="27" cm="1">
        <f t="array" ref="AR65">VLOOKUP($Q65,武学奇术!$A:$ZZ,5,FALSE)+SUM(_xlfn.XLOOKUP($R65:$AK65,增益!$A:$A,增益!$E:$E,0))</f>
        <v>0</v>
      </c>
      <c r="AS65" cm="1">
        <f t="array" ref="AS65">$D$10*(1+$AR65)+VLOOKUP($Q65,武学奇术!$A:$ZZ,3,FALSE)+SUM(_xlfn.XLOOKUP($R65:$AK65,增益!$A:$A,增益!$C:$C,0))-$I$2</f>
        <v>3648.7</v>
      </c>
      <c r="AT65" cm="1">
        <f t="array" ref="AT65">$E$10*(1+$AR65)+VLOOKUP($Q65,武学奇术!$A:$ZZ,4,FALSE)+SUM(_xlfn.XLOOKUP($R65:$AK65,增益!$A:$A,增益!$D:$D,0))-$I$2</f>
        <v>3648.7</v>
      </c>
      <c r="AU65" s="34" cm="1">
        <f t="array" ref="AU65">IF($F$10-$I$3+VLOOKUP($Q65,武学奇术!$A:$ZZ,6,FALSE)+SUM(_xlfn.XLOOKUP($R65:$AK65,增益!$A:$A,增益!$F:$F,0))&gt;0,($F$10-$I$3+VLOOKUP($Q65,武学奇术!$A:$ZZ,6,FALSE)+SUM(_xlfn.XLOOKUP($R65:$AK65,增益!$A:$A,增益!$F:$F,0)))/200,($F$10-$I$3+VLOOKUP($Q65,武学奇术!$A:$ZZ,6,FALSE)+SUM(_xlfn.XLOOKUP($R65:$AK65,增益!$A:$A,增益!$F:$F,0)))/100)</f>
        <v>0.452</v>
      </c>
      <c r="AV65" s="34" cm="1">
        <f t="array" ref="AV65">$G$10+VLOOKUP($Q65,武学奇术!$A:$ZZ,7,FALSE)+SUM(_xlfn.XLOOKUP($R65:$AK65,增益!$A:$A,增益!$G:$G,0))</f>
        <v>0</v>
      </c>
      <c r="AW65" s="27" cm="1">
        <f t="array" ref="AW65">VLOOKUP($Q65,武学奇术!$A:$ZZ,8,FALSE)+SUM(_xlfn.XLOOKUP($R65:$AK65,增益!$A:$A,增益!$H:$H,0))</f>
        <v>0</v>
      </c>
      <c r="AX65">
        <f t="shared" si="12"/>
        <v>0</v>
      </c>
      <c r="AY65">
        <f t="shared" si="13"/>
        <v>0</v>
      </c>
      <c r="AZ65" s="34" cm="1">
        <f t="array" ref="AZ65">IF($F$11-$I$4+VLOOKUP($Q65,武学奇术!$A:$ZZ,9,FALSE)+SUM(_xlfn.XLOOKUP($R65:$AK65,增益!$A:$A,增益!$I:$I,0))&gt;0,($F$11-$I$4+VLOOKUP($Q65,武学奇术!$A:$ZZ,9,FALSE)+SUM(_xlfn.XLOOKUP($R65:$AK65,增益!$A:$A,增益!$I:$I,0)))/200,($F$11-$I$4+VLOOKUP($Q65,武学奇术!$A:$ZZ,9,FALSE)+SUM(_xlfn.XLOOKUP($R65:$AK65,增益!$A:$A,增益!$I:$I,0)))/100)</f>
        <v>-0.14</v>
      </c>
      <c r="BA65" s="34" cm="1">
        <f t="array" ref="BA65">$G$11+VLOOKUP($Q65,武学奇术!$A:$ZZ,10,FALSE)+SUM(_xlfn.XLOOKUP($R65:$AK65,增益!$A:$A,增益!$J:$J,0))</f>
        <v>0</v>
      </c>
      <c r="BB65">
        <f t="shared" si="14"/>
        <v>594.1</v>
      </c>
      <c r="BC65">
        <f t="shared" si="15"/>
        <v>1604.9</v>
      </c>
      <c r="BD65" s="34" cm="1">
        <f t="array" ref="BD65">IF($F$12-$I$4+VLOOKUP($Q65,武学奇术!$A:$ZZ,11,FALSE)+SUM(_xlfn.XLOOKUP($R65:$AK65,增益!$A:$A,增益!$K:$K,0))&gt;0,($F$12-$I$4+VLOOKUP($Q65,武学奇术!$A:$ZZ,11,FALSE)+SUM(_xlfn.XLOOKUP($R65:$AK65,增益!$A:$A,增益!$K:$K,0)))/200,($F$12-$I$4+VLOOKUP($Q65,武学奇术!$A:$ZZ,11,FALSE)+SUM(_xlfn.XLOOKUP($R65:$AK65,增益!$A:$A,增益!$K:$K,0)))/100)</f>
        <v>0.17</v>
      </c>
      <c r="BE65" s="34" cm="1">
        <f t="array" ref="BE65">$G$12+VLOOKUP($Q65,武学奇术!$A:$ZZ,12,FALSE)+SUM(_xlfn.XLOOKUP($R65:$AK65,增益!$A:$A,增益!$L:$L,0))</f>
        <v>0.15</v>
      </c>
      <c r="BF65">
        <f t="shared" si="16"/>
        <v>0</v>
      </c>
      <c r="BG65">
        <f t="shared" si="17"/>
        <v>0</v>
      </c>
      <c r="BH65" s="34" cm="1">
        <f t="array" ref="BH65">IF($F$13-$I$4+VLOOKUP($Q65,武学奇术!$A:$ZZ,13,FALSE)+SUM(_xlfn.XLOOKUP($R65:$AK65,增益!$A:$A,增益!$M:$M,0))&gt;0,($F$13-$I$4+VLOOKUP($Q65,武学奇术!$A:$ZZ,13,FALSE)+SUM(_xlfn.XLOOKUP($R65:$AK65,增益!$A:$A,增益!$K:$K,0)))/200,($F$13-$I$4+VLOOKUP($Q65,武学奇术!$A:$ZZ,13,FALSE)+SUM(_xlfn.XLOOKUP($R65:$AK65,增益!$A:$A,增益!$M:$M,0)))/100)</f>
        <v>-0.14</v>
      </c>
      <c r="BI65" s="34" cm="1">
        <f t="array" ref="BI65">$G$13+VLOOKUP($Q65,武学奇术!$A:$ZZ,14,FALSE)+SUM(_xlfn.XLOOKUP($R65:$AK65,增益!$A:$A,增益!$N:$N,0))</f>
        <v>0</v>
      </c>
      <c r="BJ65">
        <f t="shared" si="18"/>
        <v>0</v>
      </c>
      <c r="BK65">
        <f t="shared" si="19"/>
        <v>0</v>
      </c>
      <c r="BL65" s="34" cm="1">
        <f t="array" ref="BL65">IF($F$14-$I$4+VLOOKUP($Q65,武学奇术!$A:$ZZ,15,FALSE)+SUM(_xlfn.XLOOKUP($R65:$AK65,增益!$A:$A,增益!$O:$O,0))&gt;0,($F$14-$I$4+VLOOKUP($Q65,武学奇术!$A:$ZZ,15,FALSE)+SUM(_xlfn.XLOOKUP($R65:$AK65,增益!$A:$A,增益!$O:$O,0)))/200,($F$14-$I$4+VLOOKUP($Q65,武学奇术!$A:$ZZ,15,FALSE)+SUM(_xlfn.XLOOKUP($R65:$AK65,增益!$A:$A,增益!$O:$O,0)))/100)</f>
        <v>-0.14</v>
      </c>
      <c r="BM65" s="34" cm="1">
        <f t="array" ref="BM65">$G$14+VLOOKUP($Q65,武学奇术!$A:$ZZ,16,FALSE)+SUM(_xlfn.XLOOKUP($R65:$AK65,增益!$A:$A,增益!$P:$P,0))</f>
        <v>0</v>
      </c>
      <c r="BN65" s="27">
        <f>MIN(IF(VLOOKUP($Q65,武学奇术!$A:$ZZ,23,FALSE)=1,100%,$B$8),100%)</f>
        <v>1</v>
      </c>
      <c r="BO65" s="27" cm="1">
        <f t="array" ref="BO65">IF(VLOOKUP($Q65,武学奇术!$A:$ZZ,23,FALSE)=1,100%,MIN(80%,$B$9+VLOOKUP($Q65,武学奇术!$A:$ZZ,17,FALSE)+SUM(_xlfn.XLOOKUP($R65:$AK65,增益!$A:$A,增益!$Q:$Q,0)))+$B$11+SUM(_xlfn.XLOOKUP($R65:$AK65,增益!$A:$A,增益!$U:$U,0)))*IF(VLOOKUP($Q65,武学奇术!$A:$ZZ,24,FALSE)=1,0,1)</f>
        <v>1</v>
      </c>
      <c r="BP65" s="27" cm="1">
        <f t="array" ref="BP65">1+$B$13+VLOOKUP($Q65,武学奇术!$A:$ZZ,18,FALSE)+SUM(_xlfn.XLOOKUP($R65:$AK65,增益!$A:$A,增益!$R:$R,0))</f>
        <v>2.1</v>
      </c>
      <c r="BQ65" s="27" cm="1">
        <f t="array" ref="BQ65">IF(VLOOKUP($Q65,武学奇术!$A:$ZZ,24,FALSE)=1,100%,MIN(40%,$B$10+VLOOKUP($Q65,武学奇术!$A:$ZZ,19,FALSE)+SUM(_xlfn.XLOOKUP($R65:$AK65,增益!$A:$A,增益!$S:$S,0)))+$B$12+SUM(_xlfn.XLOOKUP($R65:$AK65,增益!$A:$A,增益!$V:$V,0)))*IF(VLOOKUP($Q65,武学奇术!$A:$ZZ,23,FALSE)=1,0,1)</f>
        <v>0</v>
      </c>
      <c r="BR65" s="27" cm="1">
        <f t="array" ref="BR65">1+$B$14+VLOOKUP($Q65,武学奇术!$A:$ZZ,20,FALSE)+SUM(_xlfn.XLOOKUP($R65:$AK65,增益!$A:$A,增益!$T:$T,0))</f>
        <v>1.35</v>
      </c>
      <c r="BS65" s="27">
        <f t="shared" si="20"/>
        <v>1</v>
      </c>
      <c r="BT65" s="27">
        <f t="shared" si="21"/>
        <v>0</v>
      </c>
      <c r="BU65" s="27">
        <f>IF(VLOOKUP($Q65,武学奇术!$A:$ZZ,22,FALSE)=1,0,(1-$BN65))*(1-$BQ65)</f>
        <v>0</v>
      </c>
      <c r="BV65" s="27" cm="1">
        <f t="array" ref="BV65">SUM(_xlfn.XLOOKUP($R65:$AK65,增益!$A:$A,增益!$W:$W,0))+$I$5</f>
        <v>0.11</v>
      </c>
    </row>
    <row r="66" spans="1:74">
      <c r="A66" s="4" t="s">
        <v>171</v>
      </c>
      <c r="B66" s="4">
        <v>2.3</v>
      </c>
      <c r="D66" s="41"/>
      <c r="E66" s="41" t="s">
        <v>172</v>
      </c>
      <c r="K66" s="40">
        <f t="shared" si="22"/>
        <v>75525.4337656276</v>
      </c>
      <c r="L66" s="40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BP66*$P66*(1+IF(VLOOKUP($Q66,武学奇术!$A:$ZZ,30,FALSE)="蓄力技",$B$21,0))*(1+$BV66)</f>
        <v>75525.4337656276</v>
      </c>
      <c r="M66" s="40">
        <f>(($AT66*$AM66+$AN66)*(1+$AU66)*(1+$AV66)+($AY66*IF($G$1="鸣金",$AO66,$AM66)+IF($G$1="鸣金",$AP66*1.5,0))*(1+$AZ66)*(1+$BA66)+($BC66*IF($G$1="裂石",$AO66,$AM66)+IF($G$1="裂石",$AP66*1.5,0))*(1+$BD66)*(1+$BE66)+($BG66*IF($G$1="牵丝",$AO66,$AM66)+IF($G$1="牵丝",$AP66*1.5,0))*(1+$BH66)*(1+$BI66)+($BK66*IF($G$1="破竹",$AO66,$AM66)+IF($G$1="破竹",$AP66*1.5,0))*(1+$BL66)*(1+$BM66))*(1+$AQ66)*$BR66*$P66*(1+IF(VLOOKUP($Q66,武学奇术!$A:$ZZ,30,FALSE)="蓄力技",$B$21,0))*(1+$BV66)</f>
        <v>55140.3833593124</v>
      </c>
      <c r="N66" s="40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P66*(1+IF(VLOOKUP($Q66,武学奇术!$A:$ZZ,30,FALSE)="蓄力技",$B$21,0))*(1+$BV66)</f>
        <v>35964.4922693465</v>
      </c>
      <c r="O66" s="40">
        <f>((($AS66*$AM66+$AN66)*(1+$AU66)*(1+$AV66)+($AX66*IF($G$1="鸣金",$AO66,$AM66)+IF($G$1="鸣金",$AP66*1.5,0))*(1+$AZ66)*(1+$BA66)+($BB66*IF($G$1="裂石",$AO66,$AM66)+IF($G$1="裂石",$AP66*1.5,0))*(1+$BD66)*(1+$BE66)+($BF66*IF($G$1="牵丝",$AO66,$AM66)+IF($G$1="牵丝",$AP66*1.5,0))*(1+$BH66)*(1+$BI66)+($BJ66*IF($G$1="破竹",$AO66,$AM66)+IF($G$1="破竹",$AP66*1.5,0))*(1+$BL66)*(1+$BM66))*(1+$AQ66))*$P66*(1+IF(VLOOKUP($Q66,武学奇术!$A:$ZZ,30,FALSE)="蓄力技",$B$21,0))*(1+$BV66)</f>
        <v>31084.2561243875</v>
      </c>
      <c r="P66" s="41">
        <v>2</v>
      </c>
      <c r="Q66" s="42" t="s">
        <v>117</v>
      </c>
      <c r="R66" s="42" t="s">
        <v>103</v>
      </c>
      <c r="S66" s="42" t="s">
        <v>169</v>
      </c>
      <c r="T66" s="42" t="s">
        <v>86</v>
      </c>
      <c r="U66" s="42" t="s">
        <v>121</v>
      </c>
      <c r="V66" s="42" t="s">
        <v>118</v>
      </c>
      <c r="W66" s="42" t="s">
        <v>77</v>
      </c>
      <c r="X66" s="42" t="s">
        <v>176</v>
      </c>
      <c r="Y66" s="42" t="s">
        <v>77</v>
      </c>
      <c r="Z66" s="42" t="s">
        <v>77</v>
      </c>
      <c r="AA66" s="42" t="s">
        <v>73</v>
      </c>
      <c r="AB66" s="42" t="s">
        <v>95</v>
      </c>
      <c r="AC66" s="42" t="s">
        <v>77</v>
      </c>
      <c r="AD66" s="42" t="s">
        <v>80</v>
      </c>
      <c r="AE66" s="42" t="s">
        <v>81</v>
      </c>
      <c r="AF66" s="42" t="s">
        <v>82</v>
      </c>
      <c r="AG66" s="42" t="s">
        <v>77</v>
      </c>
      <c r="AH66" s="42" t="s">
        <v>77</v>
      </c>
      <c r="AI66" s="42" t="s">
        <v>77</v>
      </c>
      <c r="AJ66" s="42" t="s">
        <v>77</v>
      </c>
      <c r="AK66" s="42" t="s">
        <v>90</v>
      </c>
      <c r="AL66" t="str">
        <f>VLOOKUP($Q66,武学奇术!$A:$ZZ,25,FALSE)</f>
        <v>陌刀</v>
      </c>
      <c r="AM66" s="27">
        <f>VLOOKUP($Q66,武学奇术!$A:$ZZ,26,FALSE)</f>
        <v>0.9</v>
      </c>
      <c r="AN66" s="28">
        <f>VLOOKUP($Q66,武学奇术!$A:$ZZ,27,FALSE)*(1+IF(OR($AL66=$F$4,$AL66=$F$5),$B$22,0))</f>
        <v>0</v>
      </c>
      <c r="AO66" s="27">
        <f>VLOOKUP($Q66,武学奇术!$A:$ZZ,28,FALSE)</f>
        <v>1.35</v>
      </c>
      <c r="AP66" s="28">
        <f>VLOOKUP($Q66,武学奇术!$A:$ZZ,29,FALSE)*(1+IF(OR($AL66=$F$4,$AL66=$F$5),$B$22,0))</f>
        <v>0</v>
      </c>
      <c r="AQ66" s="27" cm="1">
        <f t="array" ref="AQ66">$G$3+IFERROR(VLOOKUP($AL66,$F$4:$G$7,2,FALSE),0)+VLOOKUP($Q66,武学奇术!$A:$ZZ,2,FALSE)+SUM(_xlfn.XLOOKUP($R66:$AK66,增益!$A:$A,增益!$B:$B,0))</f>
        <v>0.8141</v>
      </c>
      <c r="AR66" s="27" cm="1">
        <f t="array" ref="AR66">VLOOKUP($Q66,武学奇术!$A:$ZZ,5,FALSE)+SUM(_xlfn.XLOOKUP($R66:$AK66,增益!$A:$A,增益!$E:$E,0))</f>
        <v>0</v>
      </c>
      <c r="AS66" cm="1">
        <f t="array" ref="AS66">$D$10*(1+$AR66)+VLOOKUP($Q66,武学奇术!$A:$ZZ,3,FALSE)+SUM(_xlfn.XLOOKUP($R66:$AK66,增益!$A:$A,增益!$C:$C,0))-$I$2</f>
        <v>3648.7</v>
      </c>
      <c r="AT66" cm="1">
        <f t="array" ref="AT66">$E$10*(1+$AR66)+VLOOKUP($Q66,武学奇术!$A:$ZZ,4,FALSE)+SUM(_xlfn.XLOOKUP($R66:$AK66,增益!$A:$A,增益!$D:$D,0))-$I$2</f>
        <v>3648.7</v>
      </c>
      <c r="AU66" s="34" cm="1">
        <f t="array" ref="AU66">IF($F$10-$I$3+VLOOKUP($Q66,武学奇术!$A:$ZZ,6,FALSE)+SUM(_xlfn.XLOOKUP($R66:$AK66,增益!$A:$A,增益!$F:$F,0))&gt;0,($F$10-$I$3+VLOOKUP($Q66,武学奇术!$A:$ZZ,6,FALSE)+SUM(_xlfn.XLOOKUP($R66:$AK66,增益!$A:$A,增益!$F:$F,0)))/200,($F$10-$I$3+VLOOKUP($Q66,武学奇术!$A:$ZZ,6,FALSE)+SUM(_xlfn.XLOOKUP($R66:$AK66,增益!$A:$A,增益!$F:$F,0)))/100)</f>
        <v>0.452</v>
      </c>
      <c r="AV66" s="34" cm="1">
        <f t="array" ref="AV66">$G$10+VLOOKUP($Q66,武学奇术!$A:$ZZ,7,FALSE)+SUM(_xlfn.XLOOKUP($R66:$AK66,增益!$A:$A,增益!$G:$G,0))</f>
        <v>0</v>
      </c>
      <c r="AW66" s="27" cm="1">
        <f t="array" ref="AW66">VLOOKUP($Q66,武学奇术!$A:$ZZ,8,FALSE)+SUM(_xlfn.XLOOKUP($R66:$AK66,增益!$A:$A,增益!$H:$H,0))</f>
        <v>0</v>
      </c>
      <c r="AX66">
        <f t="shared" si="12"/>
        <v>0</v>
      </c>
      <c r="AY66">
        <f t="shared" si="13"/>
        <v>0</v>
      </c>
      <c r="AZ66" s="34" cm="1">
        <f t="array" ref="AZ66">IF($F$11-$I$4+VLOOKUP($Q66,武学奇术!$A:$ZZ,9,FALSE)+SUM(_xlfn.XLOOKUP($R66:$AK66,增益!$A:$A,增益!$I:$I,0))&gt;0,($F$11-$I$4+VLOOKUP($Q66,武学奇术!$A:$ZZ,9,FALSE)+SUM(_xlfn.XLOOKUP($R66:$AK66,增益!$A:$A,增益!$I:$I,0)))/200,($F$11-$I$4+VLOOKUP($Q66,武学奇术!$A:$ZZ,9,FALSE)+SUM(_xlfn.XLOOKUP($R66:$AK66,增益!$A:$A,增益!$I:$I,0)))/100)</f>
        <v>-0.14</v>
      </c>
      <c r="BA66" s="34" cm="1">
        <f t="array" ref="BA66">$G$11+VLOOKUP($Q66,武学奇术!$A:$ZZ,10,FALSE)+SUM(_xlfn.XLOOKUP($R66:$AK66,增益!$A:$A,增益!$J:$J,0))</f>
        <v>0</v>
      </c>
      <c r="BB66">
        <f t="shared" si="14"/>
        <v>594.1</v>
      </c>
      <c r="BC66">
        <f t="shared" si="15"/>
        <v>1604.9</v>
      </c>
      <c r="BD66" s="34" cm="1">
        <f t="array" ref="BD66">IF($F$12-$I$4+VLOOKUP($Q66,武学奇术!$A:$ZZ,11,FALSE)+SUM(_xlfn.XLOOKUP($R66:$AK66,增益!$A:$A,增益!$K:$K,0))&gt;0,($F$12-$I$4+VLOOKUP($Q66,武学奇术!$A:$ZZ,11,FALSE)+SUM(_xlfn.XLOOKUP($R66:$AK66,增益!$A:$A,增益!$K:$K,0)))/200,($F$12-$I$4+VLOOKUP($Q66,武学奇术!$A:$ZZ,11,FALSE)+SUM(_xlfn.XLOOKUP($R66:$AK66,增益!$A:$A,增益!$K:$K,0)))/100)</f>
        <v>0.17</v>
      </c>
      <c r="BE66" s="34" cm="1">
        <f t="array" ref="BE66">$G$12+VLOOKUP($Q66,武学奇术!$A:$ZZ,12,FALSE)+SUM(_xlfn.XLOOKUP($R66:$AK66,增益!$A:$A,增益!$L:$L,0))</f>
        <v>0.15</v>
      </c>
      <c r="BF66">
        <f t="shared" si="16"/>
        <v>0</v>
      </c>
      <c r="BG66">
        <f t="shared" si="17"/>
        <v>0</v>
      </c>
      <c r="BH66" s="34" cm="1">
        <f t="array" ref="BH66">IF($F$13-$I$4+VLOOKUP($Q66,武学奇术!$A:$ZZ,13,FALSE)+SUM(_xlfn.XLOOKUP($R66:$AK66,增益!$A:$A,增益!$M:$M,0))&gt;0,($F$13-$I$4+VLOOKUP($Q66,武学奇术!$A:$ZZ,13,FALSE)+SUM(_xlfn.XLOOKUP($R66:$AK66,增益!$A:$A,增益!$K:$K,0)))/200,($F$13-$I$4+VLOOKUP($Q66,武学奇术!$A:$ZZ,13,FALSE)+SUM(_xlfn.XLOOKUP($R66:$AK66,增益!$A:$A,增益!$M:$M,0)))/100)</f>
        <v>-0.14</v>
      </c>
      <c r="BI66" s="34" cm="1">
        <f t="array" ref="BI66">$G$13+VLOOKUP($Q66,武学奇术!$A:$ZZ,14,FALSE)+SUM(_xlfn.XLOOKUP($R66:$AK66,增益!$A:$A,增益!$N:$N,0))</f>
        <v>0</v>
      </c>
      <c r="BJ66">
        <f t="shared" si="18"/>
        <v>0</v>
      </c>
      <c r="BK66">
        <f t="shared" si="19"/>
        <v>0</v>
      </c>
      <c r="BL66" s="34" cm="1">
        <f t="array" ref="BL66">IF($F$14-$I$4+VLOOKUP($Q66,武学奇术!$A:$ZZ,15,FALSE)+SUM(_xlfn.XLOOKUP($R66:$AK66,增益!$A:$A,增益!$O:$O,0))&gt;0,($F$14-$I$4+VLOOKUP($Q66,武学奇术!$A:$ZZ,15,FALSE)+SUM(_xlfn.XLOOKUP($R66:$AK66,增益!$A:$A,增益!$O:$O,0)))/200,($F$14-$I$4+VLOOKUP($Q66,武学奇术!$A:$ZZ,15,FALSE)+SUM(_xlfn.XLOOKUP($R66:$AK66,增益!$A:$A,增益!$O:$O,0)))/100)</f>
        <v>-0.14</v>
      </c>
      <c r="BM66" s="34" cm="1">
        <f t="array" ref="BM66">$G$14+VLOOKUP($Q66,武学奇术!$A:$ZZ,16,FALSE)+SUM(_xlfn.XLOOKUP($R66:$AK66,增益!$A:$A,增益!$P:$P,0))</f>
        <v>0</v>
      </c>
      <c r="BN66" s="27">
        <f>MIN(IF(VLOOKUP($Q66,武学奇术!$A:$ZZ,23,FALSE)=1,100%,$B$8),100%)</f>
        <v>1</v>
      </c>
      <c r="BO66" s="27" cm="1">
        <f t="array" ref="BO66">IF(VLOOKUP($Q66,武学奇术!$A:$ZZ,23,FALSE)=1,100%,MIN(80%,$B$9+VLOOKUP($Q66,武学奇术!$A:$ZZ,17,FALSE)+SUM(_xlfn.XLOOKUP($R66:$AK66,增益!$A:$A,增益!$Q:$Q,0)))+$B$11+SUM(_xlfn.XLOOKUP($R66:$AK66,增益!$A:$A,增益!$U:$U,0)))*IF(VLOOKUP($Q66,武学奇术!$A:$ZZ,24,FALSE)=1,0,1)</f>
        <v>1</v>
      </c>
      <c r="BP66" s="27" cm="1">
        <f t="array" ref="BP66">1+$B$13+VLOOKUP($Q66,武学奇术!$A:$ZZ,18,FALSE)+SUM(_xlfn.XLOOKUP($R66:$AK66,增益!$A:$A,增益!$R:$R,0))</f>
        <v>2.1</v>
      </c>
      <c r="BQ66" s="27" cm="1">
        <f t="array" ref="BQ66">IF(VLOOKUP($Q66,武学奇术!$A:$ZZ,24,FALSE)=1,100%,MIN(40%,$B$10+VLOOKUP($Q66,武学奇术!$A:$ZZ,19,FALSE)+SUM(_xlfn.XLOOKUP($R66:$AK66,增益!$A:$A,增益!$S:$S,0)))+$B$12+SUM(_xlfn.XLOOKUP($R66:$AK66,增益!$A:$A,增益!$V:$V,0)))*IF(VLOOKUP($Q66,武学奇术!$A:$ZZ,23,FALSE)=1,0,1)</f>
        <v>0</v>
      </c>
      <c r="BR66" s="27" cm="1">
        <f t="array" ref="BR66">1+$B$14+VLOOKUP($Q66,武学奇术!$A:$ZZ,20,FALSE)+SUM(_xlfn.XLOOKUP($R66:$AK66,增益!$A:$A,增益!$T:$T,0))</f>
        <v>1.35</v>
      </c>
      <c r="BS66" s="27">
        <f t="shared" si="20"/>
        <v>1</v>
      </c>
      <c r="BT66" s="27">
        <f t="shared" si="21"/>
        <v>0</v>
      </c>
      <c r="BU66" s="27">
        <f>IF(VLOOKUP($Q66,武学奇术!$A:$ZZ,22,FALSE)=1,0,(1-$BN66))*(1-$BQ66)</f>
        <v>0</v>
      </c>
      <c r="BV66" s="27" cm="1">
        <f t="array" ref="BV66">SUM(_xlfn.XLOOKUP($R66:$AK66,增益!$A:$A,增益!$W:$W,0))+$I$5</f>
        <v>0.11</v>
      </c>
    </row>
    <row r="67" spans="1:74">
      <c r="A67" s="4" t="s">
        <v>171</v>
      </c>
      <c r="B67" s="4">
        <v>2.3</v>
      </c>
      <c r="D67" s="41"/>
      <c r="E67" s="41"/>
      <c r="H67" s="4"/>
      <c r="K67" s="40">
        <f t="shared" si="22"/>
        <v>724454.705486201</v>
      </c>
      <c r="L67" s="40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BP67*$P67*(1+IF(VLOOKUP($Q67,武学奇术!$A:$ZZ,30,FALSE)="蓄力技",$B$21,0))*(1+$BV67)</f>
        <v>724454.705486201</v>
      </c>
      <c r="M67" s="40">
        <f>(($AT67*$AM67+$AN67)*(1+$AU67)*(1+$AV67)+($AY67*IF($G$1="鸣金",$AO67,$AM67)+IF($G$1="鸣金",$AP67*1.5,0))*(1+$AZ67)*(1+$BA67)+($BC67*IF($G$1="裂石",$AO67,$AM67)+IF($G$1="裂石",$AP67*1.5,0))*(1+$BD67)*(1+$BE67)+($BG67*IF($G$1="牵丝",$AO67,$AM67)+IF($G$1="牵丝",$AP67*1.5,0))*(1+$BH67)*(1+$BI67)+($BK67*IF($G$1="破竹",$AO67,$AM67)+IF($G$1="破竹",$AP67*1.5,0))*(1+$BL67)*(1+$BM67))*(1+$AQ67)*$BR67*$P67*(1+IF(VLOOKUP($Q67,武学奇术!$A:$ZZ,30,FALSE)="蓄力技",$B$21,0))*(1+$BV67)</f>
        <v>521117.418626931</v>
      </c>
      <c r="N67" s="40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P67*(1+IF(VLOOKUP($Q67,武学奇术!$A:$ZZ,30,FALSE)="蓄力技",$B$21,0))*(1+$BV67)</f>
        <v>344978.431183905</v>
      </c>
      <c r="O67" s="40">
        <f>((($AS67*$AM67+$AN67)*(1+$AU67)*(1+$AV67)+($AX67*IF($G$1="鸣金",$AO67,$AM67)+IF($G$1="鸣金",$AP67*1.5,0))*(1+$AZ67)*(1+$BA67)+($BB67*IF($G$1="裂石",$AO67,$AM67)+IF($G$1="裂石",$AP67*1.5,0))*(1+$BD67)*(1+$BE67)+($BF67*IF($G$1="牵丝",$AO67,$AM67)+IF($G$1="牵丝",$AP67*1.5,0))*(1+$BH67)*(1+$BI67)+($BJ67*IF($G$1="破竹",$AO67,$AM67)+IF($G$1="破竹",$AP67*1.5,0))*(1+$BL67)*(1+$BM67))*(1+$AQ67))*$P67*(1+IF(VLOOKUP($Q67,武学奇术!$A:$ZZ,30,FALSE)="蓄力技",$B$21,0))*(1+$BV67)</f>
        <v>303943.959681195</v>
      </c>
      <c r="P67" s="41">
        <v>2</v>
      </c>
      <c r="Q67" s="42" t="s">
        <v>120</v>
      </c>
      <c r="R67" s="42" t="s">
        <v>103</v>
      </c>
      <c r="S67" s="42" t="s">
        <v>169</v>
      </c>
      <c r="T67" s="42" t="s">
        <v>86</v>
      </c>
      <c r="U67" s="42" t="s">
        <v>121</v>
      </c>
      <c r="V67" s="42" t="s">
        <v>118</v>
      </c>
      <c r="W67" s="42" t="s">
        <v>77</v>
      </c>
      <c r="X67" s="42" t="s">
        <v>176</v>
      </c>
      <c r="Y67" s="42" t="s">
        <v>77</v>
      </c>
      <c r="Z67" s="42" t="s">
        <v>77</v>
      </c>
      <c r="AA67" s="42" t="s">
        <v>73</v>
      </c>
      <c r="AB67" s="42" t="s">
        <v>95</v>
      </c>
      <c r="AC67" s="42" t="s">
        <v>77</v>
      </c>
      <c r="AD67" s="42" t="s">
        <v>80</v>
      </c>
      <c r="AE67" s="42" t="s">
        <v>81</v>
      </c>
      <c r="AF67" s="42" t="s">
        <v>82</v>
      </c>
      <c r="AG67" s="42" t="s">
        <v>77</v>
      </c>
      <c r="AH67" s="42" t="s">
        <v>77</v>
      </c>
      <c r="AI67" s="42" t="s">
        <v>77</v>
      </c>
      <c r="AJ67" s="42" t="s">
        <v>77</v>
      </c>
      <c r="AK67" s="42" t="s">
        <v>90</v>
      </c>
      <c r="AL67" t="str">
        <f>VLOOKUP($Q67,武学奇术!$A:$ZZ,25,FALSE)</f>
        <v>陌刀</v>
      </c>
      <c r="AM67" s="27">
        <f>VLOOKUP($Q67,武学奇术!$A:$ZZ,26,FALSE)</f>
        <v>7.5674</v>
      </c>
      <c r="AN67" s="28">
        <f>VLOOKUP($Q67,武学奇术!$A:$ZZ,27,FALSE)*(1+IF(OR($AL67=$F$4,$AL67=$F$5),$B$22,0))</f>
        <v>3139.5</v>
      </c>
      <c r="AO67" s="27">
        <f>VLOOKUP($Q67,武学奇术!$A:$ZZ,28,FALSE)</f>
        <v>11.3512</v>
      </c>
      <c r="AP67" s="28">
        <f>VLOOKUP($Q67,武学奇术!$A:$ZZ,29,FALSE)*(1+IF(OR($AL67=$F$4,$AL67=$F$5),$B$22,0))</f>
        <v>1710</v>
      </c>
      <c r="AQ67" s="27" cm="1">
        <f t="array" ref="AQ67">$G$3+IFERROR(VLOOKUP($AL67,$F$4:$G$7,2,FALSE),0)+VLOOKUP($Q67,武学奇术!$A:$ZZ,2,FALSE)+SUM(_xlfn.XLOOKUP($R67:$AK67,增益!$A:$A,增益!$B:$B,0))</f>
        <v>0.8141</v>
      </c>
      <c r="AR67" s="27" cm="1">
        <f t="array" ref="AR67">VLOOKUP($Q67,武学奇术!$A:$ZZ,5,FALSE)+SUM(_xlfn.XLOOKUP($R67:$AK67,增益!$A:$A,增益!$E:$E,0))</f>
        <v>0</v>
      </c>
      <c r="AS67" cm="1">
        <f t="array" ref="AS67">$D$10*(1+$AR67)+VLOOKUP($Q67,武学奇术!$A:$ZZ,3,FALSE)+SUM(_xlfn.XLOOKUP($R67:$AK67,增益!$A:$A,增益!$C:$C,0))-$I$2</f>
        <v>3648.7</v>
      </c>
      <c r="AT67" cm="1">
        <f t="array" ref="AT67">$E$10*(1+$AR67)+VLOOKUP($Q67,武学奇术!$A:$ZZ,4,FALSE)+SUM(_xlfn.XLOOKUP($R67:$AK67,增益!$A:$A,增益!$D:$D,0))-$I$2</f>
        <v>3648.7</v>
      </c>
      <c r="AU67" s="34" cm="1">
        <f t="array" ref="AU67">IF($F$10-$I$3+VLOOKUP($Q67,武学奇术!$A:$ZZ,6,FALSE)+SUM(_xlfn.XLOOKUP($R67:$AK67,增益!$A:$A,增益!$F:$F,0))&gt;0,($F$10-$I$3+VLOOKUP($Q67,武学奇术!$A:$ZZ,6,FALSE)+SUM(_xlfn.XLOOKUP($R67:$AK67,增益!$A:$A,增益!$F:$F,0)))/200,($F$10-$I$3+VLOOKUP($Q67,武学奇术!$A:$ZZ,6,FALSE)+SUM(_xlfn.XLOOKUP($R67:$AK67,增益!$A:$A,增益!$F:$F,0)))/100)</f>
        <v>0.452</v>
      </c>
      <c r="AV67" s="34" cm="1">
        <f t="array" ref="AV67">$G$10+VLOOKUP($Q67,武学奇术!$A:$ZZ,7,FALSE)+SUM(_xlfn.XLOOKUP($R67:$AK67,增益!$A:$A,增益!$G:$G,0))</f>
        <v>0</v>
      </c>
      <c r="AW67" s="27" cm="1">
        <f t="array" ref="AW67">VLOOKUP($Q67,武学奇术!$A:$ZZ,8,FALSE)+SUM(_xlfn.XLOOKUP($R67:$AK67,增益!$A:$A,增益!$H:$H,0))</f>
        <v>0</v>
      </c>
      <c r="AX67">
        <f t="shared" ref="AX67:AX98" si="23">$D$11*(1+$AW67)</f>
        <v>0</v>
      </c>
      <c r="AY67">
        <f t="shared" ref="AY67:AY98" si="24">$E$11*(1+$AW67)</f>
        <v>0</v>
      </c>
      <c r="AZ67" s="34" cm="1">
        <f t="array" ref="AZ67">IF($F$11-$I$4+VLOOKUP($Q67,武学奇术!$A:$ZZ,9,FALSE)+SUM(_xlfn.XLOOKUP($R67:$AK67,增益!$A:$A,增益!$I:$I,0))&gt;0,($F$11-$I$4+VLOOKUP($Q67,武学奇术!$A:$ZZ,9,FALSE)+SUM(_xlfn.XLOOKUP($R67:$AK67,增益!$A:$A,增益!$I:$I,0)))/200,($F$11-$I$4+VLOOKUP($Q67,武学奇术!$A:$ZZ,9,FALSE)+SUM(_xlfn.XLOOKUP($R67:$AK67,增益!$A:$A,增益!$I:$I,0)))/100)</f>
        <v>-0.14</v>
      </c>
      <c r="BA67" s="34" cm="1">
        <f t="array" ref="BA67">$G$11+VLOOKUP($Q67,武学奇术!$A:$ZZ,10,FALSE)+SUM(_xlfn.XLOOKUP($R67:$AK67,增益!$A:$A,增益!$J:$J,0))</f>
        <v>0</v>
      </c>
      <c r="BB67">
        <f t="shared" ref="BB67:BB98" si="25">$D$12*(1+$AW67)</f>
        <v>594.1</v>
      </c>
      <c r="BC67">
        <f t="shared" ref="BC67:BC98" si="26">$E$12*(1+$AW67)</f>
        <v>1604.9</v>
      </c>
      <c r="BD67" s="34" cm="1">
        <f t="array" ref="BD67">IF($F$12-$I$4+VLOOKUP($Q67,武学奇术!$A:$ZZ,11,FALSE)+SUM(_xlfn.XLOOKUP($R67:$AK67,增益!$A:$A,增益!$K:$K,0))&gt;0,($F$12-$I$4+VLOOKUP($Q67,武学奇术!$A:$ZZ,11,FALSE)+SUM(_xlfn.XLOOKUP($R67:$AK67,增益!$A:$A,增益!$K:$K,0)))/200,($F$12-$I$4+VLOOKUP($Q67,武学奇术!$A:$ZZ,11,FALSE)+SUM(_xlfn.XLOOKUP($R67:$AK67,增益!$A:$A,增益!$K:$K,0)))/100)</f>
        <v>0.17</v>
      </c>
      <c r="BE67" s="34" cm="1">
        <f t="array" ref="BE67">$G$12+VLOOKUP($Q67,武学奇术!$A:$ZZ,12,FALSE)+SUM(_xlfn.XLOOKUP($R67:$AK67,增益!$A:$A,增益!$L:$L,0))</f>
        <v>0.15</v>
      </c>
      <c r="BF67">
        <f t="shared" ref="BF67:BF98" si="27">$D$13*(1+$AW67)</f>
        <v>0</v>
      </c>
      <c r="BG67">
        <f t="shared" ref="BG67:BG98" si="28">$E$13*(1+$AW67)</f>
        <v>0</v>
      </c>
      <c r="BH67" s="34" cm="1">
        <f t="array" ref="BH67">IF($F$13-$I$4+VLOOKUP($Q67,武学奇术!$A:$ZZ,13,FALSE)+SUM(_xlfn.XLOOKUP($R67:$AK67,增益!$A:$A,增益!$M:$M,0))&gt;0,($F$13-$I$4+VLOOKUP($Q67,武学奇术!$A:$ZZ,13,FALSE)+SUM(_xlfn.XLOOKUP($R67:$AK67,增益!$A:$A,增益!$K:$K,0)))/200,($F$13-$I$4+VLOOKUP($Q67,武学奇术!$A:$ZZ,13,FALSE)+SUM(_xlfn.XLOOKUP($R67:$AK67,增益!$A:$A,增益!$M:$M,0)))/100)</f>
        <v>-0.14</v>
      </c>
      <c r="BI67" s="34" cm="1">
        <f t="array" ref="BI67">$G$13+VLOOKUP($Q67,武学奇术!$A:$ZZ,14,FALSE)+SUM(_xlfn.XLOOKUP($R67:$AK67,增益!$A:$A,增益!$N:$N,0))</f>
        <v>0</v>
      </c>
      <c r="BJ67">
        <f t="shared" ref="BJ67:BJ98" si="29">$D$14*(1+$AW67)</f>
        <v>0</v>
      </c>
      <c r="BK67">
        <f t="shared" ref="BK67:BK98" si="30">$E$14*(1+$AW67)</f>
        <v>0</v>
      </c>
      <c r="BL67" s="34" cm="1">
        <f t="array" ref="BL67">IF($F$14-$I$4+VLOOKUP($Q67,武学奇术!$A:$ZZ,15,FALSE)+SUM(_xlfn.XLOOKUP($R67:$AK67,增益!$A:$A,增益!$O:$O,0))&gt;0,($F$14-$I$4+VLOOKUP($Q67,武学奇术!$A:$ZZ,15,FALSE)+SUM(_xlfn.XLOOKUP($R67:$AK67,增益!$A:$A,增益!$O:$O,0)))/200,($F$14-$I$4+VLOOKUP($Q67,武学奇术!$A:$ZZ,15,FALSE)+SUM(_xlfn.XLOOKUP($R67:$AK67,增益!$A:$A,增益!$O:$O,0)))/100)</f>
        <v>-0.14</v>
      </c>
      <c r="BM67" s="34" cm="1">
        <f t="array" ref="BM67">$G$14+VLOOKUP($Q67,武学奇术!$A:$ZZ,16,FALSE)+SUM(_xlfn.XLOOKUP($R67:$AK67,增益!$A:$A,增益!$P:$P,0))</f>
        <v>0</v>
      </c>
      <c r="BN67" s="27">
        <f>MIN(IF(VLOOKUP($Q67,武学奇术!$A:$ZZ,23,FALSE)=1,100%,$B$8),100%)</f>
        <v>1</v>
      </c>
      <c r="BO67" s="27" cm="1">
        <f t="array" ref="BO67">IF(VLOOKUP($Q67,武学奇术!$A:$ZZ,23,FALSE)=1,100%,MIN(80%,$B$9+VLOOKUP($Q67,武学奇术!$A:$ZZ,17,FALSE)+SUM(_xlfn.XLOOKUP($R67:$AK67,增益!$A:$A,增益!$Q:$Q,0)))+$B$11+SUM(_xlfn.XLOOKUP($R67:$AK67,增益!$A:$A,增益!$U:$U,0)))*IF(VLOOKUP($Q67,武学奇术!$A:$ZZ,24,FALSE)=1,0,1)</f>
        <v>1</v>
      </c>
      <c r="BP67" s="27" cm="1">
        <f t="array" ref="BP67">1+$B$13+VLOOKUP($Q67,武学奇术!$A:$ZZ,18,FALSE)+SUM(_xlfn.XLOOKUP($R67:$AK67,增益!$A:$A,增益!$R:$R,0))</f>
        <v>2.1</v>
      </c>
      <c r="BQ67" s="27" cm="1">
        <f t="array" ref="BQ67">IF(VLOOKUP($Q67,武学奇术!$A:$ZZ,24,FALSE)=1,100%,MIN(40%,$B$10+VLOOKUP($Q67,武学奇术!$A:$ZZ,19,FALSE)+SUM(_xlfn.XLOOKUP($R67:$AK67,增益!$A:$A,增益!$S:$S,0)))+$B$12+SUM(_xlfn.XLOOKUP($R67:$AK67,增益!$A:$A,增益!$V:$V,0)))*IF(VLOOKUP($Q67,武学奇术!$A:$ZZ,23,FALSE)=1,0,1)</f>
        <v>0</v>
      </c>
      <c r="BR67" s="27" cm="1">
        <f t="array" ref="BR67">1+$B$14+VLOOKUP($Q67,武学奇术!$A:$ZZ,20,FALSE)+SUM(_xlfn.XLOOKUP($R67:$AK67,增益!$A:$A,增益!$T:$T,0))</f>
        <v>1.35</v>
      </c>
      <c r="BS67" s="27">
        <f t="shared" ref="BS67:BS98" si="31">MIN((1-BQ67)*BN67,BN67*BO67)</f>
        <v>1</v>
      </c>
      <c r="BT67" s="27">
        <f t="shared" ref="BT67:BT98" si="32">1-BQ67-BS67-BU67</f>
        <v>0</v>
      </c>
      <c r="BU67" s="27">
        <f>IF(VLOOKUP($Q67,武学奇术!$A:$ZZ,22,FALSE)=1,0,(1-$BN67))*(1-$BQ67)</f>
        <v>0</v>
      </c>
      <c r="BV67" s="27" cm="1">
        <f t="array" ref="BV67">SUM(_xlfn.XLOOKUP($R67:$AK67,增益!$A:$A,增益!$W:$W,0))+$I$5</f>
        <v>0.11</v>
      </c>
    </row>
    <row r="68" spans="1:74">
      <c r="A68" s="4" t="s">
        <v>171</v>
      </c>
      <c r="B68" s="4">
        <v>2.3</v>
      </c>
      <c r="D68" s="41"/>
      <c r="E68" s="41"/>
      <c r="H68" s="4"/>
      <c r="K68" s="40">
        <f t="shared" si="22"/>
        <v>20979.2871571188</v>
      </c>
      <c r="L68" s="40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BP68*$P68*(1+IF(VLOOKUP($Q68,武学奇术!$A:$ZZ,30,FALSE)="蓄力技",$B$21,0))*(1+$BV68)</f>
        <v>20979.2871571188</v>
      </c>
      <c r="M68" s="40">
        <f>(($AT68*$AM68+$AN68)*(1+$AU68)*(1+$AV68)+($AY68*IF($G$1="鸣金",$AO68,$AM68)+IF($G$1="鸣金",$AP68*1.5,0))*(1+$AZ68)*(1+$BA68)+($BC68*IF($G$1="裂石",$AO68,$AM68)+IF($G$1="裂石",$AP68*1.5,0))*(1+$BD68)*(1+$BE68)+($BG68*IF($G$1="牵丝",$AO68,$AM68)+IF($G$1="牵丝",$AP68*1.5,0))*(1+$BH68)*(1+$BI68)+($BK68*IF($G$1="破竹",$AO68,$AM68)+IF($G$1="破竹",$AP68*1.5,0))*(1+$BL68)*(1+$BM68))*(1+$AQ68)*$BR68*$P68*(1+IF(VLOOKUP($Q68,武学奇术!$A:$ZZ,30,FALSE)="蓄力技",$B$21,0))*(1+$BV68)</f>
        <v>15316.7731553646</v>
      </c>
      <c r="N68" s="40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P68*(1+IF(VLOOKUP($Q68,武学奇术!$A:$ZZ,30,FALSE)="蓄力技",$B$21,0))*(1+$BV68)</f>
        <v>9990.13674148514</v>
      </c>
      <c r="O68" s="40">
        <f>((($AS68*$AM68+$AN68)*(1+$AU68)*(1+$AV68)+($AX68*IF($G$1="鸣金",$AO68,$AM68)+IF($G$1="鸣金",$AP68*1.5,0))*(1+$AZ68)*(1+$BA68)+($BB68*IF($G$1="裂石",$AO68,$AM68)+IF($G$1="裂石",$AP68*1.5,0))*(1+$BD68)*(1+$BE68)+($BF68*IF($G$1="牵丝",$AO68,$AM68)+IF($G$1="牵丝",$AP68*1.5,0))*(1+$BH68)*(1+$BI68)+($BJ68*IF($G$1="破竹",$AO68,$AM68)+IF($G$1="破竹",$AP68*1.5,0))*(1+$BL68)*(1+$BM68))*(1+$AQ68))*$P68*(1+IF(VLOOKUP($Q68,武学奇术!$A:$ZZ,30,FALSE)="蓄力技",$B$21,0))*(1+$BV68)</f>
        <v>8634.51559010764</v>
      </c>
      <c r="P68" s="41">
        <v>1</v>
      </c>
      <c r="Q68" s="42" t="s">
        <v>125</v>
      </c>
      <c r="R68" s="42" t="s">
        <v>103</v>
      </c>
      <c r="S68" s="42" t="s">
        <v>169</v>
      </c>
      <c r="T68" s="42" t="s">
        <v>86</v>
      </c>
      <c r="U68" s="42" t="s">
        <v>121</v>
      </c>
      <c r="V68" s="42" t="s">
        <v>118</v>
      </c>
      <c r="W68" s="42" t="s">
        <v>77</v>
      </c>
      <c r="X68" s="42" t="s">
        <v>176</v>
      </c>
      <c r="Y68" s="42" t="s">
        <v>77</v>
      </c>
      <c r="Z68" s="42" t="s">
        <v>77</v>
      </c>
      <c r="AA68" s="42" t="s">
        <v>73</v>
      </c>
      <c r="AB68" s="42" t="s">
        <v>89</v>
      </c>
      <c r="AC68" s="42" t="s">
        <v>77</v>
      </c>
      <c r="AD68" s="42" t="s">
        <v>80</v>
      </c>
      <c r="AE68" s="42" t="s">
        <v>81</v>
      </c>
      <c r="AF68" s="42" t="s">
        <v>82</v>
      </c>
      <c r="AG68" s="42" t="s">
        <v>77</v>
      </c>
      <c r="AH68" s="42" t="s">
        <v>77</v>
      </c>
      <c r="AI68" s="42" t="s">
        <v>77</v>
      </c>
      <c r="AJ68" s="42" t="s">
        <v>77</v>
      </c>
      <c r="AK68" s="42" t="s">
        <v>90</v>
      </c>
      <c r="AL68" t="str">
        <f>VLOOKUP($Q68,武学奇术!$A:$ZZ,25,FALSE)</f>
        <v>陌刀</v>
      </c>
      <c r="AM68" s="27">
        <f>VLOOKUP($Q68,武学奇术!$A:$ZZ,26,FALSE)</f>
        <v>0.5</v>
      </c>
      <c r="AN68" s="28">
        <f>VLOOKUP($Q68,武学奇术!$A:$ZZ,27,FALSE)*(1+IF(OR($AL68=$F$4,$AL68=$F$5),$B$22,0))</f>
        <v>0</v>
      </c>
      <c r="AO68" s="27">
        <f>VLOOKUP($Q68,武学奇术!$A:$ZZ,28,FALSE)</f>
        <v>0.75</v>
      </c>
      <c r="AP68" s="28">
        <f>VLOOKUP($Q68,武学奇术!$A:$ZZ,29,FALSE)*(1+IF(OR($AL68=$F$4,$AL68=$F$5),$B$22,0))</f>
        <v>0</v>
      </c>
      <c r="AQ68" s="27" cm="1">
        <f t="array" ref="AQ68">$G$3+IFERROR(VLOOKUP($AL68,$F$4:$G$7,2,FALSE),0)+VLOOKUP($Q68,武学奇术!$A:$ZZ,2,FALSE)+SUM(_xlfn.XLOOKUP($R68:$AK68,增益!$A:$A,增益!$B:$B,0))</f>
        <v>0.8141</v>
      </c>
      <c r="AR68" s="27" cm="1">
        <f t="array" ref="AR68">VLOOKUP($Q68,武学奇术!$A:$ZZ,5,FALSE)+SUM(_xlfn.XLOOKUP($R68:$AK68,增益!$A:$A,增益!$E:$E,0))</f>
        <v>0</v>
      </c>
      <c r="AS68" cm="1">
        <f t="array" ref="AS68">$D$10*(1+$AR68)+VLOOKUP($Q68,武学奇术!$A:$ZZ,3,FALSE)+SUM(_xlfn.XLOOKUP($R68:$AK68,增益!$A:$A,增益!$C:$C,0))-$I$2</f>
        <v>3648.7</v>
      </c>
      <c r="AT68" cm="1">
        <f t="array" ref="AT68">$E$10*(1+$AR68)+VLOOKUP($Q68,武学奇术!$A:$ZZ,4,FALSE)+SUM(_xlfn.XLOOKUP($R68:$AK68,增益!$A:$A,增益!$D:$D,0))-$I$2</f>
        <v>3648.7</v>
      </c>
      <c r="AU68" s="34" cm="1">
        <f t="array" ref="AU68">IF($F$10-$I$3+VLOOKUP($Q68,武学奇术!$A:$ZZ,6,FALSE)+SUM(_xlfn.XLOOKUP($R68:$AK68,增益!$A:$A,增益!$F:$F,0))&gt;0,($F$10-$I$3+VLOOKUP($Q68,武学奇术!$A:$ZZ,6,FALSE)+SUM(_xlfn.XLOOKUP($R68:$AK68,增益!$A:$A,增益!$F:$F,0)))/200,($F$10-$I$3+VLOOKUP($Q68,武学奇术!$A:$ZZ,6,FALSE)+SUM(_xlfn.XLOOKUP($R68:$AK68,增益!$A:$A,增益!$F:$F,0)))/100)</f>
        <v>0.452</v>
      </c>
      <c r="AV68" s="34" cm="1">
        <f t="array" ref="AV68">$G$10+VLOOKUP($Q68,武学奇术!$A:$ZZ,7,FALSE)+SUM(_xlfn.XLOOKUP($R68:$AK68,增益!$A:$A,增益!$G:$G,0))</f>
        <v>0</v>
      </c>
      <c r="AW68" s="27" cm="1">
        <f t="array" ref="AW68">VLOOKUP($Q68,武学奇术!$A:$ZZ,8,FALSE)+SUM(_xlfn.XLOOKUP($R68:$AK68,增益!$A:$A,增益!$H:$H,0))</f>
        <v>0</v>
      </c>
      <c r="AX68">
        <f t="shared" si="23"/>
        <v>0</v>
      </c>
      <c r="AY68">
        <f t="shared" si="24"/>
        <v>0</v>
      </c>
      <c r="AZ68" s="34" cm="1">
        <f t="array" ref="AZ68">IF($F$11-$I$4+VLOOKUP($Q68,武学奇术!$A:$ZZ,9,FALSE)+SUM(_xlfn.XLOOKUP($R68:$AK68,增益!$A:$A,增益!$I:$I,0))&gt;0,($F$11-$I$4+VLOOKUP($Q68,武学奇术!$A:$ZZ,9,FALSE)+SUM(_xlfn.XLOOKUP($R68:$AK68,增益!$A:$A,增益!$I:$I,0)))/200,($F$11-$I$4+VLOOKUP($Q68,武学奇术!$A:$ZZ,9,FALSE)+SUM(_xlfn.XLOOKUP($R68:$AK68,增益!$A:$A,增益!$I:$I,0)))/100)</f>
        <v>-0.14</v>
      </c>
      <c r="BA68" s="34" cm="1">
        <f t="array" ref="BA68">$G$11+VLOOKUP($Q68,武学奇术!$A:$ZZ,10,FALSE)+SUM(_xlfn.XLOOKUP($R68:$AK68,增益!$A:$A,增益!$J:$J,0))</f>
        <v>0</v>
      </c>
      <c r="BB68">
        <f t="shared" si="25"/>
        <v>594.1</v>
      </c>
      <c r="BC68">
        <f t="shared" si="26"/>
        <v>1604.9</v>
      </c>
      <c r="BD68" s="34" cm="1">
        <f t="array" ref="BD68">IF($F$12-$I$4+VLOOKUP($Q68,武学奇术!$A:$ZZ,11,FALSE)+SUM(_xlfn.XLOOKUP($R68:$AK68,增益!$A:$A,增益!$K:$K,0))&gt;0,($F$12-$I$4+VLOOKUP($Q68,武学奇术!$A:$ZZ,11,FALSE)+SUM(_xlfn.XLOOKUP($R68:$AK68,增益!$A:$A,增益!$K:$K,0)))/200,($F$12-$I$4+VLOOKUP($Q68,武学奇术!$A:$ZZ,11,FALSE)+SUM(_xlfn.XLOOKUP($R68:$AK68,增益!$A:$A,增益!$K:$K,0)))/100)</f>
        <v>0.17</v>
      </c>
      <c r="BE68" s="34" cm="1">
        <f t="array" ref="BE68">$G$12+VLOOKUP($Q68,武学奇术!$A:$ZZ,12,FALSE)+SUM(_xlfn.XLOOKUP($R68:$AK68,增益!$A:$A,增益!$L:$L,0))</f>
        <v>0.15</v>
      </c>
      <c r="BF68">
        <f t="shared" si="27"/>
        <v>0</v>
      </c>
      <c r="BG68">
        <f t="shared" si="28"/>
        <v>0</v>
      </c>
      <c r="BH68" s="34" cm="1">
        <f t="array" ref="BH68">IF($F$13-$I$4+VLOOKUP($Q68,武学奇术!$A:$ZZ,13,FALSE)+SUM(_xlfn.XLOOKUP($R68:$AK68,增益!$A:$A,增益!$M:$M,0))&gt;0,($F$13-$I$4+VLOOKUP($Q68,武学奇术!$A:$ZZ,13,FALSE)+SUM(_xlfn.XLOOKUP($R68:$AK68,增益!$A:$A,增益!$K:$K,0)))/200,($F$13-$I$4+VLOOKUP($Q68,武学奇术!$A:$ZZ,13,FALSE)+SUM(_xlfn.XLOOKUP($R68:$AK68,增益!$A:$A,增益!$M:$M,0)))/100)</f>
        <v>-0.14</v>
      </c>
      <c r="BI68" s="34" cm="1">
        <f t="array" ref="BI68">$G$13+VLOOKUP($Q68,武学奇术!$A:$ZZ,14,FALSE)+SUM(_xlfn.XLOOKUP($R68:$AK68,增益!$A:$A,增益!$N:$N,0))</f>
        <v>0</v>
      </c>
      <c r="BJ68">
        <f t="shared" si="29"/>
        <v>0</v>
      </c>
      <c r="BK68">
        <f t="shared" si="30"/>
        <v>0</v>
      </c>
      <c r="BL68" s="34" cm="1">
        <f t="array" ref="BL68">IF($F$14-$I$4+VLOOKUP($Q68,武学奇术!$A:$ZZ,15,FALSE)+SUM(_xlfn.XLOOKUP($R68:$AK68,增益!$A:$A,增益!$O:$O,0))&gt;0,($F$14-$I$4+VLOOKUP($Q68,武学奇术!$A:$ZZ,15,FALSE)+SUM(_xlfn.XLOOKUP($R68:$AK68,增益!$A:$A,增益!$O:$O,0)))/200,($F$14-$I$4+VLOOKUP($Q68,武学奇术!$A:$ZZ,15,FALSE)+SUM(_xlfn.XLOOKUP($R68:$AK68,增益!$A:$A,增益!$O:$O,0)))/100)</f>
        <v>-0.14</v>
      </c>
      <c r="BM68" s="34" cm="1">
        <f t="array" ref="BM68">$G$14+VLOOKUP($Q68,武学奇术!$A:$ZZ,16,FALSE)+SUM(_xlfn.XLOOKUP($R68:$AK68,增益!$A:$A,增益!$P:$P,0))</f>
        <v>0</v>
      </c>
      <c r="BN68" s="27">
        <f>MIN(IF(VLOOKUP($Q68,武学奇术!$A:$ZZ,23,FALSE)=1,100%,$B$8),100%)</f>
        <v>1</v>
      </c>
      <c r="BO68" s="27" cm="1">
        <f t="array" ref="BO68">IF(VLOOKUP($Q68,武学奇术!$A:$ZZ,23,FALSE)=1,100%,MIN(80%,$B$9+VLOOKUP($Q68,武学奇术!$A:$ZZ,17,FALSE)+SUM(_xlfn.XLOOKUP($R68:$AK68,增益!$A:$A,增益!$Q:$Q,0)))+$B$11+SUM(_xlfn.XLOOKUP($R68:$AK68,增益!$A:$A,增益!$U:$U,0)))*IF(VLOOKUP($Q68,武学奇术!$A:$ZZ,24,FALSE)=1,0,1)</f>
        <v>1</v>
      </c>
      <c r="BP68" s="27" cm="1">
        <f t="array" ref="BP68">1+$B$13+VLOOKUP($Q68,武学奇术!$A:$ZZ,18,FALSE)+SUM(_xlfn.XLOOKUP($R68:$AK68,增益!$A:$A,增益!$R:$R,0))</f>
        <v>2.1</v>
      </c>
      <c r="BQ68" s="27" cm="1">
        <f t="array" ref="BQ68">IF(VLOOKUP($Q68,武学奇术!$A:$ZZ,24,FALSE)=1,100%,MIN(40%,$B$10+VLOOKUP($Q68,武学奇术!$A:$ZZ,19,FALSE)+SUM(_xlfn.XLOOKUP($R68:$AK68,增益!$A:$A,增益!$S:$S,0)))+$B$12+SUM(_xlfn.XLOOKUP($R68:$AK68,增益!$A:$A,增益!$V:$V,0)))*IF(VLOOKUP($Q68,武学奇术!$A:$ZZ,23,FALSE)=1,0,1)</f>
        <v>0</v>
      </c>
      <c r="BR68" s="27" cm="1">
        <f t="array" ref="BR68">1+$B$14+VLOOKUP($Q68,武学奇术!$A:$ZZ,20,FALSE)+SUM(_xlfn.XLOOKUP($R68:$AK68,增益!$A:$A,增益!$T:$T,0))</f>
        <v>1.35</v>
      </c>
      <c r="BS68" s="27">
        <f t="shared" si="31"/>
        <v>1</v>
      </c>
      <c r="BT68" s="27">
        <f t="shared" si="32"/>
        <v>0</v>
      </c>
      <c r="BU68" s="27">
        <f>IF(VLOOKUP($Q68,武学奇术!$A:$ZZ,22,FALSE)=1,0,(1-$BN68))*(1-$BQ68)</f>
        <v>0</v>
      </c>
      <c r="BV68" s="27" cm="1">
        <f t="array" ref="BV68">SUM(_xlfn.XLOOKUP($R68:$AK68,增益!$A:$A,增益!$W:$W,0))+$I$5</f>
        <v>0.11</v>
      </c>
    </row>
    <row r="69" spans="1:74">
      <c r="A69" s="4" t="s">
        <v>171</v>
      </c>
      <c r="B69" s="4">
        <v>2.3</v>
      </c>
      <c r="D69" s="41"/>
      <c r="K69" s="40">
        <f t="shared" si="22"/>
        <v>37762.7168828138</v>
      </c>
      <c r="L69" s="40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BP69*$P69*(1+IF(VLOOKUP($Q69,武学奇术!$A:$ZZ,30,FALSE)="蓄力技",$B$21,0))*(1+$BV69)</f>
        <v>37762.7168828138</v>
      </c>
      <c r="M69" s="40">
        <f>(($AT69*$AM69+$AN69)*(1+$AU69)*(1+$AV69)+($AY69*IF($G$1="鸣金",$AO69,$AM69)+IF($G$1="鸣金",$AP69*1.5,0))*(1+$AZ69)*(1+$BA69)+($BC69*IF($G$1="裂石",$AO69,$AM69)+IF($G$1="裂石",$AP69*1.5,0))*(1+$BD69)*(1+$BE69)+($BG69*IF($G$1="牵丝",$AO69,$AM69)+IF($G$1="牵丝",$AP69*1.5,0))*(1+$BH69)*(1+$BI69)+($BK69*IF($G$1="破竹",$AO69,$AM69)+IF($G$1="破竹",$AP69*1.5,0))*(1+$BL69)*(1+$BM69))*(1+$AQ69)*$BR69*$P69*(1+IF(VLOOKUP($Q69,武学奇术!$A:$ZZ,30,FALSE)="蓄力技",$B$21,0))*(1+$BV69)</f>
        <v>27570.1916796562</v>
      </c>
      <c r="N69" s="40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P69*(1+IF(VLOOKUP($Q69,武学奇术!$A:$ZZ,30,FALSE)="蓄力技",$B$21,0))*(1+$BV69)</f>
        <v>17982.2461346732</v>
      </c>
      <c r="O69" s="40">
        <f>((($AS69*$AM69+$AN69)*(1+$AU69)*(1+$AV69)+($AX69*IF($G$1="鸣金",$AO69,$AM69)+IF($G$1="鸣金",$AP69*1.5,0))*(1+$AZ69)*(1+$BA69)+($BB69*IF($G$1="裂石",$AO69,$AM69)+IF($G$1="裂石",$AP69*1.5,0))*(1+$BD69)*(1+$BE69)+($BF69*IF($G$1="牵丝",$AO69,$AM69)+IF($G$1="牵丝",$AP69*1.5,0))*(1+$BH69)*(1+$BI69)+($BJ69*IF($G$1="破竹",$AO69,$AM69)+IF($G$1="破竹",$AP69*1.5,0))*(1+$BL69)*(1+$BM69))*(1+$AQ69))*$P69*(1+IF(VLOOKUP($Q69,武学奇术!$A:$ZZ,30,FALSE)="蓄力技",$B$21,0))*(1+$BV69)</f>
        <v>15542.1280621938</v>
      </c>
      <c r="P69" s="41">
        <v>1</v>
      </c>
      <c r="Q69" s="42" t="s">
        <v>117</v>
      </c>
      <c r="R69" s="42" t="s">
        <v>103</v>
      </c>
      <c r="S69" s="42" t="s">
        <v>169</v>
      </c>
      <c r="T69" s="42" t="s">
        <v>86</v>
      </c>
      <c r="U69" s="42" t="s">
        <v>121</v>
      </c>
      <c r="V69" s="42" t="s">
        <v>118</v>
      </c>
      <c r="W69" s="42" t="s">
        <v>77</v>
      </c>
      <c r="X69" s="42" t="s">
        <v>176</v>
      </c>
      <c r="Y69" s="42" t="s">
        <v>77</v>
      </c>
      <c r="Z69" s="42" t="s">
        <v>77</v>
      </c>
      <c r="AA69" s="42" t="s">
        <v>73</v>
      </c>
      <c r="AB69" s="42" t="s">
        <v>89</v>
      </c>
      <c r="AC69" s="42" t="s">
        <v>77</v>
      </c>
      <c r="AD69" s="42" t="s">
        <v>80</v>
      </c>
      <c r="AE69" s="42" t="s">
        <v>81</v>
      </c>
      <c r="AF69" s="42" t="s">
        <v>82</v>
      </c>
      <c r="AG69" s="42" t="s">
        <v>77</v>
      </c>
      <c r="AH69" s="42" t="s">
        <v>77</v>
      </c>
      <c r="AI69" s="42" t="s">
        <v>77</v>
      </c>
      <c r="AJ69" s="42" t="s">
        <v>77</v>
      </c>
      <c r="AK69" s="42" t="s">
        <v>90</v>
      </c>
      <c r="AL69" t="str">
        <f>VLOOKUP($Q69,武学奇术!$A:$ZZ,25,FALSE)</f>
        <v>陌刀</v>
      </c>
      <c r="AM69" s="27">
        <f>VLOOKUP($Q69,武学奇术!$A:$ZZ,26,FALSE)</f>
        <v>0.9</v>
      </c>
      <c r="AN69" s="28">
        <f>VLOOKUP($Q69,武学奇术!$A:$ZZ,27,FALSE)*(1+IF(OR($AL69=$F$4,$AL69=$F$5),$B$22,0))</f>
        <v>0</v>
      </c>
      <c r="AO69" s="27">
        <f>VLOOKUP($Q69,武学奇术!$A:$ZZ,28,FALSE)</f>
        <v>1.35</v>
      </c>
      <c r="AP69" s="28">
        <f>VLOOKUP($Q69,武学奇术!$A:$ZZ,29,FALSE)*(1+IF(OR($AL69=$F$4,$AL69=$F$5),$B$22,0))</f>
        <v>0</v>
      </c>
      <c r="AQ69" s="27" cm="1">
        <f t="array" ref="AQ69">$G$3+IFERROR(VLOOKUP($AL69,$F$4:$G$7,2,FALSE),0)+VLOOKUP($Q69,武学奇术!$A:$ZZ,2,FALSE)+SUM(_xlfn.XLOOKUP($R69:$AK69,增益!$A:$A,增益!$B:$B,0))</f>
        <v>0.8141</v>
      </c>
      <c r="AR69" s="27" cm="1">
        <f t="array" ref="AR69">VLOOKUP($Q69,武学奇术!$A:$ZZ,5,FALSE)+SUM(_xlfn.XLOOKUP($R69:$AK69,增益!$A:$A,增益!$E:$E,0))</f>
        <v>0</v>
      </c>
      <c r="AS69" cm="1">
        <f t="array" ref="AS69">$D$10*(1+$AR69)+VLOOKUP($Q69,武学奇术!$A:$ZZ,3,FALSE)+SUM(_xlfn.XLOOKUP($R69:$AK69,增益!$A:$A,增益!$C:$C,0))-$I$2</f>
        <v>3648.7</v>
      </c>
      <c r="AT69" cm="1">
        <f t="array" ref="AT69">$E$10*(1+$AR69)+VLOOKUP($Q69,武学奇术!$A:$ZZ,4,FALSE)+SUM(_xlfn.XLOOKUP($R69:$AK69,增益!$A:$A,增益!$D:$D,0))-$I$2</f>
        <v>3648.7</v>
      </c>
      <c r="AU69" s="34" cm="1">
        <f t="array" ref="AU69">IF($F$10-$I$3+VLOOKUP($Q69,武学奇术!$A:$ZZ,6,FALSE)+SUM(_xlfn.XLOOKUP($R69:$AK69,增益!$A:$A,增益!$F:$F,0))&gt;0,($F$10-$I$3+VLOOKUP($Q69,武学奇术!$A:$ZZ,6,FALSE)+SUM(_xlfn.XLOOKUP($R69:$AK69,增益!$A:$A,增益!$F:$F,0)))/200,($F$10-$I$3+VLOOKUP($Q69,武学奇术!$A:$ZZ,6,FALSE)+SUM(_xlfn.XLOOKUP($R69:$AK69,增益!$A:$A,增益!$F:$F,0)))/100)</f>
        <v>0.452</v>
      </c>
      <c r="AV69" s="34" cm="1">
        <f t="array" ref="AV69">$G$10+VLOOKUP($Q69,武学奇术!$A:$ZZ,7,FALSE)+SUM(_xlfn.XLOOKUP($R69:$AK69,增益!$A:$A,增益!$G:$G,0))</f>
        <v>0</v>
      </c>
      <c r="AW69" s="27" cm="1">
        <f t="array" ref="AW69">VLOOKUP($Q69,武学奇术!$A:$ZZ,8,FALSE)+SUM(_xlfn.XLOOKUP($R69:$AK69,增益!$A:$A,增益!$H:$H,0))</f>
        <v>0</v>
      </c>
      <c r="AX69">
        <f t="shared" si="23"/>
        <v>0</v>
      </c>
      <c r="AY69">
        <f t="shared" si="24"/>
        <v>0</v>
      </c>
      <c r="AZ69" s="34" cm="1">
        <f t="array" ref="AZ69">IF($F$11-$I$4+VLOOKUP($Q69,武学奇术!$A:$ZZ,9,FALSE)+SUM(_xlfn.XLOOKUP($R69:$AK69,增益!$A:$A,增益!$I:$I,0))&gt;0,($F$11-$I$4+VLOOKUP($Q69,武学奇术!$A:$ZZ,9,FALSE)+SUM(_xlfn.XLOOKUP($R69:$AK69,增益!$A:$A,增益!$I:$I,0)))/200,($F$11-$I$4+VLOOKUP($Q69,武学奇术!$A:$ZZ,9,FALSE)+SUM(_xlfn.XLOOKUP($R69:$AK69,增益!$A:$A,增益!$I:$I,0)))/100)</f>
        <v>-0.14</v>
      </c>
      <c r="BA69" s="34" cm="1">
        <f t="array" ref="BA69">$G$11+VLOOKUP($Q69,武学奇术!$A:$ZZ,10,FALSE)+SUM(_xlfn.XLOOKUP($R69:$AK69,增益!$A:$A,增益!$J:$J,0))</f>
        <v>0</v>
      </c>
      <c r="BB69">
        <f t="shared" si="25"/>
        <v>594.1</v>
      </c>
      <c r="BC69">
        <f t="shared" si="26"/>
        <v>1604.9</v>
      </c>
      <c r="BD69" s="34" cm="1">
        <f t="array" ref="BD69">IF($F$12-$I$4+VLOOKUP($Q69,武学奇术!$A:$ZZ,11,FALSE)+SUM(_xlfn.XLOOKUP($R69:$AK69,增益!$A:$A,增益!$K:$K,0))&gt;0,($F$12-$I$4+VLOOKUP($Q69,武学奇术!$A:$ZZ,11,FALSE)+SUM(_xlfn.XLOOKUP($R69:$AK69,增益!$A:$A,增益!$K:$K,0)))/200,($F$12-$I$4+VLOOKUP($Q69,武学奇术!$A:$ZZ,11,FALSE)+SUM(_xlfn.XLOOKUP($R69:$AK69,增益!$A:$A,增益!$K:$K,0)))/100)</f>
        <v>0.17</v>
      </c>
      <c r="BE69" s="34" cm="1">
        <f t="array" ref="BE69">$G$12+VLOOKUP($Q69,武学奇术!$A:$ZZ,12,FALSE)+SUM(_xlfn.XLOOKUP($R69:$AK69,增益!$A:$A,增益!$L:$L,0))</f>
        <v>0.15</v>
      </c>
      <c r="BF69">
        <f t="shared" si="27"/>
        <v>0</v>
      </c>
      <c r="BG69">
        <f t="shared" si="28"/>
        <v>0</v>
      </c>
      <c r="BH69" s="34" cm="1">
        <f t="array" ref="BH69">IF($F$13-$I$4+VLOOKUP($Q69,武学奇术!$A:$ZZ,13,FALSE)+SUM(_xlfn.XLOOKUP($R69:$AK69,增益!$A:$A,增益!$M:$M,0))&gt;0,($F$13-$I$4+VLOOKUP($Q69,武学奇术!$A:$ZZ,13,FALSE)+SUM(_xlfn.XLOOKUP($R69:$AK69,增益!$A:$A,增益!$K:$K,0)))/200,($F$13-$I$4+VLOOKUP($Q69,武学奇术!$A:$ZZ,13,FALSE)+SUM(_xlfn.XLOOKUP($R69:$AK69,增益!$A:$A,增益!$M:$M,0)))/100)</f>
        <v>-0.14</v>
      </c>
      <c r="BI69" s="34" cm="1">
        <f t="array" ref="BI69">$G$13+VLOOKUP($Q69,武学奇术!$A:$ZZ,14,FALSE)+SUM(_xlfn.XLOOKUP($R69:$AK69,增益!$A:$A,增益!$N:$N,0))</f>
        <v>0</v>
      </c>
      <c r="BJ69">
        <f t="shared" si="29"/>
        <v>0</v>
      </c>
      <c r="BK69">
        <f t="shared" si="30"/>
        <v>0</v>
      </c>
      <c r="BL69" s="34" cm="1">
        <f t="array" ref="BL69">IF($F$14-$I$4+VLOOKUP($Q69,武学奇术!$A:$ZZ,15,FALSE)+SUM(_xlfn.XLOOKUP($R69:$AK69,增益!$A:$A,增益!$O:$O,0))&gt;0,($F$14-$I$4+VLOOKUP($Q69,武学奇术!$A:$ZZ,15,FALSE)+SUM(_xlfn.XLOOKUP($R69:$AK69,增益!$A:$A,增益!$O:$O,0)))/200,($F$14-$I$4+VLOOKUP($Q69,武学奇术!$A:$ZZ,15,FALSE)+SUM(_xlfn.XLOOKUP($R69:$AK69,增益!$A:$A,增益!$O:$O,0)))/100)</f>
        <v>-0.14</v>
      </c>
      <c r="BM69" s="34" cm="1">
        <f t="array" ref="BM69">$G$14+VLOOKUP($Q69,武学奇术!$A:$ZZ,16,FALSE)+SUM(_xlfn.XLOOKUP($R69:$AK69,增益!$A:$A,增益!$P:$P,0))</f>
        <v>0</v>
      </c>
      <c r="BN69" s="27">
        <f>MIN(IF(VLOOKUP($Q69,武学奇术!$A:$ZZ,23,FALSE)=1,100%,$B$8),100%)</f>
        <v>1</v>
      </c>
      <c r="BO69" s="27" cm="1">
        <f t="array" ref="BO69">IF(VLOOKUP($Q69,武学奇术!$A:$ZZ,23,FALSE)=1,100%,MIN(80%,$B$9+VLOOKUP($Q69,武学奇术!$A:$ZZ,17,FALSE)+SUM(_xlfn.XLOOKUP($R69:$AK69,增益!$A:$A,增益!$Q:$Q,0)))+$B$11+SUM(_xlfn.XLOOKUP($R69:$AK69,增益!$A:$A,增益!$U:$U,0)))*IF(VLOOKUP($Q69,武学奇术!$A:$ZZ,24,FALSE)=1,0,1)</f>
        <v>1</v>
      </c>
      <c r="BP69" s="27" cm="1">
        <f t="array" ref="BP69">1+$B$13+VLOOKUP($Q69,武学奇术!$A:$ZZ,18,FALSE)+SUM(_xlfn.XLOOKUP($R69:$AK69,增益!$A:$A,增益!$R:$R,0))</f>
        <v>2.1</v>
      </c>
      <c r="BQ69" s="27" cm="1">
        <f t="array" ref="BQ69">IF(VLOOKUP($Q69,武学奇术!$A:$ZZ,24,FALSE)=1,100%,MIN(40%,$B$10+VLOOKUP($Q69,武学奇术!$A:$ZZ,19,FALSE)+SUM(_xlfn.XLOOKUP($R69:$AK69,增益!$A:$A,增益!$S:$S,0)))+$B$12+SUM(_xlfn.XLOOKUP($R69:$AK69,增益!$A:$A,增益!$V:$V,0)))*IF(VLOOKUP($Q69,武学奇术!$A:$ZZ,23,FALSE)=1,0,1)</f>
        <v>0</v>
      </c>
      <c r="BR69" s="27" cm="1">
        <f t="array" ref="BR69">1+$B$14+VLOOKUP($Q69,武学奇术!$A:$ZZ,20,FALSE)+SUM(_xlfn.XLOOKUP($R69:$AK69,增益!$A:$A,增益!$T:$T,0))</f>
        <v>1.35</v>
      </c>
      <c r="BS69" s="27">
        <f t="shared" si="31"/>
        <v>1</v>
      </c>
      <c r="BT69" s="27">
        <f t="shared" si="32"/>
        <v>0</v>
      </c>
      <c r="BU69" s="27">
        <f>IF(VLOOKUP($Q69,武学奇术!$A:$ZZ,22,FALSE)=1,0,(1-$BN69))*(1-$BQ69)</f>
        <v>0</v>
      </c>
      <c r="BV69" s="27" cm="1">
        <f t="array" ref="BV69">SUM(_xlfn.XLOOKUP($R69:$AK69,增益!$A:$A,增益!$W:$W,0))+$I$5</f>
        <v>0.11</v>
      </c>
    </row>
    <row r="70" spans="1:74">
      <c r="A70" s="4" t="s">
        <v>174</v>
      </c>
      <c r="B70" s="4">
        <v>2</v>
      </c>
      <c r="D70" s="41"/>
      <c r="K70" s="40">
        <f t="shared" si="22"/>
        <v>362227.3527431</v>
      </c>
      <c r="L70" s="40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BP70*$P70*(1+IF(VLOOKUP($Q70,武学奇术!$A:$ZZ,30,FALSE)="蓄力技",$B$21,0))*(1+$BV70)</f>
        <v>362227.3527431</v>
      </c>
      <c r="M70" s="40">
        <f>(($AT70*$AM70+$AN70)*(1+$AU70)*(1+$AV70)+($AY70*IF($G$1="鸣金",$AO70,$AM70)+IF($G$1="鸣金",$AP70*1.5,0))*(1+$AZ70)*(1+$BA70)+($BC70*IF($G$1="裂石",$AO70,$AM70)+IF($G$1="裂石",$AP70*1.5,0))*(1+$BD70)*(1+$BE70)+($BG70*IF($G$1="牵丝",$AO70,$AM70)+IF($G$1="牵丝",$AP70*1.5,0))*(1+$BH70)*(1+$BI70)+($BK70*IF($G$1="破竹",$AO70,$AM70)+IF($G$1="破竹",$AP70*1.5,0))*(1+$BL70)*(1+$BM70))*(1+$AQ70)*$BR70*$P70*(1+IF(VLOOKUP($Q70,武学奇术!$A:$ZZ,30,FALSE)="蓄力技",$B$21,0))*(1+$BV70)</f>
        <v>260558.709313465</v>
      </c>
      <c r="N70" s="40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P70*(1+IF(VLOOKUP($Q70,武学奇术!$A:$ZZ,30,FALSE)="蓄力技",$B$21,0))*(1+$BV70)</f>
        <v>172489.215591953</v>
      </c>
      <c r="O70" s="40">
        <f>((($AS70*$AM70+$AN70)*(1+$AU70)*(1+$AV70)+($AX70*IF($G$1="鸣金",$AO70,$AM70)+IF($G$1="鸣金",$AP70*1.5,0))*(1+$AZ70)*(1+$BA70)+($BB70*IF($G$1="裂石",$AO70,$AM70)+IF($G$1="裂石",$AP70*1.5,0))*(1+$BD70)*(1+$BE70)+($BF70*IF($G$1="牵丝",$AO70,$AM70)+IF($G$1="牵丝",$AP70*1.5,0))*(1+$BH70)*(1+$BI70)+($BJ70*IF($G$1="破竹",$AO70,$AM70)+IF($G$1="破竹",$AP70*1.5,0))*(1+$BL70)*(1+$BM70))*(1+$AQ70))*$P70*(1+IF(VLOOKUP($Q70,武学奇术!$A:$ZZ,30,FALSE)="蓄力技",$B$21,0))*(1+$BV70)</f>
        <v>151971.979840598</v>
      </c>
      <c r="P70" s="41">
        <v>1</v>
      </c>
      <c r="Q70" s="42" t="s">
        <v>120</v>
      </c>
      <c r="R70" s="42" t="s">
        <v>103</v>
      </c>
      <c r="S70" s="42" t="s">
        <v>169</v>
      </c>
      <c r="T70" s="42" t="s">
        <v>86</v>
      </c>
      <c r="U70" s="42" t="s">
        <v>121</v>
      </c>
      <c r="V70" s="42" t="s">
        <v>118</v>
      </c>
      <c r="W70" s="42" t="s">
        <v>77</v>
      </c>
      <c r="X70" s="42" t="s">
        <v>176</v>
      </c>
      <c r="Y70" s="42" t="s">
        <v>77</v>
      </c>
      <c r="Z70" s="42" t="s">
        <v>77</v>
      </c>
      <c r="AA70" s="42" t="s">
        <v>73</v>
      </c>
      <c r="AB70" s="42" t="s">
        <v>89</v>
      </c>
      <c r="AC70" s="42" t="s">
        <v>77</v>
      </c>
      <c r="AD70" s="42" t="s">
        <v>80</v>
      </c>
      <c r="AE70" s="42" t="s">
        <v>81</v>
      </c>
      <c r="AF70" s="42" t="s">
        <v>82</v>
      </c>
      <c r="AG70" s="42" t="s">
        <v>77</v>
      </c>
      <c r="AH70" s="42" t="s">
        <v>77</v>
      </c>
      <c r="AI70" s="42" t="s">
        <v>77</v>
      </c>
      <c r="AJ70" s="42" t="s">
        <v>77</v>
      </c>
      <c r="AK70" s="42" t="s">
        <v>90</v>
      </c>
      <c r="AL70" t="str">
        <f>VLOOKUP($Q70,武学奇术!$A:$ZZ,25,FALSE)</f>
        <v>陌刀</v>
      </c>
      <c r="AM70" s="27">
        <f>VLOOKUP($Q70,武学奇术!$A:$ZZ,26,FALSE)</f>
        <v>7.5674</v>
      </c>
      <c r="AN70" s="28">
        <f>VLOOKUP($Q70,武学奇术!$A:$ZZ,27,FALSE)*(1+IF(OR($AL70=$F$4,$AL70=$F$5),$B$22,0))</f>
        <v>3139.5</v>
      </c>
      <c r="AO70" s="27">
        <f>VLOOKUP($Q70,武学奇术!$A:$ZZ,28,FALSE)</f>
        <v>11.3512</v>
      </c>
      <c r="AP70" s="28">
        <f>VLOOKUP($Q70,武学奇术!$A:$ZZ,29,FALSE)*(1+IF(OR($AL70=$F$4,$AL70=$F$5),$B$22,0))</f>
        <v>1710</v>
      </c>
      <c r="AQ70" s="27" cm="1">
        <f t="array" ref="AQ70">$G$3+IFERROR(VLOOKUP($AL70,$F$4:$G$7,2,FALSE),0)+VLOOKUP($Q70,武学奇术!$A:$ZZ,2,FALSE)+SUM(_xlfn.XLOOKUP($R70:$AK70,增益!$A:$A,增益!$B:$B,0))</f>
        <v>0.8141</v>
      </c>
      <c r="AR70" s="27" cm="1">
        <f t="array" ref="AR70">VLOOKUP($Q70,武学奇术!$A:$ZZ,5,FALSE)+SUM(_xlfn.XLOOKUP($R70:$AK70,增益!$A:$A,增益!$E:$E,0))</f>
        <v>0</v>
      </c>
      <c r="AS70" cm="1">
        <f t="array" ref="AS70">$D$10*(1+$AR70)+VLOOKUP($Q70,武学奇术!$A:$ZZ,3,FALSE)+SUM(_xlfn.XLOOKUP($R70:$AK70,增益!$A:$A,增益!$C:$C,0))-$I$2</f>
        <v>3648.7</v>
      </c>
      <c r="AT70" cm="1">
        <f t="array" ref="AT70">$E$10*(1+$AR70)+VLOOKUP($Q70,武学奇术!$A:$ZZ,4,FALSE)+SUM(_xlfn.XLOOKUP($R70:$AK70,增益!$A:$A,增益!$D:$D,0))-$I$2</f>
        <v>3648.7</v>
      </c>
      <c r="AU70" s="34" cm="1">
        <f t="array" ref="AU70">IF($F$10-$I$3+VLOOKUP($Q70,武学奇术!$A:$ZZ,6,FALSE)+SUM(_xlfn.XLOOKUP($R70:$AK70,增益!$A:$A,增益!$F:$F,0))&gt;0,($F$10-$I$3+VLOOKUP($Q70,武学奇术!$A:$ZZ,6,FALSE)+SUM(_xlfn.XLOOKUP($R70:$AK70,增益!$A:$A,增益!$F:$F,0)))/200,($F$10-$I$3+VLOOKUP($Q70,武学奇术!$A:$ZZ,6,FALSE)+SUM(_xlfn.XLOOKUP($R70:$AK70,增益!$A:$A,增益!$F:$F,0)))/100)</f>
        <v>0.452</v>
      </c>
      <c r="AV70" s="34" cm="1">
        <f t="array" ref="AV70">$G$10+VLOOKUP($Q70,武学奇术!$A:$ZZ,7,FALSE)+SUM(_xlfn.XLOOKUP($R70:$AK70,增益!$A:$A,增益!$G:$G,0))</f>
        <v>0</v>
      </c>
      <c r="AW70" s="27" cm="1">
        <f t="array" ref="AW70">VLOOKUP($Q70,武学奇术!$A:$ZZ,8,FALSE)+SUM(_xlfn.XLOOKUP($R70:$AK70,增益!$A:$A,增益!$H:$H,0))</f>
        <v>0</v>
      </c>
      <c r="AX70">
        <f t="shared" si="23"/>
        <v>0</v>
      </c>
      <c r="AY70">
        <f t="shared" si="24"/>
        <v>0</v>
      </c>
      <c r="AZ70" s="34" cm="1">
        <f t="array" ref="AZ70">IF($F$11-$I$4+VLOOKUP($Q70,武学奇术!$A:$ZZ,9,FALSE)+SUM(_xlfn.XLOOKUP($R70:$AK70,增益!$A:$A,增益!$I:$I,0))&gt;0,($F$11-$I$4+VLOOKUP($Q70,武学奇术!$A:$ZZ,9,FALSE)+SUM(_xlfn.XLOOKUP($R70:$AK70,增益!$A:$A,增益!$I:$I,0)))/200,($F$11-$I$4+VLOOKUP($Q70,武学奇术!$A:$ZZ,9,FALSE)+SUM(_xlfn.XLOOKUP($R70:$AK70,增益!$A:$A,增益!$I:$I,0)))/100)</f>
        <v>-0.14</v>
      </c>
      <c r="BA70" s="34" cm="1">
        <f t="array" ref="BA70">$G$11+VLOOKUP($Q70,武学奇术!$A:$ZZ,10,FALSE)+SUM(_xlfn.XLOOKUP($R70:$AK70,增益!$A:$A,增益!$J:$J,0))</f>
        <v>0</v>
      </c>
      <c r="BB70">
        <f t="shared" si="25"/>
        <v>594.1</v>
      </c>
      <c r="BC70">
        <f t="shared" si="26"/>
        <v>1604.9</v>
      </c>
      <c r="BD70" s="34" cm="1">
        <f t="array" ref="BD70">IF($F$12-$I$4+VLOOKUP($Q70,武学奇术!$A:$ZZ,11,FALSE)+SUM(_xlfn.XLOOKUP($R70:$AK70,增益!$A:$A,增益!$K:$K,0))&gt;0,($F$12-$I$4+VLOOKUP($Q70,武学奇术!$A:$ZZ,11,FALSE)+SUM(_xlfn.XLOOKUP($R70:$AK70,增益!$A:$A,增益!$K:$K,0)))/200,($F$12-$I$4+VLOOKUP($Q70,武学奇术!$A:$ZZ,11,FALSE)+SUM(_xlfn.XLOOKUP($R70:$AK70,增益!$A:$A,增益!$K:$K,0)))/100)</f>
        <v>0.17</v>
      </c>
      <c r="BE70" s="34" cm="1">
        <f t="array" ref="BE70">$G$12+VLOOKUP($Q70,武学奇术!$A:$ZZ,12,FALSE)+SUM(_xlfn.XLOOKUP($R70:$AK70,增益!$A:$A,增益!$L:$L,0))</f>
        <v>0.15</v>
      </c>
      <c r="BF70">
        <f t="shared" si="27"/>
        <v>0</v>
      </c>
      <c r="BG70">
        <f t="shared" si="28"/>
        <v>0</v>
      </c>
      <c r="BH70" s="34" cm="1">
        <f t="array" ref="BH70">IF($F$13-$I$4+VLOOKUP($Q70,武学奇术!$A:$ZZ,13,FALSE)+SUM(_xlfn.XLOOKUP($R70:$AK70,增益!$A:$A,增益!$M:$M,0))&gt;0,($F$13-$I$4+VLOOKUP($Q70,武学奇术!$A:$ZZ,13,FALSE)+SUM(_xlfn.XLOOKUP($R70:$AK70,增益!$A:$A,增益!$K:$K,0)))/200,($F$13-$I$4+VLOOKUP($Q70,武学奇术!$A:$ZZ,13,FALSE)+SUM(_xlfn.XLOOKUP($R70:$AK70,增益!$A:$A,增益!$M:$M,0)))/100)</f>
        <v>-0.14</v>
      </c>
      <c r="BI70" s="34" cm="1">
        <f t="array" ref="BI70">$G$13+VLOOKUP($Q70,武学奇术!$A:$ZZ,14,FALSE)+SUM(_xlfn.XLOOKUP($R70:$AK70,增益!$A:$A,增益!$N:$N,0))</f>
        <v>0</v>
      </c>
      <c r="BJ70">
        <f t="shared" si="29"/>
        <v>0</v>
      </c>
      <c r="BK70">
        <f t="shared" si="30"/>
        <v>0</v>
      </c>
      <c r="BL70" s="34" cm="1">
        <f t="array" ref="BL70">IF($F$14-$I$4+VLOOKUP($Q70,武学奇术!$A:$ZZ,15,FALSE)+SUM(_xlfn.XLOOKUP($R70:$AK70,增益!$A:$A,增益!$O:$O,0))&gt;0,($F$14-$I$4+VLOOKUP($Q70,武学奇术!$A:$ZZ,15,FALSE)+SUM(_xlfn.XLOOKUP($R70:$AK70,增益!$A:$A,增益!$O:$O,0)))/200,($F$14-$I$4+VLOOKUP($Q70,武学奇术!$A:$ZZ,15,FALSE)+SUM(_xlfn.XLOOKUP($R70:$AK70,增益!$A:$A,增益!$O:$O,0)))/100)</f>
        <v>-0.14</v>
      </c>
      <c r="BM70" s="34" cm="1">
        <f t="array" ref="BM70">$G$14+VLOOKUP($Q70,武学奇术!$A:$ZZ,16,FALSE)+SUM(_xlfn.XLOOKUP($R70:$AK70,增益!$A:$A,增益!$P:$P,0))</f>
        <v>0</v>
      </c>
      <c r="BN70" s="27">
        <f>MIN(IF(VLOOKUP($Q70,武学奇术!$A:$ZZ,23,FALSE)=1,100%,$B$8),100%)</f>
        <v>1</v>
      </c>
      <c r="BO70" s="27" cm="1">
        <f t="array" ref="BO70">IF(VLOOKUP($Q70,武学奇术!$A:$ZZ,23,FALSE)=1,100%,MIN(80%,$B$9+VLOOKUP($Q70,武学奇术!$A:$ZZ,17,FALSE)+SUM(_xlfn.XLOOKUP($R70:$AK70,增益!$A:$A,增益!$Q:$Q,0)))+$B$11+SUM(_xlfn.XLOOKUP($R70:$AK70,增益!$A:$A,增益!$U:$U,0)))*IF(VLOOKUP($Q70,武学奇术!$A:$ZZ,24,FALSE)=1,0,1)</f>
        <v>1</v>
      </c>
      <c r="BP70" s="27" cm="1">
        <f t="array" ref="BP70">1+$B$13+VLOOKUP($Q70,武学奇术!$A:$ZZ,18,FALSE)+SUM(_xlfn.XLOOKUP($R70:$AK70,增益!$A:$A,增益!$R:$R,0))</f>
        <v>2.1</v>
      </c>
      <c r="BQ70" s="27" cm="1">
        <f t="array" ref="BQ70">IF(VLOOKUP($Q70,武学奇术!$A:$ZZ,24,FALSE)=1,100%,MIN(40%,$B$10+VLOOKUP($Q70,武学奇术!$A:$ZZ,19,FALSE)+SUM(_xlfn.XLOOKUP($R70:$AK70,增益!$A:$A,增益!$S:$S,0)))+$B$12+SUM(_xlfn.XLOOKUP($R70:$AK70,增益!$A:$A,增益!$V:$V,0)))*IF(VLOOKUP($Q70,武学奇术!$A:$ZZ,23,FALSE)=1,0,1)</f>
        <v>0</v>
      </c>
      <c r="BR70" s="27" cm="1">
        <f t="array" ref="BR70">1+$B$14+VLOOKUP($Q70,武学奇术!$A:$ZZ,20,FALSE)+SUM(_xlfn.XLOOKUP($R70:$AK70,增益!$A:$A,增益!$T:$T,0))</f>
        <v>1.35</v>
      </c>
      <c r="BS70" s="27">
        <f t="shared" si="31"/>
        <v>1</v>
      </c>
      <c r="BT70" s="27">
        <f t="shared" si="32"/>
        <v>0</v>
      </c>
      <c r="BU70" s="27">
        <f>IF(VLOOKUP($Q70,武学奇术!$A:$ZZ,22,FALSE)=1,0,(1-$BN70))*(1-$BQ70)</f>
        <v>0</v>
      </c>
      <c r="BV70" s="27" cm="1">
        <f t="array" ref="BV70">SUM(_xlfn.XLOOKUP($R70:$AK70,增益!$A:$A,增益!$W:$W,0))+$I$5</f>
        <v>0.11</v>
      </c>
    </row>
    <row r="71" spans="1:74">
      <c r="A71" s="4" t="s">
        <v>177</v>
      </c>
      <c r="B71" s="4">
        <v>1</v>
      </c>
      <c r="D71" s="41"/>
      <c r="K71" s="40">
        <f t="shared" si="22"/>
        <v>161292.120881882</v>
      </c>
      <c r="L71" s="40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BP71*$P71*(1+IF(VLOOKUP($Q71,武学奇术!$A:$ZZ,30,FALSE)="蓄力技",$B$21,0))*(1+$BV71)</f>
        <v>165318.425399198</v>
      </c>
      <c r="M71" s="40">
        <f>(($AT71*$AM71+$AN71)*(1+$AU71)*(1+$AV71)+($AY71*IF($G$1="鸣金",$AO71,$AM71)+IF($G$1="鸣金",$AP71*1.5,0))*(1+$AZ71)*(1+$BA71)+($BC71*IF($G$1="裂石",$AO71,$AM71)+IF($G$1="裂石",$AP71*1.5,0))*(1+$BD71)*(1+$BE71)+($BG71*IF($G$1="牵丝",$AO71,$AM71)+IF($G$1="牵丝",$AP71*1.5,0))*(1+$BH71)*(1+$BI71)+($BK71*IF($G$1="破竹",$AO71,$AM71)+IF($G$1="破竹",$AP71*1.5,0))*(1+$BL71)*(1+$BM71))*(1+$AQ71)*$BR71*$P71*(1+IF(VLOOKUP($Q71,武学奇术!$A:$ZZ,30,FALSE)="蓄力技",$B$21,0))*(1+$BV71)</f>
        <v>145254.251030003</v>
      </c>
      <c r="N71" s="40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P71*(1+IF(VLOOKUP($Q71,武学奇术!$A:$ZZ,30,FALSE)="蓄力技",$B$21,0))*(1+$BV71)</f>
        <v>95010.5893098837</v>
      </c>
      <c r="O71" s="40">
        <f>((($AS71*$AM71+$AN71)*(1+$AU71)*(1+$AV71)+($AX71*IF($G$1="鸣金",$AO71,$AM71)+IF($G$1="鸣金",$AP71*1.5,0))*(1+$AZ71)*(1+$BA71)+($BB71*IF($G$1="裂石",$AO71,$AM71)+IF($G$1="裂石",$AP71*1.5,0))*(1+$BD71)*(1+$BE71)+($BF71*IF($G$1="牵丝",$AO71,$AM71)+IF($G$1="牵丝",$AP71*1.5,0))*(1+$BH71)*(1+$BI71)+($BJ71*IF($G$1="破竹",$AO71,$AM71)+IF($G$1="破竹",$AP71*1.5,0))*(1+$BL71)*(1+$BM71))*(1+$AQ71))*$P71*(1+IF(VLOOKUP($Q71,武学奇术!$A:$ZZ,30,FALSE)="蓄力技",$B$21,0))*(1+$BV71)</f>
        <v>82425.4371160612</v>
      </c>
      <c r="P71" s="41">
        <v>1</v>
      </c>
      <c r="Q71" s="42" t="s">
        <v>149</v>
      </c>
      <c r="R71" s="42" t="s">
        <v>103</v>
      </c>
      <c r="S71" s="42" t="s">
        <v>169</v>
      </c>
      <c r="T71" s="42" t="s">
        <v>86</v>
      </c>
      <c r="U71" s="42" t="s">
        <v>87</v>
      </c>
      <c r="V71" s="42" t="s">
        <v>77</v>
      </c>
      <c r="W71" s="42" t="s">
        <v>77</v>
      </c>
      <c r="X71" s="42" t="s">
        <v>176</v>
      </c>
      <c r="Y71" s="42" t="s">
        <v>77</v>
      </c>
      <c r="Z71" s="42" t="s">
        <v>77</v>
      </c>
      <c r="AA71" s="42" t="s">
        <v>77</v>
      </c>
      <c r="AB71" s="42" t="s">
        <v>89</v>
      </c>
      <c r="AC71" s="42" t="s">
        <v>77</v>
      </c>
      <c r="AD71" s="42" t="s">
        <v>80</v>
      </c>
      <c r="AE71" s="42" t="s">
        <v>81</v>
      </c>
      <c r="AF71" s="42" t="s">
        <v>82</v>
      </c>
      <c r="AG71" s="42" t="s">
        <v>77</v>
      </c>
      <c r="AH71" s="42" t="s">
        <v>77</v>
      </c>
      <c r="AI71" s="42" t="s">
        <v>77</v>
      </c>
      <c r="AJ71" s="42" t="s">
        <v>77</v>
      </c>
      <c r="AK71" s="42" t="s">
        <v>90</v>
      </c>
      <c r="AL71" t="str">
        <f>VLOOKUP($Q71,武学奇术!$A:$ZZ,25,FALSE)</f>
        <v>单体奇术</v>
      </c>
      <c r="AM71" s="27">
        <f>VLOOKUP($Q71,武学奇术!$A:$ZZ,26,FALSE)</f>
        <v>7.1084</v>
      </c>
      <c r="AN71" s="28">
        <f>VLOOKUP($Q71,武学奇术!$A:$ZZ,27,FALSE)*(1+IF(OR($AL71=$F$4,$AL71=$F$5),$B$22,0))</f>
        <v>1369</v>
      </c>
      <c r="AO71" s="27">
        <f>VLOOKUP($Q71,武学奇术!$A:$ZZ,28,FALSE)</f>
        <v>10.6626</v>
      </c>
      <c r="AP71" s="28">
        <f>VLOOKUP($Q71,武学奇术!$A:$ZZ,29,FALSE)*(1+IF(OR($AL71=$F$4,$AL71=$F$5),$B$22,0))</f>
        <v>0</v>
      </c>
      <c r="AQ71" s="27" cm="1">
        <f t="array" ref="AQ71">$G$3+IFERROR(VLOOKUP($AL71,$F$4:$G$7,2,FALSE),0)+VLOOKUP($Q71,武学奇术!$A:$ZZ,2,FALSE)+SUM(_xlfn.XLOOKUP($R71:$AK71,增益!$A:$A,增益!$B:$B,0))</f>
        <v>0.5637</v>
      </c>
      <c r="AR71" s="27" cm="1">
        <f t="array" ref="AR71">VLOOKUP($Q71,武学奇术!$A:$ZZ,5,FALSE)+SUM(_xlfn.XLOOKUP($R71:$AK71,增益!$A:$A,增益!$E:$E,0))</f>
        <v>0</v>
      </c>
      <c r="AS71" cm="1">
        <f t="array" ref="AS71">$D$10*(1+$AR71)+VLOOKUP($Q71,武学奇术!$A:$ZZ,3,FALSE)+SUM(_xlfn.XLOOKUP($R71:$AK71,增益!$A:$A,增益!$C:$C,0))-$I$2</f>
        <v>3648.7</v>
      </c>
      <c r="AT71" cm="1">
        <f t="array" ref="AT71">$E$10*(1+$AR71)+VLOOKUP($Q71,武学奇术!$A:$ZZ,4,FALSE)+SUM(_xlfn.XLOOKUP($R71:$AK71,增益!$A:$A,增益!$D:$D,0))-$I$2</f>
        <v>3648.7</v>
      </c>
      <c r="AU71" s="34" cm="1">
        <f t="array" ref="AU71">IF($F$10-$I$3+VLOOKUP($Q71,武学奇术!$A:$ZZ,6,FALSE)+SUM(_xlfn.XLOOKUP($R71:$AK71,增益!$A:$A,增益!$F:$F,0))&gt;0,($F$10-$I$3+VLOOKUP($Q71,武学奇术!$A:$ZZ,6,FALSE)+SUM(_xlfn.XLOOKUP($R71:$AK71,增益!$A:$A,增益!$F:$F,0)))/200,($F$10-$I$3+VLOOKUP($Q71,武学奇术!$A:$ZZ,6,FALSE)+SUM(_xlfn.XLOOKUP($R71:$AK71,增益!$A:$A,增益!$F:$F,0)))/100)</f>
        <v>0.427</v>
      </c>
      <c r="AV71" s="34" cm="1">
        <f t="array" ref="AV71">$G$10+VLOOKUP($Q71,武学奇术!$A:$ZZ,7,FALSE)+SUM(_xlfn.XLOOKUP($R71:$AK71,增益!$A:$A,增益!$G:$G,0))</f>
        <v>0</v>
      </c>
      <c r="AW71" s="27" cm="1">
        <f t="array" ref="AW71">VLOOKUP($Q71,武学奇术!$A:$ZZ,8,FALSE)+SUM(_xlfn.XLOOKUP($R71:$AK71,增益!$A:$A,增益!$H:$H,0))</f>
        <v>0</v>
      </c>
      <c r="AX71">
        <f t="shared" si="23"/>
        <v>0</v>
      </c>
      <c r="AY71">
        <f t="shared" si="24"/>
        <v>0</v>
      </c>
      <c r="AZ71" s="34" cm="1">
        <f t="array" ref="AZ71">IF($F$11-$I$4+VLOOKUP($Q71,武学奇术!$A:$ZZ,9,FALSE)+SUM(_xlfn.XLOOKUP($R71:$AK71,增益!$A:$A,增益!$I:$I,0))&gt;0,($F$11-$I$4+VLOOKUP($Q71,武学奇术!$A:$ZZ,9,FALSE)+SUM(_xlfn.XLOOKUP($R71:$AK71,增益!$A:$A,增益!$I:$I,0)))/200,($F$11-$I$4+VLOOKUP($Q71,武学奇术!$A:$ZZ,9,FALSE)+SUM(_xlfn.XLOOKUP($R71:$AK71,增益!$A:$A,增益!$I:$I,0)))/100)</f>
        <v>-0.14</v>
      </c>
      <c r="BA71" s="34" cm="1">
        <f t="array" ref="BA71">$G$11+VLOOKUP($Q71,武学奇术!$A:$ZZ,10,FALSE)+SUM(_xlfn.XLOOKUP($R71:$AK71,增益!$A:$A,增益!$J:$J,0))</f>
        <v>0</v>
      </c>
      <c r="BB71">
        <f t="shared" si="25"/>
        <v>594.1</v>
      </c>
      <c r="BC71">
        <f t="shared" si="26"/>
        <v>1604.9</v>
      </c>
      <c r="BD71" s="34" cm="1">
        <f t="array" ref="BD71">IF($F$12-$I$4+VLOOKUP($Q71,武学奇术!$A:$ZZ,11,FALSE)+SUM(_xlfn.XLOOKUP($R71:$AK71,增益!$A:$A,增益!$K:$K,0))&gt;0,($F$12-$I$4+VLOOKUP($Q71,武学奇术!$A:$ZZ,11,FALSE)+SUM(_xlfn.XLOOKUP($R71:$AK71,增益!$A:$A,增益!$K:$K,0)))/200,($F$12-$I$4+VLOOKUP($Q71,武学奇术!$A:$ZZ,11,FALSE)+SUM(_xlfn.XLOOKUP($R71:$AK71,增益!$A:$A,增益!$K:$K,0)))/100)</f>
        <v>0.17</v>
      </c>
      <c r="BE71" s="34" cm="1">
        <f t="array" ref="BE71">$G$12+VLOOKUP($Q71,武学奇术!$A:$ZZ,12,FALSE)+SUM(_xlfn.XLOOKUP($R71:$AK71,增益!$A:$A,增益!$L:$L,0))</f>
        <v>0.15</v>
      </c>
      <c r="BF71">
        <f t="shared" si="27"/>
        <v>0</v>
      </c>
      <c r="BG71">
        <f t="shared" si="28"/>
        <v>0</v>
      </c>
      <c r="BH71" s="34" cm="1">
        <f t="array" ref="BH71">IF($F$13-$I$4+VLOOKUP($Q71,武学奇术!$A:$ZZ,13,FALSE)+SUM(_xlfn.XLOOKUP($R71:$AK71,增益!$A:$A,增益!$M:$M,0))&gt;0,($F$13-$I$4+VLOOKUP($Q71,武学奇术!$A:$ZZ,13,FALSE)+SUM(_xlfn.XLOOKUP($R71:$AK71,增益!$A:$A,增益!$K:$K,0)))/200,($F$13-$I$4+VLOOKUP($Q71,武学奇术!$A:$ZZ,13,FALSE)+SUM(_xlfn.XLOOKUP($R71:$AK71,增益!$A:$A,增益!$M:$M,0)))/100)</f>
        <v>-0.14</v>
      </c>
      <c r="BI71" s="34" cm="1">
        <f t="array" ref="BI71">$G$13+VLOOKUP($Q71,武学奇术!$A:$ZZ,14,FALSE)+SUM(_xlfn.XLOOKUP($R71:$AK71,增益!$A:$A,增益!$N:$N,0))</f>
        <v>0</v>
      </c>
      <c r="BJ71">
        <f t="shared" si="29"/>
        <v>0</v>
      </c>
      <c r="BK71">
        <f t="shared" si="30"/>
        <v>0</v>
      </c>
      <c r="BL71" s="34" cm="1">
        <f t="array" ref="BL71">IF($F$14-$I$4+VLOOKUP($Q71,武学奇术!$A:$ZZ,15,FALSE)+SUM(_xlfn.XLOOKUP($R71:$AK71,增益!$A:$A,增益!$O:$O,0))&gt;0,($F$14-$I$4+VLOOKUP($Q71,武学奇术!$A:$ZZ,15,FALSE)+SUM(_xlfn.XLOOKUP($R71:$AK71,增益!$A:$A,增益!$O:$O,0)))/200,($F$14-$I$4+VLOOKUP($Q71,武学奇术!$A:$ZZ,15,FALSE)+SUM(_xlfn.XLOOKUP($R71:$AK71,增益!$A:$A,增益!$O:$O,0)))/100)</f>
        <v>-0.14</v>
      </c>
      <c r="BM71" s="34" cm="1">
        <f t="array" ref="BM71">$G$14+VLOOKUP($Q71,武学奇术!$A:$ZZ,16,FALSE)+SUM(_xlfn.XLOOKUP($R71:$AK71,增益!$A:$A,增益!$P:$P,0))</f>
        <v>0</v>
      </c>
      <c r="BN71" s="27">
        <f>MIN(IF(VLOOKUP($Q71,武学奇术!$A:$ZZ,23,FALSE)=1,100%,$B$8),100%)</f>
        <v>0.9859</v>
      </c>
      <c r="BO71" s="27" cm="1">
        <f t="array" ref="BO71">IF(VLOOKUP($Q71,武学奇术!$A:$ZZ,23,FALSE)=1,100%,MIN(80%,$B$9+VLOOKUP($Q71,武学奇术!$A:$ZZ,17,FALSE)+SUM(_xlfn.XLOOKUP($R71:$AK71,增益!$A:$A,增益!$Q:$Q,0)))+$B$11+SUM(_xlfn.XLOOKUP($R71:$AK71,增益!$A:$A,增益!$U:$U,0)))*IF(VLOOKUP($Q71,武学奇术!$A:$ZZ,24,FALSE)=1,0,1)</f>
        <v>0.8912</v>
      </c>
      <c r="BP71" s="27" cm="1">
        <f t="array" ref="BP71">1+$B$13+VLOOKUP($Q71,武学奇术!$A:$ZZ,18,FALSE)+SUM(_xlfn.XLOOKUP($R71:$AK71,增益!$A:$A,增益!$R:$R,0))</f>
        <v>1.74</v>
      </c>
      <c r="BQ71" s="27" cm="1">
        <f t="array" ref="BQ71">IF(VLOOKUP($Q71,武学奇术!$A:$ZZ,24,FALSE)=1,100%,MIN(40%,$B$10+VLOOKUP($Q71,武学奇术!$A:$ZZ,19,FALSE)+SUM(_xlfn.XLOOKUP($R71:$AK71,增益!$A:$A,增益!$S:$S,0)))+$B$12+SUM(_xlfn.XLOOKUP($R71:$AK71,增益!$A:$A,增益!$V:$V,0)))*IF(VLOOKUP($Q71,武学奇术!$A:$ZZ,23,FALSE)=1,0,1)</f>
        <v>0.0929</v>
      </c>
      <c r="BR71" s="27" cm="1">
        <f t="array" ref="BR71">1+$B$14+VLOOKUP($Q71,武学奇术!$A:$ZZ,20,FALSE)+SUM(_xlfn.XLOOKUP($R71:$AK71,增益!$A:$A,增益!$T:$T,0))</f>
        <v>1.35</v>
      </c>
      <c r="BS71" s="27">
        <f t="shared" si="31"/>
        <v>0.87863408</v>
      </c>
      <c r="BT71" s="27">
        <f t="shared" si="32"/>
        <v>0.01567581</v>
      </c>
      <c r="BU71" s="27">
        <f>IF(VLOOKUP($Q71,武学奇术!$A:$ZZ,22,FALSE)=1,0,(1-$BN71))*(1-$BQ71)</f>
        <v>0.01279011</v>
      </c>
      <c r="BV71" s="27" cm="1">
        <f t="array" ref="BV71">SUM(_xlfn.XLOOKUP($R71:$AK71,增益!$A:$A,增益!$W:$W,0))+$I$5</f>
        <v>0.11</v>
      </c>
    </row>
    <row r="72" spans="1:74">
      <c r="A72" s="4" t="s">
        <v>191</v>
      </c>
      <c r="B72" s="4">
        <v>1.7</v>
      </c>
      <c r="D72" s="41"/>
      <c r="K72" s="40">
        <f t="shared" si="22"/>
        <v>58817.7410691543</v>
      </c>
      <c r="L72" s="40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BP72*$P72*(1+IF(VLOOKUP($Q72,武学奇术!$A:$ZZ,30,FALSE)="蓄力技",$B$21,0))*(1+$BV72)</f>
        <v>61123.8705269835</v>
      </c>
      <c r="M72" s="40">
        <f>(($AT72*$AM72+$AN72)*(1+$AU72)*(1+$AV72)+($AY72*IF($G$1="鸣金",$AO72,$AM72)+IF($G$1="鸣金",$AP72*1.5,0))*(1+$AZ72)*(1+$BA72)+($BC72*IF($G$1="裂石",$AO72,$AM72)+IF($G$1="裂石",$AP72*1.5,0))*(1+$BD72)*(1+$BE72)+($BG72*IF($G$1="牵丝",$AO72,$AM72)+IF($G$1="牵丝",$AP72*1.5,0))*(1+$BH72)*(1+$BI72)+($BK72*IF($G$1="破竹",$AO72,$AM72)+IF($G$1="破竹",$AP72*1.5,0))*(1+$BL72)*(1+$BM72))*(1+$AQ72)*$BR72*$P72*(1+IF(VLOOKUP($Q72,武学奇术!$A:$ZZ,30,FALSE)="蓄力技",$B$21,0))*(1+$BV72)</f>
        <v>46165.0850548484</v>
      </c>
      <c r="N72" s="40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P72*(1+IF(VLOOKUP($Q72,武学奇术!$A:$ZZ,30,FALSE)="蓄力技",$B$21,0))*(1+$BV72)</f>
        <v>30561.9352634917</v>
      </c>
      <c r="O72" s="40">
        <f>((($AS72*$AM72+$AN72)*(1+$AU72)*(1+$AV72)+($AX72*IF($G$1="鸣金",$AO72,$AM72)+IF($G$1="鸣金",$AP72*1.5,0))*(1+$AZ72)*(1+$BA72)+($BB72*IF($G$1="裂石",$AO72,$AM72)+IF($G$1="裂石",$AP72*1.5,0))*(1+$BD72)*(1+$BE72)+($BF72*IF($G$1="牵丝",$AO72,$AM72)+IF($G$1="牵丝",$AP72*1.5,0))*(1+$BH72)*(1+$BI72)+($BJ72*IF($G$1="破竹",$AO72,$AM72)+IF($G$1="破竹",$AP72*1.5,0))*(1+$BL72)*(1+$BM72))*(1+$AQ72))*$P72*(1+IF(VLOOKUP($Q72,武学奇术!$A:$ZZ,30,FALSE)="蓄力技",$B$21,0))*(1+$BV72)</f>
        <v>26927.5112270958</v>
      </c>
      <c r="P72" s="41">
        <v>1</v>
      </c>
      <c r="Q72" s="42" t="s">
        <v>157</v>
      </c>
      <c r="R72" s="42" t="s">
        <v>103</v>
      </c>
      <c r="S72" s="42" t="s">
        <v>77</v>
      </c>
      <c r="T72" s="42" t="s">
        <v>86</v>
      </c>
      <c r="U72" s="42" t="s">
        <v>121</v>
      </c>
      <c r="V72" s="42" t="s">
        <v>77</v>
      </c>
      <c r="W72" s="42" t="s">
        <v>77</v>
      </c>
      <c r="X72" s="42" t="s">
        <v>176</v>
      </c>
      <c r="Y72" s="42" t="s">
        <v>77</v>
      </c>
      <c r="Z72" s="42" t="s">
        <v>77</v>
      </c>
      <c r="AA72" s="42" t="s">
        <v>73</v>
      </c>
      <c r="AB72" s="42" t="s">
        <v>89</v>
      </c>
      <c r="AC72" s="42" t="s">
        <v>77</v>
      </c>
      <c r="AD72" s="42" t="s">
        <v>80</v>
      </c>
      <c r="AE72" s="42" t="s">
        <v>81</v>
      </c>
      <c r="AF72" s="42" t="s">
        <v>82</v>
      </c>
      <c r="AG72" s="42" t="s">
        <v>77</v>
      </c>
      <c r="AH72" s="42" t="s">
        <v>77</v>
      </c>
      <c r="AI72" s="42" t="s">
        <v>77</v>
      </c>
      <c r="AJ72" s="42" t="s">
        <v>77</v>
      </c>
      <c r="AK72" s="42" t="s">
        <v>90</v>
      </c>
      <c r="AL72" t="str">
        <f>VLOOKUP($Q72,武学奇术!$A:$ZZ,25,FALSE)</f>
        <v>陌刀</v>
      </c>
      <c r="AM72" s="27">
        <f>VLOOKUP($Q72,武学奇术!$A:$ZZ,26,FALSE)</f>
        <v>1.8948</v>
      </c>
      <c r="AN72" s="28">
        <f>VLOOKUP($Q72,武学奇术!$A:$ZZ,27,FALSE)*(1+IF(OR($AL72=$F$4,$AL72=$F$5),$B$22,0))</f>
        <v>787.5</v>
      </c>
      <c r="AO72" s="27">
        <f>VLOOKUP($Q72,武学奇术!$A:$ZZ,28,FALSE)</f>
        <v>2.8422</v>
      </c>
      <c r="AP72" s="28">
        <f>VLOOKUP($Q72,武学奇术!$A:$ZZ,29,FALSE)*(1+IF(OR($AL72=$F$4,$AL72=$F$5),$B$22,0))</f>
        <v>429</v>
      </c>
      <c r="AQ72" s="27" cm="1">
        <f t="array" ref="AQ72">$G$3+IFERROR(VLOOKUP($AL72,$F$4:$G$7,2,FALSE),0)+VLOOKUP($Q72,武学奇术!$A:$ZZ,2,FALSE)+SUM(_xlfn.XLOOKUP($R72:$AK72,增益!$A:$A,增益!$B:$B,0))</f>
        <v>0.6941</v>
      </c>
      <c r="AR72" s="27" cm="1">
        <f t="array" ref="AR72">VLOOKUP($Q72,武学奇术!$A:$ZZ,5,FALSE)+SUM(_xlfn.XLOOKUP($R72:$AK72,增益!$A:$A,增益!$E:$E,0))</f>
        <v>0</v>
      </c>
      <c r="AS72" cm="1">
        <f t="array" ref="AS72">$D$10*(1+$AR72)+VLOOKUP($Q72,武学奇术!$A:$ZZ,3,FALSE)+SUM(_xlfn.XLOOKUP($R72:$AK72,增益!$A:$A,增益!$C:$C,0))-$I$2</f>
        <v>3648.7</v>
      </c>
      <c r="AT72" cm="1">
        <f t="array" ref="AT72">$E$10*(1+$AR72)+VLOOKUP($Q72,武学奇术!$A:$ZZ,4,FALSE)+SUM(_xlfn.XLOOKUP($R72:$AK72,增益!$A:$A,增益!$D:$D,0))-$I$2</f>
        <v>3648.7</v>
      </c>
      <c r="AU72" s="34" cm="1">
        <f t="array" ref="AU72">IF($F$10-$I$3+VLOOKUP($Q72,武学奇术!$A:$ZZ,6,FALSE)+SUM(_xlfn.XLOOKUP($R72:$AK72,增益!$A:$A,增益!$F:$F,0))&gt;0,($F$10-$I$3+VLOOKUP($Q72,武学奇术!$A:$ZZ,6,FALSE)+SUM(_xlfn.XLOOKUP($R72:$AK72,增益!$A:$A,增益!$F:$F,0)))/200,($F$10-$I$3+VLOOKUP($Q72,武学奇术!$A:$ZZ,6,FALSE)+SUM(_xlfn.XLOOKUP($R72:$AK72,增益!$A:$A,增益!$F:$F,0)))/100)</f>
        <v>0.452</v>
      </c>
      <c r="AV72" s="34" cm="1">
        <f t="array" ref="AV72">$G$10+VLOOKUP($Q72,武学奇术!$A:$ZZ,7,FALSE)+SUM(_xlfn.XLOOKUP($R72:$AK72,增益!$A:$A,增益!$G:$G,0))</f>
        <v>0</v>
      </c>
      <c r="AW72" s="27" cm="1">
        <f t="array" ref="AW72">VLOOKUP($Q72,武学奇术!$A:$ZZ,8,FALSE)+SUM(_xlfn.XLOOKUP($R72:$AK72,增益!$A:$A,增益!$H:$H,0))</f>
        <v>0</v>
      </c>
      <c r="AX72">
        <f t="shared" si="23"/>
        <v>0</v>
      </c>
      <c r="AY72">
        <f t="shared" si="24"/>
        <v>0</v>
      </c>
      <c r="AZ72" s="34" cm="1">
        <f t="array" ref="AZ72">IF($F$11-$I$4+VLOOKUP($Q72,武学奇术!$A:$ZZ,9,FALSE)+SUM(_xlfn.XLOOKUP($R72:$AK72,增益!$A:$A,增益!$I:$I,0))&gt;0,($F$11-$I$4+VLOOKUP($Q72,武学奇术!$A:$ZZ,9,FALSE)+SUM(_xlfn.XLOOKUP($R72:$AK72,增益!$A:$A,增益!$I:$I,0)))/200,($F$11-$I$4+VLOOKUP($Q72,武学奇术!$A:$ZZ,9,FALSE)+SUM(_xlfn.XLOOKUP($R72:$AK72,增益!$A:$A,增益!$I:$I,0)))/100)</f>
        <v>-0.14</v>
      </c>
      <c r="BA72" s="34" cm="1">
        <f t="array" ref="BA72">$G$11+VLOOKUP($Q72,武学奇术!$A:$ZZ,10,FALSE)+SUM(_xlfn.XLOOKUP($R72:$AK72,增益!$A:$A,增益!$J:$J,0))</f>
        <v>0</v>
      </c>
      <c r="BB72">
        <f t="shared" si="25"/>
        <v>594.1</v>
      </c>
      <c r="BC72">
        <f t="shared" si="26"/>
        <v>1604.9</v>
      </c>
      <c r="BD72" s="34" cm="1">
        <f t="array" ref="BD72">IF($F$12-$I$4+VLOOKUP($Q72,武学奇术!$A:$ZZ,11,FALSE)+SUM(_xlfn.XLOOKUP($R72:$AK72,增益!$A:$A,增益!$K:$K,0))&gt;0,($F$12-$I$4+VLOOKUP($Q72,武学奇术!$A:$ZZ,11,FALSE)+SUM(_xlfn.XLOOKUP($R72:$AK72,增益!$A:$A,增益!$K:$K,0)))/200,($F$12-$I$4+VLOOKUP($Q72,武学奇术!$A:$ZZ,11,FALSE)+SUM(_xlfn.XLOOKUP($R72:$AK72,增益!$A:$A,增益!$K:$K,0)))/100)</f>
        <v>0.17</v>
      </c>
      <c r="BE72" s="34" cm="1">
        <f t="array" ref="BE72">$G$12+VLOOKUP($Q72,武学奇术!$A:$ZZ,12,FALSE)+SUM(_xlfn.XLOOKUP($R72:$AK72,增益!$A:$A,增益!$L:$L,0))</f>
        <v>0.15</v>
      </c>
      <c r="BF72">
        <f t="shared" si="27"/>
        <v>0</v>
      </c>
      <c r="BG72">
        <f t="shared" si="28"/>
        <v>0</v>
      </c>
      <c r="BH72" s="34" cm="1">
        <f t="array" ref="BH72">IF($F$13-$I$4+VLOOKUP($Q72,武学奇术!$A:$ZZ,13,FALSE)+SUM(_xlfn.XLOOKUP($R72:$AK72,增益!$A:$A,增益!$M:$M,0))&gt;0,($F$13-$I$4+VLOOKUP($Q72,武学奇术!$A:$ZZ,13,FALSE)+SUM(_xlfn.XLOOKUP($R72:$AK72,增益!$A:$A,增益!$K:$K,0)))/200,($F$13-$I$4+VLOOKUP($Q72,武学奇术!$A:$ZZ,13,FALSE)+SUM(_xlfn.XLOOKUP($R72:$AK72,增益!$A:$A,增益!$M:$M,0)))/100)</f>
        <v>-0.14</v>
      </c>
      <c r="BI72" s="34" cm="1">
        <f t="array" ref="BI72">$G$13+VLOOKUP($Q72,武学奇术!$A:$ZZ,14,FALSE)+SUM(_xlfn.XLOOKUP($R72:$AK72,增益!$A:$A,增益!$N:$N,0))</f>
        <v>0</v>
      </c>
      <c r="BJ72">
        <f t="shared" si="29"/>
        <v>0</v>
      </c>
      <c r="BK72">
        <f t="shared" si="30"/>
        <v>0</v>
      </c>
      <c r="BL72" s="34" cm="1">
        <f t="array" ref="BL72">IF($F$14-$I$4+VLOOKUP($Q72,武学奇术!$A:$ZZ,15,FALSE)+SUM(_xlfn.XLOOKUP($R72:$AK72,增益!$A:$A,增益!$O:$O,0))&gt;0,($F$14-$I$4+VLOOKUP($Q72,武学奇术!$A:$ZZ,15,FALSE)+SUM(_xlfn.XLOOKUP($R72:$AK72,增益!$A:$A,增益!$O:$O,0)))/200,($F$14-$I$4+VLOOKUP($Q72,武学奇术!$A:$ZZ,15,FALSE)+SUM(_xlfn.XLOOKUP($R72:$AK72,增益!$A:$A,增益!$O:$O,0)))/100)</f>
        <v>-0.14</v>
      </c>
      <c r="BM72" s="34" cm="1">
        <f t="array" ref="BM72">$G$14+VLOOKUP($Q72,武学奇术!$A:$ZZ,16,FALSE)+SUM(_xlfn.XLOOKUP($R72:$AK72,增益!$A:$A,增益!$P:$P,0))</f>
        <v>0</v>
      </c>
      <c r="BN72" s="27">
        <f>MIN(IF(VLOOKUP($Q72,武学奇术!$A:$ZZ,23,FALSE)=1,100%,$B$8),100%)</f>
        <v>0.9859</v>
      </c>
      <c r="BO72" s="27" cm="1">
        <f t="array" ref="BO72">IF(VLOOKUP($Q72,武学奇术!$A:$ZZ,23,FALSE)=1,100%,MIN(80%,$B$9+VLOOKUP($Q72,武学奇术!$A:$ZZ,17,FALSE)+SUM(_xlfn.XLOOKUP($R72:$AK72,增益!$A:$A,增益!$Q:$Q,0)))+$B$11+SUM(_xlfn.XLOOKUP($R72:$AK72,增益!$A:$A,增益!$U:$U,0)))*IF(VLOOKUP($Q72,武学奇术!$A:$ZZ,24,FALSE)=1,0,1)</f>
        <v>0.8912</v>
      </c>
      <c r="BP72" s="27" cm="1">
        <f t="array" ref="BP72">1+$B$13+VLOOKUP($Q72,武学奇术!$A:$ZZ,18,FALSE)+SUM(_xlfn.XLOOKUP($R72:$AK72,增益!$A:$A,增益!$R:$R,0))</f>
        <v>2</v>
      </c>
      <c r="BQ72" s="27" cm="1">
        <f t="array" ref="BQ72">IF(VLOOKUP($Q72,武学奇术!$A:$ZZ,24,FALSE)=1,100%,MIN(40%,$B$10+VLOOKUP($Q72,武学奇术!$A:$ZZ,19,FALSE)+SUM(_xlfn.XLOOKUP($R72:$AK72,增益!$A:$A,增益!$S:$S,0)))+$B$12+SUM(_xlfn.XLOOKUP($R72:$AK72,增益!$A:$A,增益!$V:$V,0)))*IF(VLOOKUP($Q72,武学奇术!$A:$ZZ,23,FALSE)=1,0,1)</f>
        <v>0.0929</v>
      </c>
      <c r="BR72" s="27" cm="1">
        <f t="array" ref="BR72">1+$B$14+VLOOKUP($Q72,武学奇术!$A:$ZZ,20,FALSE)+SUM(_xlfn.XLOOKUP($R72:$AK72,增益!$A:$A,增益!$T:$T,0))</f>
        <v>1.35</v>
      </c>
      <c r="BS72" s="27">
        <f t="shared" si="31"/>
        <v>0.87863408</v>
      </c>
      <c r="BT72" s="27">
        <f t="shared" si="32"/>
        <v>0.01567581</v>
      </c>
      <c r="BU72" s="27">
        <f>IF(VLOOKUP($Q72,武学奇术!$A:$ZZ,22,FALSE)=1,0,(1-$BN72))*(1-$BQ72)</f>
        <v>0.01279011</v>
      </c>
      <c r="BV72" s="27" cm="1">
        <f t="array" ref="BV72">SUM(_xlfn.XLOOKUP($R72:$AK72,增益!$A:$A,增益!$W:$W,0))+$I$5</f>
        <v>0.11</v>
      </c>
    </row>
    <row r="73" spans="1:74">
      <c r="A73" s="4" t="s">
        <v>192</v>
      </c>
      <c r="B73" s="4">
        <v>0.7</v>
      </c>
      <c r="D73" s="41"/>
      <c r="K73" s="40">
        <f t="shared" si="22"/>
        <v>27230.7096776691</v>
      </c>
      <c r="L73" s="40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BP73*$P73*(1+IF(VLOOKUP($Q73,武学奇术!$A:$ZZ,30,FALSE)="蓄力技",$B$21,0))*(1+$BV73)</f>
        <v>28270.6186284041</v>
      </c>
      <c r="M73" s="40">
        <f>(($AT73*$AM73+$AN73)*(1+$AU73)*(1+$AV73)+($AY73*IF($G$1="鸣金",$AO73,$AM73)+IF($G$1="鸣金",$AP73*1.5,0))*(1+$AZ73)*(1+$BA73)+($BC73*IF($G$1="裂石",$AO73,$AM73)+IF($G$1="裂石",$AP73*1.5,0))*(1+$BD73)*(1+$BE73)+($BG73*IF($G$1="牵丝",$AO73,$AM73)+IF($G$1="牵丝",$AP73*1.5,0))*(1+$BH73)*(1+$BI73)+($BK73*IF($G$1="破竹",$AO73,$AM73)+IF($G$1="破竹",$AP73*1.5,0))*(1+$BL73)*(1+$BM73))*(1+$AQ73)*$BR73*$P73*(1+IF(VLOOKUP($Q73,武学奇术!$A:$ZZ,30,FALSE)="蓄力技",$B$21,0))*(1+$BV73)</f>
        <v>21672.1083854112</v>
      </c>
      <c r="N73" s="40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P73*(1+IF(VLOOKUP($Q73,武学奇术!$A:$ZZ,30,FALSE)="蓄力技",$B$21,0))*(1+$BV73)</f>
        <v>14135.309314202</v>
      </c>
      <c r="O73" s="40">
        <f>((($AS73*$AM73+$AN73)*(1+$AU73)*(1+$AV73)+($AX73*IF($G$1="鸣金",$AO73,$AM73)+IF($G$1="鸣金",$AP73*1.5,0))*(1+$AZ73)*(1+$BA73)+($BB73*IF($G$1="裂石",$AO73,$AM73)+IF($G$1="裂石",$AP73*1.5,0))*(1+$BD73)*(1+$BE73)+($BF73*IF($G$1="牵丝",$AO73,$AM73)+IF($G$1="牵丝",$AP73*1.5,0))*(1+$BH73)*(1+$BI73)+($BJ73*IF($G$1="破竹",$AO73,$AM73)+IF($G$1="破竹",$AP73*1.5,0))*(1+$BL73)*(1+$BM73))*(1+$AQ73))*$P73*(1+IF(VLOOKUP($Q73,武学奇术!$A:$ZZ,30,FALSE)="蓄力技",$B$21,0))*(1+$BV73)</f>
        <v>12217.205009581</v>
      </c>
      <c r="P73" s="41">
        <v>1</v>
      </c>
      <c r="Q73" s="42" t="s">
        <v>159</v>
      </c>
      <c r="R73" s="42" t="s">
        <v>103</v>
      </c>
      <c r="S73" s="42" t="s">
        <v>77</v>
      </c>
      <c r="T73" s="42" t="s">
        <v>86</v>
      </c>
      <c r="U73" s="42" t="s">
        <v>121</v>
      </c>
      <c r="V73" s="42" t="s">
        <v>77</v>
      </c>
      <c r="W73" s="42" t="s">
        <v>77</v>
      </c>
      <c r="X73" s="42" t="s">
        <v>176</v>
      </c>
      <c r="Y73" s="42" t="s">
        <v>77</v>
      </c>
      <c r="Z73" s="42" t="s">
        <v>77</v>
      </c>
      <c r="AA73" s="42" t="s">
        <v>73</v>
      </c>
      <c r="AB73" s="42" t="s">
        <v>89</v>
      </c>
      <c r="AC73" s="42" t="s">
        <v>77</v>
      </c>
      <c r="AD73" s="42" t="s">
        <v>80</v>
      </c>
      <c r="AE73" s="42" t="s">
        <v>81</v>
      </c>
      <c r="AF73" s="42" t="s">
        <v>82</v>
      </c>
      <c r="AG73" s="42" t="s">
        <v>77</v>
      </c>
      <c r="AH73" s="42" t="s">
        <v>77</v>
      </c>
      <c r="AI73" s="42" t="s">
        <v>77</v>
      </c>
      <c r="AJ73" s="42" t="s">
        <v>77</v>
      </c>
      <c r="AK73" s="42" t="s">
        <v>90</v>
      </c>
      <c r="AL73" t="str">
        <f>VLOOKUP($Q73,武学奇术!$A:$ZZ,25,FALSE)</f>
        <v>陌刀</v>
      </c>
      <c r="AM73" s="27">
        <f>VLOOKUP($Q73,武学奇术!$A:$ZZ,26,FALSE)</f>
        <v>1</v>
      </c>
      <c r="AN73" s="28">
        <f>VLOOKUP($Q73,武学奇术!$A:$ZZ,27,FALSE)*(1+IF(OR($AL73=$F$4,$AL73=$F$5),$B$22,0))</f>
        <v>0</v>
      </c>
      <c r="AO73" s="27">
        <f>VLOOKUP($Q73,武学奇术!$A:$ZZ,28,FALSE)</f>
        <v>1.5</v>
      </c>
      <c r="AP73" s="28">
        <f>VLOOKUP($Q73,武学奇术!$A:$ZZ,29,FALSE)*(1+IF(OR($AL73=$F$4,$AL73=$F$5),$B$22,0))</f>
        <v>0</v>
      </c>
      <c r="AQ73" s="27" cm="1">
        <f t="array" ref="AQ73">$G$3+IFERROR(VLOOKUP($AL73,$F$4:$G$7,2,FALSE),0)+VLOOKUP($Q73,武学奇术!$A:$ZZ,2,FALSE)+SUM(_xlfn.XLOOKUP($R73:$AK73,增益!$A:$A,增益!$B:$B,0))</f>
        <v>0.6941</v>
      </c>
      <c r="AR73" s="27" cm="1">
        <f t="array" ref="AR73">VLOOKUP($Q73,武学奇术!$A:$ZZ,5,FALSE)+SUM(_xlfn.XLOOKUP($R73:$AK73,增益!$A:$A,增益!$E:$E,0))</f>
        <v>0</v>
      </c>
      <c r="AS73" cm="1">
        <f t="array" ref="AS73">$D$10*(1+$AR73)+VLOOKUP($Q73,武学奇术!$A:$ZZ,3,FALSE)+SUM(_xlfn.XLOOKUP($R73:$AK73,增益!$A:$A,增益!$C:$C,0))-$I$2</f>
        <v>3648.7</v>
      </c>
      <c r="AT73" cm="1">
        <f t="array" ref="AT73">$E$10*(1+$AR73)+VLOOKUP($Q73,武学奇术!$A:$ZZ,4,FALSE)+SUM(_xlfn.XLOOKUP($R73:$AK73,增益!$A:$A,增益!$D:$D,0))-$I$2</f>
        <v>3648.7</v>
      </c>
      <c r="AU73" s="34" cm="1">
        <f t="array" ref="AU73">IF($F$10-$I$3+VLOOKUP($Q73,武学奇术!$A:$ZZ,6,FALSE)+SUM(_xlfn.XLOOKUP($R73:$AK73,增益!$A:$A,增益!$F:$F,0))&gt;0,($F$10-$I$3+VLOOKUP($Q73,武学奇术!$A:$ZZ,6,FALSE)+SUM(_xlfn.XLOOKUP($R73:$AK73,增益!$A:$A,增益!$F:$F,0)))/200,($F$10-$I$3+VLOOKUP($Q73,武学奇术!$A:$ZZ,6,FALSE)+SUM(_xlfn.XLOOKUP($R73:$AK73,增益!$A:$A,增益!$F:$F,0)))/100)</f>
        <v>0.452</v>
      </c>
      <c r="AV73" s="34" cm="1">
        <f t="array" ref="AV73">$G$10+VLOOKUP($Q73,武学奇术!$A:$ZZ,7,FALSE)+SUM(_xlfn.XLOOKUP($R73:$AK73,增益!$A:$A,增益!$G:$G,0))</f>
        <v>0</v>
      </c>
      <c r="AW73" s="27" cm="1">
        <f t="array" ref="AW73">VLOOKUP($Q73,武学奇术!$A:$ZZ,8,FALSE)+SUM(_xlfn.XLOOKUP($R73:$AK73,增益!$A:$A,增益!$H:$H,0))</f>
        <v>0</v>
      </c>
      <c r="AX73">
        <f t="shared" si="23"/>
        <v>0</v>
      </c>
      <c r="AY73">
        <f t="shared" si="24"/>
        <v>0</v>
      </c>
      <c r="AZ73" s="34" cm="1">
        <f t="array" ref="AZ73">IF($F$11-$I$4+VLOOKUP($Q73,武学奇术!$A:$ZZ,9,FALSE)+SUM(_xlfn.XLOOKUP($R73:$AK73,增益!$A:$A,增益!$I:$I,0))&gt;0,($F$11-$I$4+VLOOKUP($Q73,武学奇术!$A:$ZZ,9,FALSE)+SUM(_xlfn.XLOOKUP($R73:$AK73,增益!$A:$A,增益!$I:$I,0)))/200,($F$11-$I$4+VLOOKUP($Q73,武学奇术!$A:$ZZ,9,FALSE)+SUM(_xlfn.XLOOKUP($R73:$AK73,增益!$A:$A,增益!$I:$I,0)))/100)</f>
        <v>-0.14</v>
      </c>
      <c r="BA73" s="34" cm="1">
        <f t="array" ref="BA73">$G$11+VLOOKUP($Q73,武学奇术!$A:$ZZ,10,FALSE)+SUM(_xlfn.XLOOKUP($R73:$AK73,增益!$A:$A,增益!$J:$J,0))</f>
        <v>0</v>
      </c>
      <c r="BB73">
        <f t="shared" si="25"/>
        <v>594.1</v>
      </c>
      <c r="BC73">
        <f t="shared" si="26"/>
        <v>1604.9</v>
      </c>
      <c r="BD73" s="34" cm="1">
        <f t="array" ref="BD73">IF($F$12-$I$4+VLOOKUP($Q73,武学奇术!$A:$ZZ,11,FALSE)+SUM(_xlfn.XLOOKUP($R73:$AK73,增益!$A:$A,增益!$K:$K,0))&gt;0,($F$12-$I$4+VLOOKUP($Q73,武学奇术!$A:$ZZ,11,FALSE)+SUM(_xlfn.XLOOKUP($R73:$AK73,增益!$A:$A,增益!$K:$K,0)))/200,($F$12-$I$4+VLOOKUP($Q73,武学奇术!$A:$ZZ,11,FALSE)+SUM(_xlfn.XLOOKUP($R73:$AK73,增益!$A:$A,增益!$K:$K,0)))/100)</f>
        <v>0.17</v>
      </c>
      <c r="BE73" s="34" cm="1">
        <f t="array" ref="BE73">$G$12+VLOOKUP($Q73,武学奇术!$A:$ZZ,12,FALSE)+SUM(_xlfn.XLOOKUP($R73:$AK73,增益!$A:$A,增益!$L:$L,0))</f>
        <v>0.15</v>
      </c>
      <c r="BF73">
        <f t="shared" si="27"/>
        <v>0</v>
      </c>
      <c r="BG73">
        <f t="shared" si="28"/>
        <v>0</v>
      </c>
      <c r="BH73" s="34" cm="1">
        <f t="array" ref="BH73">IF($F$13-$I$4+VLOOKUP($Q73,武学奇术!$A:$ZZ,13,FALSE)+SUM(_xlfn.XLOOKUP($R73:$AK73,增益!$A:$A,增益!$M:$M,0))&gt;0,($F$13-$I$4+VLOOKUP($Q73,武学奇术!$A:$ZZ,13,FALSE)+SUM(_xlfn.XLOOKUP($R73:$AK73,增益!$A:$A,增益!$K:$K,0)))/200,($F$13-$I$4+VLOOKUP($Q73,武学奇术!$A:$ZZ,13,FALSE)+SUM(_xlfn.XLOOKUP($R73:$AK73,增益!$A:$A,增益!$M:$M,0)))/100)</f>
        <v>-0.14</v>
      </c>
      <c r="BI73" s="34" cm="1">
        <f t="array" ref="BI73">$G$13+VLOOKUP($Q73,武学奇术!$A:$ZZ,14,FALSE)+SUM(_xlfn.XLOOKUP($R73:$AK73,增益!$A:$A,增益!$N:$N,0))</f>
        <v>0</v>
      </c>
      <c r="BJ73">
        <f t="shared" si="29"/>
        <v>0</v>
      </c>
      <c r="BK73">
        <f t="shared" si="30"/>
        <v>0</v>
      </c>
      <c r="BL73" s="34" cm="1">
        <f t="array" ref="BL73">IF($F$14-$I$4+VLOOKUP($Q73,武学奇术!$A:$ZZ,15,FALSE)+SUM(_xlfn.XLOOKUP($R73:$AK73,增益!$A:$A,增益!$O:$O,0))&gt;0,($F$14-$I$4+VLOOKUP($Q73,武学奇术!$A:$ZZ,15,FALSE)+SUM(_xlfn.XLOOKUP($R73:$AK73,增益!$A:$A,增益!$O:$O,0)))/200,($F$14-$I$4+VLOOKUP($Q73,武学奇术!$A:$ZZ,15,FALSE)+SUM(_xlfn.XLOOKUP($R73:$AK73,增益!$A:$A,增益!$O:$O,0)))/100)</f>
        <v>-0.14</v>
      </c>
      <c r="BM73" s="34" cm="1">
        <f t="array" ref="BM73">$G$14+VLOOKUP($Q73,武学奇术!$A:$ZZ,16,FALSE)+SUM(_xlfn.XLOOKUP($R73:$AK73,增益!$A:$A,增益!$P:$P,0))</f>
        <v>0</v>
      </c>
      <c r="BN73" s="27">
        <f>MIN(IF(VLOOKUP($Q73,武学奇术!$A:$ZZ,23,FALSE)=1,100%,$B$8),100%)</f>
        <v>0.9859</v>
      </c>
      <c r="BO73" s="27" cm="1">
        <f t="array" ref="BO73">IF(VLOOKUP($Q73,武学奇术!$A:$ZZ,23,FALSE)=1,100%,MIN(80%,$B$9+VLOOKUP($Q73,武学奇术!$A:$ZZ,17,FALSE)+SUM(_xlfn.XLOOKUP($R73:$AK73,增益!$A:$A,增益!$Q:$Q,0)))+$B$11+SUM(_xlfn.XLOOKUP($R73:$AK73,增益!$A:$A,增益!$U:$U,0)))*IF(VLOOKUP($Q73,武学奇术!$A:$ZZ,24,FALSE)=1,0,1)</f>
        <v>0.8912</v>
      </c>
      <c r="BP73" s="27" cm="1">
        <f t="array" ref="BP73">1+$B$13+VLOOKUP($Q73,武学奇术!$A:$ZZ,18,FALSE)+SUM(_xlfn.XLOOKUP($R73:$AK73,增益!$A:$A,增益!$R:$R,0))</f>
        <v>2</v>
      </c>
      <c r="BQ73" s="27" cm="1">
        <f t="array" ref="BQ73">IF(VLOOKUP($Q73,武学奇术!$A:$ZZ,24,FALSE)=1,100%,MIN(40%,$B$10+VLOOKUP($Q73,武学奇术!$A:$ZZ,19,FALSE)+SUM(_xlfn.XLOOKUP($R73:$AK73,增益!$A:$A,增益!$S:$S,0)))+$B$12+SUM(_xlfn.XLOOKUP($R73:$AK73,增益!$A:$A,增益!$V:$V,0)))*IF(VLOOKUP($Q73,武学奇术!$A:$ZZ,23,FALSE)=1,0,1)</f>
        <v>0.0929</v>
      </c>
      <c r="BR73" s="27" cm="1">
        <f t="array" ref="BR73">1+$B$14+VLOOKUP($Q73,武学奇术!$A:$ZZ,20,FALSE)+SUM(_xlfn.XLOOKUP($R73:$AK73,增益!$A:$A,增益!$T:$T,0))</f>
        <v>1.35</v>
      </c>
      <c r="BS73" s="27">
        <f t="shared" si="31"/>
        <v>0.87863408</v>
      </c>
      <c r="BT73" s="27">
        <f t="shared" si="32"/>
        <v>0.01567581</v>
      </c>
      <c r="BU73" s="27">
        <f>IF(VLOOKUP($Q73,武学奇术!$A:$ZZ,22,FALSE)=1,0,(1-$BN73))*(1-$BQ73)</f>
        <v>0.01279011</v>
      </c>
      <c r="BV73" s="27" cm="1">
        <f t="array" ref="BV73">SUM(_xlfn.XLOOKUP($R73:$AK73,增益!$A:$A,增益!$W:$W,0))+$I$5</f>
        <v>0.11</v>
      </c>
    </row>
    <row r="74" spans="1:74">
      <c r="A74" s="4" t="s">
        <v>188</v>
      </c>
      <c r="B74" s="4">
        <v>0.9</v>
      </c>
      <c r="K74" s="40">
        <f t="shared" ref="K74:K92" si="33">($L74*$BS74+$M74*$BQ74+$N74*$BT74+$O74*$BU74)</f>
        <v>216128.204278955</v>
      </c>
      <c r="L74" s="40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BP74*$P74*(1+IF(VLOOKUP($Q74,武学奇术!$A:$ZZ,30,FALSE)="蓄力技",$B$21,0))*(1+$BV74)</f>
        <v>221523.577761938</v>
      </c>
      <c r="M74" s="40">
        <f>(($AT74*$AM74+$AN74)*(1+$AU74)*(1+$AV74)+($AY74*IF($G$1="鸣金",$AO74,$AM74)+IF($G$1="鸣金",$AP74*1.5,0))*(1+$AZ74)*(1+$BA74)+($BC74*IF($G$1="裂石",$AO74,$AM74)+IF($G$1="裂石",$AP74*1.5,0))*(1+$BD74)*(1+$BE74)+($BG74*IF($G$1="牵丝",$AO74,$AM74)+IF($G$1="牵丝",$AP74*1.5,0))*(1+$BH74)*(1+$BI74)+($BK74*IF($G$1="破竹",$AO74,$AM74)+IF($G$1="破竹",$AP74*1.5,0))*(1+$BL74)*(1+$BM74))*(1+$AQ74)*$BR74*$P74*(1+IF(VLOOKUP($Q74,武学奇术!$A:$ZZ,30,FALSE)="蓄力技",$B$21,0))*(1+$BV74)</f>
        <v>194635.549767201</v>
      </c>
      <c r="N74" s="40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P74*(1+IF(VLOOKUP($Q74,武学奇术!$A:$ZZ,30,FALSE)="蓄力技",$B$21,0))*(1+$BV74)</f>
        <v>127312.401012608</v>
      </c>
      <c r="O74" s="40">
        <f>((($AS74*$AM74+$AN74)*(1+$AU74)*(1+$AV74)+($AX74*IF($G$1="鸣金",$AO74,$AM74)+IF($G$1="鸣金",$AP74*1.5,0))*(1+$AZ74)*(1+$BA74)+($BB74*IF($G$1="裂石",$AO74,$AM74)+IF($G$1="裂石",$AP74*1.5,0))*(1+$BD74)*(1+$BE74)+($BF74*IF($G$1="牵丝",$AO74,$AM74)+IF($G$1="牵丝",$AP74*1.5,0))*(1+$BH74)*(1+$BI74)+($BJ74*IF($G$1="破竹",$AO74,$AM74)+IF($G$1="破竹",$AP74*1.5,0))*(1+$BL74)*(1+$BM74))*(1+$AQ74))*$P74*(1+IF(VLOOKUP($Q74,武学奇术!$A:$ZZ,30,FALSE)="蓄力技",$B$21,0))*(1+$BV74)</f>
        <v>110450.320716179</v>
      </c>
      <c r="P74" s="41">
        <v>1</v>
      </c>
      <c r="Q74" s="42" t="s">
        <v>193</v>
      </c>
      <c r="R74" s="42" t="s">
        <v>103</v>
      </c>
      <c r="S74" s="42" t="s">
        <v>77</v>
      </c>
      <c r="T74" s="42" t="s">
        <v>86</v>
      </c>
      <c r="U74" s="42" t="s">
        <v>87</v>
      </c>
      <c r="V74" s="42" t="s">
        <v>77</v>
      </c>
      <c r="W74" s="42" t="s">
        <v>77</v>
      </c>
      <c r="X74" s="42" t="s">
        <v>176</v>
      </c>
      <c r="Y74" s="42" t="s">
        <v>77</v>
      </c>
      <c r="Z74" s="42" t="s">
        <v>77</v>
      </c>
      <c r="AA74" s="42" t="s">
        <v>77</v>
      </c>
      <c r="AB74" s="42" t="s">
        <v>89</v>
      </c>
      <c r="AC74" s="42" t="s">
        <v>77</v>
      </c>
      <c r="AD74" s="42" t="s">
        <v>80</v>
      </c>
      <c r="AE74" s="42" t="s">
        <v>81</v>
      </c>
      <c r="AF74" s="42" t="s">
        <v>82</v>
      </c>
      <c r="AG74" s="42" t="s">
        <v>77</v>
      </c>
      <c r="AH74" s="42" t="s">
        <v>77</v>
      </c>
      <c r="AI74" s="42" t="s">
        <v>77</v>
      </c>
      <c r="AJ74" s="42" t="s">
        <v>77</v>
      </c>
      <c r="AK74" s="42" t="s">
        <v>90</v>
      </c>
      <c r="AL74" t="str">
        <f>VLOOKUP($Q74,武学奇术!$A:$ZZ,25,FALSE)</f>
        <v>群体奇术</v>
      </c>
      <c r="AM74" s="27">
        <f>VLOOKUP($Q74,武学奇术!$A:$ZZ,26,FALSE)</f>
        <v>10.315755</v>
      </c>
      <c r="AN74" s="28">
        <f>VLOOKUP($Q74,武学奇术!$A:$ZZ,27,FALSE)*(1+IF(OR($AL74=$F$4,$AL74=$F$5),$B$22,0))</f>
        <v>1992.6</v>
      </c>
      <c r="AO74" s="27">
        <f>VLOOKUP($Q74,武学奇术!$A:$ZZ,28,FALSE)</f>
        <v>15.4736325</v>
      </c>
      <c r="AP74" s="28">
        <f>VLOOKUP($Q74,武学奇术!$A:$ZZ,29,FALSE)*(1+IF(OR($AL74=$F$4,$AL74=$F$5),$B$22,0))</f>
        <v>0</v>
      </c>
      <c r="AQ74" s="27" cm="1">
        <f t="array" ref="AQ74">$G$3+IFERROR(VLOOKUP($AL74,$F$4:$G$7,2,FALSE),0)+VLOOKUP($Q74,武学奇术!$A:$ZZ,2,FALSE)+SUM(_xlfn.XLOOKUP($R74:$AK74,增益!$A:$A,增益!$B:$B,0))</f>
        <v>0.4437</v>
      </c>
      <c r="AR74" s="27" cm="1">
        <f t="array" ref="AR74">VLOOKUP($Q74,武学奇术!$A:$ZZ,5,FALSE)+SUM(_xlfn.XLOOKUP($R74:$AK74,增益!$A:$A,增益!$E:$E,0))</f>
        <v>0</v>
      </c>
      <c r="AS74" cm="1">
        <f t="array" ref="AS74">$D$10*(1+$AR74)+VLOOKUP($Q74,武学奇术!$A:$ZZ,3,FALSE)+SUM(_xlfn.XLOOKUP($R74:$AK74,增益!$A:$A,增益!$C:$C,0))-$I$2</f>
        <v>3648.7</v>
      </c>
      <c r="AT74" cm="1">
        <f t="array" ref="AT74">$E$10*(1+$AR74)+VLOOKUP($Q74,武学奇术!$A:$ZZ,4,FALSE)+SUM(_xlfn.XLOOKUP($R74:$AK74,增益!$A:$A,增益!$D:$D,0))-$I$2</f>
        <v>3648.7</v>
      </c>
      <c r="AU74" s="34" cm="1">
        <f t="array" ref="AU74">IF($F$10-$I$3+VLOOKUP($Q74,武学奇术!$A:$ZZ,6,FALSE)+SUM(_xlfn.XLOOKUP($R74:$AK74,增益!$A:$A,增益!$F:$F,0))&gt;0,($F$10-$I$3+VLOOKUP($Q74,武学奇术!$A:$ZZ,6,FALSE)+SUM(_xlfn.XLOOKUP($R74:$AK74,增益!$A:$A,增益!$F:$F,0)))/200,($F$10-$I$3+VLOOKUP($Q74,武学奇术!$A:$ZZ,6,FALSE)+SUM(_xlfn.XLOOKUP($R74:$AK74,增益!$A:$A,增益!$F:$F,0)))/100)</f>
        <v>0.427</v>
      </c>
      <c r="AV74" s="34" cm="1">
        <f t="array" ref="AV74">$G$10+VLOOKUP($Q74,武学奇术!$A:$ZZ,7,FALSE)+SUM(_xlfn.XLOOKUP($R74:$AK74,增益!$A:$A,增益!$G:$G,0))</f>
        <v>0</v>
      </c>
      <c r="AW74" s="27" cm="1">
        <f t="array" ref="AW74">VLOOKUP($Q74,武学奇术!$A:$ZZ,8,FALSE)+SUM(_xlfn.XLOOKUP($R74:$AK74,增益!$A:$A,增益!$H:$H,0))</f>
        <v>0</v>
      </c>
      <c r="AX74">
        <f t="shared" si="23"/>
        <v>0</v>
      </c>
      <c r="AY74">
        <f t="shared" si="24"/>
        <v>0</v>
      </c>
      <c r="AZ74" s="34" cm="1">
        <f t="array" ref="AZ74">IF($F$11-$I$4+VLOOKUP($Q74,武学奇术!$A:$ZZ,9,FALSE)+SUM(_xlfn.XLOOKUP($R74:$AK74,增益!$A:$A,增益!$I:$I,0))&gt;0,($F$11-$I$4+VLOOKUP($Q74,武学奇术!$A:$ZZ,9,FALSE)+SUM(_xlfn.XLOOKUP($R74:$AK74,增益!$A:$A,增益!$I:$I,0)))/200,($F$11-$I$4+VLOOKUP($Q74,武学奇术!$A:$ZZ,9,FALSE)+SUM(_xlfn.XLOOKUP($R74:$AK74,增益!$A:$A,增益!$I:$I,0)))/100)</f>
        <v>-0.14</v>
      </c>
      <c r="BA74" s="34" cm="1">
        <f t="array" ref="BA74">$G$11+VLOOKUP($Q74,武学奇术!$A:$ZZ,10,FALSE)+SUM(_xlfn.XLOOKUP($R74:$AK74,增益!$A:$A,增益!$J:$J,0))</f>
        <v>0</v>
      </c>
      <c r="BB74">
        <f t="shared" si="25"/>
        <v>594.1</v>
      </c>
      <c r="BC74">
        <f t="shared" si="26"/>
        <v>1604.9</v>
      </c>
      <c r="BD74" s="34" cm="1">
        <f t="array" ref="BD74">IF($F$12-$I$4+VLOOKUP($Q74,武学奇术!$A:$ZZ,11,FALSE)+SUM(_xlfn.XLOOKUP($R74:$AK74,增益!$A:$A,增益!$K:$K,0))&gt;0,($F$12-$I$4+VLOOKUP($Q74,武学奇术!$A:$ZZ,11,FALSE)+SUM(_xlfn.XLOOKUP($R74:$AK74,增益!$A:$A,增益!$K:$K,0)))/200,($F$12-$I$4+VLOOKUP($Q74,武学奇术!$A:$ZZ,11,FALSE)+SUM(_xlfn.XLOOKUP($R74:$AK74,增益!$A:$A,增益!$K:$K,0)))/100)</f>
        <v>0.17</v>
      </c>
      <c r="BE74" s="34" cm="1">
        <f t="array" ref="BE74">$G$12+VLOOKUP($Q74,武学奇术!$A:$ZZ,12,FALSE)+SUM(_xlfn.XLOOKUP($R74:$AK74,增益!$A:$A,增益!$L:$L,0))</f>
        <v>0.15</v>
      </c>
      <c r="BF74">
        <f t="shared" si="27"/>
        <v>0</v>
      </c>
      <c r="BG74">
        <f t="shared" si="28"/>
        <v>0</v>
      </c>
      <c r="BH74" s="34" cm="1">
        <f t="array" ref="BH74">IF($F$13-$I$4+VLOOKUP($Q74,武学奇术!$A:$ZZ,13,FALSE)+SUM(_xlfn.XLOOKUP($R74:$AK74,增益!$A:$A,增益!$M:$M,0))&gt;0,($F$13-$I$4+VLOOKUP($Q74,武学奇术!$A:$ZZ,13,FALSE)+SUM(_xlfn.XLOOKUP($R74:$AK74,增益!$A:$A,增益!$K:$K,0)))/200,($F$13-$I$4+VLOOKUP($Q74,武学奇术!$A:$ZZ,13,FALSE)+SUM(_xlfn.XLOOKUP($R74:$AK74,增益!$A:$A,增益!$M:$M,0)))/100)</f>
        <v>-0.14</v>
      </c>
      <c r="BI74" s="34" cm="1">
        <f t="array" ref="BI74">$G$13+VLOOKUP($Q74,武学奇术!$A:$ZZ,14,FALSE)+SUM(_xlfn.XLOOKUP($R74:$AK74,增益!$A:$A,增益!$N:$N,0))</f>
        <v>0</v>
      </c>
      <c r="BJ74">
        <f t="shared" si="29"/>
        <v>0</v>
      </c>
      <c r="BK74">
        <f t="shared" si="30"/>
        <v>0</v>
      </c>
      <c r="BL74" s="34" cm="1">
        <f t="array" ref="BL74">IF($F$14-$I$4+VLOOKUP($Q74,武学奇术!$A:$ZZ,15,FALSE)+SUM(_xlfn.XLOOKUP($R74:$AK74,增益!$A:$A,增益!$O:$O,0))&gt;0,($F$14-$I$4+VLOOKUP($Q74,武学奇术!$A:$ZZ,15,FALSE)+SUM(_xlfn.XLOOKUP($R74:$AK74,增益!$A:$A,增益!$O:$O,0)))/200,($F$14-$I$4+VLOOKUP($Q74,武学奇术!$A:$ZZ,15,FALSE)+SUM(_xlfn.XLOOKUP($R74:$AK74,增益!$A:$A,增益!$O:$O,0)))/100)</f>
        <v>-0.14</v>
      </c>
      <c r="BM74" s="34" cm="1">
        <f t="array" ref="BM74">$G$14+VLOOKUP($Q74,武学奇术!$A:$ZZ,16,FALSE)+SUM(_xlfn.XLOOKUP($R74:$AK74,增益!$A:$A,增益!$P:$P,0))</f>
        <v>0</v>
      </c>
      <c r="BN74" s="27">
        <f>MIN(IF(VLOOKUP($Q74,武学奇术!$A:$ZZ,23,FALSE)=1,100%,$B$8),100%)</f>
        <v>0.9859</v>
      </c>
      <c r="BO74" s="27" cm="1">
        <f t="array" ref="BO74">IF(VLOOKUP($Q74,武学奇术!$A:$ZZ,23,FALSE)=1,100%,MIN(80%,$B$9+VLOOKUP($Q74,武学奇术!$A:$ZZ,17,FALSE)+SUM(_xlfn.XLOOKUP($R74:$AK74,增益!$A:$A,增益!$Q:$Q,0)))+$B$11+SUM(_xlfn.XLOOKUP($R74:$AK74,增益!$A:$A,增益!$U:$U,0)))*IF(VLOOKUP($Q74,武学奇术!$A:$ZZ,24,FALSE)=1,0,1)</f>
        <v>0.8912</v>
      </c>
      <c r="BP74" s="27" cm="1">
        <f t="array" ref="BP74">1+$B$13+VLOOKUP($Q74,武学奇术!$A:$ZZ,18,FALSE)+SUM(_xlfn.XLOOKUP($R74:$AK74,增益!$A:$A,增益!$R:$R,0))</f>
        <v>1.74</v>
      </c>
      <c r="BQ74" s="27" cm="1">
        <f t="array" ref="BQ74">IF(VLOOKUP($Q74,武学奇术!$A:$ZZ,24,FALSE)=1,100%,MIN(40%,$B$10+VLOOKUP($Q74,武学奇术!$A:$ZZ,19,FALSE)+SUM(_xlfn.XLOOKUP($R74:$AK74,增益!$A:$A,增益!$S:$S,0)))+$B$12+SUM(_xlfn.XLOOKUP($R74:$AK74,增益!$A:$A,增益!$V:$V,0)))*IF(VLOOKUP($Q74,武学奇术!$A:$ZZ,23,FALSE)=1,0,1)</f>
        <v>0.0929</v>
      </c>
      <c r="BR74" s="27" cm="1">
        <f t="array" ref="BR74">1+$B$14+VLOOKUP($Q74,武学奇术!$A:$ZZ,20,FALSE)+SUM(_xlfn.XLOOKUP($R74:$AK74,增益!$A:$A,增益!$T:$T,0))</f>
        <v>1.35</v>
      </c>
      <c r="BS74" s="27">
        <f t="shared" si="31"/>
        <v>0.87863408</v>
      </c>
      <c r="BT74" s="27">
        <f t="shared" si="32"/>
        <v>0.01567581</v>
      </c>
      <c r="BU74" s="27">
        <f>IF(VLOOKUP($Q74,武学奇术!$A:$ZZ,22,FALSE)=1,0,(1-$BN74))*(1-$BQ74)</f>
        <v>0.01279011</v>
      </c>
      <c r="BV74" s="27" cm="1">
        <f t="array" ref="BV74">SUM(_xlfn.XLOOKUP($R74:$AK74,增益!$A:$A,增益!$W:$W,0))+$I$5</f>
        <v>0.11</v>
      </c>
    </row>
    <row r="75" spans="1:74">
      <c r="A75" s="4" t="s">
        <v>190</v>
      </c>
      <c r="B75" s="4">
        <v>29.9</v>
      </c>
      <c r="K75" s="40">
        <f t="shared" si="33"/>
        <v>16266.6821471328</v>
      </c>
      <c r="L75" s="40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BP75*$P75*(1+IF(VLOOKUP($Q75,武学奇术!$A:$ZZ,30,FALSE)="蓄力技",$B$21,0))*(1+$BV75)</f>
        <v>16871.2709756515</v>
      </c>
      <c r="M75" s="40">
        <f>(($AT75*$AM75+$AN75)*(1+$AU75)*(1+$AV75)+($AY75*IF($G$1="鸣金",$AO75,$AM75)+IF($G$1="鸣金",$AP75*1.5,0))*(1+$AZ75)*(1+$BA75)+($BC75*IF($G$1="裂石",$AO75,$AM75)+IF($G$1="裂石",$AP75*1.5,0))*(1+$BD75)*(1+$BE75)+($BG75*IF($G$1="牵丝",$AO75,$AM75)+IF($G$1="牵丝",$AP75*1.5,0))*(1+$BH75)*(1+$BI75)+($BK75*IF($G$1="破竹",$AO75,$AM75)+IF($G$1="破竹",$AP75*1.5,0))*(1+$BL75)*(1+$BM75))*(1+$AQ75)*$BR75*$P75*(1+IF(VLOOKUP($Q75,武学奇术!$A:$ZZ,30,FALSE)="蓄力技",$B$21,0))*(1+$BV75)</f>
        <v>13018.3165713591</v>
      </c>
      <c r="N75" s="40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P75*(1+IF(VLOOKUP($Q75,武学奇术!$A:$ZZ,30,FALSE)="蓄力技",$B$21,0))*(1+$BV75)</f>
        <v>8651.93383366744</v>
      </c>
      <c r="O75" s="40">
        <f>((($AS75*$AM75+$AN75)*(1+$AU75)*(1+$AV75)+($AX75*IF($G$1="鸣金",$AO75,$AM75)+IF($G$1="鸣金",$AP75*1.5,0))*(1+$AZ75)*(1+$BA75)+($BB75*IF($G$1="裂石",$AO75,$AM75)+IF($G$1="裂石",$AP75*1.5,0))*(1+$BD75)*(1+$BE75)+($BF75*IF($G$1="牵丝",$AO75,$AM75)+IF($G$1="牵丝",$AP75*1.5,0))*(1+$BH75)*(1+$BI75)+($BJ75*IF($G$1="破竹",$AO75,$AM75)+IF($G$1="破竹",$AP75*1.5,0))*(1+$BL75)*(1+$BM75))*(1+$AQ75))*$P75*(1+IF(VLOOKUP($Q75,武学奇术!$A:$ZZ,30,FALSE)="蓄力技",$B$21,0))*(1+$BV75)</f>
        <v>7660.67020706891</v>
      </c>
      <c r="P75" s="41">
        <v>1</v>
      </c>
      <c r="Q75" s="42" t="s">
        <v>179</v>
      </c>
      <c r="R75" s="42" t="s">
        <v>103</v>
      </c>
      <c r="S75" s="42" t="s">
        <v>77</v>
      </c>
      <c r="T75" s="42" t="s">
        <v>77</v>
      </c>
      <c r="U75" s="42" t="s">
        <v>87</v>
      </c>
      <c r="V75" s="42" t="s">
        <v>77</v>
      </c>
      <c r="W75" s="42" t="s">
        <v>77</v>
      </c>
      <c r="X75" s="42" t="s">
        <v>176</v>
      </c>
      <c r="Y75" s="42" t="s">
        <v>77</v>
      </c>
      <c r="Z75" s="42" t="s">
        <v>77</v>
      </c>
      <c r="AA75" s="42" t="s">
        <v>77</v>
      </c>
      <c r="AB75" s="42" t="s">
        <v>89</v>
      </c>
      <c r="AC75" s="42" t="s">
        <v>77</v>
      </c>
      <c r="AD75" s="42" t="s">
        <v>80</v>
      </c>
      <c r="AE75" s="42" t="s">
        <v>81</v>
      </c>
      <c r="AF75" s="42" t="s">
        <v>82</v>
      </c>
      <c r="AG75" s="42" t="s">
        <v>77</v>
      </c>
      <c r="AH75" s="42" t="s">
        <v>77</v>
      </c>
      <c r="AI75" s="42" t="s">
        <v>77</v>
      </c>
      <c r="AJ75" s="42" t="s">
        <v>77</v>
      </c>
      <c r="AK75" s="42" t="s">
        <v>90</v>
      </c>
      <c r="AL75" t="str">
        <f>VLOOKUP($Q75,武学奇术!$A:$ZZ,25,FALSE)</f>
        <v>横刀</v>
      </c>
      <c r="AM75" s="27">
        <f>VLOOKUP($Q75,武学奇术!$A:$ZZ,26,FALSE)</f>
        <v>0.6486</v>
      </c>
      <c r="AN75" s="28">
        <f>VLOOKUP($Q75,武学奇术!$A:$ZZ,27,FALSE)*(1+IF(OR($AL75=$F$4,$AL75=$F$5),$B$22,0))</f>
        <v>270</v>
      </c>
      <c r="AO75" s="27">
        <f>VLOOKUP($Q75,武学奇术!$A:$ZZ,28,FALSE)</f>
        <v>0.9729</v>
      </c>
      <c r="AP75" s="28">
        <f>VLOOKUP($Q75,武学奇术!$A:$ZZ,29,FALSE)*(1+IF(OR($AL75=$F$4,$AL75=$F$5),$B$22,0))</f>
        <v>147</v>
      </c>
      <c r="AQ75" s="27" cm="1">
        <f t="array" ref="AQ75">$G$3+IFERROR(VLOOKUP($AL75,$F$4:$G$7,2,FALSE),0)+VLOOKUP($Q75,武学奇术!$A:$ZZ,2,FALSE)+SUM(_xlfn.XLOOKUP($R75:$AK75,增益!$A:$A,增益!$B:$B,0))</f>
        <v>0.4489</v>
      </c>
      <c r="AR75" s="27" cm="1">
        <f t="array" ref="AR75">VLOOKUP($Q75,武学奇术!$A:$ZZ,5,FALSE)+SUM(_xlfn.XLOOKUP($R75:$AK75,增益!$A:$A,增益!$E:$E,0))</f>
        <v>0</v>
      </c>
      <c r="AS75" cm="1">
        <f t="array" ref="AS75">$D$10*(1+$AR75)+VLOOKUP($Q75,武学奇术!$A:$ZZ,3,FALSE)+SUM(_xlfn.XLOOKUP($R75:$AK75,增益!$A:$A,增益!$C:$C,0))-$I$2</f>
        <v>3648.7</v>
      </c>
      <c r="AT75" cm="1">
        <f t="array" ref="AT75">$E$10*(1+$AR75)+VLOOKUP($Q75,武学奇术!$A:$ZZ,4,FALSE)+SUM(_xlfn.XLOOKUP($R75:$AK75,增益!$A:$A,增益!$D:$D,0))-$I$2</f>
        <v>3648.7</v>
      </c>
      <c r="AU75" s="34" cm="1">
        <f t="array" ref="AU75">IF($F$10-$I$3+VLOOKUP($Q75,武学奇术!$A:$ZZ,6,FALSE)+SUM(_xlfn.XLOOKUP($R75:$AK75,增益!$A:$A,增益!$F:$F,0))&gt;0,($F$10-$I$3+VLOOKUP($Q75,武学奇术!$A:$ZZ,6,FALSE)+SUM(_xlfn.XLOOKUP($R75:$AK75,增益!$A:$A,增益!$F:$F,0)))/200,($F$10-$I$3+VLOOKUP($Q75,武学奇术!$A:$ZZ,6,FALSE)+SUM(_xlfn.XLOOKUP($R75:$AK75,增益!$A:$A,增益!$F:$F,0)))/100)</f>
        <v>0.427</v>
      </c>
      <c r="AV75" s="34" cm="1">
        <f t="array" ref="AV75">$G$10+VLOOKUP($Q75,武学奇术!$A:$ZZ,7,FALSE)+SUM(_xlfn.XLOOKUP($R75:$AK75,增益!$A:$A,增益!$G:$G,0))</f>
        <v>0</v>
      </c>
      <c r="AW75" s="27" cm="1">
        <f t="array" ref="AW75">VLOOKUP($Q75,武学奇术!$A:$ZZ,8,FALSE)+SUM(_xlfn.XLOOKUP($R75:$AK75,增益!$A:$A,增益!$H:$H,0))</f>
        <v>0</v>
      </c>
      <c r="AX75">
        <f t="shared" si="23"/>
        <v>0</v>
      </c>
      <c r="AY75">
        <f t="shared" si="24"/>
        <v>0</v>
      </c>
      <c r="AZ75" s="34" cm="1">
        <f t="array" ref="AZ75">IF($F$11-$I$4+VLOOKUP($Q75,武学奇术!$A:$ZZ,9,FALSE)+SUM(_xlfn.XLOOKUP($R75:$AK75,增益!$A:$A,增益!$I:$I,0))&gt;0,($F$11-$I$4+VLOOKUP($Q75,武学奇术!$A:$ZZ,9,FALSE)+SUM(_xlfn.XLOOKUP($R75:$AK75,增益!$A:$A,增益!$I:$I,0)))/200,($F$11-$I$4+VLOOKUP($Q75,武学奇术!$A:$ZZ,9,FALSE)+SUM(_xlfn.XLOOKUP($R75:$AK75,增益!$A:$A,增益!$I:$I,0)))/100)</f>
        <v>-0.3</v>
      </c>
      <c r="BA75" s="34" cm="1">
        <f t="array" ref="BA75">$G$11+VLOOKUP($Q75,武学奇术!$A:$ZZ,10,FALSE)+SUM(_xlfn.XLOOKUP($R75:$AK75,增益!$A:$A,增益!$J:$J,0))</f>
        <v>0</v>
      </c>
      <c r="BB75">
        <f t="shared" si="25"/>
        <v>594.1</v>
      </c>
      <c r="BC75">
        <f t="shared" si="26"/>
        <v>1604.9</v>
      </c>
      <c r="BD75" s="34" cm="1">
        <f t="array" ref="BD75">IF($F$12-$I$4+VLOOKUP($Q75,武学奇术!$A:$ZZ,11,FALSE)+SUM(_xlfn.XLOOKUP($R75:$AK75,增益!$A:$A,增益!$K:$K,0))&gt;0,($F$12-$I$4+VLOOKUP($Q75,武学奇术!$A:$ZZ,11,FALSE)+SUM(_xlfn.XLOOKUP($R75:$AK75,增益!$A:$A,增益!$K:$K,0)))/200,($F$12-$I$4+VLOOKUP($Q75,武学奇术!$A:$ZZ,11,FALSE)+SUM(_xlfn.XLOOKUP($R75:$AK75,增益!$A:$A,增益!$K:$K,0)))/100)</f>
        <v>0.09</v>
      </c>
      <c r="BE75" s="34" cm="1">
        <f t="array" ref="BE75">$G$12+VLOOKUP($Q75,武学奇术!$A:$ZZ,12,FALSE)+SUM(_xlfn.XLOOKUP($R75:$AK75,增益!$A:$A,增益!$L:$L,0))</f>
        <v>0.15</v>
      </c>
      <c r="BF75">
        <f t="shared" si="27"/>
        <v>0</v>
      </c>
      <c r="BG75">
        <f t="shared" si="28"/>
        <v>0</v>
      </c>
      <c r="BH75" s="34" cm="1">
        <f t="array" ref="BH75">IF($F$13-$I$4+VLOOKUP($Q75,武学奇术!$A:$ZZ,13,FALSE)+SUM(_xlfn.XLOOKUP($R75:$AK75,增益!$A:$A,增益!$M:$M,0))&gt;0,($F$13-$I$4+VLOOKUP($Q75,武学奇术!$A:$ZZ,13,FALSE)+SUM(_xlfn.XLOOKUP($R75:$AK75,增益!$A:$A,增益!$K:$K,0)))/200,($F$13-$I$4+VLOOKUP($Q75,武学奇术!$A:$ZZ,13,FALSE)+SUM(_xlfn.XLOOKUP($R75:$AK75,增益!$A:$A,增益!$M:$M,0)))/100)</f>
        <v>-0.3</v>
      </c>
      <c r="BI75" s="34" cm="1">
        <f t="array" ref="BI75">$G$13+VLOOKUP($Q75,武学奇术!$A:$ZZ,14,FALSE)+SUM(_xlfn.XLOOKUP($R75:$AK75,增益!$A:$A,增益!$N:$N,0))</f>
        <v>0</v>
      </c>
      <c r="BJ75">
        <f t="shared" si="29"/>
        <v>0</v>
      </c>
      <c r="BK75">
        <f t="shared" si="30"/>
        <v>0</v>
      </c>
      <c r="BL75" s="34" cm="1">
        <f t="array" ref="BL75">IF($F$14-$I$4+VLOOKUP($Q75,武学奇术!$A:$ZZ,15,FALSE)+SUM(_xlfn.XLOOKUP($R75:$AK75,增益!$A:$A,增益!$O:$O,0))&gt;0,($F$14-$I$4+VLOOKUP($Q75,武学奇术!$A:$ZZ,15,FALSE)+SUM(_xlfn.XLOOKUP($R75:$AK75,增益!$A:$A,增益!$O:$O,0)))/200,($F$14-$I$4+VLOOKUP($Q75,武学奇术!$A:$ZZ,15,FALSE)+SUM(_xlfn.XLOOKUP($R75:$AK75,增益!$A:$A,增益!$O:$O,0)))/100)</f>
        <v>-0.3</v>
      </c>
      <c r="BM75" s="34" cm="1">
        <f t="array" ref="BM75">$G$14+VLOOKUP($Q75,武学奇术!$A:$ZZ,16,FALSE)+SUM(_xlfn.XLOOKUP($R75:$AK75,增益!$A:$A,增益!$P:$P,0))</f>
        <v>0</v>
      </c>
      <c r="BN75" s="27">
        <f>MIN(IF(VLOOKUP($Q75,武学奇术!$A:$ZZ,23,FALSE)=1,100%,$B$8),100%)</f>
        <v>0.9859</v>
      </c>
      <c r="BO75" s="27" cm="1">
        <f t="array" ref="BO75">IF(VLOOKUP($Q75,武学奇术!$A:$ZZ,23,FALSE)=1,100%,MIN(80%,$B$9+VLOOKUP($Q75,武学奇术!$A:$ZZ,17,FALSE)+SUM(_xlfn.XLOOKUP($R75:$AK75,增益!$A:$A,增益!$Q:$Q,0)))+$B$11+SUM(_xlfn.XLOOKUP($R75:$AK75,增益!$A:$A,增益!$U:$U,0)))*IF(VLOOKUP($Q75,武学奇术!$A:$ZZ,24,FALSE)=1,0,1)</f>
        <v>0.8912</v>
      </c>
      <c r="BP75" s="27" cm="1">
        <f t="array" ref="BP75">1+$B$13+VLOOKUP($Q75,武学奇术!$A:$ZZ,18,FALSE)+SUM(_xlfn.XLOOKUP($R75:$AK75,增益!$A:$A,增益!$R:$R,0))</f>
        <v>1.95</v>
      </c>
      <c r="BQ75" s="27" cm="1">
        <f t="array" ref="BQ75">IF(VLOOKUP($Q75,武学奇术!$A:$ZZ,24,FALSE)=1,100%,MIN(40%,$B$10+VLOOKUP($Q75,武学奇术!$A:$ZZ,19,FALSE)+SUM(_xlfn.XLOOKUP($R75:$AK75,增益!$A:$A,增益!$S:$S,0)))+$B$12+SUM(_xlfn.XLOOKUP($R75:$AK75,增益!$A:$A,增益!$V:$V,0)))*IF(VLOOKUP($Q75,武学奇术!$A:$ZZ,23,FALSE)=1,0,1)</f>
        <v>0.0929</v>
      </c>
      <c r="BR75" s="27" cm="1">
        <f t="array" ref="BR75">1+$B$14+VLOOKUP($Q75,武学奇术!$A:$ZZ,20,FALSE)+SUM(_xlfn.XLOOKUP($R75:$AK75,增益!$A:$A,增益!$T:$T,0))</f>
        <v>1.35</v>
      </c>
      <c r="BS75" s="27">
        <f t="shared" si="31"/>
        <v>0.87863408</v>
      </c>
      <c r="BT75" s="27">
        <f t="shared" si="32"/>
        <v>0.01567581</v>
      </c>
      <c r="BU75" s="27">
        <f>IF(VLOOKUP($Q75,武学奇术!$A:$ZZ,22,FALSE)=1,0,(1-$BN75))*(1-$BQ75)</f>
        <v>0.01279011</v>
      </c>
      <c r="BV75" s="27" cm="1">
        <f t="array" ref="BV75">SUM(_xlfn.XLOOKUP($R75:$AK75,增益!$A:$A,增益!$W:$W,0))+$I$5</f>
        <v>0.11</v>
      </c>
    </row>
    <row r="76" spans="1:74">
      <c r="K76" s="40">
        <f t="shared" si="33"/>
        <v>82459.6683294569</v>
      </c>
      <c r="L76" s="40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BP76*$P76*(1+IF(VLOOKUP($Q76,武学奇术!$A:$ZZ,30,FALSE)="蓄力技",$B$21,0))*(1+$BV76)</f>
        <v>85721.3010865585</v>
      </c>
      <c r="M76" s="40">
        <f>(($AT76*$AM76+$AN76)*(1+$AU76)*(1+$AV76)+($AY76*IF($G$1="鸣金",$AO76,$AM76)+IF($G$1="鸣金",$AP76*1.5,0))*(1+$AZ76)*(1+$BA76)+($BC76*IF($G$1="裂石",$AO76,$AM76)+IF($G$1="裂石",$AP76*1.5,0))*(1+$BD76)*(1+$BE76)+($BG76*IF($G$1="牵丝",$AO76,$AM76)+IF($G$1="牵丝",$AP76*1.5,0))*(1+$BH76)*(1+$BI76)+($BK76*IF($G$1="破竹",$AO76,$AM76)+IF($G$1="破竹",$AP76*1.5,0))*(1+$BL76)*(1+$BM76))*(1+$AQ76)*$BR76*$P76*(1+IF(VLOOKUP($Q76,武学奇术!$A:$ZZ,30,FALSE)="蓄力技",$B$21,0))*(1+$BV76)</f>
        <v>64413.5107533854</v>
      </c>
      <c r="N76" s="40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P76*(1+IF(VLOOKUP($Q76,武学奇术!$A:$ZZ,30,FALSE)="蓄力技",$B$21,0))*(1+$BV76)</f>
        <v>42860.6505432793</v>
      </c>
      <c r="O76" s="40">
        <f>((($AS76*$AM76+$AN76)*(1+$AU76)*(1+$AV76)+($AX76*IF($G$1="鸣金",$AO76,$AM76)+IF($G$1="鸣金",$AP76*1.5,0))*(1+$AZ76)*(1+$BA76)+($BB76*IF($G$1="裂石",$AO76,$AM76)+IF($G$1="裂石",$AP76*1.5,0))*(1+$BD76)*(1+$BE76)+($BF76*IF($G$1="牵丝",$AO76,$AM76)+IF($G$1="牵丝",$AP76*1.5,0))*(1+$BH76)*(1+$BI76)+($BJ76*IF($G$1="破竹",$AO76,$AM76)+IF($G$1="破竹",$AP76*1.5,0))*(1+$BL76)*(1+$BM76))*(1+$AQ76))*$P76*(1+IF(VLOOKUP($Q76,武学奇术!$A:$ZZ,30,FALSE)="蓄力技",$B$21,0))*(1+$BV76)</f>
        <v>38007.5894173842</v>
      </c>
      <c r="P76" s="41">
        <v>1</v>
      </c>
      <c r="Q76" s="42" t="s">
        <v>180</v>
      </c>
      <c r="R76" s="42" t="s">
        <v>103</v>
      </c>
      <c r="S76" s="42" t="s">
        <v>77</v>
      </c>
      <c r="T76" s="42" t="s">
        <v>77</v>
      </c>
      <c r="U76" s="42" t="s">
        <v>121</v>
      </c>
      <c r="V76" s="42" t="s">
        <v>77</v>
      </c>
      <c r="W76" s="42" t="s">
        <v>77</v>
      </c>
      <c r="X76" s="42" t="s">
        <v>176</v>
      </c>
      <c r="Y76" s="42" t="s">
        <v>77</v>
      </c>
      <c r="Z76" s="42" t="s">
        <v>77</v>
      </c>
      <c r="AA76" s="42" t="s">
        <v>73</v>
      </c>
      <c r="AB76" s="42" t="s">
        <v>89</v>
      </c>
      <c r="AC76" s="42" t="s">
        <v>77</v>
      </c>
      <c r="AD76" s="42" t="s">
        <v>80</v>
      </c>
      <c r="AE76" s="42" t="s">
        <v>81</v>
      </c>
      <c r="AF76" s="42" t="s">
        <v>82</v>
      </c>
      <c r="AG76" s="42" t="s">
        <v>77</v>
      </c>
      <c r="AH76" s="42" t="s">
        <v>77</v>
      </c>
      <c r="AI76" s="42" t="s">
        <v>77</v>
      </c>
      <c r="AJ76" s="42" t="s">
        <v>77</v>
      </c>
      <c r="AK76" s="42" t="s">
        <v>90</v>
      </c>
      <c r="AL76" t="str">
        <f>VLOOKUP($Q76,武学奇术!$A:$ZZ,25,FALSE)</f>
        <v>横刀</v>
      </c>
      <c r="AM76" s="27">
        <f>VLOOKUP($Q76,武学奇术!$A:$ZZ,26,FALSE)</f>
        <v>2.8245</v>
      </c>
      <c r="AN76" s="28">
        <f>VLOOKUP($Q76,武学奇术!$A:$ZZ,27,FALSE)*(1+IF(OR($AL76=$F$4,$AL76=$F$5),$B$22,0))</f>
        <v>1173</v>
      </c>
      <c r="AO76" s="27">
        <f>VLOOKUP($Q76,武学奇术!$A:$ZZ,28,FALSE)</f>
        <v>4.236808</v>
      </c>
      <c r="AP76" s="28">
        <f>VLOOKUP($Q76,武学奇术!$A:$ZZ,29,FALSE)*(1+IF(OR($AL76=$F$4,$AL76=$F$5),$B$22,0))</f>
        <v>637.5</v>
      </c>
      <c r="AQ76" s="27" cm="1">
        <f t="array" ref="AQ76">$G$3+IFERROR(VLOOKUP($AL76,$F$4:$G$7,2,FALSE),0)+VLOOKUP($Q76,武学奇术!$A:$ZZ,2,FALSE)+SUM(_xlfn.XLOOKUP($R76:$AK76,增益!$A:$A,增益!$B:$B,0))</f>
        <v>0.6289</v>
      </c>
      <c r="AR76" s="27" cm="1">
        <f t="array" ref="AR76">VLOOKUP($Q76,武学奇术!$A:$ZZ,5,FALSE)+SUM(_xlfn.XLOOKUP($R76:$AK76,增益!$A:$A,增益!$E:$E,0))</f>
        <v>0</v>
      </c>
      <c r="AS76" cm="1">
        <f t="array" ref="AS76">$D$10*(1+$AR76)+VLOOKUP($Q76,武学奇术!$A:$ZZ,3,FALSE)+SUM(_xlfn.XLOOKUP($R76:$AK76,增益!$A:$A,增益!$C:$C,0))-$I$2</f>
        <v>3648.7</v>
      </c>
      <c r="AT76" cm="1">
        <f t="array" ref="AT76">$E$10*(1+$AR76)+VLOOKUP($Q76,武学奇术!$A:$ZZ,4,FALSE)+SUM(_xlfn.XLOOKUP($R76:$AK76,增益!$A:$A,增益!$D:$D,0))-$I$2</f>
        <v>3648.7</v>
      </c>
      <c r="AU76" s="34" cm="1">
        <f t="array" ref="AU76">IF($F$10-$I$3+VLOOKUP($Q76,武学奇术!$A:$ZZ,6,FALSE)+SUM(_xlfn.XLOOKUP($R76:$AK76,增益!$A:$A,增益!$F:$F,0))&gt;0,($F$10-$I$3+VLOOKUP($Q76,武学奇术!$A:$ZZ,6,FALSE)+SUM(_xlfn.XLOOKUP($R76:$AK76,增益!$A:$A,增益!$F:$F,0)))/200,($F$10-$I$3+VLOOKUP($Q76,武学奇术!$A:$ZZ,6,FALSE)+SUM(_xlfn.XLOOKUP($R76:$AK76,增益!$A:$A,增益!$F:$F,0)))/100)</f>
        <v>0.452</v>
      </c>
      <c r="AV76" s="34" cm="1">
        <f t="array" ref="AV76">$G$10+VLOOKUP($Q76,武学奇术!$A:$ZZ,7,FALSE)+SUM(_xlfn.XLOOKUP($R76:$AK76,增益!$A:$A,增益!$G:$G,0))</f>
        <v>0</v>
      </c>
      <c r="AW76" s="27" cm="1">
        <f t="array" ref="AW76">VLOOKUP($Q76,武学奇术!$A:$ZZ,8,FALSE)+SUM(_xlfn.XLOOKUP($R76:$AK76,增益!$A:$A,增益!$H:$H,0))</f>
        <v>0</v>
      </c>
      <c r="AX76">
        <f t="shared" si="23"/>
        <v>0</v>
      </c>
      <c r="AY76">
        <f t="shared" si="24"/>
        <v>0</v>
      </c>
      <c r="AZ76" s="34" cm="1">
        <f t="array" ref="AZ76">IF($F$11-$I$4+VLOOKUP($Q76,武学奇术!$A:$ZZ,9,FALSE)+SUM(_xlfn.XLOOKUP($R76:$AK76,增益!$A:$A,增益!$I:$I,0))&gt;0,($F$11-$I$4+VLOOKUP($Q76,武学奇术!$A:$ZZ,9,FALSE)+SUM(_xlfn.XLOOKUP($R76:$AK76,增益!$A:$A,增益!$I:$I,0)))/200,($F$11-$I$4+VLOOKUP($Q76,武学奇术!$A:$ZZ,9,FALSE)+SUM(_xlfn.XLOOKUP($R76:$AK76,增益!$A:$A,增益!$I:$I,0)))/100)</f>
        <v>-0.3</v>
      </c>
      <c r="BA76" s="34" cm="1">
        <f t="array" ref="BA76">$G$11+VLOOKUP($Q76,武学奇术!$A:$ZZ,10,FALSE)+SUM(_xlfn.XLOOKUP($R76:$AK76,增益!$A:$A,增益!$J:$J,0))</f>
        <v>0</v>
      </c>
      <c r="BB76">
        <f t="shared" si="25"/>
        <v>594.1</v>
      </c>
      <c r="BC76">
        <f t="shared" si="26"/>
        <v>1604.9</v>
      </c>
      <c r="BD76" s="34" cm="1">
        <f t="array" ref="BD76">IF($F$12-$I$4+VLOOKUP($Q76,武学奇术!$A:$ZZ,11,FALSE)+SUM(_xlfn.XLOOKUP($R76:$AK76,增益!$A:$A,增益!$K:$K,0))&gt;0,($F$12-$I$4+VLOOKUP($Q76,武学奇术!$A:$ZZ,11,FALSE)+SUM(_xlfn.XLOOKUP($R76:$AK76,增益!$A:$A,增益!$K:$K,0)))/200,($F$12-$I$4+VLOOKUP($Q76,武学奇术!$A:$ZZ,11,FALSE)+SUM(_xlfn.XLOOKUP($R76:$AK76,增益!$A:$A,增益!$K:$K,0)))/100)</f>
        <v>0.09</v>
      </c>
      <c r="BE76" s="34" cm="1">
        <f t="array" ref="BE76">$G$12+VLOOKUP($Q76,武学奇术!$A:$ZZ,12,FALSE)+SUM(_xlfn.XLOOKUP($R76:$AK76,增益!$A:$A,增益!$L:$L,0))</f>
        <v>0.15</v>
      </c>
      <c r="BF76">
        <f t="shared" si="27"/>
        <v>0</v>
      </c>
      <c r="BG76">
        <f t="shared" si="28"/>
        <v>0</v>
      </c>
      <c r="BH76" s="34" cm="1">
        <f t="array" ref="BH76">IF($F$13-$I$4+VLOOKUP($Q76,武学奇术!$A:$ZZ,13,FALSE)+SUM(_xlfn.XLOOKUP($R76:$AK76,增益!$A:$A,增益!$M:$M,0))&gt;0,($F$13-$I$4+VLOOKUP($Q76,武学奇术!$A:$ZZ,13,FALSE)+SUM(_xlfn.XLOOKUP($R76:$AK76,增益!$A:$A,增益!$K:$K,0)))/200,($F$13-$I$4+VLOOKUP($Q76,武学奇术!$A:$ZZ,13,FALSE)+SUM(_xlfn.XLOOKUP($R76:$AK76,增益!$A:$A,增益!$M:$M,0)))/100)</f>
        <v>-0.3</v>
      </c>
      <c r="BI76" s="34" cm="1">
        <f t="array" ref="BI76">$G$13+VLOOKUP($Q76,武学奇术!$A:$ZZ,14,FALSE)+SUM(_xlfn.XLOOKUP($R76:$AK76,增益!$A:$A,增益!$N:$N,0))</f>
        <v>0</v>
      </c>
      <c r="BJ76">
        <f t="shared" si="29"/>
        <v>0</v>
      </c>
      <c r="BK76">
        <f t="shared" si="30"/>
        <v>0</v>
      </c>
      <c r="BL76" s="34" cm="1">
        <f t="array" ref="BL76">IF($F$14-$I$4+VLOOKUP($Q76,武学奇术!$A:$ZZ,15,FALSE)+SUM(_xlfn.XLOOKUP($R76:$AK76,增益!$A:$A,增益!$O:$O,0))&gt;0,($F$14-$I$4+VLOOKUP($Q76,武学奇术!$A:$ZZ,15,FALSE)+SUM(_xlfn.XLOOKUP($R76:$AK76,增益!$A:$A,增益!$O:$O,0)))/200,($F$14-$I$4+VLOOKUP($Q76,武学奇术!$A:$ZZ,15,FALSE)+SUM(_xlfn.XLOOKUP($R76:$AK76,增益!$A:$A,增益!$O:$O,0)))/100)</f>
        <v>-0.3</v>
      </c>
      <c r="BM76" s="34" cm="1">
        <f t="array" ref="BM76">$G$14+VLOOKUP($Q76,武学奇术!$A:$ZZ,16,FALSE)+SUM(_xlfn.XLOOKUP($R76:$AK76,增益!$A:$A,增益!$P:$P,0))</f>
        <v>0</v>
      </c>
      <c r="BN76" s="27">
        <f>MIN(IF(VLOOKUP($Q76,武学奇术!$A:$ZZ,23,FALSE)=1,100%,$B$8),100%)</f>
        <v>0.9859</v>
      </c>
      <c r="BO76" s="27" cm="1">
        <f t="array" ref="BO76">IF(VLOOKUP($Q76,武学奇术!$A:$ZZ,23,FALSE)=1,100%,MIN(80%,$B$9+VLOOKUP($Q76,武学奇术!$A:$ZZ,17,FALSE)+SUM(_xlfn.XLOOKUP($R76:$AK76,增益!$A:$A,增益!$Q:$Q,0)))+$B$11+SUM(_xlfn.XLOOKUP($R76:$AK76,增益!$A:$A,增益!$U:$U,0)))*IF(VLOOKUP($Q76,武学奇术!$A:$ZZ,24,FALSE)=1,0,1)</f>
        <v>0.8912</v>
      </c>
      <c r="BP76" s="27" cm="1">
        <f t="array" ref="BP76">1+$B$13+VLOOKUP($Q76,武学奇术!$A:$ZZ,18,FALSE)+SUM(_xlfn.XLOOKUP($R76:$AK76,增益!$A:$A,增益!$R:$R,0))</f>
        <v>2</v>
      </c>
      <c r="BQ76" s="27" cm="1">
        <f t="array" ref="BQ76">IF(VLOOKUP($Q76,武学奇术!$A:$ZZ,24,FALSE)=1,100%,MIN(40%,$B$10+VLOOKUP($Q76,武学奇术!$A:$ZZ,19,FALSE)+SUM(_xlfn.XLOOKUP($R76:$AK76,增益!$A:$A,增益!$S:$S,0)))+$B$12+SUM(_xlfn.XLOOKUP($R76:$AK76,增益!$A:$A,增益!$V:$V,0)))*IF(VLOOKUP($Q76,武学奇术!$A:$ZZ,23,FALSE)=1,0,1)</f>
        <v>0.0929</v>
      </c>
      <c r="BR76" s="27" cm="1">
        <f t="array" ref="BR76">1+$B$14+VLOOKUP($Q76,武学奇术!$A:$ZZ,20,FALSE)+SUM(_xlfn.XLOOKUP($R76:$AK76,增益!$A:$A,增益!$T:$T,0))</f>
        <v>1.35</v>
      </c>
      <c r="BS76" s="27">
        <f t="shared" si="31"/>
        <v>0.87863408</v>
      </c>
      <c r="BT76" s="27">
        <f t="shared" si="32"/>
        <v>0.01567581</v>
      </c>
      <c r="BU76" s="27">
        <f>IF(VLOOKUP($Q76,武学奇术!$A:$ZZ,22,FALSE)=1,0,(1-$BN76))*(1-$BQ76)</f>
        <v>0.01279011</v>
      </c>
      <c r="BV76" s="27" cm="1">
        <f t="array" ref="BV76">SUM(_xlfn.XLOOKUP($R76:$AK76,增益!$A:$A,增益!$W:$W,0))+$I$5</f>
        <v>0.11</v>
      </c>
    </row>
    <row r="77" spans="1:74">
      <c r="A77" t="s">
        <v>164</v>
      </c>
      <c r="B77">
        <v>2.3</v>
      </c>
      <c r="K77" s="40">
        <f t="shared" si="33"/>
        <v>33697.8026925041</v>
      </c>
      <c r="L77" s="40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BP77*$P77*(1+IF(VLOOKUP($Q77,武学奇术!$A:$ZZ,30,FALSE)="蓄力技",$B$21,0))*(1+$BV77)</f>
        <v>34998.3381445872</v>
      </c>
      <c r="M77" s="40">
        <f>(($AT77*$AM77+$AN77)*(1+$AU77)*(1+$AV77)+($AY77*IF($G$1="鸣金",$AO77,$AM77)+IF($G$1="鸣金",$AP77*1.5,0))*(1+$AZ77)*(1+$BA77)+($BC77*IF($G$1="裂石",$AO77,$AM77)+IF($G$1="裂石",$AP77*1.5,0))*(1+$BD77)*(1+$BE77)+($BG77*IF($G$1="牵丝",$AO77,$AM77)+IF($G$1="牵丝",$AP77*1.5,0))*(1+$BH77)*(1+$BI77)+($BK77*IF($G$1="破竹",$AO77,$AM77)+IF($G$1="破竹",$AP77*1.5,0))*(1+$BL77)*(1+$BM77))*(1+$AQ77)*$BR77*$P77*(1+IF(VLOOKUP($Q77,武学奇术!$A:$ZZ,30,FALSE)="蓄力技",$B$21,0))*(1+$BV77)</f>
        <v>26671.8763939623</v>
      </c>
      <c r="N77" s="40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P77*(1+IF(VLOOKUP($Q77,武学奇术!$A:$ZZ,30,FALSE)="蓄力技",$B$21,0))*(1+$BV77)</f>
        <v>17499.1690722936</v>
      </c>
      <c r="O77" s="40">
        <f>((($AS77*$AM77+$AN77)*(1+$AU77)*(1+$AV77)+($AX77*IF($G$1="鸣金",$AO77,$AM77)+IF($G$1="鸣金",$AP77*1.5,0))*(1+$AZ77)*(1+$BA77)+($BB77*IF($G$1="裂石",$AO77,$AM77)+IF($G$1="裂石",$AP77*1.5,0))*(1+$BD77)*(1+$BE77)+($BF77*IF($G$1="牵丝",$AO77,$AM77)+IF($G$1="牵丝",$AP77*1.5,0))*(1+$BH77)*(1+$BI77)+($BJ77*IF($G$1="破竹",$AO77,$AM77)+IF($G$1="破竹",$AP77*1.5,0))*(1+$BL77)*(1+$BM77))*(1+$AQ77))*$P77*(1+IF(VLOOKUP($Q77,武学奇术!$A:$ZZ,30,FALSE)="蓄力技",$B$21,0))*(1+$BV77)</f>
        <v>15241.3926675781</v>
      </c>
      <c r="P77" s="41">
        <v>1</v>
      </c>
      <c r="Q77" s="42" t="s">
        <v>110</v>
      </c>
      <c r="R77" s="42" t="s">
        <v>103</v>
      </c>
      <c r="S77" s="42" t="s">
        <v>77</v>
      </c>
      <c r="T77" s="42" t="s">
        <v>77</v>
      </c>
      <c r="U77" s="42" t="s">
        <v>121</v>
      </c>
      <c r="V77" s="42" t="s">
        <v>77</v>
      </c>
      <c r="W77" s="42" t="s">
        <v>77</v>
      </c>
      <c r="X77" s="42" t="s">
        <v>176</v>
      </c>
      <c r="Y77" s="42" t="s">
        <v>77</v>
      </c>
      <c r="Z77" s="42" t="s">
        <v>77</v>
      </c>
      <c r="AA77" s="42" t="s">
        <v>73</v>
      </c>
      <c r="AB77" s="42" t="s">
        <v>89</v>
      </c>
      <c r="AC77" s="42" t="s">
        <v>77</v>
      </c>
      <c r="AD77" s="42" t="s">
        <v>80</v>
      </c>
      <c r="AE77" s="42" t="s">
        <v>81</v>
      </c>
      <c r="AF77" s="42" t="s">
        <v>82</v>
      </c>
      <c r="AG77" s="42" t="s">
        <v>77</v>
      </c>
      <c r="AH77" s="42" t="s">
        <v>77</v>
      </c>
      <c r="AI77" s="42" t="s">
        <v>77</v>
      </c>
      <c r="AJ77" s="42" t="s">
        <v>77</v>
      </c>
      <c r="AK77" s="42" t="s">
        <v>90</v>
      </c>
      <c r="AL77" t="str">
        <f>VLOOKUP($Q77,武学奇术!$A:$ZZ,25,FALSE)</f>
        <v>横刀</v>
      </c>
      <c r="AM77" s="27">
        <f>VLOOKUP($Q77,武学奇术!$A:$ZZ,26,FALSE)</f>
        <v>1.4</v>
      </c>
      <c r="AN77" s="28">
        <f>VLOOKUP($Q77,武学奇术!$A:$ZZ,27,FALSE)*(1+IF(OR($AL77=$F$4,$AL77=$F$5),$B$22,0))</f>
        <v>0</v>
      </c>
      <c r="AO77" s="27">
        <f>VLOOKUP($Q77,武学奇术!$A:$ZZ,28,FALSE)</f>
        <v>2.1</v>
      </c>
      <c r="AP77" s="28">
        <f>VLOOKUP($Q77,武学奇术!$A:$ZZ,29,FALSE)*(1+IF(OR($AL77=$F$4,$AL77=$F$5),$B$22,0))</f>
        <v>0</v>
      </c>
      <c r="AQ77" s="27" cm="1">
        <f t="array" ref="AQ77">$G$3+IFERROR(VLOOKUP($AL77,$F$4:$G$7,2,FALSE),0)+VLOOKUP($Q77,武学奇术!$A:$ZZ,2,FALSE)+SUM(_xlfn.XLOOKUP($R77:$AK77,增益!$A:$A,增益!$B:$B,0))</f>
        <v>0.5289</v>
      </c>
      <c r="AR77" s="27" cm="1">
        <f t="array" ref="AR77">VLOOKUP($Q77,武学奇术!$A:$ZZ,5,FALSE)+SUM(_xlfn.XLOOKUP($R77:$AK77,增益!$A:$A,增益!$E:$E,0))</f>
        <v>0</v>
      </c>
      <c r="AS77" cm="1">
        <f t="array" ref="AS77">$D$10*(1+$AR77)+VLOOKUP($Q77,武学奇术!$A:$ZZ,3,FALSE)+SUM(_xlfn.XLOOKUP($R77:$AK77,增益!$A:$A,增益!$C:$C,0))-$I$2</f>
        <v>3648.7</v>
      </c>
      <c r="AT77" cm="1">
        <f t="array" ref="AT77">$E$10*(1+$AR77)+VLOOKUP($Q77,武学奇术!$A:$ZZ,4,FALSE)+SUM(_xlfn.XLOOKUP($R77:$AK77,增益!$A:$A,增益!$D:$D,0))-$I$2</f>
        <v>3648.7</v>
      </c>
      <c r="AU77" s="34" cm="1">
        <f t="array" ref="AU77">IF($F$10-$I$3+VLOOKUP($Q77,武学奇术!$A:$ZZ,6,FALSE)+SUM(_xlfn.XLOOKUP($R77:$AK77,增益!$A:$A,增益!$F:$F,0))&gt;0,($F$10-$I$3+VLOOKUP($Q77,武学奇术!$A:$ZZ,6,FALSE)+SUM(_xlfn.XLOOKUP($R77:$AK77,增益!$A:$A,增益!$F:$F,0)))/200,($F$10-$I$3+VLOOKUP($Q77,武学奇术!$A:$ZZ,6,FALSE)+SUM(_xlfn.XLOOKUP($R77:$AK77,增益!$A:$A,增益!$F:$F,0)))/100)</f>
        <v>0.452</v>
      </c>
      <c r="AV77" s="34" cm="1">
        <f t="array" ref="AV77">$G$10+VLOOKUP($Q77,武学奇术!$A:$ZZ,7,FALSE)+SUM(_xlfn.XLOOKUP($R77:$AK77,增益!$A:$A,增益!$G:$G,0))</f>
        <v>0</v>
      </c>
      <c r="AW77" s="27" cm="1">
        <f t="array" ref="AW77">VLOOKUP($Q77,武学奇术!$A:$ZZ,8,FALSE)+SUM(_xlfn.XLOOKUP($R77:$AK77,增益!$A:$A,增益!$H:$H,0))</f>
        <v>0</v>
      </c>
      <c r="AX77">
        <f t="shared" si="23"/>
        <v>0</v>
      </c>
      <c r="AY77">
        <f t="shared" si="24"/>
        <v>0</v>
      </c>
      <c r="AZ77" s="34" cm="1">
        <f t="array" ref="AZ77">IF($F$11-$I$4+VLOOKUP($Q77,武学奇术!$A:$ZZ,9,FALSE)+SUM(_xlfn.XLOOKUP($R77:$AK77,增益!$A:$A,增益!$I:$I,0))&gt;0,($F$11-$I$4+VLOOKUP($Q77,武学奇术!$A:$ZZ,9,FALSE)+SUM(_xlfn.XLOOKUP($R77:$AK77,增益!$A:$A,增益!$I:$I,0)))/200,($F$11-$I$4+VLOOKUP($Q77,武学奇术!$A:$ZZ,9,FALSE)+SUM(_xlfn.XLOOKUP($R77:$AK77,增益!$A:$A,增益!$I:$I,0)))/100)</f>
        <v>-0.3</v>
      </c>
      <c r="BA77" s="34" cm="1">
        <f t="array" ref="BA77">$G$11+VLOOKUP($Q77,武学奇术!$A:$ZZ,10,FALSE)+SUM(_xlfn.XLOOKUP($R77:$AK77,增益!$A:$A,增益!$J:$J,0))</f>
        <v>0</v>
      </c>
      <c r="BB77">
        <f t="shared" si="25"/>
        <v>594.1</v>
      </c>
      <c r="BC77">
        <f t="shared" si="26"/>
        <v>1604.9</v>
      </c>
      <c r="BD77" s="34" cm="1">
        <f t="array" ref="BD77">IF($F$12-$I$4+VLOOKUP($Q77,武学奇术!$A:$ZZ,11,FALSE)+SUM(_xlfn.XLOOKUP($R77:$AK77,增益!$A:$A,增益!$K:$K,0))&gt;0,($F$12-$I$4+VLOOKUP($Q77,武学奇术!$A:$ZZ,11,FALSE)+SUM(_xlfn.XLOOKUP($R77:$AK77,增益!$A:$A,增益!$K:$K,0)))/200,($F$12-$I$4+VLOOKUP($Q77,武学奇术!$A:$ZZ,11,FALSE)+SUM(_xlfn.XLOOKUP($R77:$AK77,增益!$A:$A,增益!$K:$K,0)))/100)</f>
        <v>0.09</v>
      </c>
      <c r="BE77" s="34" cm="1">
        <f t="array" ref="BE77">$G$12+VLOOKUP($Q77,武学奇术!$A:$ZZ,12,FALSE)+SUM(_xlfn.XLOOKUP($R77:$AK77,增益!$A:$A,增益!$L:$L,0))</f>
        <v>0.15</v>
      </c>
      <c r="BF77">
        <f t="shared" si="27"/>
        <v>0</v>
      </c>
      <c r="BG77">
        <f t="shared" si="28"/>
        <v>0</v>
      </c>
      <c r="BH77" s="34" cm="1">
        <f t="array" ref="BH77">IF($F$13-$I$4+VLOOKUP($Q77,武学奇术!$A:$ZZ,13,FALSE)+SUM(_xlfn.XLOOKUP($R77:$AK77,增益!$A:$A,增益!$M:$M,0))&gt;0,($F$13-$I$4+VLOOKUP($Q77,武学奇术!$A:$ZZ,13,FALSE)+SUM(_xlfn.XLOOKUP($R77:$AK77,增益!$A:$A,增益!$K:$K,0)))/200,($F$13-$I$4+VLOOKUP($Q77,武学奇术!$A:$ZZ,13,FALSE)+SUM(_xlfn.XLOOKUP($R77:$AK77,增益!$A:$A,增益!$M:$M,0)))/100)</f>
        <v>-0.3</v>
      </c>
      <c r="BI77" s="34" cm="1">
        <f t="array" ref="BI77">$G$13+VLOOKUP($Q77,武学奇术!$A:$ZZ,14,FALSE)+SUM(_xlfn.XLOOKUP($R77:$AK77,增益!$A:$A,增益!$N:$N,0))</f>
        <v>0</v>
      </c>
      <c r="BJ77">
        <f t="shared" si="29"/>
        <v>0</v>
      </c>
      <c r="BK77">
        <f t="shared" si="30"/>
        <v>0</v>
      </c>
      <c r="BL77" s="34" cm="1">
        <f t="array" ref="BL77">IF($F$14-$I$4+VLOOKUP($Q77,武学奇术!$A:$ZZ,15,FALSE)+SUM(_xlfn.XLOOKUP($R77:$AK77,增益!$A:$A,增益!$O:$O,0))&gt;0,($F$14-$I$4+VLOOKUP($Q77,武学奇术!$A:$ZZ,15,FALSE)+SUM(_xlfn.XLOOKUP($R77:$AK77,增益!$A:$A,增益!$O:$O,0)))/200,($F$14-$I$4+VLOOKUP($Q77,武学奇术!$A:$ZZ,15,FALSE)+SUM(_xlfn.XLOOKUP($R77:$AK77,增益!$A:$A,增益!$O:$O,0)))/100)</f>
        <v>-0.3</v>
      </c>
      <c r="BM77" s="34" cm="1">
        <f t="array" ref="BM77">$G$14+VLOOKUP($Q77,武学奇术!$A:$ZZ,16,FALSE)+SUM(_xlfn.XLOOKUP($R77:$AK77,增益!$A:$A,增益!$P:$P,0))</f>
        <v>0</v>
      </c>
      <c r="BN77" s="27">
        <f>MIN(IF(VLOOKUP($Q77,武学奇术!$A:$ZZ,23,FALSE)=1,100%,$B$8),100%)</f>
        <v>0.9859</v>
      </c>
      <c r="BO77" s="27" cm="1">
        <f t="array" ref="BO77">IF(VLOOKUP($Q77,武学奇术!$A:$ZZ,23,FALSE)=1,100%,MIN(80%,$B$9+VLOOKUP($Q77,武学奇术!$A:$ZZ,17,FALSE)+SUM(_xlfn.XLOOKUP($R77:$AK77,增益!$A:$A,增益!$Q:$Q,0)))+$B$11+SUM(_xlfn.XLOOKUP($R77:$AK77,增益!$A:$A,增益!$U:$U,0)))*IF(VLOOKUP($Q77,武学奇术!$A:$ZZ,24,FALSE)=1,0,1)</f>
        <v>0.8912</v>
      </c>
      <c r="BP77" s="27" cm="1">
        <f t="array" ref="BP77">1+$B$13+VLOOKUP($Q77,武学奇术!$A:$ZZ,18,FALSE)+SUM(_xlfn.XLOOKUP($R77:$AK77,增益!$A:$A,增益!$R:$R,0))</f>
        <v>2</v>
      </c>
      <c r="BQ77" s="27" cm="1">
        <f t="array" ref="BQ77">IF(VLOOKUP($Q77,武学奇术!$A:$ZZ,24,FALSE)=1,100%,MIN(40%,$B$10+VLOOKUP($Q77,武学奇术!$A:$ZZ,19,FALSE)+SUM(_xlfn.XLOOKUP($R77:$AK77,增益!$A:$A,增益!$S:$S,0)))+$B$12+SUM(_xlfn.XLOOKUP($R77:$AK77,增益!$A:$A,增益!$V:$V,0)))*IF(VLOOKUP($Q77,武学奇术!$A:$ZZ,23,FALSE)=1,0,1)</f>
        <v>0.0929</v>
      </c>
      <c r="BR77" s="27" cm="1">
        <f t="array" ref="BR77">1+$B$14+VLOOKUP($Q77,武学奇术!$A:$ZZ,20,FALSE)+SUM(_xlfn.XLOOKUP($R77:$AK77,增益!$A:$A,增益!$T:$T,0))</f>
        <v>1.35</v>
      </c>
      <c r="BS77" s="27">
        <f t="shared" si="31"/>
        <v>0.87863408</v>
      </c>
      <c r="BT77" s="27">
        <f t="shared" si="32"/>
        <v>0.01567581</v>
      </c>
      <c r="BU77" s="27">
        <f>IF(VLOOKUP($Q77,武学奇术!$A:$ZZ,22,FALSE)=1,0,(1-$BN77))*(1-$BQ77)</f>
        <v>0.01279011</v>
      </c>
      <c r="BV77" s="27" cm="1">
        <f t="array" ref="BV77">SUM(_xlfn.XLOOKUP($R77:$AK77,增益!$A:$A,增益!$W:$W,0))+$I$5</f>
        <v>0.11</v>
      </c>
    </row>
    <row r="78" spans="1:74">
      <c r="A78" t="s">
        <v>166</v>
      </c>
      <c r="B78">
        <v>1</v>
      </c>
      <c r="E78" s="41" t="s">
        <v>172</v>
      </c>
      <c r="K78" s="40">
        <f t="shared" si="33"/>
        <v>0</v>
      </c>
      <c r="L78" s="40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BP78*$P78*(1+IF(VLOOKUP($Q78,武学奇术!$A:$ZZ,30,FALSE)="蓄力技",$B$21,0))*(1+$BV78)</f>
        <v>0</v>
      </c>
      <c r="M78" s="40">
        <f>(($AT78*$AM78+$AN78)*(1+$AU78)*(1+$AV78)+($AY78*IF($G$1="鸣金",$AO78,$AM78)+IF($G$1="鸣金",$AP78*1.5,0))*(1+$AZ78)*(1+$BA78)+($BC78*IF($G$1="裂石",$AO78,$AM78)+IF($G$1="裂石",$AP78*1.5,0))*(1+$BD78)*(1+$BE78)+($BG78*IF($G$1="牵丝",$AO78,$AM78)+IF($G$1="牵丝",$AP78*1.5,0))*(1+$BH78)*(1+$BI78)+($BK78*IF($G$1="破竹",$AO78,$AM78)+IF($G$1="破竹",$AP78*1.5,0))*(1+$BL78)*(1+$BM78))*(1+$AQ78)*$BR78*$P78*(1+IF(VLOOKUP($Q78,武学奇术!$A:$ZZ,30,FALSE)="蓄力技",$B$21,0))*(1+$BV78)</f>
        <v>0</v>
      </c>
      <c r="N78" s="40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P78*(1+IF(VLOOKUP($Q78,武学奇术!$A:$ZZ,30,FALSE)="蓄力技",$B$21,0))*(1+$BV78)</f>
        <v>0</v>
      </c>
      <c r="O78" s="40">
        <f>((($AS78*$AM78+$AN78)*(1+$AU78)*(1+$AV78)+($AX78*IF($G$1="鸣金",$AO78,$AM78)+IF($G$1="鸣金",$AP78*1.5,0))*(1+$AZ78)*(1+$BA78)+($BB78*IF($G$1="裂石",$AO78,$AM78)+IF($G$1="裂石",$AP78*1.5,0))*(1+$BD78)*(1+$BE78)+($BF78*IF($G$1="牵丝",$AO78,$AM78)+IF($G$1="牵丝",$AP78*1.5,0))*(1+$BH78)*(1+$BI78)+($BJ78*IF($G$1="破竹",$AO78,$AM78)+IF($G$1="破竹",$AP78*1.5,0))*(1+$BL78)*(1+$BM78))*(1+$AQ78))*$P78*(1+IF(VLOOKUP($Q78,武学奇术!$A:$ZZ,30,FALSE)="蓄力技",$B$21,0))*(1+$BV78)</f>
        <v>0</v>
      </c>
      <c r="P78" s="41">
        <v>1</v>
      </c>
      <c r="Q78" s="42" t="s">
        <v>77</v>
      </c>
      <c r="R78" s="42" t="s">
        <v>77</v>
      </c>
      <c r="S78" s="42" t="s">
        <v>77</v>
      </c>
      <c r="T78" s="42" t="s">
        <v>77</v>
      </c>
      <c r="U78" s="42" t="s">
        <v>77</v>
      </c>
      <c r="V78" s="42" t="s">
        <v>77</v>
      </c>
      <c r="W78" s="42" t="s">
        <v>77</v>
      </c>
      <c r="X78" s="42" t="s">
        <v>77</v>
      </c>
      <c r="Y78" s="42" t="s">
        <v>77</v>
      </c>
      <c r="Z78" s="42" t="s">
        <v>77</v>
      </c>
      <c r="AA78" s="42" t="s">
        <v>77</v>
      </c>
      <c r="AB78" s="42" t="s">
        <v>77</v>
      </c>
      <c r="AC78" s="42" t="s">
        <v>77</v>
      </c>
      <c r="AD78" s="42" t="s">
        <v>80</v>
      </c>
      <c r="AE78" s="42" t="s">
        <v>81</v>
      </c>
      <c r="AF78" s="42" t="s">
        <v>82</v>
      </c>
      <c r="AG78" s="42" t="s">
        <v>77</v>
      </c>
      <c r="AH78" s="42" t="s">
        <v>77</v>
      </c>
      <c r="AI78" s="42" t="s">
        <v>77</v>
      </c>
      <c r="AJ78" s="42" t="s">
        <v>77</v>
      </c>
      <c r="AK78" s="42" t="s">
        <v>90</v>
      </c>
      <c r="AL78" t="str">
        <f>VLOOKUP($Q78,武学奇术!$A:$ZZ,25,FALSE)</f>
        <v>心法</v>
      </c>
      <c r="AM78" s="27">
        <f>VLOOKUP($Q78,武学奇术!$A:$ZZ,26,FALSE)</f>
        <v>0</v>
      </c>
      <c r="AN78" s="28">
        <f>VLOOKUP($Q78,武学奇术!$A:$ZZ,27,FALSE)*(1+IF(OR($AL78=$F$4,$AL78=$F$5),$B$22,0))</f>
        <v>0</v>
      </c>
      <c r="AO78" s="27">
        <f>VLOOKUP($Q78,武学奇术!$A:$ZZ,28,FALSE)</f>
        <v>0</v>
      </c>
      <c r="AP78" s="28">
        <f>VLOOKUP($Q78,武学奇术!$A:$ZZ,29,FALSE)*(1+IF(OR($AL78=$F$4,$AL78=$F$5),$B$22,0))</f>
        <v>0</v>
      </c>
      <c r="AQ78" s="27" cm="1">
        <f t="array" ref="AQ78">$G$3+IFERROR(VLOOKUP($AL78,$F$4:$G$7,2,FALSE),0)+VLOOKUP($Q78,武学奇术!$A:$ZZ,2,FALSE)+SUM(_xlfn.XLOOKUP($R78:$AK78,增益!$A:$A,增益!$B:$B,0))</f>
        <v>0.3137</v>
      </c>
      <c r="AR78" s="27" cm="1">
        <f t="array" ref="AR78">VLOOKUP($Q78,武学奇术!$A:$ZZ,5,FALSE)+SUM(_xlfn.XLOOKUP($R78:$AK78,增益!$A:$A,增益!$E:$E,0))</f>
        <v>0</v>
      </c>
      <c r="AS78" cm="1">
        <f t="array" ref="AS78">$D$10*(1+$AR78)+VLOOKUP($Q78,武学奇术!$A:$ZZ,3,FALSE)+SUM(_xlfn.XLOOKUP($R78:$AK78,增益!$A:$A,增益!$C:$C,0))-$I$2</f>
        <v>3648.7</v>
      </c>
      <c r="AT78" cm="1">
        <f t="array" ref="AT78">$E$10*(1+$AR78)+VLOOKUP($Q78,武学奇术!$A:$ZZ,4,FALSE)+SUM(_xlfn.XLOOKUP($R78:$AK78,增益!$A:$A,增益!$D:$D,0))-$I$2</f>
        <v>3648.7</v>
      </c>
      <c r="AU78" s="34" cm="1">
        <f t="array" ref="AU78">IF($F$10-$I$3+VLOOKUP($Q78,武学奇术!$A:$ZZ,6,FALSE)+SUM(_xlfn.XLOOKUP($R78:$AK78,增益!$A:$A,增益!$F:$F,0))&gt;0,($F$10-$I$3+VLOOKUP($Q78,武学奇术!$A:$ZZ,6,FALSE)+SUM(_xlfn.XLOOKUP($R78:$AK78,增益!$A:$A,增益!$F:$F,0)))/200,($F$10-$I$3+VLOOKUP($Q78,武学奇术!$A:$ZZ,6,FALSE)+SUM(_xlfn.XLOOKUP($R78:$AK78,增益!$A:$A,增益!$F:$F,0)))/100)</f>
        <v>0.327</v>
      </c>
      <c r="AV78" s="34" cm="1">
        <f t="array" ref="AV78">$G$10+VLOOKUP($Q78,武学奇术!$A:$ZZ,7,FALSE)+SUM(_xlfn.XLOOKUP($R78:$AK78,增益!$A:$A,增益!$G:$G,0))</f>
        <v>0</v>
      </c>
      <c r="AW78" s="27" cm="1">
        <f t="array" ref="AW78">VLOOKUP($Q78,武学奇术!$A:$ZZ,8,FALSE)+SUM(_xlfn.XLOOKUP($R78:$AK78,增益!$A:$A,增益!$H:$H,0))</f>
        <v>0</v>
      </c>
      <c r="AX78">
        <f t="shared" si="23"/>
        <v>0</v>
      </c>
      <c r="AY78">
        <f t="shared" si="24"/>
        <v>0</v>
      </c>
      <c r="AZ78" s="34" cm="1">
        <f t="array" ref="AZ78">IF($F$11-$I$4+VLOOKUP($Q78,武学奇术!$A:$ZZ,9,FALSE)+SUM(_xlfn.XLOOKUP($R78:$AK78,增益!$A:$A,增益!$I:$I,0))&gt;0,($F$11-$I$4+VLOOKUP($Q78,武学奇术!$A:$ZZ,9,FALSE)+SUM(_xlfn.XLOOKUP($R78:$AK78,增益!$A:$A,增益!$I:$I,0)))/200,($F$11-$I$4+VLOOKUP($Q78,武学奇术!$A:$ZZ,9,FALSE)+SUM(_xlfn.XLOOKUP($R78:$AK78,增益!$A:$A,增益!$I:$I,0)))/100)</f>
        <v>-0.3</v>
      </c>
      <c r="BA78" s="34" cm="1">
        <f t="array" ref="BA78">$G$11+VLOOKUP($Q78,武学奇术!$A:$ZZ,10,FALSE)+SUM(_xlfn.XLOOKUP($R78:$AK78,增益!$A:$A,增益!$J:$J,0))</f>
        <v>0</v>
      </c>
      <c r="BB78">
        <f t="shared" si="25"/>
        <v>594.1</v>
      </c>
      <c r="BC78">
        <f t="shared" si="26"/>
        <v>1604.9</v>
      </c>
      <c r="BD78" s="34" cm="1">
        <f t="array" ref="BD78">IF($F$12-$I$4+VLOOKUP($Q78,武学奇术!$A:$ZZ,11,FALSE)+SUM(_xlfn.XLOOKUP($R78:$AK78,增益!$A:$A,增益!$K:$K,0))&gt;0,($F$12-$I$4+VLOOKUP($Q78,武学奇术!$A:$ZZ,11,FALSE)+SUM(_xlfn.XLOOKUP($R78:$AK78,增益!$A:$A,增益!$K:$K,0)))/200,($F$12-$I$4+VLOOKUP($Q78,武学奇术!$A:$ZZ,11,FALSE)+SUM(_xlfn.XLOOKUP($R78:$AK78,增益!$A:$A,增益!$K:$K,0)))/100)</f>
        <v>0.09</v>
      </c>
      <c r="BE78" s="34" cm="1">
        <f t="array" ref="BE78">$G$12+VLOOKUP($Q78,武学奇术!$A:$ZZ,12,FALSE)+SUM(_xlfn.XLOOKUP($R78:$AK78,增益!$A:$A,增益!$L:$L,0))</f>
        <v>0.15</v>
      </c>
      <c r="BF78">
        <f t="shared" si="27"/>
        <v>0</v>
      </c>
      <c r="BG78">
        <f t="shared" si="28"/>
        <v>0</v>
      </c>
      <c r="BH78" s="34" cm="1">
        <f t="array" ref="BH78">IF($F$13-$I$4+VLOOKUP($Q78,武学奇术!$A:$ZZ,13,FALSE)+SUM(_xlfn.XLOOKUP($R78:$AK78,增益!$A:$A,增益!$M:$M,0))&gt;0,($F$13-$I$4+VLOOKUP($Q78,武学奇术!$A:$ZZ,13,FALSE)+SUM(_xlfn.XLOOKUP($R78:$AK78,增益!$A:$A,增益!$K:$K,0)))/200,($F$13-$I$4+VLOOKUP($Q78,武学奇术!$A:$ZZ,13,FALSE)+SUM(_xlfn.XLOOKUP($R78:$AK78,增益!$A:$A,增益!$M:$M,0)))/100)</f>
        <v>-0.3</v>
      </c>
      <c r="BI78" s="34" cm="1">
        <f t="array" ref="BI78">$G$13+VLOOKUP($Q78,武学奇术!$A:$ZZ,14,FALSE)+SUM(_xlfn.XLOOKUP($R78:$AK78,增益!$A:$A,增益!$N:$N,0))</f>
        <v>0</v>
      </c>
      <c r="BJ78">
        <f t="shared" si="29"/>
        <v>0</v>
      </c>
      <c r="BK78">
        <f t="shared" si="30"/>
        <v>0</v>
      </c>
      <c r="BL78" s="34" cm="1">
        <f t="array" ref="BL78">IF($F$14-$I$4+VLOOKUP($Q78,武学奇术!$A:$ZZ,15,FALSE)+SUM(_xlfn.XLOOKUP($R78:$AK78,增益!$A:$A,增益!$O:$O,0))&gt;0,($F$14-$I$4+VLOOKUP($Q78,武学奇术!$A:$ZZ,15,FALSE)+SUM(_xlfn.XLOOKUP($R78:$AK78,增益!$A:$A,增益!$O:$O,0)))/200,($F$14-$I$4+VLOOKUP($Q78,武学奇术!$A:$ZZ,15,FALSE)+SUM(_xlfn.XLOOKUP($R78:$AK78,增益!$A:$A,增益!$O:$O,0)))/100)</f>
        <v>-0.3</v>
      </c>
      <c r="BM78" s="34" cm="1">
        <f t="array" ref="BM78">$G$14+VLOOKUP($Q78,武学奇术!$A:$ZZ,16,FALSE)+SUM(_xlfn.XLOOKUP($R78:$AK78,增益!$A:$A,增益!$P:$P,0))</f>
        <v>0</v>
      </c>
      <c r="BN78" s="27">
        <f>MIN(IF(VLOOKUP($Q78,武学奇术!$A:$ZZ,23,FALSE)=1,100%,$B$8),100%)</f>
        <v>0.9859</v>
      </c>
      <c r="BO78" s="27" cm="1">
        <f t="array" ref="BO78">IF(VLOOKUP($Q78,武学奇术!$A:$ZZ,23,FALSE)=1,100%,MIN(80%,$B$9+VLOOKUP($Q78,武学奇术!$A:$ZZ,17,FALSE)+SUM(_xlfn.XLOOKUP($R78:$AK78,增益!$A:$A,增益!$Q:$Q,0)))+$B$11+SUM(_xlfn.XLOOKUP($R78:$AK78,增益!$A:$A,增益!$U:$U,0)))*IF(VLOOKUP($Q78,武学奇术!$A:$ZZ,24,FALSE)=1,0,1)</f>
        <v>0.8912</v>
      </c>
      <c r="BP78" s="27" cm="1">
        <f t="array" ref="BP78">1+$B$13+VLOOKUP($Q78,武学奇术!$A:$ZZ,18,FALSE)+SUM(_xlfn.XLOOKUP($R78:$AK78,增益!$A:$A,增益!$R:$R,0))</f>
        <v>1.54</v>
      </c>
      <c r="BQ78" s="27" cm="1">
        <f t="array" ref="BQ78">IF(VLOOKUP($Q78,武学奇术!$A:$ZZ,24,FALSE)=1,100%,MIN(40%,$B$10+VLOOKUP($Q78,武学奇术!$A:$ZZ,19,FALSE)+SUM(_xlfn.XLOOKUP($R78:$AK78,增益!$A:$A,增益!$S:$S,0)))+$B$12+SUM(_xlfn.XLOOKUP($R78:$AK78,增益!$A:$A,增益!$V:$V,0)))*IF(VLOOKUP($Q78,武学奇术!$A:$ZZ,23,FALSE)=1,0,1)</f>
        <v>0.0929</v>
      </c>
      <c r="BR78" s="27" cm="1">
        <f t="array" ref="BR78">1+$B$14+VLOOKUP($Q78,武学奇术!$A:$ZZ,20,FALSE)+SUM(_xlfn.XLOOKUP($R78:$AK78,增益!$A:$A,增益!$T:$T,0))</f>
        <v>1.35</v>
      </c>
      <c r="BS78" s="27">
        <f t="shared" si="31"/>
        <v>0.87863408</v>
      </c>
      <c r="BT78" s="27">
        <f t="shared" si="32"/>
        <v>0.01567581</v>
      </c>
      <c r="BU78" s="27">
        <f>IF(VLOOKUP($Q78,武学奇术!$A:$ZZ,22,FALSE)=1,0,(1-$BN78))*(1-$BQ78)</f>
        <v>0.01279011</v>
      </c>
      <c r="BV78" s="27" cm="1">
        <f t="array" ref="BV78">SUM(_xlfn.XLOOKUP($R78:$AK78,增益!$A:$A,增益!$W:$W,0))+$I$5</f>
        <v>0.11</v>
      </c>
    </row>
    <row r="79" spans="1:74">
      <c r="A79" s="4" t="s">
        <v>167</v>
      </c>
      <c r="B79" s="4">
        <v>0.1</v>
      </c>
      <c r="D79" s="41" t="s">
        <v>168</v>
      </c>
      <c r="E79" s="41"/>
      <c r="K79" s="40">
        <f t="shared" si="33"/>
        <v>90349.3070358171</v>
      </c>
      <c r="L79" s="40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BP79*$P79*(1+IF(VLOOKUP($Q79,武学奇术!$A:$ZZ,30,FALSE)="蓄力技",$B$21,0))*(1+$BV79)</f>
        <v>93694.2442831784</v>
      </c>
      <c r="M79" s="40">
        <f>(($AT79*$AM79+$AN79)*(1+$AU79)*(1+$AV79)+($AY79*IF($G$1="鸣金",$AO79,$AM79)+IF($G$1="鸣金",$AP79*1.5,0))*(1+$AZ79)*(1+$BA79)+($BC79*IF($G$1="裂石",$AO79,$AM79)+IF($G$1="裂石",$AP79*1.5,0))*(1+$BD79)*(1+$BE79)+($BG79*IF($G$1="牵丝",$AO79,$AM79)+IF($G$1="牵丝",$AP79*1.5,0))*(1+$BH79)*(1+$BI79)+($BK79*IF($G$1="破竹",$AO79,$AM79)+IF($G$1="破竹",$AP79*1.5,0))*(1+$BL79)*(1+$BM79))*(1+$AQ79)*$BR79*$P79*(1+IF(VLOOKUP($Q79,武学奇术!$A:$ZZ,30,FALSE)="蓄力技",$B$21,0))*(1+$BV79)</f>
        <v>72448.3832141098</v>
      </c>
      <c r="N79" s="40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P79*(1+IF(VLOOKUP($Q79,武学奇术!$A:$ZZ,30,FALSE)="蓄力技",$B$21,0))*(1+$BV79)</f>
        <v>48048.3304016299</v>
      </c>
      <c r="O79" s="40">
        <f>((($AS79*$AM79+$AN79)*(1+$AU79)*(1+$AV79)+($AX79*IF($G$1="鸣金",$AO79,$AM79)+IF($G$1="鸣金",$AP79*1.5,0))*(1+$AZ79)*(1+$BA79)+($BB79*IF($G$1="裂石",$AO79,$AM79)+IF($G$1="裂石",$AP79*1.5,0))*(1+$BD79)*(1+$BE79)+($BF79*IF($G$1="牵丝",$AO79,$AM79)+IF($G$1="牵丝",$AP79*1.5,0))*(1+$BH79)*(1+$BI79)+($BJ79*IF($G$1="破竹",$AO79,$AM79)+IF($G$1="破竹",$AP79*1.5,0))*(1+$BL79)*(1+$BM79))*(1+$AQ79))*$P79*(1+IF(VLOOKUP($Q79,武学奇术!$A:$ZZ,30,FALSE)="蓄力技",$B$21,0))*(1+$BV79)</f>
        <v>42431.1917557712</v>
      </c>
      <c r="P79" s="41">
        <v>1</v>
      </c>
      <c r="Q79" s="42" t="s">
        <v>164</v>
      </c>
      <c r="R79" s="42" t="s">
        <v>76</v>
      </c>
      <c r="S79" s="42" t="s">
        <v>77</v>
      </c>
      <c r="T79" s="42" t="s">
        <v>77</v>
      </c>
      <c r="U79" s="42" t="s">
        <v>87</v>
      </c>
      <c r="V79" s="42" t="s">
        <v>77</v>
      </c>
      <c r="W79" s="42" t="s">
        <v>77</v>
      </c>
      <c r="X79" s="42" t="s">
        <v>176</v>
      </c>
      <c r="Y79" s="42" t="s">
        <v>77</v>
      </c>
      <c r="Z79" s="42" t="s">
        <v>77</v>
      </c>
      <c r="AA79" s="42" t="s">
        <v>77</v>
      </c>
      <c r="AB79" s="42" t="s">
        <v>77</v>
      </c>
      <c r="AC79" s="42" t="s">
        <v>77</v>
      </c>
      <c r="AD79" s="42" t="s">
        <v>80</v>
      </c>
      <c r="AE79" s="42" t="s">
        <v>81</v>
      </c>
      <c r="AF79" s="42" t="s">
        <v>82</v>
      </c>
      <c r="AG79" s="42" t="s">
        <v>77</v>
      </c>
      <c r="AH79" s="42" t="s">
        <v>77</v>
      </c>
      <c r="AI79" s="42" t="s">
        <v>77</v>
      </c>
      <c r="AJ79" s="42" t="s">
        <v>77</v>
      </c>
      <c r="AK79" s="42" t="s">
        <v>90</v>
      </c>
      <c r="AL79" t="str">
        <f>VLOOKUP($Q79,武学奇术!$A:$ZZ,25,FALSE)</f>
        <v>横刀</v>
      </c>
      <c r="AM79" s="27">
        <f>VLOOKUP($Q79,武学奇术!$A:$ZZ,26,FALSE)</f>
        <v>3.7797</v>
      </c>
      <c r="AN79" s="28">
        <f>VLOOKUP($Q79,武学奇术!$A:$ZZ,27,FALSE)*(1+IF(OR($AL79=$F$4,$AL79=$F$5),$B$22,0))</f>
        <v>1567.5</v>
      </c>
      <c r="AO79" s="27">
        <f>VLOOKUP($Q79,武学奇术!$A:$ZZ,28,FALSE)</f>
        <v>5.6696</v>
      </c>
      <c r="AP79" s="28">
        <f>VLOOKUP($Q79,武学奇术!$A:$ZZ,29,FALSE)*(1+IF(OR($AL79=$F$4,$AL79=$F$5),$B$22,0))</f>
        <v>855</v>
      </c>
      <c r="AQ79" s="27" cm="1">
        <f t="array" ref="AQ79">$G$3+IFERROR(VLOOKUP($AL79,$F$4:$G$7,2,FALSE),0)+VLOOKUP($Q79,武学奇术!$A:$ZZ,2,FALSE)+SUM(_xlfn.XLOOKUP($R79:$AK79,增益!$A:$A,增益!$B:$B,0))</f>
        <v>0.4089</v>
      </c>
      <c r="AR79" s="27" cm="1">
        <f t="array" ref="AR79">VLOOKUP($Q79,武学奇术!$A:$ZZ,5,FALSE)+SUM(_xlfn.XLOOKUP($R79:$AK79,增益!$A:$A,增益!$E:$E,0))</f>
        <v>0</v>
      </c>
      <c r="AS79" cm="1">
        <f t="array" ref="AS79">$D$10*(1+$AR79)+VLOOKUP($Q79,武学奇术!$A:$ZZ,3,FALSE)+SUM(_xlfn.XLOOKUP($R79:$AK79,增益!$A:$A,增益!$C:$C,0))-$I$2</f>
        <v>3648.7</v>
      </c>
      <c r="AT79" cm="1">
        <f t="array" ref="AT79">$E$10*(1+$AR79)+VLOOKUP($Q79,武学奇术!$A:$ZZ,4,FALSE)+SUM(_xlfn.XLOOKUP($R79:$AK79,增益!$A:$A,增益!$D:$D,0))-$I$2</f>
        <v>3648.7</v>
      </c>
      <c r="AU79" s="34" cm="1">
        <f t="array" ref="AU79">IF($F$10-$I$3+VLOOKUP($Q79,武学奇术!$A:$ZZ,6,FALSE)+SUM(_xlfn.XLOOKUP($R79:$AK79,增益!$A:$A,增益!$F:$F,0))&gt;0,($F$10-$I$3+VLOOKUP($Q79,武学奇术!$A:$ZZ,6,FALSE)+SUM(_xlfn.XLOOKUP($R79:$AK79,增益!$A:$A,增益!$F:$F,0)))/200,($F$10-$I$3+VLOOKUP($Q79,武学奇术!$A:$ZZ,6,FALSE)+SUM(_xlfn.XLOOKUP($R79:$AK79,增益!$A:$A,增益!$F:$F,0)))/100)</f>
        <v>0.387</v>
      </c>
      <c r="AV79" s="34" cm="1">
        <f t="array" ref="AV79">$G$10+VLOOKUP($Q79,武学奇术!$A:$ZZ,7,FALSE)+SUM(_xlfn.XLOOKUP($R79:$AK79,增益!$A:$A,增益!$G:$G,0))</f>
        <v>0</v>
      </c>
      <c r="AW79" s="27" cm="1">
        <f t="array" ref="AW79">VLOOKUP($Q79,武学奇术!$A:$ZZ,8,FALSE)+SUM(_xlfn.XLOOKUP($R79:$AK79,增益!$A:$A,增益!$H:$H,0))</f>
        <v>0</v>
      </c>
      <c r="AX79">
        <f t="shared" si="23"/>
        <v>0</v>
      </c>
      <c r="AY79">
        <f t="shared" si="24"/>
        <v>0</v>
      </c>
      <c r="AZ79" s="34" cm="1">
        <f t="array" ref="AZ79">IF($F$11-$I$4+VLOOKUP($Q79,武学奇术!$A:$ZZ,9,FALSE)+SUM(_xlfn.XLOOKUP($R79:$AK79,增益!$A:$A,增益!$I:$I,0))&gt;0,($F$11-$I$4+VLOOKUP($Q79,武学奇术!$A:$ZZ,9,FALSE)+SUM(_xlfn.XLOOKUP($R79:$AK79,增益!$A:$A,增益!$I:$I,0)))/200,($F$11-$I$4+VLOOKUP($Q79,武学奇术!$A:$ZZ,9,FALSE)+SUM(_xlfn.XLOOKUP($R79:$AK79,增益!$A:$A,增益!$I:$I,0)))/100)</f>
        <v>-0.3</v>
      </c>
      <c r="BA79" s="34" cm="1">
        <f t="array" ref="BA79">$G$11+VLOOKUP($Q79,武学奇术!$A:$ZZ,10,FALSE)+SUM(_xlfn.XLOOKUP($R79:$AK79,增益!$A:$A,增益!$J:$J,0))</f>
        <v>0</v>
      </c>
      <c r="BB79">
        <f t="shared" si="25"/>
        <v>594.1</v>
      </c>
      <c r="BC79">
        <f t="shared" si="26"/>
        <v>1604.9</v>
      </c>
      <c r="BD79" s="34" cm="1">
        <f t="array" ref="BD79">IF($F$12-$I$4+VLOOKUP($Q79,武学奇术!$A:$ZZ,11,FALSE)+SUM(_xlfn.XLOOKUP($R79:$AK79,增益!$A:$A,增益!$K:$K,0))&gt;0,($F$12-$I$4+VLOOKUP($Q79,武学奇术!$A:$ZZ,11,FALSE)+SUM(_xlfn.XLOOKUP($R79:$AK79,增益!$A:$A,增益!$K:$K,0)))/200,($F$12-$I$4+VLOOKUP($Q79,武学奇术!$A:$ZZ,11,FALSE)+SUM(_xlfn.XLOOKUP($R79:$AK79,增益!$A:$A,增益!$K:$K,0)))/100)</f>
        <v>0.09</v>
      </c>
      <c r="BE79" s="34" cm="1">
        <f t="array" ref="BE79">$G$12+VLOOKUP($Q79,武学奇术!$A:$ZZ,12,FALSE)+SUM(_xlfn.XLOOKUP($R79:$AK79,增益!$A:$A,增益!$L:$L,0))</f>
        <v>0.15</v>
      </c>
      <c r="BF79">
        <f t="shared" si="27"/>
        <v>0</v>
      </c>
      <c r="BG79">
        <f t="shared" si="28"/>
        <v>0</v>
      </c>
      <c r="BH79" s="34" cm="1">
        <f t="array" ref="BH79">IF($F$13-$I$4+VLOOKUP($Q79,武学奇术!$A:$ZZ,13,FALSE)+SUM(_xlfn.XLOOKUP($R79:$AK79,增益!$A:$A,增益!$M:$M,0))&gt;0,($F$13-$I$4+VLOOKUP($Q79,武学奇术!$A:$ZZ,13,FALSE)+SUM(_xlfn.XLOOKUP($R79:$AK79,增益!$A:$A,增益!$K:$K,0)))/200,($F$13-$I$4+VLOOKUP($Q79,武学奇术!$A:$ZZ,13,FALSE)+SUM(_xlfn.XLOOKUP($R79:$AK79,增益!$A:$A,增益!$M:$M,0)))/100)</f>
        <v>-0.3</v>
      </c>
      <c r="BI79" s="34" cm="1">
        <f t="array" ref="BI79">$G$13+VLOOKUP($Q79,武学奇术!$A:$ZZ,14,FALSE)+SUM(_xlfn.XLOOKUP($R79:$AK79,增益!$A:$A,增益!$N:$N,0))</f>
        <v>0</v>
      </c>
      <c r="BJ79">
        <f t="shared" si="29"/>
        <v>0</v>
      </c>
      <c r="BK79">
        <f t="shared" si="30"/>
        <v>0</v>
      </c>
      <c r="BL79" s="34" cm="1">
        <f t="array" ref="BL79">IF($F$14-$I$4+VLOOKUP($Q79,武学奇术!$A:$ZZ,15,FALSE)+SUM(_xlfn.XLOOKUP($R79:$AK79,增益!$A:$A,增益!$O:$O,0))&gt;0,($F$14-$I$4+VLOOKUP($Q79,武学奇术!$A:$ZZ,15,FALSE)+SUM(_xlfn.XLOOKUP($R79:$AK79,增益!$A:$A,增益!$O:$O,0)))/200,($F$14-$I$4+VLOOKUP($Q79,武学奇术!$A:$ZZ,15,FALSE)+SUM(_xlfn.XLOOKUP($R79:$AK79,增益!$A:$A,增益!$O:$O,0)))/100)</f>
        <v>-0.3</v>
      </c>
      <c r="BM79" s="34" cm="1">
        <f t="array" ref="BM79">$G$14+VLOOKUP($Q79,武学奇术!$A:$ZZ,16,FALSE)+SUM(_xlfn.XLOOKUP($R79:$AK79,增益!$A:$A,增益!$P:$P,0))</f>
        <v>0</v>
      </c>
      <c r="BN79" s="27">
        <f>MIN(IF(VLOOKUP($Q79,武学奇术!$A:$ZZ,23,FALSE)=1,100%,$B$8),100%)</f>
        <v>0.9859</v>
      </c>
      <c r="BO79" s="27" cm="1">
        <f t="array" ref="BO79">IF(VLOOKUP($Q79,武学奇术!$A:$ZZ,23,FALSE)=1,100%,MIN(80%,$B$9+VLOOKUP($Q79,武学奇术!$A:$ZZ,17,FALSE)+SUM(_xlfn.XLOOKUP($R79:$AK79,增益!$A:$A,增益!$Q:$Q,0)))+$B$11+SUM(_xlfn.XLOOKUP($R79:$AK79,增益!$A:$A,增益!$U:$U,0)))*IF(VLOOKUP($Q79,武学奇术!$A:$ZZ,24,FALSE)=1,0,1)</f>
        <v>0.8912</v>
      </c>
      <c r="BP79" s="27" cm="1">
        <f t="array" ref="BP79">1+$B$13+VLOOKUP($Q79,武学奇术!$A:$ZZ,18,FALSE)+SUM(_xlfn.XLOOKUP($R79:$AK79,增益!$A:$A,增益!$R:$R,0))</f>
        <v>1.95</v>
      </c>
      <c r="BQ79" s="27" cm="1">
        <f t="array" ref="BQ79">IF(VLOOKUP($Q79,武学奇术!$A:$ZZ,24,FALSE)=1,100%,MIN(40%,$B$10+VLOOKUP($Q79,武学奇术!$A:$ZZ,19,FALSE)+SUM(_xlfn.XLOOKUP($R79:$AK79,增益!$A:$A,增益!$S:$S,0)))+$B$12+SUM(_xlfn.XLOOKUP($R79:$AK79,增益!$A:$A,增益!$V:$V,0)))*IF(VLOOKUP($Q79,武学奇术!$A:$ZZ,23,FALSE)=1,0,1)</f>
        <v>0.0929</v>
      </c>
      <c r="BR79" s="27" cm="1">
        <f t="array" ref="BR79">1+$B$14+VLOOKUP($Q79,武学奇术!$A:$ZZ,20,FALSE)+SUM(_xlfn.XLOOKUP($R79:$AK79,增益!$A:$A,增益!$T:$T,0))</f>
        <v>1.35</v>
      </c>
      <c r="BS79" s="27">
        <f t="shared" si="31"/>
        <v>0.87863408</v>
      </c>
      <c r="BT79" s="27">
        <f t="shared" si="32"/>
        <v>0.01567581</v>
      </c>
      <c r="BU79" s="27">
        <f>IF(VLOOKUP($Q79,武学奇术!$A:$ZZ,22,FALSE)=1,0,(1-$BN79))*(1-$BQ79)</f>
        <v>0.01279011</v>
      </c>
      <c r="BV79" s="27" cm="1">
        <f t="array" ref="BV79">SUM(_xlfn.XLOOKUP($R79:$AK79,增益!$A:$A,增益!$W:$W,0))+$I$5</f>
        <v>0.11</v>
      </c>
    </row>
    <row r="80" spans="1:74">
      <c r="A80" s="4" t="s">
        <v>171</v>
      </c>
      <c r="B80" s="4">
        <v>2.3</v>
      </c>
      <c r="D80" s="41"/>
      <c r="E80" s="41"/>
      <c r="K80" s="40">
        <f t="shared" si="33"/>
        <v>60987.1835332746</v>
      </c>
      <c r="L80" s="40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BP80*$P80*(1+IF(VLOOKUP($Q80,武学奇术!$A:$ZZ,30,FALSE)="蓄力技",$B$21,0))*(1+$BV80)</f>
        <v>63393.3558011842</v>
      </c>
      <c r="M80" s="40">
        <f>(($AT80*$AM80+$AN80)*(1+$AU80)*(1+$AV80)+($AY80*IF($G$1="鸣金",$AO80,$AM80)+IF($G$1="鸣金",$AP80*1.5,0))*(1+$AZ80)*(1+$BA80)+($BC80*IF($G$1="裂石",$AO80,$AM80)+IF($G$1="裂石",$AP80*1.5,0))*(1+$BD80)*(1+$BE80)+($BG80*IF($G$1="牵丝",$AO80,$AM80)+IF($G$1="牵丝",$AP80*1.5,0))*(1+$BH80)*(1+$BI80)+($BK80*IF($G$1="破竹",$AO80,$AM80)+IF($G$1="破竹",$AP80*1.5,0))*(1+$BL80)*(1+$BM80))*(1+$AQ80)*$BR80*$P80*(1+IF(VLOOKUP($Q80,武学奇术!$A:$ZZ,30,FALSE)="蓄力技",$B$21,0))*(1+$BV80)</f>
        <v>47706.3386403195</v>
      </c>
      <c r="N80" s="40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P80*(1+IF(VLOOKUP($Q80,武学奇术!$A:$ZZ,30,FALSE)="蓄力技",$B$21,0))*(1+$BV80)</f>
        <v>31696.6779005921</v>
      </c>
      <c r="O80" s="40">
        <f>((($AS80*$AM80+$AN80)*(1+$AU80)*(1+$AV80)+($AX80*IF($G$1="鸣金",$AO80,$AM80)+IF($G$1="鸣金",$AP80*1.5,0))*(1+$AZ80)*(1+$BA80)+($BB80*IF($G$1="裂石",$AO80,$AM80)+IF($G$1="裂石",$AP80*1.5,0))*(1+$BD80)*(1+$BE80)+($BF80*IF($G$1="牵丝",$AO80,$AM80)+IF($G$1="牵丝",$AP80*1.5,0))*(1+$BH80)*(1+$BI80)+($BJ80*IF($G$1="破竹",$AO80,$AM80)+IF($G$1="破竹",$AP80*1.5,0))*(1+$BL80)*(1+$BM80))*(1+$AQ80))*$P80*(1+IF(VLOOKUP($Q80,武学奇术!$A:$ZZ,30,FALSE)="蓄力技",$B$21,0))*(1+$BV80)</f>
        <v>28055.3271787254</v>
      </c>
      <c r="P80" s="41">
        <v>1</v>
      </c>
      <c r="Q80" s="42" t="s">
        <v>106</v>
      </c>
      <c r="R80" s="42" t="s">
        <v>85</v>
      </c>
      <c r="S80" s="42" t="s">
        <v>169</v>
      </c>
      <c r="T80" s="42" t="s">
        <v>77</v>
      </c>
      <c r="U80" s="42" t="s">
        <v>121</v>
      </c>
      <c r="V80" s="42" t="s">
        <v>77</v>
      </c>
      <c r="W80" s="42" t="s">
        <v>77</v>
      </c>
      <c r="X80" s="42" t="s">
        <v>176</v>
      </c>
      <c r="Y80" s="42" t="s">
        <v>77</v>
      </c>
      <c r="Z80" s="42" t="s">
        <v>77</v>
      </c>
      <c r="AA80" s="42" t="s">
        <v>73</v>
      </c>
      <c r="AB80" s="42" t="s">
        <v>95</v>
      </c>
      <c r="AC80" s="42" t="s">
        <v>77</v>
      </c>
      <c r="AD80" s="42" t="s">
        <v>80</v>
      </c>
      <c r="AE80" s="42" t="s">
        <v>81</v>
      </c>
      <c r="AF80" s="42" t="s">
        <v>82</v>
      </c>
      <c r="AG80" s="42" t="s">
        <v>77</v>
      </c>
      <c r="AH80" s="42" t="s">
        <v>77</v>
      </c>
      <c r="AI80" s="42" t="s">
        <v>77</v>
      </c>
      <c r="AJ80" s="42" t="s">
        <v>77</v>
      </c>
      <c r="AK80" s="42" t="s">
        <v>90</v>
      </c>
      <c r="AL80" t="str">
        <f>VLOOKUP($Q80,武学奇术!$A:$ZZ,25,FALSE)</f>
        <v>横刀</v>
      </c>
      <c r="AM80" s="27">
        <f>VLOOKUP($Q80,武学奇术!$A:$ZZ,26,FALSE)</f>
        <v>2.1324</v>
      </c>
      <c r="AN80" s="28">
        <f>VLOOKUP($Q80,武学奇术!$A:$ZZ,27,FALSE)*(1+IF(OR($AL80=$F$4,$AL80=$F$5),$B$22,0))</f>
        <v>885</v>
      </c>
      <c r="AO80" s="27">
        <f>VLOOKUP($Q80,武学奇术!$A:$ZZ,28,FALSE)</f>
        <v>3.1986</v>
      </c>
      <c r="AP80" s="28">
        <f>VLOOKUP($Q80,武学奇术!$A:$ZZ,29,FALSE)*(1+IF(OR($AL80=$F$4,$AL80=$F$5),$B$22,0))</f>
        <v>483</v>
      </c>
      <c r="AQ80" s="27" cm="1">
        <f t="array" ref="AQ80">$G$3+IFERROR(VLOOKUP($AL80,$F$4:$G$7,2,FALSE),0)+VLOOKUP($Q80,武学奇术!$A:$ZZ,2,FALSE)+SUM(_xlfn.XLOOKUP($R80:$AK80,增益!$A:$A,增益!$B:$B,0))</f>
        <v>0.6189</v>
      </c>
      <c r="AR80" s="27" cm="1">
        <f t="array" ref="AR80">VLOOKUP($Q80,武学奇术!$A:$ZZ,5,FALSE)+SUM(_xlfn.XLOOKUP($R80:$AK80,增益!$A:$A,增益!$E:$E,0))</f>
        <v>0</v>
      </c>
      <c r="AS80" cm="1">
        <f t="array" ref="AS80">$D$10*(1+$AR80)+VLOOKUP($Q80,武学奇术!$A:$ZZ,3,FALSE)+SUM(_xlfn.XLOOKUP($R80:$AK80,增益!$A:$A,增益!$C:$C,0))-$I$2</f>
        <v>3648.7</v>
      </c>
      <c r="AT80" cm="1">
        <f t="array" ref="AT80">$E$10*(1+$AR80)+VLOOKUP($Q80,武学奇术!$A:$ZZ,4,FALSE)+SUM(_xlfn.XLOOKUP($R80:$AK80,增益!$A:$A,增益!$D:$D,0))-$I$2</f>
        <v>3648.7</v>
      </c>
      <c r="AU80" s="34" cm="1">
        <f t="array" ref="AU80">IF($F$10-$I$3+VLOOKUP($Q80,武学奇术!$A:$ZZ,6,FALSE)+SUM(_xlfn.XLOOKUP($R80:$AK80,增益!$A:$A,增益!$F:$F,0))&gt;0,($F$10-$I$3+VLOOKUP($Q80,武学奇术!$A:$ZZ,6,FALSE)+SUM(_xlfn.XLOOKUP($R80:$AK80,增益!$A:$A,增益!$F:$F,0)))/200,($F$10-$I$3+VLOOKUP($Q80,武学奇术!$A:$ZZ,6,FALSE)+SUM(_xlfn.XLOOKUP($R80:$AK80,增益!$A:$A,增益!$F:$F,0)))/100)</f>
        <v>0.422</v>
      </c>
      <c r="AV80" s="34" cm="1">
        <f t="array" ref="AV80">$G$10+VLOOKUP($Q80,武学奇术!$A:$ZZ,7,FALSE)+SUM(_xlfn.XLOOKUP($R80:$AK80,增益!$A:$A,增益!$G:$G,0))</f>
        <v>0</v>
      </c>
      <c r="AW80" s="27" cm="1">
        <f t="array" ref="AW80">VLOOKUP($Q80,武学奇术!$A:$ZZ,8,FALSE)+SUM(_xlfn.XLOOKUP($R80:$AK80,增益!$A:$A,增益!$H:$H,0))</f>
        <v>0</v>
      </c>
      <c r="AX80">
        <f t="shared" si="23"/>
        <v>0</v>
      </c>
      <c r="AY80">
        <f t="shared" si="24"/>
        <v>0</v>
      </c>
      <c r="AZ80" s="34" cm="1">
        <f t="array" ref="AZ80">IF($F$11-$I$4+VLOOKUP($Q80,武学奇术!$A:$ZZ,9,FALSE)+SUM(_xlfn.XLOOKUP($R80:$AK80,增益!$A:$A,增益!$I:$I,0))&gt;0,($F$11-$I$4+VLOOKUP($Q80,武学奇术!$A:$ZZ,9,FALSE)+SUM(_xlfn.XLOOKUP($R80:$AK80,增益!$A:$A,增益!$I:$I,0)))/200,($F$11-$I$4+VLOOKUP($Q80,武学奇术!$A:$ZZ,9,FALSE)+SUM(_xlfn.XLOOKUP($R80:$AK80,增益!$A:$A,增益!$I:$I,0)))/100)</f>
        <v>-0.3</v>
      </c>
      <c r="BA80" s="34" cm="1">
        <f t="array" ref="BA80">$G$11+VLOOKUP($Q80,武学奇术!$A:$ZZ,10,FALSE)+SUM(_xlfn.XLOOKUP($R80:$AK80,增益!$A:$A,增益!$J:$J,0))</f>
        <v>0</v>
      </c>
      <c r="BB80">
        <f t="shared" si="25"/>
        <v>594.1</v>
      </c>
      <c r="BC80">
        <f t="shared" si="26"/>
        <v>1604.9</v>
      </c>
      <c r="BD80" s="34" cm="1">
        <f t="array" ref="BD80">IF($F$12-$I$4+VLOOKUP($Q80,武学奇术!$A:$ZZ,11,FALSE)+SUM(_xlfn.XLOOKUP($R80:$AK80,增益!$A:$A,增益!$K:$K,0))&gt;0,($F$12-$I$4+VLOOKUP($Q80,武学奇术!$A:$ZZ,11,FALSE)+SUM(_xlfn.XLOOKUP($R80:$AK80,增益!$A:$A,增益!$K:$K,0)))/200,($F$12-$I$4+VLOOKUP($Q80,武学奇术!$A:$ZZ,11,FALSE)+SUM(_xlfn.XLOOKUP($R80:$AK80,增益!$A:$A,增益!$K:$K,0)))/100)</f>
        <v>0.09</v>
      </c>
      <c r="BE80" s="34" cm="1">
        <f t="array" ref="BE80">$G$12+VLOOKUP($Q80,武学奇术!$A:$ZZ,12,FALSE)+SUM(_xlfn.XLOOKUP($R80:$AK80,增益!$A:$A,增益!$L:$L,0))</f>
        <v>0.15</v>
      </c>
      <c r="BF80">
        <f t="shared" si="27"/>
        <v>0</v>
      </c>
      <c r="BG80">
        <f t="shared" si="28"/>
        <v>0</v>
      </c>
      <c r="BH80" s="34" cm="1">
        <f t="array" ref="BH80">IF($F$13-$I$4+VLOOKUP($Q80,武学奇术!$A:$ZZ,13,FALSE)+SUM(_xlfn.XLOOKUP($R80:$AK80,增益!$A:$A,增益!$M:$M,0))&gt;0,($F$13-$I$4+VLOOKUP($Q80,武学奇术!$A:$ZZ,13,FALSE)+SUM(_xlfn.XLOOKUP($R80:$AK80,增益!$A:$A,增益!$K:$K,0)))/200,($F$13-$I$4+VLOOKUP($Q80,武学奇术!$A:$ZZ,13,FALSE)+SUM(_xlfn.XLOOKUP($R80:$AK80,增益!$A:$A,增益!$M:$M,0)))/100)</f>
        <v>-0.3</v>
      </c>
      <c r="BI80" s="34" cm="1">
        <f t="array" ref="BI80">$G$13+VLOOKUP($Q80,武学奇术!$A:$ZZ,14,FALSE)+SUM(_xlfn.XLOOKUP($R80:$AK80,增益!$A:$A,增益!$N:$N,0))</f>
        <v>0</v>
      </c>
      <c r="BJ80">
        <f t="shared" si="29"/>
        <v>0</v>
      </c>
      <c r="BK80">
        <f t="shared" si="30"/>
        <v>0</v>
      </c>
      <c r="BL80" s="34" cm="1">
        <f t="array" ref="BL80">IF($F$14-$I$4+VLOOKUP($Q80,武学奇术!$A:$ZZ,15,FALSE)+SUM(_xlfn.XLOOKUP($R80:$AK80,增益!$A:$A,增益!$O:$O,0))&gt;0,($F$14-$I$4+VLOOKUP($Q80,武学奇术!$A:$ZZ,15,FALSE)+SUM(_xlfn.XLOOKUP($R80:$AK80,增益!$A:$A,增益!$O:$O,0)))/200,($F$14-$I$4+VLOOKUP($Q80,武学奇术!$A:$ZZ,15,FALSE)+SUM(_xlfn.XLOOKUP($R80:$AK80,增益!$A:$A,增益!$O:$O,0)))/100)</f>
        <v>-0.3</v>
      </c>
      <c r="BM80" s="34" cm="1">
        <f t="array" ref="BM80">$G$14+VLOOKUP($Q80,武学奇术!$A:$ZZ,16,FALSE)+SUM(_xlfn.XLOOKUP($R80:$AK80,增益!$A:$A,增益!$P:$P,0))</f>
        <v>0</v>
      </c>
      <c r="BN80" s="27">
        <f>MIN(IF(VLOOKUP($Q80,武学奇术!$A:$ZZ,23,FALSE)=1,100%,$B$8),100%)</f>
        <v>0.9859</v>
      </c>
      <c r="BO80" s="27" cm="1">
        <f t="array" ref="BO80">IF(VLOOKUP($Q80,武学奇术!$A:$ZZ,23,FALSE)=1,100%,MIN(80%,$B$9+VLOOKUP($Q80,武学奇术!$A:$ZZ,17,FALSE)+SUM(_xlfn.XLOOKUP($R80:$AK80,增益!$A:$A,增益!$Q:$Q,0)))+$B$11+SUM(_xlfn.XLOOKUP($R80:$AK80,增益!$A:$A,增益!$U:$U,0)))*IF(VLOOKUP($Q80,武学奇术!$A:$ZZ,24,FALSE)=1,0,1)</f>
        <v>0.8912</v>
      </c>
      <c r="BP80" s="27" cm="1">
        <f t="array" ref="BP80">1+$B$13+VLOOKUP($Q80,武学奇术!$A:$ZZ,18,FALSE)+SUM(_xlfn.XLOOKUP($R80:$AK80,增益!$A:$A,增益!$R:$R,0))</f>
        <v>2</v>
      </c>
      <c r="BQ80" s="27" cm="1">
        <f t="array" ref="BQ80">IF(VLOOKUP($Q80,武学奇术!$A:$ZZ,24,FALSE)=1,100%,MIN(40%,$B$10+VLOOKUP($Q80,武学奇术!$A:$ZZ,19,FALSE)+SUM(_xlfn.XLOOKUP($R80:$AK80,增益!$A:$A,增益!$S:$S,0)))+$B$12+SUM(_xlfn.XLOOKUP($R80:$AK80,增益!$A:$A,增益!$V:$V,0)))*IF(VLOOKUP($Q80,武学奇术!$A:$ZZ,23,FALSE)=1,0,1)</f>
        <v>0.0929</v>
      </c>
      <c r="BR80" s="27" cm="1">
        <f t="array" ref="BR80">1+$B$14+VLOOKUP($Q80,武学奇术!$A:$ZZ,20,FALSE)+SUM(_xlfn.XLOOKUP($R80:$AK80,增益!$A:$A,增益!$T:$T,0))</f>
        <v>1.35</v>
      </c>
      <c r="BS80" s="27">
        <f t="shared" si="31"/>
        <v>0.87863408</v>
      </c>
      <c r="BT80" s="27">
        <f t="shared" si="32"/>
        <v>0.01567581</v>
      </c>
      <c r="BU80" s="27">
        <f>IF(VLOOKUP($Q80,武学奇术!$A:$ZZ,22,FALSE)=1,0,(1-$BN80))*(1-$BQ80)</f>
        <v>0.01279011</v>
      </c>
      <c r="BV80" s="27" cm="1">
        <f t="array" ref="BV80">SUM(_xlfn.XLOOKUP($R80:$AK80,增益!$A:$A,增益!$W:$W,0))+$I$5</f>
        <v>0.11</v>
      </c>
    </row>
    <row r="81" spans="1:74">
      <c r="A81" s="4" t="s">
        <v>171</v>
      </c>
      <c r="B81" s="4">
        <v>2.3</v>
      </c>
      <c r="D81" s="41"/>
      <c r="E81" s="41"/>
      <c r="K81" s="40">
        <f t="shared" si="33"/>
        <v>37678.7126649734</v>
      </c>
      <c r="L81" s="40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BP81*$P81*(1+IF(VLOOKUP($Q81,武学奇术!$A:$ZZ,30,FALSE)="蓄力技",$B$21,0))*(1+$BV81)</f>
        <v>39113.0334541302</v>
      </c>
      <c r="M81" s="40">
        <f>(($AT81*$AM81+$AN81)*(1+$AU81)*(1+$AV81)+($AY81*IF($G$1="鸣金",$AO81,$AM81)+IF($G$1="鸣金",$AP81*1.5,0))*(1+$AZ81)*(1+$BA81)+($BC81*IF($G$1="裂石",$AO81,$AM81)+IF($G$1="裂石",$AP81*1.5,0))*(1+$BD81)*(1+$BE81)+($BG81*IF($G$1="牵丝",$AO81,$AM81)+IF($G$1="牵丝",$AP81*1.5,0))*(1+$BH81)*(1+$BI81)+($BK81*IF($G$1="破竹",$AO81,$AM81)+IF($G$1="破竹",$AP81*1.5,0))*(1+$BL81)*(1+$BM81))*(1+$AQ81)*$BR81*$P81*(1+IF(VLOOKUP($Q81,武学奇术!$A:$ZZ,30,FALSE)="蓄力技",$B$21,0))*(1+$BV81)</f>
        <v>30036.7862728183</v>
      </c>
      <c r="N81" s="40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P81*(1+IF(VLOOKUP($Q81,武学奇术!$A:$ZZ,30,FALSE)="蓄力技",$B$21,0))*(1+$BV81)</f>
        <v>19556.5167270651</v>
      </c>
      <c r="O81" s="40">
        <f>((($AS81*$AM81+$AN81)*(1+$AU81)*(1+$AV81)+($AX81*IF($G$1="鸣金",$AO81,$AM81)+IF($G$1="鸣金",$AP81*1.5,0))*(1+$AZ81)*(1+$BA81)+($BB81*IF($G$1="裂石",$AO81,$AM81)+IF($G$1="裂石",$AP81*1.5,0))*(1+$BD81)*(1+$BE81)+($BF81*IF($G$1="牵丝",$AO81,$AM81)+IF($G$1="牵丝",$AP81*1.5,0))*(1+$BH81)*(1+$BI81)+($BJ81*IF($G$1="破竹",$AO81,$AM81)+IF($G$1="破竹",$AP81*1.5,0))*(1+$BL81)*(1+$BM81))*(1+$AQ81))*$P81*(1+IF(VLOOKUP($Q81,武学奇术!$A:$ZZ,30,FALSE)="蓄力技",$B$21,0))*(1+$BV81)</f>
        <v>16863.5621409315</v>
      </c>
      <c r="P81" s="41">
        <v>1</v>
      </c>
      <c r="Q81" s="42" t="s">
        <v>110</v>
      </c>
      <c r="R81" s="42" t="s">
        <v>85</v>
      </c>
      <c r="S81" s="42" t="s">
        <v>169</v>
      </c>
      <c r="T81" s="42" t="s">
        <v>86</v>
      </c>
      <c r="U81" s="42" t="s">
        <v>121</v>
      </c>
      <c r="V81" s="42" t="s">
        <v>77</v>
      </c>
      <c r="W81" s="42" t="s">
        <v>77</v>
      </c>
      <c r="X81" s="42" t="s">
        <v>176</v>
      </c>
      <c r="Y81" s="42" t="s">
        <v>77</v>
      </c>
      <c r="Z81" s="42" t="s">
        <v>77</v>
      </c>
      <c r="AA81" s="42" t="s">
        <v>73</v>
      </c>
      <c r="AB81" s="42" t="s">
        <v>95</v>
      </c>
      <c r="AC81" s="42" t="s">
        <v>77</v>
      </c>
      <c r="AD81" s="42" t="s">
        <v>80</v>
      </c>
      <c r="AE81" s="42" t="s">
        <v>81</v>
      </c>
      <c r="AF81" s="42" t="s">
        <v>82</v>
      </c>
      <c r="AG81" s="42" t="s">
        <v>77</v>
      </c>
      <c r="AH81" s="42" t="s">
        <v>77</v>
      </c>
      <c r="AI81" s="42" t="s">
        <v>77</v>
      </c>
      <c r="AJ81" s="42" t="s">
        <v>77</v>
      </c>
      <c r="AK81" s="42" t="s">
        <v>90</v>
      </c>
      <c r="AL81" t="str">
        <f>VLOOKUP($Q81,武学奇术!$A:$ZZ,25,FALSE)</f>
        <v>横刀</v>
      </c>
      <c r="AM81" s="27">
        <f>VLOOKUP($Q81,武学奇术!$A:$ZZ,26,FALSE)</f>
        <v>1.4</v>
      </c>
      <c r="AN81" s="28">
        <f>VLOOKUP($Q81,武学奇术!$A:$ZZ,27,FALSE)*(1+IF(OR($AL81=$F$4,$AL81=$F$5),$B$22,0))</f>
        <v>0</v>
      </c>
      <c r="AO81" s="27">
        <f>VLOOKUP($Q81,武学奇术!$A:$ZZ,28,FALSE)</f>
        <v>2.1</v>
      </c>
      <c r="AP81" s="28">
        <f>VLOOKUP($Q81,武学奇术!$A:$ZZ,29,FALSE)*(1+IF(OR($AL81=$F$4,$AL81=$F$5),$B$22,0))</f>
        <v>0</v>
      </c>
      <c r="AQ81" s="27" cm="1">
        <f t="array" ref="AQ81">$G$3+IFERROR(VLOOKUP($AL81,$F$4:$G$7,2,FALSE),0)+VLOOKUP($Q81,武学奇术!$A:$ZZ,2,FALSE)+SUM(_xlfn.XLOOKUP($R81:$AK81,增益!$A:$A,增益!$B:$B,0))</f>
        <v>0.6989</v>
      </c>
      <c r="AR81" s="27" cm="1">
        <f t="array" ref="AR81">VLOOKUP($Q81,武学奇术!$A:$ZZ,5,FALSE)+SUM(_xlfn.XLOOKUP($R81:$AK81,增益!$A:$A,增益!$E:$E,0))</f>
        <v>0</v>
      </c>
      <c r="AS81" cm="1">
        <f t="array" ref="AS81">$D$10*(1+$AR81)+VLOOKUP($Q81,武学奇术!$A:$ZZ,3,FALSE)+SUM(_xlfn.XLOOKUP($R81:$AK81,增益!$A:$A,增益!$C:$C,0))-$I$2</f>
        <v>3648.7</v>
      </c>
      <c r="AT81" cm="1">
        <f t="array" ref="AT81">$E$10*(1+$AR81)+VLOOKUP($Q81,武学奇术!$A:$ZZ,4,FALSE)+SUM(_xlfn.XLOOKUP($R81:$AK81,增益!$A:$A,增益!$D:$D,0))-$I$2</f>
        <v>3648.7</v>
      </c>
      <c r="AU81" s="34" cm="1">
        <f t="array" ref="AU81">IF($F$10-$I$3+VLOOKUP($Q81,武学奇术!$A:$ZZ,6,FALSE)+SUM(_xlfn.XLOOKUP($R81:$AK81,增益!$A:$A,增益!$F:$F,0))&gt;0,($F$10-$I$3+VLOOKUP($Q81,武学奇术!$A:$ZZ,6,FALSE)+SUM(_xlfn.XLOOKUP($R81:$AK81,增益!$A:$A,增益!$F:$F,0)))/200,($F$10-$I$3+VLOOKUP($Q81,武学奇术!$A:$ZZ,6,FALSE)+SUM(_xlfn.XLOOKUP($R81:$AK81,增益!$A:$A,增益!$F:$F,0)))/100)</f>
        <v>0.422</v>
      </c>
      <c r="AV81" s="34" cm="1">
        <f t="array" ref="AV81">$G$10+VLOOKUP($Q81,武学奇术!$A:$ZZ,7,FALSE)+SUM(_xlfn.XLOOKUP($R81:$AK81,增益!$A:$A,增益!$G:$G,0))</f>
        <v>0</v>
      </c>
      <c r="AW81" s="27" cm="1">
        <f t="array" ref="AW81">VLOOKUP($Q81,武学奇术!$A:$ZZ,8,FALSE)+SUM(_xlfn.XLOOKUP($R81:$AK81,增益!$A:$A,增益!$H:$H,0))</f>
        <v>0</v>
      </c>
      <c r="AX81">
        <f t="shared" si="23"/>
        <v>0</v>
      </c>
      <c r="AY81">
        <f t="shared" si="24"/>
        <v>0</v>
      </c>
      <c r="AZ81" s="34" cm="1">
        <f t="array" ref="AZ81">IF($F$11-$I$4+VLOOKUP($Q81,武学奇术!$A:$ZZ,9,FALSE)+SUM(_xlfn.XLOOKUP($R81:$AK81,增益!$A:$A,增益!$I:$I,0))&gt;0,($F$11-$I$4+VLOOKUP($Q81,武学奇术!$A:$ZZ,9,FALSE)+SUM(_xlfn.XLOOKUP($R81:$AK81,增益!$A:$A,增益!$I:$I,0)))/200,($F$11-$I$4+VLOOKUP($Q81,武学奇术!$A:$ZZ,9,FALSE)+SUM(_xlfn.XLOOKUP($R81:$AK81,增益!$A:$A,增益!$I:$I,0)))/100)</f>
        <v>-0.14</v>
      </c>
      <c r="BA81" s="34" cm="1">
        <f t="array" ref="BA81">$G$11+VLOOKUP($Q81,武学奇术!$A:$ZZ,10,FALSE)+SUM(_xlfn.XLOOKUP($R81:$AK81,增益!$A:$A,增益!$J:$J,0))</f>
        <v>0</v>
      </c>
      <c r="BB81">
        <f t="shared" si="25"/>
        <v>594.1</v>
      </c>
      <c r="BC81">
        <f t="shared" si="26"/>
        <v>1604.9</v>
      </c>
      <c r="BD81" s="34" cm="1">
        <f t="array" ref="BD81">IF($F$12-$I$4+VLOOKUP($Q81,武学奇术!$A:$ZZ,11,FALSE)+SUM(_xlfn.XLOOKUP($R81:$AK81,增益!$A:$A,增益!$K:$K,0))&gt;0,($F$12-$I$4+VLOOKUP($Q81,武学奇术!$A:$ZZ,11,FALSE)+SUM(_xlfn.XLOOKUP($R81:$AK81,增益!$A:$A,增益!$K:$K,0)))/200,($F$12-$I$4+VLOOKUP($Q81,武学奇术!$A:$ZZ,11,FALSE)+SUM(_xlfn.XLOOKUP($R81:$AK81,增益!$A:$A,增益!$K:$K,0)))/100)</f>
        <v>0.17</v>
      </c>
      <c r="BE81" s="34" cm="1">
        <f t="array" ref="BE81">$G$12+VLOOKUP($Q81,武学奇术!$A:$ZZ,12,FALSE)+SUM(_xlfn.XLOOKUP($R81:$AK81,增益!$A:$A,增益!$L:$L,0))</f>
        <v>0.15</v>
      </c>
      <c r="BF81">
        <f t="shared" si="27"/>
        <v>0</v>
      </c>
      <c r="BG81">
        <f t="shared" si="28"/>
        <v>0</v>
      </c>
      <c r="BH81" s="34" cm="1">
        <f t="array" ref="BH81">IF($F$13-$I$4+VLOOKUP($Q81,武学奇术!$A:$ZZ,13,FALSE)+SUM(_xlfn.XLOOKUP($R81:$AK81,增益!$A:$A,增益!$M:$M,0))&gt;0,($F$13-$I$4+VLOOKUP($Q81,武学奇术!$A:$ZZ,13,FALSE)+SUM(_xlfn.XLOOKUP($R81:$AK81,增益!$A:$A,增益!$K:$K,0)))/200,($F$13-$I$4+VLOOKUP($Q81,武学奇术!$A:$ZZ,13,FALSE)+SUM(_xlfn.XLOOKUP($R81:$AK81,增益!$A:$A,增益!$M:$M,0)))/100)</f>
        <v>-0.14</v>
      </c>
      <c r="BI81" s="34" cm="1">
        <f t="array" ref="BI81">$G$13+VLOOKUP($Q81,武学奇术!$A:$ZZ,14,FALSE)+SUM(_xlfn.XLOOKUP($R81:$AK81,增益!$A:$A,增益!$N:$N,0))</f>
        <v>0</v>
      </c>
      <c r="BJ81">
        <f t="shared" si="29"/>
        <v>0</v>
      </c>
      <c r="BK81">
        <f t="shared" si="30"/>
        <v>0</v>
      </c>
      <c r="BL81" s="34" cm="1">
        <f t="array" ref="BL81">IF($F$14-$I$4+VLOOKUP($Q81,武学奇术!$A:$ZZ,15,FALSE)+SUM(_xlfn.XLOOKUP($R81:$AK81,增益!$A:$A,增益!$O:$O,0))&gt;0,($F$14-$I$4+VLOOKUP($Q81,武学奇术!$A:$ZZ,15,FALSE)+SUM(_xlfn.XLOOKUP($R81:$AK81,增益!$A:$A,增益!$O:$O,0)))/200,($F$14-$I$4+VLOOKUP($Q81,武学奇术!$A:$ZZ,15,FALSE)+SUM(_xlfn.XLOOKUP($R81:$AK81,增益!$A:$A,增益!$O:$O,0)))/100)</f>
        <v>-0.14</v>
      </c>
      <c r="BM81" s="34" cm="1">
        <f t="array" ref="BM81">$G$14+VLOOKUP($Q81,武学奇术!$A:$ZZ,16,FALSE)+SUM(_xlfn.XLOOKUP($R81:$AK81,增益!$A:$A,增益!$P:$P,0))</f>
        <v>0</v>
      </c>
      <c r="BN81" s="27">
        <f>MIN(IF(VLOOKUP($Q81,武学奇术!$A:$ZZ,23,FALSE)=1,100%,$B$8),100%)</f>
        <v>0.9859</v>
      </c>
      <c r="BO81" s="27" cm="1">
        <f t="array" ref="BO81">IF(VLOOKUP($Q81,武学奇术!$A:$ZZ,23,FALSE)=1,100%,MIN(80%,$B$9+VLOOKUP($Q81,武学奇术!$A:$ZZ,17,FALSE)+SUM(_xlfn.XLOOKUP($R81:$AK81,增益!$A:$A,增益!$Q:$Q,0)))+$B$11+SUM(_xlfn.XLOOKUP($R81:$AK81,增益!$A:$A,增益!$U:$U,0)))*IF(VLOOKUP($Q81,武学奇术!$A:$ZZ,24,FALSE)=1,0,1)</f>
        <v>0.8912</v>
      </c>
      <c r="BP81" s="27" cm="1">
        <f t="array" ref="BP81">1+$B$13+VLOOKUP($Q81,武学奇术!$A:$ZZ,18,FALSE)+SUM(_xlfn.XLOOKUP($R81:$AK81,增益!$A:$A,增益!$R:$R,0))</f>
        <v>2</v>
      </c>
      <c r="BQ81" s="27" cm="1">
        <f t="array" ref="BQ81">IF(VLOOKUP($Q81,武学奇术!$A:$ZZ,24,FALSE)=1,100%,MIN(40%,$B$10+VLOOKUP($Q81,武学奇术!$A:$ZZ,19,FALSE)+SUM(_xlfn.XLOOKUP($R81:$AK81,增益!$A:$A,增益!$S:$S,0)))+$B$12+SUM(_xlfn.XLOOKUP($R81:$AK81,增益!$A:$A,增益!$V:$V,0)))*IF(VLOOKUP($Q81,武学奇术!$A:$ZZ,23,FALSE)=1,0,1)</f>
        <v>0.0929</v>
      </c>
      <c r="BR81" s="27" cm="1">
        <f t="array" ref="BR81">1+$B$14+VLOOKUP($Q81,武学奇术!$A:$ZZ,20,FALSE)+SUM(_xlfn.XLOOKUP($R81:$AK81,增益!$A:$A,增益!$T:$T,0))</f>
        <v>1.35</v>
      </c>
      <c r="BS81" s="27">
        <f t="shared" si="31"/>
        <v>0.87863408</v>
      </c>
      <c r="BT81" s="27">
        <f t="shared" si="32"/>
        <v>0.01567581</v>
      </c>
      <c r="BU81" s="27">
        <f>IF(VLOOKUP($Q81,武学奇术!$A:$ZZ,22,FALSE)=1,0,(1-$BN81))*(1-$BQ81)</f>
        <v>0.01279011</v>
      </c>
      <c r="BV81" s="27" cm="1">
        <f t="array" ref="BV81">SUM(_xlfn.XLOOKUP($R81:$AK81,增益!$A:$A,增益!$W:$W,0))+$I$5</f>
        <v>0.11</v>
      </c>
    </row>
    <row r="82" spans="1:74">
      <c r="A82" s="4" t="s">
        <v>171</v>
      </c>
      <c r="B82" s="4">
        <v>2.3</v>
      </c>
      <c r="D82" s="41"/>
      <c r="K82" s="40">
        <f t="shared" si="33"/>
        <v>18849.8366722417</v>
      </c>
      <c r="L82" s="40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BP82*$P82*(1+IF(VLOOKUP($Q82,武学奇术!$A:$ZZ,30,FALSE)="蓄力技",$B$21,0))*(1+$BV82)</f>
        <v>19568.168079838</v>
      </c>
      <c r="M82" s="40">
        <f>(($AT82*$AM82+$AN82)*(1+$AU82)*(1+$AV82)+($AY82*IF($G$1="鸣金",$AO82,$AM82)+IF($G$1="鸣金",$AP82*1.5,0))*(1+$AZ82)*(1+$BA82)+($BC82*IF($G$1="裂石",$AO82,$AM82)+IF($G$1="裂石",$AP82*1.5,0))*(1+$BD82)*(1+$BE82)+($BG82*IF($G$1="牵丝",$AO82,$AM82)+IF($G$1="牵丝",$AP82*1.5,0))*(1+$BH82)*(1+$BI82)+($BK82*IF($G$1="破竹",$AO82,$AM82)+IF($G$1="破竹",$AP82*1.5,0))*(1+$BL82)*(1+$BM82))*(1+$AQ82)*$BR82*$P82*(1+IF(VLOOKUP($Q82,武学奇术!$A:$ZZ,30,FALSE)="蓄力技",$B$21,0))*(1+$BV82)</f>
        <v>15018.4257384266</v>
      </c>
      <c r="N82" s="40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P82*(1+IF(VLOOKUP($Q82,武学奇术!$A:$ZZ,30,FALSE)="蓄力技",$B$21,0))*(1+$BV82)</f>
        <v>9784.084039919</v>
      </c>
      <c r="O82" s="40">
        <f>((($AS82*$AM82+$AN82)*(1+$AU82)*(1+$AV82)+($AX82*IF($G$1="鸣金",$AO82,$AM82)+IF($G$1="鸣金",$AP82*1.5,0))*(1+$AZ82)*(1+$BA82)+($BB82*IF($G$1="裂石",$AO82,$AM82)+IF($G$1="裂石",$AP82*1.5,0))*(1+$BD82)*(1+$BE82)+($BF82*IF($G$1="牵丝",$AO82,$AM82)+IF($G$1="牵丝",$AP82*1.5,0))*(1+$BH82)*(1+$BI82)+($BJ82*IF($G$1="破竹",$AO82,$AM82)+IF($G$1="破竹",$AP82*1.5,0))*(1+$BL82)*(1+$BM82))*(1+$AQ82))*$P82*(1+IF(VLOOKUP($Q82,武学奇术!$A:$ZZ,30,FALSE)="蓄力技",$B$21,0))*(1+$BV82)</f>
        <v>8443.4082735961</v>
      </c>
      <c r="P82" s="41">
        <v>1</v>
      </c>
      <c r="Q82" s="42" t="s">
        <v>112</v>
      </c>
      <c r="R82" s="42" t="s">
        <v>93</v>
      </c>
      <c r="S82" s="42" t="s">
        <v>169</v>
      </c>
      <c r="T82" s="42" t="s">
        <v>86</v>
      </c>
      <c r="U82" s="42" t="s">
        <v>121</v>
      </c>
      <c r="V82" s="42" t="s">
        <v>77</v>
      </c>
      <c r="W82" s="42" t="s">
        <v>77</v>
      </c>
      <c r="X82" s="42" t="s">
        <v>176</v>
      </c>
      <c r="Y82" s="42" t="s">
        <v>77</v>
      </c>
      <c r="Z82" s="42" t="s">
        <v>77</v>
      </c>
      <c r="AA82" s="42" t="s">
        <v>73</v>
      </c>
      <c r="AB82" s="42" t="s">
        <v>95</v>
      </c>
      <c r="AC82" s="42" t="s">
        <v>77</v>
      </c>
      <c r="AD82" s="42" t="s">
        <v>80</v>
      </c>
      <c r="AE82" s="42" t="s">
        <v>81</v>
      </c>
      <c r="AF82" s="42" t="s">
        <v>82</v>
      </c>
      <c r="AG82" s="42" t="s">
        <v>77</v>
      </c>
      <c r="AH82" s="42" t="s">
        <v>77</v>
      </c>
      <c r="AI82" s="42" t="s">
        <v>77</v>
      </c>
      <c r="AJ82" s="42" t="s">
        <v>77</v>
      </c>
      <c r="AK82" s="42" t="s">
        <v>90</v>
      </c>
      <c r="AL82" t="str">
        <f>VLOOKUP($Q82,武学奇术!$A:$ZZ,25,FALSE)</f>
        <v>陌刀</v>
      </c>
      <c r="AM82" s="27">
        <f>VLOOKUP($Q82,武学奇术!$A:$ZZ,26,FALSE)</f>
        <v>0.5</v>
      </c>
      <c r="AN82" s="28">
        <f>VLOOKUP($Q82,武学奇术!$A:$ZZ,27,FALSE)*(1+IF(OR($AL82=$F$4,$AL82=$F$5),$B$22,0))</f>
        <v>0</v>
      </c>
      <c r="AO82" s="27">
        <f>VLOOKUP($Q82,武学奇术!$A:$ZZ,28,FALSE)</f>
        <v>0.75</v>
      </c>
      <c r="AP82" s="28">
        <f>VLOOKUP($Q82,武学奇术!$A:$ZZ,29,FALSE)*(1+IF(OR($AL82=$F$4,$AL82=$F$5),$B$22,0))</f>
        <v>0</v>
      </c>
      <c r="AQ82" s="27" cm="1">
        <f t="array" ref="AQ82">$G$3+IFERROR(VLOOKUP($AL82,$F$4:$G$7,2,FALSE),0)+VLOOKUP($Q82,武学奇术!$A:$ZZ,2,FALSE)+SUM(_xlfn.XLOOKUP($R82:$AK82,增益!$A:$A,增益!$B:$B,0))</f>
        <v>0.7941</v>
      </c>
      <c r="AR82" s="27" cm="1">
        <f t="array" ref="AR82">VLOOKUP($Q82,武学奇术!$A:$ZZ,5,FALSE)+SUM(_xlfn.XLOOKUP($R82:$AK82,增益!$A:$A,增益!$E:$E,0))</f>
        <v>0</v>
      </c>
      <c r="AS82" cm="1">
        <f t="array" ref="AS82">$D$10*(1+$AR82)+VLOOKUP($Q82,武学奇术!$A:$ZZ,3,FALSE)+SUM(_xlfn.XLOOKUP($R82:$AK82,增益!$A:$A,增益!$C:$C,0))-$I$2</f>
        <v>3648.7</v>
      </c>
      <c r="AT82" cm="1">
        <f t="array" ref="AT82">$E$10*(1+$AR82)+VLOOKUP($Q82,武学奇术!$A:$ZZ,4,FALSE)+SUM(_xlfn.XLOOKUP($R82:$AK82,增益!$A:$A,增益!$D:$D,0))-$I$2</f>
        <v>3648.7</v>
      </c>
      <c r="AU82" s="34" cm="1">
        <f t="array" ref="AU82">IF($F$10-$I$3+VLOOKUP($Q82,武学奇术!$A:$ZZ,6,FALSE)+SUM(_xlfn.XLOOKUP($R82:$AK82,增益!$A:$A,增益!$F:$F,0))&gt;0,($F$10-$I$3+VLOOKUP($Q82,武学奇术!$A:$ZZ,6,FALSE)+SUM(_xlfn.XLOOKUP($R82:$AK82,增益!$A:$A,增益!$F:$F,0)))/200,($F$10-$I$3+VLOOKUP($Q82,武学奇术!$A:$ZZ,6,FALSE)+SUM(_xlfn.XLOOKUP($R82:$AK82,增益!$A:$A,增益!$F:$F,0)))/100)</f>
        <v>0.432</v>
      </c>
      <c r="AV82" s="34" cm="1">
        <f t="array" ref="AV82">$G$10+VLOOKUP($Q82,武学奇术!$A:$ZZ,7,FALSE)+SUM(_xlfn.XLOOKUP($R82:$AK82,增益!$A:$A,增益!$G:$G,0))</f>
        <v>0</v>
      </c>
      <c r="AW82" s="27" cm="1">
        <f t="array" ref="AW82">VLOOKUP($Q82,武学奇术!$A:$ZZ,8,FALSE)+SUM(_xlfn.XLOOKUP($R82:$AK82,增益!$A:$A,增益!$H:$H,0))</f>
        <v>0</v>
      </c>
      <c r="AX82">
        <f t="shared" si="23"/>
        <v>0</v>
      </c>
      <c r="AY82">
        <f t="shared" si="24"/>
        <v>0</v>
      </c>
      <c r="AZ82" s="34" cm="1">
        <f t="array" ref="AZ82">IF($F$11-$I$4+VLOOKUP($Q82,武学奇术!$A:$ZZ,9,FALSE)+SUM(_xlfn.XLOOKUP($R82:$AK82,增益!$A:$A,增益!$I:$I,0))&gt;0,($F$11-$I$4+VLOOKUP($Q82,武学奇术!$A:$ZZ,9,FALSE)+SUM(_xlfn.XLOOKUP($R82:$AK82,增益!$A:$A,增益!$I:$I,0)))/200,($F$11-$I$4+VLOOKUP($Q82,武学奇术!$A:$ZZ,9,FALSE)+SUM(_xlfn.XLOOKUP($R82:$AK82,增益!$A:$A,增益!$I:$I,0)))/100)</f>
        <v>-0.14</v>
      </c>
      <c r="BA82" s="34" cm="1">
        <f t="array" ref="BA82">$G$11+VLOOKUP($Q82,武学奇术!$A:$ZZ,10,FALSE)+SUM(_xlfn.XLOOKUP($R82:$AK82,增益!$A:$A,增益!$J:$J,0))</f>
        <v>0</v>
      </c>
      <c r="BB82">
        <f t="shared" si="25"/>
        <v>594.1</v>
      </c>
      <c r="BC82">
        <f t="shared" si="26"/>
        <v>1604.9</v>
      </c>
      <c r="BD82" s="34" cm="1">
        <f t="array" ref="BD82">IF($F$12-$I$4+VLOOKUP($Q82,武学奇术!$A:$ZZ,11,FALSE)+SUM(_xlfn.XLOOKUP($R82:$AK82,增益!$A:$A,增益!$K:$K,0))&gt;0,($F$12-$I$4+VLOOKUP($Q82,武学奇术!$A:$ZZ,11,FALSE)+SUM(_xlfn.XLOOKUP($R82:$AK82,增益!$A:$A,增益!$K:$K,0)))/200,($F$12-$I$4+VLOOKUP($Q82,武学奇术!$A:$ZZ,11,FALSE)+SUM(_xlfn.XLOOKUP($R82:$AK82,增益!$A:$A,增益!$K:$K,0)))/100)</f>
        <v>0.17</v>
      </c>
      <c r="BE82" s="34" cm="1">
        <f t="array" ref="BE82">$G$12+VLOOKUP($Q82,武学奇术!$A:$ZZ,12,FALSE)+SUM(_xlfn.XLOOKUP($R82:$AK82,增益!$A:$A,增益!$L:$L,0))</f>
        <v>0.15</v>
      </c>
      <c r="BF82">
        <f t="shared" si="27"/>
        <v>0</v>
      </c>
      <c r="BG82">
        <f t="shared" si="28"/>
        <v>0</v>
      </c>
      <c r="BH82" s="34" cm="1">
        <f t="array" ref="BH82">IF($F$13-$I$4+VLOOKUP($Q82,武学奇术!$A:$ZZ,13,FALSE)+SUM(_xlfn.XLOOKUP($R82:$AK82,增益!$A:$A,增益!$M:$M,0))&gt;0,($F$13-$I$4+VLOOKUP($Q82,武学奇术!$A:$ZZ,13,FALSE)+SUM(_xlfn.XLOOKUP($R82:$AK82,增益!$A:$A,增益!$K:$K,0)))/200,($F$13-$I$4+VLOOKUP($Q82,武学奇术!$A:$ZZ,13,FALSE)+SUM(_xlfn.XLOOKUP($R82:$AK82,增益!$A:$A,增益!$M:$M,0)))/100)</f>
        <v>-0.14</v>
      </c>
      <c r="BI82" s="34" cm="1">
        <f t="array" ref="BI82">$G$13+VLOOKUP($Q82,武学奇术!$A:$ZZ,14,FALSE)+SUM(_xlfn.XLOOKUP($R82:$AK82,增益!$A:$A,增益!$N:$N,0))</f>
        <v>0</v>
      </c>
      <c r="BJ82">
        <f t="shared" si="29"/>
        <v>0</v>
      </c>
      <c r="BK82">
        <f t="shared" si="30"/>
        <v>0</v>
      </c>
      <c r="BL82" s="34" cm="1">
        <f t="array" ref="BL82">IF($F$14-$I$4+VLOOKUP($Q82,武学奇术!$A:$ZZ,15,FALSE)+SUM(_xlfn.XLOOKUP($R82:$AK82,增益!$A:$A,增益!$O:$O,0))&gt;0,($F$14-$I$4+VLOOKUP($Q82,武学奇术!$A:$ZZ,15,FALSE)+SUM(_xlfn.XLOOKUP($R82:$AK82,增益!$A:$A,增益!$O:$O,0)))/200,($F$14-$I$4+VLOOKUP($Q82,武学奇术!$A:$ZZ,15,FALSE)+SUM(_xlfn.XLOOKUP($R82:$AK82,增益!$A:$A,增益!$O:$O,0)))/100)</f>
        <v>-0.14</v>
      </c>
      <c r="BM82" s="34" cm="1">
        <f t="array" ref="BM82">$G$14+VLOOKUP($Q82,武学奇术!$A:$ZZ,16,FALSE)+SUM(_xlfn.XLOOKUP($R82:$AK82,增益!$A:$A,增益!$P:$P,0))</f>
        <v>0</v>
      </c>
      <c r="BN82" s="27">
        <f>MIN(IF(VLOOKUP($Q82,武学奇术!$A:$ZZ,23,FALSE)=1,100%,$B$8),100%)</f>
        <v>0.9859</v>
      </c>
      <c r="BO82" s="27" cm="1">
        <f t="array" ref="BO82">IF(VLOOKUP($Q82,武学奇术!$A:$ZZ,23,FALSE)=1,100%,MIN(80%,$B$9+VLOOKUP($Q82,武学奇术!$A:$ZZ,17,FALSE)+SUM(_xlfn.XLOOKUP($R82:$AK82,增益!$A:$A,增益!$Q:$Q,0)))+$B$11+SUM(_xlfn.XLOOKUP($R82:$AK82,增益!$A:$A,增益!$U:$U,0)))*IF(VLOOKUP($Q82,武学奇术!$A:$ZZ,24,FALSE)=1,0,1)</f>
        <v>0.8912</v>
      </c>
      <c r="BP82" s="27" cm="1">
        <f t="array" ref="BP82">1+$B$13+VLOOKUP($Q82,武学奇术!$A:$ZZ,18,FALSE)+SUM(_xlfn.XLOOKUP($R82:$AK82,增益!$A:$A,增益!$R:$R,0))</f>
        <v>2</v>
      </c>
      <c r="BQ82" s="27" cm="1">
        <f t="array" ref="BQ82">IF(VLOOKUP($Q82,武学奇术!$A:$ZZ,24,FALSE)=1,100%,MIN(40%,$B$10+VLOOKUP($Q82,武学奇术!$A:$ZZ,19,FALSE)+SUM(_xlfn.XLOOKUP($R82:$AK82,增益!$A:$A,增益!$S:$S,0)))+$B$12+SUM(_xlfn.XLOOKUP($R82:$AK82,增益!$A:$A,增益!$V:$V,0)))*IF(VLOOKUP($Q82,武学奇术!$A:$ZZ,23,FALSE)=1,0,1)</f>
        <v>0.0929</v>
      </c>
      <c r="BR82" s="27" cm="1">
        <f t="array" ref="BR82">1+$B$14+VLOOKUP($Q82,武学奇术!$A:$ZZ,20,FALSE)+SUM(_xlfn.XLOOKUP($R82:$AK82,增益!$A:$A,增益!$T:$T,0))</f>
        <v>1.35</v>
      </c>
      <c r="BS82" s="27">
        <f t="shared" si="31"/>
        <v>0.87863408</v>
      </c>
      <c r="BT82" s="27">
        <f t="shared" si="32"/>
        <v>0.01567581</v>
      </c>
      <c r="BU82" s="27">
        <f>IF(VLOOKUP($Q82,武学奇术!$A:$ZZ,22,FALSE)=1,0,(1-$BN82))*(1-$BQ82)</f>
        <v>0.01279011</v>
      </c>
      <c r="BV82" s="27" cm="1">
        <f t="array" ref="BV82">SUM(_xlfn.XLOOKUP($R82:$AK82,增益!$A:$A,增益!$W:$W,0))+$I$5</f>
        <v>0.11</v>
      </c>
    </row>
    <row r="83" spans="1:74">
      <c r="A83" s="4" t="s">
        <v>171</v>
      </c>
      <c r="B83" s="4">
        <v>2.3</v>
      </c>
      <c r="D83" s="41"/>
      <c r="K83" s="40">
        <f t="shared" si="33"/>
        <v>36983.8376708938</v>
      </c>
      <c r="L83" s="40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BP83*$P83*(1+IF(VLOOKUP($Q83,武学奇术!$A:$ZZ,30,FALSE)="蓄力技",$B$21,0))*(1+$BV83)</f>
        <v>36983.8376708938</v>
      </c>
      <c r="M83" s="40">
        <f>(($AT83*$AM83+$AN83)*(1+$AU83)*(1+$AV83)+($AY83*IF($G$1="鸣金",$AO83,$AM83)+IF($G$1="鸣金",$AP83*1.5,0))*(1+$AZ83)*(1+$BA83)+($BC83*IF($G$1="裂石",$AO83,$AM83)+IF($G$1="裂石",$AP83*1.5,0))*(1+$BD83)*(1+$BE83)+($BG83*IF($G$1="牵丝",$AO83,$AM83)+IF($G$1="牵丝",$AP83*1.5,0))*(1+$BH83)*(1+$BI83)+($BK83*IF($G$1="破竹",$AO83,$AM83)+IF($G$1="破竹",$AP83*1.5,0))*(1+$BL83)*(1+$BM83))*(1+$AQ83)*$BR83*$P83*(1+IF(VLOOKUP($Q83,武学奇术!$A:$ZZ,30,FALSE)="蓄力技",$B$21,0))*(1+$BV83)</f>
        <v>27033.1663291678</v>
      </c>
      <c r="N83" s="40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P83*(1+IF(VLOOKUP($Q83,武学奇术!$A:$ZZ,30,FALSE)="蓄力技",$B$21,0))*(1+$BV83)</f>
        <v>17611.3512718542</v>
      </c>
      <c r="O83" s="40">
        <f>((($AS83*$AM83+$AN83)*(1+$AU83)*(1+$AV83)+($AX83*IF($G$1="鸣金",$AO83,$AM83)+IF($G$1="鸣金",$AP83*1.5,0))*(1+$AZ83)*(1+$BA83)+($BB83*IF($G$1="裂石",$AO83,$AM83)+IF($G$1="裂石",$AP83*1.5,0))*(1+$BD83)*(1+$BE83)+($BF83*IF($G$1="牵丝",$AO83,$AM83)+IF($G$1="牵丝",$AP83*1.5,0))*(1+$BH83)*(1+$BI83)+($BJ83*IF($G$1="破竹",$AO83,$AM83)+IF($G$1="破竹",$AP83*1.5,0))*(1+$BL83)*(1+$BM83))*(1+$AQ83))*$P83*(1+IF(VLOOKUP($Q83,武学奇术!$A:$ZZ,30,FALSE)="蓄力技",$B$21,0))*(1+$BV83)</f>
        <v>15198.134892473</v>
      </c>
      <c r="P83" s="41">
        <v>1</v>
      </c>
      <c r="Q83" s="42" t="s">
        <v>117</v>
      </c>
      <c r="R83" s="42" t="s">
        <v>93</v>
      </c>
      <c r="S83" s="42" t="s">
        <v>169</v>
      </c>
      <c r="T83" s="42" t="s">
        <v>86</v>
      </c>
      <c r="U83" s="42" t="s">
        <v>121</v>
      </c>
      <c r="V83" s="42" t="s">
        <v>118</v>
      </c>
      <c r="W83" s="42" t="s">
        <v>77</v>
      </c>
      <c r="X83" s="42" t="s">
        <v>176</v>
      </c>
      <c r="Y83" s="42" t="s">
        <v>77</v>
      </c>
      <c r="Z83" s="42" t="s">
        <v>77</v>
      </c>
      <c r="AA83" s="42" t="s">
        <v>73</v>
      </c>
      <c r="AB83" s="42" t="s">
        <v>95</v>
      </c>
      <c r="AC83" s="42" t="s">
        <v>77</v>
      </c>
      <c r="AD83" s="42" t="s">
        <v>80</v>
      </c>
      <c r="AE83" s="42" t="s">
        <v>81</v>
      </c>
      <c r="AF83" s="42" t="s">
        <v>82</v>
      </c>
      <c r="AG83" s="42" t="s">
        <v>77</v>
      </c>
      <c r="AH83" s="42" t="s">
        <v>77</v>
      </c>
      <c r="AI83" s="42" t="s">
        <v>77</v>
      </c>
      <c r="AJ83" s="42" t="s">
        <v>77</v>
      </c>
      <c r="AK83" s="42" t="s">
        <v>90</v>
      </c>
      <c r="AL83" t="str">
        <f>VLOOKUP($Q83,武学奇术!$A:$ZZ,25,FALSE)</f>
        <v>陌刀</v>
      </c>
      <c r="AM83" s="27">
        <f>VLOOKUP($Q83,武学奇术!$A:$ZZ,26,FALSE)</f>
        <v>0.9</v>
      </c>
      <c r="AN83" s="28">
        <f>VLOOKUP($Q83,武学奇术!$A:$ZZ,27,FALSE)*(1+IF(OR($AL83=$F$4,$AL83=$F$5),$B$22,0))</f>
        <v>0</v>
      </c>
      <c r="AO83" s="27">
        <f>VLOOKUP($Q83,武学奇术!$A:$ZZ,28,FALSE)</f>
        <v>1.35</v>
      </c>
      <c r="AP83" s="28">
        <f>VLOOKUP($Q83,武学奇术!$A:$ZZ,29,FALSE)*(1+IF(OR($AL83=$F$4,$AL83=$F$5),$B$22,0))</f>
        <v>0</v>
      </c>
      <c r="AQ83" s="27" cm="1">
        <f t="array" ref="AQ83">$G$3+IFERROR(VLOOKUP($AL83,$F$4:$G$7,2,FALSE),0)+VLOOKUP($Q83,武学奇术!$A:$ZZ,2,FALSE)+SUM(_xlfn.XLOOKUP($R83:$AK83,增益!$A:$A,增益!$B:$B,0))</f>
        <v>0.7941</v>
      </c>
      <c r="AR83" s="27" cm="1">
        <f t="array" ref="AR83">VLOOKUP($Q83,武学奇术!$A:$ZZ,5,FALSE)+SUM(_xlfn.XLOOKUP($R83:$AK83,增益!$A:$A,增益!$E:$E,0))</f>
        <v>0</v>
      </c>
      <c r="AS83" cm="1">
        <f t="array" ref="AS83">$D$10*(1+$AR83)+VLOOKUP($Q83,武学奇术!$A:$ZZ,3,FALSE)+SUM(_xlfn.XLOOKUP($R83:$AK83,增益!$A:$A,增益!$C:$C,0))-$I$2</f>
        <v>3648.7</v>
      </c>
      <c r="AT83" cm="1">
        <f t="array" ref="AT83">$E$10*(1+$AR83)+VLOOKUP($Q83,武学奇术!$A:$ZZ,4,FALSE)+SUM(_xlfn.XLOOKUP($R83:$AK83,增益!$A:$A,增益!$D:$D,0))-$I$2</f>
        <v>3648.7</v>
      </c>
      <c r="AU83" s="34" cm="1">
        <f t="array" ref="AU83">IF($F$10-$I$3+VLOOKUP($Q83,武学奇术!$A:$ZZ,6,FALSE)+SUM(_xlfn.XLOOKUP($R83:$AK83,增益!$A:$A,增益!$F:$F,0))&gt;0,($F$10-$I$3+VLOOKUP($Q83,武学奇术!$A:$ZZ,6,FALSE)+SUM(_xlfn.XLOOKUP($R83:$AK83,增益!$A:$A,增益!$F:$F,0)))/200,($F$10-$I$3+VLOOKUP($Q83,武学奇术!$A:$ZZ,6,FALSE)+SUM(_xlfn.XLOOKUP($R83:$AK83,增益!$A:$A,增益!$F:$F,0)))/100)</f>
        <v>0.432</v>
      </c>
      <c r="AV83" s="34" cm="1">
        <f t="array" ref="AV83">$G$10+VLOOKUP($Q83,武学奇术!$A:$ZZ,7,FALSE)+SUM(_xlfn.XLOOKUP($R83:$AK83,增益!$A:$A,增益!$G:$G,0))</f>
        <v>0</v>
      </c>
      <c r="AW83" s="27" cm="1">
        <f t="array" ref="AW83">VLOOKUP($Q83,武学奇术!$A:$ZZ,8,FALSE)+SUM(_xlfn.XLOOKUP($R83:$AK83,增益!$A:$A,增益!$H:$H,0))</f>
        <v>0</v>
      </c>
      <c r="AX83">
        <f t="shared" si="23"/>
        <v>0</v>
      </c>
      <c r="AY83">
        <f t="shared" si="24"/>
        <v>0</v>
      </c>
      <c r="AZ83" s="34" cm="1">
        <f t="array" ref="AZ83">IF($F$11-$I$4+VLOOKUP($Q83,武学奇术!$A:$ZZ,9,FALSE)+SUM(_xlfn.XLOOKUP($R83:$AK83,增益!$A:$A,增益!$I:$I,0))&gt;0,($F$11-$I$4+VLOOKUP($Q83,武学奇术!$A:$ZZ,9,FALSE)+SUM(_xlfn.XLOOKUP($R83:$AK83,增益!$A:$A,增益!$I:$I,0)))/200,($F$11-$I$4+VLOOKUP($Q83,武学奇术!$A:$ZZ,9,FALSE)+SUM(_xlfn.XLOOKUP($R83:$AK83,增益!$A:$A,增益!$I:$I,0)))/100)</f>
        <v>-0.14</v>
      </c>
      <c r="BA83" s="34" cm="1">
        <f t="array" ref="BA83">$G$11+VLOOKUP($Q83,武学奇术!$A:$ZZ,10,FALSE)+SUM(_xlfn.XLOOKUP($R83:$AK83,增益!$A:$A,增益!$J:$J,0))</f>
        <v>0</v>
      </c>
      <c r="BB83">
        <f t="shared" si="25"/>
        <v>594.1</v>
      </c>
      <c r="BC83">
        <f t="shared" si="26"/>
        <v>1604.9</v>
      </c>
      <c r="BD83" s="34" cm="1">
        <f t="array" ref="BD83">IF($F$12-$I$4+VLOOKUP($Q83,武学奇术!$A:$ZZ,11,FALSE)+SUM(_xlfn.XLOOKUP($R83:$AK83,增益!$A:$A,增益!$K:$K,0))&gt;0,($F$12-$I$4+VLOOKUP($Q83,武学奇术!$A:$ZZ,11,FALSE)+SUM(_xlfn.XLOOKUP($R83:$AK83,增益!$A:$A,增益!$K:$K,0)))/200,($F$12-$I$4+VLOOKUP($Q83,武学奇术!$A:$ZZ,11,FALSE)+SUM(_xlfn.XLOOKUP($R83:$AK83,增益!$A:$A,增益!$K:$K,0)))/100)</f>
        <v>0.17</v>
      </c>
      <c r="BE83" s="34" cm="1">
        <f t="array" ref="BE83">$G$12+VLOOKUP($Q83,武学奇术!$A:$ZZ,12,FALSE)+SUM(_xlfn.XLOOKUP($R83:$AK83,增益!$A:$A,增益!$L:$L,0))</f>
        <v>0.15</v>
      </c>
      <c r="BF83">
        <f t="shared" si="27"/>
        <v>0</v>
      </c>
      <c r="BG83">
        <f t="shared" si="28"/>
        <v>0</v>
      </c>
      <c r="BH83" s="34" cm="1">
        <f t="array" ref="BH83">IF($F$13-$I$4+VLOOKUP($Q83,武学奇术!$A:$ZZ,13,FALSE)+SUM(_xlfn.XLOOKUP($R83:$AK83,增益!$A:$A,增益!$M:$M,0))&gt;0,($F$13-$I$4+VLOOKUP($Q83,武学奇术!$A:$ZZ,13,FALSE)+SUM(_xlfn.XLOOKUP($R83:$AK83,增益!$A:$A,增益!$K:$K,0)))/200,($F$13-$I$4+VLOOKUP($Q83,武学奇术!$A:$ZZ,13,FALSE)+SUM(_xlfn.XLOOKUP($R83:$AK83,增益!$A:$A,增益!$M:$M,0)))/100)</f>
        <v>-0.14</v>
      </c>
      <c r="BI83" s="34" cm="1">
        <f t="array" ref="BI83">$G$13+VLOOKUP($Q83,武学奇术!$A:$ZZ,14,FALSE)+SUM(_xlfn.XLOOKUP($R83:$AK83,增益!$A:$A,增益!$N:$N,0))</f>
        <v>0</v>
      </c>
      <c r="BJ83">
        <f t="shared" si="29"/>
        <v>0</v>
      </c>
      <c r="BK83">
        <f t="shared" si="30"/>
        <v>0</v>
      </c>
      <c r="BL83" s="34" cm="1">
        <f t="array" ref="BL83">IF($F$14-$I$4+VLOOKUP($Q83,武学奇术!$A:$ZZ,15,FALSE)+SUM(_xlfn.XLOOKUP($R83:$AK83,增益!$A:$A,增益!$O:$O,0))&gt;0,($F$14-$I$4+VLOOKUP($Q83,武学奇术!$A:$ZZ,15,FALSE)+SUM(_xlfn.XLOOKUP($R83:$AK83,增益!$A:$A,增益!$O:$O,0)))/200,($F$14-$I$4+VLOOKUP($Q83,武学奇术!$A:$ZZ,15,FALSE)+SUM(_xlfn.XLOOKUP($R83:$AK83,增益!$A:$A,增益!$O:$O,0)))/100)</f>
        <v>-0.14</v>
      </c>
      <c r="BM83" s="34" cm="1">
        <f t="array" ref="BM83">$G$14+VLOOKUP($Q83,武学奇术!$A:$ZZ,16,FALSE)+SUM(_xlfn.XLOOKUP($R83:$AK83,增益!$A:$A,增益!$P:$P,0))</f>
        <v>0</v>
      </c>
      <c r="BN83" s="27">
        <f>MIN(IF(VLOOKUP($Q83,武学奇术!$A:$ZZ,23,FALSE)=1,100%,$B$8),100%)</f>
        <v>1</v>
      </c>
      <c r="BO83" s="27" cm="1">
        <f t="array" ref="BO83">IF(VLOOKUP($Q83,武学奇术!$A:$ZZ,23,FALSE)=1,100%,MIN(80%,$B$9+VLOOKUP($Q83,武学奇术!$A:$ZZ,17,FALSE)+SUM(_xlfn.XLOOKUP($R83:$AK83,增益!$A:$A,增益!$Q:$Q,0)))+$B$11+SUM(_xlfn.XLOOKUP($R83:$AK83,增益!$A:$A,增益!$U:$U,0)))*IF(VLOOKUP($Q83,武学奇术!$A:$ZZ,24,FALSE)=1,0,1)</f>
        <v>1</v>
      </c>
      <c r="BP83" s="27" cm="1">
        <f t="array" ref="BP83">1+$B$13+VLOOKUP($Q83,武学奇术!$A:$ZZ,18,FALSE)+SUM(_xlfn.XLOOKUP($R83:$AK83,增益!$A:$A,增益!$R:$R,0))</f>
        <v>2.1</v>
      </c>
      <c r="BQ83" s="27" cm="1">
        <f t="array" ref="BQ83">IF(VLOOKUP($Q83,武学奇术!$A:$ZZ,24,FALSE)=1,100%,MIN(40%,$B$10+VLOOKUP($Q83,武学奇术!$A:$ZZ,19,FALSE)+SUM(_xlfn.XLOOKUP($R83:$AK83,增益!$A:$A,增益!$S:$S,0)))+$B$12+SUM(_xlfn.XLOOKUP($R83:$AK83,增益!$A:$A,增益!$V:$V,0)))*IF(VLOOKUP($Q83,武学奇术!$A:$ZZ,23,FALSE)=1,0,1)</f>
        <v>0</v>
      </c>
      <c r="BR83" s="27" cm="1">
        <f t="array" ref="BR83">1+$B$14+VLOOKUP($Q83,武学奇术!$A:$ZZ,20,FALSE)+SUM(_xlfn.XLOOKUP($R83:$AK83,增益!$A:$A,增益!$T:$T,0))</f>
        <v>1.35</v>
      </c>
      <c r="BS83" s="27">
        <f t="shared" si="31"/>
        <v>1</v>
      </c>
      <c r="BT83" s="27">
        <f t="shared" si="32"/>
        <v>0</v>
      </c>
      <c r="BU83" s="27">
        <f>IF(VLOOKUP($Q83,武学奇术!$A:$ZZ,22,FALSE)=1,0,(1-$BN83))*(1-$BQ83)</f>
        <v>0</v>
      </c>
      <c r="BV83" s="27" cm="1">
        <f t="array" ref="BV83">SUM(_xlfn.XLOOKUP($R83:$AK83,增益!$A:$A,增益!$W:$W,0))+$I$5</f>
        <v>0.11</v>
      </c>
    </row>
    <row r="84" spans="1:74">
      <c r="A84" s="4" t="s">
        <v>174</v>
      </c>
      <c r="B84" s="4">
        <v>2</v>
      </c>
      <c r="D84" s="41"/>
      <c r="K84" s="40">
        <f t="shared" si="33"/>
        <v>354838.826460685</v>
      </c>
      <c r="L84" s="40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BP84*$P84*(1+IF(VLOOKUP($Q84,武学奇术!$A:$ZZ,30,FALSE)="蓄力技",$B$21,0))*(1+$BV84)</f>
        <v>354838.826460685</v>
      </c>
      <c r="M84" s="40">
        <f>(($AT84*$AM84+$AN84)*(1+$AU84)*(1+$AV84)+($AY84*IF($G$1="鸣金",$AO84,$AM84)+IF($G$1="鸣金",$AP84*1.5,0))*(1+$AZ84)*(1+$BA84)+($BC84*IF($G$1="裂石",$AO84,$AM84)+IF($G$1="裂石",$AP84*1.5,0))*(1+$BD84)*(1+$BE84)+($BG84*IF($G$1="牵丝",$AO84,$AM84)+IF($G$1="牵丝",$AP84*1.5,0))*(1+$BH84)*(1+$BI84)+($BK84*IF($G$1="破竹",$AO84,$AM84)+IF($G$1="破竹",$AP84*1.5,0))*(1+$BL84)*(1+$BM84))*(1+$AQ84)*$BR84*$P84*(1+IF(VLOOKUP($Q84,武学奇术!$A:$ZZ,30,FALSE)="蓄力技",$B$21,0))*(1+$BV84)</f>
        <v>255503.57591893</v>
      </c>
      <c r="N84" s="40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P84*(1+IF(VLOOKUP($Q84,武学奇术!$A:$ZZ,30,FALSE)="蓄力技",$B$21,0))*(1+$BV84)</f>
        <v>168970.869743184</v>
      </c>
      <c r="O84" s="40">
        <f>((($AS84*$AM84+$AN84)*(1+$AU84)*(1+$AV84)+($AX84*IF($G$1="鸣金",$AO84,$AM84)+IF($G$1="鸣金",$AP84*1.5,0))*(1+$AZ84)*(1+$BA84)+($BB84*IF($G$1="裂石",$AO84,$AM84)+IF($G$1="裂石",$AP84*1.5,0))*(1+$BD84)*(1+$BE84)+($BF84*IF($G$1="牵丝",$AO84,$AM84)+IF($G$1="牵丝",$AP84*1.5,0))*(1+$BH84)*(1+$BI84)+($BJ84*IF($G$1="破竹",$AO84,$AM84)+IF($G$1="破竹",$AP84*1.5,0))*(1+$BL84)*(1+$BM84))*(1+$AQ84))*$P84*(1+IF(VLOOKUP($Q84,武学奇术!$A:$ZZ,30,FALSE)="蓄力技",$B$21,0))*(1+$BV84)</f>
        <v>148679.831398271</v>
      </c>
      <c r="P84" s="41">
        <v>1</v>
      </c>
      <c r="Q84" s="42" t="s">
        <v>120</v>
      </c>
      <c r="R84" s="42" t="s">
        <v>93</v>
      </c>
      <c r="S84" s="42" t="s">
        <v>169</v>
      </c>
      <c r="T84" s="42" t="s">
        <v>86</v>
      </c>
      <c r="U84" s="42" t="s">
        <v>121</v>
      </c>
      <c r="V84" s="42" t="s">
        <v>118</v>
      </c>
      <c r="W84" s="42" t="s">
        <v>77</v>
      </c>
      <c r="X84" s="42" t="s">
        <v>176</v>
      </c>
      <c r="Y84" s="42" t="s">
        <v>77</v>
      </c>
      <c r="Z84" s="42" t="s">
        <v>77</v>
      </c>
      <c r="AA84" s="42" t="s">
        <v>73</v>
      </c>
      <c r="AB84" s="42" t="s">
        <v>95</v>
      </c>
      <c r="AC84" s="42" t="s">
        <v>77</v>
      </c>
      <c r="AD84" s="42" t="s">
        <v>80</v>
      </c>
      <c r="AE84" s="42" t="s">
        <v>81</v>
      </c>
      <c r="AF84" s="42" t="s">
        <v>82</v>
      </c>
      <c r="AG84" s="42" t="s">
        <v>77</v>
      </c>
      <c r="AH84" s="42" t="s">
        <v>77</v>
      </c>
      <c r="AI84" s="42" t="s">
        <v>77</v>
      </c>
      <c r="AJ84" s="42" t="s">
        <v>77</v>
      </c>
      <c r="AK84" s="42" t="s">
        <v>90</v>
      </c>
      <c r="AL84" t="str">
        <f>VLOOKUP($Q84,武学奇术!$A:$ZZ,25,FALSE)</f>
        <v>陌刀</v>
      </c>
      <c r="AM84" s="27">
        <f>VLOOKUP($Q84,武学奇术!$A:$ZZ,26,FALSE)</f>
        <v>7.5674</v>
      </c>
      <c r="AN84" s="28">
        <f>VLOOKUP($Q84,武学奇术!$A:$ZZ,27,FALSE)*(1+IF(OR($AL84=$F$4,$AL84=$F$5),$B$22,0))</f>
        <v>3139.5</v>
      </c>
      <c r="AO84" s="27">
        <f>VLOOKUP($Q84,武学奇术!$A:$ZZ,28,FALSE)</f>
        <v>11.3512</v>
      </c>
      <c r="AP84" s="28">
        <f>VLOOKUP($Q84,武学奇术!$A:$ZZ,29,FALSE)*(1+IF(OR($AL84=$F$4,$AL84=$F$5),$B$22,0))</f>
        <v>1710</v>
      </c>
      <c r="AQ84" s="27" cm="1">
        <f t="array" ref="AQ84">$G$3+IFERROR(VLOOKUP($AL84,$F$4:$G$7,2,FALSE),0)+VLOOKUP($Q84,武学奇术!$A:$ZZ,2,FALSE)+SUM(_xlfn.XLOOKUP($R84:$AK84,增益!$A:$A,增益!$B:$B,0))</f>
        <v>0.7941</v>
      </c>
      <c r="AR84" s="27" cm="1">
        <f t="array" ref="AR84">VLOOKUP($Q84,武学奇术!$A:$ZZ,5,FALSE)+SUM(_xlfn.XLOOKUP($R84:$AK84,增益!$A:$A,增益!$E:$E,0))</f>
        <v>0</v>
      </c>
      <c r="AS84" cm="1">
        <f t="array" ref="AS84">$D$10*(1+$AR84)+VLOOKUP($Q84,武学奇术!$A:$ZZ,3,FALSE)+SUM(_xlfn.XLOOKUP($R84:$AK84,增益!$A:$A,增益!$C:$C,0))-$I$2</f>
        <v>3648.7</v>
      </c>
      <c r="AT84" cm="1">
        <f t="array" ref="AT84">$E$10*(1+$AR84)+VLOOKUP($Q84,武学奇术!$A:$ZZ,4,FALSE)+SUM(_xlfn.XLOOKUP($R84:$AK84,增益!$A:$A,增益!$D:$D,0))-$I$2</f>
        <v>3648.7</v>
      </c>
      <c r="AU84" s="34" cm="1">
        <f t="array" ref="AU84">IF($F$10-$I$3+VLOOKUP($Q84,武学奇术!$A:$ZZ,6,FALSE)+SUM(_xlfn.XLOOKUP($R84:$AK84,增益!$A:$A,增益!$F:$F,0))&gt;0,($F$10-$I$3+VLOOKUP($Q84,武学奇术!$A:$ZZ,6,FALSE)+SUM(_xlfn.XLOOKUP($R84:$AK84,增益!$A:$A,增益!$F:$F,0)))/200,($F$10-$I$3+VLOOKUP($Q84,武学奇术!$A:$ZZ,6,FALSE)+SUM(_xlfn.XLOOKUP($R84:$AK84,增益!$A:$A,增益!$F:$F,0)))/100)</f>
        <v>0.432</v>
      </c>
      <c r="AV84" s="34" cm="1">
        <f t="array" ref="AV84">$G$10+VLOOKUP($Q84,武学奇术!$A:$ZZ,7,FALSE)+SUM(_xlfn.XLOOKUP($R84:$AK84,增益!$A:$A,增益!$G:$G,0))</f>
        <v>0</v>
      </c>
      <c r="AW84" s="27" cm="1">
        <f t="array" ref="AW84">VLOOKUP($Q84,武学奇术!$A:$ZZ,8,FALSE)+SUM(_xlfn.XLOOKUP($R84:$AK84,增益!$A:$A,增益!$H:$H,0))</f>
        <v>0</v>
      </c>
      <c r="AX84">
        <f t="shared" si="23"/>
        <v>0</v>
      </c>
      <c r="AY84">
        <f t="shared" si="24"/>
        <v>0</v>
      </c>
      <c r="AZ84" s="34" cm="1">
        <f t="array" ref="AZ84">IF($F$11-$I$4+VLOOKUP($Q84,武学奇术!$A:$ZZ,9,FALSE)+SUM(_xlfn.XLOOKUP($R84:$AK84,增益!$A:$A,增益!$I:$I,0))&gt;0,($F$11-$I$4+VLOOKUP($Q84,武学奇术!$A:$ZZ,9,FALSE)+SUM(_xlfn.XLOOKUP($R84:$AK84,增益!$A:$A,增益!$I:$I,0)))/200,($F$11-$I$4+VLOOKUP($Q84,武学奇术!$A:$ZZ,9,FALSE)+SUM(_xlfn.XLOOKUP($R84:$AK84,增益!$A:$A,增益!$I:$I,0)))/100)</f>
        <v>-0.14</v>
      </c>
      <c r="BA84" s="34" cm="1">
        <f t="array" ref="BA84">$G$11+VLOOKUP($Q84,武学奇术!$A:$ZZ,10,FALSE)+SUM(_xlfn.XLOOKUP($R84:$AK84,增益!$A:$A,增益!$J:$J,0))</f>
        <v>0</v>
      </c>
      <c r="BB84">
        <f t="shared" si="25"/>
        <v>594.1</v>
      </c>
      <c r="BC84">
        <f t="shared" si="26"/>
        <v>1604.9</v>
      </c>
      <c r="BD84" s="34" cm="1">
        <f t="array" ref="BD84">IF($F$12-$I$4+VLOOKUP($Q84,武学奇术!$A:$ZZ,11,FALSE)+SUM(_xlfn.XLOOKUP($R84:$AK84,增益!$A:$A,增益!$K:$K,0))&gt;0,($F$12-$I$4+VLOOKUP($Q84,武学奇术!$A:$ZZ,11,FALSE)+SUM(_xlfn.XLOOKUP($R84:$AK84,增益!$A:$A,增益!$K:$K,0)))/200,($F$12-$I$4+VLOOKUP($Q84,武学奇术!$A:$ZZ,11,FALSE)+SUM(_xlfn.XLOOKUP($R84:$AK84,增益!$A:$A,增益!$K:$K,0)))/100)</f>
        <v>0.17</v>
      </c>
      <c r="BE84" s="34" cm="1">
        <f t="array" ref="BE84">$G$12+VLOOKUP($Q84,武学奇术!$A:$ZZ,12,FALSE)+SUM(_xlfn.XLOOKUP($R84:$AK84,增益!$A:$A,增益!$L:$L,0))</f>
        <v>0.15</v>
      </c>
      <c r="BF84">
        <f t="shared" si="27"/>
        <v>0</v>
      </c>
      <c r="BG84">
        <f t="shared" si="28"/>
        <v>0</v>
      </c>
      <c r="BH84" s="34" cm="1">
        <f t="array" ref="BH84">IF($F$13-$I$4+VLOOKUP($Q84,武学奇术!$A:$ZZ,13,FALSE)+SUM(_xlfn.XLOOKUP($R84:$AK84,增益!$A:$A,增益!$M:$M,0))&gt;0,($F$13-$I$4+VLOOKUP($Q84,武学奇术!$A:$ZZ,13,FALSE)+SUM(_xlfn.XLOOKUP($R84:$AK84,增益!$A:$A,增益!$K:$K,0)))/200,($F$13-$I$4+VLOOKUP($Q84,武学奇术!$A:$ZZ,13,FALSE)+SUM(_xlfn.XLOOKUP($R84:$AK84,增益!$A:$A,增益!$M:$M,0)))/100)</f>
        <v>-0.14</v>
      </c>
      <c r="BI84" s="34" cm="1">
        <f t="array" ref="BI84">$G$13+VLOOKUP($Q84,武学奇术!$A:$ZZ,14,FALSE)+SUM(_xlfn.XLOOKUP($R84:$AK84,增益!$A:$A,增益!$N:$N,0))</f>
        <v>0</v>
      </c>
      <c r="BJ84">
        <f t="shared" si="29"/>
        <v>0</v>
      </c>
      <c r="BK84">
        <f t="shared" si="30"/>
        <v>0</v>
      </c>
      <c r="BL84" s="34" cm="1">
        <f t="array" ref="BL84">IF($F$14-$I$4+VLOOKUP($Q84,武学奇术!$A:$ZZ,15,FALSE)+SUM(_xlfn.XLOOKUP($R84:$AK84,增益!$A:$A,增益!$O:$O,0))&gt;0,($F$14-$I$4+VLOOKUP($Q84,武学奇术!$A:$ZZ,15,FALSE)+SUM(_xlfn.XLOOKUP($R84:$AK84,增益!$A:$A,增益!$O:$O,0)))/200,($F$14-$I$4+VLOOKUP($Q84,武学奇术!$A:$ZZ,15,FALSE)+SUM(_xlfn.XLOOKUP($R84:$AK84,增益!$A:$A,增益!$O:$O,0)))/100)</f>
        <v>-0.14</v>
      </c>
      <c r="BM84" s="34" cm="1">
        <f t="array" ref="BM84">$G$14+VLOOKUP($Q84,武学奇术!$A:$ZZ,16,FALSE)+SUM(_xlfn.XLOOKUP($R84:$AK84,增益!$A:$A,增益!$P:$P,0))</f>
        <v>0</v>
      </c>
      <c r="BN84" s="27">
        <f>MIN(IF(VLOOKUP($Q84,武学奇术!$A:$ZZ,23,FALSE)=1,100%,$B$8),100%)</f>
        <v>1</v>
      </c>
      <c r="BO84" s="27" cm="1">
        <f t="array" ref="BO84">IF(VLOOKUP($Q84,武学奇术!$A:$ZZ,23,FALSE)=1,100%,MIN(80%,$B$9+VLOOKUP($Q84,武学奇术!$A:$ZZ,17,FALSE)+SUM(_xlfn.XLOOKUP($R84:$AK84,增益!$A:$A,增益!$Q:$Q,0)))+$B$11+SUM(_xlfn.XLOOKUP($R84:$AK84,增益!$A:$A,增益!$U:$U,0)))*IF(VLOOKUP($Q84,武学奇术!$A:$ZZ,24,FALSE)=1,0,1)</f>
        <v>1</v>
      </c>
      <c r="BP84" s="27" cm="1">
        <f t="array" ref="BP84">1+$B$13+VLOOKUP($Q84,武学奇术!$A:$ZZ,18,FALSE)+SUM(_xlfn.XLOOKUP($R84:$AK84,增益!$A:$A,增益!$R:$R,0))</f>
        <v>2.1</v>
      </c>
      <c r="BQ84" s="27" cm="1">
        <f t="array" ref="BQ84">IF(VLOOKUP($Q84,武学奇术!$A:$ZZ,24,FALSE)=1,100%,MIN(40%,$B$10+VLOOKUP($Q84,武学奇术!$A:$ZZ,19,FALSE)+SUM(_xlfn.XLOOKUP($R84:$AK84,增益!$A:$A,增益!$S:$S,0)))+$B$12+SUM(_xlfn.XLOOKUP($R84:$AK84,增益!$A:$A,增益!$V:$V,0)))*IF(VLOOKUP($Q84,武学奇术!$A:$ZZ,23,FALSE)=1,0,1)</f>
        <v>0</v>
      </c>
      <c r="BR84" s="27" cm="1">
        <f t="array" ref="BR84">1+$B$14+VLOOKUP($Q84,武学奇术!$A:$ZZ,20,FALSE)+SUM(_xlfn.XLOOKUP($R84:$AK84,增益!$A:$A,增益!$T:$T,0))</f>
        <v>1.35</v>
      </c>
      <c r="BS84" s="27">
        <f t="shared" si="31"/>
        <v>1</v>
      </c>
      <c r="BT84" s="27">
        <f t="shared" si="32"/>
        <v>0</v>
      </c>
      <c r="BU84" s="27">
        <f>IF(VLOOKUP($Q84,武学奇术!$A:$ZZ,22,FALSE)=1,0,(1-$BN84))*(1-$BQ84)</f>
        <v>0</v>
      </c>
      <c r="BV84" s="27" cm="1">
        <f t="array" ref="BV84">SUM(_xlfn.XLOOKUP($R84:$AK84,增益!$A:$A,增益!$W:$W,0))+$I$5</f>
        <v>0.11</v>
      </c>
    </row>
    <row r="85" spans="1:74">
      <c r="A85" s="4" t="s">
        <v>184</v>
      </c>
      <c r="B85" s="4">
        <v>1.1</v>
      </c>
      <c r="D85" s="41"/>
      <c r="K85" s="40">
        <f t="shared" si="33"/>
        <v>20762.3704825741</v>
      </c>
      <c r="L85" s="40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BP85*$P85*(1+IF(VLOOKUP($Q85,武学奇术!$A:$ZZ,30,FALSE)="蓄力技",$B$21,0))*(1+$BV85)</f>
        <v>20762.3704825741</v>
      </c>
      <c r="M85" s="40">
        <f>(($AT85*$AM85+$AN85)*(1+$AU85)*(1+$AV85)+($AY85*IF($G$1="鸣金",$AO85,$AM85)+IF($G$1="鸣金",$AP85*1.5,0))*(1+$AZ85)*(1+$BA85)+($BC85*IF($G$1="裂石",$AO85,$AM85)+IF($G$1="裂石",$AP85*1.5,0))*(1+$BD85)*(1+$BE85)+($BG85*IF($G$1="牵丝",$AO85,$AM85)+IF($G$1="牵丝",$AP85*1.5,0))*(1+$BH85)*(1+$BI85)+($BK85*IF($G$1="破竹",$AO85,$AM85)+IF($G$1="破竹",$AP85*1.5,0))*(1+$BL85)*(1+$BM85))*(1+$AQ85)*$BR85*$P85*(1+IF(VLOOKUP($Q85,武学奇术!$A:$ZZ,30,FALSE)="蓄力技",$B$21,0))*(1+$BV85)</f>
        <v>15167.2385868168</v>
      </c>
      <c r="N85" s="40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P85*(1+IF(VLOOKUP($Q85,武学奇术!$A:$ZZ,30,FALSE)="蓄力技",$B$21,0))*(1+$BV85)</f>
        <v>9886.84308694007</v>
      </c>
      <c r="O85" s="40">
        <f>((($AS85*$AM85+$AN85)*(1+$AU85)*(1+$AV85)+($AX85*IF($G$1="鸣金",$AO85,$AM85)+IF($G$1="鸣金",$AP85*1.5,0))*(1+$AZ85)*(1+$BA85)+($BB85*IF($G$1="裂石",$AO85,$AM85)+IF($G$1="裂石",$AP85*1.5,0))*(1+$BD85)*(1+$BE85)+($BF85*IF($G$1="牵丝",$AO85,$AM85)+IF($G$1="牵丝",$AP85*1.5,0))*(1+$BH85)*(1+$BI85)+($BJ85*IF($G$1="破竹",$AO85,$AM85)+IF($G$1="破竹",$AP85*1.5,0))*(1+$BL85)*(1+$BM85))*(1+$AQ85))*$P85*(1+IF(VLOOKUP($Q85,武学奇术!$A:$ZZ,30,FALSE)="蓄力技",$B$21,0))*(1+$BV85)</f>
        <v>8538.69462808987</v>
      </c>
      <c r="P85" s="41">
        <v>1</v>
      </c>
      <c r="Q85" s="42" t="s">
        <v>125</v>
      </c>
      <c r="R85" s="42" t="s">
        <v>99</v>
      </c>
      <c r="S85" s="42" t="s">
        <v>169</v>
      </c>
      <c r="T85" s="42" t="s">
        <v>86</v>
      </c>
      <c r="U85" s="42" t="s">
        <v>121</v>
      </c>
      <c r="V85" s="42" t="s">
        <v>118</v>
      </c>
      <c r="W85" s="42" t="s">
        <v>77</v>
      </c>
      <c r="X85" s="42" t="s">
        <v>176</v>
      </c>
      <c r="Y85" s="42" t="s">
        <v>77</v>
      </c>
      <c r="Z85" s="42" t="s">
        <v>77</v>
      </c>
      <c r="AA85" s="42" t="s">
        <v>73</v>
      </c>
      <c r="AB85" s="42" t="s">
        <v>95</v>
      </c>
      <c r="AC85" s="42" t="s">
        <v>77</v>
      </c>
      <c r="AD85" s="42" t="s">
        <v>80</v>
      </c>
      <c r="AE85" s="42" t="s">
        <v>81</v>
      </c>
      <c r="AF85" s="42" t="s">
        <v>82</v>
      </c>
      <c r="AG85" s="42" t="s">
        <v>77</v>
      </c>
      <c r="AH85" s="42" t="s">
        <v>77</v>
      </c>
      <c r="AI85" s="42" t="s">
        <v>77</v>
      </c>
      <c r="AJ85" s="42" t="s">
        <v>77</v>
      </c>
      <c r="AK85" s="42" t="s">
        <v>90</v>
      </c>
      <c r="AL85" t="str">
        <f>VLOOKUP($Q85,武学奇术!$A:$ZZ,25,FALSE)</f>
        <v>陌刀</v>
      </c>
      <c r="AM85" s="27">
        <f>VLOOKUP($Q85,武学奇术!$A:$ZZ,26,FALSE)</f>
        <v>0.5</v>
      </c>
      <c r="AN85" s="28">
        <f>VLOOKUP($Q85,武学奇术!$A:$ZZ,27,FALSE)*(1+IF(OR($AL85=$F$4,$AL85=$F$5),$B$22,0))</f>
        <v>0</v>
      </c>
      <c r="AO85" s="27">
        <f>VLOOKUP($Q85,武学奇术!$A:$ZZ,28,FALSE)</f>
        <v>0.75</v>
      </c>
      <c r="AP85" s="28">
        <f>VLOOKUP($Q85,武学奇术!$A:$ZZ,29,FALSE)*(1+IF(OR($AL85=$F$4,$AL85=$F$5),$B$22,0))</f>
        <v>0</v>
      </c>
      <c r="AQ85" s="27" cm="1">
        <f t="array" ref="AQ85">$G$3+IFERROR(VLOOKUP($AL85,$F$4:$G$7,2,FALSE),0)+VLOOKUP($Q85,武学奇术!$A:$ZZ,2,FALSE)+SUM(_xlfn.XLOOKUP($R85:$AK85,增益!$A:$A,增益!$B:$B,0))</f>
        <v>0.8041</v>
      </c>
      <c r="AR85" s="27" cm="1">
        <f t="array" ref="AR85">VLOOKUP($Q85,武学奇术!$A:$ZZ,5,FALSE)+SUM(_xlfn.XLOOKUP($R85:$AK85,增益!$A:$A,增益!$E:$E,0))</f>
        <v>0</v>
      </c>
      <c r="AS85" cm="1">
        <f t="array" ref="AS85">$D$10*(1+$AR85)+VLOOKUP($Q85,武学奇术!$A:$ZZ,3,FALSE)+SUM(_xlfn.XLOOKUP($R85:$AK85,增益!$A:$A,增益!$C:$C,0))-$I$2</f>
        <v>3648.7</v>
      </c>
      <c r="AT85" cm="1">
        <f t="array" ref="AT85">$E$10*(1+$AR85)+VLOOKUP($Q85,武学奇术!$A:$ZZ,4,FALSE)+SUM(_xlfn.XLOOKUP($R85:$AK85,增益!$A:$A,增益!$D:$D,0))-$I$2</f>
        <v>3648.7</v>
      </c>
      <c r="AU85" s="34" cm="1">
        <f t="array" ref="AU85">IF($F$10-$I$3+VLOOKUP($Q85,武学奇术!$A:$ZZ,6,FALSE)+SUM(_xlfn.XLOOKUP($R85:$AK85,增益!$A:$A,增益!$F:$F,0))&gt;0,($F$10-$I$3+VLOOKUP($Q85,武学奇术!$A:$ZZ,6,FALSE)+SUM(_xlfn.XLOOKUP($R85:$AK85,增益!$A:$A,增益!$F:$F,0)))/200,($F$10-$I$3+VLOOKUP($Q85,武学奇术!$A:$ZZ,6,FALSE)+SUM(_xlfn.XLOOKUP($R85:$AK85,增益!$A:$A,增益!$F:$F,0)))/100)</f>
        <v>0.442</v>
      </c>
      <c r="AV85" s="34" cm="1">
        <f t="array" ref="AV85">$G$10+VLOOKUP($Q85,武学奇术!$A:$ZZ,7,FALSE)+SUM(_xlfn.XLOOKUP($R85:$AK85,增益!$A:$A,增益!$G:$G,0))</f>
        <v>0</v>
      </c>
      <c r="AW85" s="27" cm="1">
        <f t="array" ref="AW85">VLOOKUP($Q85,武学奇术!$A:$ZZ,8,FALSE)+SUM(_xlfn.XLOOKUP($R85:$AK85,增益!$A:$A,增益!$H:$H,0))</f>
        <v>0</v>
      </c>
      <c r="AX85">
        <f t="shared" si="23"/>
        <v>0</v>
      </c>
      <c r="AY85">
        <f t="shared" si="24"/>
        <v>0</v>
      </c>
      <c r="AZ85" s="34" cm="1">
        <f t="array" ref="AZ85">IF($F$11-$I$4+VLOOKUP($Q85,武学奇术!$A:$ZZ,9,FALSE)+SUM(_xlfn.XLOOKUP($R85:$AK85,增益!$A:$A,增益!$I:$I,0))&gt;0,($F$11-$I$4+VLOOKUP($Q85,武学奇术!$A:$ZZ,9,FALSE)+SUM(_xlfn.XLOOKUP($R85:$AK85,增益!$A:$A,增益!$I:$I,0)))/200,($F$11-$I$4+VLOOKUP($Q85,武学奇术!$A:$ZZ,9,FALSE)+SUM(_xlfn.XLOOKUP($R85:$AK85,增益!$A:$A,增益!$I:$I,0)))/100)</f>
        <v>-0.14</v>
      </c>
      <c r="BA85" s="34" cm="1">
        <f t="array" ref="BA85">$G$11+VLOOKUP($Q85,武学奇术!$A:$ZZ,10,FALSE)+SUM(_xlfn.XLOOKUP($R85:$AK85,增益!$A:$A,增益!$J:$J,0))</f>
        <v>0</v>
      </c>
      <c r="BB85">
        <f t="shared" si="25"/>
        <v>594.1</v>
      </c>
      <c r="BC85">
        <f t="shared" si="26"/>
        <v>1604.9</v>
      </c>
      <c r="BD85" s="34" cm="1">
        <f t="array" ref="BD85">IF($F$12-$I$4+VLOOKUP($Q85,武学奇术!$A:$ZZ,11,FALSE)+SUM(_xlfn.XLOOKUP($R85:$AK85,增益!$A:$A,增益!$K:$K,0))&gt;0,($F$12-$I$4+VLOOKUP($Q85,武学奇术!$A:$ZZ,11,FALSE)+SUM(_xlfn.XLOOKUP($R85:$AK85,增益!$A:$A,增益!$K:$K,0)))/200,($F$12-$I$4+VLOOKUP($Q85,武学奇术!$A:$ZZ,11,FALSE)+SUM(_xlfn.XLOOKUP($R85:$AK85,增益!$A:$A,增益!$K:$K,0)))/100)</f>
        <v>0.17</v>
      </c>
      <c r="BE85" s="34" cm="1">
        <f t="array" ref="BE85">$G$12+VLOOKUP($Q85,武学奇术!$A:$ZZ,12,FALSE)+SUM(_xlfn.XLOOKUP($R85:$AK85,增益!$A:$A,增益!$L:$L,0))</f>
        <v>0.15</v>
      </c>
      <c r="BF85">
        <f t="shared" si="27"/>
        <v>0</v>
      </c>
      <c r="BG85">
        <f t="shared" si="28"/>
        <v>0</v>
      </c>
      <c r="BH85" s="34" cm="1">
        <f t="array" ref="BH85">IF($F$13-$I$4+VLOOKUP($Q85,武学奇术!$A:$ZZ,13,FALSE)+SUM(_xlfn.XLOOKUP($R85:$AK85,增益!$A:$A,增益!$M:$M,0))&gt;0,($F$13-$I$4+VLOOKUP($Q85,武学奇术!$A:$ZZ,13,FALSE)+SUM(_xlfn.XLOOKUP($R85:$AK85,增益!$A:$A,增益!$K:$K,0)))/200,($F$13-$I$4+VLOOKUP($Q85,武学奇术!$A:$ZZ,13,FALSE)+SUM(_xlfn.XLOOKUP($R85:$AK85,增益!$A:$A,增益!$M:$M,0)))/100)</f>
        <v>-0.14</v>
      </c>
      <c r="BI85" s="34" cm="1">
        <f t="array" ref="BI85">$G$13+VLOOKUP($Q85,武学奇术!$A:$ZZ,14,FALSE)+SUM(_xlfn.XLOOKUP($R85:$AK85,增益!$A:$A,增益!$N:$N,0))</f>
        <v>0</v>
      </c>
      <c r="BJ85">
        <f t="shared" si="29"/>
        <v>0</v>
      </c>
      <c r="BK85">
        <f t="shared" si="30"/>
        <v>0</v>
      </c>
      <c r="BL85" s="34" cm="1">
        <f t="array" ref="BL85">IF($F$14-$I$4+VLOOKUP($Q85,武学奇术!$A:$ZZ,15,FALSE)+SUM(_xlfn.XLOOKUP($R85:$AK85,增益!$A:$A,增益!$O:$O,0))&gt;0,($F$14-$I$4+VLOOKUP($Q85,武学奇术!$A:$ZZ,15,FALSE)+SUM(_xlfn.XLOOKUP($R85:$AK85,增益!$A:$A,增益!$O:$O,0)))/200,($F$14-$I$4+VLOOKUP($Q85,武学奇术!$A:$ZZ,15,FALSE)+SUM(_xlfn.XLOOKUP($R85:$AK85,增益!$A:$A,增益!$O:$O,0)))/100)</f>
        <v>-0.14</v>
      </c>
      <c r="BM85" s="34" cm="1">
        <f t="array" ref="BM85">$G$14+VLOOKUP($Q85,武学奇术!$A:$ZZ,16,FALSE)+SUM(_xlfn.XLOOKUP($R85:$AK85,增益!$A:$A,增益!$P:$P,0))</f>
        <v>0</v>
      </c>
      <c r="BN85" s="27">
        <f>MIN(IF(VLOOKUP($Q85,武学奇术!$A:$ZZ,23,FALSE)=1,100%,$B$8),100%)</f>
        <v>1</v>
      </c>
      <c r="BO85" s="27" cm="1">
        <f t="array" ref="BO85">IF(VLOOKUP($Q85,武学奇术!$A:$ZZ,23,FALSE)=1,100%,MIN(80%,$B$9+VLOOKUP($Q85,武学奇术!$A:$ZZ,17,FALSE)+SUM(_xlfn.XLOOKUP($R85:$AK85,增益!$A:$A,增益!$Q:$Q,0)))+$B$11+SUM(_xlfn.XLOOKUP($R85:$AK85,增益!$A:$A,增益!$U:$U,0)))*IF(VLOOKUP($Q85,武学奇术!$A:$ZZ,24,FALSE)=1,0,1)</f>
        <v>1</v>
      </c>
      <c r="BP85" s="27" cm="1">
        <f t="array" ref="BP85">1+$B$13+VLOOKUP($Q85,武学奇术!$A:$ZZ,18,FALSE)+SUM(_xlfn.XLOOKUP($R85:$AK85,增益!$A:$A,增益!$R:$R,0))</f>
        <v>2.1</v>
      </c>
      <c r="BQ85" s="27" cm="1">
        <f t="array" ref="BQ85">IF(VLOOKUP($Q85,武学奇术!$A:$ZZ,24,FALSE)=1,100%,MIN(40%,$B$10+VLOOKUP($Q85,武学奇术!$A:$ZZ,19,FALSE)+SUM(_xlfn.XLOOKUP($R85:$AK85,增益!$A:$A,增益!$S:$S,0)))+$B$12+SUM(_xlfn.XLOOKUP($R85:$AK85,增益!$A:$A,增益!$V:$V,0)))*IF(VLOOKUP($Q85,武学奇术!$A:$ZZ,23,FALSE)=1,0,1)</f>
        <v>0</v>
      </c>
      <c r="BR85" s="27" cm="1">
        <f t="array" ref="BR85">1+$B$14+VLOOKUP($Q85,武学奇术!$A:$ZZ,20,FALSE)+SUM(_xlfn.XLOOKUP($R85:$AK85,增益!$A:$A,增益!$T:$T,0))</f>
        <v>1.35</v>
      </c>
      <c r="BS85" s="27">
        <f t="shared" si="31"/>
        <v>1</v>
      </c>
      <c r="BT85" s="27">
        <f t="shared" si="32"/>
        <v>0</v>
      </c>
      <c r="BU85" s="27">
        <f>IF(VLOOKUP($Q85,武学奇术!$A:$ZZ,22,FALSE)=1,0,(1-$BN85))*(1-$BQ85)</f>
        <v>0</v>
      </c>
      <c r="BV85" s="27" cm="1">
        <f t="array" ref="BV85">SUM(_xlfn.XLOOKUP($R85:$AK85,增益!$A:$A,增益!$W:$W,0))+$I$5</f>
        <v>0.11</v>
      </c>
    </row>
    <row r="86" spans="1:74">
      <c r="A86" s="4" t="s">
        <v>177</v>
      </c>
      <c r="B86" s="4">
        <v>1</v>
      </c>
      <c r="D86" s="41"/>
      <c r="K86" s="40">
        <f t="shared" si="33"/>
        <v>37372.2668686335</v>
      </c>
      <c r="L86" s="40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BP86*$P86*(1+IF(VLOOKUP($Q86,武学奇术!$A:$ZZ,30,FALSE)="蓄力技",$B$21,0))*(1+$BV86)</f>
        <v>37372.2668686335</v>
      </c>
      <c r="M86" s="40">
        <f>(($AT86*$AM86+$AN86)*(1+$AU86)*(1+$AV86)+($AY86*IF($G$1="鸣金",$AO86,$AM86)+IF($G$1="鸣金",$AP86*1.5,0))*(1+$AZ86)*(1+$BA86)+($BC86*IF($G$1="裂石",$AO86,$AM86)+IF($G$1="裂石",$AP86*1.5,0))*(1+$BD86)*(1+$BE86)+($BG86*IF($G$1="牵丝",$AO86,$AM86)+IF($G$1="牵丝",$AP86*1.5,0))*(1+$BH86)*(1+$BI86)+($BK86*IF($G$1="破竹",$AO86,$AM86)+IF($G$1="破竹",$AP86*1.5,0))*(1+$BL86)*(1+$BM86))*(1+$AQ86)*$BR86*$P86*(1+IF(VLOOKUP($Q86,武学奇术!$A:$ZZ,30,FALSE)="蓄力技",$B$21,0))*(1+$BV86)</f>
        <v>27301.0294562703</v>
      </c>
      <c r="N86" s="40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P86*(1+IF(VLOOKUP($Q86,武学奇术!$A:$ZZ,30,FALSE)="蓄力技",$B$21,0))*(1+$BV86)</f>
        <v>17796.3175564921</v>
      </c>
      <c r="O86" s="40">
        <f>((($AS86*$AM86+$AN86)*(1+$AU86)*(1+$AV86)+($AX86*IF($G$1="鸣金",$AO86,$AM86)+IF($G$1="鸣金",$AP86*1.5,0))*(1+$AZ86)*(1+$BA86)+($BB86*IF($G$1="裂石",$AO86,$AM86)+IF($G$1="裂石",$AP86*1.5,0))*(1+$BD86)*(1+$BE86)+($BF86*IF($G$1="牵丝",$AO86,$AM86)+IF($G$1="牵丝",$AP86*1.5,0))*(1+$BH86)*(1+$BI86)+($BJ86*IF($G$1="破竹",$AO86,$AM86)+IF($G$1="破竹",$AP86*1.5,0))*(1+$BL86)*(1+$BM86))*(1+$AQ86))*$P86*(1+IF(VLOOKUP($Q86,武学奇术!$A:$ZZ,30,FALSE)="蓄力技",$B$21,0))*(1+$BV86)</f>
        <v>15369.6503305618</v>
      </c>
      <c r="P86" s="41">
        <v>1</v>
      </c>
      <c r="Q86" s="42" t="s">
        <v>117</v>
      </c>
      <c r="R86" s="42" t="s">
        <v>99</v>
      </c>
      <c r="S86" s="42" t="s">
        <v>169</v>
      </c>
      <c r="T86" s="42" t="s">
        <v>86</v>
      </c>
      <c r="U86" s="42" t="s">
        <v>121</v>
      </c>
      <c r="V86" s="42" t="s">
        <v>118</v>
      </c>
      <c r="W86" s="42" t="s">
        <v>77</v>
      </c>
      <c r="X86" s="42" t="s">
        <v>176</v>
      </c>
      <c r="Y86" s="42" t="s">
        <v>77</v>
      </c>
      <c r="Z86" s="42" t="s">
        <v>77</v>
      </c>
      <c r="AA86" s="42" t="s">
        <v>73</v>
      </c>
      <c r="AB86" s="42" t="s">
        <v>95</v>
      </c>
      <c r="AC86" s="42" t="s">
        <v>77</v>
      </c>
      <c r="AD86" s="42" t="s">
        <v>80</v>
      </c>
      <c r="AE86" s="42" t="s">
        <v>81</v>
      </c>
      <c r="AF86" s="42" t="s">
        <v>82</v>
      </c>
      <c r="AG86" s="42" t="s">
        <v>77</v>
      </c>
      <c r="AH86" s="42" t="s">
        <v>77</v>
      </c>
      <c r="AI86" s="42" t="s">
        <v>77</v>
      </c>
      <c r="AJ86" s="42" t="s">
        <v>77</v>
      </c>
      <c r="AK86" s="42" t="s">
        <v>90</v>
      </c>
      <c r="AL86" t="str">
        <f>VLOOKUP($Q86,武学奇术!$A:$ZZ,25,FALSE)</f>
        <v>陌刀</v>
      </c>
      <c r="AM86" s="27">
        <f>VLOOKUP($Q86,武学奇术!$A:$ZZ,26,FALSE)</f>
        <v>0.9</v>
      </c>
      <c r="AN86" s="28">
        <f>VLOOKUP($Q86,武学奇术!$A:$ZZ,27,FALSE)*(1+IF(OR($AL86=$F$4,$AL86=$F$5),$B$22,0))</f>
        <v>0</v>
      </c>
      <c r="AO86" s="27">
        <f>VLOOKUP($Q86,武学奇术!$A:$ZZ,28,FALSE)</f>
        <v>1.35</v>
      </c>
      <c r="AP86" s="28">
        <f>VLOOKUP($Q86,武学奇术!$A:$ZZ,29,FALSE)*(1+IF(OR($AL86=$F$4,$AL86=$F$5),$B$22,0))</f>
        <v>0</v>
      </c>
      <c r="AQ86" s="27" cm="1">
        <f t="array" ref="AQ86">$G$3+IFERROR(VLOOKUP($AL86,$F$4:$G$7,2,FALSE),0)+VLOOKUP($Q86,武学奇术!$A:$ZZ,2,FALSE)+SUM(_xlfn.XLOOKUP($R86:$AK86,增益!$A:$A,增益!$B:$B,0))</f>
        <v>0.8041</v>
      </c>
      <c r="AR86" s="27" cm="1">
        <f t="array" ref="AR86">VLOOKUP($Q86,武学奇术!$A:$ZZ,5,FALSE)+SUM(_xlfn.XLOOKUP($R86:$AK86,增益!$A:$A,增益!$E:$E,0))</f>
        <v>0</v>
      </c>
      <c r="AS86" cm="1">
        <f t="array" ref="AS86">$D$10*(1+$AR86)+VLOOKUP($Q86,武学奇术!$A:$ZZ,3,FALSE)+SUM(_xlfn.XLOOKUP($R86:$AK86,增益!$A:$A,增益!$C:$C,0))-$I$2</f>
        <v>3648.7</v>
      </c>
      <c r="AT86" cm="1">
        <f t="array" ref="AT86">$E$10*(1+$AR86)+VLOOKUP($Q86,武学奇术!$A:$ZZ,4,FALSE)+SUM(_xlfn.XLOOKUP($R86:$AK86,增益!$A:$A,增益!$D:$D,0))-$I$2</f>
        <v>3648.7</v>
      </c>
      <c r="AU86" s="34" cm="1">
        <f t="array" ref="AU86">IF($F$10-$I$3+VLOOKUP($Q86,武学奇术!$A:$ZZ,6,FALSE)+SUM(_xlfn.XLOOKUP($R86:$AK86,增益!$A:$A,增益!$F:$F,0))&gt;0,($F$10-$I$3+VLOOKUP($Q86,武学奇术!$A:$ZZ,6,FALSE)+SUM(_xlfn.XLOOKUP($R86:$AK86,增益!$A:$A,增益!$F:$F,0)))/200,($F$10-$I$3+VLOOKUP($Q86,武学奇术!$A:$ZZ,6,FALSE)+SUM(_xlfn.XLOOKUP($R86:$AK86,增益!$A:$A,增益!$F:$F,0)))/100)</f>
        <v>0.442</v>
      </c>
      <c r="AV86" s="34" cm="1">
        <f t="array" ref="AV86">$G$10+VLOOKUP($Q86,武学奇术!$A:$ZZ,7,FALSE)+SUM(_xlfn.XLOOKUP($R86:$AK86,增益!$A:$A,增益!$G:$G,0))</f>
        <v>0</v>
      </c>
      <c r="AW86" s="27" cm="1">
        <f t="array" ref="AW86">VLOOKUP($Q86,武学奇术!$A:$ZZ,8,FALSE)+SUM(_xlfn.XLOOKUP($R86:$AK86,增益!$A:$A,增益!$H:$H,0))</f>
        <v>0</v>
      </c>
      <c r="AX86">
        <f t="shared" si="23"/>
        <v>0</v>
      </c>
      <c r="AY86">
        <f t="shared" si="24"/>
        <v>0</v>
      </c>
      <c r="AZ86" s="34" cm="1">
        <f t="array" ref="AZ86">IF($F$11-$I$4+VLOOKUP($Q86,武学奇术!$A:$ZZ,9,FALSE)+SUM(_xlfn.XLOOKUP($R86:$AK86,增益!$A:$A,增益!$I:$I,0))&gt;0,($F$11-$I$4+VLOOKUP($Q86,武学奇术!$A:$ZZ,9,FALSE)+SUM(_xlfn.XLOOKUP($R86:$AK86,增益!$A:$A,增益!$I:$I,0)))/200,($F$11-$I$4+VLOOKUP($Q86,武学奇术!$A:$ZZ,9,FALSE)+SUM(_xlfn.XLOOKUP($R86:$AK86,增益!$A:$A,增益!$I:$I,0)))/100)</f>
        <v>-0.14</v>
      </c>
      <c r="BA86" s="34" cm="1">
        <f t="array" ref="BA86">$G$11+VLOOKUP($Q86,武学奇术!$A:$ZZ,10,FALSE)+SUM(_xlfn.XLOOKUP($R86:$AK86,增益!$A:$A,增益!$J:$J,0))</f>
        <v>0</v>
      </c>
      <c r="BB86">
        <f t="shared" si="25"/>
        <v>594.1</v>
      </c>
      <c r="BC86">
        <f t="shared" si="26"/>
        <v>1604.9</v>
      </c>
      <c r="BD86" s="34" cm="1">
        <f t="array" ref="BD86">IF($F$12-$I$4+VLOOKUP($Q86,武学奇术!$A:$ZZ,11,FALSE)+SUM(_xlfn.XLOOKUP($R86:$AK86,增益!$A:$A,增益!$K:$K,0))&gt;0,($F$12-$I$4+VLOOKUP($Q86,武学奇术!$A:$ZZ,11,FALSE)+SUM(_xlfn.XLOOKUP($R86:$AK86,增益!$A:$A,增益!$K:$K,0)))/200,($F$12-$I$4+VLOOKUP($Q86,武学奇术!$A:$ZZ,11,FALSE)+SUM(_xlfn.XLOOKUP($R86:$AK86,增益!$A:$A,增益!$K:$K,0)))/100)</f>
        <v>0.17</v>
      </c>
      <c r="BE86" s="34" cm="1">
        <f t="array" ref="BE86">$G$12+VLOOKUP($Q86,武学奇术!$A:$ZZ,12,FALSE)+SUM(_xlfn.XLOOKUP($R86:$AK86,增益!$A:$A,增益!$L:$L,0))</f>
        <v>0.15</v>
      </c>
      <c r="BF86">
        <f t="shared" si="27"/>
        <v>0</v>
      </c>
      <c r="BG86">
        <f t="shared" si="28"/>
        <v>0</v>
      </c>
      <c r="BH86" s="34" cm="1">
        <f t="array" ref="BH86">IF($F$13-$I$4+VLOOKUP($Q86,武学奇术!$A:$ZZ,13,FALSE)+SUM(_xlfn.XLOOKUP($R86:$AK86,增益!$A:$A,增益!$M:$M,0))&gt;0,($F$13-$I$4+VLOOKUP($Q86,武学奇术!$A:$ZZ,13,FALSE)+SUM(_xlfn.XLOOKUP($R86:$AK86,增益!$A:$A,增益!$K:$K,0)))/200,($F$13-$I$4+VLOOKUP($Q86,武学奇术!$A:$ZZ,13,FALSE)+SUM(_xlfn.XLOOKUP($R86:$AK86,增益!$A:$A,增益!$M:$M,0)))/100)</f>
        <v>-0.14</v>
      </c>
      <c r="BI86" s="34" cm="1">
        <f t="array" ref="BI86">$G$13+VLOOKUP($Q86,武学奇术!$A:$ZZ,14,FALSE)+SUM(_xlfn.XLOOKUP($R86:$AK86,增益!$A:$A,增益!$N:$N,0))</f>
        <v>0</v>
      </c>
      <c r="BJ86">
        <f t="shared" si="29"/>
        <v>0</v>
      </c>
      <c r="BK86">
        <f t="shared" si="30"/>
        <v>0</v>
      </c>
      <c r="BL86" s="34" cm="1">
        <f t="array" ref="BL86">IF($F$14-$I$4+VLOOKUP($Q86,武学奇术!$A:$ZZ,15,FALSE)+SUM(_xlfn.XLOOKUP($R86:$AK86,增益!$A:$A,增益!$O:$O,0))&gt;0,($F$14-$I$4+VLOOKUP($Q86,武学奇术!$A:$ZZ,15,FALSE)+SUM(_xlfn.XLOOKUP($R86:$AK86,增益!$A:$A,增益!$O:$O,0)))/200,($F$14-$I$4+VLOOKUP($Q86,武学奇术!$A:$ZZ,15,FALSE)+SUM(_xlfn.XLOOKUP($R86:$AK86,增益!$A:$A,增益!$O:$O,0)))/100)</f>
        <v>-0.14</v>
      </c>
      <c r="BM86" s="34" cm="1">
        <f t="array" ref="BM86">$G$14+VLOOKUP($Q86,武学奇术!$A:$ZZ,16,FALSE)+SUM(_xlfn.XLOOKUP($R86:$AK86,增益!$A:$A,增益!$P:$P,0))</f>
        <v>0</v>
      </c>
      <c r="BN86" s="27">
        <f>MIN(IF(VLOOKUP($Q86,武学奇术!$A:$ZZ,23,FALSE)=1,100%,$B$8),100%)</f>
        <v>1</v>
      </c>
      <c r="BO86" s="27" cm="1">
        <f t="array" ref="BO86">IF(VLOOKUP($Q86,武学奇术!$A:$ZZ,23,FALSE)=1,100%,MIN(80%,$B$9+VLOOKUP($Q86,武学奇术!$A:$ZZ,17,FALSE)+SUM(_xlfn.XLOOKUP($R86:$AK86,增益!$A:$A,增益!$Q:$Q,0)))+$B$11+SUM(_xlfn.XLOOKUP($R86:$AK86,增益!$A:$A,增益!$U:$U,0)))*IF(VLOOKUP($Q86,武学奇术!$A:$ZZ,24,FALSE)=1,0,1)</f>
        <v>1</v>
      </c>
      <c r="BP86" s="27" cm="1">
        <f t="array" ref="BP86">1+$B$13+VLOOKUP($Q86,武学奇术!$A:$ZZ,18,FALSE)+SUM(_xlfn.XLOOKUP($R86:$AK86,增益!$A:$A,增益!$R:$R,0))</f>
        <v>2.1</v>
      </c>
      <c r="BQ86" s="27" cm="1">
        <f t="array" ref="BQ86">IF(VLOOKUP($Q86,武学奇术!$A:$ZZ,24,FALSE)=1,100%,MIN(40%,$B$10+VLOOKUP($Q86,武学奇术!$A:$ZZ,19,FALSE)+SUM(_xlfn.XLOOKUP($R86:$AK86,增益!$A:$A,增益!$S:$S,0)))+$B$12+SUM(_xlfn.XLOOKUP($R86:$AK86,增益!$A:$A,增益!$V:$V,0)))*IF(VLOOKUP($Q86,武学奇术!$A:$ZZ,23,FALSE)=1,0,1)</f>
        <v>0</v>
      </c>
      <c r="BR86" s="27" cm="1">
        <f t="array" ref="BR86">1+$B$14+VLOOKUP($Q86,武学奇术!$A:$ZZ,20,FALSE)+SUM(_xlfn.XLOOKUP($R86:$AK86,增益!$A:$A,增益!$T:$T,0))</f>
        <v>1.35</v>
      </c>
      <c r="BS86" s="27">
        <f t="shared" si="31"/>
        <v>1</v>
      </c>
      <c r="BT86" s="27">
        <f t="shared" si="32"/>
        <v>0</v>
      </c>
      <c r="BU86" s="27">
        <f>IF(VLOOKUP($Q86,武学奇术!$A:$ZZ,22,FALSE)=1,0,(1-$BN86))*(1-$BQ86)</f>
        <v>0</v>
      </c>
      <c r="BV86" s="27" cm="1">
        <f t="array" ref="BV86">SUM(_xlfn.XLOOKUP($R86:$AK86,增益!$A:$A,增益!$W:$W,0))+$I$5</f>
        <v>0.11</v>
      </c>
    </row>
    <row r="87" spans="1:74">
      <c r="A87" s="4" t="s">
        <v>192</v>
      </c>
      <c r="B87" s="4">
        <v>0.7</v>
      </c>
      <c r="D87" s="41"/>
      <c r="K87" s="40">
        <f t="shared" si="33"/>
        <v>358523.627866007</v>
      </c>
      <c r="L87" s="40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BP87*$P87*(1+IF(VLOOKUP($Q87,武学奇术!$A:$ZZ,30,FALSE)="蓄力技",$B$21,0))*(1+$BV87)</f>
        <v>358523.627866007</v>
      </c>
      <c r="M87" s="40">
        <f>(($AT87*$AM87+$AN87)*(1+$AU87)*(1+$AV87)+($AY87*IF($G$1="鸣金",$AO87,$AM87)+IF($G$1="鸣金",$AP87*1.5,0))*(1+$AZ87)*(1+$BA87)+($BC87*IF($G$1="裂石",$AO87,$AM87)+IF($G$1="裂石",$AP87*1.5,0))*(1+$BD87)*(1+$BE87)+($BG87*IF($G$1="牵丝",$AO87,$AM87)+IF($G$1="牵丝",$AP87*1.5,0))*(1+$BH87)*(1+$BI87)+($BK87*IF($G$1="破竹",$AO87,$AM87)+IF($G$1="破竹",$AP87*1.5,0))*(1+$BL87)*(1+$BM87))*(1+$AQ87)*$BR87*$P87*(1+IF(VLOOKUP($Q87,武学奇术!$A:$ZZ,30,FALSE)="蓄力技",$B$21,0))*(1+$BV87)</f>
        <v>258025.060071699</v>
      </c>
      <c r="N87" s="40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P87*(1+IF(VLOOKUP($Q87,武学奇术!$A:$ZZ,30,FALSE)="蓄力技",$B$21,0))*(1+$BV87)</f>
        <v>170725.537079051</v>
      </c>
      <c r="O87" s="40">
        <f>((($AS87*$AM87+$AN87)*(1+$AU87)*(1+$AV87)+($AX87*IF($G$1="鸣金",$AO87,$AM87)+IF($G$1="鸣金",$AP87*1.5,0))*(1+$AZ87)*(1+$BA87)+($BB87*IF($G$1="裂石",$AO87,$AM87)+IF($G$1="裂石",$AP87*1.5,0))*(1+$BD87)*(1+$BE87)+($BF87*IF($G$1="牵丝",$AO87,$AM87)+IF($G$1="牵丝",$AP87*1.5,0))*(1+$BH87)*(1+$BI87)+($BJ87*IF($G$1="破竹",$AO87,$AM87)+IF($G$1="破竹",$AP87*1.5,0))*(1+$BL87)*(1+$BM87))*(1+$AQ87))*$P87*(1+IF(VLOOKUP($Q87,武学奇术!$A:$ZZ,30,FALSE)="蓄力技",$B$21,0))*(1+$BV87)</f>
        <v>150321.400030917</v>
      </c>
      <c r="P87" s="41">
        <v>1</v>
      </c>
      <c r="Q87" s="42" t="s">
        <v>120</v>
      </c>
      <c r="R87" s="42" t="s">
        <v>99</v>
      </c>
      <c r="S87" s="42" t="s">
        <v>169</v>
      </c>
      <c r="T87" s="42" t="s">
        <v>86</v>
      </c>
      <c r="U87" s="42" t="s">
        <v>121</v>
      </c>
      <c r="V87" s="42" t="s">
        <v>118</v>
      </c>
      <c r="W87" s="42" t="s">
        <v>77</v>
      </c>
      <c r="X87" s="42" t="s">
        <v>176</v>
      </c>
      <c r="Y87" s="42" t="s">
        <v>77</v>
      </c>
      <c r="Z87" s="42" t="s">
        <v>77</v>
      </c>
      <c r="AA87" s="42" t="s">
        <v>73</v>
      </c>
      <c r="AB87" s="42" t="s">
        <v>95</v>
      </c>
      <c r="AC87" s="42" t="s">
        <v>77</v>
      </c>
      <c r="AD87" s="42" t="s">
        <v>80</v>
      </c>
      <c r="AE87" s="42" t="s">
        <v>81</v>
      </c>
      <c r="AF87" s="42" t="s">
        <v>82</v>
      </c>
      <c r="AG87" s="42" t="s">
        <v>77</v>
      </c>
      <c r="AH87" s="42" t="s">
        <v>77</v>
      </c>
      <c r="AI87" s="42" t="s">
        <v>77</v>
      </c>
      <c r="AJ87" s="42" t="s">
        <v>77</v>
      </c>
      <c r="AK87" s="42" t="s">
        <v>90</v>
      </c>
      <c r="AL87" t="str">
        <f>VLOOKUP($Q87,武学奇术!$A:$ZZ,25,FALSE)</f>
        <v>陌刀</v>
      </c>
      <c r="AM87" s="27">
        <f>VLOOKUP($Q87,武学奇术!$A:$ZZ,26,FALSE)</f>
        <v>7.5674</v>
      </c>
      <c r="AN87" s="28">
        <f>VLOOKUP($Q87,武学奇术!$A:$ZZ,27,FALSE)*(1+IF(OR($AL87=$F$4,$AL87=$F$5),$B$22,0))</f>
        <v>3139.5</v>
      </c>
      <c r="AO87" s="27">
        <f>VLOOKUP($Q87,武学奇术!$A:$ZZ,28,FALSE)</f>
        <v>11.3512</v>
      </c>
      <c r="AP87" s="28">
        <f>VLOOKUP($Q87,武学奇术!$A:$ZZ,29,FALSE)*(1+IF(OR($AL87=$F$4,$AL87=$F$5),$B$22,0))</f>
        <v>1710</v>
      </c>
      <c r="AQ87" s="27" cm="1">
        <f t="array" ref="AQ87">$G$3+IFERROR(VLOOKUP($AL87,$F$4:$G$7,2,FALSE),0)+VLOOKUP($Q87,武学奇术!$A:$ZZ,2,FALSE)+SUM(_xlfn.XLOOKUP($R87:$AK87,增益!$A:$A,增益!$B:$B,0))</f>
        <v>0.8041</v>
      </c>
      <c r="AR87" s="27" cm="1">
        <f t="array" ref="AR87">VLOOKUP($Q87,武学奇术!$A:$ZZ,5,FALSE)+SUM(_xlfn.XLOOKUP($R87:$AK87,增益!$A:$A,增益!$E:$E,0))</f>
        <v>0</v>
      </c>
      <c r="AS87" cm="1">
        <f t="array" ref="AS87">$D$10*(1+$AR87)+VLOOKUP($Q87,武学奇术!$A:$ZZ,3,FALSE)+SUM(_xlfn.XLOOKUP($R87:$AK87,增益!$A:$A,增益!$C:$C,0))-$I$2</f>
        <v>3648.7</v>
      </c>
      <c r="AT87" cm="1">
        <f t="array" ref="AT87">$E$10*(1+$AR87)+VLOOKUP($Q87,武学奇术!$A:$ZZ,4,FALSE)+SUM(_xlfn.XLOOKUP($R87:$AK87,增益!$A:$A,增益!$D:$D,0))-$I$2</f>
        <v>3648.7</v>
      </c>
      <c r="AU87" s="34" cm="1">
        <f t="array" ref="AU87">IF($F$10-$I$3+VLOOKUP($Q87,武学奇术!$A:$ZZ,6,FALSE)+SUM(_xlfn.XLOOKUP($R87:$AK87,增益!$A:$A,增益!$F:$F,0))&gt;0,($F$10-$I$3+VLOOKUP($Q87,武学奇术!$A:$ZZ,6,FALSE)+SUM(_xlfn.XLOOKUP($R87:$AK87,增益!$A:$A,增益!$F:$F,0)))/200,($F$10-$I$3+VLOOKUP($Q87,武学奇术!$A:$ZZ,6,FALSE)+SUM(_xlfn.XLOOKUP($R87:$AK87,增益!$A:$A,增益!$F:$F,0)))/100)</f>
        <v>0.442</v>
      </c>
      <c r="AV87" s="34" cm="1">
        <f t="array" ref="AV87">$G$10+VLOOKUP($Q87,武学奇术!$A:$ZZ,7,FALSE)+SUM(_xlfn.XLOOKUP($R87:$AK87,增益!$A:$A,增益!$G:$G,0))</f>
        <v>0</v>
      </c>
      <c r="AW87" s="27" cm="1">
        <f t="array" ref="AW87">VLOOKUP($Q87,武学奇术!$A:$ZZ,8,FALSE)+SUM(_xlfn.XLOOKUP($R87:$AK87,增益!$A:$A,增益!$H:$H,0))</f>
        <v>0</v>
      </c>
      <c r="AX87">
        <f t="shared" si="23"/>
        <v>0</v>
      </c>
      <c r="AY87">
        <f t="shared" si="24"/>
        <v>0</v>
      </c>
      <c r="AZ87" s="34" cm="1">
        <f t="array" ref="AZ87">IF($F$11-$I$4+VLOOKUP($Q87,武学奇术!$A:$ZZ,9,FALSE)+SUM(_xlfn.XLOOKUP($R87:$AK87,增益!$A:$A,增益!$I:$I,0))&gt;0,($F$11-$I$4+VLOOKUP($Q87,武学奇术!$A:$ZZ,9,FALSE)+SUM(_xlfn.XLOOKUP($R87:$AK87,增益!$A:$A,增益!$I:$I,0)))/200,($F$11-$I$4+VLOOKUP($Q87,武学奇术!$A:$ZZ,9,FALSE)+SUM(_xlfn.XLOOKUP($R87:$AK87,增益!$A:$A,增益!$I:$I,0)))/100)</f>
        <v>-0.14</v>
      </c>
      <c r="BA87" s="34" cm="1">
        <f t="array" ref="BA87">$G$11+VLOOKUP($Q87,武学奇术!$A:$ZZ,10,FALSE)+SUM(_xlfn.XLOOKUP($R87:$AK87,增益!$A:$A,增益!$J:$J,0))</f>
        <v>0</v>
      </c>
      <c r="BB87">
        <f t="shared" si="25"/>
        <v>594.1</v>
      </c>
      <c r="BC87">
        <f t="shared" si="26"/>
        <v>1604.9</v>
      </c>
      <c r="BD87" s="34" cm="1">
        <f t="array" ref="BD87">IF($F$12-$I$4+VLOOKUP($Q87,武学奇术!$A:$ZZ,11,FALSE)+SUM(_xlfn.XLOOKUP($R87:$AK87,增益!$A:$A,增益!$K:$K,0))&gt;0,($F$12-$I$4+VLOOKUP($Q87,武学奇术!$A:$ZZ,11,FALSE)+SUM(_xlfn.XLOOKUP($R87:$AK87,增益!$A:$A,增益!$K:$K,0)))/200,($F$12-$I$4+VLOOKUP($Q87,武学奇术!$A:$ZZ,11,FALSE)+SUM(_xlfn.XLOOKUP($R87:$AK87,增益!$A:$A,增益!$K:$K,0)))/100)</f>
        <v>0.17</v>
      </c>
      <c r="BE87" s="34" cm="1">
        <f t="array" ref="BE87">$G$12+VLOOKUP($Q87,武学奇术!$A:$ZZ,12,FALSE)+SUM(_xlfn.XLOOKUP($R87:$AK87,增益!$A:$A,增益!$L:$L,0))</f>
        <v>0.15</v>
      </c>
      <c r="BF87">
        <f t="shared" si="27"/>
        <v>0</v>
      </c>
      <c r="BG87">
        <f t="shared" si="28"/>
        <v>0</v>
      </c>
      <c r="BH87" s="34" cm="1">
        <f t="array" ref="BH87">IF($F$13-$I$4+VLOOKUP($Q87,武学奇术!$A:$ZZ,13,FALSE)+SUM(_xlfn.XLOOKUP($R87:$AK87,增益!$A:$A,增益!$M:$M,0))&gt;0,($F$13-$I$4+VLOOKUP($Q87,武学奇术!$A:$ZZ,13,FALSE)+SUM(_xlfn.XLOOKUP($R87:$AK87,增益!$A:$A,增益!$K:$K,0)))/200,($F$13-$I$4+VLOOKUP($Q87,武学奇术!$A:$ZZ,13,FALSE)+SUM(_xlfn.XLOOKUP($R87:$AK87,增益!$A:$A,增益!$M:$M,0)))/100)</f>
        <v>-0.14</v>
      </c>
      <c r="BI87" s="34" cm="1">
        <f t="array" ref="BI87">$G$13+VLOOKUP($Q87,武学奇术!$A:$ZZ,14,FALSE)+SUM(_xlfn.XLOOKUP($R87:$AK87,增益!$A:$A,增益!$N:$N,0))</f>
        <v>0</v>
      </c>
      <c r="BJ87">
        <f t="shared" si="29"/>
        <v>0</v>
      </c>
      <c r="BK87">
        <f t="shared" si="30"/>
        <v>0</v>
      </c>
      <c r="BL87" s="34" cm="1">
        <f t="array" ref="BL87">IF($F$14-$I$4+VLOOKUP($Q87,武学奇术!$A:$ZZ,15,FALSE)+SUM(_xlfn.XLOOKUP($R87:$AK87,增益!$A:$A,增益!$O:$O,0))&gt;0,($F$14-$I$4+VLOOKUP($Q87,武学奇术!$A:$ZZ,15,FALSE)+SUM(_xlfn.XLOOKUP($R87:$AK87,增益!$A:$A,增益!$O:$O,0)))/200,($F$14-$I$4+VLOOKUP($Q87,武学奇术!$A:$ZZ,15,FALSE)+SUM(_xlfn.XLOOKUP($R87:$AK87,增益!$A:$A,增益!$O:$O,0)))/100)</f>
        <v>-0.14</v>
      </c>
      <c r="BM87" s="34" cm="1">
        <f t="array" ref="BM87">$G$14+VLOOKUP($Q87,武学奇术!$A:$ZZ,16,FALSE)+SUM(_xlfn.XLOOKUP($R87:$AK87,增益!$A:$A,增益!$P:$P,0))</f>
        <v>0</v>
      </c>
      <c r="BN87" s="27">
        <f>MIN(IF(VLOOKUP($Q87,武学奇术!$A:$ZZ,23,FALSE)=1,100%,$B$8),100%)</f>
        <v>1</v>
      </c>
      <c r="BO87" s="27" cm="1">
        <f t="array" ref="BO87">IF(VLOOKUP($Q87,武学奇术!$A:$ZZ,23,FALSE)=1,100%,MIN(80%,$B$9+VLOOKUP($Q87,武学奇术!$A:$ZZ,17,FALSE)+SUM(_xlfn.XLOOKUP($R87:$AK87,增益!$A:$A,增益!$Q:$Q,0)))+$B$11+SUM(_xlfn.XLOOKUP($R87:$AK87,增益!$A:$A,增益!$U:$U,0)))*IF(VLOOKUP($Q87,武学奇术!$A:$ZZ,24,FALSE)=1,0,1)</f>
        <v>1</v>
      </c>
      <c r="BP87" s="27" cm="1">
        <f t="array" ref="BP87">1+$B$13+VLOOKUP($Q87,武学奇术!$A:$ZZ,18,FALSE)+SUM(_xlfn.XLOOKUP($R87:$AK87,增益!$A:$A,增益!$R:$R,0))</f>
        <v>2.1</v>
      </c>
      <c r="BQ87" s="27" cm="1">
        <f t="array" ref="BQ87">IF(VLOOKUP($Q87,武学奇术!$A:$ZZ,24,FALSE)=1,100%,MIN(40%,$B$10+VLOOKUP($Q87,武学奇术!$A:$ZZ,19,FALSE)+SUM(_xlfn.XLOOKUP($R87:$AK87,增益!$A:$A,增益!$S:$S,0)))+$B$12+SUM(_xlfn.XLOOKUP($R87:$AK87,增益!$A:$A,增益!$V:$V,0)))*IF(VLOOKUP($Q87,武学奇术!$A:$ZZ,23,FALSE)=1,0,1)</f>
        <v>0</v>
      </c>
      <c r="BR87" s="27" cm="1">
        <f t="array" ref="BR87">1+$B$14+VLOOKUP($Q87,武学奇术!$A:$ZZ,20,FALSE)+SUM(_xlfn.XLOOKUP($R87:$AK87,增益!$A:$A,增益!$T:$T,0))</f>
        <v>1.35</v>
      </c>
      <c r="BS87" s="27">
        <f t="shared" si="31"/>
        <v>1</v>
      </c>
      <c r="BT87" s="27">
        <f t="shared" si="32"/>
        <v>0</v>
      </c>
      <c r="BU87" s="27">
        <f>IF(VLOOKUP($Q87,武学奇术!$A:$ZZ,22,FALSE)=1,0,(1-$BN87))*(1-$BQ87)</f>
        <v>0</v>
      </c>
      <c r="BV87" s="27" cm="1">
        <f t="array" ref="BV87">SUM(_xlfn.XLOOKUP($R87:$AK87,增益!$A:$A,增益!$W:$W,0))+$I$5</f>
        <v>0.11</v>
      </c>
    </row>
    <row r="88" spans="1:74">
      <c r="A88" s="4" t="s">
        <v>163</v>
      </c>
      <c r="B88" s="4">
        <v>1.3</v>
      </c>
      <c r="K88" s="40">
        <f t="shared" si="33"/>
        <v>41958.5743142376</v>
      </c>
      <c r="L88" s="40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BP88*$P88*(1+IF(VLOOKUP($Q88,武学奇术!$A:$ZZ,30,FALSE)="蓄力技",$B$21,0))*(1+$BV88)</f>
        <v>41958.5743142376</v>
      </c>
      <c r="M88" s="40">
        <f>(($AT88*$AM88+$AN88)*(1+$AU88)*(1+$AV88)+($AY88*IF($G$1="鸣金",$AO88,$AM88)+IF($G$1="鸣金",$AP88*1.5,0))*(1+$AZ88)*(1+$BA88)+($BC88*IF($G$1="裂石",$AO88,$AM88)+IF($G$1="裂石",$AP88*1.5,0))*(1+$BD88)*(1+$BE88)+($BG88*IF($G$1="牵丝",$AO88,$AM88)+IF($G$1="牵丝",$AP88*1.5,0))*(1+$BH88)*(1+$BI88)+($BK88*IF($G$1="破竹",$AO88,$AM88)+IF($G$1="破竹",$AP88*1.5,0))*(1+$BL88)*(1+$BM88))*(1+$AQ88)*$BR88*$P88*(1+IF(VLOOKUP($Q88,武学奇术!$A:$ZZ,30,FALSE)="蓄力技",$B$21,0))*(1+$BV88)</f>
        <v>30633.5463107291</v>
      </c>
      <c r="N88" s="40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P88*(1+IF(VLOOKUP($Q88,武学奇术!$A:$ZZ,30,FALSE)="蓄力技",$B$21,0))*(1+$BV88)</f>
        <v>19980.2734829703</v>
      </c>
      <c r="O88" s="40">
        <f>((($AS88*$AM88+$AN88)*(1+$AU88)*(1+$AV88)+($AX88*IF($G$1="鸣金",$AO88,$AM88)+IF($G$1="鸣金",$AP88*1.5,0))*(1+$AZ88)*(1+$BA88)+($BB88*IF($G$1="裂石",$AO88,$AM88)+IF($G$1="裂石",$AP88*1.5,0))*(1+$BD88)*(1+$BE88)+($BF88*IF($G$1="牵丝",$AO88,$AM88)+IF($G$1="牵丝",$AP88*1.5,0))*(1+$BH88)*(1+$BI88)+($BJ88*IF($G$1="破竹",$AO88,$AM88)+IF($G$1="破竹",$AP88*1.5,0))*(1+$BL88)*(1+$BM88))*(1+$AQ88))*$P88*(1+IF(VLOOKUP($Q88,武学奇术!$A:$ZZ,30,FALSE)="蓄力技",$B$21,0))*(1+$BV88)</f>
        <v>17269.0311802153</v>
      </c>
      <c r="P88" s="41">
        <v>2</v>
      </c>
      <c r="Q88" s="42" t="s">
        <v>125</v>
      </c>
      <c r="R88" s="42" t="s">
        <v>103</v>
      </c>
      <c r="S88" s="42" t="s">
        <v>169</v>
      </c>
      <c r="T88" s="42" t="s">
        <v>86</v>
      </c>
      <c r="U88" s="42" t="s">
        <v>121</v>
      </c>
      <c r="V88" s="42" t="s">
        <v>118</v>
      </c>
      <c r="W88" s="42" t="s">
        <v>77</v>
      </c>
      <c r="X88" s="42" t="s">
        <v>176</v>
      </c>
      <c r="Y88" s="42" t="s">
        <v>77</v>
      </c>
      <c r="Z88" s="42" t="s">
        <v>77</v>
      </c>
      <c r="AA88" s="42" t="s">
        <v>73</v>
      </c>
      <c r="AB88" s="42" t="s">
        <v>89</v>
      </c>
      <c r="AC88" s="42" t="s">
        <v>77</v>
      </c>
      <c r="AD88" s="42" t="s">
        <v>80</v>
      </c>
      <c r="AE88" s="42" t="s">
        <v>81</v>
      </c>
      <c r="AF88" s="42" t="s">
        <v>82</v>
      </c>
      <c r="AG88" s="42" t="s">
        <v>77</v>
      </c>
      <c r="AH88" s="42" t="s">
        <v>77</v>
      </c>
      <c r="AI88" s="42" t="s">
        <v>77</v>
      </c>
      <c r="AJ88" s="42" t="s">
        <v>77</v>
      </c>
      <c r="AK88" s="42" t="s">
        <v>90</v>
      </c>
      <c r="AL88" t="str">
        <f>VLOOKUP($Q88,武学奇术!$A:$ZZ,25,FALSE)</f>
        <v>陌刀</v>
      </c>
      <c r="AM88" s="27">
        <f>VLOOKUP($Q88,武学奇术!$A:$ZZ,26,FALSE)</f>
        <v>0.5</v>
      </c>
      <c r="AN88" s="28">
        <f>VLOOKUP($Q88,武学奇术!$A:$ZZ,27,FALSE)*(1+IF(OR($AL88=$F$4,$AL88=$F$5),$B$22,0))</f>
        <v>0</v>
      </c>
      <c r="AO88" s="27">
        <f>VLOOKUP($Q88,武学奇术!$A:$ZZ,28,FALSE)</f>
        <v>0.75</v>
      </c>
      <c r="AP88" s="28">
        <f>VLOOKUP($Q88,武学奇术!$A:$ZZ,29,FALSE)*(1+IF(OR($AL88=$F$4,$AL88=$F$5),$B$22,0))</f>
        <v>0</v>
      </c>
      <c r="AQ88" s="27" cm="1">
        <f t="array" ref="AQ88">$G$3+IFERROR(VLOOKUP($AL88,$F$4:$G$7,2,FALSE),0)+VLOOKUP($Q88,武学奇术!$A:$ZZ,2,FALSE)+SUM(_xlfn.XLOOKUP($R88:$AK88,增益!$A:$A,增益!$B:$B,0))</f>
        <v>0.8141</v>
      </c>
      <c r="AR88" s="27" cm="1">
        <f t="array" ref="AR88">VLOOKUP($Q88,武学奇术!$A:$ZZ,5,FALSE)+SUM(_xlfn.XLOOKUP($R88:$AK88,增益!$A:$A,增益!$E:$E,0))</f>
        <v>0</v>
      </c>
      <c r="AS88" cm="1">
        <f t="array" ref="AS88">$D$10*(1+$AR88)+VLOOKUP($Q88,武学奇术!$A:$ZZ,3,FALSE)+SUM(_xlfn.XLOOKUP($R88:$AK88,增益!$A:$A,增益!$C:$C,0))-$I$2</f>
        <v>3648.7</v>
      </c>
      <c r="AT88" cm="1">
        <f t="array" ref="AT88">$E$10*(1+$AR88)+VLOOKUP($Q88,武学奇术!$A:$ZZ,4,FALSE)+SUM(_xlfn.XLOOKUP($R88:$AK88,增益!$A:$A,增益!$D:$D,0))-$I$2</f>
        <v>3648.7</v>
      </c>
      <c r="AU88" s="34" cm="1">
        <f t="array" ref="AU88">IF($F$10-$I$3+VLOOKUP($Q88,武学奇术!$A:$ZZ,6,FALSE)+SUM(_xlfn.XLOOKUP($R88:$AK88,增益!$A:$A,增益!$F:$F,0))&gt;0,($F$10-$I$3+VLOOKUP($Q88,武学奇术!$A:$ZZ,6,FALSE)+SUM(_xlfn.XLOOKUP($R88:$AK88,增益!$A:$A,增益!$F:$F,0)))/200,($F$10-$I$3+VLOOKUP($Q88,武学奇术!$A:$ZZ,6,FALSE)+SUM(_xlfn.XLOOKUP($R88:$AK88,增益!$A:$A,增益!$F:$F,0)))/100)</f>
        <v>0.452</v>
      </c>
      <c r="AV88" s="34" cm="1">
        <f t="array" ref="AV88">$G$10+VLOOKUP($Q88,武学奇术!$A:$ZZ,7,FALSE)+SUM(_xlfn.XLOOKUP($R88:$AK88,增益!$A:$A,增益!$G:$G,0))</f>
        <v>0</v>
      </c>
      <c r="AW88" s="27" cm="1">
        <f t="array" ref="AW88">VLOOKUP($Q88,武学奇术!$A:$ZZ,8,FALSE)+SUM(_xlfn.XLOOKUP($R88:$AK88,增益!$A:$A,增益!$H:$H,0))</f>
        <v>0</v>
      </c>
      <c r="AX88">
        <f t="shared" si="23"/>
        <v>0</v>
      </c>
      <c r="AY88">
        <f t="shared" si="24"/>
        <v>0</v>
      </c>
      <c r="AZ88" s="34" cm="1">
        <f t="array" ref="AZ88">IF($F$11-$I$4+VLOOKUP($Q88,武学奇术!$A:$ZZ,9,FALSE)+SUM(_xlfn.XLOOKUP($R88:$AK88,增益!$A:$A,增益!$I:$I,0))&gt;0,($F$11-$I$4+VLOOKUP($Q88,武学奇术!$A:$ZZ,9,FALSE)+SUM(_xlfn.XLOOKUP($R88:$AK88,增益!$A:$A,增益!$I:$I,0)))/200,($F$11-$I$4+VLOOKUP($Q88,武学奇术!$A:$ZZ,9,FALSE)+SUM(_xlfn.XLOOKUP($R88:$AK88,增益!$A:$A,增益!$I:$I,0)))/100)</f>
        <v>-0.14</v>
      </c>
      <c r="BA88" s="34" cm="1">
        <f t="array" ref="BA88">$G$11+VLOOKUP($Q88,武学奇术!$A:$ZZ,10,FALSE)+SUM(_xlfn.XLOOKUP($R88:$AK88,增益!$A:$A,增益!$J:$J,0))</f>
        <v>0</v>
      </c>
      <c r="BB88">
        <f t="shared" si="25"/>
        <v>594.1</v>
      </c>
      <c r="BC88">
        <f t="shared" si="26"/>
        <v>1604.9</v>
      </c>
      <c r="BD88" s="34" cm="1">
        <f t="array" ref="BD88">IF($F$12-$I$4+VLOOKUP($Q88,武学奇术!$A:$ZZ,11,FALSE)+SUM(_xlfn.XLOOKUP($R88:$AK88,增益!$A:$A,增益!$K:$K,0))&gt;0,($F$12-$I$4+VLOOKUP($Q88,武学奇术!$A:$ZZ,11,FALSE)+SUM(_xlfn.XLOOKUP($R88:$AK88,增益!$A:$A,增益!$K:$K,0)))/200,($F$12-$I$4+VLOOKUP($Q88,武学奇术!$A:$ZZ,11,FALSE)+SUM(_xlfn.XLOOKUP($R88:$AK88,增益!$A:$A,增益!$K:$K,0)))/100)</f>
        <v>0.17</v>
      </c>
      <c r="BE88" s="34" cm="1">
        <f t="array" ref="BE88">$G$12+VLOOKUP($Q88,武学奇术!$A:$ZZ,12,FALSE)+SUM(_xlfn.XLOOKUP($R88:$AK88,增益!$A:$A,增益!$L:$L,0))</f>
        <v>0.15</v>
      </c>
      <c r="BF88">
        <f t="shared" si="27"/>
        <v>0</v>
      </c>
      <c r="BG88">
        <f t="shared" si="28"/>
        <v>0</v>
      </c>
      <c r="BH88" s="34" cm="1">
        <f t="array" ref="BH88">IF($F$13-$I$4+VLOOKUP($Q88,武学奇术!$A:$ZZ,13,FALSE)+SUM(_xlfn.XLOOKUP($R88:$AK88,增益!$A:$A,增益!$M:$M,0))&gt;0,($F$13-$I$4+VLOOKUP($Q88,武学奇术!$A:$ZZ,13,FALSE)+SUM(_xlfn.XLOOKUP($R88:$AK88,增益!$A:$A,增益!$K:$K,0)))/200,($F$13-$I$4+VLOOKUP($Q88,武学奇术!$A:$ZZ,13,FALSE)+SUM(_xlfn.XLOOKUP($R88:$AK88,增益!$A:$A,增益!$M:$M,0)))/100)</f>
        <v>-0.14</v>
      </c>
      <c r="BI88" s="34" cm="1">
        <f t="array" ref="BI88">$G$13+VLOOKUP($Q88,武学奇术!$A:$ZZ,14,FALSE)+SUM(_xlfn.XLOOKUP($R88:$AK88,增益!$A:$A,增益!$N:$N,0))</f>
        <v>0</v>
      </c>
      <c r="BJ88">
        <f t="shared" si="29"/>
        <v>0</v>
      </c>
      <c r="BK88">
        <f t="shared" si="30"/>
        <v>0</v>
      </c>
      <c r="BL88" s="34" cm="1">
        <f t="array" ref="BL88">IF($F$14-$I$4+VLOOKUP($Q88,武学奇术!$A:$ZZ,15,FALSE)+SUM(_xlfn.XLOOKUP($R88:$AK88,增益!$A:$A,增益!$O:$O,0))&gt;0,($F$14-$I$4+VLOOKUP($Q88,武学奇术!$A:$ZZ,15,FALSE)+SUM(_xlfn.XLOOKUP($R88:$AK88,增益!$A:$A,增益!$O:$O,0)))/200,($F$14-$I$4+VLOOKUP($Q88,武学奇术!$A:$ZZ,15,FALSE)+SUM(_xlfn.XLOOKUP($R88:$AK88,增益!$A:$A,增益!$O:$O,0)))/100)</f>
        <v>-0.14</v>
      </c>
      <c r="BM88" s="34" cm="1">
        <f t="array" ref="BM88">$G$14+VLOOKUP($Q88,武学奇术!$A:$ZZ,16,FALSE)+SUM(_xlfn.XLOOKUP($R88:$AK88,增益!$A:$A,增益!$P:$P,0))</f>
        <v>0</v>
      </c>
      <c r="BN88" s="27">
        <f>MIN(IF(VLOOKUP($Q88,武学奇术!$A:$ZZ,23,FALSE)=1,100%,$B$8),100%)</f>
        <v>1</v>
      </c>
      <c r="BO88" s="27" cm="1">
        <f t="array" ref="BO88">IF(VLOOKUP($Q88,武学奇术!$A:$ZZ,23,FALSE)=1,100%,MIN(80%,$B$9+VLOOKUP($Q88,武学奇术!$A:$ZZ,17,FALSE)+SUM(_xlfn.XLOOKUP($R88:$AK88,增益!$A:$A,增益!$Q:$Q,0)))+$B$11+SUM(_xlfn.XLOOKUP($R88:$AK88,增益!$A:$A,增益!$U:$U,0)))*IF(VLOOKUP($Q88,武学奇术!$A:$ZZ,24,FALSE)=1,0,1)</f>
        <v>1</v>
      </c>
      <c r="BP88" s="27" cm="1">
        <f t="array" ref="BP88">1+$B$13+VLOOKUP($Q88,武学奇术!$A:$ZZ,18,FALSE)+SUM(_xlfn.XLOOKUP($R88:$AK88,增益!$A:$A,增益!$R:$R,0))</f>
        <v>2.1</v>
      </c>
      <c r="BQ88" s="27" cm="1">
        <f t="array" ref="BQ88">IF(VLOOKUP($Q88,武学奇术!$A:$ZZ,24,FALSE)=1,100%,MIN(40%,$B$10+VLOOKUP($Q88,武学奇术!$A:$ZZ,19,FALSE)+SUM(_xlfn.XLOOKUP($R88:$AK88,增益!$A:$A,增益!$S:$S,0)))+$B$12+SUM(_xlfn.XLOOKUP($R88:$AK88,增益!$A:$A,增益!$V:$V,0)))*IF(VLOOKUP($Q88,武学奇术!$A:$ZZ,23,FALSE)=1,0,1)</f>
        <v>0</v>
      </c>
      <c r="BR88" s="27" cm="1">
        <f t="array" ref="BR88">1+$B$14+VLOOKUP($Q88,武学奇术!$A:$ZZ,20,FALSE)+SUM(_xlfn.XLOOKUP($R88:$AK88,增益!$A:$A,增益!$T:$T,0))</f>
        <v>1.35</v>
      </c>
      <c r="BS88" s="27">
        <f t="shared" si="31"/>
        <v>1</v>
      </c>
      <c r="BT88" s="27">
        <f t="shared" si="32"/>
        <v>0</v>
      </c>
      <c r="BU88" s="27">
        <f>IF(VLOOKUP($Q88,武学奇术!$A:$ZZ,22,FALSE)=1,0,(1-$BN88))*(1-$BQ88)</f>
        <v>0</v>
      </c>
      <c r="BV88" s="27" cm="1">
        <f t="array" ref="BV88">SUM(_xlfn.XLOOKUP($R88:$AK88,增益!$A:$A,增益!$W:$W,0))+$I$5</f>
        <v>0.11</v>
      </c>
    </row>
    <row r="89" spans="1:74">
      <c r="A89" s="4" t="s">
        <v>188</v>
      </c>
      <c r="B89" s="4">
        <v>0.9</v>
      </c>
      <c r="K89" s="40">
        <f t="shared" si="33"/>
        <v>75525.4337656276</v>
      </c>
      <c r="L89" s="40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BP89*$P89*(1+IF(VLOOKUP($Q89,武学奇术!$A:$ZZ,30,FALSE)="蓄力技",$B$21,0))*(1+$BV89)</f>
        <v>75525.4337656276</v>
      </c>
      <c r="M89" s="40">
        <f>(($AT89*$AM89+$AN89)*(1+$AU89)*(1+$AV89)+($AY89*IF($G$1="鸣金",$AO89,$AM89)+IF($G$1="鸣金",$AP89*1.5,0))*(1+$AZ89)*(1+$BA89)+($BC89*IF($G$1="裂石",$AO89,$AM89)+IF($G$1="裂石",$AP89*1.5,0))*(1+$BD89)*(1+$BE89)+($BG89*IF($G$1="牵丝",$AO89,$AM89)+IF($G$1="牵丝",$AP89*1.5,0))*(1+$BH89)*(1+$BI89)+($BK89*IF($G$1="破竹",$AO89,$AM89)+IF($G$1="破竹",$AP89*1.5,0))*(1+$BL89)*(1+$BM89))*(1+$AQ89)*$BR89*$P89*(1+IF(VLOOKUP($Q89,武学奇术!$A:$ZZ,30,FALSE)="蓄力技",$B$21,0))*(1+$BV89)</f>
        <v>55140.3833593124</v>
      </c>
      <c r="N89" s="40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P89*(1+IF(VLOOKUP($Q89,武学奇术!$A:$ZZ,30,FALSE)="蓄力技",$B$21,0))*(1+$BV89)</f>
        <v>35964.4922693465</v>
      </c>
      <c r="O89" s="40">
        <f>((($AS89*$AM89+$AN89)*(1+$AU89)*(1+$AV89)+($AX89*IF($G$1="鸣金",$AO89,$AM89)+IF($G$1="鸣金",$AP89*1.5,0))*(1+$AZ89)*(1+$BA89)+($BB89*IF($G$1="裂石",$AO89,$AM89)+IF($G$1="裂石",$AP89*1.5,0))*(1+$BD89)*(1+$BE89)+($BF89*IF($G$1="牵丝",$AO89,$AM89)+IF($G$1="牵丝",$AP89*1.5,0))*(1+$BH89)*(1+$BI89)+($BJ89*IF($G$1="破竹",$AO89,$AM89)+IF($G$1="破竹",$AP89*1.5,0))*(1+$BL89)*(1+$BM89))*(1+$AQ89))*$P89*(1+IF(VLOOKUP($Q89,武学奇术!$A:$ZZ,30,FALSE)="蓄力技",$B$21,0))*(1+$BV89)</f>
        <v>31084.2561243875</v>
      </c>
      <c r="P89" s="41">
        <v>2</v>
      </c>
      <c r="Q89" s="42" t="s">
        <v>117</v>
      </c>
      <c r="R89" s="42" t="s">
        <v>103</v>
      </c>
      <c r="S89" s="42" t="s">
        <v>169</v>
      </c>
      <c r="T89" s="42" t="s">
        <v>86</v>
      </c>
      <c r="U89" s="42" t="s">
        <v>121</v>
      </c>
      <c r="V89" s="42" t="s">
        <v>118</v>
      </c>
      <c r="W89" s="42" t="s">
        <v>77</v>
      </c>
      <c r="X89" s="42" t="s">
        <v>176</v>
      </c>
      <c r="Y89" s="42" t="s">
        <v>77</v>
      </c>
      <c r="Z89" s="42" t="s">
        <v>77</v>
      </c>
      <c r="AA89" s="42" t="s">
        <v>73</v>
      </c>
      <c r="AB89" s="42" t="s">
        <v>89</v>
      </c>
      <c r="AC89" s="42" t="s">
        <v>77</v>
      </c>
      <c r="AD89" s="42" t="s">
        <v>80</v>
      </c>
      <c r="AE89" s="42" t="s">
        <v>81</v>
      </c>
      <c r="AF89" s="42" t="s">
        <v>82</v>
      </c>
      <c r="AG89" s="42" t="s">
        <v>77</v>
      </c>
      <c r="AH89" s="42" t="s">
        <v>77</v>
      </c>
      <c r="AI89" s="42" t="s">
        <v>77</v>
      </c>
      <c r="AJ89" s="42" t="s">
        <v>77</v>
      </c>
      <c r="AK89" s="42" t="s">
        <v>90</v>
      </c>
      <c r="AL89" t="str">
        <f>VLOOKUP($Q89,武学奇术!$A:$ZZ,25,FALSE)</f>
        <v>陌刀</v>
      </c>
      <c r="AM89" s="27">
        <f>VLOOKUP($Q89,武学奇术!$A:$ZZ,26,FALSE)</f>
        <v>0.9</v>
      </c>
      <c r="AN89" s="28">
        <f>VLOOKUP($Q89,武学奇术!$A:$ZZ,27,FALSE)*(1+IF(OR($AL89=$F$4,$AL89=$F$5),$B$22,0))</f>
        <v>0</v>
      </c>
      <c r="AO89" s="27">
        <f>VLOOKUP($Q89,武学奇术!$A:$ZZ,28,FALSE)</f>
        <v>1.35</v>
      </c>
      <c r="AP89" s="28">
        <f>VLOOKUP($Q89,武学奇术!$A:$ZZ,29,FALSE)*(1+IF(OR($AL89=$F$4,$AL89=$F$5),$B$22,0))</f>
        <v>0</v>
      </c>
      <c r="AQ89" s="27" cm="1">
        <f t="array" ref="AQ89">$G$3+IFERROR(VLOOKUP($AL89,$F$4:$G$7,2,FALSE),0)+VLOOKUP($Q89,武学奇术!$A:$ZZ,2,FALSE)+SUM(_xlfn.XLOOKUP($R89:$AK89,增益!$A:$A,增益!$B:$B,0))</f>
        <v>0.8141</v>
      </c>
      <c r="AR89" s="27" cm="1">
        <f t="array" ref="AR89">VLOOKUP($Q89,武学奇术!$A:$ZZ,5,FALSE)+SUM(_xlfn.XLOOKUP($R89:$AK89,增益!$A:$A,增益!$E:$E,0))</f>
        <v>0</v>
      </c>
      <c r="AS89" cm="1">
        <f t="array" ref="AS89">$D$10*(1+$AR89)+VLOOKUP($Q89,武学奇术!$A:$ZZ,3,FALSE)+SUM(_xlfn.XLOOKUP($R89:$AK89,增益!$A:$A,增益!$C:$C,0))-$I$2</f>
        <v>3648.7</v>
      </c>
      <c r="AT89" cm="1">
        <f t="array" ref="AT89">$E$10*(1+$AR89)+VLOOKUP($Q89,武学奇术!$A:$ZZ,4,FALSE)+SUM(_xlfn.XLOOKUP($R89:$AK89,增益!$A:$A,增益!$D:$D,0))-$I$2</f>
        <v>3648.7</v>
      </c>
      <c r="AU89" s="34" cm="1">
        <f t="array" ref="AU89">IF($F$10-$I$3+VLOOKUP($Q89,武学奇术!$A:$ZZ,6,FALSE)+SUM(_xlfn.XLOOKUP($R89:$AK89,增益!$A:$A,增益!$F:$F,0))&gt;0,($F$10-$I$3+VLOOKUP($Q89,武学奇术!$A:$ZZ,6,FALSE)+SUM(_xlfn.XLOOKUP($R89:$AK89,增益!$A:$A,增益!$F:$F,0)))/200,($F$10-$I$3+VLOOKUP($Q89,武学奇术!$A:$ZZ,6,FALSE)+SUM(_xlfn.XLOOKUP($R89:$AK89,增益!$A:$A,增益!$F:$F,0)))/100)</f>
        <v>0.452</v>
      </c>
      <c r="AV89" s="34" cm="1">
        <f t="array" ref="AV89">$G$10+VLOOKUP($Q89,武学奇术!$A:$ZZ,7,FALSE)+SUM(_xlfn.XLOOKUP($R89:$AK89,增益!$A:$A,增益!$G:$G,0))</f>
        <v>0</v>
      </c>
      <c r="AW89" s="27" cm="1">
        <f t="array" ref="AW89">VLOOKUP($Q89,武学奇术!$A:$ZZ,8,FALSE)+SUM(_xlfn.XLOOKUP($R89:$AK89,增益!$A:$A,增益!$H:$H,0))</f>
        <v>0</v>
      </c>
      <c r="AX89">
        <f t="shared" si="23"/>
        <v>0</v>
      </c>
      <c r="AY89">
        <f t="shared" si="24"/>
        <v>0</v>
      </c>
      <c r="AZ89" s="34" cm="1">
        <f t="array" ref="AZ89">IF($F$11-$I$4+VLOOKUP($Q89,武学奇术!$A:$ZZ,9,FALSE)+SUM(_xlfn.XLOOKUP($R89:$AK89,增益!$A:$A,增益!$I:$I,0))&gt;0,($F$11-$I$4+VLOOKUP($Q89,武学奇术!$A:$ZZ,9,FALSE)+SUM(_xlfn.XLOOKUP($R89:$AK89,增益!$A:$A,增益!$I:$I,0)))/200,($F$11-$I$4+VLOOKUP($Q89,武学奇术!$A:$ZZ,9,FALSE)+SUM(_xlfn.XLOOKUP($R89:$AK89,增益!$A:$A,增益!$I:$I,0)))/100)</f>
        <v>-0.14</v>
      </c>
      <c r="BA89" s="34" cm="1">
        <f t="array" ref="BA89">$G$11+VLOOKUP($Q89,武学奇术!$A:$ZZ,10,FALSE)+SUM(_xlfn.XLOOKUP($R89:$AK89,增益!$A:$A,增益!$J:$J,0))</f>
        <v>0</v>
      </c>
      <c r="BB89">
        <f t="shared" si="25"/>
        <v>594.1</v>
      </c>
      <c r="BC89">
        <f t="shared" si="26"/>
        <v>1604.9</v>
      </c>
      <c r="BD89" s="34" cm="1">
        <f t="array" ref="BD89">IF($F$12-$I$4+VLOOKUP($Q89,武学奇术!$A:$ZZ,11,FALSE)+SUM(_xlfn.XLOOKUP($R89:$AK89,增益!$A:$A,增益!$K:$K,0))&gt;0,($F$12-$I$4+VLOOKUP($Q89,武学奇术!$A:$ZZ,11,FALSE)+SUM(_xlfn.XLOOKUP($R89:$AK89,增益!$A:$A,增益!$K:$K,0)))/200,($F$12-$I$4+VLOOKUP($Q89,武学奇术!$A:$ZZ,11,FALSE)+SUM(_xlfn.XLOOKUP($R89:$AK89,增益!$A:$A,增益!$K:$K,0)))/100)</f>
        <v>0.17</v>
      </c>
      <c r="BE89" s="34" cm="1">
        <f t="array" ref="BE89">$G$12+VLOOKUP($Q89,武学奇术!$A:$ZZ,12,FALSE)+SUM(_xlfn.XLOOKUP($R89:$AK89,增益!$A:$A,增益!$L:$L,0))</f>
        <v>0.15</v>
      </c>
      <c r="BF89">
        <f t="shared" si="27"/>
        <v>0</v>
      </c>
      <c r="BG89">
        <f t="shared" si="28"/>
        <v>0</v>
      </c>
      <c r="BH89" s="34" cm="1">
        <f t="array" ref="BH89">IF($F$13-$I$4+VLOOKUP($Q89,武学奇术!$A:$ZZ,13,FALSE)+SUM(_xlfn.XLOOKUP($R89:$AK89,增益!$A:$A,增益!$M:$M,0))&gt;0,($F$13-$I$4+VLOOKUP($Q89,武学奇术!$A:$ZZ,13,FALSE)+SUM(_xlfn.XLOOKUP($R89:$AK89,增益!$A:$A,增益!$K:$K,0)))/200,($F$13-$I$4+VLOOKUP($Q89,武学奇术!$A:$ZZ,13,FALSE)+SUM(_xlfn.XLOOKUP($R89:$AK89,增益!$A:$A,增益!$M:$M,0)))/100)</f>
        <v>-0.14</v>
      </c>
      <c r="BI89" s="34" cm="1">
        <f t="array" ref="BI89">$G$13+VLOOKUP($Q89,武学奇术!$A:$ZZ,14,FALSE)+SUM(_xlfn.XLOOKUP($R89:$AK89,增益!$A:$A,增益!$N:$N,0))</f>
        <v>0</v>
      </c>
      <c r="BJ89">
        <f t="shared" si="29"/>
        <v>0</v>
      </c>
      <c r="BK89">
        <f t="shared" si="30"/>
        <v>0</v>
      </c>
      <c r="BL89" s="34" cm="1">
        <f t="array" ref="BL89">IF($F$14-$I$4+VLOOKUP($Q89,武学奇术!$A:$ZZ,15,FALSE)+SUM(_xlfn.XLOOKUP($R89:$AK89,增益!$A:$A,增益!$O:$O,0))&gt;0,($F$14-$I$4+VLOOKUP($Q89,武学奇术!$A:$ZZ,15,FALSE)+SUM(_xlfn.XLOOKUP($R89:$AK89,增益!$A:$A,增益!$O:$O,0)))/200,($F$14-$I$4+VLOOKUP($Q89,武学奇术!$A:$ZZ,15,FALSE)+SUM(_xlfn.XLOOKUP($R89:$AK89,增益!$A:$A,增益!$O:$O,0)))/100)</f>
        <v>-0.14</v>
      </c>
      <c r="BM89" s="34" cm="1">
        <f t="array" ref="BM89">$G$14+VLOOKUP($Q89,武学奇术!$A:$ZZ,16,FALSE)+SUM(_xlfn.XLOOKUP($R89:$AK89,增益!$A:$A,增益!$P:$P,0))</f>
        <v>0</v>
      </c>
      <c r="BN89" s="27">
        <f>MIN(IF(VLOOKUP($Q89,武学奇术!$A:$ZZ,23,FALSE)=1,100%,$B$8),100%)</f>
        <v>1</v>
      </c>
      <c r="BO89" s="27" cm="1">
        <f t="array" ref="BO89">IF(VLOOKUP($Q89,武学奇术!$A:$ZZ,23,FALSE)=1,100%,MIN(80%,$B$9+VLOOKUP($Q89,武学奇术!$A:$ZZ,17,FALSE)+SUM(_xlfn.XLOOKUP($R89:$AK89,增益!$A:$A,增益!$Q:$Q,0)))+$B$11+SUM(_xlfn.XLOOKUP($R89:$AK89,增益!$A:$A,增益!$U:$U,0)))*IF(VLOOKUP($Q89,武学奇术!$A:$ZZ,24,FALSE)=1,0,1)</f>
        <v>1</v>
      </c>
      <c r="BP89" s="27" cm="1">
        <f t="array" ref="BP89">1+$B$13+VLOOKUP($Q89,武学奇术!$A:$ZZ,18,FALSE)+SUM(_xlfn.XLOOKUP($R89:$AK89,增益!$A:$A,增益!$R:$R,0))</f>
        <v>2.1</v>
      </c>
      <c r="BQ89" s="27" cm="1">
        <f t="array" ref="BQ89">IF(VLOOKUP($Q89,武学奇术!$A:$ZZ,24,FALSE)=1,100%,MIN(40%,$B$10+VLOOKUP($Q89,武学奇术!$A:$ZZ,19,FALSE)+SUM(_xlfn.XLOOKUP($R89:$AK89,增益!$A:$A,增益!$S:$S,0)))+$B$12+SUM(_xlfn.XLOOKUP($R89:$AK89,增益!$A:$A,增益!$V:$V,0)))*IF(VLOOKUP($Q89,武学奇术!$A:$ZZ,23,FALSE)=1,0,1)</f>
        <v>0</v>
      </c>
      <c r="BR89" s="27" cm="1">
        <f t="array" ref="BR89">1+$B$14+VLOOKUP($Q89,武学奇术!$A:$ZZ,20,FALSE)+SUM(_xlfn.XLOOKUP($R89:$AK89,增益!$A:$A,增益!$T:$T,0))</f>
        <v>1.35</v>
      </c>
      <c r="BS89" s="27">
        <f t="shared" si="31"/>
        <v>1</v>
      </c>
      <c r="BT89" s="27">
        <f t="shared" si="32"/>
        <v>0</v>
      </c>
      <c r="BU89" s="27">
        <f>IF(VLOOKUP($Q89,武学奇术!$A:$ZZ,22,FALSE)=1,0,(1-$BN89))*(1-$BQ89)</f>
        <v>0</v>
      </c>
      <c r="BV89" s="27" cm="1">
        <f t="array" ref="BV89">SUM(_xlfn.XLOOKUP($R89:$AK89,增益!$A:$A,增益!$W:$W,0))+$I$5</f>
        <v>0.11</v>
      </c>
    </row>
    <row r="90" spans="1:74">
      <c r="A90" t="s">
        <v>189</v>
      </c>
      <c r="B90">
        <v>0.4</v>
      </c>
      <c r="K90" s="40">
        <f t="shared" si="33"/>
        <v>724454.705486201</v>
      </c>
      <c r="L90" s="40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BP90*$P90*(1+IF(VLOOKUP($Q90,武学奇术!$A:$ZZ,30,FALSE)="蓄力技",$B$21,0))*(1+$BV90)</f>
        <v>724454.705486201</v>
      </c>
      <c r="M90" s="40">
        <f>(($AT90*$AM90+$AN90)*(1+$AU90)*(1+$AV90)+($AY90*IF($G$1="鸣金",$AO90,$AM90)+IF($G$1="鸣金",$AP90*1.5,0))*(1+$AZ90)*(1+$BA90)+($BC90*IF($G$1="裂石",$AO90,$AM90)+IF($G$1="裂石",$AP90*1.5,0))*(1+$BD90)*(1+$BE90)+($BG90*IF($G$1="牵丝",$AO90,$AM90)+IF($G$1="牵丝",$AP90*1.5,0))*(1+$BH90)*(1+$BI90)+($BK90*IF($G$1="破竹",$AO90,$AM90)+IF($G$1="破竹",$AP90*1.5,0))*(1+$BL90)*(1+$BM90))*(1+$AQ90)*$BR90*$P90*(1+IF(VLOOKUP($Q90,武学奇术!$A:$ZZ,30,FALSE)="蓄力技",$B$21,0))*(1+$BV90)</f>
        <v>521117.418626931</v>
      </c>
      <c r="N90" s="40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P90*(1+IF(VLOOKUP($Q90,武学奇术!$A:$ZZ,30,FALSE)="蓄力技",$B$21,0))*(1+$BV90)</f>
        <v>344978.431183905</v>
      </c>
      <c r="O90" s="40">
        <f>((($AS90*$AM90+$AN90)*(1+$AU90)*(1+$AV90)+($AX90*IF($G$1="鸣金",$AO90,$AM90)+IF($G$1="鸣金",$AP90*1.5,0))*(1+$AZ90)*(1+$BA90)+($BB90*IF($G$1="裂石",$AO90,$AM90)+IF($G$1="裂石",$AP90*1.5,0))*(1+$BD90)*(1+$BE90)+($BF90*IF($G$1="牵丝",$AO90,$AM90)+IF($G$1="牵丝",$AP90*1.5,0))*(1+$BH90)*(1+$BI90)+($BJ90*IF($G$1="破竹",$AO90,$AM90)+IF($G$1="破竹",$AP90*1.5,0))*(1+$BL90)*(1+$BM90))*(1+$AQ90))*$P90*(1+IF(VLOOKUP($Q90,武学奇术!$A:$ZZ,30,FALSE)="蓄力技",$B$21,0))*(1+$BV90)</f>
        <v>303943.959681195</v>
      </c>
      <c r="P90" s="41">
        <v>2</v>
      </c>
      <c r="Q90" s="42" t="s">
        <v>120</v>
      </c>
      <c r="R90" s="42" t="s">
        <v>103</v>
      </c>
      <c r="S90" s="42" t="s">
        <v>169</v>
      </c>
      <c r="T90" s="42" t="s">
        <v>86</v>
      </c>
      <c r="U90" s="42" t="s">
        <v>121</v>
      </c>
      <c r="V90" s="42" t="s">
        <v>118</v>
      </c>
      <c r="W90" s="42" t="s">
        <v>77</v>
      </c>
      <c r="X90" s="42" t="s">
        <v>176</v>
      </c>
      <c r="Y90" s="42" t="s">
        <v>77</v>
      </c>
      <c r="Z90" s="42" t="s">
        <v>77</v>
      </c>
      <c r="AA90" s="42" t="s">
        <v>73</v>
      </c>
      <c r="AB90" s="42" t="s">
        <v>89</v>
      </c>
      <c r="AC90" s="42" t="s">
        <v>77</v>
      </c>
      <c r="AD90" s="42" t="s">
        <v>80</v>
      </c>
      <c r="AE90" s="42" t="s">
        <v>81</v>
      </c>
      <c r="AF90" s="42" t="s">
        <v>82</v>
      </c>
      <c r="AG90" s="42" t="s">
        <v>77</v>
      </c>
      <c r="AH90" s="42" t="s">
        <v>77</v>
      </c>
      <c r="AI90" s="42" t="s">
        <v>77</v>
      </c>
      <c r="AJ90" s="42" t="s">
        <v>77</v>
      </c>
      <c r="AK90" s="42" t="s">
        <v>90</v>
      </c>
      <c r="AL90" t="str">
        <f>VLOOKUP($Q90,武学奇术!$A:$ZZ,25,FALSE)</f>
        <v>陌刀</v>
      </c>
      <c r="AM90" s="27">
        <f>VLOOKUP($Q90,武学奇术!$A:$ZZ,26,FALSE)</f>
        <v>7.5674</v>
      </c>
      <c r="AN90" s="28">
        <f>VLOOKUP($Q90,武学奇术!$A:$ZZ,27,FALSE)*(1+IF(OR($AL90=$F$4,$AL90=$F$5),$B$22,0))</f>
        <v>3139.5</v>
      </c>
      <c r="AO90" s="27">
        <f>VLOOKUP($Q90,武学奇术!$A:$ZZ,28,FALSE)</f>
        <v>11.3512</v>
      </c>
      <c r="AP90" s="28">
        <f>VLOOKUP($Q90,武学奇术!$A:$ZZ,29,FALSE)*(1+IF(OR($AL90=$F$4,$AL90=$F$5),$B$22,0))</f>
        <v>1710</v>
      </c>
      <c r="AQ90" s="27" cm="1">
        <f t="array" ref="AQ90">$G$3+IFERROR(VLOOKUP($AL90,$F$4:$G$7,2,FALSE),0)+VLOOKUP($Q90,武学奇术!$A:$ZZ,2,FALSE)+SUM(_xlfn.XLOOKUP($R90:$AK90,增益!$A:$A,增益!$B:$B,0))</f>
        <v>0.8141</v>
      </c>
      <c r="AR90" s="27" cm="1">
        <f t="array" ref="AR90">VLOOKUP($Q90,武学奇术!$A:$ZZ,5,FALSE)+SUM(_xlfn.XLOOKUP($R90:$AK90,增益!$A:$A,增益!$E:$E,0))</f>
        <v>0</v>
      </c>
      <c r="AS90" cm="1">
        <f t="array" ref="AS90">$D$10*(1+$AR90)+VLOOKUP($Q90,武学奇术!$A:$ZZ,3,FALSE)+SUM(_xlfn.XLOOKUP($R90:$AK90,增益!$A:$A,增益!$C:$C,0))-$I$2</f>
        <v>3648.7</v>
      </c>
      <c r="AT90" cm="1">
        <f t="array" ref="AT90">$E$10*(1+$AR90)+VLOOKUP($Q90,武学奇术!$A:$ZZ,4,FALSE)+SUM(_xlfn.XLOOKUP($R90:$AK90,增益!$A:$A,增益!$D:$D,0))-$I$2</f>
        <v>3648.7</v>
      </c>
      <c r="AU90" s="34" cm="1">
        <f t="array" ref="AU90">IF($F$10-$I$3+VLOOKUP($Q90,武学奇术!$A:$ZZ,6,FALSE)+SUM(_xlfn.XLOOKUP($R90:$AK90,增益!$A:$A,增益!$F:$F,0))&gt;0,($F$10-$I$3+VLOOKUP($Q90,武学奇术!$A:$ZZ,6,FALSE)+SUM(_xlfn.XLOOKUP($R90:$AK90,增益!$A:$A,增益!$F:$F,0)))/200,($F$10-$I$3+VLOOKUP($Q90,武学奇术!$A:$ZZ,6,FALSE)+SUM(_xlfn.XLOOKUP($R90:$AK90,增益!$A:$A,增益!$F:$F,0)))/100)</f>
        <v>0.452</v>
      </c>
      <c r="AV90" s="34" cm="1">
        <f t="array" ref="AV90">$G$10+VLOOKUP($Q90,武学奇术!$A:$ZZ,7,FALSE)+SUM(_xlfn.XLOOKUP($R90:$AK90,增益!$A:$A,增益!$G:$G,0))</f>
        <v>0</v>
      </c>
      <c r="AW90" s="27" cm="1">
        <f t="array" ref="AW90">VLOOKUP($Q90,武学奇术!$A:$ZZ,8,FALSE)+SUM(_xlfn.XLOOKUP($R90:$AK90,增益!$A:$A,增益!$H:$H,0))</f>
        <v>0</v>
      </c>
      <c r="AX90">
        <f t="shared" si="23"/>
        <v>0</v>
      </c>
      <c r="AY90">
        <f t="shared" si="24"/>
        <v>0</v>
      </c>
      <c r="AZ90" s="34" cm="1">
        <f t="array" ref="AZ90">IF($F$11-$I$4+VLOOKUP($Q90,武学奇术!$A:$ZZ,9,FALSE)+SUM(_xlfn.XLOOKUP($R90:$AK90,增益!$A:$A,增益!$I:$I,0))&gt;0,($F$11-$I$4+VLOOKUP($Q90,武学奇术!$A:$ZZ,9,FALSE)+SUM(_xlfn.XLOOKUP($R90:$AK90,增益!$A:$A,增益!$I:$I,0)))/200,($F$11-$I$4+VLOOKUP($Q90,武学奇术!$A:$ZZ,9,FALSE)+SUM(_xlfn.XLOOKUP($R90:$AK90,增益!$A:$A,增益!$I:$I,0)))/100)</f>
        <v>-0.14</v>
      </c>
      <c r="BA90" s="34" cm="1">
        <f t="array" ref="BA90">$G$11+VLOOKUP($Q90,武学奇术!$A:$ZZ,10,FALSE)+SUM(_xlfn.XLOOKUP($R90:$AK90,增益!$A:$A,增益!$J:$J,0))</f>
        <v>0</v>
      </c>
      <c r="BB90">
        <f t="shared" si="25"/>
        <v>594.1</v>
      </c>
      <c r="BC90">
        <f t="shared" si="26"/>
        <v>1604.9</v>
      </c>
      <c r="BD90" s="34" cm="1">
        <f t="array" ref="BD90">IF($F$12-$I$4+VLOOKUP($Q90,武学奇术!$A:$ZZ,11,FALSE)+SUM(_xlfn.XLOOKUP($R90:$AK90,增益!$A:$A,增益!$K:$K,0))&gt;0,($F$12-$I$4+VLOOKUP($Q90,武学奇术!$A:$ZZ,11,FALSE)+SUM(_xlfn.XLOOKUP($R90:$AK90,增益!$A:$A,增益!$K:$K,0)))/200,($F$12-$I$4+VLOOKUP($Q90,武学奇术!$A:$ZZ,11,FALSE)+SUM(_xlfn.XLOOKUP($R90:$AK90,增益!$A:$A,增益!$K:$K,0)))/100)</f>
        <v>0.17</v>
      </c>
      <c r="BE90" s="34" cm="1">
        <f t="array" ref="BE90">$G$12+VLOOKUP($Q90,武学奇术!$A:$ZZ,12,FALSE)+SUM(_xlfn.XLOOKUP($R90:$AK90,增益!$A:$A,增益!$L:$L,0))</f>
        <v>0.15</v>
      </c>
      <c r="BF90">
        <f t="shared" si="27"/>
        <v>0</v>
      </c>
      <c r="BG90">
        <f t="shared" si="28"/>
        <v>0</v>
      </c>
      <c r="BH90" s="34" cm="1">
        <f t="array" ref="BH90">IF($F$13-$I$4+VLOOKUP($Q90,武学奇术!$A:$ZZ,13,FALSE)+SUM(_xlfn.XLOOKUP($R90:$AK90,增益!$A:$A,增益!$M:$M,0))&gt;0,($F$13-$I$4+VLOOKUP($Q90,武学奇术!$A:$ZZ,13,FALSE)+SUM(_xlfn.XLOOKUP($R90:$AK90,增益!$A:$A,增益!$K:$K,0)))/200,($F$13-$I$4+VLOOKUP($Q90,武学奇术!$A:$ZZ,13,FALSE)+SUM(_xlfn.XLOOKUP($R90:$AK90,增益!$A:$A,增益!$M:$M,0)))/100)</f>
        <v>-0.14</v>
      </c>
      <c r="BI90" s="34" cm="1">
        <f t="array" ref="BI90">$G$13+VLOOKUP($Q90,武学奇术!$A:$ZZ,14,FALSE)+SUM(_xlfn.XLOOKUP($R90:$AK90,增益!$A:$A,增益!$N:$N,0))</f>
        <v>0</v>
      </c>
      <c r="BJ90">
        <f t="shared" si="29"/>
        <v>0</v>
      </c>
      <c r="BK90">
        <f t="shared" si="30"/>
        <v>0</v>
      </c>
      <c r="BL90" s="34" cm="1">
        <f t="array" ref="BL90">IF($F$14-$I$4+VLOOKUP($Q90,武学奇术!$A:$ZZ,15,FALSE)+SUM(_xlfn.XLOOKUP($R90:$AK90,增益!$A:$A,增益!$O:$O,0))&gt;0,($F$14-$I$4+VLOOKUP($Q90,武学奇术!$A:$ZZ,15,FALSE)+SUM(_xlfn.XLOOKUP($R90:$AK90,增益!$A:$A,增益!$O:$O,0)))/200,($F$14-$I$4+VLOOKUP($Q90,武学奇术!$A:$ZZ,15,FALSE)+SUM(_xlfn.XLOOKUP($R90:$AK90,增益!$A:$A,增益!$O:$O,0)))/100)</f>
        <v>-0.14</v>
      </c>
      <c r="BM90" s="34" cm="1">
        <f t="array" ref="BM90">$G$14+VLOOKUP($Q90,武学奇术!$A:$ZZ,16,FALSE)+SUM(_xlfn.XLOOKUP($R90:$AK90,增益!$A:$A,增益!$P:$P,0))</f>
        <v>0</v>
      </c>
      <c r="BN90" s="27">
        <f>MIN(IF(VLOOKUP($Q90,武学奇术!$A:$ZZ,23,FALSE)=1,100%,$B$8),100%)</f>
        <v>1</v>
      </c>
      <c r="BO90" s="27" cm="1">
        <f t="array" ref="BO90">IF(VLOOKUP($Q90,武学奇术!$A:$ZZ,23,FALSE)=1,100%,MIN(80%,$B$9+VLOOKUP($Q90,武学奇术!$A:$ZZ,17,FALSE)+SUM(_xlfn.XLOOKUP($R90:$AK90,增益!$A:$A,增益!$Q:$Q,0)))+$B$11+SUM(_xlfn.XLOOKUP($R90:$AK90,增益!$A:$A,增益!$U:$U,0)))*IF(VLOOKUP($Q90,武学奇术!$A:$ZZ,24,FALSE)=1,0,1)</f>
        <v>1</v>
      </c>
      <c r="BP90" s="27" cm="1">
        <f t="array" ref="BP90">1+$B$13+VLOOKUP($Q90,武学奇术!$A:$ZZ,18,FALSE)+SUM(_xlfn.XLOOKUP($R90:$AK90,增益!$A:$A,增益!$R:$R,0))</f>
        <v>2.1</v>
      </c>
      <c r="BQ90" s="27" cm="1">
        <f t="array" ref="BQ90">IF(VLOOKUP($Q90,武学奇术!$A:$ZZ,24,FALSE)=1,100%,MIN(40%,$B$10+VLOOKUP($Q90,武学奇术!$A:$ZZ,19,FALSE)+SUM(_xlfn.XLOOKUP($R90:$AK90,增益!$A:$A,增益!$S:$S,0)))+$B$12+SUM(_xlfn.XLOOKUP($R90:$AK90,增益!$A:$A,增益!$V:$V,0)))*IF(VLOOKUP($Q90,武学奇术!$A:$ZZ,23,FALSE)=1,0,1)</f>
        <v>0</v>
      </c>
      <c r="BR90" s="27" cm="1">
        <f t="array" ref="BR90">1+$B$14+VLOOKUP($Q90,武学奇术!$A:$ZZ,20,FALSE)+SUM(_xlfn.XLOOKUP($R90:$AK90,增益!$A:$A,增益!$T:$T,0))</f>
        <v>1.35</v>
      </c>
      <c r="BS90" s="27">
        <f t="shared" si="31"/>
        <v>1</v>
      </c>
      <c r="BT90" s="27">
        <f t="shared" si="32"/>
        <v>0</v>
      </c>
      <c r="BU90" s="27">
        <f>IF(VLOOKUP($Q90,武学奇术!$A:$ZZ,22,FALSE)=1,0,(1-$BN90))*(1-$BQ90)</f>
        <v>0</v>
      </c>
      <c r="BV90" s="27" cm="1">
        <f t="array" ref="BV90">SUM(_xlfn.XLOOKUP($R90:$AK90,增益!$A:$A,增益!$W:$W,0))+$I$5</f>
        <v>0.11</v>
      </c>
    </row>
    <row r="91" spans="1:74">
      <c r="A91" t="s">
        <v>178</v>
      </c>
      <c r="B91">
        <v>1</v>
      </c>
      <c r="K91" s="40">
        <f t="shared" si="33"/>
        <v>161292.120881882</v>
      </c>
      <c r="L91" s="40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BP91*$P91*(1+IF(VLOOKUP($Q91,武学奇术!$A:$ZZ,30,FALSE)="蓄力技",$B$21,0))*(1+$BV91)</f>
        <v>165318.425399198</v>
      </c>
      <c r="M91" s="40">
        <f>(($AT91*$AM91+$AN91)*(1+$AU91)*(1+$AV91)+($AY91*IF($G$1="鸣金",$AO91,$AM91)+IF($G$1="鸣金",$AP91*1.5,0))*(1+$AZ91)*(1+$BA91)+($BC91*IF($G$1="裂石",$AO91,$AM91)+IF($G$1="裂石",$AP91*1.5,0))*(1+$BD91)*(1+$BE91)+($BG91*IF($G$1="牵丝",$AO91,$AM91)+IF($G$1="牵丝",$AP91*1.5,0))*(1+$BH91)*(1+$BI91)+($BK91*IF($G$1="破竹",$AO91,$AM91)+IF($G$1="破竹",$AP91*1.5,0))*(1+$BL91)*(1+$BM91))*(1+$AQ91)*$BR91*$P91*(1+IF(VLOOKUP($Q91,武学奇术!$A:$ZZ,30,FALSE)="蓄力技",$B$21,0))*(1+$BV91)</f>
        <v>145254.251030003</v>
      </c>
      <c r="N91" s="40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P91*(1+IF(VLOOKUP($Q91,武学奇术!$A:$ZZ,30,FALSE)="蓄力技",$B$21,0))*(1+$BV91)</f>
        <v>95010.5893098837</v>
      </c>
      <c r="O91" s="40">
        <f>((($AS91*$AM91+$AN91)*(1+$AU91)*(1+$AV91)+($AX91*IF($G$1="鸣金",$AO91,$AM91)+IF($G$1="鸣金",$AP91*1.5,0))*(1+$AZ91)*(1+$BA91)+($BB91*IF($G$1="裂石",$AO91,$AM91)+IF($G$1="裂石",$AP91*1.5,0))*(1+$BD91)*(1+$BE91)+($BF91*IF($G$1="牵丝",$AO91,$AM91)+IF($G$1="牵丝",$AP91*1.5,0))*(1+$BH91)*(1+$BI91)+($BJ91*IF($G$1="破竹",$AO91,$AM91)+IF($G$1="破竹",$AP91*1.5,0))*(1+$BL91)*(1+$BM91))*(1+$AQ91))*$P91*(1+IF(VLOOKUP($Q91,武学奇术!$A:$ZZ,30,FALSE)="蓄力技",$B$21,0))*(1+$BV91)</f>
        <v>82425.4371160612</v>
      </c>
      <c r="P91" s="41">
        <v>1</v>
      </c>
      <c r="Q91" s="42" t="s">
        <v>149</v>
      </c>
      <c r="R91" s="42" t="s">
        <v>103</v>
      </c>
      <c r="S91" s="42" t="s">
        <v>169</v>
      </c>
      <c r="T91" s="42" t="s">
        <v>86</v>
      </c>
      <c r="U91" s="42" t="s">
        <v>87</v>
      </c>
      <c r="V91" s="42" t="s">
        <v>77</v>
      </c>
      <c r="W91" s="42" t="s">
        <v>77</v>
      </c>
      <c r="X91" s="42" t="s">
        <v>176</v>
      </c>
      <c r="Y91" s="42" t="s">
        <v>77</v>
      </c>
      <c r="Z91" s="42" t="s">
        <v>77</v>
      </c>
      <c r="AA91" s="42" t="s">
        <v>77</v>
      </c>
      <c r="AB91" s="42" t="s">
        <v>89</v>
      </c>
      <c r="AC91" s="42" t="s">
        <v>77</v>
      </c>
      <c r="AD91" s="42" t="s">
        <v>80</v>
      </c>
      <c r="AE91" s="42" t="s">
        <v>81</v>
      </c>
      <c r="AF91" s="42" t="s">
        <v>82</v>
      </c>
      <c r="AG91" s="42" t="s">
        <v>77</v>
      </c>
      <c r="AH91" s="42" t="s">
        <v>77</v>
      </c>
      <c r="AI91" s="42" t="s">
        <v>77</v>
      </c>
      <c r="AJ91" s="42" t="s">
        <v>77</v>
      </c>
      <c r="AK91" s="42" t="s">
        <v>90</v>
      </c>
      <c r="AL91" t="str">
        <f>VLOOKUP($Q91,武学奇术!$A:$ZZ,25,FALSE)</f>
        <v>单体奇术</v>
      </c>
      <c r="AM91" s="27">
        <f>VLOOKUP($Q91,武学奇术!$A:$ZZ,26,FALSE)</f>
        <v>7.1084</v>
      </c>
      <c r="AN91" s="28">
        <f>VLOOKUP($Q91,武学奇术!$A:$ZZ,27,FALSE)*(1+IF(OR($AL91=$F$4,$AL91=$F$5),$B$22,0))</f>
        <v>1369</v>
      </c>
      <c r="AO91" s="27">
        <f>VLOOKUP($Q91,武学奇术!$A:$ZZ,28,FALSE)</f>
        <v>10.6626</v>
      </c>
      <c r="AP91" s="28">
        <f>VLOOKUP($Q91,武学奇术!$A:$ZZ,29,FALSE)*(1+IF(OR($AL91=$F$4,$AL91=$F$5),$B$22,0))</f>
        <v>0</v>
      </c>
      <c r="AQ91" s="27" cm="1">
        <f t="array" ref="AQ91">$G$3+IFERROR(VLOOKUP($AL91,$F$4:$G$7,2,FALSE),0)+VLOOKUP($Q91,武学奇术!$A:$ZZ,2,FALSE)+SUM(_xlfn.XLOOKUP($R91:$AK91,增益!$A:$A,增益!$B:$B,0))</f>
        <v>0.5637</v>
      </c>
      <c r="AR91" s="27" cm="1">
        <f t="array" ref="AR91">VLOOKUP($Q91,武学奇术!$A:$ZZ,5,FALSE)+SUM(_xlfn.XLOOKUP($R91:$AK91,增益!$A:$A,增益!$E:$E,0))</f>
        <v>0</v>
      </c>
      <c r="AS91" cm="1">
        <f t="array" ref="AS91">$D$10*(1+$AR91)+VLOOKUP($Q91,武学奇术!$A:$ZZ,3,FALSE)+SUM(_xlfn.XLOOKUP($R91:$AK91,增益!$A:$A,增益!$C:$C,0))-$I$2</f>
        <v>3648.7</v>
      </c>
      <c r="AT91" cm="1">
        <f t="array" ref="AT91">$E$10*(1+$AR91)+VLOOKUP($Q91,武学奇术!$A:$ZZ,4,FALSE)+SUM(_xlfn.XLOOKUP($R91:$AK91,增益!$A:$A,增益!$D:$D,0))-$I$2</f>
        <v>3648.7</v>
      </c>
      <c r="AU91" s="34" cm="1">
        <f t="array" ref="AU91">IF($F$10-$I$3+VLOOKUP($Q91,武学奇术!$A:$ZZ,6,FALSE)+SUM(_xlfn.XLOOKUP($R91:$AK91,增益!$A:$A,增益!$F:$F,0))&gt;0,($F$10-$I$3+VLOOKUP($Q91,武学奇术!$A:$ZZ,6,FALSE)+SUM(_xlfn.XLOOKUP($R91:$AK91,增益!$A:$A,增益!$F:$F,0)))/200,($F$10-$I$3+VLOOKUP($Q91,武学奇术!$A:$ZZ,6,FALSE)+SUM(_xlfn.XLOOKUP($R91:$AK91,增益!$A:$A,增益!$F:$F,0)))/100)</f>
        <v>0.427</v>
      </c>
      <c r="AV91" s="34" cm="1">
        <f t="array" ref="AV91">$G$10+VLOOKUP($Q91,武学奇术!$A:$ZZ,7,FALSE)+SUM(_xlfn.XLOOKUP($R91:$AK91,增益!$A:$A,增益!$G:$G,0))</f>
        <v>0</v>
      </c>
      <c r="AW91" s="27" cm="1">
        <f t="array" ref="AW91">VLOOKUP($Q91,武学奇术!$A:$ZZ,8,FALSE)+SUM(_xlfn.XLOOKUP($R91:$AK91,增益!$A:$A,增益!$H:$H,0))</f>
        <v>0</v>
      </c>
      <c r="AX91">
        <f t="shared" si="23"/>
        <v>0</v>
      </c>
      <c r="AY91">
        <f t="shared" si="24"/>
        <v>0</v>
      </c>
      <c r="AZ91" s="34" cm="1">
        <f t="array" ref="AZ91">IF($F$11-$I$4+VLOOKUP($Q91,武学奇术!$A:$ZZ,9,FALSE)+SUM(_xlfn.XLOOKUP($R91:$AK91,增益!$A:$A,增益!$I:$I,0))&gt;0,($F$11-$I$4+VLOOKUP($Q91,武学奇术!$A:$ZZ,9,FALSE)+SUM(_xlfn.XLOOKUP($R91:$AK91,增益!$A:$A,增益!$I:$I,0)))/200,($F$11-$I$4+VLOOKUP($Q91,武学奇术!$A:$ZZ,9,FALSE)+SUM(_xlfn.XLOOKUP($R91:$AK91,增益!$A:$A,增益!$I:$I,0)))/100)</f>
        <v>-0.14</v>
      </c>
      <c r="BA91" s="34" cm="1">
        <f t="array" ref="BA91">$G$11+VLOOKUP($Q91,武学奇术!$A:$ZZ,10,FALSE)+SUM(_xlfn.XLOOKUP($R91:$AK91,增益!$A:$A,增益!$J:$J,0))</f>
        <v>0</v>
      </c>
      <c r="BB91">
        <f t="shared" si="25"/>
        <v>594.1</v>
      </c>
      <c r="BC91">
        <f t="shared" si="26"/>
        <v>1604.9</v>
      </c>
      <c r="BD91" s="34" cm="1">
        <f t="array" ref="BD91">IF($F$12-$I$4+VLOOKUP($Q91,武学奇术!$A:$ZZ,11,FALSE)+SUM(_xlfn.XLOOKUP($R91:$AK91,增益!$A:$A,增益!$K:$K,0))&gt;0,($F$12-$I$4+VLOOKUP($Q91,武学奇术!$A:$ZZ,11,FALSE)+SUM(_xlfn.XLOOKUP($R91:$AK91,增益!$A:$A,增益!$K:$K,0)))/200,($F$12-$I$4+VLOOKUP($Q91,武学奇术!$A:$ZZ,11,FALSE)+SUM(_xlfn.XLOOKUP($R91:$AK91,增益!$A:$A,增益!$K:$K,0)))/100)</f>
        <v>0.17</v>
      </c>
      <c r="BE91" s="34" cm="1">
        <f t="array" ref="BE91">$G$12+VLOOKUP($Q91,武学奇术!$A:$ZZ,12,FALSE)+SUM(_xlfn.XLOOKUP($R91:$AK91,增益!$A:$A,增益!$L:$L,0))</f>
        <v>0.15</v>
      </c>
      <c r="BF91">
        <f t="shared" si="27"/>
        <v>0</v>
      </c>
      <c r="BG91">
        <f t="shared" si="28"/>
        <v>0</v>
      </c>
      <c r="BH91" s="34" cm="1">
        <f t="array" ref="BH91">IF($F$13-$I$4+VLOOKUP($Q91,武学奇术!$A:$ZZ,13,FALSE)+SUM(_xlfn.XLOOKUP($R91:$AK91,增益!$A:$A,增益!$M:$M,0))&gt;0,($F$13-$I$4+VLOOKUP($Q91,武学奇术!$A:$ZZ,13,FALSE)+SUM(_xlfn.XLOOKUP($R91:$AK91,增益!$A:$A,增益!$K:$K,0)))/200,($F$13-$I$4+VLOOKUP($Q91,武学奇术!$A:$ZZ,13,FALSE)+SUM(_xlfn.XLOOKUP($R91:$AK91,增益!$A:$A,增益!$M:$M,0)))/100)</f>
        <v>-0.14</v>
      </c>
      <c r="BI91" s="34" cm="1">
        <f t="array" ref="BI91">$G$13+VLOOKUP($Q91,武学奇术!$A:$ZZ,14,FALSE)+SUM(_xlfn.XLOOKUP($R91:$AK91,增益!$A:$A,增益!$N:$N,0))</f>
        <v>0</v>
      </c>
      <c r="BJ91">
        <f t="shared" si="29"/>
        <v>0</v>
      </c>
      <c r="BK91">
        <f t="shared" si="30"/>
        <v>0</v>
      </c>
      <c r="BL91" s="34" cm="1">
        <f t="array" ref="BL91">IF($F$14-$I$4+VLOOKUP($Q91,武学奇术!$A:$ZZ,15,FALSE)+SUM(_xlfn.XLOOKUP($R91:$AK91,增益!$A:$A,增益!$O:$O,0))&gt;0,($F$14-$I$4+VLOOKUP($Q91,武学奇术!$A:$ZZ,15,FALSE)+SUM(_xlfn.XLOOKUP($R91:$AK91,增益!$A:$A,增益!$O:$O,0)))/200,($F$14-$I$4+VLOOKUP($Q91,武学奇术!$A:$ZZ,15,FALSE)+SUM(_xlfn.XLOOKUP($R91:$AK91,增益!$A:$A,增益!$O:$O,0)))/100)</f>
        <v>-0.14</v>
      </c>
      <c r="BM91" s="34" cm="1">
        <f t="array" ref="BM91">$G$14+VLOOKUP($Q91,武学奇术!$A:$ZZ,16,FALSE)+SUM(_xlfn.XLOOKUP($R91:$AK91,增益!$A:$A,增益!$P:$P,0))</f>
        <v>0</v>
      </c>
      <c r="BN91" s="27">
        <f>MIN(IF(VLOOKUP($Q91,武学奇术!$A:$ZZ,23,FALSE)=1,100%,$B$8),100%)</f>
        <v>0.9859</v>
      </c>
      <c r="BO91" s="27" cm="1">
        <f t="array" ref="BO91">IF(VLOOKUP($Q91,武学奇术!$A:$ZZ,23,FALSE)=1,100%,MIN(80%,$B$9+VLOOKUP($Q91,武学奇术!$A:$ZZ,17,FALSE)+SUM(_xlfn.XLOOKUP($R91:$AK91,增益!$A:$A,增益!$Q:$Q,0)))+$B$11+SUM(_xlfn.XLOOKUP($R91:$AK91,增益!$A:$A,增益!$U:$U,0)))*IF(VLOOKUP($Q91,武学奇术!$A:$ZZ,24,FALSE)=1,0,1)</f>
        <v>0.8912</v>
      </c>
      <c r="BP91" s="27" cm="1">
        <f t="array" ref="BP91">1+$B$13+VLOOKUP($Q91,武学奇术!$A:$ZZ,18,FALSE)+SUM(_xlfn.XLOOKUP($R91:$AK91,增益!$A:$A,增益!$R:$R,0))</f>
        <v>1.74</v>
      </c>
      <c r="BQ91" s="27" cm="1">
        <f t="array" ref="BQ91">IF(VLOOKUP($Q91,武学奇术!$A:$ZZ,24,FALSE)=1,100%,MIN(40%,$B$10+VLOOKUP($Q91,武学奇术!$A:$ZZ,19,FALSE)+SUM(_xlfn.XLOOKUP($R91:$AK91,增益!$A:$A,增益!$S:$S,0)))+$B$12+SUM(_xlfn.XLOOKUP($R91:$AK91,增益!$A:$A,增益!$V:$V,0)))*IF(VLOOKUP($Q91,武学奇术!$A:$ZZ,23,FALSE)=1,0,1)</f>
        <v>0.0929</v>
      </c>
      <c r="BR91" s="27" cm="1">
        <f t="array" ref="BR91">1+$B$14+VLOOKUP($Q91,武学奇术!$A:$ZZ,20,FALSE)+SUM(_xlfn.XLOOKUP($R91:$AK91,增益!$A:$A,增益!$T:$T,0))</f>
        <v>1.35</v>
      </c>
      <c r="BS91" s="27">
        <f t="shared" si="31"/>
        <v>0.87863408</v>
      </c>
      <c r="BT91" s="27">
        <f t="shared" si="32"/>
        <v>0.01567581</v>
      </c>
      <c r="BU91" s="27">
        <f>IF(VLOOKUP($Q91,武学奇术!$A:$ZZ,22,FALSE)=1,0,(1-$BN91))*(1-$BQ91)</f>
        <v>0.01279011</v>
      </c>
      <c r="BV91" s="27" cm="1">
        <f t="array" ref="BV91">SUM(_xlfn.XLOOKUP($R91:$AK91,增益!$A:$A,增益!$W:$W,0))+$I$5</f>
        <v>0.11</v>
      </c>
    </row>
    <row r="92" spans="1:74">
      <c r="A92" t="s">
        <v>164</v>
      </c>
      <c r="B92">
        <v>2.3</v>
      </c>
      <c r="D92" s="41" t="s">
        <v>168</v>
      </c>
      <c r="E92" s="41" t="s">
        <v>163</v>
      </c>
      <c r="F92" s="41" t="s">
        <v>172</v>
      </c>
      <c r="K92" s="40">
        <f t="shared" si="33"/>
        <v>62984.0411271783</v>
      </c>
      <c r="L92" s="40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BP92*$P92*(1+IF(VLOOKUP($Q92,武学奇术!$A:$ZZ,30,FALSE)="蓄力技",$B$21,0))*(1+$BV92)</f>
        <v>65453.5231231927</v>
      </c>
      <c r="M92" s="40">
        <f>(($AT92*$AM92+$AN92)*(1+$AU92)*(1+$AV92)+($AY92*IF($G$1="鸣金",$AO92,$AM92)+IF($G$1="鸣金",$AP92*1.5,0))*(1+$AZ92)*(1+$BA92)+($BC92*IF($G$1="裂石",$AO92,$AM92)+IF($G$1="裂石",$AP92*1.5,0))*(1+$BD92)*(1+$BE92)+($BG92*IF($G$1="牵丝",$AO92,$AM92)+IF($G$1="牵丝",$AP92*1.5,0))*(1+$BH92)*(1+$BI92)+($BK92*IF($G$1="破竹",$AO92,$AM92)+IF($G$1="破竹",$AP92*1.5,0))*(1+$BL92)*(1+$BM92))*(1+$AQ92)*$BR92*$P92*(1+IF(VLOOKUP($Q92,武学奇术!$A:$ZZ,30,FALSE)="蓄力技",$B$21,0))*(1+$BV92)</f>
        <v>49435.1459760348</v>
      </c>
      <c r="N92" s="40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P92*(1+IF(VLOOKUP($Q92,武学奇术!$A:$ZZ,30,FALSE)="蓄力技",$B$21,0))*(1+$BV92)</f>
        <v>32726.7615615963</v>
      </c>
      <c r="O92" s="40">
        <f>((($AS92*$AM92+$AN92)*(1+$AU92)*(1+$AV92)+($AX92*IF($G$1="鸣金",$AO92,$AM92)+IF($G$1="鸣金",$AP92*1.5,0))*(1+$AZ92)*(1+$BA92)+($BB92*IF($G$1="裂石",$AO92,$AM92)+IF($G$1="裂石",$AP92*1.5,0))*(1+$BD92)*(1+$BE92)+($BF92*IF($G$1="牵丝",$AO92,$AM92)+IF($G$1="牵丝",$AP92*1.5,0))*(1+$BH92)*(1+$BI92)+($BJ92*IF($G$1="破竹",$AO92,$AM92)+IF($G$1="破竹",$AP92*1.5,0))*(1+$BL92)*(1+$BM92))*(1+$AQ92))*$P92*(1+IF(VLOOKUP($Q92,武学奇术!$A:$ZZ,30,FALSE)="蓄力技",$B$21,0))*(1+$BV92)</f>
        <v>28834.8964742781</v>
      </c>
      <c r="P92" s="41">
        <v>1</v>
      </c>
      <c r="Q92" s="42" t="s">
        <v>157</v>
      </c>
      <c r="R92" s="42" t="s">
        <v>103</v>
      </c>
      <c r="S92" s="42" t="s">
        <v>169</v>
      </c>
      <c r="T92" s="42" t="s">
        <v>86</v>
      </c>
      <c r="U92" s="42" t="s">
        <v>121</v>
      </c>
      <c r="V92" s="42" t="s">
        <v>77</v>
      </c>
      <c r="W92" s="42" t="s">
        <v>77</v>
      </c>
      <c r="X92" s="42" t="s">
        <v>176</v>
      </c>
      <c r="Y92" s="42" t="s">
        <v>77</v>
      </c>
      <c r="Z92" s="42" t="s">
        <v>77</v>
      </c>
      <c r="AA92" s="42" t="s">
        <v>73</v>
      </c>
      <c r="AB92" s="42" t="s">
        <v>89</v>
      </c>
      <c r="AC92" s="42" t="s">
        <v>77</v>
      </c>
      <c r="AD92" s="42" t="s">
        <v>80</v>
      </c>
      <c r="AE92" s="42" t="s">
        <v>81</v>
      </c>
      <c r="AF92" s="42" t="s">
        <v>82</v>
      </c>
      <c r="AG92" s="42" t="s">
        <v>77</v>
      </c>
      <c r="AH92" s="42" t="s">
        <v>77</v>
      </c>
      <c r="AI92" s="42" t="s">
        <v>77</v>
      </c>
      <c r="AJ92" s="42" t="s">
        <v>77</v>
      </c>
      <c r="AK92" s="42" t="s">
        <v>90</v>
      </c>
      <c r="AL92" t="str">
        <f>VLOOKUP($Q92,武学奇术!$A:$ZZ,25,FALSE)</f>
        <v>陌刀</v>
      </c>
      <c r="AM92" s="27">
        <f>VLOOKUP($Q92,武学奇术!$A:$ZZ,26,FALSE)</f>
        <v>1.8948</v>
      </c>
      <c r="AN92" s="28">
        <f>VLOOKUP($Q92,武学奇术!$A:$ZZ,27,FALSE)*(1+IF(OR($AL92=$F$4,$AL92=$F$5),$B$22,0))</f>
        <v>787.5</v>
      </c>
      <c r="AO92" s="27">
        <f>VLOOKUP($Q92,武学奇术!$A:$ZZ,28,FALSE)</f>
        <v>2.8422</v>
      </c>
      <c r="AP92" s="28">
        <f>VLOOKUP($Q92,武学奇术!$A:$ZZ,29,FALSE)*(1+IF(OR($AL92=$F$4,$AL92=$F$5),$B$22,0))</f>
        <v>429</v>
      </c>
      <c r="AQ92" s="27" cm="1">
        <f t="array" ref="AQ92">$G$3+IFERROR(VLOOKUP($AL92,$F$4:$G$7,2,FALSE),0)+VLOOKUP($Q92,武学奇术!$A:$ZZ,2,FALSE)+SUM(_xlfn.XLOOKUP($R92:$AK92,增益!$A:$A,增益!$B:$B,0))</f>
        <v>0.8141</v>
      </c>
      <c r="AR92" s="27" cm="1">
        <f t="array" ref="AR92">VLOOKUP($Q92,武学奇术!$A:$ZZ,5,FALSE)+SUM(_xlfn.XLOOKUP($R92:$AK92,增益!$A:$A,增益!$E:$E,0))</f>
        <v>0</v>
      </c>
      <c r="AS92" cm="1">
        <f t="array" ref="AS92">$D$10*(1+$AR92)+VLOOKUP($Q92,武学奇术!$A:$ZZ,3,FALSE)+SUM(_xlfn.XLOOKUP($R92:$AK92,增益!$A:$A,增益!$C:$C,0))-$I$2</f>
        <v>3648.7</v>
      </c>
      <c r="AT92" cm="1">
        <f t="array" ref="AT92">$E$10*(1+$AR92)+VLOOKUP($Q92,武学奇术!$A:$ZZ,4,FALSE)+SUM(_xlfn.XLOOKUP($R92:$AK92,增益!$A:$A,增益!$D:$D,0))-$I$2</f>
        <v>3648.7</v>
      </c>
      <c r="AU92" s="34" cm="1">
        <f t="array" ref="AU92">IF($F$10-$I$3+VLOOKUP($Q92,武学奇术!$A:$ZZ,6,FALSE)+SUM(_xlfn.XLOOKUP($R92:$AK92,增益!$A:$A,增益!$F:$F,0))&gt;0,($F$10-$I$3+VLOOKUP($Q92,武学奇术!$A:$ZZ,6,FALSE)+SUM(_xlfn.XLOOKUP($R92:$AK92,增益!$A:$A,增益!$F:$F,0)))/200,($F$10-$I$3+VLOOKUP($Q92,武学奇术!$A:$ZZ,6,FALSE)+SUM(_xlfn.XLOOKUP($R92:$AK92,增益!$A:$A,增益!$F:$F,0)))/100)</f>
        <v>0.452</v>
      </c>
      <c r="AV92" s="34" cm="1">
        <f t="array" ref="AV92">$G$10+VLOOKUP($Q92,武学奇术!$A:$ZZ,7,FALSE)+SUM(_xlfn.XLOOKUP($R92:$AK92,增益!$A:$A,增益!$G:$G,0))</f>
        <v>0</v>
      </c>
      <c r="AW92" s="27" cm="1">
        <f t="array" ref="AW92">VLOOKUP($Q92,武学奇术!$A:$ZZ,8,FALSE)+SUM(_xlfn.XLOOKUP($R92:$AK92,增益!$A:$A,增益!$H:$H,0))</f>
        <v>0</v>
      </c>
      <c r="AX92">
        <f t="shared" si="23"/>
        <v>0</v>
      </c>
      <c r="AY92">
        <f t="shared" si="24"/>
        <v>0</v>
      </c>
      <c r="AZ92" s="34" cm="1">
        <f t="array" ref="AZ92">IF($F$11-$I$4+VLOOKUP($Q92,武学奇术!$A:$ZZ,9,FALSE)+SUM(_xlfn.XLOOKUP($R92:$AK92,增益!$A:$A,增益!$I:$I,0))&gt;0,($F$11-$I$4+VLOOKUP($Q92,武学奇术!$A:$ZZ,9,FALSE)+SUM(_xlfn.XLOOKUP($R92:$AK92,增益!$A:$A,增益!$I:$I,0)))/200,($F$11-$I$4+VLOOKUP($Q92,武学奇术!$A:$ZZ,9,FALSE)+SUM(_xlfn.XLOOKUP($R92:$AK92,增益!$A:$A,增益!$I:$I,0)))/100)</f>
        <v>-0.14</v>
      </c>
      <c r="BA92" s="34" cm="1">
        <f t="array" ref="BA92">$G$11+VLOOKUP($Q92,武学奇术!$A:$ZZ,10,FALSE)+SUM(_xlfn.XLOOKUP($R92:$AK92,增益!$A:$A,增益!$J:$J,0))</f>
        <v>0</v>
      </c>
      <c r="BB92">
        <f t="shared" si="25"/>
        <v>594.1</v>
      </c>
      <c r="BC92">
        <f t="shared" si="26"/>
        <v>1604.9</v>
      </c>
      <c r="BD92" s="34" cm="1">
        <f t="array" ref="BD92">IF($F$12-$I$4+VLOOKUP($Q92,武学奇术!$A:$ZZ,11,FALSE)+SUM(_xlfn.XLOOKUP($R92:$AK92,增益!$A:$A,增益!$K:$K,0))&gt;0,($F$12-$I$4+VLOOKUP($Q92,武学奇术!$A:$ZZ,11,FALSE)+SUM(_xlfn.XLOOKUP($R92:$AK92,增益!$A:$A,增益!$K:$K,0)))/200,($F$12-$I$4+VLOOKUP($Q92,武学奇术!$A:$ZZ,11,FALSE)+SUM(_xlfn.XLOOKUP($R92:$AK92,增益!$A:$A,增益!$K:$K,0)))/100)</f>
        <v>0.17</v>
      </c>
      <c r="BE92" s="34" cm="1">
        <f t="array" ref="BE92">$G$12+VLOOKUP($Q92,武学奇术!$A:$ZZ,12,FALSE)+SUM(_xlfn.XLOOKUP($R92:$AK92,增益!$A:$A,增益!$L:$L,0))</f>
        <v>0.15</v>
      </c>
      <c r="BF92">
        <f t="shared" si="27"/>
        <v>0</v>
      </c>
      <c r="BG92">
        <f t="shared" si="28"/>
        <v>0</v>
      </c>
      <c r="BH92" s="34" cm="1">
        <f t="array" ref="BH92">IF($F$13-$I$4+VLOOKUP($Q92,武学奇术!$A:$ZZ,13,FALSE)+SUM(_xlfn.XLOOKUP($R92:$AK92,增益!$A:$A,增益!$M:$M,0))&gt;0,($F$13-$I$4+VLOOKUP($Q92,武学奇术!$A:$ZZ,13,FALSE)+SUM(_xlfn.XLOOKUP($R92:$AK92,增益!$A:$A,增益!$K:$K,0)))/200,($F$13-$I$4+VLOOKUP($Q92,武学奇术!$A:$ZZ,13,FALSE)+SUM(_xlfn.XLOOKUP($R92:$AK92,增益!$A:$A,增益!$M:$M,0)))/100)</f>
        <v>-0.14</v>
      </c>
      <c r="BI92" s="34" cm="1">
        <f t="array" ref="BI92">$G$13+VLOOKUP($Q92,武学奇术!$A:$ZZ,14,FALSE)+SUM(_xlfn.XLOOKUP($R92:$AK92,增益!$A:$A,增益!$N:$N,0))</f>
        <v>0</v>
      </c>
      <c r="BJ92">
        <f t="shared" si="29"/>
        <v>0</v>
      </c>
      <c r="BK92">
        <f t="shared" si="30"/>
        <v>0</v>
      </c>
      <c r="BL92" s="34" cm="1">
        <f t="array" ref="BL92">IF($F$14-$I$4+VLOOKUP($Q92,武学奇术!$A:$ZZ,15,FALSE)+SUM(_xlfn.XLOOKUP($R92:$AK92,增益!$A:$A,增益!$O:$O,0))&gt;0,($F$14-$I$4+VLOOKUP($Q92,武学奇术!$A:$ZZ,15,FALSE)+SUM(_xlfn.XLOOKUP($R92:$AK92,增益!$A:$A,增益!$O:$O,0)))/200,($F$14-$I$4+VLOOKUP($Q92,武学奇术!$A:$ZZ,15,FALSE)+SUM(_xlfn.XLOOKUP($R92:$AK92,增益!$A:$A,增益!$O:$O,0)))/100)</f>
        <v>-0.14</v>
      </c>
      <c r="BM92" s="34" cm="1">
        <f t="array" ref="BM92">$G$14+VLOOKUP($Q92,武学奇术!$A:$ZZ,16,FALSE)+SUM(_xlfn.XLOOKUP($R92:$AK92,增益!$A:$A,增益!$P:$P,0))</f>
        <v>0</v>
      </c>
      <c r="BN92" s="27">
        <f>MIN(IF(VLOOKUP($Q92,武学奇术!$A:$ZZ,23,FALSE)=1,100%,$B$8),100%)</f>
        <v>0.9859</v>
      </c>
      <c r="BO92" s="27" cm="1">
        <f t="array" ref="BO92">IF(VLOOKUP($Q92,武学奇术!$A:$ZZ,23,FALSE)=1,100%,MIN(80%,$B$9+VLOOKUP($Q92,武学奇术!$A:$ZZ,17,FALSE)+SUM(_xlfn.XLOOKUP($R92:$AK92,增益!$A:$A,增益!$Q:$Q,0)))+$B$11+SUM(_xlfn.XLOOKUP($R92:$AK92,增益!$A:$A,增益!$U:$U,0)))*IF(VLOOKUP($Q92,武学奇术!$A:$ZZ,24,FALSE)=1,0,1)</f>
        <v>0.8912</v>
      </c>
      <c r="BP92" s="27" cm="1">
        <f t="array" ref="BP92">1+$B$13+VLOOKUP($Q92,武学奇术!$A:$ZZ,18,FALSE)+SUM(_xlfn.XLOOKUP($R92:$AK92,增益!$A:$A,增益!$R:$R,0))</f>
        <v>2</v>
      </c>
      <c r="BQ92" s="27" cm="1">
        <f t="array" ref="BQ92">IF(VLOOKUP($Q92,武学奇术!$A:$ZZ,24,FALSE)=1,100%,MIN(40%,$B$10+VLOOKUP($Q92,武学奇术!$A:$ZZ,19,FALSE)+SUM(_xlfn.XLOOKUP($R92:$AK92,增益!$A:$A,增益!$S:$S,0)))+$B$12+SUM(_xlfn.XLOOKUP($R92:$AK92,增益!$A:$A,增益!$V:$V,0)))*IF(VLOOKUP($Q92,武学奇术!$A:$ZZ,23,FALSE)=1,0,1)</f>
        <v>0.0929</v>
      </c>
      <c r="BR92" s="27" cm="1">
        <f t="array" ref="BR92">1+$B$14+VLOOKUP($Q92,武学奇术!$A:$ZZ,20,FALSE)+SUM(_xlfn.XLOOKUP($R92:$AK92,增益!$A:$A,增益!$T:$T,0))</f>
        <v>1.35</v>
      </c>
      <c r="BS92" s="27">
        <f t="shared" si="31"/>
        <v>0.87863408</v>
      </c>
      <c r="BT92" s="27">
        <f t="shared" si="32"/>
        <v>0.01567581</v>
      </c>
      <c r="BU92" s="27">
        <f>IF(VLOOKUP($Q92,武学奇术!$A:$ZZ,22,FALSE)=1,0,(1-$BN92))*(1-$BQ92)</f>
        <v>0.01279011</v>
      </c>
      <c r="BV92" s="27" cm="1">
        <f t="array" ref="BV92">SUM(_xlfn.XLOOKUP($R92:$AK92,增益!$A:$A,增益!$W:$W,0))+$I$5</f>
        <v>0.11</v>
      </c>
    </row>
    <row r="93" spans="1:74">
      <c r="A93" t="s">
        <v>166</v>
      </c>
      <c r="B93">
        <v>1</v>
      </c>
      <c r="D93" s="41"/>
      <c r="E93" s="41"/>
      <c r="F93" s="41"/>
      <c r="K93" s="40">
        <f t="shared" ref="K93:K102" si="34">($L93*$BS93+$M93*$BQ93+$N93*$BT93+$O93*$BU93)</f>
        <v>29159.5717054835</v>
      </c>
      <c r="L93" s="40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BP93*$P93*(1+IF(VLOOKUP($Q93,武学奇术!$A:$ZZ,30,FALSE)="蓄力技",$B$21,0))*(1+$BV93)</f>
        <v>30273.1416408641</v>
      </c>
      <c r="M93" s="40">
        <f>(($AT93*$AM93+$AN93)*(1+$AU93)*(1+$AV93)+($AY93*IF($G$1="鸣金",$AO93,$AM93)+IF($G$1="鸣金",$AP93*1.5,0))*(1+$AZ93)*(1+$BA93)+($BC93*IF($G$1="裂石",$AO93,$AM93)+IF($G$1="裂石",$AP93*1.5,0))*(1+$BD93)*(1+$BE93)+($BG93*IF($G$1="牵丝",$AO93,$AM93)+IF($G$1="牵丝",$AP93*1.5,0))*(1+$BH93)*(1+$BI93)+($BK93*IF($G$1="破竹",$AO93,$AM93)+IF($G$1="破竹",$AP93*1.5,0))*(1+$BL93)*(1+$BM93))*(1+$AQ93)*$BR93*$P93*(1+IF(VLOOKUP($Q93,武学奇术!$A:$ZZ,30,FALSE)="蓄力技",$B$21,0))*(1+$BV93)</f>
        <v>23207.2320535827</v>
      </c>
      <c r="N93" s="40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P93*(1+IF(VLOOKUP($Q93,武学奇术!$A:$ZZ,30,FALSE)="蓄力技",$B$21,0))*(1+$BV93)</f>
        <v>15136.570820432</v>
      </c>
      <c r="O93" s="40">
        <f>((($AS93*$AM93+$AN93)*(1+$AU93)*(1+$AV93)+($AX93*IF($G$1="鸣金",$AO93,$AM93)+IF($G$1="鸣金",$AP93*1.5,0))*(1+$AZ93)*(1+$BA93)+($BB93*IF($G$1="裂石",$AO93,$AM93)+IF($G$1="裂石",$AP93*1.5,0))*(1+$BD93)*(1+$BE93)+($BF93*IF($G$1="牵丝",$AO93,$AM93)+IF($G$1="牵丝",$AP93*1.5,0))*(1+$BH93)*(1+$BI93)+($BJ93*IF($G$1="破竹",$AO93,$AM93)+IF($G$1="破竹",$AP93*1.5,0))*(1+$BL93)*(1+$BM93))*(1+$AQ93))*$P93*(1+IF(VLOOKUP($Q93,武学奇术!$A:$ZZ,30,FALSE)="蓄力技",$B$21,0))*(1+$BV93)</f>
        <v>13082.599378951</v>
      </c>
      <c r="P93" s="41">
        <v>1</v>
      </c>
      <c r="Q93" s="42" t="s">
        <v>159</v>
      </c>
      <c r="R93" s="42" t="s">
        <v>103</v>
      </c>
      <c r="S93" s="42" t="s">
        <v>169</v>
      </c>
      <c r="T93" s="42" t="s">
        <v>86</v>
      </c>
      <c r="U93" s="42" t="s">
        <v>121</v>
      </c>
      <c r="V93" s="42" t="s">
        <v>77</v>
      </c>
      <c r="W93" s="42" t="s">
        <v>77</v>
      </c>
      <c r="X93" s="42" t="s">
        <v>176</v>
      </c>
      <c r="Y93" s="42" t="s">
        <v>77</v>
      </c>
      <c r="Z93" s="42" t="s">
        <v>77</v>
      </c>
      <c r="AA93" s="42" t="s">
        <v>73</v>
      </c>
      <c r="AB93" s="42" t="s">
        <v>89</v>
      </c>
      <c r="AC93" s="42" t="s">
        <v>77</v>
      </c>
      <c r="AD93" s="42" t="s">
        <v>80</v>
      </c>
      <c r="AE93" s="42" t="s">
        <v>81</v>
      </c>
      <c r="AF93" s="42" t="s">
        <v>82</v>
      </c>
      <c r="AG93" s="42" t="s">
        <v>77</v>
      </c>
      <c r="AH93" s="42" t="s">
        <v>77</v>
      </c>
      <c r="AI93" s="42" t="s">
        <v>77</v>
      </c>
      <c r="AJ93" s="42" t="s">
        <v>77</v>
      </c>
      <c r="AK93" s="42" t="s">
        <v>90</v>
      </c>
      <c r="AL93" t="str">
        <f>VLOOKUP($Q93,武学奇术!$A:$ZZ,25,FALSE)</f>
        <v>陌刀</v>
      </c>
      <c r="AM93" s="27">
        <f>VLOOKUP($Q93,武学奇术!$A:$ZZ,26,FALSE)</f>
        <v>1</v>
      </c>
      <c r="AN93" s="28">
        <f>VLOOKUP($Q93,武学奇术!$A:$ZZ,27,FALSE)*(1+IF(OR($AL93=$F$4,$AL93=$F$5),$B$22,0))</f>
        <v>0</v>
      </c>
      <c r="AO93" s="27">
        <f>VLOOKUP($Q93,武学奇术!$A:$ZZ,28,FALSE)</f>
        <v>1.5</v>
      </c>
      <c r="AP93" s="28">
        <f>VLOOKUP($Q93,武学奇术!$A:$ZZ,29,FALSE)*(1+IF(OR($AL93=$F$4,$AL93=$F$5),$B$22,0))</f>
        <v>0</v>
      </c>
      <c r="AQ93" s="27" cm="1">
        <f t="array" ref="AQ93">$G$3+IFERROR(VLOOKUP($AL93,$F$4:$G$7,2,FALSE),0)+VLOOKUP($Q93,武学奇术!$A:$ZZ,2,FALSE)+SUM(_xlfn.XLOOKUP($R93:$AK93,增益!$A:$A,增益!$B:$B,0))</f>
        <v>0.8141</v>
      </c>
      <c r="AR93" s="27" cm="1">
        <f t="array" ref="AR93">VLOOKUP($Q93,武学奇术!$A:$ZZ,5,FALSE)+SUM(_xlfn.XLOOKUP($R93:$AK93,增益!$A:$A,增益!$E:$E,0))</f>
        <v>0</v>
      </c>
      <c r="AS93" cm="1">
        <f t="array" ref="AS93">$D$10*(1+$AR93)+VLOOKUP($Q93,武学奇术!$A:$ZZ,3,FALSE)+SUM(_xlfn.XLOOKUP($R93:$AK93,增益!$A:$A,增益!$C:$C,0))-$I$2</f>
        <v>3648.7</v>
      </c>
      <c r="AT93" cm="1">
        <f t="array" ref="AT93">$E$10*(1+$AR93)+VLOOKUP($Q93,武学奇术!$A:$ZZ,4,FALSE)+SUM(_xlfn.XLOOKUP($R93:$AK93,增益!$A:$A,增益!$D:$D,0))-$I$2</f>
        <v>3648.7</v>
      </c>
      <c r="AU93" s="34" cm="1">
        <f t="array" ref="AU93">IF($F$10-$I$3+VLOOKUP($Q93,武学奇术!$A:$ZZ,6,FALSE)+SUM(_xlfn.XLOOKUP($R93:$AK93,增益!$A:$A,增益!$F:$F,0))&gt;0,($F$10-$I$3+VLOOKUP($Q93,武学奇术!$A:$ZZ,6,FALSE)+SUM(_xlfn.XLOOKUP($R93:$AK93,增益!$A:$A,增益!$F:$F,0)))/200,($F$10-$I$3+VLOOKUP($Q93,武学奇术!$A:$ZZ,6,FALSE)+SUM(_xlfn.XLOOKUP($R93:$AK93,增益!$A:$A,增益!$F:$F,0)))/100)</f>
        <v>0.452</v>
      </c>
      <c r="AV93" s="34" cm="1">
        <f t="array" ref="AV93">$G$10+VLOOKUP($Q93,武学奇术!$A:$ZZ,7,FALSE)+SUM(_xlfn.XLOOKUP($R93:$AK93,增益!$A:$A,增益!$G:$G,0))</f>
        <v>0</v>
      </c>
      <c r="AW93" s="27" cm="1">
        <f t="array" ref="AW93">VLOOKUP($Q93,武学奇术!$A:$ZZ,8,FALSE)+SUM(_xlfn.XLOOKUP($R93:$AK93,增益!$A:$A,增益!$H:$H,0))</f>
        <v>0</v>
      </c>
      <c r="AX93">
        <f t="shared" si="23"/>
        <v>0</v>
      </c>
      <c r="AY93">
        <f t="shared" si="24"/>
        <v>0</v>
      </c>
      <c r="AZ93" s="34" cm="1">
        <f t="array" ref="AZ93">IF($F$11-$I$4+VLOOKUP($Q93,武学奇术!$A:$ZZ,9,FALSE)+SUM(_xlfn.XLOOKUP($R93:$AK93,增益!$A:$A,增益!$I:$I,0))&gt;0,($F$11-$I$4+VLOOKUP($Q93,武学奇术!$A:$ZZ,9,FALSE)+SUM(_xlfn.XLOOKUP($R93:$AK93,增益!$A:$A,增益!$I:$I,0)))/200,($F$11-$I$4+VLOOKUP($Q93,武学奇术!$A:$ZZ,9,FALSE)+SUM(_xlfn.XLOOKUP($R93:$AK93,增益!$A:$A,增益!$I:$I,0)))/100)</f>
        <v>-0.14</v>
      </c>
      <c r="BA93" s="34" cm="1">
        <f t="array" ref="BA93">$G$11+VLOOKUP($Q93,武学奇术!$A:$ZZ,10,FALSE)+SUM(_xlfn.XLOOKUP($R93:$AK93,增益!$A:$A,增益!$J:$J,0))</f>
        <v>0</v>
      </c>
      <c r="BB93">
        <f t="shared" si="25"/>
        <v>594.1</v>
      </c>
      <c r="BC93">
        <f t="shared" si="26"/>
        <v>1604.9</v>
      </c>
      <c r="BD93" s="34" cm="1">
        <f t="array" ref="BD93">IF($F$12-$I$4+VLOOKUP($Q93,武学奇术!$A:$ZZ,11,FALSE)+SUM(_xlfn.XLOOKUP($R93:$AK93,增益!$A:$A,增益!$K:$K,0))&gt;0,($F$12-$I$4+VLOOKUP($Q93,武学奇术!$A:$ZZ,11,FALSE)+SUM(_xlfn.XLOOKUP($R93:$AK93,增益!$A:$A,增益!$K:$K,0)))/200,($F$12-$I$4+VLOOKUP($Q93,武学奇术!$A:$ZZ,11,FALSE)+SUM(_xlfn.XLOOKUP($R93:$AK93,增益!$A:$A,增益!$K:$K,0)))/100)</f>
        <v>0.17</v>
      </c>
      <c r="BE93" s="34" cm="1">
        <f t="array" ref="BE93">$G$12+VLOOKUP($Q93,武学奇术!$A:$ZZ,12,FALSE)+SUM(_xlfn.XLOOKUP($R93:$AK93,增益!$A:$A,增益!$L:$L,0))</f>
        <v>0.15</v>
      </c>
      <c r="BF93">
        <f t="shared" si="27"/>
        <v>0</v>
      </c>
      <c r="BG93">
        <f t="shared" si="28"/>
        <v>0</v>
      </c>
      <c r="BH93" s="34" cm="1">
        <f t="array" ref="BH93">IF($F$13-$I$4+VLOOKUP($Q93,武学奇术!$A:$ZZ,13,FALSE)+SUM(_xlfn.XLOOKUP($R93:$AK93,增益!$A:$A,增益!$M:$M,0))&gt;0,($F$13-$I$4+VLOOKUP($Q93,武学奇术!$A:$ZZ,13,FALSE)+SUM(_xlfn.XLOOKUP($R93:$AK93,增益!$A:$A,增益!$K:$K,0)))/200,($F$13-$I$4+VLOOKUP($Q93,武学奇术!$A:$ZZ,13,FALSE)+SUM(_xlfn.XLOOKUP($R93:$AK93,增益!$A:$A,增益!$M:$M,0)))/100)</f>
        <v>-0.14</v>
      </c>
      <c r="BI93" s="34" cm="1">
        <f t="array" ref="BI93">$G$13+VLOOKUP($Q93,武学奇术!$A:$ZZ,14,FALSE)+SUM(_xlfn.XLOOKUP($R93:$AK93,增益!$A:$A,增益!$N:$N,0))</f>
        <v>0</v>
      </c>
      <c r="BJ93">
        <f t="shared" si="29"/>
        <v>0</v>
      </c>
      <c r="BK93">
        <f t="shared" si="30"/>
        <v>0</v>
      </c>
      <c r="BL93" s="34" cm="1">
        <f t="array" ref="BL93">IF($F$14-$I$4+VLOOKUP($Q93,武学奇术!$A:$ZZ,15,FALSE)+SUM(_xlfn.XLOOKUP($R93:$AK93,增益!$A:$A,增益!$O:$O,0))&gt;0,($F$14-$I$4+VLOOKUP($Q93,武学奇术!$A:$ZZ,15,FALSE)+SUM(_xlfn.XLOOKUP($R93:$AK93,增益!$A:$A,增益!$O:$O,0)))/200,($F$14-$I$4+VLOOKUP($Q93,武学奇术!$A:$ZZ,15,FALSE)+SUM(_xlfn.XLOOKUP($R93:$AK93,增益!$A:$A,增益!$O:$O,0)))/100)</f>
        <v>-0.14</v>
      </c>
      <c r="BM93" s="34" cm="1">
        <f t="array" ref="BM93">$G$14+VLOOKUP($Q93,武学奇术!$A:$ZZ,16,FALSE)+SUM(_xlfn.XLOOKUP($R93:$AK93,增益!$A:$A,增益!$P:$P,0))</f>
        <v>0</v>
      </c>
      <c r="BN93" s="27">
        <f>MIN(IF(VLOOKUP($Q93,武学奇术!$A:$ZZ,23,FALSE)=1,100%,$B$8),100%)</f>
        <v>0.9859</v>
      </c>
      <c r="BO93" s="27" cm="1">
        <f t="array" ref="BO93">IF(VLOOKUP($Q93,武学奇术!$A:$ZZ,23,FALSE)=1,100%,MIN(80%,$B$9+VLOOKUP($Q93,武学奇术!$A:$ZZ,17,FALSE)+SUM(_xlfn.XLOOKUP($R93:$AK93,增益!$A:$A,增益!$Q:$Q,0)))+$B$11+SUM(_xlfn.XLOOKUP($R93:$AK93,增益!$A:$A,增益!$U:$U,0)))*IF(VLOOKUP($Q93,武学奇术!$A:$ZZ,24,FALSE)=1,0,1)</f>
        <v>0.8912</v>
      </c>
      <c r="BP93" s="27" cm="1">
        <f t="array" ref="BP93">1+$B$13+VLOOKUP($Q93,武学奇术!$A:$ZZ,18,FALSE)+SUM(_xlfn.XLOOKUP($R93:$AK93,增益!$A:$A,增益!$R:$R,0))</f>
        <v>2</v>
      </c>
      <c r="BQ93" s="27" cm="1">
        <f t="array" ref="BQ93">IF(VLOOKUP($Q93,武学奇术!$A:$ZZ,24,FALSE)=1,100%,MIN(40%,$B$10+VLOOKUP($Q93,武学奇术!$A:$ZZ,19,FALSE)+SUM(_xlfn.XLOOKUP($R93:$AK93,增益!$A:$A,增益!$S:$S,0)))+$B$12+SUM(_xlfn.XLOOKUP($R93:$AK93,增益!$A:$A,增益!$V:$V,0)))*IF(VLOOKUP($Q93,武学奇术!$A:$ZZ,23,FALSE)=1,0,1)</f>
        <v>0.0929</v>
      </c>
      <c r="BR93" s="27" cm="1">
        <f t="array" ref="BR93">1+$B$14+VLOOKUP($Q93,武学奇术!$A:$ZZ,20,FALSE)+SUM(_xlfn.XLOOKUP($R93:$AK93,增益!$A:$A,增益!$T:$T,0))</f>
        <v>1.35</v>
      </c>
      <c r="BS93" s="27">
        <f t="shared" si="31"/>
        <v>0.87863408</v>
      </c>
      <c r="BT93" s="27">
        <f t="shared" si="32"/>
        <v>0.01567581</v>
      </c>
      <c r="BU93" s="27">
        <f>IF(VLOOKUP($Q93,武学奇术!$A:$ZZ,22,FALSE)=1,0,(1-$BN93))*(1-$BQ93)</f>
        <v>0.01279011</v>
      </c>
      <c r="BV93" s="27" cm="1">
        <f t="array" ref="BV93">SUM(_xlfn.XLOOKUP($R93:$AK93,增益!$A:$A,增益!$W:$W,0))+$I$5</f>
        <v>0.11</v>
      </c>
    </row>
    <row r="94" spans="1:74">
      <c r="A94" s="4" t="s">
        <v>167</v>
      </c>
      <c r="B94" s="4">
        <v>0.1</v>
      </c>
      <c r="D94" s="41"/>
      <c r="E94" s="41"/>
      <c r="F94" s="41"/>
      <c r="K94" s="40">
        <f t="shared" si="34"/>
        <v>17549.6162242736</v>
      </c>
      <c r="L94" s="40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BP94*$P94*(1+IF(VLOOKUP($Q94,武学奇术!$A:$ZZ,30,FALSE)="蓄力技",$B$21,0))*(1+$BV94)</f>
        <v>18195.6165778499</v>
      </c>
      <c r="M94" s="40">
        <f>(($AT94*$AM94+$AN94)*(1+$AU94)*(1+$AV94)+($AY94*IF($G$1="鸣金",$AO94,$AM94)+IF($G$1="鸣金",$AP94*1.5,0))*(1+$AZ94)*(1+$BA94)+($BC94*IF($G$1="裂石",$AO94,$AM94)+IF($G$1="裂石",$AP94*1.5,0))*(1+$BD94)*(1+$BE94)+($BG94*IF($G$1="牵丝",$AO94,$AM94)+IF($G$1="牵丝",$AP94*1.5,0))*(1+$BH94)*(1+$BI94)+($BK94*IF($G$1="破竹",$AO94,$AM94)+IF($G$1="破竹",$AP94*1.5,0))*(1+$BL94)*(1+$BM94))*(1+$AQ94)*$BR94*$P94*(1+IF(VLOOKUP($Q94,武学奇术!$A:$ZZ,30,FALSE)="蓄力技",$B$21,0))*(1+$BV94)</f>
        <v>14112.6992479942</v>
      </c>
      <c r="N94" s="40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P94*(1+IF(VLOOKUP($Q94,武学奇术!$A:$ZZ,30,FALSE)="蓄力技",$B$21,0))*(1+$BV94)</f>
        <v>9331.08542453841</v>
      </c>
      <c r="O94" s="40">
        <f>((($AS94*$AM94+$AN94)*(1+$AU94)*(1+$AV94)+($AX94*IF($G$1="鸣金",$AO94,$AM94)+IF($G$1="鸣金",$AP94*1.5,0))*(1+$AZ94)*(1+$BA94)+($BB94*IF($G$1="裂石",$AO94,$AM94)+IF($G$1="裂石",$AP94*1.5,0))*(1+$BD94)*(1+$BE94)+($BF94*IF($G$1="牵丝",$AO94,$AM94)+IF($G$1="牵丝",$AP94*1.5,0))*(1+$BH94)*(1+$BI94)+($BJ94*IF($G$1="破竹",$AO94,$AM94)+IF($G$1="破竹",$AP94*1.5,0))*(1+$BL94)*(1+$BM94))*(1+$AQ94))*$P94*(1+IF(VLOOKUP($Q94,武学奇术!$A:$ZZ,30,FALSE)="蓄力技",$B$21,0))*(1+$BV94)</f>
        <v>8208.31955426631</v>
      </c>
      <c r="P94" s="41">
        <v>1</v>
      </c>
      <c r="Q94" s="42" t="s">
        <v>179</v>
      </c>
      <c r="R94" s="42" t="s">
        <v>103</v>
      </c>
      <c r="S94" s="42" t="s">
        <v>77</v>
      </c>
      <c r="T94" s="42" t="s">
        <v>86</v>
      </c>
      <c r="U94" s="42" t="s">
        <v>87</v>
      </c>
      <c r="V94" s="42" t="s">
        <v>77</v>
      </c>
      <c r="W94" s="42" t="s">
        <v>77</v>
      </c>
      <c r="X94" s="42" t="s">
        <v>176</v>
      </c>
      <c r="Y94" s="42" t="s">
        <v>77</v>
      </c>
      <c r="Z94" s="42" t="s">
        <v>77</v>
      </c>
      <c r="AA94" s="42" t="s">
        <v>77</v>
      </c>
      <c r="AB94" s="42" t="s">
        <v>89</v>
      </c>
      <c r="AC94" s="42" t="s">
        <v>77</v>
      </c>
      <c r="AD94" s="42" t="s">
        <v>80</v>
      </c>
      <c r="AE94" s="42" t="s">
        <v>81</v>
      </c>
      <c r="AF94" s="42" t="s">
        <v>82</v>
      </c>
      <c r="AG94" s="42" t="s">
        <v>77</v>
      </c>
      <c r="AH94" s="42" t="s">
        <v>77</v>
      </c>
      <c r="AI94" s="42" t="s">
        <v>77</v>
      </c>
      <c r="AJ94" s="42" t="s">
        <v>77</v>
      </c>
      <c r="AK94" s="42" t="s">
        <v>90</v>
      </c>
      <c r="AL94" t="str">
        <f>VLOOKUP($Q94,武学奇术!$A:$ZZ,25,FALSE)</f>
        <v>横刀</v>
      </c>
      <c r="AM94" s="27">
        <f>VLOOKUP($Q94,武学奇术!$A:$ZZ,26,FALSE)</f>
        <v>0.6486</v>
      </c>
      <c r="AN94" s="28">
        <f>VLOOKUP($Q94,武学奇术!$A:$ZZ,27,FALSE)*(1+IF(OR($AL94=$F$4,$AL94=$F$5),$B$22,0))</f>
        <v>270</v>
      </c>
      <c r="AO94" s="27">
        <f>VLOOKUP($Q94,武学奇术!$A:$ZZ,28,FALSE)</f>
        <v>0.9729</v>
      </c>
      <c r="AP94" s="28">
        <f>VLOOKUP($Q94,武学奇术!$A:$ZZ,29,FALSE)*(1+IF(OR($AL94=$F$4,$AL94=$F$5),$B$22,0))</f>
        <v>147</v>
      </c>
      <c r="AQ94" s="27" cm="1">
        <f t="array" ref="AQ94">$G$3+IFERROR(VLOOKUP($AL94,$F$4:$G$7,2,FALSE),0)+VLOOKUP($Q94,武学奇术!$A:$ZZ,2,FALSE)+SUM(_xlfn.XLOOKUP($R94:$AK94,增益!$A:$A,增益!$B:$B,0))</f>
        <v>0.5289</v>
      </c>
      <c r="AR94" s="27" cm="1">
        <f t="array" ref="AR94">VLOOKUP($Q94,武学奇术!$A:$ZZ,5,FALSE)+SUM(_xlfn.XLOOKUP($R94:$AK94,增益!$A:$A,增益!$E:$E,0))</f>
        <v>0</v>
      </c>
      <c r="AS94" cm="1">
        <f t="array" ref="AS94">$D$10*(1+$AR94)+VLOOKUP($Q94,武学奇术!$A:$ZZ,3,FALSE)+SUM(_xlfn.XLOOKUP($R94:$AK94,增益!$A:$A,增益!$C:$C,0))-$I$2</f>
        <v>3648.7</v>
      </c>
      <c r="AT94" cm="1">
        <f t="array" ref="AT94">$E$10*(1+$AR94)+VLOOKUP($Q94,武学奇术!$A:$ZZ,4,FALSE)+SUM(_xlfn.XLOOKUP($R94:$AK94,增益!$A:$A,增益!$D:$D,0))-$I$2</f>
        <v>3648.7</v>
      </c>
      <c r="AU94" s="34" cm="1">
        <f t="array" ref="AU94">IF($F$10-$I$3+VLOOKUP($Q94,武学奇术!$A:$ZZ,6,FALSE)+SUM(_xlfn.XLOOKUP($R94:$AK94,增益!$A:$A,增益!$F:$F,0))&gt;0,($F$10-$I$3+VLOOKUP($Q94,武学奇术!$A:$ZZ,6,FALSE)+SUM(_xlfn.XLOOKUP($R94:$AK94,增益!$A:$A,增益!$F:$F,0)))/200,($F$10-$I$3+VLOOKUP($Q94,武学奇术!$A:$ZZ,6,FALSE)+SUM(_xlfn.XLOOKUP($R94:$AK94,增益!$A:$A,增益!$F:$F,0)))/100)</f>
        <v>0.427</v>
      </c>
      <c r="AV94" s="34" cm="1">
        <f t="array" ref="AV94">$G$10+VLOOKUP($Q94,武学奇术!$A:$ZZ,7,FALSE)+SUM(_xlfn.XLOOKUP($R94:$AK94,增益!$A:$A,增益!$G:$G,0))</f>
        <v>0</v>
      </c>
      <c r="AW94" s="27" cm="1">
        <f t="array" ref="AW94">VLOOKUP($Q94,武学奇术!$A:$ZZ,8,FALSE)+SUM(_xlfn.XLOOKUP($R94:$AK94,增益!$A:$A,增益!$H:$H,0))</f>
        <v>0</v>
      </c>
      <c r="AX94">
        <f t="shared" si="23"/>
        <v>0</v>
      </c>
      <c r="AY94">
        <f t="shared" si="24"/>
        <v>0</v>
      </c>
      <c r="AZ94" s="34" cm="1">
        <f t="array" ref="AZ94">IF($F$11-$I$4+VLOOKUP($Q94,武学奇术!$A:$ZZ,9,FALSE)+SUM(_xlfn.XLOOKUP($R94:$AK94,增益!$A:$A,增益!$I:$I,0))&gt;0,($F$11-$I$4+VLOOKUP($Q94,武学奇术!$A:$ZZ,9,FALSE)+SUM(_xlfn.XLOOKUP($R94:$AK94,增益!$A:$A,增益!$I:$I,0)))/200,($F$11-$I$4+VLOOKUP($Q94,武学奇术!$A:$ZZ,9,FALSE)+SUM(_xlfn.XLOOKUP($R94:$AK94,增益!$A:$A,增益!$I:$I,0)))/100)</f>
        <v>-0.14</v>
      </c>
      <c r="BA94" s="34" cm="1">
        <f t="array" ref="BA94">$G$11+VLOOKUP($Q94,武学奇术!$A:$ZZ,10,FALSE)+SUM(_xlfn.XLOOKUP($R94:$AK94,增益!$A:$A,增益!$J:$J,0))</f>
        <v>0</v>
      </c>
      <c r="BB94">
        <f t="shared" si="25"/>
        <v>594.1</v>
      </c>
      <c r="BC94">
        <f t="shared" si="26"/>
        <v>1604.9</v>
      </c>
      <c r="BD94" s="34" cm="1">
        <f t="array" ref="BD94">IF($F$12-$I$4+VLOOKUP($Q94,武学奇术!$A:$ZZ,11,FALSE)+SUM(_xlfn.XLOOKUP($R94:$AK94,增益!$A:$A,增益!$K:$K,0))&gt;0,($F$12-$I$4+VLOOKUP($Q94,武学奇术!$A:$ZZ,11,FALSE)+SUM(_xlfn.XLOOKUP($R94:$AK94,增益!$A:$A,增益!$K:$K,0)))/200,($F$12-$I$4+VLOOKUP($Q94,武学奇术!$A:$ZZ,11,FALSE)+SUM(_xlfn.XLOOKUP($R94:$AK94,增益!$A:$A,增益!$K:$K,0)))/100)</f>
        <v>0.17</v>
      </c>
      <c r="BE94" s="34" cm="1">
        <f t="array" ref="BE94">$G$12+VLOOKUP($Q94,武学奇术!$A:$ZZ,12,FALSE)+SUM(_xlfn.XLOOKUP($R94:$AK94,增益!$A:$A,增益!$L:$L,0))</f>
        <v>0.15</v>
      </c>
      <c r="BF94">
        <f t="shared" si="27"/>
        <v>0</v>
      </c>
      <c r="BG94">
        <f t="shared" si="28"/>
        <v>0</v>
      </c>
      <c r="BH94" s="34" cm="1">
        <f t="array" ref="BH94">IF($F$13-$I$4+VLOOKUP($Q94,武学奇术!$A:$ZZ,13,FALSE)+SUM(_xlfn.XLOOKUP($R94:$AK94,增益!$A:$A,增益!$M:$M,0))&gt;0,($F$13-$I$4+VLOOKUP($Q94,武学奇术!$A:$ZZ,13,FALSE)+SUM(_xlfn.XLOOKUP($R94:$AK94,增益!$A:$A,增益!$K:$K,0)))/200,($F$13-$I$4+VLOOKUP($Q94,武学奇术!$A:$ZZ,13,FALSE)+SUM(_xlfn.XLOOKUP($R94:$AK94,增益!$A:$A,增益!$M:$M,0)))/100)</f>
        <v>-0.14</v>
      </c>
      <c r="BI94" s="34" cm="1">
        <f t="array" ref="BI94">$G$13+VLOOKUP($Q94,武学奇术!$A:$ZZ,14,FALSE)+SUM(_xlfn.XLOOKUP($R94:$AK94,增益!$A:$A,增益!$N:$N,0))</f>
        <v>0</v>
      </c>
      <c r="BJ94">
        <f t="shared" si="29"/>
        <v>0</v>
      </c>
      <c r="BK94">
        <f t="shared" si="30"/>
        <v>0</v>
      </c>
      <c r="BL94" s="34" cm="1">
        <f t="array" ref="BL94">IF($F$14-$I$4+VLOOKUP($Q94,武学奇术!$A:$ZZ,15,FALSE)+SUM(_xlfn.XLOOKUP($R94:$AK94,增益!$A:$A,增益!$O:$O,0))&gt;0,($F$14-$I$4+VLOOKUP($Q94,武学奇术!$A:$ZZ,15,FALSE)+SUM(_xlfn.XLOOKUP($R94:$AK94,增益!$A:$A,增益!$O:$O,0)))/200,($F$14-$I$4+VLOOKUP($Q94,武学奇术!$A:$ZZ,15,FALSE)+SUM(_xlfn.XLOOKUP($R94:$AK94,增益!$A:$A,增益!$O:$O,0)))/100)</f>
        <v>-0.14</v>
      </c>
      <c r="BM94" s="34" cm="1">
        <f t="array" ref="BM94">$G$14+VLOOKUP($Q94,武学奇术!$A:$ZZ,16,FALSE)+SUM(_xlfn.XLOOKUP($R94:$AK94,增益!$A:$A,增益!$P:$P,0))</f>
        <v>0</v>
      </c>
      <c r="BN94" s="27">
        <f>MIN(IF(VLOOKUP($Q94,武学奇术!$A:$ZZ,23,FALSE)=1,100%,$B$8),100%)</f>
        <v>0.9859</v>
      </c>
      <c r="BO94" s="27" cm="1">
        <f t="array" ref="BO94">IF(VLOOKUP($Q94,武学奇术!$A:$ZZ,23,FALSE)=1,100%,MIN(80%,$B$9+VLOOKUP($Q94,武学奇术!$A:$ZZ,17,FALSE)+SUM(_xlfn.XLOOKUP($R94:$AK94,增益!$A:$A,增益!$Q:$Q,0)))+$B$11+SUM(_xlfn.XLOOKUP($R94:$AK94,增益!$A:$A,增益!$U:$U,0)))*IF(VLOOKUP($Q94,武学奇术!$A:$ZZ,24,FALSE)=1,0,1)</f>
        <v>0.8912</v>
      </c>
      <c r="BP94" s="27" cm="1">
        <f t="array" ref="BP94">1+$B$13+VLOOKUP($Q94,武学奇术!$A:$ZZ,18,FALSE)+SUM(_xlfn.XLOOKUP($R94:$AK94,增益!$A:$A,增益!$R:$R,0))</f>
        <v>1.95</v>
      </c>
      <c r="BQ94" s="27" cm="1">
        <f t="array" ref="BQ94">IF(VLOOKUP($Q94,武学奇术!$A:$ZZ,24,FALSE)=1,100%,MIN(40%,$B$10+VLOOKUP($Q94,武学奇术!$A:$ZZ,19,FALSE)+SUM(_xlfn.XLOOKUP($R94:$AK94,增益!$A:$A,增益!$S:$S,0)))+$B$12+SUM(_xlfn.XLOOKUP($R94:$AK94,增益!$A:$A,增益!$V:$V,0)))*IF(VLOOKUP($Q94,武学奇术!$A:$ZZ,23,FALSE)=1,0,1)</f>
        <v>0.0929</v>
      </c>
      <c r="BR94" s="27" cm="1">
        <f t="array" ref="BR94">1+$B$14+VLOOKUP($Q94,武学奇术!$A:$ZZ,20,FALSE)+SUM(_xlfn.XLOOKUP($R94:$AK94,增益!$A:$A,增益!$T:$T,0))</f>
        <v>1.35</v>
      </c>
      <c r="BS94" s="27">
        <f t="shared" si="31"/>
        <v>0.87863408</v>
      </c>
      <c r="BT94" s="27">
        <f t="shared" si="32"/>
        <v>0.01567581</v>
      </c>
      <c r="BU94" s="27">
        <f>IF(VLOOKUP($Q94,武学奇术!$A:$ZZ,22,FALSE)=1,0,(1-$BN94))*(1-$BQ94)</f>
        <v>0.01279011</v>
      </c>
      <c r="BV94" s="27" cm="1">
        <f t="array" ref="BV94">SUM(_xlfn.XLOOKUP($R94:$AK94,增益!$A:$A,增益!$W:$W,0))+$I$5</f>
        <v>0.11</v>
      </c>
    </row>
    <row r="95" spans="1:74">
      <c r="A95" s="4" t="s">
        <v>171</v>
      </c>
      <c r="B95" s="4">
        <v>2.3</v>
      </c>
      <c r="D95" s="41"/>
      <c r="E95" s="41"/>
      <c r="F95" s="41"/>
      <c r="K95" s="40">
        <f t="shared" si="34"/>
        <v>82459.6683294569</v>
      </c>
      <c r="L95" s="40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BP95*$P95*(1+IF(VLOOKUP($Q95,武学奇术!$A:$ZZ,30,FALSE)="蓄力技",$B$21,0))*(1+$BV95)</f>
        <v>85721.3010865585</v>
      </c>
      <c r="M95" s="40">
        <f>(($AT95*$AM95+$AN95)*(1+$AU95)*(1+$AV95)+($AY95*IF($G$1="鸣金",$AO95,$AM95)+IF($G$1="鸣金",$AP95*1.5,0))*(1+$AZ95)*(1+$BA95)+($BC95*IF($G$1="裂石",$AO95,$AM95)+IF($G$1="裂石",$AP95*1.5,0))*(1+$BD95)*(1+$BE95)+($BG95*IF($G$1="牵丝",$AO95,$AM95)+IF($G$1="牵丝",$AP95*1.5,0))*(1+$BH95)*(1+$BI95)+($BK95*IF($G$1="破竹",$AO95,$AM95)+IF($G$1="破竹",$AP95*1.5,0))*(1+$BL95)*(1+$BM95))*(1+$AQ95)*$BR95*$P95*(1+IF(VLOOKUP($Q95,武学奇术!$A:$ZZ,30,FALSE)="蓄力技",$B$21,0))*(1+$BV95)</f>
        <v>64413.5107533854</v>
      </c>
      <c r="N95" s="40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P95*(1+IF(VLOOKUP($Q95,武学奇术!$A:$ZZ,30,FALSE)="蓄力技",$B$21,0))*(1+$BV95)</f>
        <v>42860.6505432793</v>
      </c>
      <c r="O95" s="40">
        <f>((($AS95*$AM95+$AN95)*(1+$AU95)*(1+$AV95)+($AX95*IF($G$1="鸣金",$AO95,$AM95)+IF($G$1="鸣金",$AP95*1.5,0))*(1+$AZ95)*(1+$BA95)+($BB95*IF($G$1="裂石",$AO95,$AM95)+IF($G$1="裂石",$AP95*1.5,0))*(1+$BD95)*(1+$BE95)+($BF95*IF($G$1="牵丝",$AO95,$AM95)+IF($G$1="牵丝",$AP95*1.5,0))*(1+$BH95)*(1+$BI95)+($BJ95*IF($G$1="破竹",$AO95,$AM95)+IF($G$1="破竹",$AP95*1.5,0))*(1+$BL95)*(1+$BM95))*(1+$AQ95))*$P95*(1+IF(VLOOKUP($Q95,武学奇术!$A:$ZZ,30,FALSE)="蓄力技",$B$21,0))*(1+$BV95)</f>
        <v>38007.5894173842</v>
      </c>
      <c r="P95" s="41">
        <v>1</v>
      </c>
      <c r="Q95" s="42" t="s">
        <v>180</v>
      </c>
      <c r="R95" s="42" t="s">
        <v>103</v>
      </c>
      <c r="S95" s="42" t="s">
        <v>77</v>
      </c>
      <c r="T95" s="42" t="s">
        <v>77</v>
      </c>
      <c r="U95" s="42" t="s">
        <v>121</v>
      </c>
      <c r="V95" s="42" t="s">
        <v>77</v>
      </c>
      <c r="W95" s="42" t="s">
        <v>77</v>
      </c>
      <c r="X95" s="42" t="s">
        <v>176</v>
      </c>
      <c r="Y95" s="42" t="s">
        <v>77</v>
      </c>
      <c r="Z95" s="42" t="s">
        <v>77</v>
      </c>
      <c r="AA95" s="42" t="s">
        <v>73</v>
      </c>
      <c r="AB95" s="42" t="s">
        <v>89</v>
      </c>
      <c r="AC95" s="42" t="s">
        <v>77</v>
      </c>
      <c r="AD95" s="42" t="s">
        <v>80</v>
      </c>
      <c r="AE95" s="42" t="s">
        <v>81</v>
      </c>
      <c r="AF95" s="42" t="s">
        <v>82</v>
      </c>
      <c r="AG95" s="42" t="s">
        <v>77</v>
      </c>
      <c r="AH95" s="42" t="s">
        <v>77</v>
      </c>
      <c r="AI95" s="42" t="s">
        <v>77</v>
      </c>
      <c r="AJ95" s="42" t="s">
        <v>77</v>
      </c>
      <c r="AK95" s="42" t="s">
        <v>90</v>
      </c>
      <c r="AL95" t="str">
        <f>VLOOKUP($Q95,武学奇术!$A:$ZZ,25,FALSE)</f>
        <v>横刀</v>
      </c>
      <c r="AM95" s="27">
        <f>VLOOKUP($Q95,武学奇术!$A:$ZZ,26,FALSE)</f>
        <v>2.8245</v>
      </c>
      <c r="AN95" s="28">
        <f>VLOOKUP($Q95,武学奇术!$A:$ZZ,27,FALSE)*(1+IF(OR($AL95=$F$4,$AL95=$F$5),$B$22,0))</f>
        <v>1173</v>
      </c>
      <c r="AO95" s="27">
        <f>VLOOKUP($Q95,武学奇术!$A:$ZZ,28,FALSE)</f>
        <v>4.236808</v>
      </c>
      <c r="AP95" s="28">
        <f>VLOOKUP($Q95,武学奇术!$A:$ZZ,29,FALSE)*(1+IF(OR($AL95=$F$4,$AL95=$F$5),$B$22,0))</f>
        <v>637.5</v>
      </c>
      <c r="AQ95" s="27" cm="1">
        <f t="array" ref="AQ95">$G$3+IFERROR(VLOOKUP($AL95,$F$4:$G$7,2,FALSE),0)+VLOOKUP($Q95,武学奇术!$A:$ZZ,2,FALSE)+SUM(_xlfn.XLOOKUP($R95:$AK95,增益!$A:$A,增益!$B:$B,0))</f>
        <v>0.6289</v>
      </c>
      <c r="AR95" s="27" cm="1">
        <f t="array" ref="AR95">VLOOKUP($Q95,武学奇术!$A:$ZZ,5,FALSE)+SUM(_xlfn.XLOOKUP($R95:$AK95,增益!$A:$A,增益!$E:$E,0))</f>
        <v>0</v>
      </c>
      <c r="AS95" cm="1">
        <f t="array" ref="AS95">$D$10*(1+$AR95)+VLOOKUP($Q95,武学奇术!$A:$ZZ,3,FALSE)+SUM(_xlfn.XLOOKUP($R95:$AK95,增益!$A:$A,增益!$C:$C,0))-$I$2</f>
        <v>3648.7</v>
      </c>
      <c r="AT95" cm="1">
        <f t="array" ref="AT95">$E$10*(1+$AR95)+VLOOKUP($Q95,武学奇术!$A:$ZZ,4,FALSE)+SUM(_xlfn.XLOOKUP($R95:$AK95,增益!$A:$A,增益!$D:$D,0))-$I$2</f>
        <v>3648.7</v>
      </c>
      <c r="AU95" s="34" cm="1">
        <f t="array" ref="AU95">IF($F$10-$I$3+VLOOKUP($Q95,武学奇术!$A:$ZZ,6,FALSE)+SUM(_xlfn.XLOOKUP($R95:$AK95,增益!$A:$A,增益!$F:$F,0))&gt;0,($F$10-$I$3+VLOOKUP($Q95,武学奇术!$A:$ZZ,6,FALSE)+SUM(_xlfn.XLOOKUP($R95:$AK95,增益!$A:$A,增益!$F:$F,0)))/200,($F$10-$I$3+VLOOKUP($Q95,武学奇术!$A:$ZZ,6,FALSE)+SUM(_xlfn.XLOOKUP($R95:$AK95,增益!$A:$A,增益!$F:$F,0)))/100)</f>
        <v>0.452</v>
      </c>
      <c r="AV95" s="34" cm="1">
        <f t="array" ref="AV95">$G$10+VLOOKUP($Q95,武学奇术!$A:$ZZ,7,FALSE)+SUM(_xlfn.XLOOKUP($R95:$AK95,增益!$A:$A,增益!$G:$G,0))</f>
        <v>0</v>
      </c>
      <c r="AW95" s="27" cm="1">
        <f t="array" ref="AW95">VLOOKUP($Q95,武学奇术!$A:$ZZ,8,FALSE)+SUM(_xlfn.XLOOKUP($R95:$AK95,增益!$A:$A,增益!$H:$H,0))</f>
        <v>0</v>
      </c>
      <c r="AX95">
        <f t="shared" si="23"/>
        <v>0</v>
      </c>
      <c r="AY95">
        <f t="shared" si="24"/>
        <v>0</v>
      </c>
      <c r="AZ95" s="34" cm="1">
        <f t="array" ref="AZ95">IF($F$11-$I$4+VLOOKUP($Q95,武学奇术!$A:$ZZ,9,FALSE)+SUM(_xlfn.XLOOKUP($R95:$AK95,增益!$A:$A,增益!$I:$I,0))&gt;0,($F$11-$I$4+VLOOKUP($Q95,武学奇术!$A:$ZZ,9,FALSE)+SUM(_xlfn.XLOOKUP($R95:$AK95,增益!$A:$A,增益!$I:$I,0)))/200,($F$11-$I$4+VLOOKUP($Q95,武学奇术!$A:$ZZ,9,FALSE)+SUM(_xlfn.XLOOKUP($R95:$AK95,增益!$A:$A,增益!$I:$I,0)))/100)</f>
        <v>-0.3</v>
      </c>
      <c r="BA95" s="34" cm="1">
        <f t="array" ref="BA95">$G$11+VLOOKUP($Q95,武学奇术!$A:$ZZ,10,FALSE)+SUM(_xlfn.XLOOKUP($R95:$AK95,增益!$A:$A,增益!$J:$J,0))</f>
        <v>0</v>
      </c>
      <c r="BB95">
        <f t="shared" si="25"/>
        <v>594.1</v>
      </c>
      <c r="BC95">
        <f t="shared" si="26"/>
        <v>1604.9</v>
      </c>
      <c r="BD95" s="34" cm="1">
        <f t="array" ref="BD95">IF($F$12-$I$4+VLOOKUP($Q95,武学奇术!$A:$ZZ,11,FALSE)+SUM(_xlfn.XLOOKUP($R95:$AK95,增益!$A:$A,增益!$K:$K,0))&gt;0,($F$12-$I$4+VLOOKUP($Q95,武学奇术!$A:$ZZ,11,FALSE)+SUM(_xlfn.XLOOKUP($R95:$AK95,增益!$A:$A,增益!$K:$K,0)))/200,($F$12-$I$4+VLOOKUP($Q95,武学奇术!$A:$ZZ,11,FALSE)+SUM(_xlfn.XLOOKUP($R95:$AK95,增益!$A:$A,增益!$K:$K,0)))/100)</f>
        <v>0.09</v>
      </c>
      <c r="BE95" s="34" cm="1">
        <f t="array" ref="BE95">$G$12+VLOOKUP($Q95,武学奇术!$A:$ZZ,12,FALSE)+SUM(_xlfn.XLOOKUP($R95:$AK95,增益!$A:$A,增益!$L:$L,0))</f>
        <v>0.15</v>
      </c>
      <c r="BF95">
        <f t="shared" si="27"/>
        <v>0</v>
      </c>
      <c r="BG95">
        <f t="shared" si="28"/>
        <v>0</v>
      </c>
      <c r="BH95" s="34" cm="1">
        <f t="array" ref="BH95">IF($F$13-$I$4+VLOOKUP($Q95,武学奇术!$A:$ZZ,13,FALSE)+SUM(_xlfn.XLOOKUP($R95:$AK95,增益!$A:$A,增益!$M:$M,0))&gt;0,($F$13-$I$4+VLOOKUP($Q95,武学奇术!$A:$ZZ,13,FALSE)+SUM(_xlfn.XLOOKUP($R95:$AK95,增益!$A:$A,增益!$K:$K,0)))/200,($F$13-$I$4+VLOOKUP($Q95,武学奇术!$A:$ZZ,13,FALSE)+SUM(_xlfn.XLOOKUP($R95:$AK95,增益!$A:$A,增益!$M:$M,0)))/100)</f>
        <v>-0.3</v>
      </c>
      <c r="BI95" s="34" cm="1">
        <f t="array" ref="BI95">$G$13+VLOOKUP($Q95,武学奇术!$A:$ZZ,14,FALSE)+SUM(_xlfn.XLOOKUP($R95:$AK95,增益!$A:$A,增益!$N:$N,0))</f>
        <v>0</v>
      </c>
      <c r="BJ95">
        <f t="shared" si="29"/>
        <v>0</v>
      </c>
      <c r="BK95">
        <f t="shared" si="30"/>
        <v>0</v>
      </c>
      <c r="BL95" s="34" cm="1">
        <f t="array" ref="BL95">IF($F$14-$I$4+VLOOKUP($Q95,武学奇术!$A:$ZZ,15,FALSE)+SUM(_xlfn.XLOOKUP($R95:$AK95,增益!$A:$A,增益!$O:$O,0))&gt;0,($F$14-$I$4+VLOOKUP($Q95,武学奇术!$A:$ZZ,15,FALSE)+SUM(_xlfn.XLOOKUP($R95:$AK95,增益!$A:$A,增益!$O:$O,0)))/200,($F$14-$I$4+VLOOKUP($Q95,武学奇术!$A:$ZZ,15,FALSE)+SUM(_xlfn.XLOOKUP($R95:$AK95,增益!$A:$A,增益!$O:$O,0)))/100)</f>
        <v>-0.3</v>
      </c>
      <c r="BM95" s="34" cm="1">
        <f t="array" ref="BM95">$G$14+VLOOKUP($Q95,武学奇术!$A:$ZZ,16,FALSE)+SUM(_xlfn.XLOOKUP($R95:$AK95,增益!$A:$A,增益!$P:$P,0))</f>
        <v>0</v>
      </c>
      <c r="BN95" s="27">
        <f>MIN(IF(VLOOKUP($Q95,武学奇术!$A:$ZZ,23,FALSE)=1,100%,$B$8),100%)</f>
        <v>0.9859</v>
      </c>
      <c r="BO95" s="27" cm="1">
        <f t="array" ref="BO95">IF(VLOOKUP($Q95,武学奇术!$A:$ZZ,23,FALSE)=1,100%,MIN(80%,$B$9+VLOOKUP($Q95,武学奇术!$A:$ZZ,17,FALSE)+SUM(_xlfn.XLOOKUP($R95:$AK95,增益!$A:$A,增益!$Q:$Q,0)))+$B$11+SUM(_xlfn.XLOOKUP($R95:$AK95,增益!$A:$A,增益!$U:$U,0)))*IF(VLOOKUP($Q95,武学奇术!$A:$ZZ,24,FALSE)=1,0,1)</f>
        <v>0.8912</v>
      </c>
      <c r="BP95" s="27" cm="1">
        <f t="array" ref="BP95">1+$B$13+VLOOKUP($Q95,武学奇术!$A:$ZZ,18,FALSE)+SUM(_xlfn.XLOOKUP($R95:$AK95,增益!$A:$A,增益!$R:$R,0))</f>
        <v>2</v>
      </c>
      <c r="BQ95" s="27" cm="1">
        <f t="array" ref="BQ95">IF(VLOOKUP($Q95,武学奇术!$A:$ZZ,24,FALSE)=1,100%,MIN(40%,$B$10+VLOOKUP($Q95,武学奇术!$A:$ZZ,19,FALSE)+SUM(_xlfn.XLOOKUP($R95:$AK95,增益!$A:$A,增益!$S:$S,0)))+$B$12+SUM(_xlfn.XLOOKUP($R95:$AK95,增益!$A:$A,增益!$V:$V,0)))*IF(VLOOKUP($Q95,武学奇术!$A:$ZZ,23,FALSE)=1,0,1)</f>
        <v>0.0929</v>
      </c>
      <c r="BR95" s="27" cm="1">
        <f t="array" ref="BR95">1+$B$14+VLOOKUP($Q95,武学奇术!$A:$ZZ,20,FALSE)+SUM(_xlfn.XLOOKUP($R95:$AK95,增益!$A:$A,增益!$T:$T,0))</f>
        <v>1.35</v>
      </c>
      <c r="BS95" s="27">
        <f t="shared" si="31"/>
        <v>0.87863408</v>
      </c>
      <c r="BT95" s="27">
        <f t="shared" si="32"/>
        <v>0.01567581</v>
      </c>
      <c r="BU95" s="27">
        <f>IF(VLOOKUP($Q95,武学奇术!$A:$ZZ,22,FALSE)=1,0,(1-$BN95))*(1-$BQ95)</f>
        <v>0.01279011</v>
      </c>
      <c r="BV95" s="27" cm="1">
        <f t="array" ref="BV95">SUM(_xlfn.XLOOKUP($R95:$AK95,增益!$A:$A,增益!$W:$W,0))+$I$5</f>
        <v>0.11</v>
      </c>
    </row>
    <row r="96" spans="1:74">
      <c r="A96" s="4" t="s">
        <v>171</v>
      </c>
      <c r="B96" s="4">
        <v>2.3</v>
      </c>
      <c r="C96" s="41" t="s">
        <v>186</v>
      </c>
      <c r="D96" s="41"/>
      <c r="E96" s="41"/>
      <c r="K96" s="40">
        <f t="shared" si="34"/>
        <v>33697.8026925041</v>
      </c>
      <c r="L96" s="40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BP96*$P96*(1+IF(VLOOKUP($Q96,武学奇术!$A:$ZZ,30,FALSE)="蓄力技",$B$21,0))*(1+$BV96)</f>
        <v>34998.3381445872</v>
      </c>
      <c r="M96" s="40">
        <f>(($AT96*$AM96+$AN96)*(1+$AU96)*(1+$AV96)+($AY96*IF($G$1="鸣金",$AO96,$AM96)+IF($G$1="鸣金",$AP96*1.5,0))*(1+$AZ96)*(1+$BA96)+($BC96*IF($G$1="裂石",$AO96,$AM96)+IF($G$1="裂石",$AP96*1.5,0))*(1+$BD96)*(1+$BE96)+($BG96*IF($G$1="牵丝",$AO96,$AM96)+IF($G$1="牵丝",$AP96*1.5,0))*(1+$BH96)*(1+$BI96)+($BK96*IF($G$1="破竹",$AO96,$AM96)+IF($G$1="破竹",$AP96*1.5,0))*(1+$BL96)*(1+$BM96))*(1+$AQ96)*$BR96*$P96*(1+IF(VLOOKUP($Q96,武学奇术!$A:$ZZ,30,FALSE)="蓄力技",$B$21,0))*(1+$BV96)</f>
        <v>26671.8763939623</v>
      </c>
      <c r="N96" s="40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P96*(1+IF(VLOOKUP($Q96,武学奇术!$A:$ZZ,30,FALSE)="蓄力技",$B$21,0))*(1+$BV96)</f>
        <v>17499.1690722936</v>
      </c>
      <c r="O96" s="40">
        <f>((($AS96*$AM96+$AN96)*(1+$AU96)*(1+$AV96)+($AX96*IF($G$1="鸣金",$AO96,$AM96)+IF($G$1="鸣金",$AP96*1.5,0))*(1+$AZ96)*(1+$BA96)+($BB96*IF($G$1="裂石",$AO96,$AM96)+IF($G$1="裂石",$AP96*1.5,0))*(1+$BD96)*(1+$BE96)+($BF96*IF($G$1="牵丝",$AO96,$AM96)+IF($G$1="牵丝",$AP96*1.5,0))*(1+$BH96)*(1+$BI96)+($BJ96*IF($G$1="破竹",$AO96,$AM96)+IF($G$1="破竹",$AP96*1.5,0))*(1+$BL96)*(1+$BM96))*(1+$AQ96))*$P96*(1+IF(VLOOKUP($Q96,武学奇术!$A:$ZZ,30,FALSE)="蓄力技",$B$21,0))*(1+$BV96)</f>
        <v>15241.3926675781</v>
      </c>
      <c r="P96" s="41">
        <v>1</v>
      </c>
      <c r="Q96" s="42" t="s">
        <v>110</v>
      </c>
      <c r="R96" s="42" t="s">
        <v>103</v>
      </c>
      <c r="S96" s="42" t="s">
        <v>77</v>
      </c>
      <c r="T96" s="42" t="s">
        <v>77</v>
      </c>
      <c r="U96" s="42" t="s">
        <v>121</v>
      </c>
      <c r="V96" s="42" t="s">
        <v>77</v>
      </c>
      <c r="W96" s="42" t="s">
        <v>77</v>
      </c>
      <c r="X96" s="42" t="s">
        <v>176</v>
      </c>
      <c r="Y96" s="42" t="s">
        <v>77</v>
      </c>
      <c r="Z96" s="42" t="s">
        <v>77</v>
      </c>
      <c r="AA96" s="42" t="s">
        <v>73</v>
      </c>
      <c r="AB96" s="42" t="s">
        <v>89</v>
      </c>
      <c r="AC96" s="42" t="s">
        <v>77</v>
      </c>
      <c r="AD96" s="42" t="s">
        <v>80</v>
      </c>
      <c r="AE96" s="42" t="s">
        <v>81</v>
      </c>
      <c r="AF96" s="42" t="s">
        <v>82</v>
      </c>
      <c r="AG96" s="42" t="s">
        <v>77</v>
      </c>
      <c r="AH96" s="42" t="s">
        <v>77</v>
      </c>
      <c r="AI96" s="42" t="s">
        <v>77</v>
      </c>
      <c r="AJ96" s="42" t="s">
        <v>77</v>
      </c>
      <c r="AK96" s="42" t="s">
        <v>90</v>
      </c>
      <c r="AL96" t="str">
        <f>VLOOKUP($Q96,武学奇术!$A:$ZZ,25,FALSE)</f>
        <v>横刀</v>
      </c>
      <c r="AM96" s="27">
        <f>VLOOKUP($Q96,武学奇术!$A:$ZZ,26,FALSE)</f>
        <v>1.4</v>
      </c>
      <c r="AN96" s="28">
        <f>VLOOKUP($Q96,武学奇术!$A:$ZZ,27,FALSE)*(1+IF(OR($AL96=$F$4,$AL96=$F$5),$B$22,0))</f>
        <v>0</v>
      </c>
      <c r="AO96" s="27">
        <f>VLOOKUP($Q96,武学奇术!$A:$ZZ,28,FALSE)</f>
        <v>2.1</v>
      </c>
      <c r="AP96" s="28">
        <f>VLOOKUP($Q96,武学奇术!$A:$ZZ,29,FALSE)*(1+IF(OR($AL96=$F$4,$AL96=$F$5),$B$22,0))</f>
        <v>0</v>
      </c>
      <c r="AQ96" s="27" cm="1">
        <f t="array" ref="AQ96">$G$3+IFERROR(VLOOKUP($AL96,$F$4:$G$7,2,FALSE),0)+VLOOKUP($Q96,武学奇术!$A:$ZZ,2,FALSE)+SUM(_xlfn.XLOOKUP($R96:$AK96,增益!$A:$A,增益!$B:$B,0))</f>
        <v>0.5289</v>
      </c>
      <c r="AR96" s="27" cm="1">
        <f t="array" ref="AR96">VLOOKUP($Q96,武学奇术!$A:$ZZ,5,FALSE)+SUM(_xlfn.XLOOKUP($R96:$AK96,增益!$A:$A,增益!$E:$E,0))</f>
        <v>0</v>
      </c>
      <c r="AS96" cm="1">
        <f t="array" ref="AS96">$D$10*(1+$AR96)+VLOOKUP($Q96,武学奇术!$A:$ZZ,3,FALSE)+SUM(_xlfn.XLOOKUP($R96:$AK96,增益!$A:$A,增益!$C:$C,0))-$I$2</f>
        <v>3648.7</v>
      </c>
      <c r="AT96" cm="1">
        <f t="array" ref="AT96">$E$10*(1+$AR96)+VLOOKUP($Q96,武学奇术!$A:$ZZ,4,FALSE)+SUM(_xlfn.XLOOKUP($R96:$AK96,增益!$A:$A,增益!$D:$D,0))-$I$2</f>
        <v>3648.7</v>
      </c>
      <c r="AU96" s="34" cm="1">
        <f t="array" ref="AU96">IF($F$10-$I$3+VLOOKUP($Q96,武学奇术!$A:$ZZ,6,FALSE)+SUM(_xlfn.XLOOKUP($R96:$AK96,增益!$A:$A,增益!$F:$F,0))&gt;0,($F$10-$I$3+VLOOKUP($Q96,武学奇术!$A:$ZZ,6,FALSE)+SUM(_xlfn.XLOOKUP($R96:$AK96,增益!$A:$A,增益!$F:$F,0)))/200,($F$10-$I$3+VLOOKUP($Q96,武学奇术!$A:$ZZ,6,FALSE)+SUM(_xlfn.XLOOKUP($R96:$AK96,增益!$A:$A,增益!$F:$F,0)))/100)</f>
        <v>0.452</v>
      </c>
      <c r="AV96" s="34" cm="1">
        <f t="array" ref="AV96">$G$10+VLOOKUP($Q96,武学奇术!$A:$ZZ,7,FALSE)+SUM(_xlfn.XLOOKUP($R96:$AK96,增益!$A:$A,增益!$G:$G,0))</f>
        <v>0</v>
      </c>
      <c r="AW96" s="27" cm="1">
        <f t="array" ref="AW96">VLOOKUP($Q96,武学奇术!$A:$ZZ,8,FALSE)+SUM(_xlfn.XLOOKUP($R96:$AK96,增益!$A:$A,增益!$H:$H,0))</f>
        <v>0</v>
      </c>
      <c r="AX96">
        <f t="shared" si="23"/>
        <v>0</v>
      </c>
      <c r="AY96">
        <f t="shared" si="24"/>
        <v>0</v>
      </c>
      <c r="AZ96" s="34" cm="1">
        <f t="array" ref="AZ96">IF($F$11-$I$4+VLOOKUP($Q96,武学奇术!$A:$ZZ,9,FALSE)+SUM(_xlfn.XLOOKUP($R96:$AK96,增益!$A:$A,增益!$I:$I,0))&gt;0,($F$11-$I$4+VLOOKUP($Q96,武学奇术!$A:$ZZ,9,FALSE)+SUM(_xlfn.XLOOKUP($R96:$AK96,增益!$A:$A,增益!$I:$I,0)))/200,($F$11-$I$4+VLOOKUP($Q96,武学奇术!$A:$ZZ,9,FALSE)+SUM(_xlfn.XLOOKUP($R96:$AK96,增益!$A:$A,增益!$I:$I,0)))/100)</f>
        <v>-0.3</v>
      </c>
      <c r="BA96" s="34" cm="1">
        <f t="array" ref="BA96">$G$11+VLOOKUP($Q96,武学奇术!$A:$ZZ,10,FALSE)+SUM(_xlfn.XLOOKUP($R96:$AK96,增益!$A:$A,增益!$J:$J,0))</f>
        <v>0</v>
      </c>
      <c r="BB96">
        <f t="shared" si="25"/>
        <v>594.1</v>
      </c>
      <c r="BC96">
        <f t="shared" si="26"/>
        <v>1604.9</v>
      </c>
      <c r="BD96" s="34" cm="1">
        <f t="array" ref="BD96">IF($F$12-$I$4+VLOOKUP($Q96,武学奇术!$A:$ZZ,11,FALSE)+SUM(_xlfn.XLOOKUP($R96:$AK96,增益!$A:$A,增益!$K:$K,0))&gt;0,($F$12-$I$4+VLOOKUP($Q96,武学奇术!$A:$ZZ,11,FALSE)+SUM(_xlfn.XLOOKUP($R96:$AK96,增益!$A:$A,增益!$K:$K,0)))/200,($F$12-$I$4+VLOOKUP($Q96,武学奇术!$A:$ZZ,11,FALSE)+SUM(_xlfn.XLOOKUP($R96:$AK96,增益!$A:$A,增益!$K:$K,0)))/100)</f>
        <v>0.09</v>
      </c>
      <c r="BE96" s="34" cm="1">
        <f t="array" ref="BE96">$G$12+VLOOKUP($Q96,武学奇术!$A:$ZZ,12,FALSE)+SUM(_xlfn.XLOOKUP($R96:$AK96,增益!$A:$A,增益!$L:$L,0))</f>
        <v>0.15</v>
      </c>
      <c r="BF96">
        <f t="shared" si="27"/>
        <v>0</v>
      </c>
      <c r="BG96">
        <f t="shared" si="28"/>
        <v>0</v>
      </c>
      <c r="BH96" s="34" cm="1">
        <f t="array" ref="BH96">IF($F$13-$I$4+VLOOKUP($Q96,武学奇术!$A:$ZZ,13,FALSE)+SUM(_xlfn.XLOOKUP($R96:$AK96,增益!$A:$A,增益!$M:$M,0))&gt;0,($F$13-$I$4+VLOOKUP($Q96,武学奇术!$A:$ZZ,13,FALSE)+SUM(_xlfn.XLOOKUP($R96:$AK96,增益!$A:$A,增益!$K:$K,0)))/200,($F$13-$I$4+VLOOKUP($Q96,武学奇术!$A:$ZZ,13,FALSE)+SUM(_xlfn.XLOOKUP($R96:$AK96,增益!$A:$A,增益!$M:$M,0)))/100)</f>
        <v>-0.3</v>
      </c>
      <c r="BI96" s="34" cm="1">
        <f t="array" ref="BI96">$G$13+VLOOKUP($Q96,武学奇术!$A:$ZZ,14,FALSE)+SUM(_xlfn.XLOOKUP($R96:$AK96,增益!$A:$A,增益!$N:$N,0))</f>
        <v>0</v>
      </c>
      <c r="BJ96">
        <f t="shared" si="29"/>
        <v>0</v>
      </c>
      <c r="BK96">
        <f t="shared" si="30"/>
        <v>0</v>
      </c>
      <c r="BL96" s="34" cm="1">
        <f t="array" ref="BL96">IF($F$14-$I$4+VLOOKUP($Q96,武学奇术!$A:$ZZ,15,FALSE)+SUM(_xlfn.XLOOKUP($R96:$AK96,增益!$A:$A,增益!$O:$O,0))&gt;0,($F$14-$I$4+VLOOKUP($Q96,武学奇术!$A:$ZZ,15,FALSE)+SUM(_xlfn.XLOOKUP($R96:$AK96,增益!$A:$A,增益!$O:$O,0)))/200,($F$14-$I$4+VLOOKUP($Q96,武学奇术!$A:$ZZ,15,FALSE)+SUM(_xlfn.XLOOKUP($R96:$AK96,增益!$A:$A,增益!$O:$O,0)))/100)</f>
        <v>-0.3</v>
      </c>
      <c r="BM96" s="34" cm="1">
        <f t="array" ref="BM96">$G$14+VLOOKUP($Q96,武学奇术!$A:$ZZ,16,FALSE)+SUM(_xlfn.XLOOKUP($R96:$AK96,增益!$A:$A,增益!$P:$P,0))</f>
        <v>0</v>
      </c>
      <c r="BN96" s="27">
        <f>MIN(IF(VLOOKUP($Q96,武学奇术!$A:$ZZ,23,FALSE)=1,100%,$B$8),100%)</f>
        <v>0.9859</v>
      </c>
      <c r="BO96" s="27" cm="1">
        <f t="array" ref="BO96">IF(VLOOKUP($Q96,武学奇术!$A:$ZZ,23,FALSE)=1,100%,MIN(80%,$B$9+VLOOKUP($Q96,武学奇术!$A:$ZZ,17,FALSE)+SUM(_xlfn.XLOOKUP($R96:$AK96,增益!$A:$A,增益!$Q:$Q,0)))+$B$11+SUM(_xlfn.XLOOKUP($R96:$AK96,增益!$A:$A,增益!$U:$U,0)))*IF(VLOOKUP($Q96,武学奇术!$A:$ZZ,24,FALSE)=1,0,1)</f>
        <v>0.8912</v>
      </c>
      <c r="BP96" s="27" cm="1">
        <f t="array" ref="BP96">1+$B$13+VLOOKUP($Q96,武学奇术!$A:$ZZ,18,FALSE)+SUM(_xlfn.XLOOKUP($R96:$AK96,增益!$A:$A,增益!$R:$R,0))</f>
        <v>2</v>
      </c>
      <c r="BQ96" s="27" cm="1">
        <f t="array" ref="BQ96">IF(VLOOKUP($Q96,武学奇术!$A:$ZZ,24,FALSE)=1,100%,MIN(40%,$B$10+VLOOKUP($Q96,武学奇术!$A:$ZZ,19,FALSE)+SUM(_xlfn.XLOOKUP($R96:$AK96,增益!$A:$A,增益!$S:$S,0)))+$B$12+SUM(_xlfn.XLOOKUP($R96:$AK96,增益!$A:$A,增益!$V:$V,0)))*IF(VLOOKUP($Q96,武学奇术!$A:$ZZ,23,FALSE)=1,0,1)</f>
        <v>0.0929</v>
      </c>
      <c r="BR96" s="27" cm="1">
        <f t="array" ref="BR96">1+$B$14+VLOOKUP($Q96,武学奇术!$A:$ZZ,20,FALSE)+SUM(_xlfn.XLOOKUP($R96:$AK96,增益!$A:$A,增益!$T:$T,0))</f>
        <v>1.35</v>
      </c>
      <c r="BS96" s="27">
        <f t="shared" si="31"/>
        <v>0.87863408</v>
      </c>
      <c r="BT96" s="27">
        <f t="shared" si="32"/>
        <v>0.01567581</v>
      </c>
      <c r="BU96" s="27">
        <f>IF(VLOOKUP($Q96,武学奇术!$A:$ZZ,22,FALSE)=1,0,(1-$BN96))*(1-$BQ96)</f>
        <v>0.01279011</v>
      </c>
      <c r="BV96" s="27" cm="1">
        <f t="array" ref="BV96">SUM(_xlfn.XLOOKUP($R96:$AK96,增益!$A:$A,增益!$W:$W,0))+$I$5</f>
        <v>0.11</v>
      </c>
    </row>
    <row r="97" spans="1:74">
      <c r="A97" s="4" t="s">
        <v>171</v>
      </c>
      <c r="B97" s="4">
        <v>2.3</v>
      </c>
      <c r="C97" s="41"/>
      <c r="D97" s="41"/>
      <c r="E97" s="41"/>
      <c r="F97" s="41" t="s">
        <v>172</v>
      </c>
      <c r="K97" s="40">
        <f t="shared" si="34"/>
        <v>30937.1456423335</v>
      </c>
      <c r="L97" s="40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BP97*$P97*(1+IF(VLOOKUP($Q97,武学奇术!$A:$ZZ,30,FALSE)="蓄力技",$B$21,0))*(1+$BV97)</f>
        <v>32086.9519448725</v>
      </c>
      <c r="M97" s="40">
        <f>(($AT97*$AM97+$AN97)*(1+$AU97)*(1+$AV97)+($AY97*IF($G$1="鸣金",$AO97,$AM97)+IF($G$1="鸣金",$AP97*1.5,0))*(1+$AZ97)*(1+$BA97)+($BC97*IF($G$1="裂石",$AO97,$AM97)+IF($G$1="裂石",$AP97*1.5,0))*(1+$BD97)*(1+$BE97)+($BG97*IF($G$1="牵丝",$AO97,$AM97)+IF($G$1="牵丝",$AP97*1.5,0))*(1+$BH97)*(1+$BI97)+($BK97*IF($G$1="破竹",$AO97,$AM97)+IF($G$1="破竹",$AP97*1.5,0))*(1+$BL97)*(1+$BM97))*(1+$AQ97)*$BR97*$P97*(1+IF(VLOOKUP($Q97,武学奇术!$A:$ZZ,30,FALSE)="蓄力技",$B$21,0))*(1+$BV97)</f>
        <v>24759.6471607279</v>
      </c>
      <c r="N97" s="40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P97*(1+IF(VLOOKUP($Q97,武学奇术!$A:$ZZ,30,FALSE)="蓄力技",$B$21,0))*(1+$BV97)</f>
        <v>16454.8471512167</v>
      </c>
      <c r="O97" s="40">
        <f>((($AS97*$AM97+$AN97)*(1+$AU97)*(1+$AV97)+($AX97*IF($G$1="鸣金",$AO97,$AM97)+IF($G$1="鸣金",$AP97*1.5,0))*(1+$AZ97)*(1+$BA97)+($BB97*IF($G$1="裂石",$AO97,$AM97)+IF($G$1="裂石",$AP97*1.5,0))*(1+$BD97)*(1+$BE97)+($BF97*IF($G$1="牵丝",$AO97,$AM97)+IF($G$1="牵丝",$AP97*1.5,0))*(1+$BH97)*(1+$BI97)+($BJ97*IF($G$1="破竹",$AO97,$AM97)+IF($G$1="破竹",$AP97*1.5,0))*(1+$BL97)*(1+$BM97))*(1+$AQ97))*$P97*(1+IF(VLOOKUP($Q97,武学奇术!$A:$ZZ,30,FALSE)="蓄力技",$B$21,0))*(1+$BV97)</f>
        <v>14569.2149241164</v>
      </c>
      <c r="P97" s="41">
        <v>1</v>
      </c>
      <c r="Q97" s="42" t="s">
        <v>162</v>
      </c>
      <c r="R97" s="42" t="s">
        <v>103</v>
      </c>
      <c r="S97" s="42" t="s">
        <v>77</v>
      </c>
      <c r="T97" s="42" t="s">
        <v>77</v>
      </c>
      <c r="U97" s="42" t="s">
        <v>87</v>
      </c>
      <c r="V97" s="42" t="s">
        <v>77</v>
      </c>
      <c r="W97" s="42" t="s">
        <v>77</v>
      </c>
      <c r="X97" s="42" t="s">
        <v>176</v>
      </c>
      <c r="Y97" s="42" t="s">
        <v>77</v>
      </c>
      <c r="Z97" s="42" t="s">
        <v>77</v>
      </c>
      <c r="AA97" s="42" t="s">
        <v>77</v>
      </c>
      <c r="AB97" s="42" t="s">
        <v>89</v>
      </c>
      <c r="AC97" s="42" t="s">
        <v>77</v>
      </c>
      <c r="AD97" s="42" t="s">
        <v>80</v>
      </c>
      <c r="AE97" s="42" t="s">
        <v>81</v>
      </c>
      <c r="AF97" s="42" t="s">
        <v>82</v>
      </c>
      <c r="AG97" s="42" t="s">
        <v>77</v>
      </c>
      <c r="AH97" s="42" t="s">
        <v>77</v>
      </c>
      <c r="AI97" s="42" t="s">
        <v>77</v>
      </c>
      <c r="AJ97" s="42" t="s">
        <v>77</v>
      </c>
      <c r="AK97" s="42" t="s">
        <v>90</v>
      </c>
      <c r="AL97" t="str">
        <f>VLOOKUP($Q97,武学奇术!$A:$ZZ,25,FALSE)</f>
        <v>横刀</v>
      </c>
      <c r="AM97" s="27">
        <f>VLOOKUP($Q97,武学奇术!$A:$ZZ,26,FALSE)</f>
        <v>1.2338</v>
      </c>
      <c r="AN97" s="28">
        <f>VLOOKUP($Q97,武学奇术!$A:$ZZ,27,FALSE)*(1+IF(OR($AL97=$F$4,$AL97=$F$5),$B$22,0))</f>
        <v>513</v>
      </c>
      <c r="AO97" s="27">
        <f>VLOOKUP($Q97,武学奇术!$A:$ZZ,28,FALSE)</f>
        <v>1.8507</v>
      </c>
      <c r="AP97" s="28">
        <f>VLOOKUP($Q97,武学奇术!$A:$ZZ,29,FALSE)*(1+IF(OR($AL97=$F$4,$AL97=$F$5),$B$22,0))</f>
        <v>279</v>
      </c>
      <c r="AQ97" s="27" cm="1">
        <f t="array" ref="AQ97">$G$3+IFERROR(VLOOKUP($AL97,$F$4:$G$7,2,FALSE),0)+VLOOKUP($Q97,武学奇术!$A:$ZZ,2,FALSE)+SUM(_xlfn.XLOOKUP($R97:$AK97,增益!$A:$A,增益!$B:$B,0))</f>
        <v>0.4489</v>
      </c>
      <c r="AR97" s="27" cm="1">
        <f t="array" ref="AR97">VLOOKUP($Q97,武学奇术!$A:$ZZ,5,FALSE)+SUM(_xlfn.XLOOKUP($R97:$AK97,增益!$A:$A,增益!$E:$E,0))</f>
        <v>0</v>
      </c>
      <c r="AS97" cm="1">
        <f t="array" ref="AS97">$D$10*(1+$AR97)+VLOOKUP($Q97,武学奇术!$A:$ZZ,3,FALSE)+SUM(_xlfn.XLOOKUP($R97:$AK97,增益!$A:$A,增益!$C:$C,0))-$I$2</f>
        <v>3648.7</v>
      </c>
      <c r="AT97" cm="1">
        <f t="array" ref="AT97">$E$10*(1+$AR97)+VLOOKUP($Q97,武学奇术!$A:$ZZ,4,FALSE)+SUM(_xlfn.XLOOKUP($R97:$AK97,增益!$A:$A,增益!$D:$D,0))-$I$2</f>
        <v>3648.7</v>
      </c>
      <c r="AU97" s="34" cm="1">
        <f t="array" ref="AU97">IF($F$10-$I$3+VLOOKUP($Q97,武学奇术!$A:$ZZ,6,FALSE)+SUM(_xlfn.XLOOKUP($R97:$AK97,增益!$A:$A,增益!$F:$F,0))&gt;0,($F$10-$I$3+VLOOKUP($Q97,武学奇术!$A:$ZZ,6,FALSE)+SUM(_xlfn.XLOOKUP($R97:$AK97,增益!$A:$A,增益!$F:$F,0)))/200,($F$10-$I$3+VLOOKUP($Q97,武学奇术!$A:$ZZ,6,FALSE)+SUM(_xlfn.XLOOKUP($R97:$AK97,增益!$A:$A,增益!$F:$F,0)))/100)</f>
        <v>0.427</v>
      </c>
      <c r="AV97" s="34" cm="1">
        <f t="array" ref="AV97">$G$10+VLOOKUP($Q97,武学奇术!$A:$ZZ,7,FALSE)+SUM(_xlfn.XLOOKUP($R97:$AK97,增益!$A:$A,增益!$G:$G,0))</f>
        <v>0</v>
      </c>
      <c r="AW97" s="27" cm="1">
        <f t="array" ref="AW97">VLOOKUP($Q97,武学奇术!$A:$ZZ,8,FALSE)+SUM(_xlfn.XLOOKUP($R97:$AK97,增益!$A:$A,增益!$H:$H,0))</f>
        <v>0</v>
      </c>
      <c r="AX97">
        <f t="shared" si="23"/>
        <v>0</v>
      </c>
      <c r="AY97">
        <f t="shared" si="24"/>
        <v>0</v>
      </c>
      <c r="AZ97" s="34" cm="1">
        <f t="array" ref="AZ97">IF($F$11-$I$4+VLOOKUP($Q97,武学奇术!$A:$ZZ,9,FALSE)+SUM(_xlfn.XLOOKUP($R97:$AK97,增益!$A:$A,增益!$I:$I,0))&gt;0,($F$11-$I$4+VLOOKUP($Q97,武学奇术!$A:$ZZ,9,FALSE)+SUM(_xlfn.XLOOKUP($R97:$AK97,增益!$A:$A,增益!$I:$I,0)))/200,($F$11-$I$4+VLOOKUP($Q97,武学奇术!$A:$ZZ,9,FALSE)+SUM(_xlfn.XLOOKUP($R97:$AK97,增益!$A:$A,增益!$I:$I,0)))/100)</f>
        <v>-0.3</v>
      </c>
      <c r="BA97" s="34" cm="1">
        <f t="array" ref="BA97">$G$11+VLOOKUP($Q97,武学奇术!$A:$ZZ,10,FALSE)+SUM(_xlfn.XLOOKUP($R97:$AK97,增益!$A:$A,增益!$J:$J,0))</f>
        <v>0</v>
      </c>
      <c r="BB97">
        <f t="shared" si="25"/>
        <v>594.1</v>
      </c>
      <c r="BC97">
        <f t="shared" si="26"/>
        <v>1604.9</v>
      </c>
      <c r="BD97" s="34" cm="1">
        <f t="array" ref="BD97">IF($F$12-$I$4+VLOOKUP($Q97,武学奇术!$A:$ZZ,11,FALSE)+SUM(_xlfn.XLOOKUP($R97:$AK97,增益!$A:$A,增益!$K:$K,0))&gt;0,($F$12-$I$4+VLOOKUP($Q97,武学奇术!$A:$ZZ,11,FALSE)+SUM(_xlfn.XLOOKUP($R97:$AK97,增益!$A:$A,增益!$K:$K,0)))/200,($F$12-$I$4+VLOOKUP($Q97,武学奇术!$A:$ZZ,11,FALSE)+SUM(_xlfn.XLOOKUP($R97:$AK97,增益!$A:$A,增益!$K:$K,0)))/100)</f>
        <v>0.09</v>
      </c>
      <c r="BE97" s="34" cm="1">
        <f t="array" ref="BE97">$G$12+VLOOKUP($Q97,武学奇术!$A:$ZZ,12,FALSE)+SUM(_xlfn.XLOOKUP($R97:$AK97,增益!$A:$A,增益!$L:$L,0))</f>
        <v>0.15</v>
      </c>
      <c r="BF97">
        <f t="shared" si="27"/>
        <v>0</v>
      </c>
      <c r="BG97">
        <f t="shared" si="28"/>
        <v>0</v>
      </c>
      <c r="BH97" s="34" cm="1">
        <f t="array" ref="BH97">IF($F$13-$I$4+VLOOKUP($Q97,武学奇术!$A:$ZZ,13,FALSE)+SUM(_xlfn.XLOOKUP($R97:$AK97,增益!$A:$A,增益!$M:$M,0))&gt;0,($F$13-$I$4+VLOOKUP($Q97,武学奇术!$A:$ZZ,13,FALSE)+SUM(_xlfn.XLOOKUP($R97:$AK97,增益!$A:$A,增益!$K:$K,0)))/200,($F$13-$I$4+VLOOKUP($Q97,武学奇术!$A:$ZZ,13,FALSE)+SUM(_xlfn.XLOOKUP($R97:$AK97,增益!$A:$A,增益!$M:$M,0)))/100)</f>
        <v>-0.3</v>
      </c>
      <c r="BI97" s="34" cm="1">
        <f t="array" ref="BI97">$G$13+VLOOKUP($Q97,武学奇术!$A:$ZZ,14,FALSE)+SUM(_xlfn.XLOOKUP($R97:$AK97,增益!$A:$A,增益!$N:$N,0))</f>
        <v>0</v>
      </c>
      <c r="BJ97">
        <f t="shared" si="29"/>
        <v>0</v>
      </c>
      <c r="BK97">
        <f t="shared" si="30"/>
        <v>0</v>
      </c>
      <c r="BL97" s="34" cm="1">
        <f t="array" ref="BL97">IF($F$14-$I$4+VLOOKUP($Q97,武学奇术!$A:$ZZ,15,FALSE)+SUM(_xlfn.XLOOKUP($R97:$AK97,增益!$A:$A,增益!$O:$O,0))&gt;0,($F$14-$I$4+VLOOKUP($Q97,武学奇术!$A:$ZZ,15,FALSE)+SUM(_xlfn.XLOOKUP($R97:$AK97,增益!$A:$A,增益!$O:$O,0)))/200,($F$14-$I$4+VLOOKUP($Q97,武学奇术!$A:$ZZ,15,FALSE)+SUM(_xlfn.XLOOKUP($R97:$AK97,增益!$A:$A,增益!$O:$O,0)))/100)</f>
        <v>-0.3</v>
      </c>
      <c r="BM97" s="34" cm="1">
        <f t="array" ref="BM97">$G$14+VLOOKUP($Q97,武学奇术!$A:$ZZ,16,FALSE)+SUM(_xlfn.XLOOKUP($R97:$AK97,增益!$A:$A,增益!$P:$P,0))</f>
        <v>0</v>
      </c>
      <c r="BN97" s="27">
        <f>MIN(IF(VLOOKUP($Q97,武学奇术!$A:$ZZ,23,FALSE)=1,100%,$B$8),100%)</f>
        <v>0.9859</v>
      </c>
      <c r="BO97" s="27" cm="1">
        <f t="array" ref="BO97">IF(VLOOKUP($Q97,武学奇术!$A:$ZZ,23,FALSE)=1,100%,MIN(80%,$B$9+VLOOKUP($Q97,武学奇术!$A:$ZZ,17,FALSE)+SUM(_xlfn.XLOOKUP($R97:$AK97,增益!$A:$A,增益!$Q:$Q,0)))+$B$11+SUM(_xlfn.XLOOKUP($R97:$AK97,增益!$A:$A,增益!$U:$U,0)))*IF(VLOOKUP($Q97,武学奇术!$A:$ZZ,24,FALSE)=1,0,1)</f>
        <v>0.8912</v>
      </c>
      <c r="BP97" s="27" cm="1">
        <f t="array" ref="BP97">1+$B$13+VLOOKUP($Q97,武学奇术!$A:$ZZ,18,FALSE)+SUM(_xlfn.XLOOKUP($R97:$AK97,增益!$A:$A,增益!$R:$R,0))</f>
        <v>1.95</v>
      </c>
      <c r="BQ97" s="27" cm="1">
        <f t="array" ref="BQ97">IF(VLOOKUP($Q97,武学奇术!$A:$ZZ,24,FALSE)=1,100%,MIN(40%,$B$10+VLOOKUP($Q97,武学奇术!$A:$ZZ,19,FALSE)+SUM(_xlfn.XLOOKUP($R97:$AK97,增益!$A:$A,增益!$S:$S,0)))+$B$12+SUM(_xlfn.XLOOKUP($R97:$AK97,增益!$A:$A,增益!$V:$V,0)))*IF(VLOOKUP($Q97,武学奇术!$A:$ZZ,23,FALSE)=1,0,1)</f>
        <v>0.0929</v>
      </c>
      <c r="BR97" s="27" cm="1">
        <f t="array" ref="BR97">1+$B$14+VLOOKUP($Q97,武学奇术!$A:$ZZ,20,FALSE)+SUM(_xlfn.XLOOKUP($R97:$AK97,增益!$A:$A,增益!$T:$T,0))</f>
        <v>1.35</v>
      </c>
      <c r="BS97" s="27">
        <f t="shared" si="31"/>
        <v>0.87863408</v>
      </c>
      <c r="BT97" s="27">
        <f t="shared" si="32"/>
        <v>0.01567581</v>
      </c>
      <c r="BU97" s="27">
        <f>IF(VLOOKUP($Q97,武学奇术!$A:$ZZ,22,FALSE)=1,0,(1-$BN97))*(1-$BQ97)</f>
        <v>0.01279011</v>
      </c>
      <c r="BV97" s="27" cm="1">
        <f t="array" ref="BV97">SUM(_xlfn.XLOOKUP($R97:$AK97,增益!$A:$A,增益!$W:$W,0))+$I$5</f>
        <v>0.11</v>
      </c>
    </row>
    <row r="98" spans="1:74">
      <c r="A98" s="4" t="s">
        <v>171</v>
      </c>
      <c r="B98" s="4">
        <v>2.3</v>
      </c>
      <c r="C98" s="41"/>
      <c r="D98" s="41"/>
      <c r="E98" s="41"/>
      <c r="F98" s="41"/>
      <c r="K98" s="40">
        <f t="shared" si="34"/>
        <v>96067.291835746</v>
      </c>
      <c r="L98" s="40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BP98*$P98*(1+IF(VLOOKUP($Q98,武学奇术!$A:$ZZ,30,FALSE)="蓄力技",$B$21,0))*(1+$BV98)</f>
        <v>99637.5986663952</v>
      </c>
      <c r="M98" s="40">
        <f>(($AT98*$AM98+$AN98)*(1+$AU98)*(1+$AV98)+($AY98*IF($G$1="鸣金",$AO98,$AM98)+IF($G$1="鸣金",$AP98*1.5,0))*(1+$AZ98)*(1+$BA98)+($BC98*IF($G$1="裂石",$AO98,$AM98)+IF($G$1="裂石",$AP98*1.5,0))*(1+$BD98)*(1+$BE98)+($BG98*IF($G$1="牵丝",$AO98,$AM98)+IF($G$1="牵丝",$AP98*1.5,0))*(1+$BH98)*(1+$BI98)+($BK98*IF($G$1="破竹",$AO98,$AM98)+IF($G$1="破竹",$AP98*1.5,0))*(1+$BL98)*(1+$BM98))*(1+$AQ98)*$BR98*$P98*(1+IF(VLOOKUP($Q98,武学奇术!$A:$ZZ,30,FALSE)="蓄力技",$B$21,0))*(1+$BV98)</f>
        <v>76885.951797823</v>
      </c>
      <c r="N98" s="40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P98*(1+IF(VLOOKUP($Q98,武学奇术!$A:$ZZ,30,FALSE)="蓄力技",$B$21,0))*(1+$BV98)</f>
        <v>51096.2044443052</v>
      </c>
      <c r="O98" s="40">
        <f>((($AS98*$AM98+$AN98)*(1+$AU98)*(1+$AV98)+($AX98*IF($G$1="鸣金",$AO98,$AM98)+IF($G$1="鸣金",$AP98*1.5,0))*(1+$AZ98)*(1+$BA98)+($BB98*IF($G$1="裂石",$AO98,$AM98)+IF($G$1="裂石",$AP98*1.5,0))*(1+$BD98)*(1+$BE98)+($BF98*IF($G$1="牵丝",$AO98,$AM98)+IF($G$1="牵丝",$AP98*1.5,0))*(1+$BH98)*(1+$BI98)+($BJ98*IF($G$1="破竹",$AO98,$AM98)+IF($G$1="破竹",$AP98*1.5,0))*(1+$BL98)*(1+$BM98))*(1+$AQ98))*$P98*(1+IF(VLOOKUP($Q98,武学奇术!$A:$ZZ,30,FALSE)="蓄力技",$B$21,0))*(1+$BV98)</f>
        <v>45239.8520013342</v>
      </c>
      <c r="P98" s="41">
        <v>1</v>
      </c>
      <c r="Q98" s="42" t="s">
        <v>164</v>
      </c>
      <c r="R98" s="42" t="s">
        <v>103</v>
      </c>
      <c r="S98" s="42" t="s">
        <v>77</v>
      </c>
      <c r="T98" s="42" t="s">
        <v>77</v>
      </c>
      <c r="U98" s="42" t="s">
        <v>87</v>
      </c>
      <c r="V98" s="42" t="s">
        <v>77</v>
      </c>
      <c r="W98" s="42" t="s">
        <v>78</v>
      </c>
      <c r="X98" s="42" t="s">
        <v>176</v>
      </c>
      <c r="Y98" s="42" t="s">
        <v>77</v>
      </c>
      <c r="Z98" s="42" t="s">
        <v>77</v>
      </c>
      <c r="AA98" s="42" t="s">
        <v>77</v>
      </c>
      <c r="AB98" s="42" t="s">
        <v>95</v>
      </c>
      <c r="AC98" s="42" t="s">
        <v>77</v>
      </c>
      <c r="AD98" s="42" t="s">
        <v>80</v>
      </c>
      <c r="AE98" s="42" t="s">
        <v>81</v>
      </c>
      <c r="AF98" s="42" t="s">
        <v>82</v>
      </c>
      <c r="AG98" s="42" t="s">
        <v>77</v>
      </c>
      <c r="AH98" s="42" t="s">
        <v>77</v>
      </c>
      <c r="AI98" s="42" t="s">
        <v>77</v>
      </c>
      <c r="AJ98" s="42" t="s">
        <v>77</v>
      </c>
      <c r="AK98" s="42" t="s">
        <v>90</v>
      </c>
      <c r="AL98" t="str">
        <f>VLOOKUP($Q98,武学奇术!$A:$ZZ,25,FALSE)</f>
        <v>横刀</v>
      </c>
      <c r="AM98" s="27">
        <f>VLOOKUP($Q98,武学奇术!$A:$ZZ,26,FALSE)</f>
        <v>3.7797</v>
      </c>
      <c r="AN98" s="28">
        <f>VLOOKUP($Q98,武学奇术!$A:$ZZ,27,FALSE)*(1+IF(OR($AL98=$F$4,$AL98=$F$5),$B$22,0))</f>
        <v>1567.5</v>
      </c>
      <c r="AO98" s="27">
        <f>VLOOKUP($Q98,武学奇术!$A:$ZZ,28,FALSE)</f>
        <v>5.6696</v>
      </c>
      <c r="AP98" s="28">
        <f>VLOOKUP($Q98,武学奇术!$A:$ZZ,29,FALSE)*(1+IF(OR($AL98=$F$4,$AL98=$F$5),$B$22,0))</f>
        <v>855</v>
      </c>
      <c r="AQ98" s="27" cm="1">
        <f t="array" ref="AQ98">$G$3+IFERROR(VLOOKUP($AL98,$F$4:$G$7,2,FALSE),0)+VLOOKUP($Q98,武学奇术!$A:$ZZ,2,FALSE)+SUM(_xlfn.XLOOKUP($R98:$AK98,增益!$A:$A,增益!$B:$B,0))</f>
        <v>0.4689</v>
      </c>
      <c r="AR98" s="27" cm="1">
        <f t="array" ref="AR98">VLOOKUP($Q98,武学奇术!$A:$ZZ,5,FALSE)+SUM(_xlfn.XLOOKUP($R98:$AK98,增益!$A:$A,增益!$E:$E,0))</f>
        <v>0</v>
      </c>
      <c r="AS98" cm="1">
        <f t="array" ref="AS98">$D$10*(1+$AR98)+VLOOKUP($Q98,武学奇术!$A:$ZZ,3,FALSE)+SUM(_xlfn.XLOOKUP($R98:$AK98,增益!$A:$A,增益!$C:$C,0))-$I$2</f>
        <v>3648.7</v>
      </c>
      <c r="AT98" cm="1">
        <f t="array" ref="AT98">$E$10*(1+$AR98)+VLOOKUP($Q98,武学奇术!$A:$ZZ,4,FALSE)+SUM(_xlfn.XLOOKUP($R98:$AK98,增益!$A:$A,增益!$D:$D,0))-$I$2</f>
        <v>3648.7</v>
      </c>
      <c r="AU98" s="34" cm="1">
        <f t="array" ref="AU98">IF($F$10-$I$3+VLOOKUP($Q98,武学奇术!$A:$ZZ,6,FALSE)+SUM(_xlfn.XLOOKUP($R98:$AK98,增益!$A:$A,增益!$F:$F,0))&gt;0,($F$10-$I$3+VLOOKUP($Q98,武学奇术!$A:$ZZ,6,FALSE)+SUM(_xlfn.XLOOKUP($R98:$AK98,增益!$A:$A,增益!$F:$F,0)))/200,($F$10-$I$3+VLOOKUP($Q98,武学奇术!$A:$ZZ,6,FALSE)+SUM(_xlfn.XLOOKUP($R98:$AK98,增益!$A:$A,增益!$F:$F,0)))/100)</f>
        <v>0.427</v>
      </c>
      <c r="AV98" s="34" cm="1">
        <f t="array" ref="AV98">$G$10+VLOOKUP($Q98,武学奇术!$A:$ZZ,7,FALSE)+SUM(_xlfn.XLOOKUP($R98:$AK98,增益!$A:$A,增益!$G:$G,0))</f>
        <v>0</v>
      </c>
      <c r="AW98" s="27" cm="1">
        <f t="array" ref="AW98">VLOOKUP($Q98,武学奇术!$A:$ZZ,8,FALSE)+SUM(_xlfn.XLOOKUP($R98:$AK98,增益!$A:$A,增益!$H:$H,0))</f>
        <v>0</v>
      </c>
      <c r="AX98">
        <f t="shared" si="23"/>
        <v>0</v>
      </c>
      <c r="AY98">
        <f t="shared" si="24"/>
        <v>0</v>
      </c>
      <c r="AZ98" s="34" cm="1">
        <f t="array" ref="AZ98">IF($F$11-$I$4+VLOOKUP($Q98,武学奇术!$A:$ZZ,9,FALSE)+SUM(_xlfn.XLOOKUP($R98:$AK98,增益!$A:$A,增益!$I:$I,0))&gt;0,($F$11-$I$4+VLOOKUP($Q98,武学奇术!$A:$ZZ,9,FALSE)+SUM(_xlfn.XLOOKUP($R98:$AK98,增益!$A:$A,增益!$I:$I,0)))/200,($F$11-$I$4+VLOOKUP($Q98,武学奇术!$A:$ZZ,9,FALSE)+SUM(_xlfn.XLOOKUP($R98:$AK98,增益!$A:$A,增益!$I:$I,0)))/100)</f>
        <v>-0.3</v>
      </c>
      <c r="BA98" s="34" cm="1">
        <f t="array" ref="BA98">$G$11+VLOOKUP($Q98,武学奇术!$A:$ZZ,10,FALSE)+SUM(_xlfn.XLOOKUP($R98:$AK98,增益!$A:$A,增益!$J:$J,0))</f>
        <v>0</v>
      </c>
      <c r="BB98">
        <f t="shared" si="25"/>
        <v>594.1</v>
      </c>
      <c r="BC98">
        <f t="shared" si="26"/>
        <v>1604.9</v>
      </c>
      <c r="BD98" s="34" cm="1">
        <f t="array" ref="BD98">IF($F$12-$I$4+VLOOKUP($Q98,武学奇术!$A:$ZZ,11,FALSE)+SUM(_xlfn.XLOOKUP($R98:$AK98,增益!$A:$A,增益!$K:$K,0))&gt;0,($F$12-$I$4+VLOOKUP($Q98,武学奇术!$A:$ZZ,11,FALSE)+SUM(_xlfn.XLOOKUP($R98:$AK98,增益!$A:$A,增益!$K:$K,0)))/200,($F$12-$I$4+VLOOKUP($Q98,武学奇术!$A:$ZZ,11,FALSE)+SUM(_xlfn.XLOOKUP($R98:$AK98,增益!$A:$A,增益!$K:$K,0)))/100)</f>
        <v>0.09</v>
      </c>
      <c r="BE98" s="34" cm="1">
        <f t="array" ref="BE98">$G$12+VLOOKUP($Q98,武学奇术!$A:$ZZ,12,FALSE)+SUM(_xlfn.XLOOKUP($R98:$AK98,增益!$A:$A,增益!$L:$L,0))</f>
        <v>0.15</v>
      </c>
      <c r="BF98">
        <f t="shared" si="27"/>
        <v>0</v>
      </c>
      <c r="BG98">
        <f t="shared" si="28"/>
        <v>0</v>
      </c>
      <c r="BH98" s="34" cm="1">
        <f t="array" ref="BH98">IF($F$13-$I$4+VLOOKUP($Q98,武学奇术!$A:$ZZ,13,FALSE)+SUM(_xlfn.XLOOKUP($R98:$AK98,增益!$A:$A,增益!$M:$M,0))&gt;0,($F$13-$I$4+VLOOKUP($Q98,武学奇术!$A:$ZZ,13,FALSE)+SUM(_xlfn.XLOOKUP($R98:$AK98,增益!$A:$A,增益!$K:$K,0)))/200,($F$13-$I$4+VLOOKUP($Q98,武学奇术!$A:$ZZ,13,FALSE)+SUM(_xlfn.XLOOKUP($R98:$AK98,增益!$A:$A,增益!$M:$M,0)))/100)</f>
        <v>-0.3</v>
      </c>
      <c r="BI98" s="34" cm="1">
        <f t="array" ref="BI98">$G$13+VLOOKUP($Q98,武学奇术!$A:$ZZ,14,FALSE)+SUM(_xlfn.XLOOKUP($R98:$AK98,增益!$A:$A,增益!$N:$N,0))</f>
        <v>0</v>
      </c>
      <c r="BJ98">
        <f t="shared" si="29"/>
        <v>0</v>
      </c>
      <c r="BK98">
        <f t="shared" si="30"/>
        <v>0</v>
      </c>
      <c r="BL98" s="34" cm="1">
        <f t="array" ref="BL98">IF($F$14-$I$4+VLOOKUP($Q98,武学奇术!$A:$ZZ,15,FALSE)+SUM(_xlfn.XLOOKUP($R98:$AK98,增益!$A:$A,增益!$O:$O,0))&gt;0,($F$14-$I$4+VLOOKUP($Q98,武学奇术!$A:$ZZ,15,FALSE)+SUM(_xlfn.XLOOKUP($R98:$AK98,增益!$A:$A,增益!$O:$O,0)))/200,($F$14-$I$4+VLOOKUP($Q98,武学奇术!$A:$ZZ,15,FALSE)+SUM(_xlfn.XLOOKUP($R98:$AK98,增益!$A:$A,增益!$O:$O,0)))/100)</f>
        <v>-0.3</v>
      </c>
      <c r="BM98" s="34" cm="1">
        <f t="array" ref="BM98">$G$14+VLOOKUP($Q98,武学奇术!$A:$ZZ,16,FALSE)+SUM(_xlfn.XLOOKUP($R98:$AK98,增益!$A:$A,增益!$P:$P,0))</f>
        <v>0</v>
      </c>
      <c r="BN98" s="27">
        <f>MIN(IF(VLOOKUP($Q98,武学奇术!$A:$ZZ,23,FALSE)=1,100%,$B$8),100%)</f>
        <v>0.9859</v>
      </c>
      <c r="BO98" s="27" cm="1">
        <f t="array" ref="BO98">IF(VLOOKUP($Q98,武学奇术!$A:$ZZ,23,FALSE)=1,100%,MIN(80%,$B$9+VLOOKUP($Q98,武学奇术!$A:$ZZ,17,FALSE)+SUM(_xlfn.XLOOKUP($R98:$AK98,增益!$A:$A,增益!$Q:$Q,0)))+$B$11+SUM(_xlfn.XLOOKUP($R98:$AK98,增益!$A:$A,增益!$U:$U,0)))*IF(VLOOKUP($Q98,武学奇术!$A:$ZZ,24,FALSE)=1,0,1)</f>
        <v>0.8912</v>
      </c>
      <c r="BP98" s="27" cm="1">
        <f t="array" ref="BP98">1+$B$13+VLOOKUP($Q98,武学奇术!$A:$ZZ,18,FALSE)+SUM(_xlfn.XLOOKUP($R98:$AK98,增益!$A:$A,增益!$R:$R,0))</f>
        <v>1.95</v>
      </c>
      <c r="BQ98" s="27" cm="1">
        <f t="array" ref="BQ98">IF(VLOOKUP($Q98,武学奇术!$A:$ZZ,24,FALSE)=1,100%,MIN(40%,$B$10+VLOOKUP($Q98,武学奇术!$A:$ZZ,19,FALSE)+SUM(_xlfn.XLOOKUP($R98:$AK98,增益!$A:$A,增益!$S:$S,0)))+$B$12+SUM(_xlfn.XLOOKUP($R98:$AK98,增益!$A:$A,增益!$V:$V,0)))*IF(VLOOKUP($Q98,武学奇术!$A:$ZZ,23,FALSE)=1,0,1)</f>
        <v>0.0929</v>
      </c>
      <c r="BR98" s="27" cm="1">
        <f t="array" ref="BR98">1+$B$14+VLOOKUP($Q98,武学奇术!$A:$ZZ,20,FALSE)+SUM(_xlfn.XLOOKUP($R98:$AK98,增益!$A:$A,增益!$T:$T,0))</f>
        <v>1.35</v>
      </c>
      <c r="BS98" s="27">
        <f t="shared" si="31"/>
        <v>0.87863408</v>
      </c>
      <c r="BT98" s="27">
        <f t="shared" si="32"/>
        <v>0.01567581</v>
      </c>
      <c r="BU98" s="27">
        <f>IF(VLOOKUP($Q98,武学奇术!$A:$ZZ,22,FALSE)=1,0,(1-$BN98))*(1-$BQ98)</f>
        <v>0.01279011</v>
      </c>
      <c r="BV98" s="27" cm="1">
        <f t="array" ref="BV98">SUM(_xlfn.XLOOKUP($R98:$AK98,增益!$A:$A,增益!$W:$W,0))+$I$5</f>
        <v>0.11</v>
      </c>
    </row>
    <row r="99" spans="1:74">
      <c r="A99" s="4"/>
      <c r="B99" s="4"/>
      <c r="K99" s="40">
        <f t="shared" si="34"/>
        <v>63791.152319497</v>
      </c>
      <c r="L99" s="40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BP99*$P99*(1+IF(VLOOKUP($Q99,武学奇术!$A:$ZZ,30,FALSE)="蓄力技",$B$21,0))*(1+$BV99)</f>
        <v>66314.4283642434</v>
      </c>
      <c r="M99" s="40">
        <f>(($AT99*$AM99+$AN99)*(1+$AU99)*(1+$AV99)+($AY99*IF($G$1="鸣金",$AO99,$AM99)+IF($G$1="鸣金",$AP99*1.5,0))*(1+$AZ99)*(1+$BA99)+($BC99*IF($G$1="裂石",$AO99,$AM99)+IF($G$1="裂石",$AP99*1.5,0))*(1+$BD99)*(1+$BE99)+($BG99*IF($G$1="牵丝",$AO99,$AM99)+IF($G$1="牵丝",$AP99*1.5,0))*(1+$BH99)*(1+$BI99)+($BK99*IF($G$1="破竹",$AO99,$AM99)+IF($G$1="破竹",$AP99*1.5,0))*(1+$BL99)*(1+$BM99))*(1+$AQ99)*$BR99*$P99*(1+IF(VLOOKUP($Q99,武学奇术!$A:$ZZ,30,FALSE)="蓄力技",$B$21,0))*(1+$BV99)</f>
        <v>49829.8886588834</v>
      </c>
      <c r="N99" s="40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P99*(1+IF(VLOOKUP($Q99,武学奇术!$A:$ZZ,30,FALSE)="蓄力技",$B$21,0))*(1+$BV99)</f>
        <v>33157.2141821217</v>
      </c>
      <c r="O99" s="40">
        <f>((($AS99*$AM99+$AN99)*(1+$AU99)*(1+$AV99)+($AX99*IF($G$1="鸣金",$AO99,$AM99)+IF($G$1="鸣金",$AP99*1.5,0))*(1+$AZ99)*(1+$BA99)+($BB99*IF($G$1="裂石",$AO99,$AM99)+IF($G$1="裂石",$AP99*1.5,0))*(1+$BD99)*(1+$BE99)+($BF99*IF($G$1="牵丝",$AO99,$AM99)+IF($G$1="牵丝",$AP99*1.5,0))*(1+$BH99)*(1+$BI99)+($BJ99*IF($G$1="破竹",$AO99,$AM99)+IF($G$1="破竹",$AP99*1.5,0))*(1+$BL99)*(1+$BM99))*(1+$AQ99))*$P99*(1+IF(VLOOKUP($Q99,武学奇术!$A:$ZZ,30,FALSE)="蓄力技",$B$21,0))*(1+$BV99)</f>
        <v>29403.3997280335</v>
      </c>
      <c r="P99" s="41">
        <v>1</v>
      </c>
      <c r="Q99" s="42" t="s">
        <v>106</v>
      </c>
      <c r="R99" s="42" t="s">
        <v>103</v>
      </c>
      <c r="S99" s="42" t="s">
        <v>169</v>
      </c>
      <c r="T99" s="42" t="s">
        <v>77</v>
      </c>
      <c r="U99" s="42" t="s">
        <v>121</v>
      </c>
      <c r="V99" s="42" t="s">
        <v>77</v>
      </c>
      <c r="W99" s="42" t="s">
        <v>78</v>
      </c>
      <c r="X99" s="42" t="s">
        <v>176</v>
      </c>
      <c r="Y99" s="42" t="s">
        <v>77</v>
      </c>
      <c r="Z99" s="42" t="s">
        <v>77</v>
      </c>
      <c r="AA99" s="42" t="s">
        <v>73</v>
      </c>
      <c r="AB99" s="42" t="s">
        <v>95</v>
      </c>
      <c r="AC99" s="42" t="s">
        <v>77</v>
      </c>
      <c r="AD99" s="42" t="s">
        <v>80</v>
      </c>
      <c r="AE99" s="42" t="s">
        <v>81</v>
      </c>
      <c r="AF99" s="42" t="s">
        <v>82</v>
      </c>
      <c r="AG99" s="42" t="s">
        <v>77</v>
      </c>
      <c r="AH99" s="42" t="s">
        <v>77</v>
      </c>
      <c r="AI99" s="42" t="s">
        <v>77</v>
      </c>
      <c r="AJ99" s="42" t="s">
        <v>77</v>
      </c>
      <c r="AK99" s="42" t="s">
        <v>90</v>
      </c>
      <c r="AL99" t="str">
        <f>VLOOKUP($Q99,武学奇术!$A:$ZZ,25,FALSE)</f>
        <v>横刀</v>
      </c>
      <c r="AM99" s="27">
        <f>VLOOKUP($Q99,武学奇术!$A:$ZZ,26,FALSE)</f>
        <v>2.1324</v>
      </c>
      <c r="AN99" s="28">
        <f>VLOOKUP($Q99,武学奇术!$A:$ZZ,27,FALSE)*(1+IF(OR($AL99=$F$4,$AL99=$F$5),$B$22,0))</f>
        <v>885</v>
      </c>
      <c r="AO99" s="27">
        <f>VLOOKUP($Q99,武学奇术!$A:$ZZ,28,FALSE)</f>
        <v>3.1986</v>
      </c>
      <c r="AP99" s="28">
        <f>VLOOKUP($Q99,武学奇术!$A:$ZZ,29,FALSE)*(1+IF(OR($AL99=$F$4,$AL99=$F$5),$B$22,0))</f>
        <v>483</v>
      </c>
      <c r="AQ99" s="27" cm="1">
        <f t="array" ref="AQ99">$G$3+IFERROR(VLOOKUP($AL99,$F$4:$G$7,2,FALSE),0)+VLOOKUP($Q99,武学奇术!$A:$ZZ,2,FALSE)+SUM(_xlfn.XLOOKUP($R99:$AK99,增益!$A:$A,增益!$B:$B,0))</f>
        <v>0.6689</v>
      </c>
      <c r="AR99" s="27" cm="1">
        <f t="array" ref="AR99">VLOOKUP($Q99,武学奇术!$A:$ZZ,5,FALSE)+SUM(_xlfn.XLOOKUP($R99:$AK99,增益!$A:$A,增益!$E:$E,0))</f>
        <v>0</v>
      </c>
      <c r="AS99" cm="1">
        <f t="array" ref="AS99">$D$10*(1+$AR99)+VLOOKUP($Q99,武学奇术!$A:$ZZ,3,FALSE)+SUM(_xlfn.XLOOKUP($R99:$AK99,增益!$A:$A,增益!$C:$C,0))-$I$2</f>
        <v>3648.7</v>
      </c>
      <c r="AT99" cm="1">
        <f t="array" ref="AT99">$E$10*(1+$AR99)+VLOOKUP($Q99,武学奇术!$A:$ZZ,4,FALSE)+SUM(_xlfn.XLOOKUP($R99:$AK99,增益!$A:$A,增益!$D:$D,0))-$I$2</f>
        <v>3648.7</v>
      </c>
      <c r="AU99" s="34" cm="1">
        <f t="array" ref="AU99">IF($F$10-$I$3+VLOOKUP($Q99,武学奇术!$A:$ZZ,6,FALSE)+SUM(_xlfn.XLOOKUP($R99:$AK99,增益!$A:$A,增益!$F:$F,0))&gt;0,($F$10-$I$3+VLOOKUP($Q99,武学奇术!$A:$ZZ,6,FALSE)+SUM(_xlfn.XLOOKUP($R99:$AK99,增益!$A:$A,增益!$F:$F,0)))/200,($F$10-$I$3+VLOOKUP($Q99,武学奇术!$A:$ZZ,6,FALSE)+SUM(_xlfn.XLOOKUP($R99:$AK99,增益!$A:$A,增益!$F:$F,0)))/100)</f>
        <v>0.452</v>
      </c>
      <c r="AV99" s="34" cm="1">
        <f t="array" ref="AV99">$G$10+VLOOKUP($Q99,武学奇术!$A:$ZZ,7,FALSE)+SUM(_xlfn.XLOOKUP($R99:$AK99,增益!$A:$A,增益!$G:$G,0))</f>
        <v>0</v>
      </c>
      <c r="AW99" s="27" cm="1">
        <f t="array" ref="AW99">VLOOKUP($Q99,武学奇术!$A:$ZZ,8,FALSE)+SUM(_xlfn.XLOOKUP($R99:$AK99,增益!$A:$A,增益!$H:$H,0))</f>
        <v>0</v>
      </c>
      <c r="AX99">
        <f t="shared" ref="AX99:AX127" si="35">$D$11*(1+$AW99)</f>
        <v>0</v>
      </c>
      <c r="AY99">
        <f t="shared" ref="AY99:AY127" si="36">$E$11*(1+$AW99)</f>
        <v>0</v>
      </c>
      <c r="AZ99" s="34" cm="1">
        <f t="array" ref="AZ99">IF($F$11-$I$4+VLOOKUP($Q99,武学奇术!$A:$ZZ,9,FALSE)+SUM(_xlfn.XLOOKUP($R99:$AK99,增益!$A:$A,增益!$I:$I,0))&gt;0,($F$11-$I$4+VLOOKUP($Q99,武学奇术!$A:$ZZ,9,FALSE)+SUM(_xlfn.XLOOKUP($R99:$AK99,增益!$A:$A,增益!$I:$I,0)))/200,($F$11-$I$4+VLOOKUP($Q99,武学奇术!$A:$ZZ,9,FALSE)+SUM(_xlfn.XLOOKUP($R99:$AK99,增益!$A:$A,增益!$I:$I,0)))/100)</f>
        <v>-0.3</v>
      </c>
      <c r="BA99" s="34" cm="1">
        <f t="array" ref="BA99">$G$11+VLOOKUP($Q99,武学奇术!$A:$ZZ,10,FALSE)+SUM(_xlfn.XLOOKUP($R99:$AK99,增益!$A:$A,增益!$J:$J,0))</f>
        <v>0</v>
      </c>
      <c r="BB99">
        <f t="shared" ref="BB99:BB127" si="37">$D$12*(1+$AW99)</f>
        <v>594.1</v>
      </c>
      <c r="BC99">
        <f t="shared" ref="BC99:BC127" si="38">$E$12*(1+$AW99)</f>
        <v>1604.9</v>
      </c>
      <c r="BD99" s="34" cm="1">
        <f t="array" ref="BD99">IF($F$12-$I$4+VLOOKUP($Q99,武学奇术!$A:$ZZ,11,FALSE)+SUM(_xlfn.XLOOKUP($R99:$AK99,增益!$A:$A,增益!$K:$K,0))&gt;0,($F$12-$I$4+VLOOKUP($Q99,武学奇术!$A:$ZZ,11,FALSE)+SUM(_xlfn.XLOOKUP($R99:$AK99,增益!$A:$A,增益!$K:$K,0)))/200,($F$12-$I$4+VLOOKUP($Q99,武学奇术!$A:$ZZ,11,FALSE)+SUM(_xlfn.XLOOKUP($R99:$AK99,增益!$A:$A,增益!$K:$K,0)))/100)</f>
        <v>0.09</v>
      </c>
      <c r="BE99" s="34" cm="1">
        <f t="array" ref="BE99">$G$12+VLOOKUP($Q99,武学奇术!$A:$ZZ,12,FALSE)+SUM(_xlfn.XLOOKUP($R99:$AK99,增益!$A:$A,增益!$L:$L,0))</f>
        <v>0.15</v>
      </c>
      <c r="BF99">
        <f t="shared" ref="BF99:BF127" si="39">$D$13*(1+$AW99)</f>
        <v>0</v>
      </c>
      <c r="BG99">
        <f t="shared" ref="BG99:BG127" si="40">$E$13*(1+$AW99)</f>
        <v>0</v>
      </c>
      <c r="BH99" s="34" cm="1">
        <f t="array" ref="BH99">IF($F$13-$I$4+VLOOKUP($Q99,武学奇术!$A:$ZZ,13,FALSE)+SUM(_xlfn.XLOOKUP($R99:$AK99,增益!$A:$A,增益!$M:$M,0))&gt;0,($F$13-$I$4+VLOOKUP($Q99,武学奇术!$A:$ZZ,13,FALSE)+SUM(_xlfn.XLOOKUP($R99:$AK99,增益!$A:$A,增益!$K:$K,0)))/200,($F$13-$I$4+VLOOKUP($Q99,武学奇术!$A:$ZZ,13,FALSE)+SUM(_xlfn.XLOOKUP($R99:$AK99,增益!$A:$A,增益!$M:$M,0)))/100)</f>
        <v>-0.3</v>
      </c>
      <c r="BI99" s="34" cm="1">
        <f t="array" ref="BI99">$G$13+VLOOKUP($Q99,武学奇术!$A:$ZZ,14,FALSE)+SUM(_xlfn.XLOOKUP($R99:$AK99,增益!$A:$A,增益!$N:$N,0))</f>
        <v>0</v>
      </c>
      <c r="BJ99">
        <f t="shared" ref="BJ99:BJ127" si="41">$D$14*(1+$AW99)</f>
        <v>0</v>
      </c>
      <c r="BK99">
        <f t="shared" ref="BK99:BK127" si="42">$E$14*(1+$AW99)</f>
        <v>0</v>
      </c>
      <c r="BL99" s="34" cm="1">
        <f t="array" ref="BL99">IF($F$14-$I$4+VLOOKUP($Q99,武学奇术!$A:$ZZ,15,FALSE)+SUM(_xlfn.XLOOKUP($R99:$AK99,增益!$A:$A,增益!$O:$O,0))&gt;0,($F$14-$I$4+VLOOKUP($Q99,武学奇术!$A:$ZZ,15,FALSE)+SUM(_xlfn.XLOOKUP($R99:$AK99,增益!$A:$A,增益!$O:$O,0)))/200,($F$14-$I$4+VLOOKUP($Q99,武学奇术!$A:$ZZ,15,FALSE)+SUM(_xlfn.XLOOKUP($R99:$AK99,增益!$A:$A,增益!$O:$O,0)))/100)</f>
        <v>-0.3</v>
      </c>
      <c r="BM99" s="34" cm="1">
        <f t="array" ref="BM99">$G$14+VLOOKUP($Q99,武学奇术!$A:$ZZ,16,FALSE)+SUM(_xlfn.XLOOKUP($R99:$AK99,增益!$A:$A,增益!$P:$P,0))</f>
        <v>0</v>
      </c>
      <c r="BN99" s="27">
        <f>MIN(IF(VLOOKUP($Q99,武学奇术!$A:$ZZ,23,FALSE)=1,100%,$B$8),100%)</f>
        <v>0.9859</v>
      </c>
      <c r="BO99" s="27" cm="1">
        <f t="array" ref="BO99">IF(VLOOKUP($Q99,武学奇术!$A:$ZZ,23,FALSE)=1,100%,MIN(80%,$B$9+VLOOKUP($Q99,武学奇术!$A:$ZZ,17,FALSE)+SUM(_xlfn.XLOOKUP($R99:$AK99,增益!$A:$A,增益!$Q:$Q,0)))+$B$11+SUM(_xlfn.XLOOKUP($R99:$AK99,增益!$A:$A,增益!$U:$U,0)))*IF(VLOOKUP($Q99,武学奇术!$A:$ZZ,24,FALSE)=1,0,1)</f>
        <v>0.8912</v>
      </c>
      <c r="BP99" s="27" cm="1">
        <f t="array" ref="BP99">1+$B$13+VLOOKUP($Q99,武学奇术!$A:$ZZ,18,FALSE)+SUM(_xlfn.XLOOKUP($R99:$AK99,增益!$A:$A,增益!$R:$R,0))</f>
        <v>2</v>
      </c>
      <c r="BQ99" s="27" cm="1">
        <f t="array" ref="BQ99">IF(VLOOKUP($Q99,武学奇术!$A:$ZZ,24,FALSE)=1,100%,MIN(40%,$B$10+VLOOKUP($Q99,武学奇术!$A:$ZZ,19,FALSE)+SUM(_xlfn.XLOOKUP($R99:$AK99,增益!$A:$A,增益!$S:$S,0)))+$B$12+SUM(_xlfn.XLOOKUP($R99:$AK99,增益!$A:$A,增益!$V:$V,0)))*IF(VLOOKUP($Q99,武学奇术!$A:$ZZ,23,FALSE)=1,0,1)</f>
        <v>0.0929</v>
      </c>
      <c r="BR99" s="27" cm="1">
        <f t="array" ref="BR99">1+$B$14+VLOOKUP($Q99,武学奇术!$A:$ZZ,20,FALSE)+SUM(_xlfn.XLOOKUP($R99:$AK99,增益!$A:$A,增益!$T:$T,0))</f>
        <v>1.35</v>
      </c>
      <c r="BS99" s="27">
        <f t="shared" ref="BS99:BS127" si="43">MIN((1-BQ99)*BN99,BN99*BO99)</f>
        <v>0.87863408</v>
      </c>
      <c r="BT99" s="27">
        <f t="shared" ref="BT99:BT127" si="44">1-BQ99-BS99-BU99</f>
        <v>0.01567581</v>
      </c>
      <c r="BU99" s="27">
        <f>IF(VLOOKUP($Q99,武学奇术!$A:$ZZ,22,FALSE)=1,0,(1-$BN99))*(1-$BQ99)</f>
        <v>0.01279011</v>
      </c>
      <c r="BV99" s="27" cm="1">
        <f t="array" ref="BV99">SUM(_xlfn.XLOOKUP($R99:$AK99,增益!$A:$A,增益!$W:$W,0))+$I$5</f>
        <v>0.11</v>
      </c>
    </row>
    <row r="100" spans="1:74">
      <c r="K100" s="40">
        <f t="shared" si="34"/>
        <v>39356.1793385194</v>
      </c>
      <c r="L100" s="40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BP100*$P100*(1+IF(VLOOKUP($Q100,武学奇术!$A:$ZZ,30,FALSE)="蓄力技",$B$21,0))*(1+$BV100)</f>
        <v>40859.1457923984</v>
      </c>
      <c r="M100" s="40">
        <f>(($AT100*$AM100+$AN100)*(1+$AU100)*(1+$AV100)+($AY100*IF($G$1="鸣金",$AO100,$AM100)+IF($G$1="鸣金",$AP100*1.5,0))*(1+$AZ100)*(1+$BA100)+($BC100*IF($G$1="裂石",$AO100,$AM100)+IF($G$1="裂石",$AP100*1.5,0))*(1+$BD100)*(1+$BE100)+($BG100*IF($G$1="牵丝",$AO100,$AM100)+IF($G$1="牵丝",$AP100*1.5,0))*(1+$BH100)*(1+$BI100)+($BK100*IF($G$1="破竹",$AO100,$AM100)+IF($G$1="破竹",$AP100*1.5,0))*(1+$BL100)*(1+$BM100))*(1+$AQ100)*$BR100*$P100*(1+IF(VLOOKUP($Q100,武学奇术!$A:$ZZ,30,FALSE)="蓄力技",$B$21,0))*(1+$BV100)</f>
        <v>31322.4074714266</v>
      </c>
      <c r="N100" s="40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P100*(1+IF(VLOOKUP($Q100,武学奇术!$A:$ZZ,30,FALSE)="蓄力技",$B$21,0))*(1+$BV100)</f>
        <v>20429.5728961992</v>
      </c>
      <c r="O100" s="40">
        <f>((($AS100*$AM100+$AN100)*(1+$AU100)*(1+$AV100)+($AX100*IF($G$1="鸣金",$AO100,$AM100)+IF($G$1="鸣金",$AP100*1.5,0))*(1+$AZ100)*(1+$BA100)+($BB100*IF($G$1="裂石",$AO100,$AM100)+IF($G$1="裂石",$AP100*1.5,0))*(1+$BD100)*(1+$BE100)+($BF100*IF($G$1="牵丝",$AO100,$AM100)+IF($G$1="牵丝",$AP100*1.5,0))*(1+$BH100)*(1+$BI100)+($BJ100*IF($G$1="破竹",$AO100,$AM100)+IF($G$1="破竹",$AP100*1.5,0))*(1+$BL100)*(1+$BM100))*(1+$AQ100))*$P100*(1+IF(VLOOKUP($Q100,武学奇术!$A:$ZZ,30,FALSE)="蓄力技",$B$21,0))*(1+$BV100)</f>
        <v>17657.3624802306</v>
      </c>
      <c r="P100" s="41">
        <v>1</v>
      </c>
      <c r="Q100" s="42" t="s">
        <v>110</v>
      </c>
      <c r="R100" s="42" t="s">
        <v>103</v>
      </c>
      <c r="S100" s="42" t="s">
        <v>169</v>
      </c>
      <c r="T100" s="42" t="s">
        <v>86</v>
      </c>
      <c r="U100" s="42" t="s">
        <v>121</v>
      </c>
      <c r="V100" s="42" t="s">
        <v>77</v>
      </c>
      <c r="W100" s="42" t="s">
        <v>78</v>
      </c>
      <c r="X100" s="42" t="s">
        <v>176</v>
      </c>
      <c r="Y100" s="42" t="s">
        <v>77</v>
      </c>
      <c r="Z100" s="42" t="s">
        <v>77</v>
      </c>
      <c r="AA100" s="42" t="s">
        <v>73</v>
      </c>
      <c r="AB100" s="42" t="s">
        <v>95</v>
      </c>
      <c r="AC100" s="42" t="s">
        <v>77</v>
      </c>
      <c r="AD100" s="42" t="s">
        <v>80</v>
      </c>
      <c r="AE100" s="42" t="s">
        <v>81</v>
      </c>
      <c r="AF100" s="42" t="s">
        <v>82</v>
      </c>
      <c r="AG100" s="42" t="s">
        <v>77</v>
      </c>
      <c r="AH100" s="42" t="s">
        <v>77</v>
      </c>
      <c r="AI100" s="42" t="s">
        <v>77</v>
      </c>
      <c r="AJ100" s="42" t="s">
        <v>77</v>
      </c>
      <c r="AK100" s="42" t="s">
        <v>90</v>
      </c>
      <c r="AL100" t="str">
        <f>VLOOKUP($Q100,武学奇术!$A:$ZZ,25,FALSE)</f>
        <v>横刀</v>
      </c>
      <c r="AM100" s="27">
        <f>VLOOKUP($Q100,武学奇术!$A:$ZZ,26,FALSE)</f>
        <v>1.4</v>
      </c>
      <c r="AN100" s="28">
        <f>VLOOKUP($Q100,武学奇术!$A:$ZZ,27,FALSE)*(1+IF(OR($AL100=$F$4,$AL100=$F$5),$B$22,0))</f>
        <v>0</v>
      </c>
      <c r="AO100" s="27">
        <f>VLOOKUP($Q100,武学奇术!$A:$ZZ,28,FALSE)</f>
        <v>2.1</v>
      </c>
      <c r="AP100" s="28">
        <f>VLOOKUP($Q100,武学奇术!$A:$ZZ,29,FALSE)*(1+IF(OR($AL100=$F$4,$AL100=$F$5),$B$22,0))</f>
        <v>0</v>
      </c>
      <c r="AQ100" s="27" cm="1">
        <f t="array" ref="AQ100">$G$3+IFERROR(VLOOKUP($AL100,$F$4:$G$7,2,FALSE),0)+VLOOKUP($Q100,武学奇术!$A:$ZZ,2,FALSE)+SUM(_xlfn.XLOOKUP($R100:$AK100,增益!$A:$A,增益!$B:$B,0))</f>
        <v>0.7489</v>
      </c>
      <c r="AR100" s="27" cm="1">
        <f t="array" ref="AR100">VLOOKUP($Q100,武学奇术!$A:$ZZ,5,FALSE)+SUM(_xlfn.XLOOKUP($R100:$AK100,增益!$A:$A,增益!$E:$E,0))</f>
        <v>0</v>
      </c>
      <c r="AS100" cm="1">
        <f t="array" ref="AS100">$D$10*(1+$AR100)+VLOOKUP($Q100,武学奇术!$A:$ZZ,3,FALSE)+SUM(_xlfn.XLOOKUP($R100:$AK100,增益!$A:$A,增益!$C:$C,0))-$I$2</f>
        <v>3648.7</v>
      </c>
      <c r="AT100" cm="1">
        <f t="array" ref="AT100">$E$10*(1+$AR100)+VLOOKUP($Q100,武学奇术!$A:$ZZ,4,FALSE)+SUM(_xlfn.XLOOKUP($R100:$AK100,增益!$A:$A,增益!$D:$D,0))-$I$2</f>
        <v>3648.7</v>
      </c>
      <c r="AU100" s="34" cm="1">
        <f t="array" ref="AU100">IF($F$10-$I$3+VLOOKUP($Q100,武学奇术!$A:$ZZ,6,FALSE)+SUM(_xlfn.XLOOKUP($R100:$AK100,增益!$A:$A,增益!$F:$F,0))&gt;0,($F$10-$I$3+VLOOKUP($Q100,武学奇术!$A:$ZZ,6,FALSE)+SUM(_xlfn.XLOOKUP($R100:$AK100,增益!$A:$A,增益!$F:$F,0)))/200,($F$10-$I$3+VLOOKUP($Q100,武学奇术!$A:$ZZ,6,FALSE)+SUM(_xlfn.XLOOKUP($R100:$AK100,增益!$A:$A,增益!$F:$F,0)))/100)</f>
        <v>0.452</v>
      </c>
      <c r="AV100" s="34" cm="1">
        <f t="array" ref="AV100">$G$10+VLOOKUP($Q100,武学奇术!$A:$ZZ,7,FALSE)+SUM(_xlfn.XLOOKUP($R100:$AK100,增益!$A:$A,增益!$G:$G,0))</f>
        <v>0</v>
      </c>
      <c r="AW100" s="27" cm="1">
        <f t="array" ref="AW100">VLOOKUP($Q100,武学奇术!$A:$ZZ,8,FALSE)+SUM(_xlfn.XLOOKUP($R100:$AK100,增益!$A:$A,增益!$H:$H,0))</f>
        <v>0</v>
      </c>
      <c r="AX100">
        <f t="shared" si="35"/>
        <v>0</v>
      </c>
      <c r="AY100">
        <f t="shared" si="36"/>
        <v>0</v>
      </c>
      <c r="AZ100" s="34" cm="1">
        <f t="array" ref="AZ100">IF($F$11-$I$4+VLOOKUP($Q100,武学奇术!$A:$ZZ,9,FALSE)+SUM(_xlfn.XLOOKUP($R100:$AK100,增益!$A:$A,增益!$I:$I,0))&gt;0,($F$11-$I$4+VLOOKUP($Q100,武学奇术!$A:$ZZ,9,FALSE)+SUM(_xlfn.XLOOKUP($R100:$AK100,增益!$A:$A,增益!$I:$I,0)))/200,($F$11-$I$4+VLOOKUP($Q100,武学奇术!$A:$ZZ,9,FALSE)+SUM(_xlfn.XLOOKUP($R100:$AK100,增益!$A:$A,增益!$I:$I,0)))/100)</f>
        <v>-0.14</v>
      </c>
      <c r="BA100" s="34" cm="1">
        <f t="array" ref="BA100">$G$11+VLOOKUP($Q100,武学奇术!$A:$ZZ,10,FALSE)+SUM(_xlfn.XLOOKUP($R100:$AK100,增益!$A:$A,增益!$J:$J,0))</f>
        <v>0</v>
      </c>
      <c r="BB100">
        <f t="shared" si="37"/>
        <v>594.1</v>
      </c>
      <c r="BC100">
        <f t="shared" si="38"/>
        <v>1604.9</v>
      </c>
      <c r="BD100" s="34" cm="1">
        <f t="array" ref="BD100">IF($F$12-$I$4+VLOOKUP($Q100,武学奇术!$A:$ZZ,11,FALSE)+SUM(_xlfn.XLOOKUP($R100:$AK100,增益!$A:$A,增益!$K:$K,0))&gt;0,($F$12-$I$4+VLOOKUP($Q100,武学奇术!$A:$ZZ,11,FALSE)+SUM(_xlfn.XLOOKUP($R100:$AK100,增益!$A:$A,增益!$K:$K,0)))/200,($F$12-$I$4+VLOOKUP($Q100,武学奇术!$A:$ZZ,11,FALSE)+SUM(_xlfn.XLOOKUP($R100:$AK100,增益!$A:$A,增益!$K:$K,0)))/100)</f>
        <v>0.17</v>
      </c>
      <c r="BE100" s="34" cm="1">
        <f t="array" ref="BE100">$G$12+VLOOKUP($Q100,武学奇术!$A:$ZZ,12,FALSE)+SUM(_xlfn.XLOOKUP($R100:$AK100,增益!$A:$A,增益!$L:$L,0))</f>
        <v>0.15</v>
      </c>
      <c r="BF100">
        <f t="shared" si="39"/>
        <v>0</v>
      </c>
      <c r="BG100">
        <f t="shared" si="40"/>
        <v>0</v>
      </c>
      <c r="BH100" s="34" cm="1">
        <f t="array" ref="BH100">IF($F$13-$I$4+VLOOKUP($Q100,武学奇术!$A:$ZZ,13,FALSE)+SUM(_xlfn.XLOOKUP($R100:$AK100,增益!$A:$A,增益!$M:$M,0))&gt;0,($F$13-$I$4+VLOOKUP($Q100,武学奇术!$A:$ZZ,13,FALSE)+SUM(_xlfn.XLOOKUP($R100:$AK100,增益!$A:$A,增益!$K:$K,0)))/200,($F$13-$I$4+VLOOKUP($Q100,武学奇术!$A:$ZZ,13,FALSE)+SUM(_xlfn.XLOOKUP($R100:$AK100,增益!$A:$A,增益!$M:$M,0)))/100)</f>
        <v>-0.14</v>
      </c>
      <c r="BI100" s="34" cm="1">
        <f t="array" ref="BI100">$G$13+VLOOKUP($Q100,武学奇术!$A:$ZZ,14,FALSE)+SUM(_xlfn.XLOOKUP($R100:$AK100,增益!$A:$A,增益!$N:$N,0))</f>
        <v>0</v>
      </c>
      <c r="BJ100">
        <f t="shared" si="41"/>
        <v>0</v>
      </c>
      <c r="BK100">
        <f t="shared" si="42"/>
        <v>0</v>
      </c>
      <c r="BL100" s="34" cm="1">
        <f t="array" ref="BL100">IF($F$14-$I$4+VLOOKUP($Q100,武学奇术!$A:$ZZ,15,FALSE)+SUM(_xlfn.XLOOKUP($R100:$AK100,增益!$A:$A,增益!$O:$O,0))&gt;0,($F$14-$I$4+VLOOKUP($Q100,武学奇术!$A:$ZZ,15,FALSE)+SUM(_xlfn.XLOOKUP($R100:$AK100,增益!$A:$A,增益!$O:$O,0)))/200,($F$14-$I$4+VLOOKUP($Q100,武学奇术!$A:$ZZ,15,FALSE)+SUM(_xlfn.XLOOKUP($R100:$AK100,增益!$A:$A,增益!$O:$O,0)))/100)</f>
        <v>-0.14</v>
      </c>
      <c r="BM100" s="34" cm="1">
        <f t="array" ref="BM100">$G$14+VLOOKUP($Q100,武学奇术!$A:$ZZ,16,FALSE)+SUM(_xlfn.XLOOKUP($R100:$AK100,增益!$A:$A,增益!$P:$P,0))</f>
        <v>0</v>
      </c>
      <c r="BN100" s="27">
        <f>MIN(IF(VLOOKUP($Q100,武学奇术!$A:$ZZ,23,FALSE)=1,100%,$B$8),100%)</f>
        <v>0.9859</v>
      </c>
      <c r="BO100" s="27" cm="1">
        <f t="array" ref="BO100">IF(VLOOKUP($Q100,武学奇术!$A:$ZZ,23,FALSE)=1,100%,MIN(80%,$B$9+VLOOKUP($Q100,武学奇术!$A:$ZZ,17,FALSE)+SUM(_xlfn.XLOOKUP($R100:$AK100,增益!$A:$A,增益!$Q:$Q,0)))+$B$11+SUM(_xlfn.XLOOKUP($R100:$AK100,增益!$A:$A,增益!$U:$U,0)))*IF(VLOOKUP($Q100,武学奇术!$A:$ZZ,24,FALSE)=1,0,1)</f>
        <v>0.8912</v>
      </c>
      <c r="BP100" s="27" cm="1">
        <f t="array" ref="BP100">1+$B$13+VLOOKUP($Q100,武学奇术!$A:$ZZ,18,FALSE)+SUM(_xlfn.XLOOKUP($R100:$AK100,增益!$A:$A,增益!$R:$R,0))</f>
        <v>2</v>
      </c>
      <c r="BQ100" s="27" cm="1">
        <f t="array" ref="BQ100">IF(VLOOKUP($Q100,武学奇术!$A:$ZZ,24,FALSE)=1,100%,MIN(40%,$B$10+VLOOKUP($Q100,武学奇术!$A:$ZZ,19,FALSE)+SUM(_xlfn.XLOOKUP($R100:$AK100,增益!$A:$A,增益!$S:$S,0)))+$B$12+SUM(_xlfn.XLOOKUP($R100:$AK100,增益!$A:$A,增益!$V:$V,0)))*IF(VLOOKUP($Q100,武学奇术!$A:$ZZ,23,FALSE)=1,0,1)</f>
        <v>0.0929</v>
      </c>
      <c r="BR100" s="27" cm="1">
        <f t="array" ref="BR100">1+$B$14+VLOOKUP($Q100,武学奇术!$A:$ZZ,20,FALSE)+SUM(_xlfn.XLOOKUP($R100:$AK100,增益!$A:$A,增益!$T:$T,0))</f>
        <v>1.35</v>
      </c>
      <c r="BS100" s="27">
        <f t="shared" si="43"/>
        <v>0.87863408</v>
      </c>
      <c r="BT100" s="27">
        <f t="shared" si="44"/>
        <v>0.01567581</v>
      </c>
      <c r="BU100" s="27">
        <f>IF(VLOOKUP($Q100,武学奇术!$A:$ZZ,22,FALSE)=1,0,(1-$BN100))*(1-$BQ100)</f>
        <v>0.01279011</v>
      </c>
      <c r="BV100" s="27" cm="1">
        <f t="array" ref="BV100">SUM(_xlfn.XLOOKUP($R100:$AK100,增益!$A:$A,增益!$W:$W,0))+$I$5</f>
        <v>0.11</v>
      </c>
    </row>
    <row r="101" spans="1:74">
      <c r="K101" s="40">
        <f t="shared" si="34"/>
        <v>19775.754383268</v>
      </c>
      <c r="L101" s="40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BP101*$P101*(1+IF(VLOOKUP($Q101,武学奇术!$A:$ZZ,30,FALSE)="蓄力技",$B$21,0))*(1+$BV101)</f>
        <v>20530.9673113968</v>
      </c>
      <c r="M101" s="40">
        <f>(($AT101*$AM101+$AN101)*(1+$AU101)*(1+$AV101)+($AY101*IF($G$1="鸣金",$AO101,$AM101)+IF($G$1="鸣金",$AP101*1.5,0))*(1+$AZ101)*(1+$BA101)+($BC101*IF($G$1="裂石",$AO101,$AM101)+IF($G$1="裂石",$AP101*1.5,0))*(1+$BD101)*(1+$BE101)+($BG101*IF($G$1="牵丝",$AO101,$AM101)+IF($G$1="牵丝",$AP101*1.5,0))*(1+$BH101)*(1+$BI101)+($BK101*IF($G$1="破竹",$AO101,$AM101)+IF($G$1="破竹",$AP101*1.5,0))*(1+$BL101)*(1+$BM101))*(1+$AQ101)*$BR101*$P101*(1+IF(VLOOKUP($Q101,武学奇术!$A:$ZZ,30,FALSE)="蓄力技",$B$21,0))*(1+$BV101)</f>
        <v>15738.9321641117</v>
      </c>
      <c r="N101" s="40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P101*(1+IF(VLOOKUP($Q101,武学奇术!$A:$ZZ,30,FALSE)="蓄力技",$B$21,0))*(1+$BV101)</f>
        <v>10265.4836556984</v>
      </c>
      <c r="O101" s="40">
        <f>((($AS101*$AM101+$AN101)*(1+$AU101)*(1+$AV101)+($AX101*IF($G$1="鸣金",$AO101,$AM101)+IF($G$1="鸣金",$AP101*1.5,0))*(1+$AZ101)*(1+$BA101)+($BB101*IF($G$1="裂石",$AO101,$AM101)+IF($G$1="裂石",$AP101*1.5,0))*(1+$BD101)*(1+$BE101)+($BF101*IF($G$1="牵丝",$AO101,$AM101)+IF($G$1="牵丝",$AP101*1.5,0))*(1+$BH101)*(1+$BI101)+($BJ101*IF($G$1="破竹",$AO101,$AM101)+IF($G$1="破竹",$AP101*1.5,0))*(1+$BL101)*(1+$BM101))*(1+$AQ101))*$P101*(1+IF(VLOOKUP($Q101,武学奇术!$A:$ZZ,30,FALSE)="蓄力技",$B$21,0))*(1+$BV101)</f>
        <v>8872.4990416844</v>
      </c>
      <c r="P101" s="41">
        <v>1</v>
      </c>
      <c r="Q101" s="42" t="s">
        <v>112</v>
      </c>
      <c r="R101" s="42" t="s">
        <v>103</v>
      </c>
      <c r="S101" s="42" t="s">
        <v>169</v>
      </c>
      <c r="T101" s="42" t="s">
        <v>86</v>
      </c>
      <c r="U101" s="42" t="s">
        <v>121</v>
      </c>
      <c r="V101" s="42" t="s">
        <v>77</v>
      </c>
      <c r="W101" s="42" t="s">
        <v>114</v>
      </c>
      <c r="X101" s="42" t="s">
        <v>176</v>
      </c>
      <c r="Y101" s="42" t="s">
        <v>77</v>
      </c>
      <c r="Z101" s="42" t="s">
        <v>77</v>
      </c>
      <c r="AA101" s="42" t="s">
        <v>73</v>
      </c>
      <c r="AB101" s="42" t="s">
        <v>95</v>
      </c>
      <c r="AC101" s="42" t="s">
        <v>77</v>
      </c>
      <c r="AD101" s="42" t="s">
        <v>80</v>
      </c>
      <c r="AE101" s="42" t="s">
        <v>81</v>
      </c>
      <c r="AF101" s="42" t="s">
        <v>82</v>
      </c>
      <c r="AG101" s="42" t="s">
        <v>77</v>
      </c>
      <c r="AH101" s="42" t="s">
        <v>77</v>
      </c>
      <c r="AI101" s="42" t="s">
        <v>77</v>
      </c>
      <c r="AJ101" s="42" t="s">
        <v>77</v>
      </c>
      <c r="AK101" s="42" t="s">
        <v>90</v>
      </c>
      <c r="AL101" t="str">
        <f>VLOOKUP($Q101,武学奇术!$A:$ZZ,25,FALSE)</f>
        <v>陌刀</v>
      </c>
      <c r="AM101" s="27">
        <f>VLOOKUP($Q101,武学奇术!$A:$ZZ,26,FALSE)</f>
        <v>0.5</v>
      </c>
      <c r="AN101" s="28">
        <f>VLOOKUP($Q101,武学奇术!$A:$ZZ,27,FALSE)*(1+IF(OR($AL101=$F$4,$AL101=$F$5),$B$22,0))</f>
        <v>0</v>
      </c>
      <c r="AO101" s="27">
        <f>VLOOKUP($Q101,武学奇术!$A:$ZZ,28,FALSE)</f>
        <v>0.75</v>
      </c>
      <c r="AP101" s="28">
        <f>VLOOKUP($Q101,武学奇术!$A:$ZZ,29,FALSE)*(1+IF(OR($AL101=$F$4,$AL101=$F$5),$B$22,0))</f>
        <v>0</v>
      </c>
      <c r="AQ101" s="27" cm="1">
        <f t="array" ref="AQ101">$G$3+IFERROR(VLOOKUP($AL101,$F$4:$G$7,2,FALSE),0)+VLOOKUP($Q101,武学奇术!$A:$ZZ,2,FALSE)+SUM(_xlfn.XLOOKUP($R101:$AK101,增益!$A:$A,增益!$B:$B,0))</f>
        <v>0.8641</v>
      </c>
      <c r="AR101" s="27" cm="1">
        <f t="array" ref="AR101">VLOOKUP($Q101,武学奇术!$A:$ZZ,5,FALSE)+SUM(_xlfn.XLOOKUP($R101:$AK101,增益!$A:$A,增益!$E:$E,0))</f>
        <v>0</v>
      </c>
      <c r="AS101" cm="1">
        <f t="array" ref="AS101">$D$10*(1+$AR101)+VLOOKUP($Q101,武学奇术!$A:$ZZ,3,FALSE)+SUM(_xlfn.XLOOKUP($R101:$AK101,增益!$A:$A,增益!$C:$C,0))-$I$2</f>
        <v>3648.7</v>
      </c>
      <c r="AT101" cm="1">
        <f t="array" ref="AT101">$E$10*(1+$AR101)+VLOOKUP($Q101,武学奇术!$A:$ZZ,4,FALSE)+SUM(_xlfn.XLOOKUP($R101:$AK101,增益!$A:$A,增益!$D:$D,0))-$I$2</f>
        <v>3648.7</v>
      </c>
      <c r="AU101" s="34" cm="1">
        <f t="array" ref="AU101">IF($F$10-$I$3+VLOOKUP($Q101,武学奇术!$A:$ZZ,6,FALSE)+SUM(_xlfn.XLOOKUP($R101:$AK101,增益!$A:$A,增益!$F:$F,0))&gt;0,($F$10-$I$3+VLOOKUP($Q101,武学奇术!$A:$ZZ,6,FALSE)+SUM(_xlfn.XLOOKUP($R101:$AK101,增益!$A:$A,增益!$F:$F,0)))/200,($F$10-$I$3+VLOOKUP($Q101,武学奇术!$A:$ZZ,6,FALSE)+SUM(_xlfn.XLOOKUP($R101:$AK101,增益!$A:$A,增益!$F:$F,0)))/100)</f>
        <v>0.452</v>
      </c>
      <c r="AV101" s="34" cm="1">
        <f t="array" ref="AV101">$G$10+VLOOKUP($Q101,武学奇术!$A:$ZZ,7,FALSE)+SUM(_xlfn.XLOOKUP($R101:$AK101,增益!$A:$A,增益!$G:$G,0))</f>
        <v>0</v>
      </c>
      <c r="AW101" s="27" cm="1">
        <f t="array" ref="AW101">VLOOKUP($Q101,武学奇术!$A:$ZZ,8,FALSE)+SUM(_xlfn.XLOOKUP($R101:$AK101,增益!$A:$A,增益!$H:$H,0))</f>
        <v>0</v>
      </c>
      <c r="AX101">
        <f t="shared" si="35"/>
        <v>0</v>
      </c>
      <c r="AY101">
        <f t="shared" si="36"/>
        <v>0</v>
      </c>
      <c r="AZ101" s="34" cm="1">
        <f t="array" ref="AZ101">IF($F$11-$I$4+VLOOKUP($Q101,武学奇术!$A:$ZZ,9,FALSE)+SUM(_xlfn.XLOOKUP($R101:$AK101,增益!$A:$A,增益!$I:$I,0))&gt;0,($F$11-$I$4+VLOOKUP($Q101,武学奇术!$A:$ZZ,9,FALSE)+SUM(_xlfn.XLOOKUP($R101:$AK101,增益!$A:$A,增益!$I:$I,0)))/200,($F$11-$I$4+VLOOKUP($Q101,武学奇术!$A:$ZZ,9,FALSE)+SUM(_xlfn.XLOOKUP($R101:$AK101,增益!$A:$A,增益!$I:$I,0)))/100)</f>
        <v>-0.14</v>
      </c>
      <c r="BA101" s="34" cm="1">
        <f t="array" ref="BA101">$G$11+VLOOKUP($Q101,武学奇术!$A:$ZZ,10,FALSE)+SUM(_xlfn.XLOOKUP($R101:$AK101,增益!$A:$A,增益!$J:$J,0))</f>
        <v>0</v>
      </c>
      <c r="BB101">
        <f t="shared" si="37"/>
        <v>594.1</v>
      </c>
      <c r="BC101">
        <f t="shared" si="38"/>
        <v>1604.9</v>
      </c>
      <c r="BD101" s="34" cm="1">
        <f t="array" ref="BD101">IF($F$12-$I$4+VLOOKUP($Q101,武学奇术!$A:$ZZ,11,FALSE)+SUM(_xlfn.XLOOKUP($R101:$AK101,增益!$A:$A,增益!$K:$K,0))&gt;0,($F$12-$I$4+VLOOKUP($Q101,武学奇术!$A:$ZZ,11,FALSE)+SUM(_xlfn.XLOOKUP($R101:$AK101,增益!$A:$A,增益!$K:$K,0)))/200,($F$12-$I$4+VLOOKUP($Q101,武学奇术!$A:$ZZ,11,FALSE)+SUM(_xlfn.XLOOKUP($R101:$AK101,增益!$A:$A,增益!$K:$K,0)))/100)</f>
        <v>0.17</v>
      </c>
      <c r="BE101" s="34" cm="1">
        <f t="array" ref="BE101">$G$12+VLOOKUP($Q101,武学奇术!$A:$ZZ,12,FALSE)+SUM(_xlfn.XLOOKUP($R101:$AK101,增益!$A:$A,增益!$L:$L,0))</f>
        <v>0.15</v>
      </c>
      <c r="BF101">
        <f t="shared" si="39"/>
        <v>0</v>
      </c>
      <c r="BG101">
        <f t="shared" si="40"/>
        <v>0</v>
      </c>
      <c r="BH101" s="34" cm="1">
        <f t="array" ref="BH101">IF($F$13-$I$4+VLOOKUP($Q101,武学奇术!$A:$ZZ,13,FALSE)+SUM(_xlfn.XLOOKUP($R101:$AK101,增益!$A:$A,增益!$M:$M,0))&gt;0,($F$13-$I$4+VLOOKUP($Q101,武学奇术!$A:$ZZ,13,FALSE)+SUM(_xlfn.XLOOKUP($R101:$AK101,增益!$A:$A,增益!$K:$K,0)))/200,($F$13-$I$4+VLOOKUP($Q101,武学奇术!$A:$ZZ,13,FALSE)+SUM(_xlfn.XLOOKUP($R101:$AK101,增益!$A:$A,增益!$M:$M,0)))/100)</f>
        <v>-0.14</v>
      </c>
      <c r="BI101" s="34" cm="1">
        <f t="array" ref="BI101">$G$13+VLOOKUP($Q101,武学奇术!$A:$ZZ,14,FALSE)+SUM(_xlfn.XLOOKUP($R101:$AK101,增益!$A:$A,增益!$N:$N,0))</f>
        <v>0</v>
      </c>
      <c r="BJ101">
        <f t="shared" si="41"/>
        <v>0</v>
      </c>
      <c r="BK101">
        <f t="shared" si="42"/>
        <v>0</v>
      </c>
      <c r="BL101" s="34" cm="1">
        <f t="array" ref="BL101">IF($F$14-$I$4+VLOOKUP($Q101,武学奇术!$A:$ZZ,15,FALSE)+SUM(_xlfn.XLOOKUP($R101:$AK101,增益!$A:$A,增益!$O:$O,0))&gt;0,($F$14-$I$4+VLOOKUP($Q101,武学奇术!$A:$ZZ,15,FALSE)+SUM(_xlfn.XLOOKUP($R101:$AK101,增益!$A:$A,增益!$O:$O,0)))/200,($F$14-$I$4+VLOOKUP($Q101,武学奇术!$A:$ZZ,15,FALSE)+SUM(_xlfn.XLOOKUP($R101:$AK101,增益!$A:$A,增益!$O:$O,0)))/100)</f>
        <v>-0.14</v>
      </c>
      <c r="BM101" s="34" cm="1">
        <f t="array" ref="BM101">$G$14+VLOOKUP($Q101,武学奇术!$A:$ZZ,16,FALSE)+SUM(_xlfn.XLOOKUP($R101:$AK101,增益!$A:$A,增益!$P:$P,0))</f>
        <v>0</v>
      </c>
      <c r="BN101" s="27">
        <f>MIN(IF(VLOOKUP($Q101,武学奇术!$A:$ZZ,23,FALSE)=1,100%,$B$8),100%)</f>
        <v>0.9859</v>
      </c>
      <c r="BO101" s="27" cm="1">
        <f t="array" ref="BO101">IF(VLOOKUP($Q101,武学奇术!$A:$ZZ,23,FALSE)=1,100%,MIN(80%,$B$9+VLOOKUP($Q101,武学奇术!$A:$ZZ,17,FALSE)+SUM(_xlfn.XLOOKUP($R101:$AK101,增益!$A:$A,增益!$Q:$Q,0)))+$B$11+SUM(_xlfn.XLOOKUP($R101:$AK101,增益!$A:$A,增益!$U:$U,0)))*IF(VLOOKUP($Q101,武学奇术!$A:$ZZ,24,FALSE)=1,0,1)</f>
        <v>0.8912</v>
      </c>
      <c r="BP101" s="27" cm="1">
        <f t="array" ref="BP101">1+$B$13+VLOOKUP($Q101,武学奇术!$A:$ZZ,18,FALSE)+SUM(_xlfn.XLOOKUP($R101:$AK101,增益!$A:$A,增益!$R:$R,0))</f>
        <v>2</v>
      </c>
      <c r="BQ101" s="27" cm="1">
        <f t="array" ref="BQ101">IF(VLOOKUP($Q101,武学奇术!$A:$ZZ,24,FALSE)=1,100%,MIN(40%,$B$10+VLOOKUP($Q101,武学奇术!$A:$ZZ,19,FALSE)+SUM(_xlfn.XLOOKUP($R101:$AK101,增益!$A:$A,增益!$S:$S,0)))+$B$12+SUM(_xlfn.XLOOKUP($R101:$AK101,增益!$A:$A,增益!$V:$V,0)))*IF(VLOOKUP($Q101,武学奇术!$A:$ZZ,23,FALSE)=1,0,1)</f>
        <v>0.0929</v>
      </c>
      <c r="BR101" s="27" cm="1">
        <f t="array" ref="BR101">1+$B$14+VLOOKUP($Q101,武学奇术!$A:$ZZ,20,FALSE)+SUM(_xlfn.XLOOKUP($R101:$AK101,增益!$A:$A,增益!$T:$T,0))</f>
        <v>1.35</v>
      </c>
      <c r="BS101" s="27">
        <f t="shared" si="43"/>
        <v>0.87863408</v>
      </c>
      <c r="BT101" s="27">
        <f t="shared" si="44"/>
        <v>0.01567581</v>
      </c>
      <c r="BU101" s="27">
        <f>IF(VLOOKUP($Q101,武学奇术!$A:$ZZ,22,FALSE)=1,0,(1-$BN101))*(1-$BQ101)</f>
        <v>0.01279011</v>
      </c>
      <c r="BV101" s="27" cm="1">
        <f t="array" ref="BV101">SUM(_xlfn.XLOOKUP($R101:$AK101,增益!$A:$A,增益!$W:$W,0))+$I$5</f>
        <v>0.11</v>
      </c>
    </row>
    <row r="102" spans="1:74">
      <c r="K102" s="40">
        <f t="shared" si="34"/>
        <v>38803.5282185399</v>
      </c>
      <c r="L102" s="40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BP102*$P102*(1+IF(VLOOKUP($Q102,武学奇术!$A:$ZZ,30,FALSE)="蓄力技",$B$21,0))*(1+$BV102)</f>
        <v>38803.5282185399</v>
      </c>
      <c r="M102" s="40">
        <f>(($AT102*$AM102+$AN102)*(1+$AU102)*(1+$AV102)+($AY102*IF($G$1="鸣金",$AO102,$AM102)+IF($G$1="鸣金",$AP102*1.5,0))*(1+$AZ102)*(1+$BA102)+($BC102*IF($G$1="裂石",$AO102,$AM102)+IF($G$1="裂石",$AP102*1.5,0))*(1+$BD102)*(1+$BE102)+($BG102*IF($G$1="牵丝",$AO102,$AM102)+IF($G$1="牵丝",$AP102*1.5,0))*(1+$BH102)*(1+$BI102)+($BK102*IF($G$1="破竹",$AO102,$AM102)+IF($G$1="破竹",$AP102*1.5,0))*(1+$BL102)*(1+$BM102))*(1+$AQ102)*$BR102*$P102*(1+IF(VLOOKUP($Q102,武学奇术!$A:$ZZ,30,FALSE)="蓄力技",$B$21,0))*(1+$BV102)</f>
        <v>28330.0778954011</v>
      </c>
      <c r="N102" s="40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P102*(1+IF(VLOOKUP($Q102,武学奇术!$A:$ZZ,30,FALSE)="蓄力技",$B$21,0))*(1+$BV102)</f>
        <v>18477.8705802571</v>
      </c>
      <c r="O102" s="40">
        <f>((($AS102*$AM102+$AN102)*(1+$AU102)*(1+$AV102)+($AX102*IF($G$1="鸣金",$AO102,$AM102)+IF($G$1="鸣金",$AP102*1.5,0))*(1+$AZ102)*(1+$BA102)+($BB102*IF($G$1="裂石",$AO102,$AM102)+IF($G$1="裂石",$AP102*1.5,0))*(1+$BD102)*(1+$BE102)+($BF102*IF($G$1="牵丝",$AO102,$AM102)+IF($G$1="牵丝",$AP102*1.5,0))*(1+$BH102)*(1+$BI102)+($BJ102*IF($G$1="破竹",$AO102,$AM102)+IF($G$1="破竹",$AP102*1.5,0))*(1+$BL102)*(1+$BM102))*(1+$AQ102))*$P102*(1+IF(VLOOKUP($Q102,武学奇术!$A:$ZZ,30,FALSE)="蓄力技",$B$21,0))*(1+$BV102)</f>
        <v>15970.4982750319</v>
      </c>
      <c r="P102" s="41">
        <v>1</v>
      </c>
      <c r="Q102" s="42" t="s">
        <v>117</v>
      </c>
      <c r="R102" s="42" t="s">
        <v>103</v>
      </c>
      <c r="S102" s="42" t="s">
        <v>169</v>
      </c>
      <c r="T102" s="42" t="s">
        <v>86</v>
      </c>
      <c r="U102" s="42" t="s">
        <v>121</v>
      </c>
      <c r="V102" s="42" t="s">
        <v>118</v>
      </c>
      <c r="W102" s="42" t="s">
        <v>114</v>
      </c>
      <c r="X102" s="42" t="s">
        <v>176</v>
      </c>
      <c r="Y102" s="42" t="s">
        <v>77</v>
      </c>
      <c r="Z102" s="42" t="s">
        <v>77</v>
      </c>
      <c r="AA102" s="42" t="s">
        <v>73</v>
      </c>
      <c r="AB102" s="42" t="s">
        <v>95</v>
      </c>
      <c r="AC102" s="42" t="s">
        <v>77</v>
      </c>
      <c r="AD102" s="42" t="s">
        <v>80</v>
      </c>
      <c r="AE102" s="42" t="s">
        <v>81</v>
      </c>
      <c r="AF102" s="42" t="s">
        <v>82</v>
      </c>
      <c r="AG102" s="42" t="s">
        <v>77</v>
      </c>
      <c r="AH102" s="42" t="s">
        <v>77</v>
      </c>
      <c r="AI102" s="42" t="s">
        <v>77</v>
      </c>
      <c r="AJ102" s="42" t="s">
        <v>77</v>
      </c>
      <c r="AK102" s="42" t="s">
        <v>90</v>
      </c>
      <c r="AL102" t="str">
        <f>VLOOKUP($Q102,武学奇术!$A:$ZZ,25,FALSE)</f>
        <v>陌刀</v>
      </c>
      <c r="AM102" s="27">
        <f>VLOOKUP($Q102,武学奇术!$A:$ZZ,26,FALSE)</f>
        <v>0.9</v>
      </c>
      <c r="AN102" s="28">
        <f>VLOOKUP($Q102,武学奇术!$A:$ZZ,27,FALSE)*(1+IF(OR($AL102=$F$4,$AL102=$F$5),$B$22,0))</f>
        <v>0</v>
      </c>
      <c r="AO102" s="27">
        <f>VLOOKUP($Q102,武学奇术!$A:$ZZ,28,FALSE)</f>
        <v>1.35</v>
      </c>
      <c r="AP102" s="28">
        <f>VLOOKUP($Q102,武学奇术!$A:$ZZ,29,FALSE)*(1+IF(OR($AL102=$F$4,$AL102=$F$5),$B$22,0))</f>
        <v>0</v>
      </c>
      <c r="AQ102" s="27" cm="1">
        <f t="array" ref="AQ102">$G$3+IFERROR(VLOOKUP($AL102,$F$4:$G$7,2,FALSE),0)+VLOOKUP($Q102,武学奇术!$A:$ZZ,2,FALSE)+SUM(_xlfn.XLOOKUP($R102:$AK102,增益!$A:$A,增益!$B:$B,0))</f>
        <v>0.8641</v>
      </c>
      <c r="AR102" s="27" cm="1">
        <f t="array" ref="AR102">VLOOKUP($Q102,武学奇术!$A:$ZZ,5,FALSE)+SUM(_xlfn.XLOOKUP($R102:$AK102,增益!$A:$A,增益!$E:$E,0))</f>
        <v>0</v>
      </c>
      <c r="AS102" cm="1">
        <f t="array" ref="AS102">$D$10*(1+$AR102)+VLOOKUP($Q102,武学奇术!$A:$ZZ,3,FALSE)+SUM(_xlfn.XLOOKUP($R102:$AK102,增益!$A:$A,增益!$C:$C,0))-$I$2</f>
        <v>3648.7</v>
      </c>
      <c r="AT102" cm="1">
        <f t="array" ref="AT102">$E$10*(1+$AR102)+VLOOKUP($Q102,武学奇术!$A:$ZZ,4,FALSE)+SUM(_xlfn.XLOOKUP($R102:$AK102,增益!$A:$A,增益!$D:$D,0))-$I$2</f>
        <v>3648.7</v>
      </c>
      <c r="AU102" s="34" cm="1">
        <f t="array" ref="AU102">IF($F$10-$I$3+VLOOKUP($Q102,武学奇术!$A:$ZZ,6,FALSE)+SUM(_xlfn.XLOOKUP($R102:$AK102,增益!$A:$A,增益!$F:$F,0))&gt;0,($F$10-$I$3+VLOOKUP($Q102,武学奇术!$A:$ZZ,6,FALSE)+SUM(_xlfn.XLOOKUP($R102:$AK102,增益!$A:$A,增益!$F:$F,0)))/200,($F$10-$I$3+VLOOKUP($Q102,武学奇术!$A:$ZZ,6,FALSE)+SUM(_xlfn.XLOOKUP($R102:$AK102,增益!$A:$A,增益!$F:$F,0)))/100)</f>
        <v>0.452</v>
      </c>
      <c r="AV102" s="34" cm="1">
        <f t="array" ref="AV102">$G$10+VLOOKUP($Q102,武学奇术!$A:$ZZ,7,FALSE)+SUM(_xlfn.XLOOKUP($R102:$AK102,增益!$A:$A,增益!$G:$G,0))</f>
        <v>0</v>
      </c>
      <c r="AW102" s="27" cm="1">
        <f t="array" ref="AW102">VLOOKUP($Q102,武学奇术!$A:$ZZ,8,FALSE)+SUM(_xlfn.XLOOKUP($R102:$AK102,增益!$A:$A,增益!$H:$H,0))</f>
        <v>0</v>
      </c>
      <c r="AX102">
        <f t="shared" si="35"/>
        <v>0</v>
      </c>
      <c r="AY102">
        <f t="shared" si="36"/>
        <v>0</v>
      </c>
      <c r="AZ102" s="34" cm="1">
        <f t="array" ref="AZ102">IF($F$11-$I$4+VLOOKUP($Q102,武学奇术!$A:$ZZ,9,FALSE)+SUM(_xlfn.XLOOKUP($R102:$AK102,增益!$A:$A,增益!$I:$I,0))&gt;0,($F$11-$I$4+VLOOKUP($Q102,武学奇术!$A:$ZZ,9,FALSE)+SUM(_xlfn.XLOOKUP($R102:$AK102,增益!$A:$A,增益!$I:$I,0)))/200,($F$11-$I$4+VLOOKUP($Q102,武学奇术!$A:$ZZ,9,FALSE)+SUM(_xlfn.XLOOKUP($R102:$AK102,增益!$A:$A,增益!$I:$I,0)))/100)</f>
        <v>-0.14</v>
      </c>
      <c r="BA102" s="34" cm="1">
        <f t="array" ref="BA102">$G$11+VLOOKUP($Q102,武学奇术!$A:$ZZ,10,FALSE)+SUM(_xlfn.XLOOKUP($R102:$AK102,增益!$A:$A,增益!$J:$J,0))</f>
        <v>0</v>
      </c>
      <c r="BB102">
        <f t="shared" si="37"/>
        <v>594.1</v>
      </c>
      <c r="BC102">
        <f t="shared" si="38"/>
        <v>1604.9</v>
      </c>
      <c r="BD102" s="34" cm="1">
        <f t="array" ref="BD102">IF($F$12-$I$4+VLOOKUP($Q102,武学奇术!$A:$ZZ,11,FALSE)+SUM(_xlfn.XLOOKUP($R102:$AK102,增益!$A:$A,增益!$K:$K,0))&gt;0,($F$12-$I$4+VLOOKUP($Q102,武学奇术!$A:$ZZ,11,FALSE)+SUM(_xlfn.XLOOKUP($R102:$AK102,增益!$A:$A,增益!$K:$K,0)))/200,($F$12-$I$4+VLOOKUP($Q102,武学奇术!$A:$ZZ,11,FALSE)+SUM(_xlfn.XLOOKUP($R102:$AK102,增益!$A:$A,增益!$K:$K,0)))/100)</f>
        <v>0.17</v>
      </c>
      <c r="BE102" s="34" cm="1">
        <f t="array" ref="BE102">$G$12+VLOOKUP($Q102,武学奇术!$A:$ZZ,12,FALSE)+SUM(_xlfn.XLOOKUP($R102:$AK102,增益!$A:$A,增益!$L:$L,0))</f>
        <v>0.15</v>
      </c>
      <c r="BF102">
        <f t="shared" si="39"/>
        <v>0</v>
      </c>
      <c r="BG102">
        <f t="shared" si="40"/>
        <v>0</v>
      </c>
      <c r="BH102" s="34" cm="1">
        <f t="array" ref="BH102">IF($F$13-$I$4+VLOOKUP($Q102,武学奇术!$A:$ZZ,13,FALSE)+SUM(_xlfn.XLOOKUP($R102:$AK102,增益!$A:$A,增益!$M:$M,0))&gt;0,($F$13-$I$4+VLOOKUP($Q102,武学奇术!$A:$ZZ,13,FALSE)+SUM(_xlfn.XLOOKUP($R102:$AK102,增益!$A:$A,增益!$K:$K,0)))/200,($F$13-$I$4+VLOOKUP($Q102,武学奇术!$A:$ZZ,13,FALSE)+SUM(_xlfn.XLOOKUP($R102:$AK102,增益!$A:$A,增益!$M:$M,0)))/100)</f>
        <v>-0.14</v>
      </c>
      <c r="BI102" s="34" cm="1">
        <f t="array" ref="BI102">$G$13+VLOOKUP($Q102,武学奇术!$A:$ZZ,14,FALSE)+SUM(_xlfn.XLOOKUP($R102:$AK102,增益!$A:$A,增益!$N:$N,0))</f>
        <v>0</v>
      </c>
      <c r="BJ102">
        <f t="shared" si="41"/>
        <v>0</v>
      </c>
      <c r="BK102">
        <f t="shared" si="42"/>
        <v>0</v>
      </c>
      <c r="BL102" s="34" cm="1">
        <f t="array" ref="BL102">IF($F$14-$I$4+VLOOKUP($Q102,武学奇术!$A:$ZZ,15,FALSE)+SUM(_xlfn.XLOOKUP($R102:$AK102,增益!$A:$A,增益!$O:$O,0))&gt;0,($F$14-$I$4+VLOOKUP($Q102,武学奇术!$A:$ZZ,15,FALSE)+SUM(_xlfn.XLOOKUP($R102:$AK102,增益!$A:$A,增益!$O:$O,0)))/200,($F$14-$I$4+VLOOKUP($Q102,武学奇术!$A:$ZZ,15,FALSE)+SUM(_xlfn.XLOOKUP($R102:$AK102,增益!$A:$A,增益!$O:$O,0)))/100)</f>
        <v>-0.14</v>
      </c>
      <c r="BM102" s="34" cm="1">
        <f t="array" ref="BM102">$G$14+VLOOKUP($Q102,武学奇术!$A:$ZZ,16,FALSE)+SUM(_xlfn.XLOOKUP($R102:$AK102,增益!$A:$A,增益!$P:$P,0))</f>
        <v>0</v>
      </c>
      <c r="BN102" s="27">
        <f>MIN(IF(VLOOKUP($Q102,武学奇术!$A:$ZZ,23,FALSE)=1,100%,$B$8),100%)</f>
        <v>1</v>
      </c>
      <c r="BO102" s="27" cm="1">
        <f t="array" ref="BO102">IF(VLOOKUP($Q102,武学奇术!$A:$ZZ,23,FALSE)=1,100%,MIN(80%,$B$9+VLOOKUP($Q102,武学奇术!$A:$ZZ,17,FALSE)+SUM(_xlfn.XLOOKUP($R102:$AK102,增益!$A:$A,增益!$Q:$Q,0)))+$B$11+SUM(_xlfn.XLOOKUP($R102:$AK102,增益!$A:$A,增益!$U:$U,0)))*IF(VLOOKUP($Q102,武学奇术!$A:$ZZ,24,FALSE)=1,0,1)</f>
        <v>1</v>
      </c>
      <c r="BP102" s="27" cm="1">
        <f t="array" ref="BP102">1+$B$13+VLOOKUP($Q102,武学奇术!$A:$ZZ,18,FALSE)+SUM(_xlfn.XLOOKUP($R102:$AK102,增益!$A:$A,增益!$R:$R,0))</f>
        <v>2.1</v>
      </c>
      <c r="BQ102" s="27" cm="1">
        <f t="array" ref="BQ102">IF(VLOOKUP($Q102,武学奇术!$A:$ZZ,24,FALSE)=1,100%,MIN(40%,$B$10+VLOOKUP($Q102,武学奇术!$A:$ZZ,19,FALSE)+SUM(_xlfn.XLOOKUP($R102:$AK102,增益!$A:$A,增益!$S:$S,0)))+$B$12+SUM(_xlfn.XLOOKUP($R102:$AK102,增益!$A:$A,增益!$V:$V,0)))*IF(VLOOKUP($Q102,武学奇术!$A:$ZZ,23,FALSE)=1,0,1)</f>
        <v>0</v>
      </c>
      <c r="BR102" s="27" cm="1">
        <f t="array" ref="BR102">1+$B$14+VLOOKUP($Q102,武学奇术!$A:$ZZ,20,FALSE)+SUM(_xlfn.XLOOKUP($R102:$AK102,增益!$A:$A,增益!$T:$T,0))</f>
        <v>1.35</v>
      </c>
      <c r="BS102" s="27">
        <f t="shared" si="43"/>
        <v>1</v>
      </c>
      <c r="BT102" s="27">
        <f t="shared" si="44"/>
        <v>0</v>
      </c>
      <c r="BU102" s="27">
        <f>IF(VLOOKUP($Q102,武学奇术!$A:$ZZ,22,FALSE)=1,0,(1-$BN102))*(1-$BQ102)</f>
        <v>0</v>
      </c>
      <c r="BV102" s="27" cm="1">
        <f t="array" ref="BV102">SUM(_xlfn.XLOOKUP($R102:$AK102,增益!$A:$A,增益!$W:$W,0))+$I$5</f>
        <v>0.11</v>
      </c>
    </row>
    <row r="103" spans="1:74">
      <c r="K103" s="40">
        <f t="shared" ref="K103:K127" si="45">($L103*$BS103+$M103*$BQ103+$N103*$BT103+$O103*$BU103)</f>
        <v>368217.55206083</v>
      </c>
      <c r="L103" s="40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BP103*$P103*(1+IF(VLOOKUP($Q103,武学奇术!$A:$ZZ,30,FALSE)="蓄力技",$B$21,0))*(1+$BV103)</f>
        <v>368217.55206083</v>
      </c>
      <c r="M103" s="40">
        <f>(($AT103*$AM103+$AN103)*(1+$AU103)*(1+$AV103)+($AY103*IF($G$1="鸣金",$AO103,$AM103)+IF($G$1="鸣金",$AP103*1.5,0))*(1+$AZ103)*(1+$BA103)+($BC103*IF($G$1="裂石",$AO103,$AM103)+IF($G$1="裂石",$AP103*1.5,0))*(1+$BD103)*(1+$BE103)+($BG103*IF($G$1="牵丝",$AO103,$AM103)+IF($G$1="牵丝",$AP103*1.5,0))*(1+$BH103)*(1+$BI103)+($BK103*IF($G$1="破竹",$AO103,$AM103)+IF($G$1="破竹",$AP103*1.5,0))*(1+$BL103)*(1+$BM103))*(1+$AQ103)*$BR103*$P103*(1+IF(VLOOKUP($Q103,武学奇术!$A:$ZZ,30,FALSE)="蓄力技",$B$21,0))*(1+$BV103)</f>
        <v>264867.601480051</v>
      </c>
      <c r="N103" s="40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P103*(1+IF(VLOOKUP($Q103,武学奇术!$A:$ZZ,30,FALSE)="蓄力技",$B$21,0))*(1+$BV103)</f>
        <v>175341.691457538</v>
      </c>
      <c r="O103" s="40">
        <f>((($AS103*$AM103+$AN103)*(1+$AU103)*(1+$AV103)+($AX103*IF($G$1="鸣金",$AO103,$AM103)+IF($G$1="鸣金",$AP103*1.5,0))*(1+$AZ103)*(1+$BA103)+($BB103*IF($G$1="裂石",$AO103,$AM103)+IF($G$1="裂石",$AP103*1.5,0))*(1+$BD103)*(1+$BE103)+($BF103*IF($G$1="牵丝",$AO103,$AM103)+IF($G$1="牵丝",$AP103*1.5,0))*(1+$BH103)*(1+$BI103)+($BJ103*IF($G$1="破竹",$AO103,$AM103)+IF($G$1="破竹",$AP103*1.5,0))*(1+$BL103)*(1+$BM103))*(1+$AQ103))*$P103*(1+IF(VLOOKUP($Q103,武学奇术!$A:$ZZ,30,FALSE)="蓄力技",$B$21,0))*(1+$BV103)</f>
        <v>154485.15959652</v>
      </c>
      <c r="P103" s="41">
        <v>1</v>
      </c>
      <c r="Q103" s="42" t="s">
        <v>120</v>
      </c>
      <c r="R103" s="42" t="s">
        <v>103</v>
      </c>
      <c r="S103" s="42" t="s">
        <v>169</v>
      </c>
      <c r="T103" s="42" t="s">
        <v>86</v>
      </c>
      <c r="U103" s="42" t="s">
        <v>121</v>
      </c>
      <c r="V103" s="42" t="s">
        <v>118</v>
      </c>
      <c r="W103" s="42" t="s">
        <v>122</v>
      </c>
      <c r="X103" s="42" t="s">
        <v>176</v>
      </c>
      <c r="Y103" s="42" t="s">
        <v>77</v>
      </c>
      <c r="Z103" s="42" t="s">
        <v>77</v>
      </c>
      <c r="AA103" s="42" t="s">
        <v>73</v>
      </c>
      <c r="AB103" s="42" t="s">
        <v>95</v>
      </c>
      <c r="AC103" s="42" t="s">
        <v>77</v>
      </c>
      <c r="AD103" s="42" t="s">
        <v>80</v>
      </c>
      <c r="AE103" s="42" t="s">
        <v>81</v>
      </c>
      <c r="AF103" s="42" t="s">
        <v>82</v>
      </c>
      <c r="AG103" s="42" t="s">
        <v>77</v>
      </c>
      <c r="AH103" s="42" t="s">
        <v>77</v>
      </c>
      <c r="AI103" s="42" t="s">
        <v>77</v>
      </c>
      <c r="AJ103" s="42" t="s">
        <v>77</v>
      </c>
      <c r="AK103" s="42" t="s">
        <v>90</v>
      </c>
      <c r="AL103" t="str">
        <f>VLOOKUP($Q103,武学奇术!$A:$ZZ,25,FALSE)</f>
        <v>陌刀</v>
      </c>
      <c r="AM103" s="27">
        <f>VLOOKUP($Q103,武学奇术!$A:$ZZ,26,FALSE)</f>
        <v>7.5674</v>
      </c>
      <c r="AN103" s="28">
        <f>VLOOKUP($Q103,武学奇术!$A:$ZZ,27,FALSE)*(1+IF(OR($AL103=$F$4,$AL103=$F$5),$B$22,0))</f>
        <v>3139.5</v>
      </c>
      <c r="AO103" s="27">
        <f>VLOOKUP($Q103,武学奇术!$A:$ZZ,28,FALSE)</f>
        <v>11.3512</v>
      </c>
      <c r="AP103" s="28">
        <f>VLOOKUP($Q103,武学奇术!$A:$ZZ,29,FALSE)*(1+IF(OR($AL103=$F$4,$AL103=$F$5),$B$22,0))</f>
        <v>1710</v>
      </c>
      <c r="AQ103" s="27" cm="1">
        <f t="array" ref="AQ103">$G$3+IFERROR(VLOOKUP($AL103,$F$4:$G$7,2,FALSE),0)+VLOOKUP($Q103,武学奇术!$A:$ZZ,2,FALSE)+SUM(_xlfn.XLOOKUP($R103:$AK103,增益!$A:$A,增益!$B:$B,0))</f>
        <v>0.8441</v>
      </c>
      <c r="AR103" s="27" cm="1">
        <f t="array" ref="AR103">VLOOKUP($Q103,武学奇术!$A:$ZZ,5,FALSE)+SUM(_xlfn.XLOOKUP($R103:$AK103,增益!$A:$A,增益!$E:$E,0))</f>
        <v>0</v>
      </c>
      <c r="AS103" cm="1">
        <f t="array" ref="AS103">$D$10*(1+$AR103)+VLOOKUP($Q103,武学奇术!$A:$ZZ,3,FALSE)+SUM(_xlfn.XLOOKUP($R103:$AK103,增益!$A:$A,增益!$C:$C,0))-$I$2</f>
        <v>3648.7</v>
      </c>
      <c r="AT103" cm="1">
        <f t="array" ref="AT103">$E$10*(1+$AR103)+VLOOKUP($Q103,武学奇术!$A:$ZZ,4,FALSE)+SUM(_xlfn.XLOOKUP($R103:$AK103,增益!$A:$A,增益!$D:$D,0))-$I$2</f>
        <v>3648.7</v>
      </c>
      <c r="AU103" s="34" cm="1">
        <f t="array" ref="AU103">IF($F$10-$I$3+VLOOKUP($Q103,武学奇术!$A:$ZZ,6,FALSE)+SUM(_xlfn.XLOOKUP($R103:$AK103,增益!$A:$A,增益!$F:$F,0))&gt;0,($F$10-$I$3+VLOOKUP($Q103,武学奇术!$A:$ZZ,6,FALSE)+SUM(_xlfn.XLOOKUP($R103:$AK103,增益!$A:$A,增益!$F:$F,0)))/200,($F$10-$I$3+VLOOKUP($Q103,武学奇术!$A:$ZZ,6,FALSE)+SUM(_xlfn.XLOOKUP($R103:$AK103,增益!$A:$A,增益!$F:$F,0)))/100)</f>
        <v>0.452</v>
      </c>
      <c r="AV103" s="34" cm="1">
        <f t="array" ref="AV103">$G$10+VLOOKUP($Q103,武学奇术!$A:$ZZ,7,FALSE)+SUM(_xlfn.XLOOKUP($R103:$AK103,增益!$A:$A,增益!$G:$G,0))</f>
        <v>0</v>
      </c>
      <c r="AW103" s="27" cm="1">
        <f t="array" ref="AW103">VLOOKUP($Q103,武学奇术!$A:$ZZ,8,FALSE)+SUM(_xlfn.XLOOKUP($R103:$AK103,增益!$A:$A,增益!$H:$H,0))</f>
        <v>0</v>
      </c>
      <c r="AX103">
        <f t="shared" si="35"/>
        <v>0</v>
      </c>
      <c r="AY103">
        <f t="shared" si="36"/>
        <v>0</v>
      </c>
      <c r="AZ103" s="34" cm="1">
        <f t="array" ref="AZ103">IF($F$11-$I$4+VLOOKUP($Q103,武学奇术!$A:$ZZ,9,FALSE)+SUM(_xlfn.XLOOKUP($R103:$AK103,增益!$A:$A,增益!$I:$I,0))&gt;0,($F$11-$I$4+VLOOKUP($Q103,武学奇术!$A:$ZZ,9,FALSE)+SUM(_xlfn.XLOOKUP($R103:$AK103,增益!$A:$A,增益!$I:$I,0)))/200,($F$11-$I$4+VLOOKUP($Q103,武学奇术!$A:$ZZ,9,FALSE)+SUM(_xlfn.XLOOKUP($R103:$AK103,增益!$A:$A,增益!$I:$I,0)))/100)</f>
        <v>-0.14</v>
      </c>
      <c r="BA103" s="34" cm="1">
        <f t="array" ref="BA103">$G$11+VLOOKUP($Q103,武学奇术!$A:$ZZ,10,FALSE)+SUM(_xlfn.XLOOKUP($R103:$AK103,增益!$A:$A,增益!$J:$J,0))</f>
        <v>0</v>
      </c>
      <c r="BB103">
        <f t="shared" si="37"/>
        <v>594.1</v>
      </c>
      <c r="BC103">
        <f t="shared" si="38"/>
        <v>1604.9</v>
      </c>
      <c r="BD103" s="34" cm="1">
        <f t="array" ref="BD103">IF($F$12-$I$4+VLOOKUP($Q103,武学奇术!$A:$ZZ,11,FALSE)+SUM(_xlfn.XLOOKUP($R103:$AK103,增益!$A:$A,增益!$K:$K,0))&gt;0,($F$12-$I$4+VLOOKUP($Q103,武学奇术!$A:$ZZ,11,FALSE)+SUM(_xlfn.XLOOKUP($R103:$AK103,增益!$A:$A,增益!$K:$K,0)))/200,($F$12-$I$4+VLOOKUP($Q103,武学奇术!$A:$ZZ,11,FALSE)+SUM(_xlfn.XLOOKUP($R103:$AK103,增益!$A:$A,增益!$K:$K,0)))/100)</f>
        <v>0.17</v>
      </c>
      <c r="BE103" s="34" cm="1">
        <f t="array" ref="BE103">$G$12+VLOOKUP($Q103,武学奇术!$A:$ZZ,12,FALSE)+SUM(_xlfn.XLOOKUP($R103:$AK103,增益!$A:$A,增益!$L:$L,0))</f>
        <v>0.15</v>
      </c>
      <c r="BF103">
        <f t="shared" si="39"/>
        <v>0</v>
      </c>
      <c r="BG103">
        <f t="shared" si="40"/>
        <v>0</v>
      </c>
      <c r="BH103" s="34" cm="1">
        <f t="array" ref="BH103">IF($F$13-$I$4+VLOOKUP($Q103,武学奇术!$A:$ZZ,13,FALSE)+SUM(_xlfn.XLOOKUP($R103:$AK103,增益!$A:$A,增益!$M:$M,0))&gt;0,($F$13-$I$4+VLOOKUP($Q103,武学奇术!$A:$ZZ,13,FALSE)+SUM(_xlfn.XLOOKUP($R103:$AK103,增益!$A:$A,增益!$K:$K,0)))/200,($F$13-$I$4+VLOOKUP($Q103,武学奇术!$A:$ZZ,13,FALSE)+SUM(_xlfn.XLOOKUP($R103:$AK103,增益!$A:$A,增益!$M:$M,0)))/100)</f>
        <v>-0.14</v>
      </c>
      <c r="BI103" s="34" cm="1">
        <f t="array" ref="BI103">$G$13+VLOOKUP($Q103,武学奇术!$A:$ZZ,14,FALSE)+SUM(_xlfn.XLOOKUP($R103:$AK103,增益!$A:$A,增益!$N:$N,0))</f>
        <v>0</v>
      </c>
      <c r="BJ103">
        <f t="shared" si="41"/>
        <v>0</v>
      </c>
      <c r="BK103">
        <f t="shared" si="42"/>
        <v>0</v>
      </c>
      <c r="BL103" s="34" cm="1">
        <f t="array" ref="BL103">IF($F$14-$I$4+VLOOKUP($Q103,武学奇术!$A:$ZZ,15,FALSE)+SUM(_xlfn.XLOOKUP($R103:$AK103,增益!$A:$A,增益!$O:$O,0))&gt;0,($F$14-$I$4+VLOOKUP($Q103,武学奇术!$A:$ZZ,15,FALSE)+SUM(_xlfn.XLOOKUP($R103:$AK103,增益!$A:$A,增益!$O:$O,0)))/200,($F$14-$I$4+VLOOKUP($Q103,武学奇术!$A:$ZZ,15,FALSE)+SUM(_xlfn.XLOOKUP($R103:$AK103,增益!$A:$A,增益!$O:$O,0)))/100)</f>
        <v>-0.14</v>
      </c>
      <c r="BM103" s="34" cm="1">
        <f t="array" ref="BM103">$G$14+VLOOKUP($Q103,武学奇术!$A:$ZZ,16,FALSE)+SUM(_xlfn.XLOOKUP($R103:$AK103,增益!$A:$A,增益!$P:$P,0))</f>
        <v>0</v>
      </c>
      <c r="BN103" s="27">
        <f>MIN(IF(VLOOKUP($Q103,武学奇术!$A:$ZZ,23,FALSE)=1,100%,$B$8),100%)</f>
        <v>1</v>
      </c>
      <c r="BO103" s="27" cm="1">
        <f t="array" ref="BO103">IF(VLOOKUP($Q103,武学奇术!$A:$ZZ,23,FALSE)=1,100%,MIN(80%,$B$9+VLOOKUP($Q103,武学奇术!$A:$ZZ,17,FALSE)+SUM(_xlfn.XLOOKUP($R103:$AK103,增益!$A:$A,增益!$Q:$Q,0)))+$B$11+SUM(_xlfn.XLOOKUP($R103:$AK103,增益!$A:$A,增益!$U:$U,0)))*IF(VLOOKUP($Q103,武学奇术!$A:$ZZ,24,FALSE)=1,0,1)</f>
        <v>1</v>
      </c>
      <c r="BP103" s="27" cm="1">
        <f t="array" ref="BP103">1+$B$13+VLOOKUP($Q103,武学奇术!$A:$ZZ,18,FALSE)+SUM(_xlfn.XLOOKUP($R103:$AK103,增益!$A:$A,增益!$R:$R,0))</f>
        <v>2.1</v>
      </c>
      <c r="BQ103" s="27" cm="1">
        <f t="array" ref="BQ103">IF(VLOOKUP($Q103,武学奇术!$A:$ZZ,24,FALSE)=1,100%,MIN(40%,$B$10+VLOOKUP($Q103,武学奇术!$A:$ZZ,19,FALSE)+SUM(_xlfn.XLOOKUP($R103:$AK103,增益!$A:$A,增益!$S:$S,0)))+$B$12+SUM(_xlfn.XLOOKUP($R103:$AK103,增益!$A:$A,增益!$V:$V,0)))*IF(VLOOKUP($Q103,武学奇术!$A:$ZZ,23,FALSE)=1,0,1)</f>
        <v>0</v>
      </c>
      <c r="BR103" s="27" cm="1">
        <f t="array" ref="BR103">1+$B$14+VLOOKUP($Q103,武学奇术!$A:$ZZ,20,FALSE)+SUM(_xlfn.XLOOKUP($R103:$AK103,增益!$A:$A,增益!$T:$T,0))</f>
        <v>1.35</v>
      </c>
      <c r="BS103" s="27">
        <f t="shared" si="43"/>
        <v>1</v>
      </c>
      <c r="BT103" s="27">
        <f t="shared" si="44"/>
        <v>0</v>
      </c>
      <c r="BU103" s="27">
        <f>IF(VLOOKUP($Q103,武学奇术!$A:$ZZ,22,FALSE)=1,0,(1-$BN103))*(1-$BQ103)</f>
        <v>0</v>
      </c>
      <c r="BV103" s="27" cm="1">
        <f t="array" ref="BV103">SUM(_xlfn.XLOOKUP($R103:$AK103,增益!$A:$A,增益!$W:$W,0))+$I$5</f>
        <v>0.11</v>
      </c>
    </row>
    <row r="104" spans="1:74">
      <c r="K104" s="40">
        <f t="shared" si="45"/>
        <v>25441.7527358795</v>
      </c>
      <c r="L104" s="40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BP104*$P104*(1+IF(VLOOKUP($Q104,武学奇术!$A:$ZZ,30,FALSE)="蓄力技",$B$21,0))*(1+$BV104)</f>
        <v>25441.7527358795</v>
      </c>
      <c r="M104" s="40">
        <f>(($AT104*$AM104+$AN104)*(1+$AU104)*(1+$AV104)+($AY104*IF($G$1="鸣金",$AO104,$AM104)+IF($G$1="鸣金",$AP104*1.5,0))*(1+$AZ104)*(1+$BA104)+($BC104*IF($G$1="裂石",$AO104,$AM104)+IF($G$1="裂石",$AP104*1.5,0))*(1+$BD104)*(1+$BE104)+($BG104*IF($G$1="牵丝",$AO104,$AM104)+IF($G$1="牵丝",$AP104*1.5,0))*(1+$BH104)*(1+$BI104)+($BK104*IF($G$1="破竹",$AO104,$AM104)+IF($G$1="破竹",$AP104*1.5,0))*(1+$BL104)*(1+$BM104))*(1+$AQ104)*$BR104*$P104*(1+IF(VLOOKUP($Q104,武学奇术!$A:$ZZ,30,FALSE)="蓄力技",$B$21,0))*(1+$BV104)</f>
        <v>18574.775797285</v>
      </c>
      <c r="N104" s="40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P104*(1+IF(VLOOKUP($Q104,武学奇术!$A:$ZZ,30,FALSE)="蓄力技",$B$21,0))*(1+$BV104)</f>
        <v>12115.1203504188</v>
      </c>
      <c r="O104" s="40">
        <f>((($AS104*$AM104+$AN104)*(1+$AU104)*(1+$AV104)+($AX104*IF($G$1="鸣金",$AO104,$AM104)+IF($G$1="鸣金",$AP104*1.5,0))*(1+$AZ104)*(1+$BA104)+($BB104*IF($G$1="裂石",$AO104,$AM104)+IF($G$1="裂石",$AP104*1.5,0))*(1+$BD104)*(1+$BE104)+($BF104*IF($G$1="牵丝",$AO104,$AM104)+IF($G$1="牵丝",$AP104*1.5,0))*(1+$BH104)*(1+$BI104)+($BJ104*IF($G$1="破竹",$AO104,$AM104)+IF($G$1="破竹",$AP104*1.5,0))*(1+$BL104)*(1+$BM104))*(1+$AQ104))*$P104*(1+IF(VLOOKUP($Q104,武学奇术!$A:$ZZ,30,FALSE)="蓄力技",$B$21,0))*(1+$BV104)</f>
        <v>10471.1475176636</v>
      </c>
      <c r="P104" s="41">
        <v>1</v>
      </c>
      <c r="Q104" s="42" t="s">
        <v>125</v>
      </c>
      <c r="R104" s="42" t="s">
        <v>103</v>
      </c>
      <c r="S104" s="42" t="s">
        <v>169</v>
      </c>
      <c r="T104" s="42" t="s">
        <v>86</v>
      </c>
      <c r="U104" s="42" t="s">
        <v>121</v>
      </c>
      <c r="V104" s="42" t="s">
        <v>118</v>
      </c>
      <c r="W104" s="42" t="s">
        <v>114</v>
      </c>
      <c r="X104" s="42" t="s">
        <v>176</v>
      </c>
      <c r="Y104" s="42" t="s">
        <v>186</v>
      </c>
      <c r="Z104" s="42" t="s">
        <v>187</v>
      </c>
      <c r="AA104" s="42" t="s">
        <v>73</v>
      </c>
      <c r="AB104" s="42" t="s">
        <v>89</v>
      </c>
      <c r="AC104" s="42" t="s">
        <v>77</v>
      </c>
      <c r="AD104" s="42" t="s">
        <v>80</v>
      </c>
      <c r="AE104" s="42" t="s">
        <v>81</v>
      </c>
      <c r="AF104" s="42" t="s">
        <v>82</v>
      </c>
      <c r="AG104" s="42" t="s">
        <v>77</v>
      </c>
      <c r="AH104" s="42" t="s">
        <v>77</v>
      </c>
      <c r="AI104" s="42" t="s">
        <v>77</v>
      </c>
      <c r="AJ104" s="42" t="s">
        <v>77</v>
      </c>
      <c r="AK104" s="42" t="s">
        <v>90</v>
      </c>
      <c r="AL104" t="str">
        <f>VLOOKUP($Q104,武学奇术!$A:$ZZ,25,FALSE)</f>
        <v>陌刀</v>
      </c>
      <c r="AM104" s="27">
        <f>VLOOKUP($Q104,武学奇术!$A:$ZZ,26,FALSE)</f>
        <v>0.5</v>
      </c>
      <c r="AN104" s="28">
        <f>VLOOKUP($Q104,武学奇术!$A:$ZZ,27,FALSE)*(1+IF(OR($AL104=$F$4,$AL104=$F$5),$B$22,0))</f>
        <v>0</v>
      </c>
      <c r="AO104" s="27">
        <f>VLOOKUP($Q104,武学奇术!$A:$ZZ,28,FALSE)</f>
        <v>0.75</v>
      </c>
      <c r="AP104" s="28">
        <f>VLOOKUP($Q104,武学奇术!$A:$ZZ,29,FALSE)*(1+IF(OR($AL104=$F$4,$AL104=$F$5),$B$22,0))</f>
        <v>0</v>
      </c>
      <c r="AQ104" s="27" cm="1">
        <f t="array" ref="AQ104">$G$3+IFERROR(VLOOKUP($AL104,$F$4:$G$7,2,FALSE),0)+VLOOKUP($Q104,武学奇术!$A:$ZZ,2,FALSE)+SUM(_xlfn.XLOOKUP($R104:$AK104,增益!$A:$A,增益!$B:$B,0))</f>
        <v>0.8641</v>
      </c>
      <c r="AR104" s="27" cm="1">
        <f t="array" ref="AR104">VLOOKUP($Q104,武学奇术!$A:$ZZ,5,FALSE)+SUM(_xlfn.XLOOKUP($R104:$AK104,增益!$A:$A,增益!$E:$E,0))</f>
        <v>0</v>
      </c>
      <c r="AS104" cm="1">
        <f t="array" ref="AS104">$D$10*(1+$AR104)+VLOOKUP($Q104,武学奇术!$A:$ZZ,3,FALSE)+SUM(_xlfn.XLOOKUP($R104:$AK104,增益!$A:$A,增益!$C:$C,0))-$I$2</f>
        <v>3648.7</v>
      </c>
      <c r="AT104" cm="1">
        <f t="array" ref="AT104">$E$10*(1+$AR104)+VLOOKUP($Q104,武学奇术!$A:$ZZ,4,FALSE)+SUM(_xlfn.XLOOKUP($R104:$AK104,增益!$A:$A,增益!$D:$D,0))-$I$2</f>
        <v>3648.7</v>
      </c>
      <c r="AU104" s="34" cm="1">
        <f t="array" ref="AU104">IF($F$10-$I$3+VLOOKUP($Q104,武学奇术!$A:$ZZ,6,FALSE)+SUM(_xlfn.XLOOKUP($R104:$AK104,增益!$A:$A,增益!$F:$F,0))&gt;0,($F$10-$I$3+VLOOKUP($Q104,武学奇术!$A:$ZZ,6,FALSE)+SUM(_xlfn.XLOOKUP($R104:$AK104,增益!$A:$A,增益!$F:$F,0)))/200,($F$10-$I$3+VLOOKUP($Q104,武学奇术!$A:$ZZ,6,FALSE)+SUM(_xlfn.XLOOKUP($R104:$AK104,增益!$A:$A,增益!$F:$F,0)))/100)</f>
        <v>0.452</v>
      </c>
      <c r="AV104" s="34" cm="1">
        <f t="array" ref="AV104">$G$10+VLOOKUP($Q104,武学奇术!$A:$ZZ,7,FALSE)+SUM(_xlfn.XLOOKUP($R104:$AK104,增益!$A:$A,增益!$G:$G,0))</f>
        <v>0</v>
      </c>
      <c r="AW104" s="27" cm="1">
        <f t="array" ref="AW104">VLOOKUP($Q104,武学奇术!$A:$ZZ,8,FALSE)+SUM(_xlfn.XLOOKUP($R104:$AK104,增益!$A:$A,增益!$H:$H,0))</f>
        <v>0</v>
      </c>
      <c r="AX104">
        <f t="shared" si="35"/>
        <v>0</v>
      </c>
      <c r="AY104">
        <f t="shared" si="36"/>
        <v>0</v>
      </c>
      <c r="AZ104" s="34" cm="1">
        <f t="array" ref="AZ104">IF($F$11-$I$4+VLOOKUP($Q104,武学奇术!$A:$ZZ,9,FALSE)+SUM(_xlfn.XLOOKUP($R104:$AK104,增益!$A:$A,增益!$I:$I,0))&gt;0,($F$11-$I$4+VLOOKUP($Q104,武学奇术!$A:$ZZ,9,FALSE)+SUM(_xlfn.XLOOKUP($R104:$AK104,增益!$A:$A,增益!$I:$I,0)))/200,($F$11-$I$4+VLOOKUP($Q104,武学奇术!$A:$ZZ,9,FALSE)+SUM(_xlfn.XLOOKUP($R104:$AK104,增益!$A:$A,增益!$I:$I,0)))/100)</f>
        <v>-0.14</v>
      </c>
      <c r="BA104" s="34" cm="1">
        <f t="array" ref="BA104">$G$11+VLOOKUP($Q104,武学奇术!$A:$ZZ,10,FALSE)+SUM(_xlfn.XLOOKUP($R104:$AK104,增益!$A:$A,增益!$J:$J,0))</f>
        <v>0.1</v>
      </c>
      <c r="BB104">
        <f t="shared" si="37"/>
        <v>594.1</v>
      </c>
      <c r="BC104">
        <f t="shared" si="38"/>
        <v>1604.9</v>
      </c>
      <c r="BD104" s="34" cm="1">
        <f t="array" ref="BD104">IF($F$12-$I$4+VLOOKUP($Q104,武学奇术!$A:$ZZ,11,FALSE)+SUM(_xlfn.XLOOKUP($R104:$AK104,增益!$A:$A,增益!$K:$K,0))&gt;0,($F$12-$I$4+VLOOKUP($Q104,武学奇术!$A:$ZZ,11,FALSE)+SUM(_xlfn.XLOOKUP($R104:$AK104,增益!$A:$A,增益!$K:$K,0)))/200,($F$12-$I$4+VLOOKUP($Q104,武学奇术!$A:$ZZ,11,FALSE)+SUM(_xlfn.XLOOKUP($R104:$AK104,增益!$A:$A,增益!$K:$K,0)))/100)</f>
        <v>0.17</v>
      </c>
      <c r="BE104" s="34" cm="1">
        <f t="array" ref="BE104">$G$12+VLOOKUP($Q104,武学奇术!$A:$ZZ,12,FALSE)+SUM(_xlfn.XLOOKUP($R104:$AK104,增益!$A:$A,增益!$L:$L,0))</f>
        <v>0.15</v>
      </c>
      <c r="BF104">
        <f t="shared" si="39"/>
        <v>0</v>
      </c>
      <c r="BG104">
        <f t="shared" si="40"/>
        <v>0</v>
      </c>
      <c r="BH104" s="34" cm="1">
        <f t="array" ref="BH104">IF($F$13-$I$4+VLOOKUP($Q104,武学奇术!$A:$ZZ,13,FALSE)+SUM(_xlfn.XLOOKUP($R104:$AK104,增益!$A:$A,增益!$M:$M,0))&gt;0,($F$13-$I$4+VLOOKUP($Q104,武学奇术!$A:$ZZ,13,FALSE)+SUM(_xlfn.XLOOKUP($R104:$AK104,增益!$A:$A,增益!$K:$K,0)))/200,($F$13-$I$4+VLOOKUP($Q104,武学奇术!$A:$ZZ,13,FALSE)+SUM(_xlfn.XLOOKUP($R104:$AK104,增益!$A:$A,增益!$M:$M,0)))/100)</f>
        <v>-0.14</v>
      </c>
      <c r="BI104" s="34" cm="1">
        <f t="array" ref="BI104">$G$13+VLOOKUP($Q104,武学奇术!$A:$ZZ,14,FALSE)+SUM(_xlfn.XLOOKUP($R104:$AK104,增益!$A:$A,增益!$N:$N,0))</f>
        <v>0</v>
      </c>
      <c r="BJ104">
        <f t="shared" si="41"/>
        <v>0</v>
      </c>
      <c r="BK104">
        <f t="shared" si="42"/>
        <v>0</v>
      </c>
      <c r="BL104" s="34" cm="1">
        <f t="array" ref="BL104">IF($F$14-$I$4+VLOOKUP($Q104,武学奇术!$A:$ZZ,15,FALSE)+SUM(_xlfn.XLOOKUP($R104:$AK104,增益!$A:$A,增益!$O:$O,0))&gt;0,($F$14-$I$4+VLOOKUP($Q104,武学奇术!$A:$ZZ,15,FALSE)+SUM(_xlfn.XLOOKUP($R104:$AK104,增益!$A:$A,增益!$O:$O,0)))/200,($F$14-$I$4+VLOOKUP($Q104,武学奇术!$A:$ZZ,15,FALSE)+SUM(_xlfn.XLOOKUP($R104:$AK104,增益!$A:$A,增益!$O:$O,0)))/100)</f>
        <v>-0.14</v>
      </c>
      <c r="BM104" s="34" cm="1">
        <f t="array" ref="BM104">$G$14+VLOOKUP($Q104,武学奇术!$A:$ZZ,16,FALSE)+SUM(_xlfn.XLOOKUP($R104:$AK104,增益!$A:$A,增益!$P:$P,0))</f>
        <v>0</v>
      </c>
      <c r="BN104" s="27">
        <f>MIN(IF(VLOOKUP($Q104,武学奇术!$A:$ZZ,23,FALSE)=1,100%,$B$8),100%)</f>
        <v>1</v>
      </c>
      <c r="BO104" s="27" cm="1">
        <f t="array" ref="BO104">IF(VLOOKUP($Q104,武学奇术!$A:$ZZ,23,FALSE)=1,100%,MIN(80%,$B$9+VLOOKUP($Q104,武学奇术!$A:$ZZ,17,FALSE)+SUM(_xlfn.XLOOKUP($R104:$AK104,增益!$A:$A,增益!$Q:$Q,0)))+$B$11+SUM(_xlfn.XLOOKUP($R104:$AK104,增益!$A:$A,增益!$U:$U,0)))*IF(VLOOKUP($Q104,武学奇术!$A:$ZZ,24,FALSE)=1,0,1)</f>
        <v>1</v>
      </c>
      <c r="BP104" s="27" cm="1">
        <f t="array" ref="BP104">1+$B$13+VLOOKUP($Q104,武学奇术!$A:$ZZ,18,FALSE)+SUM(_xlfn.XLOOKUP($R104:$AK104,增益!$A:$A,增益!$R:$R,0))</f>
        <v>2.1</v>
      </c>
      <c r="BQ104" s="27" cm="1">
        <f t="array" ref="BQ104">IF(VLOOKUP($Q104,武学奇术!$A:$ZZ,24,FALSE)=1,100%,MIN(40%,$B$10+VLOOKUP($Q104,武学奇术!$A:$ZZ,19,FALSE)+SUM(_xlfn.XLOOKUP($R104:$AK104,增益!$A:$A,增益!$S:$S,0)))+$B$12+SUM(_xlfn.XLOOKUP($R104:$AK104,增益!$A:$A,增益!$V:$V,0)))*IF(VLOOKUP($Q104,武学奇术!$A:$ZZ,23,FALSE)=1,0,1)</f>
        <v>0</v>
      </c>
      <c r="BR104" s="27" cm="1">
        <f t="array" ref="BR104">1+$B$14+VLOOKUP($Q104,武学奇术!$A:$ZZ,20,FALSE)+SUM(_xlfn.XLOOKUP($R104:$AK104,增益!$A:$A,增益!$T:$T,0))</f>
        <v>1.35</v>
      </c>
      <c r="BS104" s="27">
        <f t="shared" si="43"/>
        <v>1</v>
      </c>
      <c r="BT104" s="27">
        <f t="shared" si="44"/>
        <v>0</v>
      </c>
      <c r="BU104" s="27">
        <f>IF(VLOOKUP($Q104,武学奇术!$A:$ZZ,22,FALSE)=1,0,(1-$BN104))*(1-$BQ104)</f>
        <v>0</v>
      </c>
      <c r="BV104" s="27" cm="1">
        <f t="array" ref="BV104">SUM(_xlfn.XLOOKUP($R104:$AK104,增益!$A:$A,增益!$W:$W,0))+$I$5</f>
        <v>0.31</v>
      </c>
    </row>
    <row r="105" spans="1:74">
      <c r="K105" s="40">
        <f t="shared" si="45"/>
        <v>45795.1549245831</v>
      </c>
      <c r="L105" s="40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BP105*$P105*(1+IF(VLOOKUP($Q105,武学奇术!$A:$ZZ,30,FALSE)="蓄力技",$B$21,0))*(1+$BV105)</f>
        <v>45795.1549245831</v>
      </c>
      <c r="M105" s="40">
        <f>(($AT105*$AM105+$AN105)*(1+$AU105)*(1+$AV105)+($AY105*IF($G$1="鸣金",$AO105,$AM105)+IF($G$1="鸣金",$AP105*1.5,0))*(1+$AZ105)*(1+$BA105)+($BC105*IF($G$1="裂石",$AO105,$AM105)+IF($G$1="裂石",$AP105*1.5,0))*(1+$BD105)*(1+$BE105)+($BG105*IF($G$1="牵丝",$AO105,$AM105)+IF($G$1="牵丝",$AP105*1.5,0))*(1+$BH105)*(1+$BI105)+($BK105*IF($G$1="破竹",$AO105,$AM105)+IF($G$1="破竹",$AP105*1.5,0))*(1+$BL105)*(1+$BM105))*(1+$AQ105)*$BR105*$P105*(1+IF(VLOOKUP($Q105,武学奇术!$A:$ZZ,30,FALSE)="蓄力技",$B$21,0))*(1+$BV105)</f>
        <v>33434.596435113</v>
      </c>
      <c r="N105" s="40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P105*(1+IF(VLOOKUP($Q105,武学奇术!$A:$ZZ,30,FALSE)="蓄力技",$B$21,0))*(1+$BV105)</f>
        <v>21807.2166307539</v>
      </c>
      <c r="O105" s="40">
        <f>((($AS105*$AM105+$AN105)*(1+$AU105)*(1+$AV105)+($AX105*IF($G$1="鸣金",$AO105,$AM105)+IF($G$1="鸣金",$AP105*1.5,0))*(1+$AZ105)*(1+$BA105)+($BB105*IF($G$1="裂石",$AO105,$AM105)+IF($G$1="裂石",$AP105*1.5,0))*(1+$BD105)*(1+$BE105)+($BF105*IF($G$1="牵丝",$AO105,$AM105)+IF($G$1="牵丝",$AP105*1.5,0))*(1+$BH105)*(1+$BI105)+($BJ105*IF($G$1="破竹",$AO105,$AM105)+IF($G$1="破竹",$AP105*1.5,0))*(1+$BL105)*(1+$BM105))*(1+$AQ105))*$P105*(1+IF(VLOOKUP($Q105,武学奇术!$A:$ZZ,30,FALSE)="蓄力技",$B$21,0))*(1+$BV105)</f>
        <v>18848.0655317944</v>
      </c>
      <c r="P105" s="41">
        <v>1</v>
      </c>
      <c r="Q105" s="42" t="s">
        <v>117</v>
      </c>
      <c r="R105" s="42" t="s">
        <v>103</v>
      </c>
      <c r="S105" s="42" t="s">
        <v>169</v>
      </c>
      <c r="T105" s="42" t="s">
        <v>86</v>
      </c>
      <c r="U105" s="42" t="s">
        <v>121</v>
      </c>
      <c r="V105" s="42" t="s">
        <v>118</v>
      </c>
      <c r="W105" s="42" t="s">
        <v>114</v>
      </c>
      <c r="X105" s="42" t="s">
        <v>176</v>
      </c>
      <c r="Y105" s="42" t="s">
        <v>186</v>
      </c>
      <c r="Z105" s="42" t="s">
        <v>187</v>
      </c>
      <c r="AA105" s="42" t="s">
        <v>73</v>
      </c>
      <c r="AB105" s="42" t="s">
        <v>89</v>
      </c>
      <c r="AC105" s="42" t="s">
        <v>77</v>
      </c>
      <c r="AD105" s="42" t="s">
        <v>80</v>
      </c>
      <c r="AE105" s="42" t="s">
        <v>81</v>
      </c>
      <c r="AF105" s="42" t="s">
        <v>82</v>
      </c>
      <c r="AG105" s="42" t="s">
        <v>77</v>
      </c>
      <c r="AH105" s="42" t="s">
        <v>77</v>
      </c>
      <c r="AI105" s="42" t="s">
        <v>77</v>
      </c>
      <c r="AJ105" s="42" t="s">
        <v>77</v>
      </c>
      <c r="AK105" s="42" t="s">
        <v>90</v>
      </c>
      <c r="AL105" t="str">
        <f>VLOOKUP($Q105,武学奇术!$A:$ZZ,25,FALSE)</f>
        <v>陌刀</v>
      </c>
      <c r="AM105" s="27">
        <f>VLOOKUP($Q105,武学奇术!$A:$ZZ,26,FALSE)</f>
        <v>0.9</v>
      </c>
      <c r="AN105" s="28">
        <f>VLOOKUP($Q105,武学奇术!$A:$ZZ,27,FALSE)*(1+IF(OR($AL105=$F$4,$AL105=$F$5),$B$22,0))</f>
        <v>0</v>
      </c>
      <c r="AO105" s="27">
        <f>VLOOKUP($Q105,武学奇术!$A:$ZZ,28,FALSE)</f>
        <v>1.35</v>
      </c>
      <c r="AP105" s="28">
        <f>VLOOKUP($Q105,武学奇术!$A:$ZZ,29,FALSE)*(1+IF(OR($AL105=$F$4,$AL105=$F$5),$B$22,0))</f>
        <v>0</v>
      </c>
      <c r="AQ105" s="27" cm="1">
        <f t="array" ref="AQ105">$G$3+IFERROR(VLOOKUP($AL105,$F$4:$G$7,2,FALSE),0)+VLOOKUP($Q105,武学奇术!$A:$ZZ,2,FALSE)+SUM(_xlfn.XLOOKUP($R105:$AK105,增益!$A:$A,增益!$B:$B,0))</f>
        <v>0.8641</v>
      </c>
      <c r="AR105" s="27" cm="1">
        <f t="array" ref="AR105">VLOOKUP($Q105,武学奇术!$A:$ZZ,5,FALSE)+SUM(_xlfn.XLOOKUP($R105:$AK105,增益!$A:$A,增益!$E:$E,0))</f>
        <v>0</v>
      </c>
      <c r="AS105" cm="1">
        <f t="array" ref="AS105">$D$10*(1+$AR105)+VLOOKUP($Q105,武学奇术!$A:$ZZ,3,FALSE)+SUM(_xlfn.XLOOKUP($R105:$AK105,增益!$A:$A,增益!$C:$C,0))-$I$2</f>
        <v>3648.7</v>
      </c>
      <c r="AT105" cm="1">
        <f t="array" ref="AT105">$E$10*(1+$AR105)+VLOOKUP($Q105,武学奇术!$A:$ZZ,4,FALSE)+SUM(_xlfn.XLOOKUP($R105:$AK105,增益!$A:$A,增益!$D:$D,0))-$I$2</f>
        <v>3648.7</v>
      </c>
      <c r="AU105" s="34" cm="1">
        <f t="array" ref="AU105">IF($F$10-$I$3+VLOOKUP($Q105,武学奇术!$A:$ZZ,6,FALSE)+SUM(_xlfn.XLOOKUP($R105:$AK105,增益!$A:$A,增益!$F:$F,0))&gt;0,($F$10-$I$3+VLOOKUP($Q105,武学奇术!$A:$ZZ,6,FALSE)+SUM(_xlfn.XLOOKUP($R105:$AK105,增益!$A:$A,增益!$F:$F,0)))/200,($F$10-$I$3+VLOOKUP($Q105,武学奇术!$A:$ZZ,6,FALSE)+SUM(_xlfn.XLOOKUP($R105:$AK105,增益!$A:$A,增益!$F:$F,0)))/100)</f>
        <v>0.452</v>
      </c>
      <c r="AV105" s="34" cm="1">
        <f t="array" ref="AV105">$G$10+VLOOKUP($Q105,武学奇术!$A:$ZZ,7,FALSE)+SUM(_xlfn.XLOOKUP($R105:$AK105,增益!$A:$A,增益!$G:$G,0))</f>
        <v>0</v>
      </c>
      <c r="AW105" s="27" cm="1">
        <f t="array" ref="AW105">VLOOKUP($Q105,武学奇术!$A:$ZZ,8,FALSE)+SUM(_xlfn.XLOOKUP($R105:$AK105,增益!$A:$A,增益!$H:$H,0))</f>
        <v>0</v>
      </c>
      <c r="AX105">
        <f t="shared" si="35"/>
        <v>0</v>
      </c>
      <c r="AY105">
        <f t="shared" si="36"/>
        <v>0</v>
      </c>
      <c r="AZ105" s="34" cm="1">
        <f t="array" ref="AZ105">IF($F$11-$I$4+VLOOKUP($Q105,武学奇术!$A:$ZZ,9,FALSE)+SUM(_xlfn.XLOOKUP($R105:$AK105,增益!$A:$A,增益!$I:$I,0))&gt;0,($F$11-$I$4+VLOOKUP($Q105,武学奇术!$A:$ZZ,9,FALSE)+SUM(_xlfn.XLOOKUP($R105:$AK105,增益!$A:$A,增益!$I:$I,0)))/200,($F$11-$I$4+VLOOKUP($Q105,武学奇术!$A:$ZZ,9,FALSE)+SUM(_xlfn.XLOOKUP($R105:$AK105,增益!$A:$A,增益!$I:$I,0)))/100)</f>
        <v>-0.14</v>
      </c>
      <c r="BA105" s="34" cm="1">
        <f t="array" ref="BA105">$G$11+VLOOKUP($Q105,武学奇术!$A:$ZZ,10,FALSE)+SUM(_xlfn.XLOOKUP($R105:$AK105,增益!$A:$A,增益!$J:$J,0))</f>
        <v>0.1</v>
      </c>
      <c r="BB105">
        <f t="shared" si="37"/>
        <v>594.1</v>
      </c>
      <c r="BC105">
        <f t="shared" si="38"/>
        <v>1604.9</v>
      </c>
      <c r="BD105" s="34" cm="1">
        <f t="array" ref="BD105">IF($F$12-$I$4+VLOOKUP($Q105,武学奇术!$A:$ZZ,11,FALSE)+SUM(_xlfn.XLOOKUP($R105:$AK105,增益!$A:$A,增益!$K:$K,0))&gt;0,($F$12-$I$4+VLOOKUP($Q105,武学奇术!$A:$ZZ,11,FALSE)+SUM(_xlfn.XLOOKUP($R105:$AK105,增益!$A:$A,增益!$K:$K,0)))/200,($F$12-$I$4+VLOOKUP($Q105,武学奇术!$A:$ZZ,11,FALSE)+SUM(_xlfn.XLOOKUP($R105:$AK105,增益!$A:$A,增益!$K:$K,0)))/100)</f>
        <v>0.17</v>
      </c>
      <c r="BE105" s="34" cm="1">
        <f t="array" ref="BE105">$G$12+VLOOKUP($Q105,武学奇术!$A:$ZZ,12,FALSE)+SUM(_xlfn.XLOOKUP($R105:$AK105,增益!$A:$A,增益!$L:$L,0))</f>
        <v>0.15</v>
      </c>
      <c r="BF105">
        <f t="shared" si="39"/>
        <v>0</v>
      </c>
      <c r="BG105">
        <f t="shared" si="40"/>
        <v>0</v>
      </c>
      <c r="BH105" s="34" cm="1">
        <f t="array" ref="BH105">IF($F$13-$I$4+VLOOKUP($Q105,武学奇术!$A:$ZZ,13,FALSE)+SUM(_xlfn.XLOOKUP($R105:$AK105,增益!$A:$A,增益!$M:$M,0))&gt;0,($F$13-$I$4+VLOOKUP($Q105,武学奇术!$A:$ZZ,13,FALSE)+SUM(_xlfn.XLOOKUP($R105:$AK105,增益!$A:$A,增益!$K:$K,0)))/200,($F$13-$I$4+VLOOKUP($Q105,武学奇术!$A:$ZZ,13,FALSE)+SUM(_xlfn.XLOOKUP($R105:$AK105,增益!$A:$A,增益!$M:$M,0)))/100)</f>
        <v>-0.14</v>
      </c>
      <c r="BI105" s="34" cm="1">
        <f t="array" ref="BI105">$G$13+VLOOKUP($Q105,武学奇术!$A:$ZZ,14,FALSE)+SUM(_xlfn.XLOOKUP($R105:$AK105,增益!$A:$A,增益!$N:$N,0))</f>
        <v>0</v>
      </c>
      <c r="BJ105">
        <f t="shared" si="41"/>
        <v>0</v>
      </c>
      <c r="BK105">
        <f t="shared" si="42"/>
        <v>0</v>
      </c>
      <c r="BL105" s="34" cm="1">
        <f t="array" ref="BL105">IF($F$14-$I$4+VLOOKUP($Q105,武学奇术!$A:$ZZ,15,FALSE)+SUM(_xlfn.XLOOKUP($R105:$AK105,增益!$A:$A,增益!$O:$O,0))&gt;0,($F$14-$I$4+VLOOKUP($Q105,武学奇术!$A:$ZZ,15,FALSE)+SUM(_xlfn.XLOOKUP($R105:$AK105,增益!$A:$A,增益!$O:$O,0)))/200,($F$14-$I$4+VLOOKUP($Q105,武学奇术!$A:$ZZ,15,FALSE)+SUM(_xlfn.XLOOKUP($R105:$AK105,增益!$A:$A,增益!$O:$O,0)))/100)</f>
        <v>-0.14</v>
      </c>
      <c r="BM105" s="34" cm="1">
        <f t="array" ref="BM105">$G$14+VLOOKUP($Q105,武学奇术!$A:$ZZ,16,FALSE)+SUM(_xlfn.XLOOKUP($R105:$AK105,增益!$A:$A,增益!$P:$P,0))</f>
        <v>0</v>
      </c>
      <c r="BN105" s="27">
        <f>MIN(IF(VLOOKUP($Q105,武学奇术!$A:$ZZ,23,FALSE)=1,100%,$B$8),100%)</f>
        <v>1</v>
      </c>
      <c r="BO105" s="27" cm="1">
        <f t="array" ref="BO105">IF(VLOOKUP($Q105,武学奇术!$A:$ZZ,23,FALSE)=1,100%,MIN(80%,$B$9+VLOOKUP($Q105,武学奇术!$A:$ZZ,17,FALSE)+SUM(_xlfn.XLOOKUP($R105:$AK105,增益!$A:$A,增益!$Q:$Q,0)))+$B$11+SUM(_xlfn.XLOOKUP($R105:$AK105,增益!$A:$A,增益!$U:$U,0)))*IF(VLOOKUP($Q105,武学奇术!$A:$ZZ,24,FALSE)=1,0,1)</f>
        <v>1</v>
      </c>
      <c r="BP105" s="27" cm="1">
        <f t="array" ref="BP105">1+$B$13+VLOOKUP($Q105,武学奇术!$A:$ZZ,18,FALSE)+SUM(_xlfn.XLOOKUP($R105:$AK105,增益!$A:$A,增益!$R:$R,0))</f>
        <v>2.1</v>
      </c>
      <c r="BQ105" s="27" cm="1">
        <f t="array" ref="BQ105">IF(VLOOKUP($Q105,武学奇术!$A:$ZZ,24,FALSE)=1,100%,MIN(40%,$B$10+VLOOKUP($Q105,武学奇术!$A:$ZZ,19,FALSE)+SUM(_xlfn.XLOOKUP($R105:$AK105,增益!$A:$A,增益!$S:$S,0)))+$B$12+SUM(_xlfn.XLOOKUP($R105:$AK105,增益!$A:$A,增益!$V:$V,0)))*IF(VLOOKUP($Q105,武学奇术!$A:$ZZ,23,FALSE)=1,0,1)</f>
        <v>0</v>
      </c>
      <c r="BR105" s="27" cm="1">
        <f t="array" ref="BR105">1+$B$14+VLOOKUP($Q105,武学奇术!$A:$ZZ,20,FALSE)+SUM(_xlfn.XLOOKUP($R105:$AK105,增益!$A:$A,增益!$T:$T,0))</f>
        <v>1.35</v>
      </c>
      <c r="BS105" s="27">
        <f t="shared" si="43"/>
        <v>1</v>
      </c>
      <c r="BT105" s="27">
        <f t="shared" si="44"/>
        <v>0</v>
      </c>
      <c r="BU105" s="27">
        <f>IF(VLOOKUP($Q105,武学奇术!$A:$ZZ,22,FALSE)=1,0,(1-$BN105))*(1-$BQ105)</f>
        <v>0</v>
      </c>
      <c r="BV105" s="27" cm="1">
        <f t="array" ref="BV105">SUM(_xlfn.XLOOKUP($R105:$AK105,增益!$A:$A,增益!$W:$W,0))+$I$5</f>
        <v>0.31</v>
      </c>
    </row>
    <row r="106" spans="1:74">
      <c r="K106" s="40">
        <f t="shared" si="45"/>
        <v>434563.056936655</v>
      </c>
      <c r="L106" s="40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BP106*$P106*(1+IF(VLOOKUP($Q106,武学奇术!$A:$ZZ,30,FALSE)="蓄力技",$B$21,0))*(1+$BV106)</f>
        <v>434563.056936655</v>
      </c>
      <c r="M106" s="40">
        <f>(($AT106*$AM106+$AN106)*(1+$AU106)*(1+$AV106)+($AY106*IF($G$1="鸣金",$AO106,$AM106)+IF($G$1="鸣金",$AP106*1.5,0))*(1+$AZ106)*(1+$BA106)+($BC106*IF($G$1="裂石",$AO106,$AM106)+IF($G$1="裂石",$AP106*1.5,0))*(1+$BD106)*(1+$BE106)+($BG106*IF($G$1="牵丝",$AO106,$AM106)+IF($G$1="牵丝",$AP106*1.5,0))*(1+$BH106)*(1+$BI106)+($BK106*IF($G$1="破竹",$AO106,$AM106)+IF($G$1="破竹",$AP106*1.5,0))*(1+$BL106)*(1+$BM106))*(1+$AQ106)*$BR106*$P106*(1+IF(VLOOKUP($Q106,武学奇术!$A:$ZZ,30,FALSE)="蓄力技",$B$21,0))*(1+$BV106)</f>
        <v>312591.493638619</v>
      </c>
      <c r="N106" s="40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P106*(1+IF(VLOOKUP($Q106,武学奇术!$A:$ZZ,30,FALSE)="蓄力技",$B$21,0))*(1+$BV106)</f>
        <v>206934.789017455</v>
      </c>
      <c r="O106" s="40">
        <f>((($AS106*$AM106+$AN106)*(1+$AU106)*(1+$AV106)+($AX106*IF($G$1="鸣金",$AO106,$AM106)+IF($G$1="鸣金",$AP106*1.5,0))*(1+$AZ106)*(1+$BA106)+($BB106*IF($G$1="裂石",$AO106,$AM106)+IF($G$1="裂石",$AP106*1.5,0))*(1+$BD106)*(1+$BE106)+($BF106*IF($G$1="牵丝",$AO106,$AM106)+IF($G$1="牵丝",$AP106*1.5,0))*(1+$BH106)*(1+$BI106)+($BJ106*IF($G$1="破竹",$AO106,$AM106)+IF($G$1="破竹",$AP106*1.5,0))*(1+$BL106)*(1+$BM106))*(1+$AQ106))*$P106*(1+IF(VLOOKUP($Q106,武学奇术!$A:$ZZ,30,FALSE)="蓄力技",$B$21,0))*(1+$BV106)</f>
        <v>182320.323487784</v>
      </c>
      <c r="P106" s="41">
        <v>1</v>
      </c>
      <c r="Q106" s="42" t="s">
        <v>120</v>
      </c>
      <c r="R106" s="42" t="s">
        <v>103</v>
      </c>
      <c r="S106" s="42" t="s">
        <v>169</v>
      </c>
      <c r="T106" s="42" t="s">
        <v>86</v>
      </c>
      <c r="U106" s="42" t="s">
        <v>121</v>
      </c>
      <c r="V106" s="42" t="s">
        <v>118</v>
      </c>
      <c r="W106" s="42" t="s">
        <v>122</v>
      </c>
      <c r="X106" s="42" t="s">
        <v>176</v>
      </c>
      <c r="Y106" s="42" t="s">
        <v>186</v>
      </c>
      <c r="Z106" s="42" t="s">
        <v>187</v>
      </c>
      <c r="AA106" s="42" t="s">
        <v>73</v>
      </c>
      <c r="AB106" s="42" t="s">
        <v>89</v>
      </c>
      <c r="AC106" s="42" t="s">
        <v>77</v>
      </c>
      <c r="AD106" s="42" t="s">
        <v>80</v>
      </c>
      <c r="AE106" s="42" t="s">
        <v>81</v>
      </c>
      <c r="AF106" s="42" t="s">
        <v>82</v>
      </c>
      <c r="AG106" s="42" t="s">
        <v>77</v>
      </c>
      <c r="AH106" s="42" t="s">
        <v>77</v>
      </c>
      <c r="AI106" s="42" t="s">
        <v>77</v>
      </c>
      <c r="AJ106" s="42" t="s">
        <v>77</v>
      </c>
      <c r="AK106" s="42" t="s">
        <v>90</v>
      </c>
      <c r="AL106" t="str">
        <f>VLOOKUP($Q106,武学奇术!$A:$ZZ,25,FALSE)</f>
        <v>陌刀</v>
      </c>
      <c r="AM106" s="27">
        <f>VLOOKUP($Q106,武学奇术!$A:$ZZ,26,FALSE)</f>
        <v>7.5674</v>
      </c>
      <c r="AN106" s="28">
        <f>VLOOKUP($Q106,武学奇术!$A:$ZZ,27,FALSE)*(1+IF(OR($AL106=$F$4,$AL106=$F$5),$B$22,0))</f>
        <v>3139.5</v>
      </c>
      <c r="AO106" s="27">
        <f>VLOOKUP($Q106,武学奇术!$A:$ZZ,28,FALSE)</f>
        <v>11.3512</v>
      </c>
      <c r="AP106" s="28">
        <f>VLOOKUP($Q106,武学奇术!$A:$ZZ,29,FALSE)*(1+IF(OR($AL106=$F$4,$AL106=$F$5),$B$22,0))</f>
        <v>1710</v>
      </c>
      <c r="AQ106" s="27" cm="1">
        <f t="array" ref="AQ106">$G$3+IFERROR(VLOOKUP($AL106,$F$4:$G$7,2,FALSE),0)+VLOOKUP($Q106,武学奇术!$A:$ZZ,2,FALSE)+SUM(_xlfn.XLOOKUP($R106:$AK106,增益!$A:$A,增益!$B:$B,0))</f>
        <v>0.8441</v>
      </c>
      <c r="AR106" s="27" cm="1">
        <f t="array" ref="AR106">VLOOKUP($Q106,武学奇术!$A:$ZZ,5,FALSE)+SUM(_xlfn.XLOOKUP($R106:$AK106,增益!$A:$A,增益!$E:$E,0))</f>
        <v>0</v>
      </c>
      <c r="AS106" cm="1">
        <f t="array" ref="AS106">$D$10*(1+$AR106)+VLOOKUP($Q106,武学奇术!$A:$ZZ,3,FALSE)+SUM(_xlfn.XLOOKUP($R106:$AK106,增益!$A:$A,增益!$C:$C,0))-$I$2</f>
        <v>3648.7</v>
      </c>
      <c r="AT106" cm="1">
        <f t="array" ref="AT106">$E$10*(1+$AR106)+VLOOKUP($Q106,武学奇术!$A:$ZZ,4,FALSE)+SUM(_xlfn.XLOOKUP($R106:$AK106,增益!$A:$A,增益!$D:$D,0))-$I$2</f>
        <v>3648.7</v>
      </c>
      <c r="AU106" s="34" cm="1">
        <f t="array" ref="AU106">IF($F$10-$I$3+VLOOKUP($Q106,武学奇术!$A:$ZZ,6,FALSE)+SUM(_xlfn.XLOOKUP($R106:$AK106,增益!$A:$A,增益!$F:$F,0))&gt;0,($F$10-$I$3+VLOOKUP($Q106,武学奇术!$A:$ZZ,6,FALSE)+SUM(_xlfn.XLOOKUP($R106:$AK106,增益!$A:$A,增益!$F:$F,0)))/200,($F$10-$I$3+VLOOKUP($Q106,武学奇术!$A:$ZZ,6,FALSE)+SUM(_xlfn.XLOOKUP($R106:$AK106,增益!$A:$A,增益!$F:$F,0)))/100)</f>
        <v>0.452</v>
      </c>
      <c r="AV106" s="34" cm="1">
        <f t="array" ref="AV106">$G$10+VLOOKUP($Q106,武学奇术!$A:$ZZ,7,FALSE)+SUM(_xlfn.XLOOKUP($R106:$AK106,增益!$A:$A,增益!$G:$G,0))</f>
        <v>0</v>
      </c>
      <c r="AW106" s="27" cm="1">
        <f t="array" ref="AW106">VLOOKUP($Q106,武学奇术!$A:$ZZ,8,FALSE)+SUM(_xlfn.XLOOKUP($R106:$AK106,增益!$A:$A,增益!$H:$H,0))</f>
        <v>0</v>
      </c>
      <c r="AX106">
        <f t="shared" si="35"/>
        <v>0</v>
      </c>
      <c r="AY106">
        <f t="shared" si="36"/>
        <v>0</v>
      </c>
      <c r="AZ106" s="34" cm="1">
        <f t="array" ref="AZ106">IF($F$11-$I$4+VLOOKUP($Q106,武学奇术!$A:$ZZ,9,FALSE)+SUM(_xlfn.XLOOKUP($R106:$AK106,增益!$A:$A,增益!$I:$I,0))&gt;0,($F$11-$I$4+VLOOKUP($Q106,武学奇术!$A:$ZZ,9,FALSE)+SUM(_xlfn.XLOOKUP($R106:$AK106,增益!$A:$A,增益!$I:$I,0)))/200,($F$11-$I$4+VLOOKUP($Q106,武学奇术!$A:$ZZ,9,FALSE)+SUM(_xlfn.XLOOKUP($R106:$AK106,增益!$A:$A,增益!$I:$I,0)))/100)</f>
        <v>-0.14</v>
      </c>
      <c r="BA106" s="34" cm="1">
        <f t="array" ref="BA106">$G$11+VLOOKUP($Q106,武学奇术!$A:$ZZ,10,FALSE)+SUM(_xlfn.XLOOKUP($R106:$AK106,增益!$A:$A,增益!$J:$J,0))</f>
        <v>0.1</v>
      </c>
      <c r="BB106">
        <f t="shared" si="37"/>
        <v>594.1</v>
      </c>
      <c r="BC106">
        <f t="shared" si="38"/>
        <v>1604.9</v>
      </c>
      <c r="BD106" s="34" cm="1">
        <f t="array" ref="BD106">IF($F$12-$I$4+VLOOKUP($Q106,武学奇术!$A:$ZZ,11,FALSE)+SUM(_xlfn.XLOOKUP($R106:$AK106,增益!$A:$A,增益!$K:$K,0))&gt;0,($F$12-$I$4+VLOOKUP($Q106,武学奇术!$A:$ZZ,11,FALSE)+SUM(_xlfn.XLOOKUP($R106:$AK106,增益!$A:$A,增益!$K:$K,0)))/200,($F$12-$I$4+VLOOKUP($Q106,武学奇术!$A:$ZZ,11,FALSE)+SUM(_xlfn.XLOOKUP($R106:$AK106,增益!$A:$A,增益!$K:$K,0)))/100)</f>
        <v>0.17</v>
      </c>
      <c r="BE106" s="34" cm="1">
        <f t="array" ref="BE106">$G$12+VLOOKUP($Q106,武学奇术!$A:$ZZ,12,FALSE)+SUM(_xlfn.XLOOKUP($R106:$AK106,增益!$A:$A,增益!$L:$L,0))</f>
        <v>0.15</v>
      </c>
      <c r="BF106">
        <f t="shared" si="39"/>
        <v>0</v>
      </c>
      <c r="BG106">
        <f t="shared" si="40"/>
        <v>0</v>
      </c>
      <c r="BH106" s="34" cm="1">
        <f t="array" ref="BH106">IF($F$13-$I$4+VLOOKUP($Q106,武学奇术!$A:$ZZ,13,FALSE)+SUM(_xlfn.XLOOKUP($R106:$AK106,增益!$A:$A,增益!$M:$M,0))&gt;0,($F$13-$I$4+VLOOKUP($Q106,武学奇术!$A:$ZZ,13,FALSE)+SUM(_xlfn.XLOOKUP($R106:$AK106,增益!$A:$A,增益!$K:$K,0)))/200,($F$13-$I$4+VLOOKUP($Q106,武学奇术!$A:$ZZ,13,FALSE)+SUM(_xlfn.XLOOKUP($R106:$AK106,增益!$A:$A,增益!$M:$M,0)))/100)</f>
        <v>-0.14</v>
      </c>
      <c r="BI106" s="34" cm="1">
        <f t="array" ref="BI106">$G$13+VLOOKUP($Q106,武学奇术!$A:$ZZ,14,FALSE)+SUM(_xlfn.XLOOKUP($R106:$AK106,增益!$A:$A,增益!$N:$N,0))</f>
        <v>0</v>
      </c>
      <c r="BJ106">
        <f t="shared" si="41"/>
        <v>0</v>
      </c>
      <c r="BK106">
        <f t="shared" si="42"/>
        <v>0</v>
      </c>
      <c r="BL106" s="34" cm="1">
        <f t="array" ref="BL106">IF($F$14-$I$4+VLOOKUP($Q106,武学奇术!$A:$ZZ,15,FALSE)+SUM(_xlfn.XLOOKUP($R106:$AK106,增益!$A:$A,增益!$O:$O,0))&gt;0,($F$14-$I$4+VLOOKUP($Q106,武学奇术!$A:$ZZ,15,FALSE)+SUM(_xlfn.XLOOKUP($R106:$AK106,增益!$A:$A,增益!$O:$O,0)))/200,($F$14-$I$4+VLOOKUP($Q106,武学奇术!$A:$ZZ,15,FALSE)+SUM(_xlfn.XLOOKUP($R106:$AK106,增益!$A:$A,增益!$O:$O,0)))/100)</f>
        <v>-0.14</v>
      </c>
      <c r="BM106" s="34" cm="1">
        <f t="array" ref="BM106">$G$14+VLOOKUP($Q106,武学奇术!$A:$ZZ,16,FALSE)+SUM(_xlfn.XLOOKUP($R106:$AK106,增益!$A:$A,增益!$P:$P,0))</f>
        <v>0</v>
      </c>
      <c r="BN106" s="27">
        <f>MIN(IF(VLOOKUP($Q106,武学奇术!$A:$ZZ,23,FALSE)=1,100%,$B$8),100%)</f>
        <v>1</v>
      </c>
      <c r="BO106" s="27" cm="1">
        <f t="array" ref="BO106">IF(VLOOKUP($Q106,武学奇术!$A:$ZZ,23,FALSE)=1,100%,MIN(80%,$B$9+VLOOKUP($Q106,武学奇术!$A:$ZZ,17,FALSE)+SUM(_xlfn.XLOOKUP($R106:$AK106,增益!$A:$A,增益!$Q:$Q,0)))+$B$11+SUM(_xlfn.XLOOKUP($R106:$AK106,增益!$A:$A,增益!$U:$U,0)))*IF(VLOOKUP($Q106,武学奇术!$A:$ZZ,24,FALSE)=1,0,1)</f>
        <v>1</v>
      </c>
      <c r="BP106" s="27" cm="1">
        <f t="array" ref="BP106">1+$B$13+VLOOKUP($Q106,武学奇术!$A:$ZZ,18,FALSE)+SUM(_xlfn.XLOOKUP($R106:$AK106,增益!$A:$A,增益!$R:$R,0))</f>
        <v>2.1</v>
      </c>
      <c r="BQ106" s="27" cm="1">
        <f t="array" ref="BQ106">IF(VLOOKUP($Q106,武学奇术!$A:$ZZ,24,FALSE)=1,100%,MIN(40%,$B$10+VLOOKUP($Q106,武学奇术!$A:$ZZ,19,FALSE)+SUM(_xlfn.XLOOKUP($R106:$AK106,增益!$A:$A,增益!$S:$S,0)))+$B$12+SUM(_xlfn.XLOOKUP($R106:$AK106,增益!$A:$A,增益!$V:$V,0)))*IF(VLOOKUP($Q106,武学奇术!$A:$ZZ,23,FALSE)=1,0,1)</f>
        <v>0</v>
      </c>
      <c r="BR106" s="27" cm="1">
        <f t="array" ref="BR106">1+$B$14+VLOOKUP($Q106,武学奇术!$A:$ZZ,20,FALSE)+SUM(_xlfn.XLOOKUP($R106:$AK106,增益!$A:$A,增益!$T:$T,0))</f>
        <v>1.35</v>
      </c>
      <c r="BS106" s="27">
        <f t="shared" si="43"/>
        <v>1</v>
      </c>
      <c r="BT106" s="27">
        <f t="shared" si="44"/>
        <v>0</v>
      </c>
      <c r="BU106" s="27">
        <f>IF(VLOOKUP($Q106,武学奇术!$A:$ZZ,22,FALSE)=1,0,(1-$BN106))*(1-$BQ106)</f>
        <v>0</v>
      </c>
      <c r="BV106" s="27" cm="1">
        <f t="array" ref="BV106">SUM(_xlfn.XLOOKUP($R106:$AK106,增益!$A:$A,增益!$W:$W,0))+$I$5</f>
        <v>0.31</v>
      </c>
    </row>
    <row r="107" spans="1:74">
      <c r="K107" s="40">
        <f t="shared" si="45"/>
        <v>50883.505471759</v>
      </c>
      <c r="L107" s="40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BP107*$P107*(1+IF(VLOOKUP($Q107,武学奇术!$A:$ZZ,30,FALSE)="蓄力技",$B$21,0))*(1+$BV107)</f>
        <v>50883.505471759</v>
      </c>
      <c r="M107" s="40">
        <f>(($AT107*$AM107+$AN107)*(1+$AU107)*(1+$AV107)+($AY107*IF($G$1="鸣金",$AO107,$AM107)+IF($G$1="鸣金",$AP107*1.5,0))*(1+$AZ107)*(1+$BA107)+($BC107*IF($G$1="裂石",$AO107,$AM107)+IF($G$1="裂石",$AP107*1.5,0))*(1+$BD107)*(1+$BE107)+($BG107*IF($G$1="牵丝",$AO107,$AM107)+IF($G$1="牵丝",$AP107*1.5,0))*(1+$BH107)*(1+$BI107)+($BK107*IF($G$1="破竹",$AO107,$AM107)+IF($G$1="破竹",$AP107*1.5,0))*(1+$BL107)*(1+$BM107))*(1+$AQ107)*$BR107*$P107*(1+IF(VLOOKUP($Q107,武学奇术!$A:$ZZ,30,FALSE)="蓄力技",$B$21,0))*(1+$BV107)</f>
        <v>37149.55159457</v>
      </c>
      <c r="N107" s="40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P107*(1+IF(VLOOKUP($Q107,武学奇术!$A:$ZZ,30,FALSE)="蓄力技",$B$21,0))*(1+$BV107)</f>
        <v>24230.2407008376</v>
      </c>
      <c r="O107" s="40">
        <f>((($AS107*$AM107+$AN107)*(1+$AU107)*(1+$AV107)+($AX107*IF($G$1="鸣金",$AO107,$AM107)+IF($G$1="鸣金",$AP107*1.5,0))*(1+$AZ107)*(1+$BA107)+($BB107*IF($G$1="裂石",$AO107,$AM107)+IF($G$1="裂石",$AP107*1.5,0))*(1+$BD107)*(1+$BE107)+($BF107*IF($G$1="牵丝",$AO107,$AM107)+IF($G$1="牵丝",$AP107*1.5,0))*(1+$BH107)*(1+$BI107)+($BJ107*IF($G$1="破竹",$AO107,$AM107)+IF($G$1="破竹",$AP107*1.5,0))*(1+$BL107)*(1+$BM107))*(1+$AQ107))*$P107*(1+IF(VLOOKUP($Q107,武学奇术!$A:$ZZ,30,FALSE)="蓄力技",$B$21,0))*(1+$BV107)</f>
        <v>20942.2950353271</v>
      </c>
      <c r="P107" s="41">
        <v>2</v>
      </c>
      <c r="Q107" s="42" t="s">
        <v>125</v>
      </c>
      <c r="R107" s="42" t="s">
        <v>103</v>
      </c>
      <c r="S107" s="42" t="s">
        <v>169</v>
      </c>
      <c r="T107" s="42" t="s">
        <v>86</v>
      </c>
      <c r="U107" s="42" t="s">
        <v>121</v>
      </c>
      <c r="V107" s="42" t="s">
        <v>118</v>
      </c>
      <c r="W107" s="42" t="s">
        <v>114</v>
      </c>
      <c r="X107" s="42" t="s">
        <v>176</v>
      </c>
      <c r="Y107" s="42" t="s">
        <v>186</v>
      </c>
      <c r="Z107" s="42" t="s">
        <v>187</v>
      </c>
      <c r="AA107" s="42" t="s">
        <v>73</v>
      </c>
      <c r="AB107" s="42" t="s">
        <v>95</v>
      </c>
      <c r="AC107" s="42" t="s">
        <v>77</v>
      </c>
      <c r="AD107" s="42" t="s">
        <v>80</v>
      </c>
      <c r="AE107" s="42" t="s">
        <v>81</v>
      </c>
      <c r="AF107" s="42" t="s">
        <v>82</v>
      </c>
      <c r="AG107" s="42" t="s">
        <v>77</v>
      </c>
      <c r="AH107" s="42" t="s">
        <v>77</v>
      </c>
      <c r="AI107" s="42" t="s">
        <v>77</v>
      </c>
      <c r="AJ107" s="42" t="s">
        <v>77</v>
      </c>
      <c r="AK107" s="42" t="s">
        <v>90</v>
      </c>
      <c r="AL107" t="str">
        <f>VLOOKUP($Q107,武学奇术!$A:$ZZ,25,FALSE)</f>
        <v>陌刀</v>
      </c>
      <c r="AM107" s="27">
        <f>VLOOKUP($Q107,武学奇术!$A:$ZZ,26,FALSE)</f>
        <v>0.5</v>
      </c>
      <c r="AN107" s="28">
        <f>VLOOKUP($Q107,武学奇术!$A:$ZZ,27,FALSE)*(1+IF(OR($AL107=$F$4,$AL107=$F$5),$B$22,0))</f>
        <v>0</v>
      </c>
      <c r="AO107" s="27">
        <f>VLOOKUP($Q107,武学奇术!$A:$ZZ,28,FALSE)</f>
        <v>0.75</v>
      </c>
      <c r="AP107" s="28">
        <f>VLOOKUP($Q107,武学奇术!$A:$ZZ,29,FALSE)*(1+IF(OR($AL107=$F$4,$AL107=$F$5),$B$22,0))</f>
        <v>0</v>
      </c>
      <c r="AQ107" s="27" cm="1">
        <f t="array" ref="AQ107">$G$3+IFERROR(VLOOKUP($AL107,$F$4:$G$7,2,FALSE),0)+VLOOKUP($Q107,武学奇术!$A:$ZZ,2,FALSE)+SUM(_xlfn.XLOOKUP($R107:$AK107,增益!$A:$A,增益!$B:$B,0))</f>
        <v>0.8641</v>
      </c>
      <c r="AR107" s="27" cm="1">
        <f t="array" ref="AR107">VLOOKUP($Q107,武学奇术!$A:$ZZ,5,FALSE)+SUM(_xlfn.XLOOKUP($R107:$AK107,增益!$A:$A,增益!$E:$E,0))</f>
        <v>0</v>
      </c>
      <c r="AS107" cm="1">
        <f t="array" ref="AS107">$D$10*(1+$AR107)+VLOOKUP($Q107,武学奇术!$A:$ZZ,3,FALSE)+SUM(_xlfn.XLOOKUP($R107:$AK107,增益!$A:$A,增益!$C:$C,0))-$I$2</f>
        <v>3648.7</v>
      </c>
      <c r="AT107" cm="1">
        <f t="array" ref="AT107">$E$10*(1+$AR107)+VLOOKUP($Q107,武学奇术!$A:$ZZ,4,FALSE)+SUM(_xlfn.XLOOKUP($R107:$AK107,增益!$A:$A,增益!$D:$D,0))-$I$2</f>
        <v>3648.7</v>
      </c>
      <c r="AU107" s="34" cm="1">
        <f t="array" ref="AU107">IF($F$10-$I$3+VLOOKUP($Q107,武学奇术!$A:$ZZ,6,FALSE)+SUM(_xlfn.XLOOKUP($R107:$AK107,增益!$A:$A,增益!$F:$F,0))&gt;0,($F$10-$I$3+VLOOKUP($Q107,武学奇术!$A:$ZZ,6,FALSE)+SUM(_xlfn.XLOOKUP($R107:$AK107,增益!$A:$A,增益!$F:$F,0)))/200,($F$10-$I$3+VLOOKUP($Q107,武学奇术!$A:$ZZ,6,FALSE)+SUM(_xlfn.XLOOKUP($R107:$AK107,增益!$A:$A,增益!$F:$F,0)))/100)</f>
        <v>0.452</v>
      </c>
      <c r="AV107" s="34" cm="1">
        <f t="array" ref="AV107">$G$10+VLOOKUP($Q107,武学奇术!$A:$ZZ,7,FALSE)+SUM(_xlfn.XLOOKUP($R107:$AK107,增益!$A:$A,增益!$G:$G,0))</f>
        <v>0</v>
      </c>
      <c r="AW107" s="27" cm="1">
        <f t="array" ref="AW107">VLOOKUP($Q107,武学奇术!$A:$ZZ,8,FALSE)+SUM(_xlfn.XLOOKUP($R107:$AK107,增益!$A:$A,增益!$H:$H,0))</f>
        <v>0</v>
      </c>
      <c r="AX107">
        <f t="shared" si="35"/>
        <v>0</v>
      </c>
      <c r="AY107">
        <f t="shared" si="36"/>
        <v>0</v>
      </c>
      <c r="AZ107" s="34" cm="1">
        <f t="array" ref="AZ107">IF($F$11-$I$4+VLOOKUP($Q107,武学奇术!$A:$ZZ,9,FALSE)+SUM(_xlfn.XLOOKUP($R107:$AK107,增益!$A:$A,增益!$I:$I,0))&gt;0,($F$11-$I$4+VLOOKUP($Q107,武学奇术!$A:$ZZ,9,FALSE)+SUM(_xlfn.XLOOKUP($R107:$AK107,增益!$A:$A,增益!$I:$I,0)))/200,($F$11-$I$4+VLOOKUP($Q107,武学奇术!$A:$ZZ,9,FALSE)+SUM(_xlfn.XLOOKUP($R107:$AK107,增益!$A:$A,增益!$I:$I,0)))/100)</f>
        <v>-0.14</v>
      </c>
      <c r="BA107" s="34" cm="1">
        <f t="array" ref="BA107">$G$11+VLOOKUP($Q107,武学奇术!$A:$ZZ,10,FALSE)+SUM(_xlfn.XLOOKUP($R107:$AK107,增益!$A:$A,增益!$J:$J,0))</f>
        <v>0.1</v>
      </c>
      <c r="BB107">
        <f t="shared" si="37"/>
        <v>594.1</v>
      </c>
      <c r="BC107">
        <f t="shared" si="38"/>
        <v>1604.9</v>
      </c>
      <c r="BD107" s="34" cm="1">
        <f t="array" ref="BD107">IF($F$12-$I$4+VLOOKUP($Q107,武学奇术!$A:$ZZ,11,FALSE)+SUM(_xlfn.XLOOKUP($R107:$AK107,增益!$A:$A,增益!$K:$K,0))&gt;0,($F$12-$I$4+VLOOKUP($Q107,武学奇术!$A:$ZZ,11,FALSE)+SUM(_xlfn.XLOOKUP($R107:$AK107,增益!$A:$A,增益!$K:$K,0)))/200,($F$12-$I$4+VLOOKUP($Q107,武学奇术!$A:$ZZ,11,FALSE)+SUM(_xlfn.XLOOKUP($R107:$AK107,增益!$A:$A,增益!$K:$K,0)))/100)</f>
        <v>0.17</v>
      </c>
      <c r="BE107" s="34" cm="1">
        <f t="array" ref="BE107">$G$12+VLOOKUP($Q107,武学奇术!$A:$ZZ,12,FALSE)+SUM(_xlfn.XLOOKUP($R107:$AK107,增益!$A:$A,增益!$L:$L,0))</f>
        <v>0.15</v>
      </c>
      <c r="BF107">
        <f t="shared" si="39"/>
        <v>0</v>
      </c>
      <c r="BG107">
        <f t="shared" si="40"/>
        <v>0</v>
      </c>
      <c r="BH107" s="34" cm="1">
        <f t="array" ref="BH107">IF($F$13-$I$4+VLOOKUP($Q107,武学奇术!$A:$ZZ,13,FALSE)+SUM(_xlfn.XLOOKUP($R107:$AK107,增益!$A:$A,增益!$M:$M,0))&gt;0,($F$13-$I$4+VLOOKUP($Q107,武学奇术!$A:$ZZ,13,FALSE)+SUM(_xlfn.XLOOKUP($R107:$AK107,增益!$A:$A,增益!$K:$K,0)))/200,($F$13-$I$4+VLOOKUP($Q107,武学奇术!$A:$ZZ,13,FALSE)+SUM(_xlfn.XLOOKUP($R107:$AK107,增益!$A:$A,增益!$M:$M,0)))/100)</f>
        <v>-0.14</v>
      </c>
      <c r="BI107" s="34" cm="1">
        <f t="array" ref="BI107">$G$13+VLOOKUP($Q107,武学奇术!$A:$ZZ,14,FALSE)+SUM(_xlfn.XLOOKUP($R107:$AK107,增益!$A:$A,增益!$N:$N,0))</f>
        <v>0</v>
      </c>
      <c r="BJ107">
        <f t="shared" si="41"/>
        <v>0</v>
      </c>
      <c r="BK107">
        <f t="shared" si="42"/>
        <v>0</v>
      </c>
      <c r="BL107" s="34" cm="1">
        <f t="array" ref="BL107">IF($F$14-$I$4+VLOOKUP($Q107,武学奇术!$A:$ZZ,15,FALSE)+SUM(_xlfn.XLOOKUP($R107:$AK107,增益!$A:$A,增益!$O:$O,0))&gt;0,($F$14-$I$4+VLOOKUP($Q107,武学奇术!$A:$ZZ,15,FALSE)+SUM(_xlfn.XLOOKUP($R107:$AK107,增益!$A:$A,增益!$O:$O,0)))/200,($F$14-$I$4+VLOOKUP($Q107,武学奇术!$A:$ZZ,15,FALSE)+SUM(_xlfn.XLOOKUP($R107:$AK107,增益!$A:$A,增益!$O:$O,0)))/100)</f>
        <v>-0.14</v>
      </c>
      <c r="BM107" s="34" cm="1">
        <f t="array" ref="BM107">$G$14+VLOOKUP($Q107,武学奇术!$A:$ZZ,16,FALSE)+SUM(_xlfn.XLOOKUP($R107:$AK107,增益!$A:$A,增益!$P:$P,0))</f>
        <v>0</v>
      </c>
      <c r="BN107" s="27">
        <f>MIN(IF(VLOOKUP($Q107,武学奇术!$A:$ZZ,23,FALSE)=1,100%,$B$8),100%)</f>
        <v>1</v>
      </c>
      <c r="BO107" s="27" cm="1">
        <f t="array" ref="BO107">IF(VLOOKUP($Q107,武学奇术!$A:$ZZ,23,FALSE)=1,100%,MIN(80%,$B$9+VLOOKUP($Q107,武学奇术!$A:$ZZ,17,FALSE)+SUM(_xlfn.XLOOKUP($R107:$AK107,增益!$A:$A,增益!$Q:$Q,0)))+$B$11+SUM(_xlfn.XLOOKUP($R107:$AK107,增益!$A:$A,增益!$U:$U,0)))*IF(VLOOKUP($Q107,武学奇术!$A:$ZZ,24,FALSE)=1,0,1)</f>
        <v>1</v>
      </c>
      <c r="BP107" s="27" cm="1">
        <f t="array" ref="BP107">1+$B$13+VLOOKUP($Q107,武学奇术!$A:$ZZ,18,FALSE)+SUM(_xlfn.XLOOKUP($R107:$AK107,增益!$A:$A,增益!$R:$R,0))</f>
        <v>2.1</v>
      </c>
      <c r="BQ107" s="27" cm="1">
        <f t="array" ref="BQ107">IF(VLOOKUP($Q107,武学奇术!$A:$ZZ,24,FALSE)=1,100%,MIN(40%,$B$10+VLOOKUP($Q107,武学奇术!$A:$ZZ,19,FALSE)+SUM(_xlfn.XLOOKUP($R107:$AK107,增益!$A:$A,增益!$S:$S,0)))+$B$12+SUM(_xlfn.XLOOKUP($R107:$AK107,增益!$A:$A,增益!$V:$V,0)))*IF(VLOOKUP($Q107,武学奇术!$A:$ZZ,23,FALSE)=1,0,1)</f>
        <v>0</v>
      </c>
      <c r="BR107" s="27" cm="1">
        <f t="array" ref="BR107">1+$B$14+VLOOKUP($Q107,武学奇术!$A:$ZZ,20,FALSE)+SUM(_xlfn.XLOOKUP($R107:$AK107,增益!$A:$A,增益!$T:$T,0))</f>
        <v>1.35</v>
      </c>
      <c r="BS107" s="27">
        <f t="shared" si="43"/>
        <v>1</v>
      </c>
      <c r="BT107" s="27">
        <f t="shared" si="44"/>
        <v>0</v>
      </c>
      <c r="BU107" s="27">
        <f>IF(VLOOKUP($Q107,武学奇术!$A:$ZZ,22,FALSE)=1,0,(1-$BN107))*(1-$BQ107)</f>
        <v>0</v>
      </c>
      <c r="BV107" s="27" cm="1">
        <f t="array" ref="BV107">SUM(_xlfn.XLOOKUP($R107:$AK107,增益!$A:$A,增益!$W:$W,0))+$I$5</f>
        <v>0.31</v>
      </c>
    </row>
    <row r="108" spans="1:74">
      <c r="K108" s="40">
        <f t="shared" si="45"/>
        <v>91590.3098491663</v>
      </c>
      <c r="L108" s="40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BP108*$P108*(1+IF(VLOOKUP($Q108,武学奇术!$A:$ZZ,30,FALSE)="蓄力技",$B$21,0))*(1+$BV108)</f>
        <v>91590.3098491663</v>
      </c>
      <c r="M108" s="40">
        <f>(($AT108*$AM108+$AN108)*(1+$AU108)*(1+$AV108)+($AY108*IF($G$1="鸣金",$AO108,$AM108)+IF($G$1="鸣金",$AP108*1.5,0))*(1+$AZ108)*(1+$BA108)+($BC108*IF($G$1="裂石",$AO108,$AM108)+IF($G$1="裂石",$AP108*1.5,0))*(1+$BD108)*(1+$BE108)+($BG108*IF($G$1="牵丝",$AO108,$AM108)+IF($G$1="牵丝",$AP108*1.5,0))*(1+$BH108)*(1+$BI108)+($BK108*IF($G$1="破竹",$AO108,$AM108)+IF($G$1="破竹",$AP108*1.5,0))*(1+$BL108)*(1+$BM108))*(1+$AQ108)*$BR108*$P108*(1+IF(VLOOKUP($Q108,武学奇术!$A:$ZZ,30,FALSE)="蓄力技",$B$21,0))*(1+$BV108)</f>
        <v>66869.192870226</v>
      </c>
      <c r="N108" s="40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P108*(1+IF(VLOOKUP($Q108,武学奇术!$A:$ZZ,30,FALSE)="蓄力技",$B$21,0))*(1+$BV108)</f>
        <v>43614.4332615077</v>
      </c>
      <c r="O108" s="40">
        <f>((($AS108*$AM108+$AN108)*(1+$AU108)*(1+$AV108)+($AX108*IF($G$1="鸣金",$AO108,$AM108)+IF($G$1="鸣金",$AP108*1.5,0))*(1+$AZ108)*(1+$BA108)+($BB108*IF($G$1="裂石",$AO108,$AM108)+IF($G$1="裂石",$AP108*1.5,0))*(1+$BD108)*(1+$BE108)+($BF108*IF($G$1="牵丝",$AO108,$AM108)+IF($G$1="牵丝",$AP108*1.5,0))*(1+$BH108)*(1+$BI108)+($BJ108*IF($G$1="破竹",$AO108,$AM108)+IF($G$1="破竹",$AP108*1.5,0))*(1+$BL108)*(1+$BM108))*(1+$AQ108))*$P108*(1+IF(VLOOKUP($Q108,武学奇术!$A:$ZZ,30,FALSE)="蓄力技",$B$21,0))*(1+$BV108)</f>
        <v>37696.1310635888</v>
      </c>
      <c r="P108" s="41">
        <v>2</v>
      </c>
      <c r="Q108" s="42" t="s">
        <v>117</v>
      </c>
      <c r="R108" s="42" t="s">
        <v>103</v>
      </c>
      <c r="S108" s="42" t="s">
        <v>169</v>
      </c>
      <c r="T108" s="42" t="s">
        <v>86</v>
      </c>
      <c r="U108" s="42" t="s">
        <v>121</v>
      </c>
      <c r="V108" s="42" t="s">
        <v>118</v>
      </c>
      <c r="W108" s="42" t="s">
        <v>114</v>
      </c>
      <c r="X108" s="42" t="s">
        <v>176</v>
      </c>
      <c r="Y108" s="42" t="s">
        <v>186</v>
      </c>
      <c r="Z108" s="42" t="s">
        <v>187</v>
      </c>
      <c r="AA108" s="42" t="s">
        <v>73</v>
      </c>
      <c r="AB108" s="42" t="s">
        <v>95</v>
      </c>
      <c r="AC108" s="42" t="s">
        <v>77</v>
      </c>
      <c r="AD108" s="42" t="s">
        <v>80</v>
      </c>
      <c r="AE108" s="42" t="s">
        <v>81</v>
      </c>
      <c r="AF108" s="42" t="s">
        <v>82</v>
      </c>
      <c r="AG108" s="42" t="s">
        <v>77</v>
      </c>
      <c r="AH108" s="42" t="s">
        <v>77</v>
      </c>
      <c r="AI108" s="42" t="s">
        <v>77</v>
      </c>
      <c r="AJ108" s="42" t="s">
        <v>77</v>
      </c>
      <c r="AK108" s="42" t="s">
        <v>90</v>
      </c>
      <c r="AL108" t="str">
        <f>VLOOKUP($Q108,武学奇术!$A:$ZZ,25,FALSE)</f>
        <v>陌刀</v>
      </c>
      <c r="AM108" s="27">
        <f>VLOOKUP($Q108,武学奇术!$A:$ZZ,26,FALSE)</f>
        <v>0.9</v>
      </c>
      <c r="AN108" s="28">
        <f>VLOOKUP($Q108,武学奇术!$A:$ZZ,27,FALSE)*(1+IF(OR($AL108=$F$4,$AL108=$F$5),$B$22,0))</f>
        <v>0</v>
      </c>
      <c r="AO108" s="27">
        <f>VLOOKUP($Q108,武学奇术!$A:$ZZ,28,FALSE)</f>
        <v>1.35</v>
      </c>
      <c r="AP108" s="28">
        <f>VLOOKUP($Q108,武学奇术!$A:$ZZ,29,FALSE)*(1+IF(OR($AL108=$F$4,$AL108=$F$5),$B$22,0))</f>
        <v>0</v>
      </c>
      <c r="AQ108" s="27" cm="1">
        <f t="array" ref="AQ108">$G$3+IFERROR(VLOOKUP($AL108,$F$4:$G$7,2,FALSE),0)+VLOOKUP($Q108,武学奇术!$A:$ZZ,2,FALSE)+SUM(_xlfn.XLOOKUP($R108:$AK108,增益!$A:$A,增益!$B:$B,0))</f>
        <v>0.8641</v>
      </c>
      <c r="AR108" s="27" cm="1">
        <f t="array" ref="AR108">VLOOKUP($Q108,武学奇术!$A:$ZZ,5,FALSE)+SUM(_xlfn.XLOOKUP($R108:$AK108,增益!$A:$A,增益!$E:$E,0))</f>
        <v>0</v>
      </c>
      <c r="AS108" cm="1">
        <f t="array" ref="AS108">$D$10*(1+$AR108)+VLOOKUP($Q108,武学奇术!$A:$ZZ,3,FALSE)+SUM(_xlfn.XLOOKUP($R108:$AK108,增益!$A:$A,增益!$C:$C,0))-$I$2</f>
        <v>3648.7</v>
      </c>
      <c r="AT108" cm="1">
        <f t="array" ref="AT108">$E$10*(1+$AR108)+VLOOKUP($Q108,武学奇术!$A:$ZZ,4,FALSE)+SUM(_xlfn.XLOOKUP($R108:$AK108,增益!$A:$A,增益!$D:$D,0))-$I$2</f>
        <v>3648.7</v>
      </c>
      <c r="AU108" s="34" cm="1">
        <f t="array" ref="AU108">IF($F$10-$I$3+VLOOKUP($Q108,武学奇术!$A:$ZZ,6,FALSE)+SUM(_xlfn.XLOOKUP($R108:$AK108,增益!$A:$A,增益!$F:$F,0))&gt;0,($F$10-$I$3+VLOOKUP($Q108,武学奇术!$A:$ZZ,6,FALSE)+SUM(_xlfn.XLOOKUP($R108:$AK108,增益!$A:$A,增益!$F:$F,0)))/200,($F$10-$I$3+VLOOKUP($Q108,武学奇术!$A:$ZZ,6,FALSE)+SUM(_xlfn.XLOOKUP($R108:$AK108,增益!$A:$A,增益!$F:$F,0)))/100)</f>
        <v>0.452</v>
      </c>
      <c r="AV108" s="34" cm="1">
        <f t="array" ref="AV108">$G$10+VLOOKUP($Q108,武学奇术!$A:$ZZ,7,FALSE)+SUM(_xlfn.XLOOKUP($R108:$AK108,增益!$A:$A,增益!$G:$G,0))</f>
        <v>0</v>
      </c>
      <c r="AW108" s="27" cm="1">
        <f t="array" ref="AW108">VLOOKUP($Q108,武学奇术!$A:$ZZ,8,FALSE)+SUM(_xlfn.XLOOKUP($R108:$AK108,增益!$A:$A,增益!$H:$H,0))</f>
        <v>0</v>
      </c>
      <c r="AX108">
        <f t="shared" si="35"/>
        <v>0</v>
      </c>
      <c r="AY108">
        <f t="shared" si="36"/>
        <v>0</v>
      </c>
      <c r="AZ108" s="34" cm="1">
        <f t="array" ref="AZ108">IF($F$11-$I$4+VLOOKUP($Q108,武学奇术!$A:$ZZ,9,FALSE)+SUM(_xlfn.XLOOKUP($R108:$AK108,增益!$A:$A,增益!$I:$I,0))&gt;0,($F$11-$I$4+VLOOKUP($Q108,武学奇术!$A:$ZZ,9,FALSE)+SUM(_xlfn.XLOOKUP($R108:$AK108,增益!$A:$A,增益!$I:$I,0)))/200,($F$11-$I$4+VLOOKUP($Q108,武学奇术!$A:$ZZ,9,FALSE)+SUM(_xlfn.XLOOKUP($R108:$AK108,增益!$A:$A,增益!$I:$I,0)))/100)</f>
        <v>-0.14</v>
      </c>
      <c r="BA108" s="34" cm="1">
        <f t="array" ref="BA108">$G$11+VLOOKUP($Q108,武学奇术!$A:$ZZ,10,FALSE)+SUM(_xlfn.XLOOKUP($R108:$AK108,增益!$A:$A,增益!$J:$J,0))</f>
        <v>0.1</v>
      </c>
      <c r="BB108">
        <f t="shared" si="37"/>
        <v>594.1</v>
      </c>
      <c r="BC108">
        <f t="shared" si="38"/>
        <v>1604.9</v>
      </c>
      <c r="BD108" s="34" cm="1">
        <f t="array" ref="BD108">IF($F$12-$I$4+VLOOKUP($Q108,武学奇术!$A:$ZZ,11,FALSE)+SUM(_xlfn.XLOOKUP($R108:$AK108,增益!$A:$A,增益!$K:$K,0))&gt;0,($F$12-$I$4+VLOOKUP($Q108,武学奇术!$A:$ZZ,11,FALSE)+SUM(_xlfn.XLOOKUP($R108:$AK108,增益!$A:$A,增益!$K:$K,0)))/200,($F$12-$I$4+VLOOKUP($Q108,武学奇术!$A:$ZZ,11,FALSE)+SUM(_xlfn.XLOOKUP($R108:$AK108,增益!$A:$A,增益!$K:$K,0)))/100)</f>
        <v>0.17</v>
      </c>
      <c r="BE108" s="34" cm="1">
        <f t="array" ref="BE108">$G$12+VLOOKUP($Q108,武学奇术!$A:$ZZ,12,FALSE)+SUM(_xlfn.XLOOKUP($R108:$AK108,增益!$A:$A,增益!$L:$L,0))</f>
        <v>0.15</v>
      </c>
      <c r="BF108">
        <f t="shared" si="39"/>
        <v>0</v>
      </c>
      <c r="BG108">
        <f t="shared" si="40"/>
        <v>0</v>
      </c>
      <c r="BH108" s="34" cm="1">
        <f t="array" ref="BH108">IF($F$13-$I$4+VLOOKUP($Q108,武学奇术!$A:$ZZ,13,FALSE)+SUM(_xlfn.XLOOKUP($R108:$AK108,增益!$A:$A,增益!$M:$M,0))&gt;0,($F$13-$I$4+VLOOKUP($Q108,武学奇术!$A:$ZZ,13,FALSE)+SUM(_xlfn.XLOOKUP($R108:$AK108,增益!$A:$A,增益!$K:$K,0)))/200,($F$13-$I$4+VLOOKUP($Q108,武学奇术!$A:$ZZ,13,FALSE)+SUM(_xlfn.XLOOKUP($R108:$AK108,增益!$A:$A,增益!$M:$M,0)))/100)</f>
        <v>-0.14</v>
      </c>
      <c r="BI108" s="34" cm="1">
        <f t="array" ref="BI108">$G$13+VLOOKUP($Q108,武学奇术!$A:$ZZ,14,FALSE)+SUM(_xlfn.XLOOKUP($R108:$AK108,增益!$A:$A,增益!$N:$N,0))</f>
        <v>0</v>
      </c>
      <c r="BJ108">
        <f t="shared" si="41"/>
        <v>0</v>
      </c>
      <c r="BK108">
        <f t="shared" si="42"/>
        <v>0</v>
      </c>
      <c r="BL108" s="34" cm="1">
        <f t="array" ref="BL108">IF($F$14-$I$4+VLOOKUP($Q108,武学奇术!$A:$ZZ,15,FALSE)+SUM(_xlfn.XLOOKUP($R108:$AK108,增益!$A:$A,增益!$O:$O,0))&gt;0,($F$14-$I$4+VLOOKUP($Q108,武学奇术!$A:$ZZ,15,FALSE)+SUM(_xlfn.XLOOKUP($R108:$AK108,增益!$A:$A,增益!$O:$O,0)))/200,($F$14-$I$4+VLOOKUP($Q108,武学奇术!$A:$ZZ,15,FALSE)+SUM(_xlfn.XLOOKUP($R108:$AK108,增益!$A:$A,增益!$O:$O,0)))/100)</f>
        <v>-0.14</v>
      </c>
      <c r="BM108" s="34" cm="1">
        <f t="array" ref="BM108">$G$14+VLOOKUP($Q108,武学奇术!$A:$ZZ,16,FALSE)+SUM(_xlfn.XLOOKUP($R108:$AK108,增益!$A:$A,增益!$P:$P,0))</f>
        <v>0</v>
      </c>
      <c r="BN108" s="27">
        <f>MIN(IF(VLOOKUP($Q108,武学奇术!$A:$ZZ,23,FALSE)=1,100%,$B$8),100%)</f>
        <v>1</v>
      </c>
      <c r="BO108" s="27" cm="1">
        <f t="array" ref="BO108">IF(VLOOKUP($Q108,武学奇术!$A:$ZZ,23,FALSE)=1,100%,MIN(80%,$B$9+VLOOKUP($Q108,武学奇术!$A:$ZZ,17,FALSE)+SUM(_xlfn.XLOOKUP($R108:$AK108,增益!$A:$A,增益!$Q:$Q,0)))+$B$11+SUM(_xlfn.XLOOKUP($R108:$AK108,增益!$A:$A,增益!$U:$U,0)))*IF(VLOOKUP($Q108,武学奇术!$A:$ZZ,24,FALSE)=1,0,1)</f>
        <v>1</v>
      </c>
      <c r="BP108" s="27" cm="1">
        <f t="array" ref="BP108">1+$B$13+VLOOKUP($Q108,武学奇术!$A:$ZZ,18,FALSE)+SUM(_xlfn.XLOOKUP($R108:$AK108,增益!$A:$A,增益!$R:$R,0))</f>
        <v>2.1</v>
      </c>
      <c r="BQ108" s="27" cm="1">
        <f t="array" ref="BQ108">IF(VLOOKUP($Q108,武学奇术!$A:$ZZ,24,FALSE)=1,100%,MIN(40%,$B$10+VLOOKUP($Q108,武学奇术!$A:$ZZ,19,FALSE)+SUM(_xlfn.XLOOKUP($R108:$AK108,增益!$A:$A,增益!$S:$S,0)))+$B$12+SUM(_xlfn.XLOOKUP($R108:$AK108,增益!$A:$A,增益!$V:$V,0)))*IF(VLOOKUP($Q108,武学奇术!$A:$ZZ,23,FALSE)=1,0,1)</f>
        <v>0</v>
      </c>
      <c r="BR108" s="27" cm="1">
        <f t="array" ref="BR108">1+$B$14+VLOOKUP($Q108,武学奇术!$A:$ZZ,20,FALSE)+SUM(_xlfn.XLOOKUP($R108:$AK108,增益!$A:$A,增益!$T:$T,0))</f>
        <v>1.35</v>
      </c>
      <c r="BS108" s="27">
        <f t="shared" si="43"/>
        <v>1</v>
      </c>
      <c r="BT108" s="27">
        <f t="shared" si="44"/>
        <v>0</v>
      </c>
      <c r="BU108" s="27">
        <f>IF(VLOOKUP($Q108,武学奇术!$A:$ZZ,22,FALSE)=1,0,(1-$BN108))*(1-$BQ108)</f>
        <v>0</v>
      </c>
      <c r="BV108" s="27" cm="1">
        <f t="array" ref="BV108">SUM(_xlfn.XLOOKUP($R108:$AK108,增益!$A:$A,增益!$W:$W,0))+$I$5</f>
        <v>0.31</v>
      </c>
    </row>
    <row r="109" spans="1:74">
      <c r="K109" s="40">
        <f t="shared" si="45"/>
        <v>869126.11387331</v>
      </c>
      <c r="L109" s="40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BP109*$P109*(1+IF(VLOOKUP($Q109,武学奇术!$A:$ZZ,30,FALSE)="蓄力技",$B$21,0))*(1+$BV109)</f>
        <v>869126.11387331</v>
      </c>
      <c r="M109" s="40">
        <f>(($AT109*$AM109+$AN109)*(1+$AU109)*(1+$AV109)+($AY109*IF($G$1="鸣金",$AO109,$AM109)+IF($G$1="鸣金",$AP109*1.5,0))*(1+$AZ109)*(1+$BA109)+($BC109*IF($G$1="裂石",$AO109,$AM109)+IF($G$1="裂石",$AP109*1.5,0))*(1+$BD109)*(1+$BE109)+($BG109*IF($G$1="牵丝",$AO109,$AM109)+IF($G$1="牵丝",$AP109*1.5,0))*(1+$BH109)*(1+$BI109)+($BK109*IF($G$1="破竹",$AO109,$AM109)+IF($G$1="破竹",$AP109*1.5,0))*(1+$BL109)*(1+$BM109))*(1+$AQ109)*$BR109*$P109*(1+IF(VLOOKUP($Q109,武学奇术!$A:$ZZ,30,FALSE)="蓄力技",$B$21,0))*(1+$BV109)</f>
        <v>625182.987277238</v>
      </c>
      <c r="N109" s="40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P109*(1+IF(VLOOKUP($Q109,武学奇术!$A:$ZZ,30,FALSE)="蓄力技",$B$21,0))*(1+$BV109)</f>
        <v>413869.57803491</v>
      </c>
      <c r="O109" s="40">
        <f>((($AS109*$AM109+$AN109)*(1+$AU109)*(1+$AV109)+($AX109*IF($G$1="鸣金",$AO109,$AM109)+IF($G$1="鸣金",$AP109*1.5,0))*(1+$AZ109)*(1+$BA109)+($BB109*IF($G$1="裂石",$AO109,$AM109)+IF($G$1="裂石",$AP109*1.5,0))*(1+$BD109)*(1+$BE109)+($BF109*IF($G$1="牵丝",$AO109,$AM109)+IF($G$1="牵丝",$AP109*1.5,0))*(1+$BH109)*(1+$BI109)+($BJ109*IF($G$1="破竹",$AO109,$AM109)+IF($G$1="破竹",$AP109*1.5,0))*(1+$BL109)*(1+$BM109))*(1+$AQ109))*$P109*(1+IF(VLOOKUP($Q109,武学奇术!$A:$ZZ,30,FALSE)="蓄力技",$B$21,0))*(1+$BV109)</f>
        <v>364640.646975569</v>
      </c>
      <c r="P109" s="41">
        <v>2</v>
      </c>
      <c r="Q109" s="42" t="s">
        <v>120</v>
      </c>
      <c r="R109" s="42" t="s">
        <v>103</v>
      </c>
      <c r="S109" s="42" t="s">
        <v>169</v>
      </c>
      <c r="T109" s="42" t="s">
        <v>86</v>
      </c>
      <c r="U109" s="42" t="s">
        <v>121</v>
      </c>
      <c r="V109" s="42" t="s">
        <v>118</v>
      </c>
      <c r="W109" s="42" t="s">
        <v>122</v>
      </c>
      <c r="X109" s="42" t="s">
        <v>176</v>
      </c>
      <c r="Y109" s="42" t="s">
        <v>186</v>
      </c>
      <c r="Z109" s="42" t="s">
        <v>187</v>
      </c>
      <c r="AA109" s="42" t="s">
        <v>73</v>
      </c>
      <c r="AB109" s="42" t="s">
        <v>95</v>
      </c>
      <c r="AC109" s="42" t="s">
        <v>77</v>
      </c>
      <c r="AD109" s="42" t="s">
        <v>80</v>
      </c>
      <c r="AE109" s="42" t="s">
        <v>81</v>
      </c>
      <c r="AF109" s="42" t="s">
        <v>82</v>
      </c>
      <c r="AG109" s="42" t="s">
        <v>77</v>
      </c>
      <c r="AH109" s="42" t="s">
        <v>77</v>
      </c>
      <c r="AI109" s="42" t="s">
        <v>77</v>
      </c>
      <c r="AJ109" s="42" t="s">
        <v>77</v>
      </c>
      <c r="AK109" s="42" t="s">
        <v>90</v>
      </c>
      <c r="AL109" t="str">
        <f>VLOOKUP($Q109,武学奇术!$A:$ZZ,25,FALSE)</f>
        <v>陌刀</v>
      </c>
      <c r="AM109" s="27">
        <f>VLOOKUP($Q109,武学奇术!$A:$ZZ,26,FALSE)</f>
        <v>7.5674</v>
      </c>
      <c r="AN109" s="28">
        <f>VLOOKUP($Q109,武学奇术!$A:$ZZ,27,FALSE)*(1+IF(OR($AL109=$F$4,$AL109=$F$5),$B$22,0))</f>
        <v>3139.5</v>
      </c>
      <c r="AO109" s="27">
        <f>VLOOKUP($Q109,武学奇术!$A:$ZZ,28,FALSE)</f>
        <v>11.3512</v>
      </c>
      <c r="AP109" s="28">
        <f>VLOOKUP($Q109,武学奇术!$A:$ZZ,29,FALSE)*(1+IF(OR($AL109=$F$4,$AL109=$F$5),$B$22,0))</f>
        <v>1710</v>
      </c>
      <c r="AQ109" s="27" cm="1">
        <f t="array" ref="AQ109">$G$3+IFERROR(VLOOKUP($AL109,$F$4:$G$7,2,FALSE),0)+VLOOKUP($Q109,武学奇术!$A:$ZZ,2,FALSE)+SUM(_xlfn.XLOOKUP($R109:$AK109,增益!$A:$A,增益!$B:$B,0))</f>
        <v>0.8441</v>
      </c>
      <c r="AR109" s="27" cm="1">
        <f t="array" ref="AR109">VLOOKUP($Q109,武学奇术!$A:$ZZ,5,FALSE)+SUM(_xlfn.XLOOKUP($R109:$AK109,增益!$A:$A,增益!$E:$E,0))</f>
        <v>0</v>
      </c>
      <c r="AS109" cm="1">
        <f t="array" ref="AS109">$D$10*(1+$AR109)+VLOOKUP($Q109,武学奇术!$A:$ZZ,3,FALSE)+SUM(_xlfn.XLOOKUP($R109:$AK109,增益!$A:$A,增益!$C:$C,0))-$I$2</f>
        <v>3648.7</v>
      </c>
      <c r="AT109" cm="1">
        <f t="array" ref="AT109">$E$10*(1+$AR109)+VLOOKUP($Q109,武学奇术!$A:$ZZ,4,FALSE)+SUM(_xlfn.XLOOKUP($R109:$AK109,增益!$A:$A,增益!$D:$D,0))-$I$2</f>
        <v>3648.7</v>
      </c>
      <c r="AU109" s="34" cm="1">
        <f t="array" ref="AU109">IF($F$10-$I$3+VLOOKUP($Q109,武学奇术!$A:$ZZ,6,FALSE)+SUM(_xlfn.XLOOKUP($R109:$AK109,增益!$A:$A,增益!$F:$F,0))&gt;0,($F$10-$I$3+VLOOKUP($Q109,武学奇术!$A:$ZZ,6,FALSE)+SUM(_xlfn.XLOOKUP($R109:$AK109,增益!$A:$A,增益!$F:$F,0)))/200,($F$10-$I$3+VLOOKUP($Q109,武学奇术!$A:$ZZ,6,FALSE)+SUM(_xlfn.XLOOKUP($R109:$AK109,增益!$A:$A,增益!$F:$F,0)))/100)</f>
        <v>0.452</v>
      </c>
      <c r="AV109" s="34" cm="1">
        <f t="array" ref="AV109">$G$10+VLOOKUP($Q109,武学奇术!$A:$ZZ,7,FALSE)+SUM(_xlfn.XLOOKUP($R109:$AK109,增益!$A:$A,增益!$G:$G,0))</f>
        <v>0</v>
      </c>
      <c r="AW109" s="27" cm="1">
        <f t="array" ref="AW109">VLOOKUP($Q109,武学奇术!$A:$ZZ,8,FALSE)+SUM(_xlfn.XLOOKUP($R109:$AK109,增益!$A:$A,增益!$H:$H,0))</f>
        <v>0</v>
      </c>
      <c r="AX109">
        <f t="shared" si="35"/>
        <v>0</v>
      </c>
      <c r="AY109">
        <f t="shared" si="36"/>
        <v>0</v>
      </c>
      <c r="AZ109" s="34" cm="1">
        <f t="array" ref="AZ109">IF($F$11-$I$4+VLOOKUP($Q109,武学奇术!$A:$ZZ,9,FALSE)+SUM(_xlfn.XLOOKUP($R109:$AK109,增益!$A:$A,增益!$I:$I,0))&gt;0,($F$11-$I$4+VLOOKUP($Q109,武学奇术!$A:$ZZ,9,FALSE)+SUM(_xlfn.XLOOKUP($R109:$AK109,增益!$A:$A,增益!$I:$I,0)))/200,($F$11-$I$4+VLOOKUP($Q109,武学奇术!$A:$ZZ,9,FALSE)+SUM(_xlfn.XLOOKUP($R109:$AK109,增益!$A:$A,增益!$I:$I,0)))/100)</f>
        <v>-0.14</v>
      </c>
      <c r="BA109" s="34" cm="1">
        <f t="array" ref="BA109">$G$11+VLOOKUP($Q109,武学奇术!$A:$ZZ,10,FALSE)+SUM(_xlfn.XLOOKUP($R109:$AK109,增益!$A:$A,增益!$J:$J,0))</f>
        <v>0.1</v>
      </c>
      <c r="BB109">
        <f t="shared" si="37"/>
        <v>594.1</v>
      </c>
      <c r="BC109">
        <f t="shared" si="38"/>
        <v>1604.9</v>
      </c>
      <c r="BD109" s="34" cm="1">
        <f t="array" ref="BD109">IF($F$12-$I$4+VLOOKUP($Q109,武学奇术!$A:$ZZ,11,FALSE)+SUM(_xlfn.XLOOKUP($R109:$AK109,增益!$A:$A,增益!$K:$K,0))&gt;0,($F$12-$I$4+VLOOKUP($Q109,武学奇术!$A:$ZZ,11,FALSE)+SUM(_xlfn.XLOOKUP($R109:$AK109,增益!$A:$A,增益!$K:$K,0)))/200,($F$12-$I$4+VLOOKUP($Q109,武学奇术!$A:$ZZ,11,FALSE)+SUM(_xlfn.XLOOKUP($R109:$AK109,增益!$A:$A,增益!$K:$K,0)))/100)</f>
        <v>0.17</v>
      </c>
      <c r="BE109" s="34" cm="1">
        <f t="array" ref="BE109">$G$12+VLOOKUP($Q109,武学奇术!$A:$ZZ,12,FALSE)+SUM(_xlfn.XLOOKUP($R109:$AK109,增益!$A:$A,增益!$L:$L,0))</f>
        <v>0.15</v>
      </c>
      <c r="BF109">
        <f t="shared" si="39"/>
        <v>0</v>
      </c>
      <c r="BG109">
        <f t="shared" si="40"/>
        <v>0</v>
      </c>
      <c r="BH109" s="34" cm="1">
        <f t="array" ref="BH109">IF($F$13-$I$4+VLOOKUP($Q109,武学奇术!$A:$ZZ,13,FALSE)+SUM(_xlfn.XLOOKUP($R109:$AK109,增益!$A:$A,增益!$M:$M,0))&gt;0,($F$13-$I$4+VLOOKUP($Q109,武学奇术!$A:$ZZ,13,FALSE)+SUM(_xlfn.XLOOKUP($R109:$AK109,增益!$A:$A,增益!$K:$K,0)))/200,($F$13-$I$4+VLOOKUP($Q109,武学奇术!$A:$ZZ,13,FALSE)+SUM(_xlfn.XLOOKUP($R109:$AK109,增益!$A:$A,增益!$M:$M,0)))/100)</f>
        <v>-0.14</v>
      </c>
      <c r="BI109" s="34" cm="1">
        <f t="array" ref="BI109">$G$13+VLOOKUP($Q109,武学奇术!$A:$ZZ,14,FALSE)+SUM(_xlfn.XLOOKUP($R109:$AK109,增益!$A:$A,增益!$N:$N,0))</f>
        <v>0</v>
      </c>
      <c r="BJ109">
        <f t="shared" si="41"/>
        <v>0</v>
      </c>
      <c r="BK109">
        <f t="shared" si="42"/>
        <v>0</v>
      </c>
      <c r="BL109" s="34" cm="1">
        <f t="array" ref="BL109">IF($F$14-$I$4+VLOOKUP($Q109,武学奇术!$A:$ZZ,15,FALSE)+SUM(_xlfn.XLOOKUP($R109:$AK109,增益!$A:$A,增益!$O:$O,0))&gt;0,($F$14-$I$4+VLOOKUP($Q109,武学奇术!$A:$ZZ,15,FALSE)+SUM(_xlfn.XLOOKUP($R109:$AK109,增益!$A:$A,增益!$O:$O,0)))/200,($F$14-$I$4+VLOOKUP($Q109,武学奇术!$A:$ZZ,15,FALSE)+SUM(_xlfn.XLOOKUP($R109:$AK109,增益!$A:$A,增益!$O:$O,0)))/100)</f>
        <v>-0.14</v>
      </c>
      <c r="BM109" s="34" cm="1">
        <f t="array" ref="BM109">$G$14+VLOOKUP($Q109,武学奇术!$A:$ZZ,16,FALSE)+SUM(_xlfn.XLOOKUP($R109:$AK109,增益!$A:$A,增益!$P:$P,0))</f>
        <v>0</v>
      </c>
      <c r="BN109" s="27">
        <f>MIN(IF(VLOOKUP($Q109,武学奇术!$A:$ZZ,23,FALSE)=1,100%,$B$8),100%)</f>
        <v>1</v>
      </c>
      <c r="BO109" s="27" cm="1">
        <f t="array" ref="BO109">IF(VLOOKUP($Q109,武学奇术!$A:$ZZ,23,FALSE)=1,100%,MIN(80%,$B$9+VLOOKUP($Q109,武学奇术!$A:$ZZ,17,FALSE)+SUM(_xlfn.XLOOKUP($R109:$AK109,增益!$A:$A,增益!$Q:$Q,0)))+$B$11+SUM(_xlfn.XLOOKUP($R109:$AK109,增益!$A:$A,增益!$U:$U,0)))*IF(VLOOKUP($Q109,武学奇术!$A:$ZZ,24,FALSE)=1,0,1)</f>
        <v>1</v>
      </c>
      <c r="BP109" s="27" cm="1">
        <f t="array" ref="BP109">1+$B$13+VLOOKUP($Q109,武学奇术!$A:$ZZ,18,FALSE)+SUM(_xlfn.XLOOKUP($R109:$AK109,增益!$A:$A,增益!$R:$R,0))</f>
        <v>2.1</v>
      </c>
      <c r="BQ109" s="27" cm="1">
        <f t="array" ref="BQ109">IF(VLOOKUP($Q109,武学奇术!$A:$ZZ,24,FALSE)=1,100%,MIN(40%,$B$10+VLOOKUP($Q109,武学奇术!$A:$ZZ,19,FALSE)+SUM(_xlfn.XLOOKUP($R109:$AK109,增益!$A:$A,增益!$S:$S,0)))+$B$12+SUM(_xlfn.XLOOKUP($R109:$AK109,增益!$A:$A,增益!$V:$V,0)))*IF(VLOOKUP($Q109,武学奇术!$A:$ZZ,23,FALSE)=1,0,1)</f>
        <v>0</v>
      </c>
      <c r="BR109" s="27" cm="1">
        <f t="array" ref="BR109">1+$B$14+VLOOKUP($Q109,武学奇术!$A:$ZZ,20,FALSE)+SUM(_xlfn.XLOOKUP($R109:$AK109,增益!$A:$A,增益!$T:$T,0))</f>
        <v>1.35</v>
      </c>
      <c r="BS109" s="27">
        <f t="shared" si="43"/>
        <v>1</v>
      </c>
      <c r="BT109" s="27">
        <f t="shared" si="44"/>
        <v>0</v>
      </c>
      <c r="BU109" s="27">
        <f>IF(VLOOKUP($Q109,武学奇术!$A:$ZZ,22,FALSE)=1,0,(1-$BN109))*(1-$BQ109)</f>
        <v>0</v>
      </c>
      <c r="BV109" s="27" cm="1">
        <f t="array" ref="BV109">SUM(_xlfn.XLOOKUP($R109:$AK109,增益!$A:$A,增益!$W:$W,0))+$I$5</f>
        <v>0.31</v>
      </c>
    </row>
    <row r="110" spans="1:74">
      <c r="K110" s="40">
        <f t="shared" si="45"/>
        <v>29657.9453340686</v>
      </c>
      <c r="L110" s="40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BP110*$P110*(1+IF(VLOOKUP($Q110,武学奇术!$A:$ZZ,30,FALSE)="蓄力技",$B$21,0))*(1+$BV110)</f>
        <v>30414.458562496</v>
      </c>
      <c r="M110" s="40">
        <f>(($AT110*$AM110+$AN110)*(1+$AU110)*(1+$AV110)+($AY110*IF($G$1="鸣金",$AO110,$AM110)+IF($G$1="鸣金",$AP110*1.5,0))*(1+$AZ110)*(1+$BA110)+($BC110*IF($G$1="裂石",$AO110,$AM110)+IF($G$1="裂石",$AP110*1.5,0))*(1+$BD110)*(1+$BE110)+($BG110*IF($G$1="牵丝",$AO110,$AM110)+IF($G$1="牵丝",$AP110*1.5,0))*(1+$BH110)*(1+$BI110)+($BK110*IF($G$1="破竹",$AO110,$AM110)+IF($G$1="破竹",$AP110*1.5,0))*(1+$BL110)*(1+$BM110))*(1+$AQ110)*$BR110*$P110*(1+IF(VLOOKUP($Q110,武学奇术!$A:$ZZ,30,FALSE)="蓄力技",$B$21,0))*(1+$BV110)</f>
        <v>26534.0759377944</v>
      </c>
      <c r="N110" s="40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P110*(1+IF(VLOOKUP($Q110,武学奇术!$A:$ZZ,30,FALSE)="蓄力技",$B$21,0))*(1+$BV110)</f>
        <v>17479.5738864919</v>
      </c>
      <c r="O110" s="40">
        <f>((($AS110*$AM110+$AN110)*(1+$AU110)*(1+$AV110)+($AX110*IF($G$1="鸣金",$AO110,$AM110)+IF($G$1="鸣金",$AP110*1.5,0))*(1+$AZ110)*(1+$BA110)+($BB110*IF($G$1="裂石",$AO110,$AM110)+IF($G$1="裂石",$AP110*1.5,0))*(1+$BD110)*(1+$BE110)+($BF110*IF($G$1="牵丝",$AO110,$AM110)+IF($G$1="牵丝",$AP110*1.5,0))*(1+$BH110)*(1+$BI110)+($BJ110*IF($G$1="破竹",$AO110,$AM110)+IF($G$1="破竹",$AP110*1.5,0))*(1+$BL110)*(1+$BM110))*(1+$AQ110))*$P110*(1+IF(VLOOKUP($Q110,武学奇术!$A:$ZZ,30,FALSE)="蓄力技",$B$21,0))*(1+$BV110)</f>
        <v>15304.276707951</v>
      </c>
      <c r="P110" s="41">
        <v>1</v>
      </c>
      <c r="Q110" s="42" t="s">
        <v>75</v>
      </c>
      <c r="R110" s="42" t="s">
        <v>103</v>
      </c>
      <c r="S110" s="42" t="s">
        <v>77</v>
      </c>
      <c r="T110" s="42" t="s">
        <v>77</v>
      </c>
      <c r="U110" s="42" t="s">
        <v>87</v>
      </c>
      <c r="V110" s="42" t="s">
        <v>77</v>
      </c>
      <c r="W110" s="42" t="s">
        <v>78</v>
      </c>
      <c r="X110" s="42" t="s">
        <v>176</v>
      </c>
      <c r="Y110" s="42" t="s">
        <v>77</v>
      </c>
      <c r="Z110" s="42" t="s">
        <v>77</v>
      </c>
      <c r="AA110" s="42" t="s">
        <v>77</v>
      </c>
      <c r="AB110" s="42" t="s">
        <v>89</v>
      </c>
      <c r="AC110" s="42" t="s">
        <v>77</v>
      </c>
      <c r="AD110" s="42" t="s">
        <v>80</v>
      </c>
      <c r="AE110" s="42" t="s">
        <v>81</v>
      </c>
      <c r="AF110" s="42" t="s">
        <v>82</v>
      </c>
      <c r="AG110" s="42" t="s">
        <v>77</v>
      </c>
      <c r="AH110" s="42" t="s">
        <v>77</v>
      </c>
      <c r="AI110" s="42" t="s">
        <v>77</v>
      </c>
      <c r="AJ110" s="42" t="s">
        <v>77</v>
      </c>
      <c r="AK110" s="42" t="s">
        <v>90</v>
      </c>
      <c r="AL110" t="str">
        <f>VLOOKUP($Q110,武学奇术!$A:$ZZ,25,FALSE)</f>
        <v>群体奇术</v>
      </c>
      <c r="AM110" s="27">
        <f>VLOOKUP($Q110,武学奇术!$A:$ZZ,26,FALSE)</f>
        <v>1.4904</v>
      </c>
      <c r="AN110" s="28">
        <f>VLOOKUP($Q110,武学奇术!$A:$ZZ,27,FALSE)*(1+IF(OR($AL110=$F$4,$AL110=$F$5),$B$22,0))</f>
        <v>378</v>
      </c>
      <c r="AO110" s="27">
        <f>VLOOKUP($Q110,武学奇术!$A:$ZZ,28,FALSE)</f>
        <v>2.2356</v>
      </c>
      <c r="AP110" s="28">
        <f>VLOOKUP($Q110,武学奇术!$A:$ZZ,29,FALSE)*(1+IF(OR($AL110=$F$4,$AL110=$F$5),$B$22,0))</f>
        <v>0</v>
      </c>
      <c r="AQ110" s="27" cm="1">
        <f t="array" ref="AQ110">$G$3+IFERROR(VLOOKUP($AL110,$F$4:$G$7,2,FALSE),0)+VLOOKUP($Q110,武学奇术!$A:$ZZ,2,FALSE)+SUM(_xlfn.XLOOKUP($R110:$AK110,增益!$A:$A,增益!$B:$B,0))</f>
        <v>0.3837</v>
      </c>
      <c r="AR110" s="27" cm="1">
        <f t="array" ref="AR110">VLOOKUP($Q110,武学奇术!$A:$ZZ,5,FALSE)+SUM(_xlfn.XLOOKUP($R110:$AK110,增益!$A:$A,增益!$E:$E,0))</f>
        <v>0</v>
      </c>
      <c r="AS110" cm="1">
        <f t="array" ref="AS110">$D$10*(1+$AR110)+VLOOKUP($Q110,武学奇术!$A:$ZZ,3,FALSE)+SUM(_xlfn.XLOOKUP($R110:$AK110,增益!$A:$A,增益!$C:$C,0))-$I$2</f>
        <v>3648.7</v>
      </c>
      <c r="AT110" cm="1">
        <f t="array" ref="AT110">$E$10*(1+$AR110)+VLOOKUP($Q110,武学奇术!$A:$ZZ,4,FALSE)+SUM(_xlfn.XLOOKUP($R110:$AK110,增益!$A:$A,增益!$D:$D,0))-$I$2</f>
        <v>3648.7</v>
      </c>
      <c r="AU110" s="34" cm="1">
        <f t="array" ref="AU110">IF($F$10-$I$3+VLOOKUP($Q110,武学奇术!$A:$ZZ,6,FALSE)+SUM(_xlfn.XLOOKUP($R110:$AK110,增益!$A:$A,增益!$F:$F,0))&gt;0,($F$10-$I$3+VLOOKUP($Q110,武学奇术!$A:$ZZ,6,FALSE)+SUM(_xlfn.XLOOKUP($R110:$AK110,增益!$A:$A,增益!$F:$F,0)))/200,($F$10-$I$3+VLOOKUP($Q110,武学奇术!$A:$ZZ,6,FALSE)+SUM(_xlfn.XLOOKUP($R110:$AK110,增益!$A:$A,增益!$F:$F,0)))/100)</f>
        <v>0.427</v>
      </c>
      <c r="AV110" s="34" cm="1">
        <f t="array" ref="AV110">$G$10+VLOOKUP($Q110,武学奇术!$A:$ZZ,7,FALSE)+SUM(_xlfn.XLOOKUP($R110:$AK110,增益!$A:$A,增益!$G:$G,0))</f>
        <v>0</v>
      </c>
      <c r="AW110" s="27" cm="1">
        <f t="array" ref="AW110">VLOOKUP($Q110,武学奇术!$A:$ZZ,8,FALSE)+SUM(_xlfn.XLOOKUP($R110:$AK110,增益!$A:$A,增益!$H:$H,0))</f>
        <v>0</v>
      </c>
      <c r="AX110">
        <f t="shared" si="35"/>
        <v>0</v>
      </c>
      <c r="AY110">
        <f t="shared" si="36"/>
        <v>0</v>
      </c>
      <c r="AZ110" s="34" cm="1">
        <f t="array" ref="AZ110">IF($F$11-$I$4+VLOOKUP($Q110,武学奇术!$A:$ZZ,9,FALSE)+SUM(_xlfn.XLOOKUP($R110:$AK110,增益!$A:$A,增益!$I:$I,0))&gt;0,($F$11-$I$4+VLOOKUP($Q110,武学奇术!$A:$ZZ,9,FALSE)+SUM(_xlfn.XLOOKUP($R110:$AK110,增益!$A:$A,增益!$I:$I,0)))/200,($F$11-$I$4+VLOOKUP($Q110,武学奇术!$A:$ZZ,9,FALSE)+SUM(_xlfn.XLOOKUP($R110:$AK110,增益!$A:$A,增益!$I:$I,0)))/100)</f>
        <v>-0.3</v>
      </c>
      <c r="BA110" s="34" cm="1">
        <f t="array" ref="BA110">$G$11+VLOOKUP($Q110,武学奇术!$A:$ZZ,10,FALSE)+SUM(_xlfn.XLOOKUP($R110:$AK110,增益!$A:$A,增益!$J:$J,0))</f>
        <v>0</v>
      </c>
      <c r="BB110">
        <f t="shared" si="37"/>
        <v>594.1</v>
      </c>
      <c r="BC110">
        <f t="shared" si="38"/>
        <v>1604.9</v>
      </c>
      <c r="BD110" s="34" cm="1">
        <f t="array" ref="BD110">IF($F$12-$I$4+VLOOKUP($Q110,武学奇术!$A:$ZZ,11,FALSE)+SUM(_xlfn.XLOOKUP($R110:$AK110,增益!$A:$A,增益!$K:$K,0))&gt;0,($F$12-$I$4+VLOOKUP($Q110,武学奇术!$A:$ZZ,11,FALSE)+SUM(_xlfn.XLOOKUP($R110:$AK110,增益!$A:$A,增益!$K:$K,0)))/200,($F$12-$I$4+VLOOKUP($Q110,武学奇术!$A:$ZZ,11,FALSE)+SUM(_xlfn.XLOOKUP($R110:$AK110,增益!$A:$A,增益!$K:$K,0)))/100)</f>
        <v>0.09</v>
      </c>
      <c r="BE110" s="34" cm="1">
        <f t="array" ref="BE110">$G$12+VLOOKUP($Q110,武学奇术!$A:$ZZ,12,FALSE)+SUM(_xlfn.XLOOKUP($R110:$AK110,增益!$A:$A,增益!$L:$L,0))</f>
        <v>0.15</v>
      </c>
      <c r="BF110">
        <f t="shared" si="39"/>
        <v>0</v>
      </c>
      <c r="BG110">
        <f t="shared" si="40"/>
        <v>0</v>
      </c>
      <c r="BH110" s="34" cm="1">
        <f t="array" ref="BH110">IF($F$13-$I$4+VLOOKUP($Q110,武学奇术!$A:$ZZ,13,FALSE)+SUM(_xlfn.XLOOKUP($R110:$AK110,增益!$A:$A,增益!$M:$M,0))&gt;0,($F$13-$I$4+VLOOKUP($Q110,武学奇术!$A:$ZZ,13,FALSE)+SUM(_xlfn.XLOOKUP($R110:$AK110,增益!$A:$A,增益!$K:$K,0)))/200,($F$13-$I$4+VLOOKUP($Q110,武学奇术!$A:$ZZ,13,FALSE)+SUM(_xlfn.XLOOKUP($R110:$AK110,增益!$A:$A,增益!$M:$M,0)))/100)</f>
        <v>-0.3</v>
      </c>
      <c r="BI110" s="34" cm="1">
        <f t="array" ref="BI110">$G$13+VLOOKUP($Q110,武学奇术!$A:$ZZ,14,FALSE)+SUM(_xlfn.XLOOKUP($R110:$AK110,增益!$A:$A,增益!$N:$N,0))</f>
        <v>0</v>
      </c>
      <c r="BJ110">
        <f t="shared" si="41"/>
        <v>0</v>
      </c>
      <c r="BK110">
        <f t="shared" si="42"/>
        <v>0</v>
      </c>
      <c r="BL110" s="34" cm="1">
        <f t="array" ref="BL110">IF($F$14-$I$4+VLOOKUP($Q110,武学奇术!$A:$ZZ,15,FALSE)+SUM(_xlfn.XLOOKUP($R110:$AK110,增益!$A:$A,增益!$O:$O,0))&gt;0,($F$14-$I$4+VLOOKUP($Q110,武学奇术!$A:$ZZ,15,FALSE)+SUM(_xlfn.XLOOKUP($R110:$AK110,增益!$A:$A,增益!$O:$O,0)))/200,($F$14-$I$4+VLOOKUP($Q110,武学奇术!$A:$ZZ,15,FALSE)+SUM(_xlfn.XLOOKUP($R110:$AK110,增益!$A:$A,增益!$O:$O,0)))/100)</f>
        <v>-0.3</v>
      </c>
      <c r="BM110" s="34" cm="1">
        <f t="array" ref="BM110">$G$14+VLOOKUP($Q110,武学奇术!$A:$ZZ,16,FALSE)+SUM(_xlfn.XLOOKUP($R110:$AK110,增益!$A:$A,增益!$P:$P,0))</f>
        <v>0</v>
      </c>
      <c r="BN110" s="27">
        <f>MIN(IF(VLOOKUP($Q110,武学奇术!$A:$ZZ,23,FALSE)=1,100%,$B$8),100%)</f>
        <v>0.9859</v>
      </c>
      <c r="BO110" s="27" cm="1">
        <f t="array" ref="BO110">IF(VLOOKUP($Q110,武学奇术!$A:$ZZ,23,FALSE)=1,100%,MIN(80%,$B$9+VLOOKUP($Q110,武学奇术!$A:$ZZ,17,FALSE)+SUM(_xlfn.XLOOKUP($R110:$AK110,增益!$A:$A,增益!$Q:$Q,0)))+$B$11+SUM(_xlfn.XLOOKUP($R110:$AK110,增益!$A:$A,增益!$U:$U,0)))*IF(VLOOKUP($Q110,武学奇术!$A:$ZZ,24,FALSE)=1,0,1)</f>
        <v>0.8912</v>
      </c>
      <c r="BP110" s="27" cm="1">
        <f t="array" ref="BP110">1+$B$13+VLOOKUP($Q110,武学奇术!$A:$ZZ,18,FALSE)+SUM(_xlfn.XLOOKUP($R110:$AK110,增益!$A:$A,增益!$R:$R,0))</f>
        <v>1.74</v>
      </c>
      <c r="BQ110" s="27" cm="1">
        <f t="array" ref="BQ110">IF(VLOOKUP($Q110,武学奇术!$A:$ZZ,24,FALSE)=1,100%,MIN(40%,$B$10+VLOOKUP($Q110,武学奇术!$A:$ZZ,19,FALSE)+SUM(_xlfn.XLOOKUP($R110:$AK110,增益!$A:$A,增益!$S:$S,0)))+$B$12+SUM(_xlfn.XLOOKUP($R110:$AK110,增益!$A:$A,增益!$V:$V,0)))*IF(VLOOKUP($Q110,武学奇术!$A:$ZZ,23,FALSE)=1,0,1)</f>
        <v>0.0929</v>
      </c>
      <c r="BR110" s="27" cm="1">
        <f t="array" ref="BR110">1+$B$14+VLOOKUP($Q110,武学奇术!$A:$ZZ,20,FALSE)+SUM(_xlfn.XLOOKUP($R110:$AK110,增益!$A:$A,增益!$T:$T,0))</f>
        <v>1.35</v>
      </c>
      <c r="BS110" s="27">
        <f t="shared" si="43"/>
        <v>0.87863408</v>
      </c>
      <c r="BT110" s="27">
        <f t="shared" si="44"/>
        <v>0.01567581</v>
      </c>
      <c r="BU110" s="27">
        <f>IF(VLOOKUP($Q110,武学奇术!$A:$ZZ,22,FALSE)=1,0,(1-$BN110))*(1-$BQ110)</f>
        <v>0.01279011</v>
      </c>
      <c r="BV110" s="27" cm="1">
        <f t="array" ref="BV110">SUM(_xlfn.XLOOKUP($R110:$AK110,增益!$A:$A,增益!$W:$W,0))+$I$5</f>
        <v>0.11</v>
      </c>
    </row>
    <row r="111" spans="1:74">
      <c r="K111" s="40">
        <f t="shared" si="45"/>
        <v>69268.4303037674</v>
      </c>
      <c r="L111" s="40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BP111*$P111*(1+IF(VLOOKUP($Q111,武学奇术!$A:$ZZ,30,FALSE)="蓄力技",$B$21,0))*(1+$BV111)</f>
        <v>71004.5433243908</v>
      </c>
      <c r="M111" s="40">
        <f>(($AT111*$AM111+$AN111)*(1+$AU111)*(1+$AV111)+($AY111*IF($G$1="鸣金",$AO111,$AM111)+IF($G$1="鸣金",$AP111*1.5,0))*(1+$AZ111)*(1+$BA111)+($BC111*IF($G$1="裂石",$AO111,$AM111)+IF($G$1="裂石",$AP111*1.5,0))*(1+$BD111)*(1+$BE111)+($BG111*IF($G$1="牵丝",$AO111,$AM111)+IF($G$1="牵丝",$AP111*1.5,0))*(1+$BH111)*(1+$BI111)+($BK111*IF($G$1="破竹",$AO111,$AM111)+IF($G$1="破竹",$AP111*1.5,0))*(1+$BL111)*(1+$BM111))*(1+$AQ111)*$BR111*$P111*(1+IF(VLOOKUP($Q111,武学奇术!$A:$ZZ,30,FALSE)="蓄力技",$B$21,0))*(1+$BV111)</f>
        <v>62305.3360499051</v>
      </c>
      <c r="N111" s="40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P111*(1+IF(VLOOKUP($Q111,武学奇术!$A:$ZZ,30,FALSE)="蓄力技",$B$21,0))*(1+$BV111)</f>
        <v>40807.2088071212</v>
      </c>
      <c r="O111" s="40">
        <f>((($AS111*$AM111+$AN111)*(1+$AU111)*(1+$AV111)+($AX111*IF($G$1="鸣金",$AO111,$AM111)+IF($G$1="鸣金",$AP111*1.5,0))*(1+$AZ111)*(1+$BA111)+($BB111*IF($G$1="裂石",$AO111,$AM111)+IF($G$1="裂石",$AP111*1.5,0))*(1+$BD111)*(1+$BE111)+($BF111*IF($G$1="牵丝",$AO111,$AM111)+IF($G$1="牵丝",$AP111*1.5,0))*(1+$BH111)*(1+$BI111)+($BJ111*IF($G$1="破竹",$AO111,$AM111)+IF($G$1="破竹",$AP111*1.5,0))*(1+$BL111)*(1+$BM111))*(1+$AQ111))*$P111*(1+IF(VLOOKUP($Q111,武学奇术!$A:$ZZ,30,FALSE)="蓄力技",$B$21,0))*(1+$BV111)</f>
        <v>35462.3168365349</v>
      </c>
      <c r="P111" s="41">
        <v>2</v>
      </c>
      <c r="Q111" s="42" t="s">
        <v>75</v>
      </c>
      <c r="R111" s="42" t="s">
        <v>103</v>
      </c>
      <c r="S111" s="42" t="s">
        <v>169</v>
      </c>
      <c r="T111" s="42" t="s">
        <v>86</v>
      </c>
      <c r="U111" s="42" t="s">
        <v>87</v>
      </c>
      <c r="V111" s="42" t="s">
        <v>77</v>
      </c>
      <c r="W111" s="42" t="s">
        <v>78</v>
      </c>
      <c r="X111" s="42" t="s">
        <v>176</v>
      </c>
      <c r="Y111" s="42" t="s">
        <v>77</v>
      </c>
      <c r="Z111" s="42" t="s">
        <v>77</v>
      </c>
      <c r="AA111" s="42" t="s">
        <v>77</v>
      </c>
      <c r="AB111" s="42" t="s">
        <v>95</v>
      </c>
      <c r="AC111" s="42" t="s">
        <v>77</v>
      </c>
      <c r="AD111" s="42" t="s">
        <v>80</v>
      </c>
      <c r="AE111" s="42" t="s">
        <v>81</v>
      </c>
      <c r="AF111" s="42" t="s">
        <v>82</v>
      </c>
      <c r="AG111" s="42" t="s">
        <v>77</v>
      </c>
      <c r="AH111" s="42" t="s">
        <v>77</v>
      </c>
      <c r="AI111" s="42" t="s">
        <v>77</v>
      </c>
      <c r="AJ111" s="42" t="s">
        <v>77</v>
      </c>
      <c r="AK111" s="42" t="s">
        <v>90</v>
      </c>
      <c r="AL111" t="str">
        <f>VLOOKUP($Q111,武学奇术!$A:$ZZ,25,FALSE)</f>
        <v>群体奇术</v>
      </c>
      <c r="AM111" s="27">
        <f>VLOOKUP($Q111,武学奇术!$A:$ZZ,26,FALSE)</f>
        <v>1.4904</v>
      </c>
      <c r="AN111" s="28">
        <f>VLOOKUP($Q111,武学奇术!$A:$ZZ,27,FALSE)*(1+IF(OR($AL111=$F$4,$AL111=$F$5),$B$22,0))</f>
        <v>378</v>
      </c>
      <c r="AO111" s="27">
        <f>VLOOKUP($Q111,武学奇术!$A:$ZZ,28,FALSE)</f>
        <v>2.2356</v>
      </c>
      <c r="AP111" s="28">
        <f>VLOOKUP($Q111,武学奇术!$A:$ZZ,29,FALSE)*(1+IF(OR($AL111=$F$4,$AL111=$F$5),$B$22,0))</f>
        <v>0</v>
      </c>
      <c r="AQ111" s="27" cm="1">
        <f t="array" ref="AQ111">$G$3+IFERROR(VLOOKUP($AL111,$F$4:$G$7,2,FALSE),0)+VLOOKUP($Q111,武学奇术!$A:$ZZ,2,FALSE)+SUM(_xlfn.XLOOKUP($R111:$AK111,增益!$A:$A,增益!$B:$B,0))</f>
        <v>0.5837</v>
      </c>
      <c r="AR111" s="27" cm="1">
        <f t="array" ref="AR111">VLOOKUP($Q111,武学奇术!$A:$ZZ,5,FALSE)+SUM(_xlfn.XLOOKUP($R111:$AK111,增益!$A:$A,增益!$E:$E,0))</f>
        <v>0</v>
      </c>
      <c r="AS111" cm="1">
        <f t="array" ref="AS111">$D$10*(1+$AR111)+VLOOKUP($Q111,武学奇术!$A:$ZZ,3,FALSE)+SUM(_xlfn.XLOOKUP($R111:$AK111,增益!$A:$A,增益!$C:$C,0))-$I$2</f>
        <v>3648.7</v>
      </c>
      <c r="AT111" cm="1">
        <f t="array" ref="AT111">$E$10*(1+$AR111)+VLOOKUP($Q111,武学奇术!$A:$ZZ,4,FALSE)+SUM(_xlfn.XLOOKUP($R111:$AK111,增益!$A:$A,增益!$D:$D,0))-$I$2</f>
        <v>3648.7</v>
      </c>
      <c r="AU111" s="34" cm="1">
        <f t="array" ref="AU111">IF($F$10-$I$3+VLOOKUP($Q111,武学奇术!$A:$ZZ,6,FALSE)+SUM(_xlfn.XLOOKUP($R111:$AK111,增益!$A:$A,增益!$F:$F,0))&gt;0,($F$10-$I$3+VLOOKUP($Q111,武学奇术!$A:$ZZ,6,FALSE)+SUM(_xlfn.XLOOKUP($R111:$AK111,增益!$A:$A,增益!$F:$F,0)))/200,($F$10-$I$3+VLOOKUP($Q111,武学奇术!$A:$ZZ,6,FALSE)+SUM(_xlfn.XLOOKUP($R111:$AK111,增益!$A:$A,增益!$F:$F,0)))/100)</f>
        <v>0.427</v>
      </c>
      <c r="AV111" s="34" cm="1">
        <f t="array" ref="AV111">$G$10+VLOOKUP($Q111,武学奇术!$A:$ZZ,7,FALSE)+SUM(_xlfn.XLOOKUP($R111:$AK111,增益!$A:$A,增益!$G:$G,0))</f>
        <v>0</v>
      </c>
      <c r="AW111" s="27" cm="1">
        <f t="array" ref="AW111">VLOOKUP($Q111,武学奇术!$A:$ZZ,8,FALSE)+SUM(_xlfn.XLOOKUP($R111:$AK111,增益!$A:$A,增益!$H:$H,0))</f>
        <v>0</v>
      </c>
      <c r="AX111">
        <f t="shared" si="35"/>
        <v>0</v>
      </c>
      <c r="AY111">
        <f t="shared" si="36"/>
        <v>0</v>
      </c>
      <c r="AZ111" s="34" cm="1">
        <f t="array" ref="AZ111">IF($F$11-$I$4+VLOOKUP($Q111,武学奇术!$A:$ZZ,9,FALSE)+SUM(_xlfn.XLOOKUP($R111:$AK111,增益!$A:$A,增益!$I:$I,0))&gt;0,($F$11-$I$4+VLOOKUP($Q111,武学奇术!$A:$ZZ,9,FALSE)+SUM(_xlfn.XLOOKUP($R111:$AK111,增益!$A:$A,增益!$I:$I,0)))/200,($F$11-$I$4+VLOOKUP($Q111,武学奇术!$A:$ZZ,9,FALSE)+SUM(_xlfn.XLOOKUP($R111:$AK111,增益!$A:$A,增益!$I:$I,0)))/100)</f>
        <v>-0.14</v>
      </c>
      <c r="BA111" s="34" cm="1">
        <f t="array" ref="BA111">$G$11+VLOOKUP($Q111,武学奇术!$A:$ZZ,10,FALSE)+SUM(_xlfn.XLOOKUP($R111:$AK111,增益!$A:$A,增益!$J:$J,0))</f>
        <v>0</v>
      </c>
      <c r="BB111">
        <f t="shared" si="37"/>
        <v>594.1</v>
      </c>
      <c r="BC111">
        <f t="shared" si="38"/>
        <v>1604.9</v>
      </c>
      <c r="BD111" s="34" cm="1">
        <f t="array" ref="BD111">IF($F$12-$I$4+VLOOKUP($Q111,武学奇术!$A:$ZZ,11,FALSE)+SUM(_xlfn.XLOOKUP($R111:$AK111,增益!$A:$A,增益!$K:$K,0))&gt;0,($F$12-$I$4+VLOOKUP($Q111,武学奇术!$A:$ZZ,11,FALSE)+SUM(_xlfn.XLOOKUP($R111:$AK111,增益!$A:$A,增益!$K:$K,0)))/200,($F$12-$I$4+VLOOKUP($Q111,武学奇术!$A:$ZZ,11,FALSE)+SUM(_xlfn.XLOOKUP($R111:$AK111,增益!$A:$A,增益!$K:$K,0)))/100)</f>
        <v>0.17</v>
      </c>
      <c r="BE111" s="34" cm="1">
        <f t="array" ref="BE111">$G$12+VLOOKUP($Q111,武学奇术!$A:$ZZ,12,FALSE)+SUM(_xlfn.XLOOKUP($R111:$AK111,增益!$A:$A,增益!$L:$L,0))</f>
        <v>0.15</v>
      </c>
      <c r="BF111">
        <f t="shared" si="39"/>
        <v>0</v>
      </c>
      <c r="BG111">
        <f t="shared" si="40"/>
        <v>0</v>
      </c>
      <c r="BH111" s="34" cm="1">
        <f t="array" ref="BH111">IF($F$13-$I$4+VLOOKUP($Q111,武学奇术!$A:$ZZ,13,FALSE)+SUM(_xlfn.XLOOKUP($R111:$AK111,增益!$A:$A,增益!$M:$M,0))&gt;0,($F$13-$I$4+VLOOKUP($Q111,武学奇术!$A:$ZZ,13,FALSE)+SUM(_xlfn.XLOOKUP($R111:$AK111,增益!$A:$A,增益!$K:$K,0)))/200,($F$13-$I$4+VLOOKUP($Q111,武学奇术!$A:$ZZ,13,FALSE)+SUM(_xlfn.XLOOKUP($R111:$AK111,增益!$A:$A,增益!$M:$M,0)))/100)</f>
        <v>-0.14</v>
      </c>
      <c r="BI111" s="34" cm="1">
        <f t="array" ref="BI111">$G$13+VLOOKUP($Q111,武学奇术!$A:$ZZ,14,FALSE)+SUM(_xlfn.XLOOKUP($R111:$AK111,增益!$A:$A,增益!$N:$N,0))</f>
        <v>0</v>
      </c>
      <c r="BJ111">
        <f t="shared" si="41"/>
        <v>0</v>
      </c>
      <c r="BK111">
        <f t="shared" si="42"/>
        <v>0</v>
      </c>
      <c r="BL111" s="34" cm="1">
        <f t="array" ref="BL111">IF($F$14-$I$4+VLOOKUP($Q111,武学奇术!$A:$ZZ,15,FALSE)+SUM(_xlfn.XLOOKUP($R111:$AK111,增益!$A:$A,增益!$O:$O,0))&gt;0,($F$14-$I$4+VLOOKUP($Q111,武学奇术!$A:$ZZ,15,FALSE)+SUM(_xlfn.XLOOKUP($R111:$AK111,增益!$A:$A,增益!$O:$O,0)))/200,($F$14-$I$4+VLOOKUP($Q111,武学奇术!$A:$ZZ,15,FALSE)+SUM(_xlfn.XLOOKUP($R111:$AK111,增益!$A:$A,增益!$O:$O,0)))/100)</f>
        <v>-0.14</v>
      </c>
      <c r="BM111" s="34" cm="1">
        <f t="array" ref="BM111">$G$14+VLOOKUP($Q111,武学奇术!$A:$ZZ,16,FALSE)+SUM(_xlfn.XLOOKUP($R111:$AK111,增益!$A:$A,增益!$P:$P,0))</f>
        <v>0</v>
      </c>
      <c r="BN111" s="27">
        <f>MIN(IF(VLOOKUP($Q111,武学奇术!$A:$ZZ,23,FALSE)=1,100%,$B$8),100%)</f>
        <v>0.9859</v>
      </c>
      <c r="BO111" s="27" cm="1">
        <f t="array" ref="BO111">IF(VLOOKUP($Q111,武学奇术!$A:$ZZ,23,FALSE)=1,100%,MIN(80%,$B$9+VLOOKUP($Q111,武学奇术!$A:$ZZ,17,FALSE)+SUM(_xlfn.XLOOKUP($R111:$AK111,增益!$A:$A,增益!$Q:$Q,0)))+$B$11+SUM(_xlfn.XLOOKUP($R111:$AK111,增益!$A:$A,增益!$U:$U,0)))*IF(VLOOKUP($Q111,武学奇术!$A:$ZZ,24,FALSE)=1,0,1)</f>
        <v>0.8912</v>
      </c>
      <c r="BP111" s="27" cm="1">
        <f t="array" ref="BP111">1+$B$13+VLOOKUP($Q111,武学奇术!$A:$ZZ,18,FALSE)+SUM(_xlfn.XLOOKUP($R111:$AK111,增益!$A:$A,增益!$R:$R,0))</f>
        <v>1.74</v>
      </c>
      <c r="BQ111" s="27" cm="1">
        <f t="array" ref="BQ111">IF(VLOOKUP($Q111,武学奇术!$A:$ZZ,24,FALSE)=1,100%,MIN(40%,$B$10+VLOOKUP($Q111,武学奇术!$A:$ZZ,19,FALSE)+SUM(_xlfn.XLOOKUP($R111:$AK111,增益!$A:$A,增益!$S:$S,0)))+$B$12+SUM(_xlfn.XLOOKUP($R111:$AK111,增益!$A:$A,增益!$V:$V,0)))*IF(VLOOKUP($Q111,武学奇术!$A:$ZZ,23,FALSE)=1,0,1)</f>
        <v>0.0929</v>
      </c>
      <c r="BR111" s="27" cm="1">
        <f t="array" ref="BR111">1+$B$14+VLOOKUP($Q111,武学奇术!$A:$ZZ,20,FALSE)+SUM(_xlfn.XLOOKUP($R111:$AK111,增益!$A:$A,增益!$T:$T,0))</f>
        <v>1.35</v>
      </c>
      <c r="BS111" s="27">
        <f t="shared" si="43"/>
        <v>0.87863408</v>
      </c>
      <c r="BT111" s="27">
        <f t="shared" si="44"/>
        <v>0.01567581</v>
      </c>
      <c r="BU111" s="27">
        <f>IF(VLOOKUP($Q111,武学奇术!$A:$ZZ,22,FALSE)=1,0,(1-$BN111))*(1-$BQ111)</f>
        <v>0.01279011</v>
      </c>
      <c r="BV111" s="27" cm="1">
        <f t="array" ref="BV111">SUM(_xlfn.XLOOKUP($R111:$AK111,增益!$A:$A,增益!$W:$W,0))+$I$5</f>
        <v>0.11</v>
      </c>
    </row>
    <row r="112" spans="1:74">
      <c r="K112" s="40">
        <f t="shared" si="45"/>
        <v>81749.2285566984</v>
      </c>
      <c r="L112" s="40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BP112*$P112*(1+IF(VLOOKUP($Q112,武学奇术!$A:$ZZ,30,FALSE)="蓄力技",$B$21,0))*(1+$BV112)</f>
        <v>83798.154734191</v>
      </c>
      <c r="M112" s="40">
        <f>(($AT112*$AM112+$AN112)*(1+$AU112)*(1+$AV112)+($AY112*IF($G$1="鸣金",$AO112,$AM112)+IF($G$1="鸣金",$AP112*1.5,0))*(1+$AZ112)*(1+$BA112)+($BC112*IF($G$1="裂石",$AO112,$AM112)+IF($G$1="裂石",$AP112*1.5,0))*(1+$BD112)*(1+$BE112)+($BG112*IF($G$1="牵丝",$AO112,$AM112)+IF($G$1="牵丝",$AP112*1.5,0))*(1+$BH112)*(1+$BI112)+($BK112*IF($G$1="破竹",$AO112,$AM112)+IF($G$1="破竹",$AP112*1.5,0))*(1+$BL112)*(1+$BM112))*(1+$AQ112)*$BR112*$P112*(1+IF(VLOOKUP($Q112,武学奇术!$A:$ZZ,30,FALSE)="蓄力技",$B$21,0))*(1+$BV112)</f>
        <v>73531.5227255637</v>
      </c>
      <c r="N112" s="40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P112*(1+IF(VLOOKUP($Q112,武学奇术!$A:$ZZ,30,FALSE)="蓄力技",$B$21,0))*(1+$BV112)</f>
        <v>48159.8590426385</v>
      </c>
      <c r="O112" s="40">
        <f>((($AS112*$AM112+$AN112)*(1+$AU112)*(1+$AV112)+($AX112*IF($G$1="鸣金",$AO112,$AM112)+IF($G$1="鸣金",$AP112*1.5,0))*(1+$AZ112)*(1+$BA112)+($BB112*IF($G$1="裂石",$AO112,$AM112)+IF($G$1="裂石",$AP112*1.5,0))*(1+$BD112)*(1+$BE112)+($BF112*IF($G$1="牵丝",$AO112,$AM112)+IF($G$1="牵丝",$AP112*1.5,0))*(1+$BH112)*(1+$BI112)+($BJ112*IF($G$1="破竹",$AO112,$AM112)+IF($G$1="破竹",$AP112*1.5,0))*(1+$BL112)*(1+$BM112))*(1+$AQ112))*$P112*(1+IF(VLOOKUP($Q112,武学奇术!$A:$ZZ,30,FALSE)="蓄力技",$B$21,0))*(1+$BV112)</f>
        <v>41851.9234737483</v>
      </c>
      <c r="P112" s="41">
        <v>2</v>
      </c>
      <c r="Q112" s="42" t="s">
        <v>75</v>
      </c>
      <c r="R112" s="42" t="s">
        <v>103</v>
      </c>
      <c r="S112" s="42" t="s">
        <v>169</v>
      </c>
      <c r="T112" s="42" t="s">
        <v>86</v>
      </c>
      <c r="U112" s="42" t="s">
        <v>87</v>
      </c>
      <c r="V112" s="42" t="s">
        <v>77</v>
      </c>
      <c r="W112" s="42" t="s">
        <v>78</v>
      </c>
      <c r="X112" s="42" t="s">
        <v>176</v>
      </c>
      <c r="Y112" s="42" t="s">
        <v>186</v>
      </c>
      <c r="Z112" s="42" t="s">
        <v>187</v>
      </c>
      <c r="AA112" s="42" t="s">
        <v>77</v>
      </c>
      <c r="AB112" s="42" t="s">
        <v>95</v>
      </c>
      <c r="AC112" s="42" t="s">
        <v>77</v>
      </c>
      <c r="AD112" s="42" t="s">
        <v>80</v>
      </c>
      <c r="AE112" s="42" t="s">
        <v>81</v>
      </c>
      <c r="AF112" s="42" t="s">
        <v>82</v>
      </c>
      <c r="AG112" s="42" t="s">
        <v>77</v>
      </c>
      <c r="AH112" s="42" t="s">
        <v>77</v>
      </c>
      <c r="AI112" s="42" t="s">
        <v>77</v>
      </c>
      <c r="AJ112" s="42" t="s">
        <v>77</v>
      </c>
      <c r="AK112" s="42" t="s">
        <v>90</v>
      </c>
      <c r="AL112" t="str">
        <f>VLOOKUP($Q112,武学奇术!$A:$ZZ,25,FALSE)</f>
        <v>群体奇术</v>
      </c>
      <c r="AM112" s="27">
        <f>VLOOKUP($Q112,武学奇术!$A:$ZZ,26,FALSE)</f>
        <v>1.4904</v>
      </c>
      <c r="AN112" s="28">
        <f>VLOOKUP($Q112,武学奇术!$A:$ZZ,27,FALSE)*(1+IF(OR($AL112=$F$4,$AL112=$F$5),$B$22,0))</f>
        <v>378</v>
      </c>
      <c r="AO112" s="27">
        <f>VLOOKUP($Q112,武学奇术!$A:$ZZ,28,FALSE)</f>
        <v>2.2356</v>
      </c>
      <c r="AP112" s="28">
        <f>VLOOKUP($Q112,武学奇术!$A:$ZZ,29,FALSE)*(1+IF(OR($AL112=$F$4,$AL112=$F$5),$B$22,0))</f>
        <v>0</v>
      </c>
      <c r="AQ112" s="27" cm="1">
        <f t="array" ref="AQ112">$G$3+IFERROR(VLOOKUP($AL112,$F$4:$G$7,2,FALSE),0)+VLOOKUP($Q112,武学奇术!$A:$ZZ,2,FALSE)+SUM(_xlfn.XLOOKUP($R112:$AK112,增益!$A:$A,增益!$B:$B,0))</f>
        <v>0.5837</v>
      </c>
      <c r="AR112" s="27" cm="1">
        <f t="array" ref="AR112">VLOOKUP($Q112,武学奇术!$A:$ZZ,5,FALSE)+SUM(_xlfn.XLOOKUP($R112:$AK112,增益!$A:$A,增益!$E:$E,0))</f>
        <v>0</v>
      </c>
      <c r="AS112" cm="1">
        <f t="array" ref="AS112">$D$10*(1+$AR112)+VLOOKUP($Q112,武学奇术!$A:$ZZ,3,FALSE)+SUM(_xlfn.XLOOKUP($R112:$AK112,增益!$A:$A,增益!$C:$C,0))-$I$2</f>
        <v>3648.7</v>
      </c>
      <c r="AT112" cm="1">
        <f t="array" ref="AT112">$E$10*(1+$AR112)+VLOOKUP($Q112,武学奇术!$A:$ZZ,4,FALSE)+SUM(_xlfn.XLOOKUP($R112:$AK112,增益!$A:$A,增益!$D:$D,0))-$I$2</f>
        <v>3648.7</v>
      </c>
      <c r="AU112" s="34" cm="1">
        <f t="array" ref="AU112">IF($F$10-$I$3+VLOOKUP($Q112,武学奇术!$A:$ZZ,6,FALSE)+SUM(_xlfn.XLOOKUP($R112:$AK112,增益!$A:$A,增益!$F:$F,0))&gt;0,($F$10-$I$3+VLOOKUP($Q112,武学奇术!$A:$ZZ,6,FALSE)+SUM(_xlfn.XLOOKUP($R112:$AK112,增益!$A:$A,增益!$F:$F,0)))/200,($F$10-$I$3+VLOOKUP($Q112,武学奇术!$A:$ZZ,6,FALSE)+SUM(_xlfn.XLOOKUP($R112:$AK112,增益!$A:$A,增益!$F:$F,0)))/100)</f>
        <v>0.427</v>
      </c>
      <c r="AV112" s="34" cm="1">
        <f t="array" ref="AV112">$G$10+VLOOKUP($Q112,武学奇术!$A:$ZZ,7,FALSE)+SUM(_xlfn.XLOOKUP($R112:$AK112,增益!$A:$A,增益!$G:$G,0))</f>
        <v>0</v>
      </c>
      <c r="AW112" s="27" cm="1">
        <f t="array" ref="AW112">VLOOKUP($Q112,武学奇术!$A:$ZZ,8,FALSE)+SUM(_xlfn.XLOOKUP($R112:$AK112,增益!$A:$A,增益!$H:$H,0))</f>
        <v>0</v>
      </c>
      <c r="AX112">
        <f t="shared" si="35"/>
        <v>0</v>
      </c>
      <c r="AY112">
        <f t="shared" si="36"/>
        <v>0</v>
      </c>
      <c r="AZ112" s="34" cm="1">
        <f t="array" ref="AZ112">IF($F$11-$I$4+VLOOKUP($Q112,武学奇术!$A:$ZZ,9,FALSE)+SUM(_xlfn.XLOOKUP($R112:$AK112,增益!$A:$A,增益!$I:$I,0))&gt;0,($F$11-$I$4+VLOOKUP($Q112,武学奇术!$A:$ZZ,9,FALSE)+SUM(_xlfn.XLOOKUP($R112:$AK112,增益!$A:$A,增益!$I:$I,0)))/200,($F$11-$I$4+VLOOKUP($Q112,武学奇术!$A:$ZZ,9,FALSE)+SUM(_xlfn.XLOOKUP($R112:$AK112,增益!$A:$A,增益!$I:$I,0)))/100)</f>
        <v>-0.14</v>
      </c>
      <c r="BA112" s="34" cm="1">
        <f t="array" ref="BA112">$G$11+VLOOKUP($Q112,武学奇术!$A:$ZZ,10,FALSE)+SUM(_xlfn.XLOOKUP($R112:$AK112,增益!$A:$A,增益!$J:$J,0))</f>
        <v>0.1</v>
      </c>
      <c r="BB112">
        <f t="shared" si="37"/>
        <v>594.1</v>
      </c>
      <c r="BC112">
        <f t="shared" si="38"/>
        <v>1604.9</v>
      </c>
      <c r="BD112" s="34" cm="1">
        <f t="array" ref="BD112">IF($F$12-$I$4+VLOOKUP($Q112,武学奇术!$A:$ZZ,11,FALSE)+SUM(_xlfn.XLOOKUP($R112:$AK112,增益!$A:$A,增益!$K:$K,0))&gt;0,($F$12-$I$4+VLOOKUP($Q112,武学奇术!$A:$ZZ,11,FALSE)+SUM(_xlfn.XLOOKUP($R112:$AK112,增益!$A:$A,增益!$K:$K,0)))/200,($F$12-$I$4+VLOOKUP($Q112,武学奇术!$A:$ZZ,11,FALSE)+SUM(_xlfn.XLOOKUP($R112:$AK112,增益!$A:$A,增益!$K:$K,0)))/100)</f>
        <v>0.17</v>
      </c>
      <c r="BE112" s="34" cm="1">
        <f t="array" ref="BE112">$G$12+VLOOKUP($Q112,武学奇术!$A:$ZZ,12,FALSE)+SUM(_xlfn.XLOOKUP($R112:$AK112,增益!$A:$A,增益!$L:$L,0))</f>
        <v>0.15</v>
      </c>
      <c r="BF112">
        <f t="shared" si="39"/>
        <v>0</v>
      </c>
      <c r="BG112">
        <f t="shared" si="40"/>
        <v>0</v>
      </c>
      <c r="BH112" s="34" cm="1">
        <f t="array" ref="BH112">IF($F$13-$I$4+VLOOKUP($Q112,武学奇术!$A:$ZZ,13,FALSE)+SUM(_xlfn.XLOOKUP($R112:$AK112,增益!$A:$A,增益!$M:$M,0))&gt;0,($F$13-$I$4+VLOOKUP($Q112,武学奇术!$A:$ZZ,13,FALSE)+SUM(_xlfn.XLOOKUP($R112:$AK112,增益!$A:$A,增益!$K:$K,0)))/200,($F$13-$I$4+VLOOKUP($Q112,武学奇术!$A:$ZZ,13,FALSE)+SUM(_xlfn.XLOOKUP($R112:$AK112,增益!$A:$A,增益!$M:$M,0)))/100)</f>
        <v>-0.14</v>
      </c>
      <c r="BI112" s="34" cm="1">
        <f t="array" ref="BI112">$G$13+VLOOKUP($Q112,武学奇术!$A:$ZZ,14,FALSE)+SUM(_xlfn.XLOOKUP($R112:$AK112,增益!$A:$A,增益!$N:$N,0))</f>
        <v>0</v>
      </c>
      <c r="BJ112">
        <f t="shared" si="41"/>
        <v>0</v>
      </c>
      <c r="BK112">
        <f t="shared" si="42"/>
        <v>0</v>
      </c>
      <c r="BL112" s="34" cm="1">
        <f t="array" ref="BL112">IF($F$14-$I$4+VLOOKUP($Q112,武学奇术!$A:$ZZ,15,FALSE)+SUM(_xlfn.XLOOKUP($R112:$AK112,增益!$A:$A,增益!$O:$O,0))&gt;0,($F$14-$I$4+VLOOKUP($Q112,武学奇术!$A:$ZZ,15,FALSE)+SUM(_xlfn.XLOOKUP($R112:$AK112,增益!$A:$A,增益!$O:$O,0)))/200,($F$14-$I$4+VLOOKUP($Q112,武学奇术!$A:$ZZ,15,FALSE)+SUM(_xlfn.XLOOKUP($R112:$AK112,增益!$A:$A,增益!$O:$O,0)))/100)</f>
        <v>-0.14</v>
      </c>
      <c r="BM112" s="34" cm="1">
        <f t="array" ref="BM112">$G$14+VLOOKUP($Q112,武学奇术!$A:$ZZ,16,FALSE)+SUM(_xlfn.XLOOKUP($R112:$AK112,增益!$A:$A,增益!$P:$P,0))</f>
        <v>0</v>
      </c>
      <c r="BN112" s="27">
        <f>MIN(IF(VLOOKUP($Q112,武学奇术!$A:$ZZ,23,FALSE)=1,100%,$B$8),100%)</f>
        <v>0.9859</v>
      </c>
      <c r="BO112" s="27" cm="1">
        <f t="array" ref="BO112">IF(VLOOKUP($Q112,武学奇术!$A:$ZZ,23,FALSE)=1,100%,MIN(80%,$B$9+VLOOKUP($Q112,武学奇术!$A:$ZZ,17,FALSE)+SUM(_xlfn.XLOOKUP($R112:$AK112,增益!$A:$A,增益!$Q:$Q,0)))+$B$11+SUM(_xlfn.XLOOKUP($R112:$AK112,增益!$A:$A,增益!$U:$U,0)))*IF(VLOOKUP($Q112,武学奇术!$A:$ZZ,24,FALSE)=1,0,1)</f>
        <v>0.8912</v>
      </c>
      <c r="BP112" s="27" cm="1">
        <f t="array" ref="BP112">1+$B$13+VLOOKUP($Q112,武学奇术!$A:$ZZ,18,FALSE)+SUM(_xlfn.XLOOKUP($R112:$AK112,增益!$A:$A,增益!$R:$R,0))</f>
        <v>1.74</v>
      </c>
      <c r="BQ112" s="27" cm="1">
        <f t="array" ref="BQ112">IF(VLOOKUP($Q112,武学奇术!$A:$ZZ,24,FALSE)=1,100%,MIN(40%,$B$10+VLOOKUP($Q112,武学奇术!$A:$ZZ,19,FALSE)+SUM(_xlfn.XLOOKUP($R112:$AK112,增益!$A:$A,增益!$S:$S,0)))+$B$12+SUM(_xlfn.XLOOKUP($R112:$AK112,增益!$A:$A,增益!$V:$V,0)))*IF(VLOOKUP($Q112,武学奇术!$A:$ZZ,23,FALSE)=1,0,1)</f>
        <v>0.0929</v>
      </c>
      <c r="BR112" s="27" cm="1">
        <f t="array" ref="BR112">1+$B$14+VLOOKUP($Q112,武学奇术!$A:$ZZ,20,FALSE)+SUM(_xlfn.XLOOKUP($R112:$AK112,增益!$A:$A,增益!$T:$T,0))</f>
        <v>1.35</v>
      </c>
      <c r="BS112" s="27">
        <f t="shared" si="43"/>
        <v>0.87863408</v>
      </c>
      <c r="BT112" s="27">
        <f t="shared" si="44"/>
        <v>0.01567581</v>
      </c>
      <c r="BU112" s="27">
        <f>IF(VLOOKUP($Q112,武学奇术!$A:$ZZ,22,FALSE)=1,0,(1-$BN112))*(1-$BQ112)</f>
        <v>0.01279011</v>
      </c>
      <c r="BV112" s="27" cm="1">
        <f t="array" ref="BV112">SUM(_xlfn.XLOOKUP($R112:$AK112,增益!$A:$A,增益!$W:$W,0))+$I$5</f>
        <v>0.31</v>
      </c>
    </row>
    <row r="113" spans="11:74">
      <c r="K113" s="40">
        <f t="shared" si="45"/>
        <v>0</v>
      </c>
      <c r="L113" s="40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BP113*$P113*(1+IF(VLOOKUP($Q113,武学奇术!$A:$ZZ,30,FALSE)="蓄力技",$B$21,0))*(1+$BV113)</f>
        <v>0</v>
      </c>
      <c r="M113" s="40">
        <f>(($AT113*$AM113+$AN113)*(1+$AU113)*(1+$AV113)+($AY113*IF($G$1="鸣金",$AO113,$AM113)+IF($G$1="鸣金",$AP113*1.5,0))*(1+$AZ113)*(1+$BA113)+($BC113*IF($G$1="裂石",$AO113,$AM113)+IF($G$1="裂石",$AP113*1.5,0))*(1+$BD113)*(1+$BE113)+($BG113*IF($G$1="牵丝",$AO113,$AM113)+IF($G$1="牵丝",$AP113*1.5,0))*(1+$BH113)*(1+$BI113)+($BK113*IF($G$1="破竹",$AO113,$AM113)+IF($G$1="破竹",$AP113*1.5,0))*(1+$BL113)*(1+$BM113))*(1+$AQ113)*$BR113*$P113*(1+IF(VLOOKUP($Q113,武学奇术!$A:$ZZ,30,FALSE)="蓄力技",$B$21,0))*(1+$BV113)</f>
        <v>0</v>
      </c>
      <c r="N113" s="40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P113*(1+IF(VLOOKUP($Q113,武学奇术!$A:$ZZ,30,FALSE)="蓄力技",$B$21,0))*(1+$BV113)</f>
        <v>0</v>
      </c>
      <c r="O113" s="40">
        <f>((($AS113*$AM113+$AN113)*(1+$AU113)*(1+$AV113)+($AX113*IF($G$1="鸣金",$AO113,$AM113)+IF($G$1="鸣金",$AP113*1.5,0))*(1+$AZ113)*(1+$BA113)+($BB113*IF($G$1="裂石",$AO113,$AM113)+IF($G$1="裂石",$AP113*1.5,0))*(1+$BD113)*(1+$BE113)+($BF113*IF($G$1="牵丝",$AO113,$AM113)+IF($G$1="牵丝",$AP113*1.5,0))*(1+$BH113)*(1+$BI113)+($BJ113*IF($G$1="破竹",$AO113,$AM113)+IF($G$1="破竹",$AP113*1.5,0))*(1+$BL113)*(1+$BM113))*(1+$AQ113))*$P113*(1+IF(VLOOKUP($Q113,武学奇术!$A:$ZZ,30,FALSE)="蓄力技",$B$21,0))*(1+$BV113)</f>
        <v>0</v>
      </c>
      <c r="P113" s="41">
        <v>1</v>
      </c>
      <c r="Q113" s="42" t="s">
        <v>77</v>
      </c>
      <c r="R113" s="42" t="s">
        <v>77</v>
      </c>
      <c r="S113" s="42" t="s">
        <v>77</v>
      </c>
      <c r="T113" s="42" t="s">
        <v>77</v>
      </c>
      <c r="U113" s="42" t="s">
        <v>77</v>
      </c>
      <c r="V113" s="42" t="s">
        <v>77</v>
      </c>
      <c r="W113" s="42" t="s">
        <v>77</v>
      </c>
      <c r="X113" s="42" t="s">
        <v>77</v>
      </c>
      <c r="Y113" s="42" t="s">
        <v>77</v>
      </c>
      <c r="Z113" s="42" t="s">
        <v>77</v>
      </c>
      <c r="AA113" s="42" t="s">
        <v>77</v>
      </c>
      <c r="AB113" s="42" t="s">
        <v>77</v>
      </c>
      <c r="AC113" s="42" t="s">
        <v>77</v>
      </c>
      <c r="AD113" s="42" t="s">
        <v>80</v>
      </c>
      <c r="AE113" s="42" t="s">
        <v>81</v>
      </c>
      <c r="AF113" s="42" t="s">
        <v>82</v>
      </c>
      <c r="AG113" s="42" t="s">
        <v>77</v>
      </c>
      <c r="AH113" s="42" t="s">
        <v>77</v>
      </c>
      <c r="AI113" s="42" t="s">
        <v>77</v>
      </c>
      <c r="AJ113" s="42" t="s">
        <v>77</v>
      </c>
      <c r="AK113" s="42" t="s">
        <v>90</v>
      </c>
      <c r="AL113" t="str">
        <f>VLOOKUP($Q113,武学奇术!$A:$ZZ,25,FALSE)</f>
        <v>心法</v>
      </c>
      <c r="AM113" s="27">
        <f>VLOOKUP($Q113,武学奇术!$A:$ZZ,26,FALSE)</f>
        <v>0</v>
      </c>
      <c r="AN113" s="28">
        <f>VLOOKUP($Q113,武学奇术!$A:$ZZ,27,FALSE)*(1+IF(OR($AL113=$F$4,$AL113=$F$5),$B$22,0))</f>
        <v>0</v>
      </c>
      <c r="AO113" s="27">
        <f>VLOOKUP($Q113,武学奇术!$A:$ZZ,28,FALSE)</f>
        <v>0</v>
      </c>
      <c r="AP113" s="28">
        <f>VLOOKUP($Q113,武学奇术!$A:$ZZ,29,FALSE)*(1+IF(OR($AL113=$F$4,$AL113=$F$5),$B$22,0))</f>
        <v>0</v>
      </c>
      <c r="AQ113" s="27" cm="1">
        <f t="array" ref="AQ113">$G$3+IFERROR(VLOOKUP($AL113,$F$4:$G$7,2,FALSE),0)+VLOOKUP($Q113,武学奇术!$A:$ZZ,2,FALSE)+SUM(_xlfn.XLOOKUP($R113:$AK113,增益!$A:$A,增益!$B:$B,0))</f>
        <v>0.3137</v>
      </c>
      <c r="AR113" s="27" cm="1">
        <f t="array" ref="AR113">VLOOKUP($Q113,武学奇术!$A:$ZZ,5,FALSE)+SUM(_xlfn.XLOOKUP($R113:$AK113,增益!$A:$A,增益!$E:$E,0))</f>
        <v>0</v>
      </c>
      <c r="AS113" cm="1">
        <f t="array" ref="AS113">$D$10*(1+$AR113)+VLOOKUP($Q113,武学奇术!$A:$ZZ,3,FALSE)+SUM(_xlfn.XLOOKUP($R113:$AK113,增益!$A:$A,增益!$C:$C,0))-$I$2</f>
        <v>3648.7</v>
      </c>
      <c r="AT113" cm="1">
        <f t="array" ref="AT113">$E$10*(1+$AR113)+VLOOKUP($Q113,武学奇术!$A:$ZZ,4,FALSE)+SUM(_xlfn.XLOOKUP($R113:$AK113,增益!$A:$A,增益!$D:$D,0))-$I$2</f>
        <v>3648.7</v>
      </c>
      <c r="AU113" s="34" cm="1">
        <f t="array" ref="AU113">IF($F$10-$I$3+VLOOKUP($Q113,武学奇术!$A:$ZZ,6,FALSE)+SUM(_xlfn.XLOOKUP($R113:$AK113,增益!$A:$A,增益!$F:$F,0))&gt;0,($F$10-$I$3+VLOOKUP($Q113,武学奇术!$A:$ZZ,6,FALSE)+SUM(_xlfn.XLOOKUP($R113:$AK113,增益!$A:$A,增益!$F:$F,0)))/200,($F$10-$I$3+VLOOKUP($Q113,武学奇术!$A:$ZZ,6,FALSE)+SUM(_xlfn.XLOOKUP($R113:$AK113,增益!$A:$A,增益!$F:$F,0)))/100)</f>
        <v>0.327</v>
      </c>
      <c r="AV113" s="34" cm="1">
        <f t="array" ref="AV113">$G$10+VLOOKUP($Q113,武学奇术!$A:$ZZ,7,FALSE)+SUM(_xlfn.XLOOKUP($R113:$AK113,增益!$A:$A,增益!$G:$G,0))</f>
        <v>0</v>
      </c>
      <c r="AW113" s="27" cm="1">
        <f t="array" ref="AW113">VLOOKUP($Q113,武学奇术!$A:$ZZ,8,FALSE)+SUM(_xlfn.XLOOKUP($R113:$AK113,增益!$A:$A,增益!$H:$H,0))</f>
        <v>0</v>
      </c>
      <c r="AX113">
        <f t="shared" si="35"/>
        <v>0</v>
      </c>
      <c r="AY113">
        <f t="shared" si="36"/>
        <v>0</v>
      </c>
      <c r="AZ113" s="34" cm="1">
        <f t="array" ref="AZ113">IF($F$11-$I$4+VLOOKUP($Q113,武学奇术!$A:$ZZ,9,FALSE)+SUM(_xlfn.XLOOKUP($R113:$AK113,增益!$A:$A,增益!$I:$I,0))&gt;0,($F$11-$I$4+VLOOKUP($Q113,武学奇术!$A:$ZZ,9,FALSE)+SUM(_xlfn.XLOOKUP($R113:$AK113,增益!$A:$A,增益!$I:$I,0)))/200,($F$11-$I$4+VLOOKUP($Q113,武学奇术!$A:$ZZ,9,FALSE)+SUM(_xlfn.XLOOKUP($R113:$AK113,增益!$A:$A,增益!$I:$I,0)))/100)</f>
        <v>-0.3</v>
      </c>
      <c r="BA113" s="34" cm="1">
        <f t="array" ref="BA113">$G$11+VLOOKUP($Q113,武学奇术!$A:$ZZ,10,FALSE)+SUM(_xlfn.XLOOKUP($R113:$AK113,增益!$A:$A,增益!$J:$J,0))</f>
        <v>0</v>
      </c>
      <c r="BB113">
        <f t="shared" si="37"/>
        <v>594.1</v>
      </c>
      <c r="BC113">
        <f t="shared" si="38"/>
        <v>1604.9</v>
      </c>
      <c r="BD113" s="34" cm="1">
        <f t="array" ref="BD113">IF($F$12-$I$4+VLOOKUP($Q113,武学奇术!$A:$ZZ,11,FALSE)+SUM(_xlfn.XLOOKUP($R113:$AK113,增益!$A:$A,增益!$K:$K,0))&gt;0,($F$12-$I$4+VLOOKUP($Q113,武学奇术!$A:$ZZ,11,FALSE)+SUM(_xlfn.XLOOKUP($R113:$AK113,增益!$A:$A,增益!$K:$K,0)))/200,($F$12-$I$4+VLOOKUP($Q113,武学奇术!$A:$ZZ,11,FALSE)+SUM(_xlfn.XLOOKUP($R113:$AK113,增益!$A:$A,增益!$K:$K,0)))/100)</f>
        <v>0.09</v>
      </c>
      <c r="BE113" s="34" cm="1">
        <f t="array" ref="BE113">$G$12+VLOOKUP($Q113,武学奇术!$A:$ZZ,12,FALSE)+SUM(_xlfn.XLOOKUP($R113:$AK113,增益!$A:$A,增益!$L:$L,0))</f>
        <v>0.15</v>
      </c>
      <c r="BF113">
        <f t="shared" si="39"/>
        <v>0</v>
      </c>
      <c r="BG113">
        <f t="shared" si="40"/>
        <v>0</v>
      </c>
      <c r="BH113" s="34" cm="1">
        <f t="array" ref="BH113">IF($F$13-$I$4+VLOOKUP($Q113,武学奇术!$A:$ZZ,13,FALSE)+SUM(_xlfn.XLOOKUP($R113:$AK113,增益!$A:$A,增益!$M:$M,0))&gt;0,($F$13-$I$4+VLOOKUP($Q113,武学奇术!$A:$ZZ,13,FALSE)+SUM(_xlfn.XLOOKUP($R113:$AK113,增益!$A:$A,增益!$K:$K,0)))/200,($F$13-$I$4+VLOOKUP($Q113,武学奇术!$A:$ZZ,13,FALSE)+SUM(_xlfn.XLOOKUP($R113:$AK113,增益!$A:$A,增益!$M:$M,0)))/100)</f>
        <v>-0.3</v>
      </c>
      <c r="BI113" s="34" cm="1">
        <f t="array" ref="BI113">$G$13+VLOOKUP($Q113,武学奇术!$A:$ZZ,14,FALSE)+SUM(_xlfn.XLOOKUP($R113:$AK113,增益!$A:$A,增益!$N:$N,0))</f>
        <v>0</v>
      </c>
      <c r="BJ113">
        <f t="shared" si="41"/>
        <v>0</v>
      </c>
      <c r="BK113">
        <f t="shared" si="42"/>
        <v>0</v>
      </c>
      <c r="BL113" s="34" cm="1">
        <f t="array" ref="BL113">IF($F$14-$I$4+VLOOKUP($Q113,武学奇术!$A:$ZZ,15,FALSE)+SUM(_xlfn.XLOOKUP($R113:$AK113,增益!$A:$A,增益!$O:$O,0))&gt;0,($F$14-$I$4+VLOOKUP($Q113,武学奇术!$A:$ZZ,15,FALSE)+SUM(_xlfn.XLOOKUP($R113:$AK113,增益!$A:$A,增益!$O:$O,0)))/200,($F$14-$I$4+VLOOKUP($Q113,武学奇术!$A:$ZZ,15,FALSE)+SUM(_xlfn.XLOOKUP($R113:$AK113,增益!$A:$A,增益!$O:$O,0)))/100)</f>
        <v>-0.3</v>
      </c>
      <c r="BM113" s="34" cm="1">
        <f t="array" ref="BM113">$G$14+VLOOKUP($Q113,武学奇术!$A:$ZZ,16,FALSE)+SUM(_xlfn.XLOOKUP($R113:$AK113,增益!$A:$A,增益!$P:$P,0))</f>
        <v>0</v>
      </c>
      <c r="BN113" s="27">
        <f>MIN(IF(VLOOKUP($Q113,武学奇术!$A:$ZZ,23,FALSE)=1,100%,$B$8),100%)</f>
        <v>0.9859</v>
      </c>
      <c r="BO113" s="27" cm="1">
        <f t="array" ref="BO113">IF(VLOOKUP($Q113,武学奇术!$A:$ZZ,23,FALSE)=1,100%,MIN(80%,$B$9+VLOOKUP($Q113,武学奇术!$A:$ZZ,17,FALSE)+SUM(_xlfn.XLOOKUP($R113:$AK113,增益!$A:$A,增益!$Q:$Q,0)))+$B$11+SUM(_xlfn.XLOOKUP($R113:$AK113,增益!$A:$A,增益!$U:$U,0)))*IF(VLOOKUP($Q113,武学奇术!$A:$ZZ,24,FALSE)=1,0,1)</f>
        <v>0.8912</v>
      </c>
      <c r="BP113" s="27" cm="1">
        <f t="array" ref="BP113">1+$B$13+VLOOKUP($Q113,武学奇术!$A:$ZZ,18,FALSE)+SUM(_xlfn.XLOOKUP($R113:$AK113,增益!$A:$A,增益!$R:$R,0))</f>
        <v>1.54</v>
      </c>
      <c r="BQ113" s="27" cm="1">
        <f t="array" ref="BQ113">IF(VLOOKUP($Q113,武学奇术!$A:$ZZ,24,FALSE)=1,100%,MIN(40%,$B$10+VLOOKUP($Q113,武学奇术!$A:$ZZ,19,FALSE)+SUM(_xlfn.XLOOKUP($R113:$AK113,增益!$A:$A,增益!$S:$S,0)))+$B$12+SUM(_xlfn.XLOOKUP($R113:$AK113,增益!$A:$A,增益!$V:$V,0)))*IF(VLOOKUP($Q113,武学奇术!$A:$ZZ,23,FALSE)=1,0,1)</f>
        <v>0.0929</v>
      </c>
      <c r="BR113" s="27" cm="1">
        <f t="array" ref="BR113">1+$B$14+VLOOKUP($Q113,武学奇术!$A:$ZZ,20,FALSE)+SUM(_xlfn.XLOOKUP($R113:$AK113,增益!$A:$A,增益!$T:$T,0))</f>
        <v>1.35</v>
      </c>
      <c r="BS113" s="27">
        <f t="shared" si="43"/>
        <v>0.87863408</v>
      </c>
      <c r="BT113" s="27">
        <f t="shared" si="44"/>
        <v>0.01567581</v>
      </c>
      <c r="BU113" s="27">
        <f>IF(VLOOKUP($Q113,武学奇术!$A:$ZZ,22,FALSE)=1,0,(1-$BN113))*(1-$BQ113)</f>
        <v>0.01279011</v>
      </c>
      <c r="BV113" s="27" cm="1">
        <f t="array" ref="BV113">SUM(_xlfn.XLOOKUP($R113:$AK113,增益!$A:$A,增益!$W:$W,0))+$I$5</f>
        <v>0.11</v>
      </c>
    </row>
    <row r="114" spans="11:74">
      <c r="K114" s="40">
        <f t="shared" si="45"/>
        <v>0</v>
      </c>
      <c r="L114" s="40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BP114*$P114*(1+IF(VLOOKUP($Q114,武学奇术!$A:$ZZ,30,FALSE)="蓄力技",$B$21,0))*(1+$BV114)</f>
        <v>0</v>
      </c>
      <c r="M114" s="40">
        <f>(($AT114*$AM114+$AN114)*(1+$AU114)*(1+$AV114)+($AY114*IF($G$1="鸣金",$AO114,$AM114)+IF($G$1="鸣金",$AP114*1.5,0))*(1+$AZ114)*(1+$BA114)+($BC114*IF($G$1="裂石",$AO114,$AM114)+IF($G$1="裂石",$AP114*1.5,0))*(1+$BD114)*(1+$BE114)+($BG114*IF($G$1="牵丝",$AO114,$AM114)+IF($G$1="牵丝",$AP114*1.5,0))*(1+$BH114)*(1+$BI114)+($BK114*IF($G$1="破竹",$AO114,$AM114)+IF($G$1="破竹",$AP114*1.5,0))*(1+$BL114)*(1+$BM114))*(1+$AQ114)*$BR114*$P114*(1+IF(VLOOKUP($Q114,武学奇术!$A:$ZZ,30,FALSE)="蓄力技",$B$21,0))*(1+$BV114)</f>
        <v>0</v>
      </c>
      <c r="N114" s="40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P114*(1+IF(VLOOKUP($Q114,武学奇术!$A:$ZZ,30,FALSE)="蓄力技",$B$21,0))*(1+$BV114)</f>
        <v>0</v>
      </c>
      <c r="O114" s="40">
        <f>((($AS114*$AM114+$AN114)*(1+$AU114)*(1+$AV114)+($AX114*IF($G$1="鸣金",$AO114,$AM114)+IF($G$1="鸣金",$AP114*1.5,0))*(1+$AZ114)*(1+$BA114)+($BB114*IF($G$1="裂石",$AO114,$AM114)+IF($G$1="裂石",$AP114*1.5,0))*(1+$BD114)*(1+$BE114)+($BF114*IF($G$1="牵丝",$AO114,$AM114)+IF($G$1="牵丝",$AP114*1.5,0))*(1+$BH114)*(1+$BI114)+($BJ114*IF($G$1="破竹",$AO114,$AM114)+IF($G$1="破竹",$AP114*1.5,0))*(1+$BL114)*(1+$BM114))*(1+$AQ114))*$P114*(1+IF(VLOOKUP($Q114,武学奇术!$A:$ZZ,30,FALSE)="蓄力技",$B$21,0))*(1+$BV114)</f>
        <v>0</v>
      </c>
      <c r="P114" s="41">
        <v>1</v>
      </c>
      <c r="Q114" s="42" t="s">
        <v>77</v>
      </c>
      <c r="R114" s="42" t="s">
        <v>77</v>
      </c>
      <c r="S114" s="42" t="s">
        <v>77</v>
      </c>
      <c r="T114" s="42" t="s">
        <v>77</v>
      </c>
      <c r="U114" s="42" t="s">
        <v>77</v>
      </c>
      <c r="V114" s="42" t="s">
        <v>77</v>
      </c>
      <c r="W114" s="42" t="s">
        <v>77</v>
      </c>
      <c r="X114" s="42" t="s">
        <v>77</v>
      </c>
      <c r="Y114" s="42" t="s">
        <v>77</v>
      </c>
      <c r="Z114" s="42" t="s">
        <v>77</v>
      </c>
      <c r="AA114" s="42" t="s">
        <v>77</v>
      </c>
      <c r="AB114" s="42" t="s">
        <v>77</v>
      </c>
      <c r="AC114" s="42" t="s">
        <v>77</v>
      </c>
      <c r="AD114" s="42" t="s">
        <v>80</v>
      </c>
      <c r="AE114" s="42" t="s">
        <v>81</v>
      </c>
      <c r="AF114" s="42" t="s">
        <v>82</v>
      </c>
      <c r="AG114" s="42" t="s">
        <v>77</v>
      </c>
      <c r="AH114" s="42" t="s">
        <v>77</v>
      </c>
      <c r="AI114" s="42" t="s">
        <v>77</v>
      </c>
      <c r="AJ114" s="42" t="s">
        <v>77</v>
      </c>
      <c r="AK114" s="42" t="s">
        <v>90</v>
      </c>
      <c r="AL114" t="str">
        <f>VLOOKUP($Q114,武学奇术!$A:$ZZ,25,FALSE)</f>
        <v>心法</v>
      </c>
      <c r="AM114" s="27">
        <f>VLOOKUP($Q114,武学奇术!$A:$ZZ,26,FALSE)</f>
        <v>0</v>
      </c>
      <c r="AN114" s="28">
        <f>VLOOKUP($Q114,武学奇术!$A:$ZZ,27,FALSE)*(1+IF(OR($AL114=$F$4,$AL114=$F$5),$B$22,0))</f>
        <v>0</v>
      </c>
      <c r="AO114" s="27">
        <f>VLOOKUP($Q114,武学奇术!$A:$ZZ,28,FALSE)</f>
        <v>0</v>
      </c>
      <c r="AP114" s="28">
        <f>VLOOKUP($Q114,武学奇术!$A:$ZZ,29,FALSE)*(1+IF(OR($AL114=$F$4,$AL114=$F$5),$B$22,0))</f>
        <v>0</v>
      </c>
      <c r="AQ114" s="27" cm="1">
        <f t="array" ref="AQ114">$G$3+IFERROR(VLOOKUP($AL114,$F$4:$G$7,2,FALSE),0)+VLOOKUP($Q114,武学奇术!$A:$ZZ,2,FALSE)+SUM(_xlfn.XLOOKUP($R114:$AK114,增益!$A:$A,增益!$B:$B,0))</f>
        <v>0.3137</v>
      </c>
      <c r="AR114" s="27" cm="1">
        <f t="array" ref="AR114">VLOOKUP($Q114,武学奇术!$A:$ZZ,5,FALSE)+SUM(_xlfn.XLOOKUP($R114:$AK114,增益!$A:$A,增益!$E:$E,0))</f>
        <v>0</v>
      </c>
      <c r="AS114" cm="1">
        <f t="array" ref="AS114">$D$10*(1+$AR114)+VLOOKUP($Q114,武学奇术!$A:$ZZ,3,FALSE)+SUM(_xlfn.XLOOKUP($R114:$AK114,增益!$A:$A,增益!$C:$C,0))-$I$2</f>
        <v>3648.7</v>
      </c>
      <c r="AT114" cm="1">
        <f t="array" ref="AT114">$E$10*(1+$AR114)+VLOOKUP($Q114,武学奇术!$A:$ZZ,4,FALSE)+SUM(_xlfn.XLOOKUP($R114:$AK114,增益!$A:$A,增益!$D:$D,0))-$I$2</f>
        <v>3648.7</v>
      </c>
      <c r="AU114" s="34" cm="1">
        <f t="array" ref="AU114">IF($F$10-$I$3+VLOOKUP($Q114,武学奇术!$A:$ZZ,6,FALSE)+SUM(_xlfn.XLOOKUP($R114:$AK114,增益!$A:$A,增益!$F:$F,0))&gt;0,($F$10-$I$3+VLOOKUP($Q114,武学奇术!$A:$ZZ,6,FALSE)+SUM(_xlfn.XLOOKUP($R114:$AK114,增益!$A:$A,增益!$F:$F,0)))/200,($F$10-$I$3+VLOOKUP($Q114,武学奇术!$A:$ZZ,6,FALSE)+SUM(_xlfn.XLOOKUP($R114:$AK114,增益!$A:$A,增益!$F:$F,0)))/100)</f>
        <v>0.327</v>
      </c>
      <c r="AV114" s="34" cm="1">
        <f t="array" ref="AV114">$G$10+VLOOKUP($Q114,武学奇术!$A:$ZZ,7,FALSE)+SUM(_xlfn.XLOOKUP($R114:$AK114,增益!$A:$A,增益!$G:$G,0))</f>
        <v>0</v>
      </c>
      <c r="AW114" s="27" cm="1">
        <f t="array" ref="AW114">VLOOKUP($Q114,武学奇术!$A:$ZZ,8,FALSE)+SUM(_xlfn.XLOOKUP($R114:$AK114,增益!$A:$A,增益!$H:$H,0))</f>
        <v>0</v>
      </c>
      <c r="AX114">
        <f t="shared" si="35"/>
        <v>0</v>
      </c>
      <c r="AY114">
        <f t="shared" si="36"/>
        <v>0</v>
      </c>
      <c r="AZ114" s="34" cm="1">
        <f t="array" ref="AZ114">IF($F$11-$I$4+VLOOKUP($Q114,武学奇术!$A:$ZZ,9,FALSE)+SUM(_xlfn.XLOOKUP($R114:$AK114,增益!$A:$A,增益!$I:$I,0))&gt;0,($F$11-$I$4+VLOOKUP($Q114,武学奇术!$A:$ZZ,9,FALSE)+SUM(_xlfn.XLOOKUP($R114:$AK114,增益!$A:$A,增益!$I:$I,0)))/200,($F$11-$I$4+VLOOKUP($Q114,武学奇术!$A:$ZZ,9,FALSE)+SUM(_xlfn.XLOOKUP($R114:$AK114,增益!$A:$A,增益!$I:$I,0)))/100)</f>
        <v>-0.3</v>
      </c>
      <c r="BA114" s="34" cm="1">
        <f t="array" ref="BA114">$G$11+VLOOKUP($Q114,武学奇术!$A:$ZZ,10,FALSE)+SUM(_xlfn.XLOOKUP($R114:$AK114,增益!$A:$A,增益!$J:$J,0))</f>
        <v>0</v>
      </c>
      <c r="BB114">
        <f t="shared" si="37"/>
        <v>594.1</v>
      </c>
      <c r="BC114">
        <f t="shared" si="38"/>
        <v>1604.9</v>
      </c>
      <c r="BD114" s="34" cm="1">
        <f t="array" ref="BD114">IF($F$12-$I$4+VLOOKUP($Q114,武学奇术!$A:$ZZ,11,FALSE)+SUM(_xlfn.XLOOKUP($R114:$AK114,增益!$A:$A,增益!$K:$K,0))&gt;0,($F$12-$I$4+VLOOKUP($Q114,武学奇术!$A:$ZZ,11,FALSE)+SUM(_xlfn.XLOOKUP($R114:$AK114,增益!$A:$A,增益!$K:$K,0)))/200,($F$12-$I$4+VLOOKUP($Q114,武学奇术!$A:$ZZ,11,FALSE)+SUM(_xlfn.XLOOKUP($R114:$AK114,增益!$A:$A,增益!$K:$K,0)))/100)</f>
        <v>0.09</v>
      </c>
      <c r="BE114" s="34" cm="1">
        <f t="array" ref="BE114">$G$12+VLOOKUP($Q114,武学奇术!$A:$ZZ,12,FALSE)+SUM(_xlfn.XLOOKUP($R114:$AK114,增益!$A:$A,增益!$L:$L,0))</f>
        <v>0.15</v>
      </c>
      <c r="BF114">
        <f t="shared" si="39"/>
        <v>0</v>
      </c>
      <c r="BG114">
        <f t="shared" si="40"/>
        <v>0</v>
      </c>
      <c r="BH114" s="34" cm="1">
        <f t="array" ref="BH114">IF($F$13-$I$4+VLOOKUP($Q114,武学奇术!$A:$ZZ,13,FALSE)+SUM(_xlfn.XLOOKUP($R114:$AK114,增益!$A:$A,增益!$M:$M,0))&gt;0,($F$13-$I$4+VLOOKUP($Q114,武学奇术!$A:$ZZ,13,FALSE)+SUM(_xlfn.XLOOKUP($R114:$AK114,增益!$A:$A,增益!$K:$K,0)))/200,($F$13-$I$4+VLOOKUP($Q114,武学奇术!$A:$ZZ,13,FALSE)+SUM(_xlfn.XLOOKUP($R114:$AK114,增益!$A:$A,增益!$M:$M,0)))/100)</f>
        <v>-0.3</v>
      </c>
      <c r="BI114" s="34" cm="1">
        <f t="array" ref="BI114">$G$13+VLOOKUP($Q114,武学奇术!$A:$ZZ,14,FALSE)+SUM(_xlfn.XLOOKUP($R114:$AK114,增益!$A:$A,增益!$N:$N,0))</f>
        <v>0</v>
      </c>
      <c r="BJ114">
        <f t="shared" si="41"/>
        <v>0</v>
      </c>
      <c r="BK114">
        <f t="shared" si="42"/>
        <v>0</v>
      </c>
      <c r="BL114" s="34" cm="1">
        <f t="array" ref="BL114">IF($F$14-$I$4+VLOOKUP($Q114,武学奇术!$A:$ZZ,15,FALSE)+SUM(_xlfn.XLOOKUP($R114:$AK114,增益!$A:$A,增益!$O:$O,0))&gt;0,($F$14-$I$4+VLOOKUP($Q114,武学奇术!$A:$ZZ,15,FALSE)+SUM(_xlfn.XLOOKUP($R114:$AK114,增益!$A:$A,增益!$O:$O,0)))/200,($F$14-$I$4+VLOOKUP($Q114,武学奇术!$A:$ZZ,15,FALSE)+SUM(_xlfn.XLOOKUP($R114:$AK114,增益!$A:$A,增益!$O:$O,0)))/100)</f>
        <v>-0.3</v>
      </c>
      <c r="BM114" s="34" cm="1">
        <f t="array" ref="BM114">$G$14+VLOOKUP($Q114,武学奇术!$A:$ZZ,16,FALSE)+SUM(_xlfn.XLOOKUP($R114:$AK114,增益!$A:$A,增益!$P:$P,0))</f>
        <v>0</v>
      </c>
      <c r="BN114" s="27">
        <f>MIN(IF(VLOOKUP($Q114,武学奇术!$A:$ZZ,23,FALSE)=1,100%,$B$8),100%)</f>
        <v>0.9859</v>
      </c>
      <c r="BO114" s="27" cm="1">
        <f t="array" ref="BO114">IF(VLOOKUP($Q114,武学奇术!$A:$ZZ,23,FALSE)=1,100%,MIN(80%,$B$9+VLOOKUP($Q114,武学奇术!$A:$ZZ,17,FALSE)+SUM(_xlfn.XLOOKUP($R114:$AK114,增益!$A:$A,增益!$Q:$Q,0)))+$B$11+SUM(_xlfn.XLOOKUP($R114:$AK114,增益!$A:$A,增益!$U:$U,0)))*IF(VLOOKUP($Q114,武学奇术!$A:$ZZ,24,FALSE)=1,0,1)</f>
        <v>0.8912</v>
      </c>
      <c r="BP114" s="27" cm="1">
        <f t="array" ref="BP114">1+$B$13+VLOOKUP($Q114,武学奇术!$A:$ZZ,18,FALSE)+SUM(_xlfn.XLOOKUP($R114:$AK114,增益!$A:$A,增益!$R:$R,0))</f>
        <v>1.54</v>
      </c>
      <c r="BQ114" s="27" cm="1">
        <f t="array" ref="BQ114">IF(VLOOKUP($Q114,武学奇术!$A:$ZZ,24,FALSE)=1,100%,MIN(40%,$B$10+VLOOKUP($Q114,武学奇术!$A:$ZZ,19,FALSE)+SUM(_xlfn.XLOOKUP($R114:$AK114,增益!$A:$A,增益!$S:$S,0)))+$B$12+SUM(_xlfn.XLOOKUP($R114:$AK114,增益!$A:$A,增益!$V:$V,0)))*IF(VLOOKUP($Q114,武学奇术!$A:$ZZ,23,FALSE)=1,0,1)</f>
        <v>0.0929</v>
      </c>
      <c r="BR114" s="27" cm="1">
        <f t="array" ref="BR114">1+$B$14+VLOOKUP($Q114,武学奇术!$A:$ZZ,20,FALSE)+SUM(_xlfn.XLOOKUP($R114:$AK114,增益!$A:$A,增益!$T:$T,0))</f>
        <v>1.35</v>
      </c>
      <c r="BS114" s="27">
        <f t="shared" si="43"/>
        <v>0.87863408</v>
      </c>
      <c r="BT114" s="27">
        <f t="shared" si="44"/>
        <v>0.01567581</v>
      </c>
      <c r="BU114" s="27">
        <f>IF(VLOOKUP($Q114,武学奇术!$A:$ZZ,22,FALSE)=1,0,(1-$BN114))*(1-$BQ114)</f>
        <v>0.01279011</v>
      </c>
      <c r="BV114" s="27" cm="1">
        <f t="array" ref="BV114">SUM(_xlfn.XLOOKUP($R114:$AK114,增益!$A:$A,增益!$W:$W,0))+$I$5</f>
        <v>0.11</v>
      </c>
    </row>
    <row r="115" spans="11:74">
      <c r="K115" s="40">
        <f t="shared" si="45"/>
        <v>0</v>
      </c>
      <c r="L115" s="40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BP115*$P115*(1+IF(VLOOKUP($Q115,武学奇术!$A:$ZZ,30,FALSE)="蓄力技",$B$21,0))*(1+$BV115)</f>
        <v>0</v>
      </c>
      <c r="M115" s="40">
        <f>(($AT115*$AM115+$AN115)*(1+$AU115)*(1+$AV115)+($AY115*IF($G$1="鸣金",$AO115,$AM115)+IF($G$1="鸣金",$AP115*1.5,0))*(1+$AZ115)*(1+$BA115)+($BC115*IF($G$1="裂石",$AO115,$AM115)+IF($G$1="裂石",$AP115*1.5,0))*(1+$BD115)*(1+$BE115)+($BG115*IF($G$1="牵丝",$AO115,$AM115)+IF($G$1="牵丝",$AP115*1.5,0))*(1+$BH115)*(1+$BI115)+($BK115*IF($G$1="破竹",$AO115,$AM115)+IF($G$1="破竹",$AP115*1.5,0))*(1+$BL115)*(1+$BM115))*(1+$AQ115)*$BR115*$P115*(1+IF(VLOOKUP($Q115,武学奇术!$A:$ZZ,30,FALSE)="蓄力技",$B$21,0))*(1+$BV115)</f>
        <v>0</v>
      </c>
      <c r="N115" s="40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P115*(1+IF(VLOOKUP($Q115,武学奇术!$A:$ZZ,30,FALSE)="蓄力技",$B$21,0))*(1+$BV115)</f>
        <v>0</v>
      </c>
      <c r="O115" s="40">
        <f>((($AS115*$AM115+$AN115)*(1+$AU115)*(1+$AV115)+($AX115*IF($G$1="鸣金",$AO115,$AM115)+IF($G$1="鸣金",$AP115*1.5,0))*(1+$AZ115)*(1+$BA115)+($BB115*IF($G$1="裂石",$AO115,$AM115)+IF($G$1="裂石",$AP115*1.5,0))*(1+$BD115)*(1+$BE115)+($BF115*IF($G$1="牵丝",$AO115,$AM115)+IF($G$1="牵丝",$AP115*1.5,0))*(1+$BH115)*(1+$BI115)+($BJ115*IF($G$1="破竹",$AO115,$AM115)+IF($G$1="破竹",$AP115*1.5,0))*(1+$BL115)*(1+$BM115))*(1+$AQ115))*$P115*(1+IF(VLOOKUP($Q115,武学奇术!$A:$ZZ,30,FALSE)="蓄力技",$B$21,0))*(1+$BV115)</f>
        <v>0</v>
      </c>
      <c r="P115" s="41">
        <v>1</v>
      </c>
      <c r="Q115" s="42" t="s">
        <v>77</v>
      </c>
      <c r="R115" s="42" t="s">
        <v>77</v>
      </c>
      <c r="S115" s="42" t="s">
        <v>77</v>
      </c>
      <c r="T115" s="42" t="s">
        <v>77</v>
      </c>
      <c r="U115" s="42" t="s">
        <v>77</v>
      </c>
      <c r="V115" s="42" t="s">
        <v>77</v>
      </c>
      <c r="W115" s="42" t="s">
        <v>77</v>
      </c>
      <c r="X115" s="42" t="s">
        <v>77</v>
      </c>
      <c r="Y115" s="42" t="s">
        <v>77</v>
      </c>
      <c r="Z115" s="42" t="s">
        <v>77</v>
      </c>
      <c r="AA115" s="42" t="s">
        <v>77</v>
      </c>
      <c r="AB115" s="42" t="s">
        <v>77</v>
      </c>
      <c r="AC115" s="42" t="s">
        <v>77</v>
      </c>
      <c r="AD115" s="42" t="s">
        <v>80</v>
      </c>
      <c r="AE115" s="42" t="s">
        <v>81</v>
      </c>
      <c r="AF115" s="42" t="s">
        <v>82</v>
      </c>
      <c r="AG115" s="42" t="s">
        <v>77</v>
      </c>
      <c r="AH115" s="42" t="s">
        <v>77</v>
      </c>
      <c r="AI115" s="42" t="s">
        <v>77</v>
      </c>
      <c r="AJ115" s="42" t="s">
        <v>77</v>
      </c>
      <c r="AK115" s="42" t="s">
        <v>90</v>
      </c>
      <c r="AL115" t="str">
        <f>VLOOKUP($Q115,武学奇术!$A:$ZZ,25,FALSE)</f>
        <v>心法</v>
      </c>
      <c r="AM115" s="27">
        <f>VLOOKUP($Q115,武学奇术!$A:$ZZ,26,FALSE)</f>
        <v>0</v>
      </c>
      <c r="AN115" s="28">
        <f>VLOOKUP($Q115,武学奇术!$A:$ZZ,27,FALSE)*(1+IF(OR($AL115=$F$4,$AL115=$F$5),$B$22,0))</f>
        <v>0</v>
      </c>
      <c r="AO115" s="27">
        <f>VLOOKUP($Q115,武学奇术!$A:$ZZ,28,FALSE)</f>
        <v>0</v>
      </c>
      <c r="AP115" s="28">
        <f>VLOOKUP($Q115,武学奇术!$A:$ZZ,29,FALSE)*(1+IF(OR($AL115=$F$4,$AL115=$F$5),$B$22,0))</f>
        <v>0</v>
      </c>
      <c r="AQ115" s="27" cm="1">
        <f t="array" ref="AQ115">$G$3+IFERROR(VLOOKUP($AL115,$F$4:$G$7,2,FALSE),0)+VLOOKUP($Q115,武学奇术!$A:$ZZ,2,FALSE)+SUM(_xlfn.XLOOKUP($R115:$AK115,增益!$A:$A,增益!$B:$B,0))</f>
        <v>0.3137</v>
      </c>
      <c r="AR115" s="27" cm="1">
        <f t="array" ref="AR115">VLOOKUP($Q115,武学奇术!$A:$ZZ,5,FALSE)+SUM(_xlfn.XLOOKUP($R115:$AK115,增益!$A:$A,增益!$E:$E,0))</f>
        <v>0</v>
      </c>
      <c r="AS115" cm="1">
        <f t="array" ref="AS115">$D$10*(1+$AR115)+VLOOKUP($Q115,武学奇术!$A:$ZZ,3,FALSE)+SUM(_xlfn.XLOOKUP($R115:$AK115,增益!$A:$A,增益!$C:$C,0))-$I$2</f>
        <v>3648.7</v>
      </c>
      <c r="AT115" cm="1">
        <f t="array" ref="AT115">$E$10*(1+$AR115)+VLOOKUP($Q115,武学奇术!$A:$ZZ,4,FALSE)+SUM(_xlfn.XLOOKUP($R115:$AK115,增益!$A:$A,增益!$D:$D,0))-$I$2</f>
        <v>3648.7</v>
      </c>
      <c r="AU115" s="34" cm="1">
        <f t="array" ref="AU115">IF($F$10-$I$3+VLOOKUP($Q115,武学奇术!$A:$ZZ,6,FALSE)+SUM(_xlfn.XLOOKUP($R115:$AK115,增益!$A:$A,增益!$F:$F,0))&gt;0,($F$10-$I$3+VLOOKUP($Q115,武学奇术!$A:$ZZ,6,FALSE)+SUM(_xlfn.XLOOKUP($R115:$AK115,增益!$A:$A,增益!$F:$F,0)))/200,($F$10-$I$3+VLOOKUP($Q115,武学奇术!$A:$ZZ,6,FALSE)+SUM(_xlfn.XLOOKUP($R115:$AK115,增益!$A:$A,增益!$F:$F,0)))/100)</f>
        <v>0.327</v>
      </c>
      <c r="AV115" s="34" cm="1">
        <f t="array" ref="AV115">$G$10+VLOOKUP($Q115,武学奇术!$A:$ZZ,7,FALSE)+SUM(_xlfn.XLOOKUP($R115:$AK115,增益!$A:$A,增益!$G:$G,0))</f>
        <v>0</v>
      </c>
      <c r="AW115" s="27" cm="1">
        <f t="array" ref="AW115">VLOOKUP($Q115,武学奇术!$A:$ZZ,8,FALSE)+SUM(_xlfn.XLOOKUP($R115:$AK115,增益!$A:$A,增益!$H:$H,0))</f>
        <v>0</v>
      </c>
      <c r="AX115">
        <f t="shared" si="35"/>
        <v>0</v>
      </c>
      <c r="AY115">
        <f t="shared" si="36"/>
        <v>0</v>
      </c>
      <c r="AZ115" s="34" cm="1">
        <f t="array" ref="AZ115">IF($F$11-$I$4+VLOOKUP($Q115,武学奇术!$A:$ZZ,9,FALSE)+SUM(_xlfn.XLOOKUP($R115:$AK115,增益!$A:$A,增益!$I:$I,0))&gt;0,($F$11-$I$4+VLOOKUP($Q115,武学奇术!$A:$ZZ,9,FALSE)+SUM(_xlfn.XLOOKUP($R115:$AK115,增益!$A:$A,增益!$I:$I,0)))/200,($F$11-$I$4+VLOOKUP($Q115,武学奇术!$A:$ZZ,9,FALSE)+SUM(_xlfn.XLOOKUP($R115:$AK115,增益!$A:$A,增益!$I:$I,0)))/100)</f>
        <v>-0.3</v>
      </c>
      <c r="BA115" s="34" cm="1">
        <f t="array" ref="BA115">$G$11+VLOOKUP($Q115,武学奇术!$A:$ZZ,10,FALSE)+SUM(_xlfn.XLOOKUP($R115:$AK115,增益!$A:$A,增益!$J:$J,0))</f>
        <v>0</v>
      </c>
      <c r="BB115">
        <f t="shared" si="37"/>
        <v>594.1</v>
      </c>
      <c r="BC115">
        <f t="shared" si="38"/>
        <v>1604.9</v>
      </c>
      <c r="BD115" s="34" cm="1">
        <f t="array" ref="BD115">IF($F$12-$I$4+VLOOKUP($Q115,武学奇术!$A:$ZZ,11,FALSE)+SUM(_xlfn.XLOOKUP($R115:$AK115,增益!$A:$A,增益!$K:$K,0))&gt;0,($F$12-$I$4+VLOOKUP($Q115,武学奇术!$A:$ZZ,11,FALSE)+SUM(_xlfn.XLOOKUP($R115:$AK115,增益!$A:$A,增益!$K:$K,0)))/200,($F$12-$I$4+VLOOKUP($Q115,武学奇术!$A:$ZZ,11,FALSE)+SUM(_xlfn.XLOOKUP($R115:$AK115,增益!$A:$A,增益!$K:$K,0)))/100)</f>
        <v>0.09</v>
      </c>
      <c r="BE115" s="34" cm="1">
        <f t="array" ref="BE115">$G$12+VLOOKUP($Q115,武学奇术!$A:$ZZ,12,FALSE)+SUM(_xlfn.XLOOKUP($R115:$AK115,增益!$A:$A,增益!$L:$L,0))</f>
        <v>0.15</v>
      </c>
      <c r="BF115">
        <f t="shared" si="39"/>
        <v>0</v>
      </c>
      <c r="BG115">
        <f t="shared" si="40"/>
        <v>0</v>
      </c>
      <c r="BH115" s="34" cm="1">
        <f t="array" ref="BH115">IF($F$13-$I$4+VLOOKUP($Q115,武学奇术!$A:$ZZ,13,FALSE)+SUM(_xlfn.XLOOKUP($R115:$AK115,增益!$A:$A,增益!$M:$M,0))&gt;0,($F$13-$I$4+VLOOKUP($Q115,武学奇术!$A:$ZZ,13,FALSE)+SUM(_xlfn.XLOOKUP($R115:$AK115,增益!$A:$A,增益!$K:$K,0)))/200,($F$13-$I$4+VLOOKUP($Q115,武学奇术!$A:$ZZ,13,FALSE)+SUM(_xlfn.XLOOKUP($R115:$AK115,增益!$A:$A,增益!$M:$M,0)))/100)</f>
        <v>-0.3</v>
      </c>
      <c r="BI115" s="34" cm="1">
        <f t="array" ref="BI115">$G$13+VLOOKUP($Q115,武学奇术!$A:$ZZ,14,FALSE)+SUM(_xlfn.XLOOKUP($R115:$AK115,增益!$A:$A,增益!$N:$N,0))</f>
        <v>0</v>
      </c>
      <c r="BJ115">
        <f t="shared" si="41"/>
        <v>0</v>
      </c>
      <c r="BK115">
        <f t="shared" si="42"/>
        <v>0</v>
      </c>
      <c r="BL115" s="34" cm="1">
        <f t="array" ref="BL115">IF($F$14-$I$4+VLOOKUP($Q115,武学奇术!$A:$ZZ,15,FALSE)+SUM(_xlfn.XLOOKUP($R115:$AK115,增益!$A:$A,增益!$O:$O,0))&gt;0,($F$14-$I$4+VLOOKUP($Q115,武学奇术!$A:$ZZ,15,FALSE)+SUM(_xlfn.XLOOKUP($R115:$AK115,增益!$A:$A,增益!$O:$O,0)))/200,($F$14-$I$4+VLOOKUP($Q115,武学奇术!$A:$ZZ,15,FALSE)+SUM(_xlfn.XLOOKUP($R115:$AK115,增益!$A:$A,增益!$O:$O,0)))/100)</f>
        <v>-0.3</v>
      </c>
      <c r="BM115" s="34" cm="1">
        <f t="array" ref="BM115">$G$14+VLOOKUP($Q115,武学奇术!$A:$ZZ,16,FALSE)+SUM(_xlfn.XLOOKUP($R115:$AK115,增益!$A:$A,增益!$P:$P,0))</f>
        <v>0</v>
      </c>
      <c r="BN115" s="27">
        <f>MIN(IF(VLOOKUP($Q115,武学奇术!$A:$ZZ,23,FALSE)=1,100%,$B$8),100%)</f>
        <v>0.9859</v>
      </c>
      <c r="BO115" s="27" cm="1">
        <f t="array" ref="BO115">IF(VLOOKUP($Q115,武学奇术!$A:$ZZ,23,FALSE)=1,100%,MIN(80%,$B$9+VLOOKUP($Q115,武学奇术!$A:$ZZ,17,FALSE)+SUM(_xlfn.XLOOKUP($R115:$AK115,增益!$A:$A,增益!$Q:$Q,0)))+$B$11+SUM(_xlfn.XLOOKUP($R115:$AK115,增益!$A:$A,增益!$U:$U,0)))*IF(VLOOKUP($Q115,武学奇术!$A:$ZZ,24,FALSE)=1,0,1)</f>
        <v>0.8912</v>
      </c>
      <c r="BP115" s="27" cm="1">
        <f t="array" ref="BP115">1+$B$13+VLOOKUP($Q115,武学奇术!$A:$ZZ,18,FALSE)+SUM(_xlfn.XLOOKUP($R115:$AK115,增益!$A:$A,增益!$R:$R,0))</f>
        <v>1.54</v>
      </c>
      <c r="BQ115" s="27" cm="1">
        <f t="array" ref="BQ115">IF(VLOOKUP($Q115,武学奇术!$A:$ZZ,24,FALSE)=1,100%,MIN(40%,$B$10+VLOOKUP($Q115,武学奇术!$A:$ZZ,19,FALSE)+SUM(_xlfn.XLOOKUP($R115:$AK115,增益!$A:$A,增益!$S:$S,0)))+$B$12+SUM(_xlfn.XLOOKUP($R115:$AK115,增益!$A:$A,增益!$V:$V,0)))*IF(VLOOKUP($Q115,武学奇术!$A:$ZZ,23,FALSE)=1,0,1)</f>
        <v>0.0929</v>
      </c>
      <c r="BR115" s="27" cm="1">
        <f t="array" ref="BR115">1+$B$14+VLOOKUP($Q115,武学奇术!$A:$ZZ,20,FALSE)+SUM(_xlfn.XLOOKUP($R115:$AK115,增益!$A:$A,增益!$T:$T,0))</f>
        <v>1.35</v>
      </c>
      <c r="BS115" s="27">
        <f t="shared" si="43"/>
        <v>0.87863408</v>
      </c>
      <c r="BT115" s="27">
        <f t="shared" si="44"/>
        <v>0.01567581</v>
      </c>
      <c r="BU115" s="27">
        <f>IF(VLOOKUP($Q115,武学奇术!$A:$ZZ,22,FALSE)=1,0,(1-$BN115))*(1-$BQ115)</f>
        <v>0.01279011</v>
      </c>
      <c r="BV115" s="27" cm="1">
        <f t="array" ref="BV115">SUM(_xlfn.XLOOKUP($R115:$AK115,增益!$A:$A,增益!$W:$W,0))+$I$5</f>
        <v>0.11</v>
      </c>
    </row>
    <row r="116" spans="11:74">
      <c r="K116" s="40">
        <f t="shared" si="45"/>
        <v>0</v>
      </c>
      <c r="L116" s="40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BP116*$P116*(1+IF(VLOOKUP($Q116,武学奇术!$A:$ZZ,30,FALSE)="蓄力技",$B$21,0))*(1+$BV116)</f>
        <v>0</v>
      </c>
      <c r="M116" s="40">
        <f>(($AT116*$AM116+$AN116)*(1+$AU116)*(1+$AV116)+($AY116*IF($G$1="鸣金",$AO116,$AM116)+IF($G$1="鸣金",$AP116*1.5,0))*(1+$AZ116)*(1+$BA116)+($BC116*IF($G$1="裂石",$AO116,$AM116)+IF($G$1="裂石",$AP116*1.5,0))*(1+$BD116)*(1+$BE116)+($BG116*IF($G$1="牵丝",$AO116,$AM116)+IF($G$1="牵丝",$AP116*1.5,0))*(1+$BH116)*(1+$BI116)+($BK116*IF($G$1="破竹",$AO116,$AM116)+IF($G$1="破竹",$AP116*1.5,0))*(1+$BL116)*(1+$BM116))*(1+$AQ116)*$BR116*$P116*(1+IF(VLOOKUP($Q116,武学奇术!$A:$ZZ,30,FALSE)="蓄力技",$B$21,0))*(1+$BV116)</f>
        <v>0</v>
      </c>
      <c r="N116" s="40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P116*(1+IF(VLOOKUP($Q116,武学奇术!$A:$ZZ,30,FALSE)="蓄力技",$B$21,0))*(1+$BV116)</f>
        <v>0</v>
      </c>
      <c r="O116" s="40">
        <f>((($AS116*$AM116+$AN116)*(1+$AU116)*(1+$AV116)+($AX116*IF($G$1="鸣金",$AO116,$AM116)+IF($G$1="鸣金",$AP116*1.5,0))*(1+$AZ116)*(1+$BA116)+($BB116*IF($G$1="裂石",$AO116,$AM116)+IF($G$1="裂石",$AP116*1.5,0))*(1+$BD116)*(1+$BE116)+($BF116*IF($G$1="牵丝",$AO116,$AM116)+IF($G$1="牵丝",$AP116*1.5,0))*(1+$BH116)*(1+$BI116)+($BJ116*IF($G$1="破竹",$AO116,$AM116)+IF($G$1="破竹",$AP116*1.5,0))*(1+$BL116)*(1+$BM116))*(1+$AQ116))*$P116*(1+IF(VLOOKUP($Q116,武学奇术!$A:$ZZ,30,FALSE)="蓄力技",$B$21,0))*(1+$BV116)</f>
        <v>0</v>
      </c>
      <c r="P116" s="41">
        <v>1</v>
      </c>
      <c r="Q116" s="42" t="s">
        <v>77</v>
      </c>
      <c r="R116" s="42" t="s">
        <v>77</v>
      </c>
      <c r="S116" s="42" t="s">
        <v>77</v>
      </c>
      <c r="T116" s="42" t="s">
        <v>77</v>
      </c>
      <c r="U116" s="42" t="s">
        <v>77</v>
      </c>
      <c r="V116" s="42" t="s">
        <v>77</v>
      </c>
      <c r="W116" s="42" t="s">
        <v>77</v>
      </c>
      <c r="X116" s="42" t="s">
        <v>77</v>
      </c>
      <c r="Y116" s="42" t="s">
        <v>77</v>
      </c>
      <c r="Z116" s="42" t="s">
        <v>77</v>
      </c>
      <c r="AA116" s="42" t="s">
        <v>77</v>
      </c>
      <c r="AB116" s="42" t="s">
        <v>77</v>
      </c>
      <c r="AC116" s="42" t="s">
        <v>77</v>
      </c>
      <c r="AD116" s="42" t="s">
        <v>80</v>
      </c>
      <c r="AE116" s="42" t="s">
        <v>81</v>
      </c>
      <c r="AF116" s="42" t="s">
        <v>82</v>
      </c>
      <c r="AG116" s="42" t="s">
        <v>77</v>
      </c>
      <c r="AH116" s="42" t="s">
        <v>77</v>
      </c>
      <c r="AI116" s="42" t="s">
        <v>77</v>
      </c>
      <c r="AJ116" s="42" t="s">
        <v>77</v>
      </c>
      <c r="AK116" s="42" t="s">
        <v>90</v>
      </c>
      <c r="AL116" t="str">
        <f>VLOOKUP($Q116,武学奇术!$A:$ZZ,25,FALSE)</f>
        <v>心法</v>
      </c>
      <c r="AM116" s="27">
        <f>VLOOKUP($Q116,武学奇术!$A:$ZZ,26,FALSE)</f>
        <v>0</v>
      </c>
      <c r="AN116" s="28">
        <f>VLOOKUP($Q116,武学奇术!$A:$ZZ,27,FALSE)*(1+IF(OR($AL116=$F$4,$AL116=$F$5),$B$22,0))</f>
        <v>0</v>
      </c>
      <c r="AO116" s="27">
        <f>VLOOKUP($Q116,武学奇术!$A:$ZZ,28,FALSE)</f>
        <v>0</v>
      </c>
      <c r="AP116" s="28">
        <f>VLOOKUP($Q116,武学奇术!$A:$ZZ,29,FALSE)*(1+IF(OR($AL116=$F$4,$AL116=$F$5),$B$22,0))</f>
        <v>0</v>
      </c>
      <c r="AQ116" s="27" cm="1">
        <f t="array" ref="AQ116">$G$3+IFERROR(VLOOKUP($AL116,$F$4:$G$7,2,FALSE),0)+VLOOKUP($Q116,武学奇术!$A:$ZZ,2,FALSE)+SUM(_xlfn.XLOOKUP($R116:$AK116,增益!$A:$A,增益!$B:$B,0))</f>
        <v>0.3137</v>
      </c>
      <c r="AR116" s="27" cm="1">
        <f t="array" ref="AR116">VLOOKUP($Q116,武学奇术!$A:$ZZ,5,FALSE)+SUM(_xlfn.XLOOKUP($R116:$AK116,增益!$A:$A,增益!$E:$E,0))</f>
        <v>0</v>
      </c>
      <c r="AS116" cm="1">
        <f t="array" ref="AS116">$D$10*(1+$AR116)+VLOOKUP($Q116,武学奇术!$A:$ZZ,3,FALSE)+SUM(_xlfn.XLOOKUP($R116:$AK116,增益!$A:$A,增益!$C:$C,0))-$I$2</f>
        <v>3648.7</v>
      </c>
      <c r="AT116" cm="1">
        <f t="array" ref="AT116">$E$10*(1+$AR116)+VLOOKUP($Q116,武学奇术!$A:$ZZ,4,FALSE)+SUM(_xlfn.XLOOKUP($R116:$AK116,增益!$A:$A,增益!$D:$D,0))-$I$2</f>
        <v>3648.7</v>
      </c>
      <c r="AU116" s="34" cm="1">
        <f t="array" ref="AU116">IF($F$10-$I$3+VLOOKUP($Q116,武学奇术!$A:$ZZ,6,FALSE)+SUM(_xlfn.XLOOKUP($R116:$AK116,增益!$A:$A,增益!$F:$F,0))&gt;0,($F$10-$I$3+VLOOKUP($Q116,武学奇术!$A:$ZZ,6,FALSE)+SUM(_xlfn.XLOOKUP($R116:$AK116,增益!$A:$A,增益!$F:$F,0)))/200,($F$10-$I$3+VLOOKUP($Q116,武学奇术!$A:$ZZ,6,FALSE)+SUM(_xlfn.XLOOKUP($R116:$AK116,增益!$A:$A,增益!$F:$F,0)))/100)</f>
        <v>0.327</v>
      </c>
      <c r="AV116" s="34" cm="1">
        <f t="array" ref="AV116">$G$10+VLOOKUP($Q116,武学奇术!$A:$ZZ,7,FALSE)+SUM(_xlfn.XLOOKUP($R116:$AK116,增益!$A:$A,增益!$G:$G,0))</f>
        <v>0</v>
      </c>
      <c r="AW116" s="27" cm="1">
        <f t="array" ref="AW116">VLOOKUP($Q116,武学奇术!$A:$ZZ,8,FALSE)+SUM(_xlfn.XLOOKUP($R116:$AK116,增益!$A:$A,增益!$H:$H,0))</f>
        <v>0</v>
      </c>
      <c r="AX116">
        <f t="shared" si="35"/>
        <v>0</v>
      </c>
      <c r="AY116">
        <f t="shared" si="36"/>
        <v>0</v>
      </c>
      <c r="AZ116" s="34" cm="1">
        <f t="array" ref="AZ116">IF($F$11-$I$4+VLOOKUP($Q116,武学奇术!$A:$ZZ,9,FALSE)+SUM(_xlfn.XLOOKUP($R116:$AK116,增益!$A:$A,增益!$I:$I,0))&gt;0,($F$11-$I$4+VLOOKUP($Q116,武学奇术!$A:$ZZ,9,FALSE)+SUM(_xlfn.XLOOKUP($R116:$AK116,增益!$A:$A,增益!$I:$I,0)))/200,($F$11-$I$4+VLOOKUP($Q116,武学奇术!$A:$ZZ,9,FALSE)+SUM(_xlfn.XLOOKUP($R116:$AK116,增益!$A:$A,增益!$I:$I,0)))/100)</f>
        <v>-0.3</v>
      </c>
      <c r="BA116" s="34" cm="1">
        <f t="array" ref="BA116">$G$11+VLOOKUP($Q116,武学奇术!$A:$ZZ,10,FALSE)+SUM(_xlfn.XLOOKUP($R116:$AK116,增益!$A:$A,增益!$J:$J,0))</f>
        <v>0</v>
      </c>
      <c r="BB116">
        <f t="shared" si="37"/>
        <v>594.1</v>
      </c>
      <c r="BC116">
        <f t="shared" si="38"/>
        <v>1604.9</v>
      </c>
      <c r="BD116" s="34" cm="1">
        <f t="array" ref="BD116">IF($F$12-$I$4+VLOOKUP($Q116,武学奇术!$A:$ZZ,11,FALSE)+SUM(_xlfn.XLOOKUP($R116:$AK116,增益!$A:$A,增益!$K:$K,0))&gt;0,($F$12-$I$4+VLOOKUP($Q116,武学奇术!$A:$ZZ,11,FALSE)+SUM(_xlfn.XLOOKUP($R116:$AK116,增益!$A:$A,增益!$K:$K,0)))/200,($F$12-$I$4+VLOOKUP($Q116,武学奇术!$A:$ZZ,11,FALSE)+SUM(_xlfn.XLOOKUP($R116:$AK116,增益!$A:$A,增益!$K:$K,0)))/100)</f>
        <v>0.09</v>
      </c>
      <c r="BE116" s="34" cm="1">
        <f t="array" ref="BE116">$G$12+VLOOKUP($Q116,武学奇术!$A:$ZZ,12,FALSE)+SUM(_xlfn.XLOOKUP($R116:$AK116,增益!$A:$A,增益!$L:$L,0))</f>
        <v>0.15</v>
      </c>
      <c r="BF116">
        <f t="shared" si="39"/>
        <v>0</v>
      </c>
      <c r="BG116">
        <f t="shared" si="40"/>
        <v>0</v>
      </c>
      <c r="BH116" s="34" cm="1">
        <f t="array" ref="BH116">IF($F$13-$I$4+VLOOKUP($Q116,武学奇术!$A:$ZZ,13,FALSE)+SUM(_xlfn.XLOOKUP($R116:$AK116,增益!$A:$A,增益!$M:$M,0))&gt;0,($F$13-$I$4+VLOOKUP($Q116,武学奇术!$A:$ZZ,13,FALSE)+SUM(_xlfn.XLOOKUP($R116:$AK116,增益!$A:$A,增益!$K:$K,0)))/200,($F$13-$I$4+VLOOKUP($Q116,武学奇术!$A:$ZZ,13,FALSE)+SUM(_xlfn.XLOOKUP($R116:$AK116,增益!$A:$A,增益!$M:$M,0)))/100)</f>
        <v>-0.3</v>
      </c>
      <c r="BI116" s="34" cm="1">
        <f t="array" ref="BI116">$G$13+VLOOKUP($Q116,武学奇术!$A:$ZZ,14,FALSE)+SUM(_xlfn.XLOOKUP($R116:$AK116,增益!$A:$A,增益!$N:$N,0))</f>
        <v>0</v>
      </c>
      <c r="BJ116">
        <f t="shared" si="41"/>
        <v>0</v>
      </c>
      <c r="BK116">
        <f t="shared" si="42"/>
        <v>0</v>
      </c>
      <c r="BL116" s="34" cm="1">
        <f t="array" ref="BL116">IF($F$14-$I$4+VLOOKUP($Q116,武学奇术!$A:$ZZ,15,FALSE)+SUM(_xlfn.XLOOKUP($R116:$AK116,增益!$A:$A,增益!$O:$O,0))&gt;0,($F$14-$I$4+VLOOKUP($Q116,武学奇术!$A:$ZZ,15,FALSE)+SUM(_xlfn.XLOOKUP($R116:$AK116,增益!$A:$A,增益!$O:$O,0)))/200,($F$14-$I$4+VLOOKUP($Q116,武学奇术!$A:$ZZ,15,FALSE)+SUM(_xlfn.XLOOKUP($R116:$AK116,增益!$A:$A,增益!$O:$O,0)))/100)</f>
        <v>-0.3</v>
      </c>
      <c r="BM116" s="34" cm="1">
        <f t="array" ref="BM116">$G$14+VLOOKUP($Q116,武学奇术!$A:$ZZ,16,FALSE)+SUM(_xlfn.XLOOKUP($R116:$AK116,增益!$A:$A,增益!$P:$P,0))</f>
        <v>0</v>
      </c>
      <c r="BN116" s="27">
        <f>MIN(IF(VLOOKUP($Q116,武学奇术!$A:$ZZ,23,FALSE)=1,100%,$B$8),100%)</f>
        <v>0.9859</v>
      </c>
      <c r="BO116" s="27" cm="1">
        <f t="array" ref="BO116">IF(VLOOKUP($Q116,武学奇术!$A:$ZZ,23,FALSE)=1,100%,MIN(80%,$B$9+VLOOKUP($Q116,武学奇术!$A:$ZZ,17,FALSE)+SUM(_xlfn.XLOOKUP($R116:$AK116,增益!$A:$A,增益!$Q:$Q,0)))+$B$11+SUM(_xlfn.XLOOKUP($R116:$AK116,增益!$A:$A,增益!$U:$U,0)))*IF(VLOOKUP($Q116,武学奇术!$A:$ZZ,24,FALSE)=1,0,1)</f>
        <v>0.8912</v>
      </c>
      <c r="BP116" s="27" cm="1">
        <f t="array" ref="BP116">1+$B$13+VLOOKUP($Q116,武学奇术!$A:$ZZ,18,FALSE)+SUM(_xlfn.XLOOKUP($R116:$AK116,增益!$A:$A,增益!$R:$R,0))</f>
        <v>1.54</v>
      </c>
      <c r="BQ116" s="27" cm="1">
        <f t="array" ref="BQ116">IF(VLOOKUP($Q116,武学奇术!$A:$ZZ,24,FALSE)=1,100%,MIN(40%,$B$10+VLOOKUP($Q116,武学奇术!$A:$ZZ,19,FALSE)+SUM(_xlfn.XLOOKUP($R116:$AK116,增益!$A:$A,增益!$S:$S,0)))+$B$12+SUM(_xlfn.XLOOKUP($R116:$AK116,增益!$A:$A,增益!$V:$V,0)))*IF(VLOOKUP($Q116,武学奇术!$A:$ZZ,23,FALSE)=1,0,1)</f>
        <v>0.0929</v>
      </c>
      <c r="BR116" s="27" cm="1">
        <f t="array" ref="BR116">1+$B$14+VLOOKUP($Q116,武学奇术!$A:$ZZ,20,FALSE)+SUM(_xlfn.XLOOKUP($R116:$AK116,增益!$A:$A,增益!$T:$T,0))</f>
        <v>1.35</v>
      </c>
      <c r="BS116" s="27">
        <f t="shared" si="43"/>
        <v>0.87863408</v>
      </c>
      <c r="BT116" s="27">
        <f t="shared" si="44"/>
        <v>0.01567581</v>
      </c>
      <c r="BU116" s="27">
        <f>IF(VLOOKUP($Q116,武学奇术!$A:$ZZ,22,FALSE)=1,0,(1-$BN116))*(1-$BQ116)</f>
        <v>0.01279011</v>
      </c>
      <c r="BV116" s="27" cm="1">
        <f t="array" ref="BV116">SUM(_xlfn.XLOOKUP($R116:$AK116,增益!$A:$A,增益!$W:$W,0))+$I$5</f>
        <v>0.11</v>
      </c>
    </row>
    <row r="117" spans="11:74">
      <c r="K117" s="40">
        <f t="shared" si="45"/>
        <v>0</v>
      </c>
      <c r="L117" s="40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BP117*$P117*(1+IF(VLOOKUP($Q117,武学奇术!$A:$ZZ,30,FALSE)="蓄力技",$B$21,0))*(1+$BV117)</f>
        <v>0</v>
      </c>
      <c r="M117" s="40">
        <f>(($AT117*$AM117+$AN117)*(1+$AU117)*(1+$AV117)+($AY117*IF($G$1="鸣金",$AO117,$AM117)+IF($G$1="鸣金",$AP117*1.5,0))*(1+$AZ117)*(1+$BA117)+($BC117*IF($G$1="裂石",$AO117,$AM117)+IF($G$1="裂石",$AP117*1.5,0))*(1+$BD117)*(1+$BE117)+($BG117*IF($G$1="牵丝",$AO117,$AM117)+IF($G$1="牵丝",$AP117*1.5,0))*(1+$BH117)*(1+$BI117)+($BK117*IF($G$1="破竹",$AO117,$AM117)+IF($G$1="破竹",$AP117*1.5,0))*(1+$BL117)*(1+$BM117))*(1+$AQ117)*$BR117*$P117*(1+IF(VLOOKUP($Q117,武学奇术!$A:$ZZ,30,FALSE)="蓄力技",$B$21,0))*(1+$BV117)</f>
        <v>0</v>
      </c>
      <c r="N117" s="40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P117*(1+IF(VLOOKUP($Q117,武学奇术!$A:$ZZ,30,FALSE)="蓄力技",$B$21,0))*(1+$BV117)</f>
        <v>0</v>
      </c>
      <c r="O117" s="40">
        <f>((($AS117*$AM117+$AN117)*(1+$AU117)*(1+$AV117)+($AX117*IF($G$1="鸣金",$AO117,$AM117)+IF($G$1="鸣金",$AP117*1.5,0))*(1+$AZ117)*(1+$BA117)+($BB117*IF($G$1="裂石",$AO117,$AM117)+IF($G$1="裂石",$AP117*1.5,0))*(1+$BD117)*(1+$BE117)+($BF117*IF($G$1="牵丝",$AO117,$AM117)+IF($G$1="牵丝",$AP117*1.5,0))*(1+$BH117)*(1+$BI117)+($BJ117*IF($G$1="破竹",$AO117,$AM117)+IF($G$1="破竹",$AP117*1.5,0))*(1+$BL117)*(1+$BM117))*(1+$AQ117))*$P117*(1+IF(VLOOKUP($Q117,武学奇术!$A:$ZZ,30,FALSE)="蓄力技",$B$21,0))*(1+$BV117)</f>
        <v>0</v>
      </c>
      <c r="P117" s="41">
        <v>1</v>
      </c>
      <c r="Q117" s="42" t="s">
        <v>77</v>
      </c>
      <c r="R117" s="42" t="s">
        <v>77</v>
      </c>
      <c r="S117" s="42" t="s">
        <v>77</v>
      </c>
      <c r="T117" s="42" t="s">
        <v>77</v>
      </c>
      <c r="U117" s="42" t="s">
        <v>77</v>
      </c>
      <c r="V117" s="42" t="s">
        <v>77</v>
      </c>
      <c r="W117" s="42" t="s">
        <v>77</v>
      </c>
      <c r="X117" s="42" t="s">
        <v>77</v>
      </c>
      <c r="Y117" s="42" t="s">
        <v>77</v>
      </c>
      <c r="Z117" s="42" t="s">
        <v>77</v>
      </c>
      <c r="AA117" s="42" t="s">
        <v>77</v>
      </c>
      <c r="AB117" s="42" t="s">
        <v>77</v>
      </c>
      <c r="AC117" s="42" t="s">
        <v>77</v>
      </c>
      <c r="AD117" s="42" t="s">
        <v>80</v>
      </c>
      <c r="AE117" s="42" t="s">
        <v>81</v>
      </c>
      <c r="AF117" s="42" t="s">
        <v>82</v>
      </c>
      <c r="AG117" s="42" t="s">
        <v>77</v>
      </c>
      <c r="AH117" s="42" t="s">
        <v>77</v>
      </c>
      <c r="AI117" s="42" t="s">
        <v>77</v>
      </c>
      <c r="AJ117" s="42" t="s">
        <v>77</v>
      </c>
      <c r="AK117" s="42" t="s">
        <v>90</v>
      </c>
      <c r="AL117" t="str">
        <f>VLOOKUP($Q117,武学奇术!$A:$ZZ,25,FALSE)</f>
        <v>心法</v>
      </c>
      <c r="AM117" s="27">
        <f>VLOOKUP($Q117,武学奇术!$A:$ZZ,26,FALSE)</f>
        <v>0</v>
      </c>
      <c r="AN117" s="28">
        <f>VLOOKUP($Q117,武学奇术!$A:$ZZ,27,FALSE)*(1+IF(OR($AL117=$F$4,$AL117=$F$5),$B$22,0))</f>
        <v>0</v>
      </c>
      <c r="AO117" s="27">
        <f>VLOOKUP($Q117,武学奇术!$A:$ZZ,28,FALSE)</f>
        <v>0</v>
      </c>
      <c r="AP117" s="28">
        <f>VLOOKUP($Q117,武学奇术!$A:$ZZ,29,FALSE)*(1+IF(OR($AL117=$F$4,$AL117=$F$5),$B$22,0))</f>
        <v>0</v>
      </c>
      <c r="AQ117" s="27" cm="1">
        <f t="array" ref="AQ117">$G$3+IFERROR(VLOOKUP($AL117,$F$4:$G$7,2,FALSE),0)+VLOOKUP($Q117,武学奇术!$A:$ZZ,2,FALSE)+SUM(_xlfn.XLOOKUP($R117:$AK117,增益!$A:$A,增益!$B:$B,0))</f>
        <v>0.3137</v>
      </c>
      <c r="AR117" s="27" cm="1">
        <f t="array" ref="AR117">VLOOKUP($Q117,武学奇术!$A:$ZZ,5,FALSE)+SUM(_xlfn.XLOOKUP($R117:$AK117,增益!$A:$A,增益!$E:$E,0))</f>
        <v>0</v>
      </c>
      <c r="AS117" cm="1">
        <f t="array" ref="AS117">$D$10*(1+$AR117)+VLOOKUP($Q117,武学奇术!$A:$ZZ,3,FALSE)+SUM(_xlfn.XLOOKUP($R117:$AK117,增益!$A:$A,增益!$C:$C,0))-$I$2</f>
        <v>3648.7</v>
      </c>
      <c r="AT117" cm="1">
        <f t="array" ref="AT117">$E$10*(1+$AR117)+VLOOKUP($Q117,武学奇术!$A:$ZZ,4,FALSE)+SUM(_xlfn.XLOOKUP($R117:$AK117,增益!$A:$A,增益!$D:$D,0))-$I$2</f>
        <v>3648.7</v>
      </c>
      <c r="AU117" s="34" cm="1">
        <f t="array" ref="AU117">IF($F$10-$I$3+VLOOKUP($Q117,武学奇术!$A:$ZZ,6,FALSE)+SUM(_xlfn.XLOOKUP($R117:$AK117,增益!$A:$A,增益!$F:$F,0))&gt;0,($F$10-$I$3+VLOOKUP($Q117,武学奇术!$A:$ZZ,6,FALSE)+SUM(_xlfn.XLOOKUP($R117:$AK117,增益!$A:$A,增益!$F:$F,0)))/200,($F$10-$I$3+VLOOKUP($Q117,武学奇术!$A:$ZZ,6,FALSE)+SUM(_xlfn.XLOOKUP($R117:$AK117,增益!$A:$A,增益!$F:$F,0)))/100)</f>
        <v>0.327</v>
      </c>
      <c r="AV117" s="34" cm="1">
        <f t="array" ref="AV117">$G$10+VLOOKUP($Q117,武学奇术!$A:$ZZ,7,FALSE)+SUM(_xlfn.XLOOKUP($R117:$AK117,增益!$A:$A,增益!$G:$G,0))</f>
        <v>0</v>
      </c>
      <c r="AW117" s="27" cm="1">
        <f t="array" ref="AW117">VLOOKUP($Q117,武学奇术!$A:$ZZ,8,FALSE)+SUM(_xlfn.XLOOKUP($R117:$AK117,增益!$A:$A,增益!$H:$H,0))</f>
        <v>0</v>
      </c>
      <c r="AX117">
        <f t="shared" si="35"/>
        <v>0</v>
      </c>
      <c r="AY117">
        <f t="shared" si="36"/>
        <v>0</v>
      </c>
      <c r="AZ117" s="34" cm="1">
        <f t="array" ref="AZ117">IF($F$11-$I$4+VLOOKUP($Q117,武学奇术!$A:$ZZ,9,FALSE)+SUM(_xlfn.XLOOKUP($R117:$AK117,增益!$A:$A,增益!$I:$I,0))&gt;0,($F$11-$I$4+VLOOKUP($Q117,武学奇术!$A:$ZZ,9,FALSE)+SUM(_xlfn.XLOOKUP($R117:$AK117,增益!$A:$A,增益!$I:$I,0)))/200,($F$11-$I$4+VLOOKUP($Q117,武学奇术!$A:$ZZ,9,FALSE)+SUM(_xlfn.XLOOKUP($R117:$AK117,增益!$A:$A,增益!$I:$I,0)))/100)</f>
        <v>-0.3</v>
      </c>
      <c r="BA117" s="34" cm="1">
        <f t="array" ref="BA117">$G$11+VLOOKUP($Q117,武学奇术!$A:$ZZ,10,FALSE)+SUM(_xlfn.XLOOKUP($R117:$AK117,增益!$A:$A,增益!$J:$J,0))</f>
        <v>0</v>
      </c>
      <c r="BB117">
        <f t="shared" si="37"/>
        <v>594.1</v>
      </c>
      <c r="BC117">
        <f t="shared" si="38"/>
        <v>1604.9</v>
      </c>
      <c r="BD117" s="34" cm="1">
        <f t="array" ref="BD117">IF($F$12-$I$4+VLOOKUP($Q117,武学奇术!$A:$ZZ,11,FALSE)+SUM(_xlfn.XLOOKUP($R117:$AK117,增益!$A:$A,增益!$K:$K,0))&gt;0,($F$12-$I$4+VLOOKUP($Q117,武学奇术!$A:$ZZ,11,FALSE)+SUM(_xlfn.XLOOKUP($R117:$AK117,增益!$A:$A,增益!$K:$K,0)))/200,($F$12-$I$4+VLOOKUP($Q117,武学奇术!$A:$ZZ,11,FALSE)+SUM(_xlfn.XLOOKUP($R117:$AK117,增益!$A:$A,增益!$K:$K,0)))/100)</f>
        <v>0.09</v>
      </c>
      <c r="BE117" s="34" cm="1">
        <f t="array" ref="BE117">$G$12+VLOOKUP($Q117,武学奇术!$A:$ZZ,12,FALSE)+SUM(_xlfn.XLOOKUP($R117:$AK117,增益!$A:$A,增益!$L:$L,0))</f>
        <v>0.15</v>
      </c>
      <c r="BF117">
        <f t="shared" si="39"/>
        <v>0</v>
      </c>
      <c r="BG117">
        <f t="shared" si="40"/>
        <v>0</v>
      </c>
      <c r="BH117" s="34" cm="1">
        <f t="array" ref="BH117">IF($F$13-$I$4+VLOOKUP($Q117,武学奇术!$A:$ZZ,13,FALSE)+SUM(_xlfn.XLOOKUP($R117:$AK117,增益!$A:$A,增益!$M:$M,0))&gt;0,($F$13-$I$4+VLOOKUP($Q117,武学奇术!$A:$ZZ,13,FALSE)+SUM(_xlfn.XLOOKUP($R117:$AK117,增益!$A:$A,增益!$K:$K,0)))/200,($F$13-$I$4+VLOOKUP($Q117,武学奇术!$A:$ZZ,13,FALSE)+SUM(_xlfn.XLOOKUP($R117:$AK117,增益!$A:$A,增益!$M:$M,0)))/100)</f>
        <v>-0.3</v>
      </c>
      <c r="BI117" s="34" cm="1">
        <f t="array" ref="BI117">$G$13+VLOOKUP($Q117,武学奇术!$A:$ZZ,14,FALSE)+SUM(_xlfn.XLOOKUP($R117:$AK117,增益!$A:$A,增益!$N:$N,0))</f>
        <v>0</v>
      </c>
      <c r="BJ117">
        <f t="shared" si="41"/>
        <v>0</v>
      </c>
      <c r="BK117">
        <f t="shared" si="42"/>
        <v>0</v>
      </c>
      <c r="BL117" s="34" cm="1">
        <f t="array" ref="BL117">IF($F$14-$I$4+VLOOKUP($Q117,武学奇术!$A:$ZZ,15,FALSE)+SUM(_xlfn.XLOOKUP($R117:$AK117,增益!$A:$A,增益!$O:$O,0))&gt;0,($F$14-$I$4+VLOOKUP($Q117,武学奇术!$A:$ZZ,15,FALSE)+SUM(_xlfn.XLOOKUP($R117:$AK117,增益!$A:$A,增益!$O:$O,0)))/200,($F$14-$I$4+VLOOKUP($Q117,武学奇术!$A:$ZZ,15,FALSE)+SUM(_xlfn.XLOOKUP($R117:$AK117,增益!$A:$A,增益!$O:$O,0)))/100)</f>
        <v>-0.3</v>
      </c>
      <c r="BM117" s="34" cm="1">
        <f t="array" ref="BM117">$G$14+VLOOKUP($Q117,武学奇术!$A:$ZZ,16,FALSE)+SUM(_xlfn.XLOOKUP($R117:$AK117,增益!$A:$A,增益!$P:$P,0))</f>
        <v>0</v>
      </c>
      <c r="BN117" s="27">
        <f>MIN(IF(VLOOKUP($Q117,武学奇术!$A:$ZZ,23,FALSE)=1,100%,$B$8),100%)</f>
        <v>0.9859</v>
      </c>
      <c r="BO117" s="27" cm="1">
        <f t="array" ref="BO117">IF(VLOOKUP($Q117,武学奇术!$A:$ZZ,23,FALSE)=1,100%,MIN(80%,$B$9+VLOOKUP($Q117,武学奇术!$A:$ZZ,17,FALSE)+SUM(_xlfn.XLOOKUP($R117:$AK117,增益!$A:$A,增益!$Q:$Q,0)))+$B$11+SUM(_xlfn.XLOOKUP($R117:$AK117,增益!$A:$A,增益!$U:$U,0)))*IF(VLOOKUP($Q117,武学奇术!$A:$ZZ,24,FALSE)=1,0,1)</f>
        <v>0.8912</v>
      </c>
      <c r="BP117" s="27" cm="1">
        <f t="array" ref="BP117">1+$B$13+VLOOKUP($Q117,武学奇术!$A:$ZZ,18,FALSE)+SUM(_xlfn.XLOOKUP($R117:$AK117,增益!$A:$A,增益!$R:$R,0))</f>
        <v>1.54</v>
      </c>
      <c r="BQ117" s="27" cm="1">
        <f t="array" ref="BQ117">IF(VLOOKUP($Q117,武学奇术!$A:$ZZ,24,FALSE)=1,100%,MIN(40%,$B$10+VLOOKUP($Q117,武学奇术!$A:$ZZ,19,FALSE)+SUM(_xlfn.XLOOKUP($R117:$AK117,增益!$A:$A,增益!$S:$S,0)))+$B$12+SUM(_xlfn.XLOOKUP($R117:$AK117,增益!$A:$A,增益!$V:$V,0)))*IF(VLOOKUP($Q117,武学奇术!$A:$ZZ,23,FALSE)=1,0,1)</f>
        <v>0.0929</v>
      </c>
      <c r="BR117" s="27" cm="1">
        <f t="array" ref="BR117">1+$B$14+VLOOKUP($Q117,武学奇术!$A:$ZZ,20,FALSE)+SUM(_xlfn.XLOOKUP($R117:$AK117,增益!$A:$A,增益!$T:$T,0))</f>
        <v>1.35</v>
      </c>
      <c r="BS117" s="27">
        <f t="shared" si="43"/>
        <v>0.87863408</v>
      </c>
      <c r="BT117" s="27">
        <f t="shared" si="44"/>
        <v>0.01567581</v>
      </c>
      <c r="BU117" s="27">
        <f>IF(VLOOKUP($Q117,武学奇术!$A:$ZZ,22,FALSE)=1,0,(1-$BN117))*(1-$BQ117)</f>
        <v>0.01279011</v>
      </c>
      <c r="BV117" s="27" cm="1">
        <f t="array" ref="BV117">SUM(_xlfn.XLOOKUP($R117:$AK117,增益!$A:$A,增益!$W:$W,0))+$I$5</f>
        <v>0.11</v>
      </c>
    </row>
    <row r="118" spans="11:74">
      <c r="K118" s="40">
        <f t="shared" si="45"/>
        <v>17735.3759430412</v>
      </c>
      <c r="L118" s="40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BP118*$P118*(1+IF(VLOOKUP($Q118,武学奇术!$A:$ZZ,30,FALSE)="蓄力技",$B$21,0))*(1+$BV118)</f>
        <v>18141.0567350988</v>
      </c>
      <c r="M118" s="40">
        <f>(($AT118*$AM118+$AN118)*(1+$AU118)*(1+$AV118)+($AY118*IF($G$1="鸣金",$AO118,$AM118)+IF($G$1="鸣金",$AP118*1.5,0))*(1+$AZ118)*(1+$BA118)+($BC118*IF($G$1="裂石",$AO118,$AM118)+IF($G$1="裂石",$AP118*1.5,0))*(1+$BD118)*(1+$BE118)+($BG118*IF($G$1="牵丝",$AO118,$AM118)+IF($G$1="牵丝",$AP118*1.5,0))*(1+$BH118)*(1+$BI118)+($BK118*IF($G$1="破竹",$AO118,$AM118)+IF($G$1="破竹",$AP118*1.5,0))*(1+$BL118)*(1+$BM118))*(1+$AQ118)*$BR118*$P118*(1+IF(VLOOKUP($Q118,武学奇术!$A:$ZZ,30,FALSE)="蓄力技",$B$21,0))*(1+$BV118)</f>
        <v>16156.4415648884</v>
      </c>
      <c r="N118" s="40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P118*(1+IF(VLOOKUP($Q118,武学奇术!$A:$ZZ,30,FALSE)="蓄力技",$B$21,0))*(1+$BV118)</f>
        <v>10862.90822461</v>
      </c>
      <c r="O118" s="40">
        <f>((($AS118*$AM118+$AN118)*(1+$AU118)*(1+$AV118)+($AX118*IF($G$1="鸣金",$AO118,$AM118)+IF($G$1="鸣金",$AP118*1.5,0))*(1+$AZ118)*(1+$BA118)+($BB118*IF($G$1="裂石",$AO118,$AM118)+IF($G$1="裂石",$AP118*1.5,0))*(1+$BD118)*(1+$BE118)+($BF118*IF($G$1="牵丝",$AO118,$AM118)+IF($G$1="牵丝",$AP118*1.5,0))*(1+$BH118)*(1+$BI118)+($BJ118*IF($G$1="破竹",$AO118,$AM118)+IF($G$1="破竹",$AP118*1.5,0))*(1+$BL118)*(1+$BM118))*(1+$AQ118))*$P118*(1+IF(VLOOKUP($Q118,武学奇术!$A:$ZZ,30,FALSE)="蓄力技",$B$21,0))*(1+$BV118)</f>
        <v>9758.08195671015</v>
      </c>
      <c r="P118" s="41">
        <f t="shared" ref="P118:P127" si="46">IF($E$22="易水歌",1,0)</f>
        <v>1</v>
      </c>
      <c r="Q118" s="42" t="s">
        <v>194</v>
      </c>
      <c r="R118" s="42" t="s">
        <v>103</v>
      </c>
      <c r="S118" s="42" t="s">
        <v>77</v>
      </c>
      <c r="T118" s="42" t="s">
        <v>86</v>
      </c>
      <c r="U118" s="42" t="s">
        <v>87</v>
      </c>
      <c r="V118" s="42" t="s">
        <v>77</v>
      </c>
      <c r="W118" s="42" t="s">
        <v>78</v>
      </c>
      <c r="X118" s="42" t="s">
        <v>94</v>
      </c>
      <c r="Y118" s="42" t="s">
        <v>77</v>
      </c>
      <c r="Z118" s="42" t="s">
        <v>77</v>
      </c>
      <c r="AA118" s="42" t="s">
        <v>77</v>
      </c>
      <c r="AB118" s="42" t="s">
        <v>95</v>
      </c>
      <c r="AC118" s="42" t="s">
        <v>77</v>
      </c>
      <c r="AD118" s="42" t="s">
        <v>80</v>
      </c>
      <c r="AE118" s="42" t="s">
        <v>81</v>
      </c>
      <c r="AF118" s="42" t="s">
        <v>82</v>
      </c>
      <c r="AG118" s="42" t="s">
        <v>77</v>
      </c>
      <c r="AH118" s="42" t="s">
        <v>77</v>
      </c>
      <c r="AI118" s="42" t="s">
        <v>77</v>
      </c>
      <c r="AJ118" s="42" t="s">
        <v>77</v>
      </c>
      <c r="AK118" s="42" t="s">
        <v>90</v>
      </c>
      <c r="AL118" t="str">
        <f>VLOOKUP($Q118,武学奇术!$A:$ZZ,25,FALSE)</f>
        <v>心法</v>
      </c>
      <c r="AM118" s="27">
        <f>VLOOKUP($Q118,武学奇术!$A:$ZZ,26,FALSE)</f>
        <v>1</v>
      </c>
      <c r="AN118" s="28">
        <f>VLOOKUP($Q118,武学奇术!$A:$ZZ,27,FALSE)*(1+IF(OR($AL118=$F$4,$AL118=$F$5),$B$22,0))</f>
        <v>0</v>
      </c>
      <c r="AO118" s="27">
        <f>VLOOKUP($Q118,武学奇术!$A:$ZZ,28,FALSE)</f>
        <v>1</v>
      </c>
      <c r="AP118" s="28">
        <f>VLOOKUP($Q118,武学奇术!$A:$ZZ,29,FALSE)*(1+IF(OR($AL118=$F$4,$AL118=$F$5),$B$22,0))</f>
        <v>0</v>
      </c>
      <c r="AQ118" s="27" cm="1">
        <f t="array" ref="AQ118">$G$3+IFERROR(VLOOKUP($AL118,$F$4:$G$7,2,FALSE),0)+VLOOKUP($Q118,武学奇术!$A:$ZZ,2,FALSE)+SUM(_xlfn.XLOOKUP($R118:$AK118,增益!$A:$A,增益!$B:$B,0))</f>
        <v>0.4637</v>
      </c>
      <c r="AR118" s="27" cm="1">
        <f t="array" ref="AR118">VLOOKUP($Q118,武学奇术!$A:$ZZ,5,FALSE)+SUM(_xlfn.XLOOKUP($R118:$AK118,增益!$A:$A,增益!$E:$E,0))</f>
        <v>0</v>
      </c>
      <c r="AS118" cm="1">
        <f t="array" ref="AS118">$D$10*(1+$AR118)+VLOOKUP($Q118,武学奇术!$A:$ZZ,3,FALSE)+SUM(_xlfn.XLOOKUP($R118:$AK118,增益!$A:$A,增益!$C:$C,0))-$I$2</f>
        <v>3648.7</v>
      </c>
      <c r="AT118" cm="1">
        <f t="array" ref="AT118">$E$10*(1+$AR118)+VLOOKUP($Q118,武学奇术!$A:$ZZ,4,FALSE)+SUM(_xlfn.XLOOKUP($R118:$AK118,增益!$A:$A,增益!$D:$D,0))-$I$2</f>
        <v>3648.7</v>
      </c>
      <c r="AU118" s="34" cm="1">
        <f t="array" ref="AU118">IF($F$10-$I$3+VLOOKUP($Q118,武学奇术!$A:$ZZ,6,FALSE)+SUM(_xlfn.XLOOKUP($R118:$AK118,增益!$A:$A,增益!$F:$F,0))&gt;0,($F$10-$I$3+VLOOKUP($Q118,武学奇术!$A:$ZZ,6,FALSE)+SUM(_xlfn.XLOOKUP($R118:$AK118,增益!$A:$A,增益!$F:$F,0)))/200,($F$10-$I$3+VLOOKUP($Q118,武学奇术!$A:$ZZ,6,FALSE)+SUM(_xlfn.XLOOKUP($R118:$AK118,增益!$A:$A,增益!$F:$F,0)))/100)</f>
        <v>0.427</v>
      </c>
      <c r="AV118" s="34" cm="1">
        <f t="array" ref="AV118">$G$10+VLOOKUP($Q118,武学奇术!$A:$ZZ,7,FALSE)+SUM(_xlfn.XLOOKUP($R118:$AK118,增益!$A:$A,增益!$G:$G,0))</f>
        <v>0</v>
      </c>
      <c r="AW118" s="27" cm="1">
        <f t="array" ref="AW118">VLOOKUP($Q118,武学奇术!$A:$ZZ,8,FALSE)+SUM(_xlfn.XLOOKUP($R118:$AK118,增益!$A:$A,增益!$H:$H,0))</f>
        <v>0</v>
      </c>
      <c r="AX118">
        <f t="shared" si="35"/>
        <v>0</v>
      </c>
      <c r="AY118">
        <f t="shared" si="36"/>
        <v>0</v>
      </c>
      <c r="AZ118" s="34" cm="1">
        <f t="array" ref="AZ118">IF($F$11-$I$4+VLOOKUP($Q118,武学奇术!$A:$ZZ,9,FALSE)+SUM(_xlfn.XLOOKUP($R118:$AK118,增益!$A:$A,增益!$I:$I,0))&gt;0,($F$11-$I$4+VLOOKUP($Q118,武学奇术!$A:$ZZ,9,FALSE)+SUM(_xlfn.XLOOKUP($R118:$AK118,增益!$A:$A,增益!$I:$I,0)))/200,($F$11-$I$4+VLOOKUP($Q118,武学奇术!$A:$ZZ,9,FALSE)+SUM(_xlfn.XLOOKUP($R118:$AK118,增益!$A:$A,增益!$I:$I,0)))/100)</f>
        <v>-0.14</v>
      </c>
      <c r="BA118" s="34" cm="1">
        <f t="array" ref="BA118">$G$11+VLOOKUP($Q118,武学奇术!$A:$ZZ,10,FALSE)+SUM(_xlfn.XLOOKUP($R118:$AK118,增益!$A:$A,增益!$J:$J,0))</f>
        <v>0</v>
      </c>
      <c r="BB118">
        <f t="shared" si="37"/>
        <v>594.1</v>
      </c>
      <c r="BC118">
        <f t="shared" si="38"/>
        <v>1604.9</v>
      </c>
      <c r="BD118" s="34" cm="1">
        <f t="array" ref="BD118">IF($F$12-$I$4+VLOOKUP($Q118,武学奇术!$A:$ZZ,11,FALSE)+SUM(_xlfn.XLOOKUP($R118:$AK118,增益!$A:$A,增益!$K:$K,0))&gt;0,($F$12-$I$4+VLOOKUP($Q118,武学奇术!$A:$ZZ,11,FALSE)+SUM(_xlfn.XLOOKUP($R118:$AK118,增益!$A:$A,增益!$K:$K,0)))/200,($F$12-$I$4+VLOOKUP($Q118,武学奇术!$A:$ZZ,11,FALSE)+SUM(_xlfn.XLOOKUP($R118:$AK118,增益!$A:$A,增益!$K:$K,0)))/100)</f>
        <v>0.17</v>
      </c>
      <c r="BE118" s="34" cm="1">
        <f t="array" ref="BE118">$G$12+VLOOKUP($Q118,武学奇术!$A:$ZZ,12,FALSE)+SUM(_xlfn.XLOOKUP($R118:$AK118,增益!$A:$A,增益!$L:$L,0))</f>
        <v>0.15</v>
      </c>
      <c r="BF118">
        <f t="shared" si="39"/>
        <v>0</v>
      </c>
      <c r="BG118">
        <f t="shared" si="40"/>
        <v>0</v>
      </c>
      <c r="BH118" s="34" cm="1">
        <f t="array" ref="BH118">IF($F$13-$I$4+VLOOKUP($Q118,武学奇术!$A:$ZZ,13,FALSE)+SUM(_xlfn.XLOOKUP($R118:$AK118,增益!$A:$A,增益!$M:$M,0))&gt;0,($F$13-$I$4+VLOOKUP($Q118,武学奇术!$A:$ZZ,13,FALSE)+SUM(_xlfn.XLOOKUP($R118:$AK118,增益!$A:$A,增益!$K:$K,0)))/200,($F$13-$I$4+VLOOKUP($Q118,武学奇术!$A:$ZZ,13,FALSE)+SUM(_xlfn.XLOOKUP($R118:$AK118,增益!$A:$A,增益!$M:$M,0)))/100)</f>
        <v>-0.14</v>
      </c>
      <c r="BI118" s="34" cm="1">
        <f t="array" ref="BI118">$G$13+VLOOKUP($Q118,武学奇术!$A:$ZZ,14,FALSE)+SUM(_xlfn.XLOOKUP($R118:$AK118,增益!$A:$A,增益!$N:$N,0))</f>
        <v>0</v>
      </c>
      <c r="BJ118">
        <f t="shared" si="41"/>
        <v>0</v>
      </c>
      <c r="BK118">
        <f t="shared" si="42"/>
        <v>0</v>
      </c>
      <c r="BL118" s="34" cm="1">
        <f t="array" ref="BL118">IF($F$14-$I$4+VLOOKUP($Q118,武学奇术!$A:$ZZ,15,FALSE)+SUM(_xlfn.XLOOKUP($R118:$AK118,增益!$A:$A,增益!$O:$O,0))&gt;0,($F$14-$I$4+VLOOKUP($Q118,武学奇术!$A:$ZZ,15,FALSE)+SUM(_xlfn.XLOOKUP($R118:$AK118,增益!$A:$A,增益!$O:$O,0)))/200,($F$14-$I$4+VLOOKUP($Q118,武学奇术!$A:$ZZ,15,FALSE)+SUM(_xlfn.XLOOKUP($R118:$AK118,增益!$A:$A,增益!$O:$O,0)))/100)</f>
        <v>-0.14</v>
      </c>
      <c r="BM118" s="34" cm="1">
        <f t="array" ref="BM118">$G$14+VLOOKUP($Q118,武学奇术!$A:$ZZ,16,FALSE)+SUM(_xlfn.XLOOKUP($R118:$AK118,增益!$A:$A,增益!$P:$P,0))</f>
        <v>0</v>
      </c>
      <c r="BN118" s="27">
        <f>MIN(IF(VLOOKUP($Q118,武学奇术!$A:$ZZ,23,FALSE)=1,100%,$B$8),100%)</f>
        <v>0.9859</v>
      </c>
      <c r="BO118" s="27" cm="1">
        <f t="array" ref="BO118">IF(VLOOKUP($Q118,武学奇术!$A:$ZZ,23,FALSE)=1,100%,MIN(80%,$B$9+VLOOKUP($Q118,武学奇术!$A:$ZZ,17,FALSE)+SUM(_xlfn.XLOOKUP($R118:$AK118,增益!$A:$A,增益!$Q:$Q,0)))+$B$11+SUM(_xlfn.XLOOKUP($R118:$AK118,增益!$A:$A,增益!$U:$U,0)))*IF(VLOOKUP($Q118,武学奇术!$A:$ZZ,24,FALSE)=1,0,1)</f>
        <v>0.8912</v>
      </c>
      <c r="BP118" s="27" cm="1">
        <f t="array" ref="BP118">1+$B$13+VLOOKUP($Q118,武学奇术!$A:$ZZ,18,FALSE)+SUM(_xlfn.XLOOKUP($R118:$AK118,增益!$A:$A,增益!$R:$R,0))</f>
        <v>1.67</v>
      </c>
      <c r="BQ118" s="27" cm="1">
        <f t="array" ref="BQ118">IF(VLOOKUP($Q118,武学奇术!$A:$ZZ,24,FALSE)=1,100%,MIN(40%,$B$10+VLOOKUP($Q118,武学奇术!$A:$ZZ,19,FALSE)+SUM(_xlfn.XLOOKUP($R118:$AK118,增益!$A:$A,增益!$S:$S,0)))+$B$12+SUM(_xlfn.XLOOKUP($R118:$AK118,增益!$A:$A,增益!$V:$V,0)))*IF(VLOOKUP($Q118,武学奇术!$A:$ZZ,23,FALSE)=1,0,1)</f>
        <v>0.0929</v>
      </c>
      <c r="BR118" s="27" cm="1">
        <f t="array" ref="BR118">1+$B$14+VLOOKUP($Q118,武学奇术!$A:$ZZ,20,FALSE)+SUM(_xlfn.XLOOKUP($R118:$AK118,增益!$A:$A,增益!$T:$T,0))</f>
        <v>1.35</v>
      </c>
      <c r="BS118" s="27">
        <f t="shared" si="43"/>
        <v>0.87863408</v>
      </c>
      <c r="BT118" s="27">
        <f t="shared" si="44"/>
        <v>0.01567581</v>
      </c>
      <c r="BU118" s="27">
        <f>IF(VLOOKUP($Q118,武学奇术!$A:$ZZ,22,FALSE)=1,0,(1-$BN118))*(1-$BQ118)</f>
        <v>0.01279011</v>
      </c>
      <c r="BV118" s="27" cm="1">
        <f t="array" ref="BV118">SUM(_xlfn.XLOOKUP($R118:$AK118,增益!$A:$A,增益!$W:$W,0))+$I$5</f>
        <v>0.11</v>
      </c>
    </row>
    <row r="119" spans="11:74">
      <c r="K119" s="40">
        <f t="shared" si="45"/>
        <v>16617.8501573548</v>
      </c>
      <c r="L119" s="40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BP119*$P119*(1+IF(VLOOKUP($Q119,武学奇术!$A:$ZZ,30,FALSE)="蓄力技",$B$21,0))*(1+$BV119)</f>
        <v>17044.6587537203</v>
      </c>
      <c r="M119" s="40">
        <f>(($AT119*$AM119+$AN119)*(1+$AU119)*(1+$AV119)+($AY119*IF($G$1="鸣金",$AO119,$AM119)+IF($G$1="鸣金",$AP119*1.5,0))*(1+$AZ119)*(1+$BA119)+($BC119*IF($G$1="裂石",$AO119,$AM119)+IF($G$1="裂石",$AP119*1.5,0))*(1+$BD119)*(1+$BE119)+($BG119*IF($G$1="牵丝",$AO119,$AM119)+IF($G$1="牵丝",$AP119*1.5,0))*(1+$BH119)*(1+$BI119)+($BK119*IF($G$1="破竹",$AO119,$AM119)+IF($G$1="破竹",$AP119*1.5,0))*(1+$BL119)*(1+$BM119))*(1+$AQ119)*$BR119*$P119*(1+IF(VLOOKUP($Q119,武学奇术!$A:$ZZ,30,FALSE)="蓄力技",$B$21,0))*(1+$BV119)</f>
        <v>14750.9082337199</v>
      </c>
      <c r="N119" s="40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P119*(1+IF(VLOOKUP($Q119,武学奇术!$A:$ZZ,30,FALSE)="蓄力技",$B$21,0))*(1+$BV119)</f>
        <v>9967.63669808205</v>
      </c>
      <c r="O119" s="40">
        <f>((($AS119*$AM119+$AN119)*(1+$AU119)*(1+$AV119)+($AX119*IF($G$1="鸣金",$AO119,$AM119)+IF($G$1="鸣金",$AP119*1.5,0))*(1+$AZ119)*(1+$BA119)+($BB119*IF($G$1="裂石",$AO119,$AM119)+IF($G$1="裂石",$AP119*1.5,0))*(1+$BD119)*(1+$BE119)+($BF119*IF($G$1="牵丝",$AO119,$AM119)+IF($G$1="牵丝",$AP119*1.5,0))*(1+$BH119)*(1+$BI119)+($BJ119*IF($G$1="破竹",$AO119,$AM119)+IF($G$1="破竹",$AP119*1.5,0))*(1+$BL119)*(1+$BM119))*(1+$AQ119))*$P119*(1+IF(VLOOKUP($Q119,武学奇术!$A:$ZZ,30,FALSE)="蓄力技",$B$21,0))*(1+$BV119)</f>
        <v>9008.67470451975</v>
      </c>
      <c r="P119" s="41">
        <f t="shared" si="46"/>
        <v>1</v>
      </c>
      <c r="Q119" s="42" t="s">
        <v>194</v>
      </c>
      <c r="R119" s="42" t="s">
        <v>103</v>
      </c>
      <c r="S119" s="42" t="s">
        <v>77</v>
      </c>
      <c r="T119" s="42" t="s">
        <v>77</v>
      </c>
      <c r="U119" s="42" t="s">
        <v>87</v>
      </c>
      <c r="V119" s="42" t="s">
        <v>77</v>
      </c>
      <c r="W119" s="42" t="s">
        <v>77</v>
      </c>
      <c r="X119" s="42" t="s">
        <v>165</v>
      </c>
      <c r="Y119" s="42" t="s">
        <v>77</v>
      </c>
      <c r="Z119" s="42" t="s">
        <v>77</v>
      </c>
      <c r="AA119" s="42" t="s">
        <v>77</v>
      </c>
      <c r="AB119" s="42" t="s">
        <v>89</v>
      </c>
      <c r="AC119" s="42" t="s">
        <v>77</v>
      </c>
      <c r="AD119" s="42" t="s">
        <v>80</v>
      </c>
      <c r="AE119" s="42" t="s">
        <v>81</v>
      </c>
      <c r="AF119" s="42" t="s">
        <v>82</v>
      </c>
      <c r="AG119" s="42" t="s">
        <v>77</v>
      </c>
      <c r="AH119" s="42" t="s">
        <v>77</v>
      </c>
      <c r="AI119" s="42" t="s">
        <v>77</v>
      </c>
      <c r="AJ119" s="42" t="s">
        <v>77</v>
      </c>
      <c r="AK119" s="42" t="s">
        <v>90</v>
      </c>
      <c r="AL119" t="str">
        <f>VLOOKUP($Q119,武学奇术!$A:$ZZ,25,FALSE)</f>
        <v>心法</v>
      </c>
      <c r="AM119" s="27">
        <f>VLOOKUP($Q119,武学奇术!$A:$ZZ,26,FALSE)</f>
        <v>1</v>
      </c>
      <c r="AN119" s="28">
        <f>VLOOKUP($Q119,武学奇术!$A:$ZZ,27,FALSE)*(1+IF(OR($AL119=$F$4,$AL119=$F$5),$B$22,0))</f>
        <v>0</v>
      </c>
      <c r="AO119" s="27">
        <f>VLOOKUP($Q119,武学奇术!$A:$ZZ,28,FALSE)</f>
        <v>1</v>
      </c>
      <c r="AP119" s="28">
        <f>VLOOKUP($Q119,武学奇术!$A:$ZZ,29,FALSE)*(1+IF(OR($AL119=$F$4,$AL119=$F$5),$B$22,0))</f>
        <v>0</v>
      </c>
      <c r="AQ119" s="27" cm="1">
        <f t="array" ref="AQ119">$G$3+IFERROR(VLOOKUP($AL119,$F$4:$G$7,2,FALSE),0)+VLOOKUP($Q119,武学奇术!$A:$ZZ,2,FALSE)+SUM(_xlfn.XLOOKUP($R119:$AK119,增益!$A:$A,增益!$B:$B,0))</f>
        <v>0.3637</v>
      </c>
      <c r="AR119" s="27" cm="1">
        <f t="array" ref="AR119">VLOOKUP($Q119,武学奇术!$A:$ZZ,5,FALSE)+SUM(_xlfn.XLOOKUP($R119:$AK119,增益!$A:$A,增益!$E:$E,0))</f>
        <v>0</v>
      </c>
      <c r="AS119" cm="1">
        <f t="array" ref="AS119">$D$10*(1+$AR119)+VLOOKUP($Q119,武学奇术!$A:$ZZ,3,FALSE)+SUM(_xlfn.XLOOKUP($R119:$AK119,增益!$A:$A,增益!$C:$C,0))-$I$2</f>
        <v>3648.7</v>
      </c>
      <c r="AT119" cm="1">
        <f t="array" ref="AT119">$E$10*(1+$AR119)+VLOOKUP($Q119,武学奇术!$A:$ZZ,4,FALSE)+SUM(_xlfn.XLOOKUP($R119:$AK119,增益!$A:$A,增益!$D:$D,0))-$I$2</f>
        <v>3648.7</v>
      </c>
      <c r="AU119" s="34" cm="1">
        <f t="array" ref="AU119">IF($F$10-$I$3+VLOOKUP($Q119,武学奇术!$A:$ZZ,6,FALSE)+SUM(_xlfn.XLOOKUP($R119:$AK119,增益!$A:$A,增益!$F:$F,0))&gt;0,($F$10-$I$3+VLOOKUP($Q119,武学奇术!$A:$ZZ,6,FALSE)+SUM(_xlfn.XLOOKUP($R119:$AK119,增益!$A:$A,增益!$F:$F,0)))/200,($F$10-$I$3+VLOOKUP($Q119,武学奇术!$A:$ZZ,6,FALSE)+SUM(_xlfn.XLOOKUP($R119:$AK119,增益!$A:$A,增益!$F:$F,0)))/100)</f>
        <v>0.427</v>
      </c>
      <c r="AV119" s="34" cm="1">
        <f t="array" ref="AV119">$G$10+VLOOKUP($Q119,武学奇术!$A:$ZZ,7,FALSE)+SUM(_xlfn.XLOOKUP($R119:$AK119,增益!$A:$A,增益!$G:$G,0))</f>
        <v>0</v>
      </c>
      <c r="AW119" s="27" cm="1">
        <f t="array" ref="AW119">VLOOKUP($Q119,武学奇术!$A:$ZZ,8,FALSE)+SUM(_xlfn.XLOOKUP($R119:$AK119,增益!$A:$A,增益!$H:$H,0))</f>
        <v>0</v>
      </c>
      <c r="AX119">
        <f t="shared" si="35"/>
        <v>0</v>
      </c>
      <c r="AY119">
        <f t="shared" si="36"/>
        <v>0</v>
      </c>
      <c r="AZ119" s="34" cm="1">
        <f t="array" ref="AZ119">IF($F$11-$I$4+VLOOKUP($Q119,武学奇术!$A:$ZZ,9,FALSE)+SUM(_xlfn.XLOOKUP($R119:$AK119,增益!$A:$A,增益!$I:$I,0))&gt;0,($F$11-$I$4+VLOOKUP($Q119,武学奇术!$A:$ZZ,9,FALSE)+SUM(_xlfn.XLOOKUP($R119:$AK119,增益!$A:$A,增益!$I:$I,0)))/200,($F$11-$I$4+VLOOKUP($Q119,武学奇术!$A:$ZZ,9,FALSE)+SUM(_xlfn.XLOOKUP($R119:$AK119,增益!$A:$A,增益!$I:$I,0)))/100)</f>
        <v>-0.3</v>
      </c>
      <c r="BA119" s="34" cm="1">
        <f t="array" ref="BA119">$G$11+VLOOKUP($Q119,武学奇术!$A:$ZZ,10,FALSE)+SUM(_xlfn.XLOOKUP($R119:$AK119,增益!$A:$A,增益!$J:$J,0))</f>
        <v>0</v>
      </c>
      <c r="BB119">
        <f t="shared" si="37"/>
        <v>594.1</v>
      </c>
      <c r="BC119">
        <f t="shared" si="38"/>
        <v>1604.9</v>
      </c>
      <c r="BD119" s="34" cm="1">
        <f t="array" ref="BD119">IF($F$12-$I$4+VLOOKUP($Q119,武学奇术!$A:$ZZ,11,FALSE)+SUM(_xlfn.XLOOKUP($R119:$AK119,增益!$A:$A,增益!$K:$K,0))&gt;0,($F$12-$I$4+VLOOKUP($Q119,武学奇术!$A:$ZZ,11,FALSE)+SUM(_xlfn.XLOOKUP($R119:$AK119,增益!$A:$A,增益!$K:$K,0)))/200,($F$12-$I$4+VLOOKUP($Q119,武学奇术!$A:$ZZ,11,FALSE)+SUM(_xlfn.XLOOKUP($R119:$AK119,增益!$A:$A,增益!$K:$K,0)))/100)</f>
        <v>0.09</v>
      </c>
      <c r="BE119" s="34" cm="1">
        <f t="array" ref="BE119">$G$12+VLOOKUP($Q119,武学奇术!$A:$ZZ,12,FALSE)+SUM(_xlfn.XLOOKUP($R119:$AK119,增益!$A:$A,增益!$L:$L,0))</f>
        <v>0.15</v>
      </c>
      <c r="BF119">
        <f t="shared" si="39"/>
        <v>0</v>
      </c>
      <c r="BG119">
        <f t="shared" si="40"/>
        <v>0</v>
      </c>
      <c r="BH119" s="34" cm="1">
        <f t="array" ref="BH119">IF($F$13-$I$4+VLOOKUP($Q119,武学奇术!$A:$ZZ,13,FALSE)+SUM(_xlfn.XLOOKUP($R119:$AK119,增益!$A:$A,增益!$M:$M,0))&gt;0,($F$13-$I$4+VLOOKUP($Q119,武学奇术!$A:$ZZ,13,FALSE)+SUM(_xlfn.XLOOKUP($R119:$AK119,增益!$A:$A,增益!$K:$K,0)))/200,($F$13-$I$4+VLOOKUP($Q119,武学奇术!$A:$ZZ,13,FALSE)+SUM(_xlfn.XLOOKUP($R119:$AK119,增益!$A:$A,增益!$M:$M,0)))/100)</f>
        <v>-0.3</v>
      </c>
      <c r="BI119" s="34" cm="1">
        <f t="array" ref="BI119">$G$13+VLOOKUP($Q119,武学奇术!$A:$ZZ,14,FALSE)+SUM(_xlfn.XLOOKUP($R119:$AK119,增益!$A:$A,增益!$N:$N,0))</f>
        <v>0</v>
      </c>
      <c r="BJ119">
        <f t="shared" si="41"/>
        <v>0</v>
      </c>
      <c r="BK119">
        <f t="shared" si="42"/>
        <v>0</v>
      </c>
      <c r="BL119" s="34" cm="1">
        <f t="array" ref="BL119">IF($F$14-$I$4+VLOOKUP($Q119,武学奇术!$A:$ZZ,15,FALSE)+SUM(_xlfn.XLOOKUP($R119:$AK119,增益!$A:$A,增益!$O:$O,0))&gt;0,($F$14-$I$4+VLOOKUP($Q119,武学奇术!$A:$ZZ,15,FALSE)+SUM(_xlfn.XLOOKUP($R119:$AK119,增益!$A:$A,增益!$O:$O,0)))/200,($F$14-$I$4+VLOOKUP($Q119,武学奇术!$A:$ZZ,15,FALSE)+SUM(_xlfn.XLOOKUP($R119:$AK119,增益!$A:$A,增益!$O:$O,0)))/100)</f>
        <v>-0.3</v>
      </c>
      <c r="BM119" s="34" cm="1">
        <f t="array" ref="BM119">$G$14+VLOOKUP($Q119,武学奇术!$A:$ZZ,16,FALSE)+SUM(_xlfn.XLOOKUP($R119:$AK119,增益!$A:$A,增益!$P:$P,0))</f>
        <v>0</v>
      </c>
      <c r="BN119" s="27">
        <f>MIN(IF(VLOOKUP($Q119,武学奇术!$A:$ZZ,23,FALSE)=1,100%,$B$8),100%)</f>
        <v>0.9859</v>
      </c>
      <c r="BO119" s="27" cm="1">
        <f t="array" ref="BO119">IF(VLOOKUP($Q119,武学奇术!$A:$ZZ,23,FALSE)=1,100%,MIN(80%,$B$9+VLOOKUP($Q119,武学奇术!$A:$ZZ,17,FALSE)+SUM(_xlfn.XLOOKUP($R119:$AK119,增益!$A:$A,增益!$Q:$Q,0)))+$B$11+SUM(_xlfn.XLOOKUP($R119:$AK119,增益!$A:$A,增益!$U:$U,0)))*IF(VLOOKUP($Q119,武学奇术!$A:$ZZ,24,FALSE)=1,0,1)</f>
        <v>0.8912</v>
      </c>
      <c r="BP119" s="27" cm="1">
        <f t="array" ref="BP119">1+$B$13+VLOOKUP($Q119,武学奇术!$A:$ZZ,18,FALSE)+SUM(_xlfn.XLOOKUP($R119:$AK119,增益!$A:$A,增益!$R:$R,0))</f>
        <v>1.71</v>
      </c>
      <c r="BQ119" s="27" cm="1">
        <f t="array" ref="BQ119">IF(VLOOKUP($Q119,武学奇术!$A:$ZZ,24,FALSE)=1,100%,MIN(40%,$B$10+VLOOKUP($Q119,武学奇术!$A:$ZZ,19,FALSE)+SUM(_xlfn.XLOOKUP($R119:$AK119,增益!$A:$A,增益!$S:$S,0)))+$B$12+SUM(_xlfn.XLOOKUP($R119:$AK119,增益!$A:$A,增益!$V:$V,0)))*IF(VLOOKUP($Q119,武学奇术!$A:$ZZ,23,FALSE)=1,0,1)</f>
        <v>0.0929</v>
      </c>
      <c r="BR119" s="27" cm="1">
        <f t="array" ref="BR119">1+$B$14+VLOOKUP($Q119,武学奇术!$A:$ZZ,20,FALSE)+SUM(_xlfn.XLOOKUP($R119:$AK119,增益!$A:$A,增益!$T:$T,0))</f>
        <v>1.35</v>
      </c>
      <c r="BS119" s="27">
        <f t="shared" si="43"/>
        <v>0.87863408</v>
      </c>
      <c r="BT119" s="27">
        <f t="shared" si="44"/>
        <v>0.01567581</v>
      </c>
      <c r="BU119" s="27">
        <f>IF(VLOOKUP($Q119,武学奇术!$A:$ZZ,22,FALSE)=1,0,(1-$BN119))*(1-$BQ119)</f>
        <v>0.01279011</v>
      </c>
      <c r="BV119" s="27" cm="1">
        <f t="array" ref="BV119">SUM(_xlfn.XLOOKUP($R119:$AK119,增益!$A:$A,增益!$W:$W,0))+$I$5</f>
        <v>0.11</v>
      </c>
    </row>
    <row r="120" spans="11:74">
      <c r="K120" s="40">
        <f t="shared" si="45"/>
        <v>19660.8192438452</v>
      </c>
      <c r="L120" s="40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BP120*$P120*(1+IF(VLOOKUP($Q120,武学奇术!$A:$ZZ,30,FALSE)="蓄力技",$B$21,0))*(1+$BV120)</f>
        <v>20192.8082858725</v>
      </c>
      <c r="M120" s="40">
        <f>(($AT120*$AM120+$AN120)*(1+$AU120)*(1+$AV120)+($AY120*IF($G$1="鸣金",$AO120,$AM120)+IF($G$1="鸣金",$AP120*1.5,0))*(1+$AZ120)*(1+$BA120)+($BC120*IF($G$1="裂石",$AO120,$AM120)+IF($G$1="裂石",$AP120*1.5,0))*(1+$BD120)*(1+$BE120)+($BG120*IF($G$1="牵丝",$AO120,$AM120)+IF($G$1="牵丝",$AP120*1.5,0))*(1+$BH120)*(1+$BI120)+($BK120*IF($G$1="破竹",$AO120,$AM120)+IF($G$1="破竹",$AP120*1.5,0))*(1+$BL120)*(1+$BM120))*(1+$AQ120)*$BR120*$P120*(1+IF(VLOOKUP($Q120,武学奇术!$A:$ZZ,30,FALSE)="蓄力技",$B$21,0))*(1+$BV120)</f>
        <v>17260.2498292109</v>
      </c>
      <c r="N120" s="40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P120*(1+IF(VLOOKUP($Q120,武学奇术!$A:$ZZ,30,FALSE)="蓄力技",$B$21,0))*(1+$BV120)</f>
        <v>11605.06223326</v>
      </c>
      <c r="O120" s="40">
        <f>((($AS120*$AM120+$AN120)*(1+$AU120)*(1+$AV120)+($AX120*IF($G$1="鸣金",$AO120,$AM120)+IF($G$1="鸣金",$AP120*1.5,0))*(1+$AZ120)*(1+$BA120)+($BB120*IF($G$1="裂石",$AO120,$AM120)+IF($G$1="裂石",$AP120*1.5,0))*(1+$BD120)*(1+$BE120)+($BF120*IF($G$1="牵丝",$AO120,$AM120)+IF($G$1="牵丝",$AP120*1.5,0))*(1+$BH120)*(1+$BI120)+($BJ120*IF($G$1="破竹",$AO120,$AM120)+IF($G$1="破竹",$AP120*1.5,0))*(1+$BL120)*(1+$BM120))*(1+$AQ120))*$P120*(1+IF(VLOOKUP($Q120,武学奇术!$A:$ZZ,30,FALSE)="蓄力技",$B$21,0))*(1+$BV120)</f>
        <v>10424.7542226601</v>
      </c>
      <c r="P120" s="41">
        <f t="shared" si="46"/>
        <v>1</v>
      </c>
      <c r="Q120" s="42" t="s">
        <v>194</v>
      </c>
      <c r="R120" s="42" t="s">
        <v>103</v>
      </c>
      <c r="S120" s="42" t="s">
        <v>169</v>
      </c>
      <c r="T120" s="42" t="s">
        <v>86</v>
      </c>
      <c r="U120" s="42" t="s">
        <v>87</v>
      </c>
      <c r="V120" s="42" t="s">
        <v>77</v>
      </c>
      <c r="W120" s="42" t="s">
        <v>77</v>
      </c>
      <c r="X120" s="42" t="s">
        <v>176</v>
      </c>
      <c r="Y120" s="42" t="s">
        <v>77</v>
      </c>
      <c r="Z120" s="42" t="s">
        <v>77</v>
      </c>
      <c r="AA120" s="42" t="s">
        <v>77</v>
      </c>
      <c r="AB120" s="42" t="s">
        <v>95</v>
      </c>
      <c r="AC120" s="42" t="s">
        <v>77</v>
      </c>
      <c r="AD120" s="42" t="s">
        <v>80</v>
      </c>
      <c r="AE120" s="42" t="s">
        <v>81</v>
      </c>
      <c r="AF120" s="42" t="s">
        <v>82</v>
      </c>
      <c r="AG120" s="42" t="s">
        <v>77</v>
      </c>
      <c r="AH120" s="42" t="s">
        <v>77</v>
      </c>
      <c r="AI120" s="42" t="s">
        <v>77</v>
      </c>
      <c r="AJ120" s="42" t="s">
        <v>77</v>
      </c>
      <c r="AK120" s="42" t="s">
        <v>90</v>
      </c>
      <c r="AL120" t="str">
        <f>VLOOKUP($Q120,武学奇术!$A:$ZZ,25,FALSE)</f>
        <v>心法</v>
      </c>
      <c r="AM120" s="27">
        <f>VLOOKUP($Q120,武学奇术!$A:$ZZ,26,FALSE)</f>
        <v>1</v>
      </c>
      <c r="AN120" s="28">
        <f>VLOOKUP($Q120,武学奇术!$A:$ZZ,27,FALSE)*(1+IF(OR($AL120=$F$4,$AL120=$F$5),$B$22,0))</f>
        <v>0</v>
      </c>
      <c r="AO120" s="27">
        <f>VLOOKUP($Q120,武学奇术!$A:$ZZ,28,FALSE)</f>
        <v>1</v>
      </c>
      <c r="AP120" s="28">
        <f>VLOOKUP($Q120,武学奇术!$A:$ZZ,29,FALSE)*(1+IF(OR($AL120=$F$4,$AL120=$F$5),$B$22,0))</f>
        <v>0</v>
      </c>
      <c r="AQ120" s="27" cm="1">
        <f t="array" ref="AQ120">$G$3+IFERROR(VLOOKUP($AL120,$F$4:$G$7,2,FALSE),0)+VLOOKUP($Q120,武学奇术!$A:$ZZ,2,FALSE)+SUM(_xlfn.XLOOKUP($R120:$AK120,增益!$A:$A,增益!$B:$B,0))</f>
        <v>0.5637</v>
      </c>
      <c r="AR120" s="27" cm="1">
        <f t="array" ref="AR120">VLOOKUP($Q120,武学奇术!$A:$ZZ,5,FALSE)+SUM(_xlfn.XLOOKUP($R120:$AK120,增益!$A:$A,增益!$E:$E,0))</f>
        <v>0</v>
      </c>
      <c r="AS120" cm="1">
        <f t="array" ref="AS120">$D$10*(1+$AR120)+VLOOKUP($Q120,武学奇术!$A:$ZZ,3,FALSE)+SUM(_xlfn.XLOOKUP($R120:$AK120,增益!$A:$A,增益!$C:$C,0))-$I$2</f>
        <v>3648.7</v>
      </c>
      <c r="AT120" cm="1">
        <f t="array" ref="AT120">$E$10*(1+$AR120)+VLOOKUP($Q120,武学奇术!$A:$ZZ,4,FALSE)+SUM(_xlfn.XLOOKUP($R120:$AK120,增益!$A:$A,增益!$D:$D,0))-$I$2</f>
        <v>3648.7</v>
      </c>
      <c r="AU120" s="34" cm="1">
        <f t="array" ref="AU120">IF($F$10-$I$3+VLOOKUP($Q120,武学奇术!$A:$ZZ,6,FALSE)+SUM(_xlfn.XLOOKUP($R120:$AK120,增益!$A:$A,增益!$F:$F,0))&gt;0,($F$10-$I$3+VLOOKUP($Q120,武学奇术!$A:$ZZ,6,FALSE)+SUM(_xlfn.XLOOKUP($R120:$AK120,增益!$A:$A,增益!$F:$F,0)))/200,($F$10-$I$3+VLOOKUP($Q120,武学奇术!$A:$ZZ,6,FALSE)+SUM(_xlfn.XLOOKUP($R120:$AK120,增益!$A:$A,增益!$F:$F,0)))/100)</f>
        <v>0.427</v>
      </c>
      <c r="AV120" s="34" cm="1">
        <f t="array" ref="AV120">$G$10+VLOOKUP($Q120,武学奇术!$A:$ZZ,7,FALSE)+SUM(_xlfn.XLOOKUP($R120:$AK120,增益!$A:$A,增益!$G:$G,0))</f>
        <v>0</v>
      </c>
      <c r="AW120" s="27" cm="1">
        <f t="array" ref="AW120">VLOOKUP($Q120,武学奇术!$A:$ZZ,8,FALSE)+SUM(_xlfn.XLOOKUP($R120:$AK120,增益!$A:$A,增益!$H:$H,0))</f>
        <v>0</v>
      </c>
      <c r="AX120">
        <f t="shared" si="35"/>
        <v>0</v>
      </c>
      <c r="AY120">
        <f t="shared" si="36"/>
        <v>0</v>
      </c>
      <c r="AZ120" s="34" cm="1">
        <f t="array" ref="AZ120">IF($F$11-$I$4+VLOOKUP($Q120,武学奇术!$A:$ZZ,9,FALSE)+SUM(_xlfn.XLOOKUP($R120:$AK120,增益!$A:$A,增益!$I:$I,0))&gt;0,($F$11-$I$4+VLOOKUP($Q120,武学奇术!$A:$ZZ,9,FALSE)+SUM(_xlfn.XLOOKUP($R120:$AK120,增益!$A:$A,增益!$I:$I,0)))/200,($F$11-$I$4+VLOOKUP($Q120,武学奇术!$A:$ZZ,9,FALSE)+SUM(_xlfn.XLOOKUP($R120:$AK120,增益!$A:$A,增益!$I:$I,0)))/100)</f>
        <v>-0.14</v>
      </c>
      <c r="BA120" s="34" cm="1">
        <f t="array" ref="BA120">$G$11+VLOOKUP($Q120,武学奇术!$A:$ZZ,10,FALSE)+SUM(_xlfn.XLOOKUP($R120:$AK120,增益!$A:$A,增益!$J:$J,0))</f>
        <v>0</v>
      </c>
      <c r="BB120">
        <f t="shared" si="37"/>
        <v>594.1</v>
      </c>
      <c r="BC120">
        <f t="shared" si="38"/>
        <v>1604.9</v>
      </c>
      <c r="BD120" s="34" cm="1">
        <f t="array" ref="BD120">IF($F$12-$I$4+VLOOKUP($Q120,武学奇术!$A:$ZZ,11,FALSE)+SUM(_xlfn.XLOOKUP($R120:$AK120,增益!$A:$A,增益!$K:$K,0))&gt;0,($F$12-$I$4+VLOOKUP($Q120,武学奇术!$A:$ZZ,11,FALSE)+SUM(_xlfn.XLOOKUP($R120:$AK120,增益!$A:$A,增益!$K:$K,0)))/200,($F$12-$I$4+VLOOKUP($Q120,武学奇术!$A:$ZZ,11,FALSE)+SUM(_xlfn.XLOOKUP($R120:$AK120,增益!$A:$A,增益!$K:$K,0)))/100)</f>
        <v>0.17</v>
      </c>
      <c r="BE120" s="34" cm="1">
        <f t="array" ref="BE120">$G$12+VLOOKUP($Q120,武学奇术!$A:$ZZ,12,FALSE)+SUM(_xlfn.XLOOKUP($R120:$AK120,增益!$A:$A,增益!$L:$L,0))</f>
        <v>0.15</v>
      </c>
      <c r="BF120">
        <f t="shared" si="39"/>
        <v>0</v>
      </c>
      <c r="BG120">
        <f t="shared" si="40"/>
        <v>0</v>
      </c>
      <c r="BH120" s="34" cm="1">
        <f t="array" ref="BH120">IF($F$13-$I$4+VLOOKUP($Q120,武学奇术!$A:$ZZ,13,FALSE)+SUM(_xlfn.XLOOKUP($R120:$AK120,增益!$A:$A,增益!$M:$M,0))&gt;0,($F$13-$I$4+VLOOKUP($Q120,武学奇术!$A:$ZZ,13,FALSE)+SUM(_xlfn.XLOOKUP($R120:$AK120,增益!$A:$A,增益!$K:$K,0)))/200,($F$13-$I$4+VLOOKUP($Q120,武学奇术!$A:$ZZ,13,FALSE)+SUM(_xlfn.XLOOKUP($R120:$AK120,增益!$A:$A,增益!$M:$M,0)))/100)</f>
        <v>-0.14</v>
      </c>
      <c r="BI120" s="34" cm="1">
        <f t="array" ref="BI120">$G$13+VLOOKUP($Q120,武学奇术!$A:$ZZ,14,FALSE)+SUM(_xlfn.XLOOKUP($R120:$AK120,增益!$A:$A,增益!$N:$N,0))</f>
        <v>0</v>
      </c>
      <c r="BJ120">
        <f t="shared" si="41"/>
        <v>0</v>
      </c>
      <c r="BK120">
        <f t="shared" si="42"/>
        <v>0</v>
      </c>
      <c r="BL120" s="34" cm="1">
        <f t="array" ref="BL120">IF($F$14-$I$4+VLOOKUP($Q120,武学奇术!$A:$ZZ,15,FALSE)+SUM(_xlfn.XLOOKUP($R120:$AK120,增益!$A:$A,增益!$O:$O,0))&gt;0,($F$14-$I$4+VLOOKUP($Q120,武学奇术!$A:$ZZ,15,FALSE)+SUM(_xlfn.XLOOKUP($R120:$AK120,增益!$A:$A,增益!$O:$O,0)))/200,($F$14-$I$4+VLOOKUP($Q120,武学奇术!$A:$ZZ,15,FALSE)+SUM(_xlfn.XLOOKUP($R120:$AK120,增益!$A:$A,增益!$O:$O,0)))/100)</f>
        <v>-0.14</v>
      </c>
      <c r="BM120" s="34" cm="1">
        <f t="array" ref="BM120">$G$14+VLOOKUP($Q120,武学奇术!$A:$ZZ,16,FALSE)+SUM(_xlfn.XLOOKUP($R120:$AK120,增益!$A:$A,增益!$P:$P,0))</f>
        <v>0</v>
      </c>
      <c r="BN120" s="27">
        <f>MIN(IF(VLOOKUP($Q120,武学奇术!$A:$ZZ,23,FALSE)=1,100%,$B$8),100%)</f>
        <v>0.9859</v>
      </c>
      <c r="BO120" s="27" cm="1">
        <f t="array" ref="BO120">IF(VLOOKUP($Q120,武学奇术!$A:$ZZ,23,FALSE)=1,100%,MIN(80%,$B$9+VLOOKUP($Q120,武学奇术!$A:$ZZ,17,FALSE)+SUM(_xlfn.XLOOKUP($R120:$AK120,增益!$A:$A,增益!$Q:$Q,0)))+$B$11+SUM(_xlfn.XLOOKUP($R120:$AK120,增益!$A:$A,增益!$U:$U,0)))*IF(VLOOKUP($Q120,武学奇术!$A:$ZZ,24,FALSE)=1,0,1)</f>
        <v>0.8912</v>
      </c>
      <c r="BP120" s="27" cm="1">
        <f t="array" ref="BP120">1+$B$13+VLOOKUP($Q120,武学奇术!$A:$ZZ,18,FALSE)+SUM(_xlfn.XLOOKUP($R120:$AK120,增益!$A:$A,增益!$R:$R,0))</f>
        <v>1.74</v>
      </c>
      <c r="BQ120" s="27" cm="1">
        <f t="array" ref="BQ120">IF(VLOOKUP($Q120,武学奇术!$A:$ZZ,24,FALSE)=1,100%,MIN(40%,$B$10+VLOOKUP($Q120,武学奇术!$A:$ZZ,19,FALSE)+SUM(_xlfn.XLOOKUP($R120:$AK120,增益!$A:$A,增益!$S:$S,0)))+$B$12+SUM(_xlfn.XLOOKUP($R120:$AK120,增益!$A:$A,增益!$V:$V,0)))*IF(VLOOKUP($Q120,武学奇术!$A:$ZZ,23,FALSE)=1,0,1)</f>
        <v>0.0929</v>
      </c>
      <c r="BR120" s="27" cm="1">
        <f t="array" ref="BR120">1+$B$14+VLOOKUP($Q120,武学奇术!$A:$ZZ,20,FALSE)+SUM(_xlfn.XLOOKUP($R120:$AK120,增益!$A:$A,增益!$T:$T,0))</f>
        <v>1.35</v>
      </c>
      <c r="BS120" s="27">
        <f t="shared" si="43"/>
        <v>0.87863408</v>
      </c>
      <c r="BT120" s="27">
        <f t="shared" si="44"/>
        <v>0.01567581</v>
      </c>
      <c r="BU120" s="27">
        <f>IF(VLOOKUP($Q120,武学奇术!$A:$ZZ,22,FALSE)=1,0,(1-$BN120))*(1-$BQ120)</f>
        <v>0.01279011</v>
      </c>
      <c r="BV120" s="27" cm="1">
        <f t="array" ref="BV120">SUM(_xlfn.XLOOKUP($R120:$AK120,增益!$A:$A,增益!$W:$W,0))+$I$5</f>
        <v>0.11</v>
      </c>
    </row>
    <row r="121" spans="11:74">
      <c r="K121" s="40">
        <f t="shared" si="45"/>
        <v>16880.5873163546</v>
      </c>
      <c r="L121" s="40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BP121*$P121*(1+IF(VLOOKUP($Q121,武学奇术!$A:$ZZ,30,FALSE)="蓄力技",$B$21,0))*(1+$BV121)</f>
        <v>17343.6878546628</v>
      </c>
      <c r="M121" s="40">
        <f>(($AT121*$AM121+$AN121)*(1+$AU121)*(1+$AV121)+($AY121*IF($G$1="鸣金",$AO121,$AM121)+IF($G$1="鸣金",$AP121*1.5,0))*(1+$AZ121)*(1+$BA121)+($BC121*IF($G$1="裂石",$AO121,$AM121)+IF($G$1="裂石",$AP121*1.5,0))*(1+$BD121)*(1+$BE121)+($BG121*IF($G$1="牵丝",$AO121,$AM121)+IF($G$1="牵丝",$AP121*1.5,0))*(1+$BH121)*(1+$BI121)+($BK121*IF($G$1="破竹",$AO121,$AM121)+IF($G$1="破竹",$AP121*1.5,0))*(1+$BL121)*(1+$BM121))*(1+$AQ121)*$BR121*$P121*(1+IF(VLOOKUP($Q121,武学奇术!$A:$ZZ,30,FALSE)="蓄力技",$B$21,0))*(1+$BV121)</f>
        <v>14750.9082337199</v>
      </c>
      <c r="N121" s="40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P121*(1+IF(VLOOKUP($Q121,武学奇术!$A:$ZZ,30,FALSE)="蓄力技",$B$21,0))*(1+$BV121)</f>
        <v>9967.63669808205</v>
      </c>
      <c r="O121" s="40">
        <f>((($AS121*$AM121+$AN121)*(1+$AU121)*(1+$AV121)+($AX121*IF($G$1="鸣金",$AO121,$AM121)+IF($G$1="鸣金",$AP121*1.5,0))*(1+$AZ121)*(1+$BA121)+($BB121*IF($G$1="裂石",$AO121,$AM121)+IF($G$1="裂石",$AP121*1.5,0))*(1+$BD121)*(1+$BE121)+($BF121*IF($G$1="牵丝",$AO121,$AM121)+IF($G$1="牵丝",$AP121*1.5,0))*(1+$BH121)*(1+$BI121)+($BJ121*IF($G$1="破竹",$AO121,$AM121)+IF($G$1="破竹",$AP121*1.5,0))*(1+$BL121)*(1+$BM121))*(1+$AQ121))*$P121*(1+IF(VLOOKUP($Q121,武学奇术!$A:$ZZ,30,FALSE)="蓄力技",$B$21,0))*(1+$BV121)</f>
        <v>9008.67470451975</v>
      </c>
      <c r="P121" s="41">
        <f t="shared" si="46"/>
        <v>1</v>
      </c>
      <c r="Q121" s="42" t="s">
        <v>194</v>
      </c>
      <c r="R121" s="42" t="s">
        <v>103</v>
      </c>
      <c r="S121" s="42" t="s">
        <v>77</v>
      </c>
      <c r="T121" s="42" t="s">
        <v>77</v>
      </c>
      <c r="U121" s="42" t="s">
        <v>87</v>
      </c>
      <c r="V121" s="42" t="s">
        <v>77</v>
      </c>
      <c r="W121" s="42" t="s">
        <v>77</v>
      </c>
      <c r="X121" s="42" t="s">
        <v>176</v>
      </c>
      <c r="Y121" s="42" t="s">
        <v>77</v>
      </c>
      <c r="Z121" s="42" t="s">
        <v>77</v>
      </c>
      <c r="AA121" s="42" t="s">
        <v>77</v>
      </c>
      <c r="AB121" s="42" t="s">
        <v>89</v>
      </c>
      <c r="AC121" s="42" t="s">
        <v>77</v>
      </c>
      <c r="AD121" s="42" t="s">
        <v>80</v>
      </c>
      <c r="AE121" s="42" t="s">
        <v>81</v>
      </c>
      <c r="AF121" s="42" t="s">
        <v>82</v>
      </c>
      <c r="AG121" s="42" t="s">
        <v>77</v>
      </c>
      <c r="AH121" s="42" t="s">
        <v>77</v>
      </c>
      <c r="AI121" s="42" t="s">
        <v>77</v>
      </c>
      <c r="AJ121" s="42" t="s">
        <v>77</v>
      </c>
      <c r="AK121" s="42" t="s">
        <v>90</v>
      </c>
      <c r="AL121" t="str">
        <f>VLOOKUP($Q121,武学奇术!$A:$ZZ,25,FALSE)</f>
        <v>心法</v>
      </c>
      <c r="AM121" s="27">
        <f>VLOOKUP($Q121,武学奇术!$A:$ZZ,26,FALSE)</f>
        <v>1</v>
      </c>
      <c r="AN121" s="28">
        <f>VLOOKUP($Q121,武学奇术!$A:$ZZ,27,FALSE)*(1+IF(OR($AL121=$F$4,$AL121=$F$5),$B$22,0))</f>
        <v>0</v>
      </c>
      <c r="AO121" s="27">
        <f>VLOOKUP($Q121,武学奇术!$A:$ZZ,28,FALSE)</f>
        <v>1</v>
      </c>
      <c r="AP121" s="28">
        <f>VLOOKUP($Q121,武学奇术!$A:$ZZ,29,FALSE)*(1+IF(OR($AL121=$F$4,$AL121=$F$5),$B$22,0))</f>
        <v>0</v>
      </c>
      <c r="AQ121" s="27" cm="1">
        <f t="array" ref="AQ121">$G$3+IFERROR(VLOOKUP($AL121,$F$4:$G$7,2,FALSE),0)+VLOOKUP($Q121,武学奇术!$A:$ZZ,2,FALSE)+SUM(_xlfn.XLOOKUP($R121:$AK121,增益!$A:$A,增益!$B:$B,0))</f>
        <v>0.3637</v>
      </c>
      <c r="AR121" s="27" cm="1">
        <f t="array" ref="AR121">VLOOKUP($Q121,武学奇术!$A:$ZZ,5,FALSE)+SUM(_xlfn.XLOOKUP($R121:$AK121,增益!$A:$A,增益!$E:$E,0))</f>
        <v>0</v>
      </c>
      <c r="AS121" cm="1">
        <f t="array" ref="AS121">$D$10*(1+$AR121)+VLOOKUP($Q121,武学奇术!$A:$ZZ,3,FALSE)+SUM(_xlfn.XLOOKUP($R121:$AK121,增益!$A:$A,增益!$C:$C,0))-$I$2</f>
        <v>3648.7</v>
      </c>
      <c r="AT121" cm="1">
        <f t="array" ref="AT121">$E$10*(1+$AR121)+VLOOKUP($Q121,武学奇术!$A:$ZZ,4,FALSE)+SUM(_xlfn.XLOOKUP($R121:$AK121,增益!$A:$A,增益!$D:$D,0))-$I$2</f>
        <v>3648.7</v>
      </c>
      <c r="AU121" s="34" cm="1">
        <f t="array" ref="AU121">IF($F$10-$I$3+VLOOKUP($Q121,武学奇术!$A:$ZZ,6,FALSE)+SUM(_xlfn.XLOOKUP($R121:$AK121,增益!$A:$A,增益!$F:$F,0))&gt;0,($F$10-$I$3+VLOOKUP($Q121,武学奇术!$A:$ZZ,6,FALSE)+SUM(_xlfn.XLOOKUP($R121:$AK121,增益!$A:$A,增益!$F:$F,0)))/200,($F$10-$I$3+VLOOKUP($Q121,武学奇术!$A:$ZZ,6,FALSE)+SUM(_xlfn.XLOOKUP($R121:$AK121,增益!$A:$A,增益!$F:$F,0)))/100)</f>
        <v>0.427</v>
      </c>
      <c r="AV121" s="34" cm="1">
        <f t="array" ref="AV121">$G$10+VLOOKUP($Q121,武学奇术!$A:$ZZ,7,FALSE)+SUM(_xlfn.XLOOKUP($R121:$AK121,增益!$A:$A,增益!$G:$G,0))</f>
        <v>0</v>
      </c>
      <c r="AW121" s="27" cm="1">
        <f t="array" ref="AW121">VLOOKUP($Q121,武学奇术!$A:$ZZ,8,FALSE)+SUM(_xlfn.XLOOKUP($R121:$AK121,增益!$A:$A,增益!$H:$H,0))</f>
        <v>0</v>
      </c>
      <c r="AX121">
        <f t="shared" si="35"/>
        <v>0</v>
      </c>
      <c r="AY121">
        <f t="shared" si="36"/>
        <v>0</v>
      </c>
      <c r="AZ121" s="34" cm="1">
        <f t="array" ref="AZ121">IF($F$11-$I$4+VLOOKUP($Q121,武学奇术!$A:$ZZ,9,FALSE)+SUM(_xlfn.XLOOKUP($R121:$AK121,增益!$A:$A,增益!$I:$I,0))&gt;0,($F$11-$I$4+VLOOKUP($Q121,武学奇术!$A:$ZZ,9,FALSE)+SUM(_xlfn.XLOOKUP($R121:$AK121,增益!$A:$A,增益!$I:$I,0)))/200,($F$11-$I$4+VLOOKUP($Q121,武学奇术!$A:$ZZ,9,FALSE)+SUM(_xlfn.XLOOKUP($R121:$AK121,增益!$A:$A,增益!$I:$I,0)))/100)</f>
        <v>-0.3</v>
      </c>
      <c r="BA121" s="34" cm="1">
        <f t="array" ref="BA121">$G$11+VLOOKUP($Q121,武学奇术!$A:$ZZ,10,FALSE)+SUM(_xlfn.XLOOKUP($R121:$AK121,增益!$A:$A,增益!$J:$J,0))</f>
        <v>0</v>
      </c>
      <c r="BB121">
        <f t="shared" si="37"/>
        <v>594.1</v>
      </c>
      <c r="BC121">
        <f t="shared" si="38"/>
        <v>1604.9</v>
      </c>
      <c r="BD121" s="34" cm="1">
        <f t="array" ref="BD121">IF($F$12-$I$4+VLOOKUP($Q121,武学奇术!$A:$ZZ,11,FALSE)+SUM(_xlfn.XLOOKUP($R121:$AK121,增益!$A:$A,增益!$K:$K,0))&gt;0,($F$12-$I$4+VLOOKUP($Q121,武学奇术!$A:$ZZ,11,FALSE)+SUM(_xlfn.XLOOKUP($R121:$AK121,增益!$A:$A,增益!$K:$K,0)))/200,($F$12-$I$4+VLOOKUP($Q121,武学奇术!$A:$ZZ,11,FALSE)+SUM(_xlfn.XLOOKUP($R121:$AK121,增益!$A:$A,增益!$K:$K,0)))/100)</f>
        <v>0.09</v>
      </c>
      <c r="BE121" s="34" cm="1">
        <f t="array" ref="BE121">$G$12+VLOOKUP($Q121,武学奇术!$A:$ZZ,12,FALSE)+SUM(_xlfn.XLOOKUP($R121:$AK121,增益!$A:$A,增益!$L:$L,0))</f>
        <v>0.15</v>
      </c>
      <c r="BF121">
        <f t="shared" si="39"/>
        <v>0</v>
      </c>
      <c r="BG121">
        <f t="shared" si="40"/>
        <v>0</v>
      </c>
      <c r="BH121" s="34" cm="1">
        <f t="array" ref="BH121">IF($F$13-$I$4+VLOOKUP($Q121,武学奇术!$A:$ZZ,13,FALSE)+SUM(_xlfn.XLOOKUP($R121:$AK121,增益!$A:$A,增益!$M:$M,0))&gt;0,($F$13-$I$4+VLOOKUP($Q121,武学奇术!$A:$ZZ,13,FALSE)+SUM(_xlfn.XLOOKUP($R121:$AK121,增益!$A:$A,增益!$K:$K,0)))/200,($F$13-$I$4+VLOOKUP($Q121,武学奇术!$A:$ZZ,13,FALSE)+SUM(_xlfn.XLOOKUP($R121:$AK121,增益!$A:$A,增益!$M:$M,0)))/100)</f>
        <v>-0.3</v>
      </c>
      <c r="BI121" s="34" cm="1">
        <f t="array" ref="BI121">$G$13+VLOOKUP($Q121,武学奇术!$A:$ZZ,14,FALSE)+SUM(_xlfn.XLOOKUP($R121:$AK121,增益!$A:$A,增益!$N:$N,0))</f>
        <v>0</v>
      </c>
      <c r="BJ121">
        <f t="shared" si="41"/>
        <v>0</v>
      </c>
      <c r="BK121">
        <f t="shared" si="42"/>
        <v>0</v>
      </c>
      <c r="BL121" s="34" cm="1">
        <f t="array" ref="BL121">IF($F$14-$I$4+VLOOKUP($Q121,武学奇术!$A:$ZZ,15,FALSE)+SUM(_xlfn.XLOOKUP($R121:$AK121,增益!$A:$A,增益!$O:$O,0))&gt;0,($F$14-$I$4+VLOOKUP($Q121,武学奇术!$A:$ZZ,15,FALSE)+SUM(_xlfn.XLOOKUP($R121:$AK121,增益!$A:$A,增益!$O:$O,0)))/200,($F$14-$I$4+VLOOKUP($Q121,武学奇术!$A:$ZZ,15,FALSE)+SUM(_xlfn.XLOOKUP($R121:$AK121,增益!$A:$A,增益!$O:$O,0)))/100)</f>
        <v>-0.3</v>
      </c>
      <c r="BM121" s="34" cm="1">
        <f t="array" ref="BM121">$G$14+VLOOKUP($Q121,武学奇术!$A:$ZZ,16,FALSE)+SUM(_xlfn.XLOOKUP($R121:$AK121,增益!$A:$A,增益!$P:$P,0))</f>
        <v>0</v>
      </c>
      <c r="BN121" s="27">
        <f>MIN(IF(VLOOKUP($Q121,武学奇术!$A:$ZZ,23,FALSE)=1,100%,$B$8),100%)</f>
        <v>0.9859</v>
      </c>
      <c r="BO121" s="27" cm="1">
        <f t="array" ref="BO121">IF(VLOOKUP($Q121,武学奇术!$A:$ZZ,23,FALSE)=1,100%,MIN(80%,$B$9+VLOOKUP($Q121,武学奇术!$A:$ZZ,17,FALSE)+SUM(_xlfn.XLOOKUP($R121:$AK121,增益!$A:$A,增益!$Q:$Q,0)))+$B$11+SUM(_xlfn.XLOOKUP($R121:$AK121,增益!$A:$A,增益!$U:$U,0)))*IF(VLOOKUP($Q121,武学奇术!$A:$ZZ,24,FALSE)=1,0,1)</f>
        <v>0.8912</v>
      </c>
      <c r="BP121" s="27" cm="1">
        <f t="array" ref="BP121">1+$B$13+VLOOKUP($Q121,武学奇术!$A:$ZZ,18,FALSE)+SUM(_xlfn.XLOOKUP($R121:$AK121,增益!$A:$A,增益!$R:$R,0))</f>
        <v>1.74</v>
      </c>
      <c r="BQ121" s="27" cm="1">
        <f t="array" ref="BQ121">IF(VLOOKUP($Q121,武学奇术!$A:$ZZ,24,FALSE)=1,100%,MIN(40%,$B$10+VLOOKUP($Q121,武学奇术!$A:$ZZ,19,FALSE)+SUM(_xlfn.XLOOKUP($R121:$AK121,增益!$A:$A,增益!$S:$S,0)))+$B$12+SUM(_xlfn.XLOOKUP($R121:$AK121,增益!$A:$A,增益!$V:$V,0)))*IF(VLOOKUP($Q121,武学奇术!$A:$ZZ,23,FALSE)=1,0,1)</f>
        <v>0.0929</v>
      </c>
      <c r="BR121" s="27" cm="1">
        <f t="array" ref="BR121">1+$B$14+VLOOKUP($Q121,武学奇术!$A:$ZZ,20,FALSE)+SUM(_xlfn.XLOOKUP($R121:$AK121,增益!$A:$A,增益!$T:$T,0))</f>
        <v>1.35</v>
      </c>
      <c r="BS121" s="27">
        <f t="shared" si="43"/>
        <v>0.87863408</v>
      </c>
      <c r="BT121" s="27">
        <f t="shared" si="44"/>
        <v>0.01567581</v>
      </c>
      <c r="BU121" s="27">
        <f>IF(VLOOKUP($Q121,武学奇术!$A:$ZZ,22,FALSE)=1,0,(1-$BN121))*(1-$BQ121)</f>
        <v>0.01279011</v>
      </c>
      <c r="BV121" s="27" cm="1">
        <f t="array" ref="BV121">SUM(_xlfn.XLOOKUP($R121:$AK121,增益!$A:$A,增益!$W:$W,0))+$I$5</f>
        <v>0.11</v>
      </c>
    </row>
    <row r="122" spans="11:74">
      <c r="K122" s="40">
        <f t="shared" si="45"/>
        <v>23203.3091976912</v>
      </c>
      <c r="L122" s="40">
        <f>((($AS122+$AT122)/2*$AM122+$AN122)*(1+$AU122)*(1+$AV122)+(($AX122+$AY122)/2*IF($G$1="鸣金",$AO122,$AM122)+IF($G$1="鸣金",$AP122*1.5,0))*(1+$AZ122)*(1+$BA122)+(($BB122+$BC122)/2*IF($G$1="裂石",$AO122,$AM122)+IF($G$1="裂石",$AP122*1.5,0))*(1+$BD122)*(1+$BE122)+(($BF122+$BG122)/2*IF($G$1="牵丝",$AO122,$AM122)+IF($G$1="牵丝",$AP122*1.5,0))*(1+$BH122)*(1+$BI122)+(($BJ122+$BK122)/2*IF($G$1="破竹",$AO122,$AM122)+IF($G$1="破竹",$AP122*1.5,0))*(1+$BL122)*(1+$BM122))*(1+$AQ122)*$BP122*$P122*(1+IF(VLOOKUP($Q122,武学奇术!$A:$ZZ,30,FALSE)="蓄力技",$B$21,0))*(1+$BV122)</f>
        <v>23831.1521211648</v>
      </c>
      <c r="M122" s="40">
        <f>(($AT122*$AM122+$AN122)*(1+$AU122)*(1+$AV122)+($AY122*IF($G$1="鸣金",$AO122,$AM122)+IF($G$1="鸣金",$AP122*1.5,0))*(1+$AZ122)*(1+$BA122)+($BC122*IF($G$1="裂石",$AO122,$AM122)+IF($G$1="裂石",$AP122*1.5,0))*(1+$BD122)*(1+$BE122)+($BG122*IF($G$1="牵丝",$AO122,$AM122)+IF($G$1="牵丝",$AP122*1.5,0))*(1+$BH122)*(1+$BI122)+($BK122*IF($G$1="破竹",$AO122,$AM122)+IF($G$1="破竹",$AP122*1.5,0))*(1+$BL122)*(1+$BM122))*(1+$AQ122)*$BR122*$P122*(1+IF(VLOOKUP($Q122,武学奇术!$A:$ZZ,30,FALSE)="蓄力技",$B$21,0))*(1+$BV122)</f>
        <v>20370.2047533931</v>
      </c>
      <c r="N122" s="40">
        <f>((($AS122+$AT122)/2*$AM122+$AN122)*(1+$AU122)*(1+$AV122)+(($AX122+$AY122)/2*IF($G$1="鸣金",$AO122,$AM122)+IF($G$1="鸣金",$AP122*1.5,0))*(1+$AZ122)*(1+$BA122)+(($BB122+$BC122)/2*IF($G$1="裂石",$AO122,$AM122)+IF($G$1="裂石",$AP122*1.5,0))*(1+$BD122)*(1+$BE122)+(($BF122+$BG122)/2*IF($G$1="牵丝",$AO122,$AM122)+IF($G$1="牵丝",$AP122*1.5,0))*(1+$BH122)*(1+$BI122)+(($BJ122+$BK122)/2*IF($G$1="破竹",$AO122,$AM122)+IF($G$1="破竹",$AP122*1.5,0))*(1+$BL122)*(1+$BM122))*(1+$AQ122)*$P122*(1+IF(VLOOKUP($Q122,武学奇术!$A:$ZZ,30,FALSE)="蓄力技",$B$21,0))*(1+$BV122)</f>
        <v>13696.064437451</v>
      </c>
      <c r="O122" s="40">
        <f>((($AS122*$AM122+$AN122)*(1+$AU122)*(1+$AV122)+($AX122*IF($G$1="鸣金",$AO122,$AM122)+IF($G$1="鸣金",$AP122*1.5,0))*(1+$AZ122)*(1+$BA122)+($BB122*IF($G$1="裂石",$AO122,$AM122)+IF($G$1="裂石",$AP122*1.5,0))*(1+$BD122)*(1+$BE122)+($BF122*IF($G$1="牵丝",$AO122,$AM122)+IF($G$1="牵丝",$AP122*1.5,0))*(1+$BH122)*(1+$BI122)+($BJ122*IF($G$1="破竹",$AO122,$AM122)+IF($G$1="破竹",$AP122*1.5,0))*(1+$BL122)*(1+$BM122))*(1+$AQ122))*$P122*(1+IF(VLOOKUP($Q122,武学奇术!$A:$ZZ,30,FALSE)="蓄力技",$B$21,0))*(1+$BV122)</f>
        <v>12303.0883168331</v>
      </c>
      <c r="P122" s="41">
        <f t="shared" si="46"/>
        <v>1</v>
      </c>
      <c r="Q122" s="42" t="s">
        <v>194</v>
      </c>
      <c r="R122" s="42" t="s">
        <v>103</v>
      </c>
      <c r="S122" s="42" t="s">
        <v>169</v>
      </c>
      <c r="T122" s="42" t="s">
        <v>86</v>
      </c>
      <c r="U122" s="42" t="s">
        <v>87</v>
      </c>
      <c r="V122" s="42" t="s">
        <v>77</v>
      </c>
      <c r="W122" s="42" t="s">
        <v>77</v>
      </c>
      <c r="X122" s="42" t="s">
        <v>176</v>
      </c>
      <c r="Y122" s="42" t="s">
        <v>186</v>
      </c>
      <c r="Z122" s="42" t="s">
        <v>187</v>
      </c>
      <c r="AA122" s="42" t="s">
        <v>77</v>
      </c>
      <c r="AB122" s="42" t="s">
        <v>95</v>
      </c>
      <c r="AC122" s="42" t="s">
        <v>77</v>
      </c>
      <c r="AD122" s="42" t="s">
        <v>80</v>
      </c>
      <c r="AE122" s="42" t="s">
        <v>81</v>
      </c>
      <c r="AF122" s="42" t="s">
        <v>82</v>
      </c>
      <c r="AG122" s="42" t="s">
        <v>77</v>
      </c>
      <c r="AH122" s="42" t="s">
        <v>77</v>
      </c>
      <c r="AI122" s="42" t="s">
        <v>77</v>
      </c>
      <c r="AJ122" s="42" t="s">
        <v>77</v>
      </c>
      <c r="AK122" s="42" t="s">
        <v>90</v>
      </c>
      <c r="AL122" t="str">
        <f>VLOOKUP($Q122,武学奇术!$A:$ZZ,25,FALSE)</f>
        <v>心法</v>
      </c>
      <c r="AM122" s="27">
        <f>VLOOKUP($Q122,武学奇术!$A:$ZZ,26,FALSE)</f>
        <v>1</v>
      </c>
      <c r="AN122" s="28">
        <f>VLOOKUP($Q122,武学奇术!$A:$ZZ,27,FALSE)*(1+IF(OR($AL122=$F$4,$AL122=$F$5),$B$22,0))</f>
        <v>0</v>
      </c>
      <c r="AO122" s="27">
        <f>VLOOKUP($Q122,武学奇术!$A:$ZZ,28,FALSE)</f>
        <v>1</v>
      </c>
      <c r="AP122" s="28">
        <f>VLOOKUP($Q122,武学奇术!$A:$ZZ,29,FALSE)*(1+IF(OR($AL122=$F$4,$AL122=$F$5),$B$22,0))</f>
        <v>0</v>
      </c>
      <c r="AQ122" s="27" cm="1">
        <f t="array" ref="AQ122">$G$3+IFERROR(VLOOKUP($AL122,$F$4:$G$7,2,FALSE),0)+VLOOKUP($Q122,武学奇术!$A:$ZZ,2,FALSE)+SUM(_xlfn.XLOOKUP($R122:$AK122,增益!$A:$A,增益!$B:$B,0))</f>
        <v>0.5637</v>
      </c>
      <c r="AR122" s="27" cm="1">
        <f t="array" ref="AR122">VLOOKUP($Q122,武学奇术!$A:$ZZ,5,FALSE)+SUM(_xlfn.XLOOKUP($R122:$AK122,增益!$A:$A,增益!$E:$E,0))</f>
        <v>0</v>
      </c>
      <c r="AS122" cm="1">
        <f t="array" ref="AS122">$D$10*(1+$AR122)+VLOOKUP($Q122,武学奇术!$A:$ZZ,3,FALSE)+SUM(_xlfn.XLOOKUP($R122:$AK122,增益!$A:$A,增益!$C:$C,0))-$I$2</f>
        <v>3648.7</v>
      </c>
      <c r="AT122" cm="1">
        <f t="array" ref="AT122">$E$10*(1+$AR122)+VLOOKUP($Q122,武学奇术!$A:$ZZ,4,FALSE)+SUM(_xlfn.XLOOKUP($R122:$AK122,增益!$A:$A,增益!$D:$D,0))-$I$2</f>
        <v>3648.7</v>
      </c>
      <c r="AU122" s="34" cm="1">
        <f t="array" ref="AU122">IF($F$10-$I$3+VLOOKUP($Q122,武学奇术!$A:$ZZ,6,FALSE)+SUM(_xlfn.XLOOKUP($R122:$AK122,增益!$A:$A,增益!$F:$F,0))&gt;0,($F$10-$I$3+VLOOKUP($Q122,武学奇术!$A:$ZZ,6,FALSE)+SUM(_xlfn.XLOOKUP($R122:$AK122,增益!$A:$A,增益!$F:$F,0)))/200,($F$10-$I$3+VLOOKUP($Q122,武学奇术!$A:$ZZ,6,FALSE)+SUM(_xlfn.XLOOKUP($R122:$AK122,增益!$A:$A,增益!$F:$F,0)))/100)</f>
        <v>0.427</v>
      </c>
      <c r="AV122" s="34" cm="1">
        <f t="array" ref="AV122">$G$10+VLOOKUP($Q122,武学奇术!$A:$ZZ,7,FALSE)+SUM(_xlfn.XLOOKUP($R122:$AK122,增益!$A:$A,增益!$G:$G,0))</f>
        <v>0</v>
      </c>
      <c r="AW122" s="27" cm="1">
        <f t="array" ref="AW122">VLOOKUP($Q122,武学奇术!$A:$ZZ,8,FALSE)+SUM(_xlfn.XLOOKUP($R122:$AK122,增益!$A:$A,增益!$H:$H,0))</f>
        <v>0</v>
      </c>
      <c r="AX122">
        <f t="shared" si="35"/>
        <v>0</v>
      </c>
      <c r="AY122">
        <f t="shared" si="36"/>
        <v>0</v>
      </c>
      <c r="AZ122" s="34" cm="1">
        <f t="array" ref="AZ122">IF($F$11-$I$4+VLOOKUP($Q122,武学奇术!$A:$ZZ,9,FALSE)+SUM(_xlfn.XLOOKUP($R122:$AK122,增益!$A:$A,增益!$I:$I,0))&gt;0,($F$11-$I$4+VLOOKUP($Q122,武学奇术!$A:$ZZ,9,FALSE)+SUM(_xlfn.XLOOKUP($R122:$AK122,增益!$A:$A,增益!$I:$I,0)))/200,($F$11-$I$4+VLOOKUP($Q122,武学奇术!$A:$ZZ,9,FALSE)+SUM(_xlfn.XLOOKUP($R122:$AK122,增益!$A:$A,增益!$I:$I,0)))/100)</f>
        <v>-0.14</v>
      </c>
      <c r="BA122" s="34" cm="1">
        <f t="array" ref="BA122">$G$11+VLOOKUP($Q122,武学奇术!$A:$ZZ,10,FALSE)+SUM(_xlfn.XLOOKUP($R122:$AK122,增益!$A:$A,增益!$J:$J,0))</f>
        <v>0.1</v>
      </c>
      <c r="BB122">
        <f t="shared" si="37"/>
        <v>594.1</v>
      </c>
      <c r="BC122">
        <f t="shared" si="38"/>
        <v>1604.9</v>
      </c>
      <c r="BD122" s="34" cm="1">
        <f t="array" ref="BD122">IF($F$12-$I$4+VLOOKUP($Q122,武学奇术!$A:$ZZ,11,FALSE)+SUM(_xlfn.XLOOKUP($R122:$AK122,增益!$A:$A,增益!$K:$K,0))&gt;0,($F$12-$I$4+VLOOKUP($Q122,武学奇术!$A:$ZZ,11,FALSE)+SUM(_xlfn.XLOOKUP($R122:$AK122,增益!$A:$A,增益!$K:$K,0)))/200,($F$12-$I$4+VLOOKUP($Q122,武学奇术!$A:$ZZ,11,FALSE)+SUM(_xlfn.XLOOKUP($R122:$AK122,增益!$A:$A,增益!$K:$K,0)))/100)</f>
        <v>0.17</v>
      </c>
      <c r="BE122" s="34" cm="1">
        <f t="array" ref="BE122">$G$12+VLOOKUP($Q122,武学奇术!$A:$ZZ,12,FALSE)+SUM(_xlfn.XLOOKUP($R122:$AK122,增益!$A:$A,增益!$L:$L,0))</f>
        <v>0.15</v>
      </c>
      <c r="BF122">
        <f t="shared" si="39"/>
        <v>0</v>
      </c>
      <c r="BG122">
        <f t="shared" si="40"/>
        <v>0</v>
      </c>
      <c r="BH122" s="34" cm="1">
        <f t="array" ref="BH122">IF($F$13-$I$4+VLOOKUP($Q122,武学奇术!$A:$ZZ,13,FALSE)+SUM(_xlfn.XLOOKUP($R122:$AK122,增益!$A:$A,增益!$M:$M,0))&gt;0,($F$13-$I$4+VLOOKUP($Q122,武学奇术!$A:$ZZ,13,FALSE)+SUM(_xlfn.XLOOKUP($R122:$AK122,增益!$A:$A,增益!$K:$K,0)))/200,($F$13-$I$4+VLOOKUP($Q122,武学奇术!$A:$ZZ,13,FALSE)+SUM(_xlfn.XLOOKUP($R122:$AK122,增益!$A:$A,增益!$M:$M,0)))/100)</f>
        <v>-0.14</v>
      </c>
      <c r="BI122" s="34" cm="1">
        <f t="array" ref="BI122">$G$13+VLOOKUP($Q122,武学奇术!$A:$ZZ,14,FALSE)+SUM(_xlfn.XLOOKUP($R122:$AK122,增益!$A:$A,增益!$N:$N,0))</f>
        <v>0</v>
      </c>
      <c r="BJ122">
        <f t="shared" si="41"/>
        <v>0</v>
      </c>
      <c r="BK122">
        <f t="shared" si="42"/>
        <v>0</v>
      </c>
      <c r="BL122" s="34" cm="1">
        <f t="array" ref="BL122">IF($F$14-$I$4+VLOOKUP($Q122,武学奇术!$A:$ZZ,15,FALSE)+SUM(_xlfn.XLOOKUP($R122:$AK122,增益!$A:$A,增益!$O:$O,0))&gt;0,($F$14-$I$4+VLOOKUP($Q122,武学奇术!$A:$ZZ,15,FALSE)+SUM(_xlfn.XLOOKUP($R122:$AK122,增益!$A:$A,增益!$O:$O,0)))/200,($F$14-$I$4+VLOOKUP($Q122,武学奇术!$A:$ZZ,15,FALSE)+SUM(_xlfn.XLOOKUP($R122:$AK122,增益!$A:$A,增益!$O:$O,0)))/100)</f>
        <v>-0.14</v>
      </c>
      <c r="BM122" s="34" cm="1">
        <f t="array" ref="BM122">$G$14+VLOOKUP($Q122,武学奇术!$A:$ZZ,16,FALSE)+SUM(_xlfn.XLOOKUP($R122:$AK122,增益!$A:$A,增益!$P:$P,0))</f>
        <v>0</v>
      </c>
      <c r="BN122" s="27">
        <f>MIN(IF(VLOOKUP($Q122,武学奇术!$A:$ZZ,23,FALSE)=1,100%,$B$8),100%)</f>
        <v>0.9859</v>
      </c>
      <c r="BO122" s="27" cm="1">
        <f t="array" ref="BO122">IF(VLOOKUP($Q122,武学奇术!$A:$ZZ,23,FALSE)=1,100%,MIN(80%,$B$9+VLOOKUP($Q122,武学奇术!$A:$ZZ,17,FALSE)+SUM(_xlfn.XLOOKUP($R122:$AK122,增益!$A:$A,增益!$Q:$Q,0)))+$B$11+SUM(_xlfn.XLOOKUP($R122:$AK122,增益!$A:$A,增益!$U:$U,0)))*IF(VLOOKUP($Q122,武学奇术!$A:$ZZ,24,FALSE)=1,0,1)</f>
        <v>0.8912</v>
      </c>
      <c r="BP122" s="27" cm="1">
        <f t="array" ref="BP122">1+$B$13+VLOOKUP($Q122,武学奇术!$A:$ZZ,18,FALSE)+SUM(_xlfn.XLOOKUP($R122:$AK122,增益!$A:$A,增益!$R:$R,0))</f>
        <v>1.74</v>
      </c>
      <c r="BQ122" s="27" cm="1">
        <f t="array" ref="BQ122">IF(VLOOKUP($Q122,武学奇术!$A:$ZZ,24,FALSE)=1,100%,MIN(40%,$B$10+VLOOKUP($Q122,武学奇术!$A:$ZZ,19,FALSE)+SUM(_xlfn.XLOOKUP($R122:$AK122,增益!$A:$A,增益!$S:$S,0)))+$B$12+SUM(_xlfn.XLOOKUP($R122:$AK122,增益!$A:$A,增益!$V:$V,0)))*IF(VLOOKUP($Q122,武学奇术!$A:$ZZ,23,FALSE)=1,0,1)</f>
        <v>0.0929</v>
      </c>
      <c r="BR122" s="27" cm="1">
        <f t="array" ref="BR122">1+$B$14+VLOOKUP($Q122,武学奇术!$A:$ZZ,20,FALSE)+SUM(_xlfn.XLOOKUP($R122:$AK122,增益!$A:$A,增益!$T:$T,0))</f>
        <v>1.35</v>
      </c>
      <c r="BS122" s="27">
        <f t="shared" si="43"/>
        <v>0.87863408</v>
      </c>
      <c r="BT122" s="27">
        <f t="shared" si="44"/>
        <v>0.01567581</v>
      </c>
      <c r="BU122" s="27">
        <f>IF(VLOOKUP($Q122,武学奇术!$A:$ZZ,22,FALSE)=1,0,(1-$BN122))*(1-$BQ122)</f>
        <v>0.01279011</v>
      </c>
      <c r="BV122" s="27" cm="1">
        <f t="array" ref="BV122">SUM(_xlfn.XLOOKUP($R122:$AK122,增益!$A:$A,增益!$W:$W,0))+$I$5</f>
        <v>0.31</v>
      </c>
    </row>
    <row r="123" spans="11:74">
      <c r="K123" s="40">
        <f t="shared" si="45"/>
        <v>19660.8192438452</v>
      </c>
      <c r="L123" s="40">
        <f>((($AS123+$AT123)/2*$AM123+$AN123)*(1+$AU123)*(1+$AV123)+(($AX123+$AY123)/2*IF($G$1="鸣金",$AO123,$AM123)+IF($G$1="鸣金",$AP123*1.5,0))*(1+$AZ123)*(1+$BA123)+(($BB123+$BC123)/2*IF($G$1="裂石",$AO123,$AM123)+IF($G$1="裂石",$AP123*1.5,0))*(1+$BD123)*(1+$BE123)+(($BF123+$BG123)/2*IF($G$1="牵丝",$AO123,$AM123)+IF($G$1="牵丝",$AP123*1.5,0))*(1+$BH123)*(1+$BI123)+(($BJ123+$BK123)/2*IF($G$1="破竹",$AO123,$AM123)+IF($G$1="破竹",$AP123*1.5,0))*(1+$BL123)*(1+$BM123))*(1+$AQ123)*$BP123*$P123*(1+IF(VLOOKUP($Q123,武学奇术!$A:$ZZ,30,FALSE)="蓄力技",$B$21,0))*(1+$BV123)</f>
        <v>20192.8082858725</v>
      </c>
      <c r="M123" s="40">
        <f>(($AT123*$AM123+$AN123)*(1+$AU123)*(1+$AV123)+($AY123*IF($G$1="鸣金",$AO123,$AM123)+IF($G$1="鸣金",$AP123*1.5,0))*(1+$AZ123)*(1+$BA123)+($BC123*IF($G$1="裂石",$AO123,$AM123)+IF($G$1="裂石",$AP123*1.5,0))*(1+$BD123)*(1+$BE123)+($BG123*IF($G$1="牵丝",$AO123,$AM123)+IF($G$1="牵丝",$AP123*1.5,0))*(1+$BH123)*(1+$BI123)+($BK123*IF($G$1="破竹",$AO123,$AM123)+IF($G$1="破竹",$AP123*1.5,0))*(1+$BL123)*(1+$BM123))*(1+$AQ123)*$BR123*$P123*(1+IF(VLOOKUP($Q123,武学奇术!$A:$ZZ,30,FALSE)="蓄力技",$B$21,0))*(1+$BV123)</f>
        <v>17260.2498292109</v>
      </c>
      <c r="N123" s="40">
        <f>((($AS123+$AT123)/2*$AM123+$AN123)*(1+$AU123)*(1+$AV123)+(($AX123+$AY123)/2*IF($G$1="鸣金",$AO123,$AM123)+IF($G$1="鸣金",$AP123*1.5,0))*(1+$AZ123)*(1+$BA123)+(($BB123+$BC123)/2*IF($G$1="裂石",$AO123,$AM123)+IF($G$1="裂石",$AP123*1.5,0))*(1+$BD123)*(1+$BE123)+(($BF123+$BG123)/2*IF($G$1="牵丝",$AO123,$AM123)+IF($G$1="牵丝",$AP123*1.5,0))*(1+$BH123)*(1+$BI123)+(($BJ123+$BK123)/2*IF($G$1="破竹",$AO123,$AM123)+IF($G$1="破竹",$AP123*1.5,0))*(1+$BL123)*(1+$BM123))*(1+$AQ123)*$P123*(1+IF(VLOOKUP($Q123,武学奇术!$A:$ZZ,30,FALSE)="蓄力技",$B$21,0))*(1+$BV123)</f>
        <v>11605.06223326</v>
      </c>
      <c r="O123" s="40">
        <f>((($AS123*$AM123+$AN123)*(1+$AU123)*(1+$AV123)+($AX123*IF($G$1="鸣金",$AO123,$AM123)+IF($G$1="鸣金",$AP123*1.5,0))*(1+$AZ123)*(1+$BA123)+($BB123*IF($G$1="裂石",$AO123,$AM123)+IF($G$1="裂石",$AP123*1.5,0))*(1+$BD123)*(1+$BE123)+($BF123*IF($G$1="牵丝",$AO123,$AM123)+IF($G$1="牵丝",$AP123*1.5,0))*(1+$BH123)*(1+$BI123)+($BJ123*IF($G$1="破竹",$AO123,$AM123)+IF($G$1="破竹",$AP123*1.5,0))*(1+$BL123)*(1+$BM123))*(1+$AQ123))*$P123*(1+IF(VLOOKUP($Q123,武学奇术!$A:$ZZ,30,FALSE)="蓄力技",$B$21,0))*(1+$BV123)</f>
        <v>10424.7542226601</v>
      </c>
      <c r="P123" s="41">
        <f t="shared" si="46"/>
        <v>1</v>
      </c>
      <c r="Q123" s="42" t="s">
        <v>194</v>
      </c>
      <c r="R123" s="42" t="s">
        <v>103</v>
      </c>
      <c r="S123" s="42" t="s">
        <v>169</v>
      </c>
      <c r="T123" s="42" t="s">
        <v>86</v>
      </c>
      <c r="U123" s="42" t="s">
        <v>87</v>
      </c>
      <c r="V123" s="42" t="s">
        <v>77</v>
      </c>
      <c r="W123" s="42" t="s">
        <v>77</v>
      </c>
      <c r="X123" s="42" t="s">
        <v>176</v>
      </c>
      <c r="Y123" s="42" t="s">
        <v>77</v>
      </c>
      <c r="Z123" s="42" t="s">
        <v>77</v>
      </c>
      <c r="AA123" s="42" t="s">
        <v>77</v>
      </c>
      <c r="AB123" s="42" t="s">
        <v>89</v>
      </c>
      <c r="AC123" s="42" t="s">
        <v>77</v>
      </c>
      <c r="AD123" s="42" t="s">
        <v>80</v>
      </c>
      <c r="AE123" s="42" t="s">
        <v>81</v>
      </c>
      <c r="AF123" s="42" t="s">
        <v>82</v>
      </c>
      <c r="AG123" s="42" t="s">
        <v>77</v>
      </c>
      <c r="AH123" s="42" t="s">
        <v>77</v>
      </c>
      <c r="AI123" s="42" t="s">
        <v>77</v>
      </c>
      <c r="AJ123" s="42" t="s">
        <v>77</v>
      </c>
      <c r="AK123" s="42" t="s">
        <v>90</v>
      </c>
      <c r="AL123" t="str">
        <f>VLOOKUP($Q123,武学奇术!$A:$ZZ,25,FALSE)</f>
        <v>心法</v>
      </c>
      <c r="AM123" s="27">
        <f>VLOOKUP($Q123,武学奇术!$A:$ZZ,26,FALSE)</f>
        <v>1</v>
      </c>
      <c r="AN123" s="28">
        <f>VLOOKUP($Q123,武学奇术!$A:$ZZ,27,FALSE)*(1+IF(OR($AL123=$F$4,$AL123=$F$5),$B$22,0))</f>
        <v>0</v>
      </c>
      <c r="AO123" s="27">
        <f>VLOOKUP($Q123,武学奇术!$A:$ZZ,28,FALSE)</f>
        <v>1</v>
      </c>
      <c r="AP123" s="28">
        <f>VLOOKUP($Q123,武学奇术!$A:$ZZ,29,FALSE)*(1+IF(OR($AL123=$F$4,$AL123=$F$5),$B$22,0))</f>
        <v>0</v>
      </c>
      <c r="AQ123" s="27" cm="1">
        <f t="array" ref="AQ123">$G$3+IFERROR(VLOOKUP($AL123,$F$4:$G$7,2,FALSE),0)+VLOOKUP($Q123,武学奇术!$A:$ZZ,2,FALSE)+SUM(_xlfn.XLOOKUP($R123:$AK123,增益!$A:$A,增益!$B:$B,0))</f>
        <v>0.5637</v>
      </c>
      <c r="AR123" s="27" cm="1">
        <f t="array" ref="AR123">VLOOKUP($Q123,武学奇术!$A:$ZZ,5,FALSE)+SUM(_xlfn.XLOOKUP($R123:$AK123,增益!$A:$A,增益!$E:$E,0))</f>
        <v>0</v>
      </c>
      <c r="AS123" cm="1">
        <f t="array" ref="AS123">$D$10*(1+$AR123)+VLOOKUP($Q123,武学奇术!$A:$ZZ,3,FALSE)+SUM(_xlfn.XLOOKUP($R123:$AK123,增益!$A:$A,增益!$C:$C,0))-$I$2</f>
        <v>3648.7</v>
      </c>
      <c r="AT123" cm="1">
        <f t="array" ref="AT123">$E$10*(1+$AR123)+VLOOKUP($Q123,武学奇术!$A:$ZZ,4,FALSE)+SUM(_xlfn.XLOOKUP($R123:$AK123,增益!$A:$A,增益!$D:$D,0))-$I$2</f>
        <v>3648.7</v>
      </c>
      <c r="AU123" s="34" cm="1">
        <f t="array" ref="AU123">IF($F$10-$I$3+VLOOKUP($Q123,武学奇术!$A:$ZZ,6,FALSE)+SUM(_xlfn.XLOOKUP($R123:$AK123,增益!$A:$A,增益!$F:$F,0))&gt;0,($F$10-$I$3+VLOOKUP($Q123,武学奇术!$A:$ZZ,6,FALSE)+SUM(_xlfn.XLOOKUP($R123:$AK123,增益!$A:$A,增益!$F:$F,0)))/200,($F$10-$I$3+VLOOKUP($Q123,武学奇术!$A:$ZZ,6,FALSE)+SUM(_xlfn.XLOOKUP($R123:$AK123,增益!$A:$A,增益!$F:$F,0)))/100)</f>
        <v>0.427</v>
      </c>
      <c r="AV123" s="34" cm="1">
        <f t="array" ref="AV123">$G$10+VLOOKUP($Q123,武学奇术!$A:$ZZ,7,FALSE)+SUM(_xlfn.XLOOKUP($R123:$AK123,增益!$A:$A,增益!$G:$G,0))</f>
        <v>0</v>
      </c>
      <c r="AW123" s="27" cm="1">
        <f t="array" ref="AW123">VLOOKUP($Q123,武学奇术!$A:$ZZ,8,FALSE)+SUM(_xlfn.XLOOKUP($R123:$AK123,增益!$A:$A,增益!$H:$H,0))</f>
        <v>0</v>
      </c>
      <c r="AX123">
        <f t="shared" si="35"/>
        <v>0</v>
      </c>
      <c r="AY123">
        <f t="shared" si="36"/>
        <v>0</v>
      </c>
      <c r="AZ123" s="34" cm="1">
        <f t="array" ref="AZ123">IF($F$11-$I$4+VLOOKUP($Q123,武学奇术!$A:$ZZ,9,FALSE)+SUM(_xlfn.XLOOKUP($R123:$AK123,增益!$A:$A,增益!$I:$I,0))&gt;0,($F$11-$I$4+VLOOKUP($Q123,武学奇术!$A:$ZZ,9,FALSE)+SUM(_xlfn.XLOOKUP($R123:$AK123,增益!$A:$A,增益!$I:$I,0)))/200,($F$11-$I$4+VLOOKUP($Q123,武学奇术!$A:$ZZ,9,FALSE)+SUM(_xlfn.XLOOKUP($R123:$AK123,增益!$A:$A,增益!$I:$I,0)))/100)</f>
        <v>-0.14</v>
      </c>
      <c r="BA123" s="34" cm="1">
        <f t="array" ref="BA123">$G$11+VLOOKUP($Q123,武学奇术!$A:$ZZ,10,FALSE)+SUM(_xlfn.XLOOKUP($R123:$AK123,增益!$A:$A,增益!$J:$J,0))</f>
        <v>0</v>
      </c>
      <c r="BB123">
        <f t="shared" si="37"/>
        <v>594.1</v>
      </c>
      <c r="BC123">
        <f t="shared" si="38"/>
        <v>1604.9</v>
      </c>
      <c r="BD123" s="34" cm="1">
        <f t="array" ref="BD123">IF($F$12-$I$4+VLOOKUP($Q123,武学奇术!$A:$ZZ,11,FALSE)+SUM(_xlfn.XLOOKUP($R123:$AK123,增益!$A:$A,增益!$K:$K,0))&gt;0,($F$12-$I$4+VLOOKUP($Q123,武学奇术!$A:$ZZ,11,FALSE)+SUM(_xlfn.XLOOKUP($R123:$AK123,增益!$A:$A,增益!$K:$K,0)))/200,($F$12-$I$4+VLOOKUP($Q123,武学奇术!$A:$ZZ,11,FALSE)+SUM(_xlfn.XLOOKUP($R123:$AK123,增益!$A:$A,增益!$K:$K,0)))/100)</f>
        <v>0.17</v>
      </c>
      <c r="BE123" s="34" cm="1">
        <f t="array" ref="BE123">$G$12+VLOOKUP($Q123,武学奇术!$A:$ZZ,12,FALSE)+SUM(_xlfn.XLOOKUP($R123:$AK123,增益!$A:$A,增益!$L:$L,0))</f>
        <v>0.15</v>
      </c>
      <c r="BF123">
        <f t="shared" si="39"/>
        <v>0</v>
      </c>
      <c r="BG123">
        <f t="shared" si="40"/>
        <v>0</v>
      </c>
      <c r="BH123" s="34" cm="1">
        <f t="array" ref="BH123">IF($F$13-$I$4+VLOOKUP($Q123,武学奇术!$A:$ZZ,13,FALSE)+SUM(_xlfn.XLOOKUP($R123:$AK123,增益!$A:$A,增益!$M:$M,0))&gt;0,($F$13-$I$4+VLOOKUP($Q123,武学奇术!$A:$ZZ,13,FALSE)+SUM(_xlfn.XLOOKUP($R123:$AK123,增益!$A:$A,增益!$K:$K,0)))/200,($F$13-$I$4+VLOOKUP($Q123,武学奇术!$A:$ZZ,13,FALSE)+SUM(_xlfn.XLOOKUP($R123:$AK123,增益!$A:$A,增益!$M:$M,0)))/100)</f>
        <v>-0.14</v>
      </c>
      <c r="BI123" s="34" cm="1">
        <f t="array" ref="BI123">$G$13+VLOOKUP($Q123,武学奇术!$A:$ZZ,14,FALSE)+SUM(_xlfn.XLOOKUP($R123:$AK123,增益!$A:$A,增益!$N:$N,0))</f>
        <v>0</v>
      </c>
      <c r="BJ123">
        <f t="shared" si="41"/>
        <v>0</v>
      </c>
      <c r="BK123">
        <f t="shared" si="42"/>
        <v>0</v>
      </c>
      <c r="BL123" s="34" cm="1">
        <f t="array" ref="BL123">IF($F$14-$I$4+VLOOKUP($Q123,武学奇术!$A:$ZZ,15,FALSE)+SUM(_xlfn.XLOOKUP($R123:$AK123,增益!$A:$A,增益!$O:$O,0))&gt;0,($F$14-$I$4+VLOOKUP($Q123,武学奇术!$A:$ZZ,15,FALSE)+SUM(_xlfn.XLOOKUP($R123:$AK123,增益!$A:$A,增益!$O:$O,0)))/200,($F$14-$I$4+VLOOKUP($Q123,武学奇术!$A:$ZZ,15,FALSE)+SUM(_xlfn.XLOOKUP($R123:$AK123,增益!$A:$A,增益!$O:$O,0)))/100)</f>
        <v>-0.14</v>
      </c>
      <c r="BM123" s="34" cm="1">
        <f t="array" ref="BM123">$G$14+VLOOKUP($Q123,武学奇术!$A:$ZZ,16,FALSE)+SUM(_xlfn.XLOOKUP($R123:$AK123,增益!$A:$A,增益!$P:$P,0))</f>
        <v>0</v>
      </c>
      <c r="BN123" s="27">
        <f>MIN(IF(VLOOKUP($Q123,武学奇术!$A:$ZZ,23,FALSE)=1,100%,$B$8),100%)</f>
        <v>0.9859</v>
      </c>
      <c r="BO123" s="27" cm="1">
        <f t="array" ref="BO123">IF(VLOOKUP($Q123,武学奇术!$A:$ZZ,23,FALSE)=1,100%,MIN(80%,$B$9+VLOOKUP($Q123,武学奇术!$A:$ZZ,17,FALSE)+SUM(_xlfn.XLOOKUP($R123:$AK123,增益!$A:$A,增益!$Q:$Q,0)))+$B$11+SUM(_xlfn.XLOOKUP($R123:$AK123,增益!$A:$A,增益!$U:$U,0)))*IF(VLOOKUP($Q123,武学奇术!$A:$ZZ,24,FALSE)=1,0,1)</f>
        <v>0.8912</v>
      </c>
      <c r="BP123" s="27" cm="1">
        <f t="array" ref="BP123">1+$B$13+VLOOKUP($Q123,武学奇术!$A:$ZZ,18,FALSE)+SUM(_xlfn.XLOOKUP($R123:$AK123,增益!$A:$A,增益!$R:$R,0))</f>
        <v>1.74</v>
      </c>
      <c r="BQ123" s="27" cm="1">
        <f t="array" ref="BQ123">IF(VLOOKUP($Q123,武学奇术!$A:$ZZ,24,FALSE)=1,100%,MIN(40%,$B$10+VLOOKUP($Q123,武学奇术!$A:$ZZ,19,FALSE)+SUM(_xlfn.XLOOKUP($R123:$AK123,增益!$A:$A,增益!$S:$S,0)))+$B$12+SUM(_xlfn.XLOOKUP($R123:$AK123,增益!$A:$A,增益!$V:$V,0)))*IF(VLOOKUP($Q123,武学奇术!$A:$ZZ,23,FALSE)=1,0,1)</f>
        <v>0.0929</v>
      </c>
      <c r="BR123" s="27" cm="1">
        <f t="array" ref="BR123">1+$B$14+VLOOKUP($Q123,武学奇术!$A:$ZZ,20,FALSE)+SUM(_xlfn.XLOOKUP($R123:$AK123,增益!$A:$A,增益!$T:$T,0))</f>
        <v>1.35</v>
      </c>
      <c r="BS123" s="27">
        <f t="shared" si="43"/>
        <v>0.87863408</v>
      </c>
      <c r="BT123" s="27">
        <f t="shared" si="44"/>
        <v>0.01567581</v>
      </c>
      <c r="BU123" s="27">
        <f>IF(VLOOKUP($Q123,武学奇术!$A:$ZZ,22,FALSE)=1,0,(1-$BN123))*(1-$BQ123)</f>
        <v>0.01279011</v>
      </c>
      <c r="BV123" s="27" cm="1">
        <f t="array" ref="BV123">SUM(_xlfn.XLOOKUP($R123:$AK123,增益!$A:$A,增益!$W:$W,0))+$I$5</f>
        <v>0.11</v>
      </c>
    </row>
    <row r="124" spans="11:74">
      <c r="K124" s="40">
        <f t="shared" si="45"/>
        <v>19660.8192438452</v>
      </c>
      <c r="L124" s="40">
        <f>((($AS124+$AT124)/2*$AM124+$AN124)*(1+$AU124)*(1+$AV124)+(($AX124+$AY124)/2*IF($G$1="鸣金",$AO124,$AM124)+IF($G$1="鸣金",$AP124*1.5,0))*(1+$AZ124)*(1+$BA124)+(($BB124+$BC124)/2*IF($G$1="裂石",$AO124,$AM124)+IF($G$1="裂石",$AP124*1.5,0))*(1+$BD124)*(1+$BE124)+(($BF124+$BG124)/2*IF($G$1="牵丝",$AO124,$AM124)+IF($G$1="牵丝",$AP124*1.5,0))*(1+$BH124)*(1+$BI124)+(($BJ124+$BK124)/2*IF($G$1="破竹",$AO124,$AM124)+IF($G$1="破竹",$AP124*1.5,0))*(1+$BL124)*(1+$BM124))*(1+$AQ124)*$BP124*$P124*(1+IF(VLOOKUP($Q124,武学奇术!$A:$ZZ,30,FALSE)="蓄力技",$B$21,0))*(1+$BV124)</f>
        <v>20192.8082858725</v>
      </c>
      <c r="M124" s="40">
        <f>(($AT124*$AM124+$AN124)*(1+$AU124)*(1+$AV124)+($AY124*IF($G$1="鸣金",$AO124,$AM124)+IF($G$1="鸣金",$AP124*1.5,0))*(1+$AZ124)*(1+$BA124)+($BC124*IF($G$1="裂石",$AO124,$AM124)+IF($G$1="裂石",$AP124*1.5,0))*(1+$BD124)*(1+$BE124)+($BG124*IF($G$1="牵丝",$AO124,$AM124)+IF($G$1="牵丝",$AP124*1.5,0))*(1+$BH124)*(1+$BI124)+($BK124*IF($G$1="破竹",$AO124,$AM124)+IF($G$1="破竹",$AP124*1.5,0))*(1+$BL124)*(1+$BM124))*(1+$AQ124)*$BR124*$P124*(1+IF(VLOOKUP($Q124,武学奇术!$A:$ZZ,30,FALSE)="蓄力技",$B$21,0))*(1+$BV124)</f>
        <v>17260.2498292109</v>
      </c>
      <c r="N124" s="40">
        <f>((($AS124+$AT124)/2*$AM124+$AN124)*(1+$AU124)*(1+$AV124)+(($AX124+$AY124)/2*IF($G$1="鸣金",$AO124,$AM124)+IF($G$1="鸣金",$AP124*1.5,0))*(1+$AZ124)*(1+$BA124)+(($BB124+$BC124)/2*IF($G$1="裂石",$AO124,$AM124)+IF($G$1="裂石",$AP124*1.5,0))*(1+$BD124)*(1+$BE124)+(($BF124+$BG124)/2*IF($G$1="牵丝",$AO124,$AM124)+IF($G$1="牵丝",$AP124*1.5,0))*(1+$BH124)*(1+$BI124)+(($BJ124+$BK124)/2*IF($G$1="破竹",$AO124,$AM124)+IF($G$1="破竹",$AP124*1.5,0))*(1+$BL124)*(1+$BM124))*(1+$AQ124)*$P124*(1+IF(VLOOKUP($Q124,武学奇术!$A:$ZZ,30,FALSE)="蓄力技",$B$21,0))*(1+$BV124)</f>
        <v>11605.06223326</v>
      </c>
      <c r="O124" s="40">
        <f>((($AS124*$AM124+$AN124)*(1+$AU124)*(1+$AV124)+($AX124*IF($G$1="鸣金",$AO124,$AM124)+IF($G$1="鸣金",$AP124*1.5,0))*(1+$AZ124)*(1+$BA124)+($BB124*IF($G$1="裂石",$AO124,$AM124)+IF($G$1="裂石",$AP124*1.5,0))*(1+$BD124)*(1+$BE124)+($BF124*IF($G$1="牵丝",$AO124,$AM124)+IF($G$1="牵丝",$AP124*1.5,0))*(1+$BH124)*(1+$BI124)+($BJ124*IF($G$1="破竹",$AO124,$AM124)+IF($G$1="破竹",$AP124*1.5,0))*(1+$BL124)*(1+$BM124))*(1+$AQ124))*$P124*(1+IF(VLOOKUP($Q124,武学奇术!$A:$ZZ,30,FALSE)="蓄力技",$B$21,0))*(1+$BV124)</f>
        <v>10424.7542226601</v>
      </c>
      <c r="P124" s="41">
        <f t="shared" si="46"/>
        <v>1</v>
      </c>
      <c r="Q124" s="42" t="s">
        <v>194</v>
      </c>
      <c r="R124" s="42" t="s">
        <v>103</v>
      </c>
      <c r="S124" s="42" t="s">
        <v>169</v>
      </c>
      <c r="T124" s="42" t="s">
        <v>86</v>
      </c>
      <c r="U124" s="42" t="s">
        <v>87</v>
      </c>
      <c r="V124" s="42" t="s">
        <v>77</v>
      </c>
      <c r="W124" s="42" t="s">
        <v>77</v>
      </c>
      <c r="X124" s="42" t="s">
        <v>176</v>
      </c>
      <c r="Y124" s="42" t="s">
        <v>77</v>
      </c>
      <c r="Z124" s="42" t="s">
        <v>77</v>
      </c>
      <c r="AA124" s="42" t="s">
        <v>77</v>
      </c>
      <c r="AB124" s="42" t="s">
        <v>95</v>
      </c>
      <c r="AC124" s="42" t="s">
        <v>77</v>
      </c>
      <c r="AD124" s="42" t="s">
        <v>80</v>
      </c>
      <c r="AE124" s="42" t="s">
        <v>81</v>
      </c>
      <c r="AF124" s="42" t="s">
        <v>82</v>
      </c>
      <c r="AG124" s="42" t="s">
        <v>77</v>
      </c>
      <c r="AH124" s="42" t="s">
        <v>77</v>
      </c>
      <c r="AI124" s="42" t="s">
        <v>77</v>
      </c>
      <c r="AJ124" s="42" t="s">
        <v>77</v>
      </c>
      <c r="AK124" s="42" t="s">
        <v>90</v>
      </c>
      <c r="AL124" t="str">
        <f>VLOOKUP($Q124,武学奇术!$A:$ZZ,25,FALSE)</f>
        <v>心法</v>
      </c>
      <c r="AM124" s="27">
        <f>VLOOKUP($Q124,武学奇术!$A:$ZZ,26,FALSE)</f>
        <v>1</v>
      </c>
      <c r="AN124" s="28">
        <f>VLOOKUP($Q124,武学奇术!$A:$ZZ,27,FALSE)*(1+IF(OR($AL124=$F$4,$AL124=$F$5),$B$22,0))</f>
        <v>0</v>
      </c>
      <c r="AO124" s="27">
        <f>VLOOKUP($Q124,武学奇术!$A:$ZZ,28,FALSE)</f>
        <v>1</v>
      </c>
      <c r="AP124" s="28">
        <f>VLOOKUP($Q124,武学奇术!$A:$ZZ,29,FALSE)*(1+IF(OR($AL124=$F$4,$AL124=$F$5),$B$22,0))</f>
        <v>0</v>
      </c>
      <c r="AQ124" s="27" cm="1">
        <f t="array" ref="AQ124">$G$3+IFERROR(VLOOKUP($AL124,$F$4:$G$7,2,FALSE),0)+VLOOKUP($Q124,武学奇术!$A:$ZZ,2,FALSE)+SUM(_xlfn.XLOOKUP($R124:$AK124,增益!$A:$A,增益!$B:$B,0))</f>
        <v>0.5637</v>
      </c>
      <c r="AR124" s="27" cm="1">
        <f t="array" ref="AR124">VLOOKUP($Q124,武学奇术!$A:$ZZ,5,FALSE)+SUM(_xlfn.XLOOKUP($R124:$AK124,增益!$A:$A,增益!$E:$E,0))</f>
        <v>0</v>
      </c>
      <c r="AS124" cm="1">
        <f t="array" ref="AS124">$D$10*(1+$AR124)+VLOOKUP($Q124,武学奇术!$A:$ZZ,3,FALSE)+SUM(_xlfn.XLOOKUP($R124:$AK124,增益!$A:$A,增益!$C:$C,0))-$I$2</f>
        <v>3648.7</v>
      </c>
      <c r="AT124" cm="1">
        <f t="array" ref="AT124">$E$10*(1+$AR124)+VLOOKUP($Q124,武学奇术!$A:$ZZ,4,FALSE)+SUM(_xlfn.XLOOKUP($R124:$AK124,增益!$A:$A,增益!$D:$D,0))-$I$2</f>
        <v>3648.7</v>
      </c>
      <c r="AU124" s="34" cm="1">
        <f t="array" ref="AU124">IF($F$10-$I$3+VLOOKUP($Q124,武学奇术!$A:$ZZ,6,FALSE)+SUM(_xlfn.XLOOKUP($R124:$AK124,增益!$A:$A,增益!$F:$F,0))&gt;0,($F$10-$I$3+VLOOKUP($Q124,武学奇术!$A:$ZZ,6,FALSE)+SUM(_xlfn.XLOOKUP($R124:$AK124,增益!$A:$A,增益!$F:$F,0)))/200,($F$10-$I$3+VLOOKUP($Q124,武学奇术!$A:$ZZ,6,FALSE)+SUM(_xlfn.XLOOKUP($R124:$AK124,增益!$A:$A,增益!$F:$F,0)))/100)</f>
        <v>0.427</v>
      </c>
      <c r="AV124" s="34" cm="1">
        <f t="array" ref="AV124">$G$10+VLOOKUP($Q124,武学奇术!$A:$ZZ,7,FALSE)+SUM(_xlfn.XLOOKUP($R124:$AK124,增益!$A:$A,增益!$G:$G,0))</f>
        <v>0</v>
      </c>
      <c r="AW124" s="27" cm="1">
        <f t="array" ref="AW124">VLOOKUP($Q124,武学奇术!$A:$ZZ,8,FALSE)+SUM(_xlfn.XLOOKUP($R124:$AK124,增益!$A:$A,增益!$H:$H,0))</f>
        <v>0</v>
      </c>
      <c r="AX124">
        <f t="shared" si="35"/>
        <v>0</v>
      </c>
      <c r="AY124">
        <f t="shared" si="36"/>
        <v>0</v>
      </c>
      <c r="AZ124" s="34" cm="1">
        <f t="array" ref="AZ124">IF($F$11-$I$4+VLOOKUP($Q124,武学奇术!$A:$ZZ,9,FALSE)+SUM(_xlfn.XLOOKUP($R124:$AK124,增益!$A:$A,增益!$I:$I,0))&gt;0,($F$11-$I$4+VLOOKUP($Q124,武学奇术!$A:$ZZ,9,FALSE)+SUM(_xlfn.XLOOKUP($R124:$AK124,增益!$A:$A,增益!$I:$I,0)))/200,($F$11-$I$4+VLOOKUP($Q124,武学奇术!$A:$ZZ,9,FALSE)+SUM(_xlfn.XLOOKUP($R124:$AK124,增益!$A:$A,增益!$I:$I,0)))/100)</f>
        <v>-0.14</v>
      </c>
      <c r="BA124" s="34" cm="1">
        <f t="array" ref="BA124">$G$11+VLOOKUP($Q124,武学奇术!$A:$ZZ,10,FALSE)+SUM(_xlfn.XLOOKUP($R124:$AK124,增益!$A:$A,增益!$J:$J,0))</f>
        <v>0</v>
      </c>
      <c r="BB124">
        <f t="shared" si="37"/>
        <v>594.1</v>
      </c>
      <c r="BC124">
        <f t="shared" si="38"/>
        <v>1604.9</v>
      </c>
      <c r="BD124" s="34" cm="1">
        <f t="array" ref="BD124">IF($F$12-$I$4+VLOOKUP($Q124,武学奇术!$A:$ZZ,11,FALSE)+SUM(_xlfn.XLOOKUP($R124:$AK124,增益!$A:$A,增益!$K:$K,0))&gt;0,($F$12-$I$4+VLOOKUP($Q124,武学奇术!$A:$ZZ,11,FALSE)+SUM(_xlfn.XLOOKUP($R124:$AK124,增益!$A:$A,增益!$K:$K,0)))/200,($F$12-$I$4+VLOOKUP($Q124,武学奇术!$A:$ZZ,11,FALSE)+SUM(_xlfn.XLOOKUP($R124:$AK124,增益!$A:$A,增益!$K:$K,0)))/100)</f>
        <v>0.17</v>
      </c>
      <c r="BE124" s="34" cm="1">
        <f t="array" ref="BE124">$G$12+VLOOKUP($Q124,武学奇术!$A:$ZZ,12,FALSE)+SUM(_xlfn.XLOOKUP($R124:$AK124,增益!$A:$A,增益!$L:$L,0))</f>
        <v>0.15</v>
      </c>
      <c r="BF124">
        <f t="shared" si="39"/>
        <v>0</v>
      </c>
      <c r="BG124">
        <f t="shared" si="40"/>
        <v>0</v>
      </c>
      <c r="BH124" s="34" cm="1">
        <f t="array" ref="BH124">IF($F$13-$I$4+VLOOKUP($Q124,武学奇术!$A:$ZZ,13,FALSE)+SUM(_xlfn.XLOOKUP($R124:$AK124,增益!$A:$A,增益!$M:$M,0))&gt;0,($F$13-$I$4+VLOOKUP($Q124,武学奇术!$A:$ZZ,13,FALSE)+SUM(_xlfn.XLOOKUP($R124:$AK124,增益!$A:$A,增益!$K:$K,0)))/200,($F$13-$I$4+VLOOKUP($Q124,武学奇术!$A:$ZZ,13,FALSE)+SUM(_xlfn.XLOOKUP($R124:$AK124,增益!$A:$A,增益!$M:$M,0)))/100)</f>
        <v>-0.14</v>
      </c>
      <c r="BI124" s="34" cm="1">
        <f t="array" ref="BI124">$G$13+VLOOKUP($Q124,武学奇术!$A:$ZZ,14,FALSE)+SUM(_xlfn.XLOOKUP($R124:$AK124,增益!$A:$A,增益!$N:$N,0))</f>
        <v>0</v>
      </c>
      <c r="BJ124">
        <f t="shared" si="41"/>
        <v>0</v>
      </c>
      <c r="BK124">
        <f t="shared" si="42"/>
        <v>0</v>
      </c>
      <c r="BL124" s="34" cm="1">
        <f t="array" ref="BL124">IF($F$14-$I$4+VLOOKUP($Q124,武学奇术!$A:$ZZ,15,FALSE)+SUM(_xlfn.XLOOKUP($R124:$AK124,增益!$A:$A,增益!$O:$O,0))&gt;0,($F$14-$I$4+VLOOKUP($Q124,武学奇术!$A:$ZZ,15,FALSE)+SUM(_xlfn.XLOOKUP($R124:$AK124,增益!$A:$A,增益!$O:$O,0)))/200,($F$14-$I$4+VLOOKUP($Q124,武学奇术!$A:$ZZ,15,FALSE)+SUM(_xlfn.XLOOKUP($R124:$AK124,增益!$A:$A,增益!$O:$O,0)))/100)</f>
        <v>-0.14</v>
      </c>
      <c r="BM124" s="34" cm="1">
        <f t="array" ref="BM124">$G$14+VLOOKUP($Q124,武学奇术!$A:$ZZ,16,FALSE)+SUM(_xlfn.XLOOKUP($R124:$AK124,增益!$A:$A,增益!$P:$P,0))</f>
        <v>0</v>
      </c>
      <c r="BN124" s="27">
        <f>MIN(IF(VLOOKUP($Q124,武学奇术!$A:$ZZ,23,FALSE)=1,100%,$B$8),100%)</f>
        <v>0.9859</v>
      </c>
      <c r="BO124" s="27" cm="1">
        <f t="array" ref="BO124">IF(VLOOKUP($Q124,武学奇术!$A:$ZZ,23,FALSE)=1,100%,MIN(80%,$B$9+VLOOKUP($Q124,武学奇术!$A:$ZZ,17,FALSE)+SUM(_xlfn.XLOOKUP($R124:$AK124,增益!$A:$A,增益!$Q:$Q,0)))+$B$11+SUM(_xlfn.XLOOKUP($R124:$AK124,增益!$A:$A,增益!$U:$U,0)))*IF(VLOOKUP($Q124,武学奇术!$A:$ZZ,24,FALSE)=1,0,1)</f>
        <v>0.8912</v>
      </c>
      <c r="BP124" s="27" cm="1">
        <f t="array" ref="BP124">1+$B$13+VLOOKUP($Q124,武学奇术!$A:$ZZ,18,FALSE)+SUM(_xlfn.XLOOKUP($R124:$AK124,增益!$A:$A,增益!$R:$R,0))</f>
        <v>1.74</v>
      </c>
      <c r="BQ124" s="27" cm="1">
        <f t="array" ref="BQ124">IF(VLOOKUP($Q124,武学奇术!$A:$ZZ,24,FALSE)=1,100%,MIN(40%,$B$10+VLOOKUP($Q124,武学奇术!$A:$ZZ,19,FALSE)+SUM(_xlfn.XLOOKUP($R124:$AK124,增益!$A:$A,增益!$S:$S,0)))+$B$12+SUM(_xlfn.XLOOKUP($R124:$AK124,增益!$A:$A,增益!$V:$V,0)))*IF(VLOOKUP($Q124,武学奇术!$A:$ZZ,23,FALSE)=1,0,1)</f>
        <v>0.0929</v>
      </c>
      <c r="BR124" s="27" cm="1">
        <f t="array" ref="BR124">1+$B$14+VLOOKUP($Q124,武学奇术!$A:$ZZ,20,FALSE)+SUM(_xlfn.XLOOKUP($R124:$AK124,增益!$A:$A,增益!$T:$T,0))</f>
        <v>1.35</v>
      </c>
      <c r="BS124" s="27">
        <f t="shared" si="43"/>
        <v>0.87863408</v>
      </c>
      <c r="BT124" s="27">
        <f t="shared" si="44"/>
        <v>0.01567581</v>
      </c>
      <c r="BU124" s="27">
        <f>IF(VLOOKUP($Q124,武学奇术!$A:$ZZ,22,FALSE)=1,0,(1-$BN124))*(1-$BQ124)</f>
        <v>0.01279011</v>
      </c>
      <c r="BV124" s="27" cm="1">
        <f t="array" ref="BV124">SUM(_xlfn.XLOOKUP($R124:$AK124,增益!$A:$A,增益!$W:$W,0))+$I$5</f>
        <v>0.11</v>
      </c>
    </row>
    <row r="125" spans="11:74">
      <c r="K125" s="40">
        <f t="shared" si="45"/>
        <v>19660.8192438452</v>
      </c>
      <c r="L125" s="40">
        <f>((($AS125+$AT125)/2*$AM125+$AN125)*(1+$AU125)*(1+$AV125)+(($AX125+$AY125)/2*IF($G$1="鸣金",$AO125,$AM125)+IF($G$1="鸣金",$AP125*1.5,0))*(1+$AZ125)*(1+$BA125)+(($BB125+$BC125)/2*IF($G$1="裂石",$AO125,$AM125)+IF($G$1="裂石",$AP125*1.5,0))*(1+$BD125)*(1+$BE125)+(($BF125+$BG125)/2*IF($G$1="牵丝",$AO125,$AM125)+IF($G$1="牵丝",$AP125*1.5,0))*(1+$BH125)*(1+$BI125)+(($BJ125+$BK125)/2*IF($G$1="破竹",$AO125,$AM125)+IF($G$1="破竹",$AP125*1.5,0))*(1+$BL125)*(1+$BM125))*(1+$AQ125)*$BP125*$P125*(1+IF(VLOOKUP($Q125,武学奇术!$A:$ZZ,30,FALSE)="蓄力技",$B$21,0))*(1+$BV125)</f>
        <v>20192.8082858725</v>
      </c>
      <c r="M125" s="40">
        <f>(($AT125*$AM125+$AN125)*(1+$AU125)*(1+$AV125)+($AY125*IF($G$1="鸣金",$AO125,$AM125)+IF($G$1="鸣金",$AP125*1.5,0))*(1+$AZ125)*(1+$BA125)+($BC125*IF($G$1="裂石",$AO125,$AM125)+IF($G$1="裂石",$AP125*1.5,0))*(1+$BD125)*(1+$BE125)+($BG125*IF($G$1="牵丝",$AO125,$AM125)+IF($G$1="牵丝",$AP125*1.5,0))*(1+$BH125)*(1+$BI125)+($BK125*IF($G$1="破竹",$AO125,$AM125)+IF($G$1="破竹",$AP125*1.5,0))*(1+$BL125)*(1+$BM125))*(1+$AQ125)*$BR125*$P125*(1+IF(VLOOKUP($Q125,武学奇术!$A:$ZZ,30,FALSE)="蓄力技",$B$21,0))*(1+$BV125)</f>
        <v>17260.2498292109</v>
      </c>
      <c r="N125" s="40">
        <f>((($AS125+$AT125)/2*$AM125+$AN125)*(1+$AU125)*(1+$AV125)+(($AX125+$AY125)/2*IF($G$1="鸣金",$AO125,$AM125)+IF($G$1="鸣金",$AP125*1.5,0))*(1+$AZ125)*(1+$BA125)+(($BB125+$BC125)/2*IF($G$1="裂石",$AO125,$AM125)+IF($G$1="裂石",$AP125*1.5,0))*(1+$BD125)*(1+$BE125)+(($BF125+$BG125)/2*IF($G$1="牵丝",$AO125,$AM125)+IF($G$1="牵丝",$AP125*1.5,0))*(1+$BH125)*(1+$BI125)+(($BJ125+$BK125)/2*IF($G$1="破竹",$AO125,$AM125)+IF($G$1="破竹",$AP125*1.5,0))*(1+$BL125)*(1+$BM125))*(1+$AQ125)*$P125*(1+IF(VLOOKUP($Q125,武学奇术!$A:$ZZ,30,FALSE)="蓄力技",$B$21,0))*(1+$BV125)</f>
        <v>11605.06223326</v>
      </c>
      <c r="O125" s="40">
        <f>((($AS125*$AM125+$AN125)*(1+$AU125)*(1+$AV125)+($AX125*IF($G$1="鸣金",$AO125,$AM125)+IF($G$1="鸣金",$AP125*1.5,0))*(1+$AZ125)*(1+$BA125)+($BB125*IF($G$1="裂石",$AO125,$AM125)+IF($G$1="裂石",$AP125*1.5,0))*(1+$BD125)*(1+$BE125)+($BF125*IF($G$1="牵丝",$AO125,$AM125)+IF($G$1="牵丝",$AP125*1.5,0))*(1+$BH125)*(1+$BI125)+($BJ125*IF($G$1="破竹",$AO125,$AM125)+IF($G$1="破竹",$AP125*1.5,0))*(1+$BL125)*(1+$BM125))*(1+$AQ125))*$P125*(1+IF(VLOOKUP($Q125,武学奇术!$A:$ZZ,30,FALSE)="蓄力技",$B$21,0))*(1+$BV125)</f>
        <v>10424.7542226601</v>
      </c>
      <c r="P125" s="41">
        <f t="shared" si="46"/>
        <v>1</v>
      </c>
      <c r="Q125" s="42" t="s">
        <v>194</v>
      </c>
      <c r="R125" s="42" t="s">
        <v>103</v>
      </c>
      <c r="S125" s="42" t="s">
        <v>169</v>
      </c>
      <c r="T125" s="42" t="s">
        <v>86</v>
      </c>
      <c r="U125" s="42" t="s">
        <v>87</v>
      </c>
      <c r="V125" s="42" t="s">
        <v>77</v>
      </c>
      <c r="W125" s="42" t="s">
        <v>77</v>
      </c>
      <c r="X125" s="42" t="s">
        <v>176</v>
      </c>
      <c r="Y125" s="42" t="s">
        <v>77</v>
      </c>
      <c r="Z125" s="42" t="s">
        <v>77</v>
      </c>
      <c r="AA125" s="42" t="s">
        <v>77</v>
      </c>
      <c r="AB125" s="42" t="s">
        <v>95</v>
      </c>
      <c r="AC125" s="42" t="s">
        <v>77</v>
      </c>
      <c r="AD125" s="42" t="s">
        <v>80</v>
      </c>
      <c r="AE125" s="42" t="s">
        <v>81</v>
      </c>
      <c r="AF125" s="42" t="s">
        <v>82</v>
      </c>
      <c r="AG125" s="42" t="s">
        <v>77</v>
      </c>
      <c r="AH125" s="42" t="s">
        <v>77</v>
      </c>
      <c r="AI125" s="42" t="s">
        <v>77</v>
      </c>
      <c r="AJ125" s="42" t="s">
        <v>77</v>
      </c>
      <c r="AK125" s="42" t="s">
        <v>90</v>
      </c>
      <c r="AL125" t="str">
        <f>VLOOKUP($Q125,武学奇术!$A:$ZZ,25,FALSE)</f>
        <v>心法</v>
      </c>
      <c r="AM125" s="27">
        <f>VLOOKUP($Q125,武学奇术!$A:$ZZ,26,FALSE)</f>
        <v>1</v>
      </c>
      <c r="AN125" s="28">
        <f>VLOOKUP($Q125,武学奇术!$A:$ZZ,27,FALSE)*(1+IF(OR($AL125=$F$4,$AL125=$F$5),$B$22,0))</f>
        <v>0</v>
      </c>
      <c r="AO125" s="27">
        <f>VLOOKUP($Q125,武学奇术!$A:$ZZ,28,FALSE)</f>
        <v>1</v>
      </c>
      <c r="AP125" s="28">
        <f>VLOOKUP($Q125,武学奇术!$A:$ZZ,29,FALSE)*(1+IF(OR($AL125=$F$4,$AL125=$F$5),$B$22,0))</f>
        <v>0</v>
      </c>
      <c r="AQ125" s="27" cm="1">
        <f t="array" ref="AQ125">$G$3+IFERROR(VLOOKUP($AL125,$F$4:$G$7,2,FALSE),0)+VLOOKUP($Q125,武学奇术!$A:$ZZ,2,FALSE)+SUM(_xlfn.XLOOKUP($R125:$AK125,增益!$A:$A,增益!$B:$B,0))</f>
        <v>0.5637</v>
      </c>
      <c r="AR125" s="27" cm="1">
        <f t="array" ref="AR125">VLOOKUP($Q125,武学奇术!$A:$ZZ,5,FALSE)+SUM(_xlfn.XLOOKUP($R125:$AK125,增益!$A:$A,增益!$E:$E,0))</f>
        <v>0</v>
      </c>
      <c r="AS125" cm="1">
        <f t="array" ref="AS125">$D$10*(1+$AR125)+VLOOKUP($Q125,武学奇术!$A:$ZZ,3,FALSE)+SUM(_xlfn.XLOOKUP($R125:$AK125,增益!$A:$A,增益!$C:$C,0))-$I$2</f>
        <v>3648.7</v>
      </c>
      <c r="AT125" cm="1">
        <f t="array" ref="AT125">$E$10*(1+$AR125)+VLOOKUP($Q125,武学奇术!$A:$ZZ,4,FALSE)+SUM(_xlfn.XLOOKUP($R125:$AK125,增益!$A:$A,增益!$D:$D,0))-$I$2</f>
        <v>3648.7</v>
      </c>
      <c r="AU125" s="34" cm="1">
        <f t="array" ref="AU125">IF($F$10-$I$3+VLOOKUP($Q125,武学奇术!$A:$ZZ,6,FALSE)+SUM(_xlfn.XLOOKUP($R125:$AK125,增益!$A:$A,增益!$F:$F,0))&gt;0,($F$10-$I$3+VLOOKUP($Q125,武学奇术!$A:$ZZ,6,FALSE)+SUM(_xlfn.XLOOKUP($R125:$AK125,增益!$A:$A,增益!$F:$F,0)))/200,($F$10-$I$3+VLOOKUP($Q125,武学奇术!$A:$ZZ,6,FALSE)+SUM(_xlfn.XLOOKUP($R125:$AK125,增益!$A:$A,增益!$F:$F,0)))/100)</f>
        <v>0.427</v>
      </c>
      <c r="AV125" s="34" cm="1">
        <f t="array" ref="AV125">$G$10+VLOOKUP($Q125,武学奇术!$A:$ZZ,7,FALSE)+SUM(_xlfn.XLOOKUP($R125:$AK125,增益!$A:$A,增益!$G:$G,0))</f>
        <v>0</v>
      </c>
      <c r="AW125" s="27" cm="1">
        <f t="array" ref="AW125">VLOOKUP($Q125,武学奇术!$A:$ZZ,8,FALSE)+SUM(_xlfn.XLOOKUP($R125:$AK125,增益!$A:$A,增益!$H:$H,0))</f>
        <v>0</v>
      </c>
      <c r="AX125">
        <f t="shared" si="35"/>
        <v>0</v>
      </c>
      <c r="AY125">
        <f t="shared" si="36"/>
        <v>0</v>
      </c>
      <c r="AZ125" s="34" cm="1">
        <f t="array" ref="AZ125">IF($F$11-$I$4+VLOOKUP($Q125,武学奇术!$A:$ZZ,9,FALSE)+SUM(_xlfn.XLOOKUP($R125:$AK125,增益!$A:$A,增益!$I:$I,0))&gt;0,($F$11-$I$4+VLOOKUP($Q125,武学奇术!$A:$ZZ,9,FALSE)+SUM(_xlfn.XLOOKUP($R125:$AK125,增益!$A:$A,增益!$I:$I,0)))/200,($F$11-$I$4+VLOOKUP($Q125,武学奇术!$A:$ZZ,9,FALSE)+SUM(_xlfn.XLOOKUP($R125:$AK125,增益!$A:$A,增益!$I:$I,0)))/100)</f>
        <v>-0.14</v>
      </c>
      <c r="BA125" s="34" cm="1">
        <f t="array" ref="BA125">$G$11+VLOOKUP($Q125,武学奇术!$A:$ZZ,10,FALSE)+SUM(_xlfn.XLOOKUP($R125:$AK125,增益!$A:$A,增益!$J:$J,0))</f>
        <v>0</v>
      </c>
      <c r="BB125">
        <f t="shared" si="37"/>
        <v>594.1</v>
      </c>
      <c r="BC125">
        <f t="shared" si="38"/>
        <v>1604.9</v>
      </c>
      <c r="BD125" s="34" cm="1">
        <f t="array" ref="BD125">IF($F$12-$I$4+VLOOKUP($Q125,武学奇术!$A:$ZZ,11,FALSE)+SUM(_xlfn.XLOOKUP($R125:$AK125,增益!$A:$A,增益!$K:$K,0))&gt;0,($F$12-$I$4+VLOOKUP($Q125,武学奇术!$A:$ZZ,11,FALSE)+SUM(_xlfn.XLOOKUP($R125:$AK125,增益!$A:$A,增益!$K:$K,0)))/200,($F$12-$I$4+VLOOKUP($Q125,武学奇术!$A:$ZZ,11,FALSE)+SUM(_xlfn.XLOOKUP($R125:$AK125,增益!$A:$A,增益!$K:$K,0)))/100)</f>
        <v>0.17</v>
      </c>
      <c r="BE125" s="34" cm="1">
        <f t="array" ref="BE125">$G$12+VLOOKUP($Q125,武学奇术!$A:$ZZ,12,FALSE)+SUM(_xlfn.XLOOKUP($R125:$AK125,增益!$A:$A,增益!$L:$L,0))</f>
        <v>0.15</v>
      </c>
      <c r="BF125">
        <f t="shared" si="39"/>
        <v>0</v>
      </c>
      <c r="BG125">
        <f t="shared" si="40"/>
        <v>0</v>
      </c>
      <c r="BH125" s="34" cm="1">
        <f t="array" ref="BH125">IF($F$13-$I$4+VLOOKUP($Q125,武学奇术!$A:$ZZ,13,FALSE)+SUM(_xlfn.XLOOKUP($R125:$AK125,增益!$A:$A,增益!$M:$M,0))&gt;0,($F$13-$I$4+VLOOKUP($Q125,武学奇术!$A:$ZZ,13,FALSE)+SUM(_xlfn.XLOOKUP($R125:$AK125,增益!$A:$A,增益!$K:$K,0)))/200,($F$13-$I$4+VLOOKUP($Q125,武学奇术!$A:$ZZ,13,FALSE)+SUM(_xlfn.XLOOKUP($R125:$AK125,增益!$A:$A,增益!$M:$M,0)))/100)</f>
        <v>-0.14</v>
      </c>
      <c r="BI125" s="34" cm="1">
        <f t="array" ref="BI125">$G$13+VLOOKUP($Q125,武学奇术!$A:$ZZ,14,FALSE)+SUM(_xlfn.XLOOKUP($R125:$AK125,增益!$A:$A,增益!$N:$N,0))</f>
        <v>0</v>
      </c>
      <c r="BJ125">
        <f t="shared" si="41"/>
        <v>0</v>
      </c>
      <c r="BK125">
        <f t="shared" si="42"/>
        <v>0</v>
      </c>
      <c r="BL125" s="34" cm="1">
        <f t="array" ref="BL125">IF($F$14-$I$4+VLOOKUP($Q125,武学奇术!$A:$ZZ,15,FALSE)+SUM(_xlfn.XLOOKUP($R125:$AK125,增益!$A:$A,增益!$O:$O,0))&gt;0,($F$14-$I$4+VLOOKUP($Q125,武学奇术!$A:$ZZ,15,FALSE)+SUM(_xlfn.XLOOKUP($R125:$AK125,增益!$A:$A,增益!$O:$O,0)))/200,($F$14-$I$4+VLOOKUP($Q125,武学奇术!$A:$ZZ,15,FALSE)+SUM(_xlfn.XLOOKUP($R125:$AK125,增益!$A:$A,增益!$O:$O,0)))/100)</f>
        <v>-0.14</v>
      </c>
      <c r="BM125" s="34" cm="1">
        <f t="array" ref="BM125">$G$14+VLOOKUP($Q125,武学奇术!$A:$ZZ,16,FALSE)+SUM(_xlfn.XLOOKUP($R125:$AK125,增益!$A:$A,增益!$P:$P,0))</f>
        <v>0</v>
      </c>
      <c r="BN125" s="27">
        <f>MIN(IF(VLOOKUP($Q125,武学奇术!$A:$ZZ,23,FALSE)=1,100%,$B$8),100%)</f>
        <v>0.9859</v>
      </c>
      <c r="BO125" s="27" cm="1">
        <f t="array" ref="BO125">IF(VLOOKUP($Q125,武学奇术!$A:$ZZ,23,FALSE)=1,100%,MIN(80%,$B$9+VLOOKUP($Q125,武学奇术!$A:$ZZ,17,FALSE)+SUM(_xlfn.XLOOKUP($R125:$AK125,增益!$A:$A,增益!$Q:$Q,0)))+$B$11+SUM(_xlfn.XLOOKUP($R125:$AK125,增益!$A:$A,增益!$U:$U,0)))*IF(VLOOKUP($Q125,武学奇术!$A:$ZZ,24,FALSE)=1,0,1)</f>
        <v>0.8912</v>
      </c>
      <c r="BP125" s="27" cm="1">
        <f t="array" ref="BP125">1+$B$13+VLOOKUP($Q125,武学奇术!$A:$ZZ,18,FALSE)+SUM(_xlfn.XLOOKUP($R125:$AK125,增益!$A:$A,增益!$R:$R,0))</f>
        <v>1.74</v>
      </c>
      <c r="BQ125" s="27" cm="1">
        <f t="array" ref="BQ125">IF(VLOOKUP($Q125,武学奇术!$A:$ZZ,24,FALSE)=1,100%,MIN(40%,$B$10+VLOOKUP($Q125,武学奇术!$A:$ZZ,19,FALSE)+SUM(_xlfn.XLOOKUP($R125:$AK125,增益!$A:$A,增益!$S:$S,0)))+$B$12+SUM(_xlfn.XLOOKUP($R125:$AK125,增益!$A:$A,增益!$V:$V,0)))*IF(VLOOKUP($Q125,武学奇术!$A:$ZZ,23,FALSE)=1,0,1)</f>
        <v>0.0929</v>
      </c>
      <c r="BR125" s="27" cm="1">
        <f t="array" ref="BR125">1+$B$14+VLOOKUP($Q125,武学奇术!$A:$ZZ,20,FALSE)+SUM(_xlfn.XLOOKUP($R125:$AK125,增益!$A:$A,增益!$T:$T,0))</f>
        <v>1.35</v>
      </c>
      <c r="BS125" s="27">
        <f t="shared" si="43"/>
        <v>0.87863408</v>
      </c>
      <c r="BT125" s="27">
        <f t="shared" si="44"/>
        <v>0.01567581</v>
      </c>
      <c r="BU125" s="27">
        <f>IF(VLOOKUP($Q125,武学奇术!$A:$ZZ,22,FALSE)=1,0,(1-$BN125))*(1-$BQ125)</f>
        <v>0.01279011</v>
      </c>
      <c r="BV125" s="27" cm="1">
        <f t="array" ref="BV125">SUM(_xlfn.XLOOKUP($R125:$AK125,增益!$A:$A,增益!$W:$W,0))+$I$5</f>
        <v>0.11</v>
      </c>
    </row>
    <row r="126" spans="11:74">
      <c r="K126" s="40">
        <f t="shared" si="45"/>
        <v>16880.5873163546</v>
      </c>
      <c r="L126" s="40">
        <f>((($AS126+$AT126)/2*$AM126+$AN126)*(1+$AU126)*(1+$AV126)+(($AX126+$AY126)/2*IF($G$1="鸣金",$AO126,$AM126)+IF($G$1="鸣金",$AP126*1.5,0))*(1+$AZ126)*(1+$BA126)+(($BB126+$BC126)/2*IF($G$1="裂石",$AO126,$AM126)+IF($G$1="裂石",$AP126*1.5,0))*(1+$BD126)*(1+$BE126)+(($BF126+$BG126)/2*IF($G$1="牵丝",$AO126,$AM126)+IF($G$1="牵丝",$AP126*1.5,0))*(1+$BH126)*(1+$BI126)+(($BJ126+$BK126)/2*IF($G$1="破竹",$AO126,$AM126)+IF($G$1="破竹",$AP126*1.5,0))*(1+$BL126)*(1+$BM126))*(1+$AQ126)*$BP126*$P126*(1+IF(VLOOKUP($Q126,武学奇术!$A:$ZZ,30,FALSE)="蓄力技",$B$21,0))*(1+$BV126)</f>
        <v>17343.6878546628</v>
      </c>
      <c r="M126" s="40">
        <f>(($AT126*$AM126+$AN126)*(1+$AU126)*(1+$AV126)+($AY126*IF($G$1="鸣金",$AO126,$AM126)+IF($G$1="鸣金",$AP126*1.5,0))*(1+$AZ126)*(1+$BA126)+($BC126*IF($G$1="裂石",$AO126,$AM126)+IF($G$1="裂石",$AP126*1.5,0))*(1+$BD126)*(1+$BE126)+($BG126*IF($G$1="牵丝",$AO126,$AM126)+IF($G$1="牵丝",$AP126*1.5,0))*(1+$BH126)*(1+$BI126)+($BK126*IF($G$1="破竹",$AO126,$AM126)+IF($G$1="破竹",$AP126*1.5,0))*(1+$BL126)*(1+$BM126))*(1+$AQ126)*$BR126*$P126*(1+IF(VLOOKUP($Q126,武学奇术!$A:$ZZ,30,FALSE)="蓄力技",$B$21,0))*(1+$BV126)</f>
        <v>14750.9082337199</v>
      </c>
      <c r="N126" s="40">
        <f>((($AS126+$AT126)/2*$AM126+$AN126)*(1+$AU126)*(1+$AV126)+(($AX126+$AY126)/2*IF($G$1="鸣金",$AO126,$AM126)+IF($G$1="鸣金",$AP126*1.5,0))*(1+$AZ126)*(1+$BA126)+(($BB126+$BC126)/2*IF($G$1="裂石",$AO126,$AM126)+IF($G$1="裂石",$AP126*1.5,0))*(1+$BD126)*(1+$BE126)+(($BF126+$BG126)/2*IF($G$1="牵丝",$AO126,$AM126)+IF($G$1="牵丝",$AP126*1.5,0))*(1+$BH126)*(1+$BI126)+(($BJ126+$BK126)/2*IF($G$1="破竹",$AO126,$AM126)+IF($G$1="破竹",$AP126*1.5,0))*(1+$BL126)*(1+$BM126))*(1+$AQ126)*$P126*(1+IF(VLOOKUP($Q126,武学奇术!$A:$ZZ,30,FALSE)="蓄力技",$B$21,0))*(1+$BV126)</f>
        <v>9967.63669808205</v>
      </c>
      <c r="O126" s="40">
        <f>((($AS126*$AM126+$AN126)*(1+$AU126)*(1+$AV126)+($AX126*IF($G$1="鸣金",$AO126,$AM126)+IF($G$1="鸣金",$AP126*1.5,0))*(1+$AZ126)*(1+$BA126)+($BB126*IF($G$1="裂石",$AO126,$AM126)+IF($G$1="裂石",$AP126*1.5,0))*(1+$BD126)*(1+$BE126)+($BF126*IF($G$1="牵丝",$AO126,$AM126)+IF($G$1="牵丝",$AP126*1.5,0))*(1+$BH126)*(1+$BI126)+($BJ126*IF($G$1="破竹",$AO126,$AM126)+IF($G$1="破竹",$AP126*1.5,0))*(1+$BL126)*(1+$BM126))*(1+$AQ126))*$P126*(1+IF(VLOOKUP($Q126,武学奇术!$A:$ZZ,30,FALSE)="蓄力技",$B$21,0))*(1+$BV126)</f>
        <v>9008.67470451975</v>
      </c>
      <c r="P126" s="41">
        <f t="shared" si="46"/>
        <v>1</v>
      </c>
      <c r="Q126" s="42" t="s">
        <v>194</v>
      </c>
      <c r="R126" s="42" t="s">
        <v>103</v>
      </c>
      <c r="S126" s="42" t="s">
        <v>77</v>
      </c>
      <c r="T126" s="42" t="s">
        <v>77</v>
      </c>
      <c r="U126" s="42" t="s">
        <v>87</v>
      </c>
      <c r="V126" s="42" t="s">
        <v>77</v>
      </c>
      <c r="W126" s="42" t="s">
        <v>77</v>
      </c>
      <c r="X126" s="42" t="s">
        <v>176</v>
      </c>
      <c r="Y126" s="42" t="s">
        <v>77</v>
      </c>
      <c r="Z126" s="42" t="s">
        <v>77</v>
      </c>
      <c r="AA126" s="42" t="s">
        <v>77</v>
      </c>
      <c r="AB126" s="42" t="s">
        <v>89</v>
      </c>
      <c r="AC126" s="42" t="s">
        <v>77</v>
      </c>
      <c r="AD126" s="42" t="s">
        <v>80</v>
      </c>
      <c r="AE126" s="42" t="s">
        <v>81</v>
      </c>
      <c r="AF126" s="42" t="s">
        <v>82</v>
      </c>
      <c r="AG126" s="42" t="s">
        <v>77</v>
      </c>
      <c r="AH126" s="42" t="s">
        <v>77</v>
      </c>
      <c r="AI126" s="42" t="s">
        <v>77</v>
      </c>
      <c r="AJ126" s="42" t="s">
        <v>77</v>
      </c>
      <c r="AK126" s="42" t="s">
        <v>90</v>
      </c>
      <c r="AL126" t="str">
        <f>VLOOKUP($Q126,武学奇术!$A:$ZZ,25,FALSE)</f>
        <v>心法</v>
      </c>
      <c r="AM126" s="27">
        <f>VLOOKUP($Q126,武学奇术!$A:$ZZ,26,FALSE)</f>
        <v>1</v>
      </c>
      <c r="AN126" s="28">
        <f>VLOOKUP($Q126,武学奇术!$A:$ZZ,27,FALSE)*(1+IF(OR($AL126=$F$4,$AL126=$F$5),$B$22,0))</f>
        <v>0</v>
      </c>
      <c r="AO126" s="27">
        <f>VLOOKUP($Q126,武学奇术!$A:$ZZ,28,FALSE)</f>
        <v>1</v>
      </c>
      <c r="AP126" s="28">
        <f>VLOOKUP($Q126,武学奇术!$A:$ZZ,29,FALSE)*(1+IF(OR($AL126=$F$4,$AL126=$F$5),$B$22,0))</f>
        <v>0</v>
      </c>
      <c r="AQ126" s="27" cm="1">
        <f t="array" ref="AQ126">$G$3+IFERROR(VLOOKUP($AL126,$F$4:$G$7,2,FALSE),0)+VLOOKUP($Q126,武学奇术!$A:$ZZ,2,FALSE)+SUM(_xlfn.XLOOKUP($R126:$AK126,增益!$A:$A,增益!$B:$B,0))</f>
        <v>0.3637</v>
      </c>
      <c r="AR126" s="27" cm="1">
        <f t="array" ref="AR126">VLOOKUP($Q126,武学奇术!$A:$ZZ,5,FALSE)+SUM(_xlfn.XLOOKUP($R126:$AK126,增益!$A:$A,增益!$E:$E,0))</f>
        <v>0</v>
      </c>
      <c r="AS126" cm="1">
        <f t="array" ref="AS126">$D$10*(1+$AR126)+VLOOKUP($Q126,武学奇术!$A:$ZZ,3,FALSE)+SUM(_xlfn.XLOOKUP($R126:$AK126,增益!$A:$A,增益!$C:$C,0))-$I$2</f>
        <v>3648.7</v>
      </c>
      <c r="AT126" cm="1">
        <f t="array" ref="AT126">$E$10*(1+$AR126)+VLOOKUP($Q126,武学奇术!$A:$ZZ,4,FALSE)+SUM(_xlfn.XLOOKUP($R126:$AK126,增益!$A:$A,增益!$D:$D,0))-$I$2</f>
        <v>3648.7</v>
      </c>
      <c r="AU126" s="34" cm="1">
        <f t="array" ref="AU126">IF($F$10-$I$3+VLOOKUP($Q126,武学奇术!$A:$ZZ,6,FALSE)+SUM(_xlfn.XLOOKUP($R126:$AK126,增益!$A:$A,增益!$F:$F,0))&gt;0,($F$10-$I$3+VLOOKUP($Q126,武学奇术!$A:$ZZ,6,FALSE)+SUM(_xlfn.XLOOKUP($R126:$AK126,增益!$A:$A,增益!$F:$F,0)))/200,($F$10-$I$3+VLOOKUP($Q126,武学奇术!$A:$ZZ,6,FALSE)+SUM(_xlfn.XLOOKUP($R126:$AK126,增益!$A:$A,增益!$F:$F,0)))/100)</f>
        <v>0.427</v>
      </c>
      <c r="AV126" s="34" cm="1">
        <f t="array" ref="AV126">$G$10+VLOOKUP($Q126,武学奇术!$A:$ZZ,7,FALSE)+SUM(_xlfn.XLOOKUP($R126:$AK126,增益!$A:$A,增益!$G:$G,0))</f>
        <v>0</v>
      </c>
      <c r="AW126" s="27" cm="1">
        <f t="array" ref="AW126">VLOOKUP($Q126,武学奇术!$A:$ZZ,8,FALSE)+SUM(_xlfn.XLOOKUP($R126:$AK126,增益!$A:$A,增益!$H:$H,0))</f>
        <v>0</v>
      </c>
      <c r="AX126">
        <f t="shared" si="35"/>
        <v>0</v>
      </c>
      <c r="AY126">
        <f t="shared" si="36"/>
        <v>0</v>
      </c>
      <c r="AZ126" s="34" cm="1">
        <f t="array" ref="AZ126">IF($F$11-$I$4+VLOOKUP($Q126,武学奇术!$A:$ZZ,9,FALSE)+SUM(_xlfn.XLOOKUP($R126:$AK126,增益!$A:$A,增益!$I:$I,0))&gt;0,($F$11-$I$4+VLOOKUP($Q126,武学奇术!$A:$ZZ,9,FALSE)+SUM(_xlfn.XLOOKUP($R126:$AK126,增益!$A:$A,增益!$I:$I,0)))/200,($F$11-$I$4+VLOOKUP($Q126,武学奇术!$A:$ZZ,9,FALSE)+SUM(_xlfn.XLOOKUP($R126:$AK126,增益!$A:$A,增益!$I:$I,0)))/100)</f>
        <v>-0.3</v>
      </c>
      <c r="BA126" s="34" cm="1">
        <f t="array" ref="BA126">$G$11+VLOOKUP($Q126,武学奇术!$A:$ZZ,10,FALSE)+SUM(_xlfn.XLOOKUP($R126:$AK126,增益!$A:$A,增益!$J:$J,0))</f>
        <v>0</v>
      </c>
      <c r="BB126">
        <f t="shared" si="37"/>
        <v>594.1</v>
      </c>
      <c r="BC126">
        <f t="shared" si="38"/>
        <v>1604.9</v>
      </c>
      <c r="BD126" s="34" cm="1">
        <f t="array" ref="BD126">IF($F$12-$I$4+VLOOKUP($Q126,武学奇术!$A:$ZZ,11,FALSE)+SUM(_xlfn.XLOOKUP($R126:$AK126,增益!$A:$A,增益!$K:$K,0))&gt;0,($F$12-$I$4+VLOOKUP($Q126,武学奇术!$A:$ZZ,11,FALSE)+SUM(_xlfn.XLOOKUP($R126:$AK126,增益!$A:$A,增益!$K:$K,0)))/200,($F$12-$I$4+VLOOKUP($Q126,武学奇术!$A:$ZZ,11,FALSE)+SUM(_xlfn.XLOOKUP($R126:$AK126,增益!$A:$A,增益!$K:$K,0)))/100)</f>
        <v>0.09</v>
      </c>
      <c r="BE126" s="34" cm="1">
        <f t="array" ref="BE126">$G$12+VLOOKUP($Q126,武学奇术!$A:$ZZ,12,FALSE)+SUM(_xlfn.XLOOKUP($R126:$AK126,增益!$A:$A,增益!$L:$L,0))</f>
        <v>0.15</v>
      </c>
      <c r="BF126">
        <f t="shared" si="39"/>
        <v>0</v>
      </c>
      <c r="BG126">
        <f t="shared" si="40"/>
        <v>0</v>
      </c>
      <c r="BH126" s="34" cm="1">
        <f t="array" ref="BH126">IF($F$13-$I$4+VLOOKUP($Q126,武学奇术!$A:$ZZ,13,FALSE)+SUM(_xlfn.XLOOKUP($R126:$AK126,增益!$A:$A,增益!$M:$M,0))&gt;0,($F$13-$I$4+VLOOKUP($Q126,武学奇术!$A:$ZZ,13,FALSE)+SUM(_xlfn.XLOOKUP($R126:$AK126,增益!$A:$A,增益!$K:$K,0)))/200,($F$13-$I$4+VLOOKUP($Q126,武学奇术!$A:$ZZ,13,FALSE)+SUM(_xlfn.XLOOKUP($R126:$AK126,增益!$A:$A,增益!$M:$M,0)))/100)</f>
        <v>-0.3</v>
      </c>
      <c r="BI126" s="34" cm="1">
        <f t="array" ref="BI126">$G$13+VLOOKUP($Q126,武学奇术!$A:$ZZ,14,FALSE)+SUM(_xlfn.XLOOKUP($R126:$AK126,增益!$A:$A,增益!$N:$N,0))</f>
        <v>0</v>
      </c>
      <c r="BJ126">
        <f t="shared" si="41"/>
        <v>0</v>
      </c>
      <c r="BK126">
        <f t="shared" si="42"/>
        <v>0</v>
      </c>
      <c r="BL126" s="34" cm="1">
        <f t="array" ref="BL126">IF($F$14-$I$4+VLOOKUP($Q126,武学奇术!$A:$ZZ,15,FALSE)+SUM(_xlfn.XLOOKUP($R126:$AK126,增益!$A:$A,增益!$O:$O,0))&gt;0,($F$14-$I$4+VLOOKUP($Q126,武学奇术!$A:$ZZ,15,FALSE)+SUM(_xlfn.XLOOKUP($R126:$AK126,增益!$A:$A,增益!$O:$O,0)))/200,($F$14-$I$4+VLOOKUP($Q126,武学奇术!$A:$ZZ,15,FALSE)+SUM(_xlfn.XLOOKUP($R126:$AK126,增益!$A:$A,增益!$O:$O,0)))/100)</f>
        <v>-0.3</v>
      </c>
      <c r="BM126" s="34" cm="1">
        <f t="array" ref="BM126">$G$14+VLOOKUP($Q126,武学奇术!$A:$ZZ,16,FALSE)+SUM(_xlfn.XLOOKUP($R126:$AK126,增益!$A:$A,增益!$P:$P,0))</f>
        <v>0</v>
      </c>
      <c r="BN126" s="27">
        <f>MIN(IF(VLOOKUP($Q126,武学奇术!$A:$ZZ,23,FALSE)=1,100%,$B$8),100%)</f>
        <v>0.9859</v>
      </c>
      <c r="BO126" s="27" cm="1">
        <f t="array" ref="BO126">IF(VLOOKUP($Q126,武学奇术!$A:$ZZ,23,FALSE)=1,100%,MIN(80%,$B$9+VLOOKUP($Q126,武学奇术!$A:$ZZ,17,FALSE)+SUM(_xlfn.XLOOKUP($R126:$AK126,增益!$A:$A,增益!$Q:$Q,0)))+$B$11+SUM(_xlfn.XLOOKUP($R126:$AK126,增益!$A:$A,增益!$U:$U,0)))*IF(VLOOKUP($Q126,武学奇术!$A:$ZZ,24,FALSE)=1,0,1)</f>
        <v>0.8912</v>
      </c>
      <c r="BP126" s="27" cm="1">
        <f t="array" ref="BP126">1+$B$13+VLOOKUP($Q126,武学奇术!$A:$ZZ,18,FALSE)+SUM(_xlfn.XLOOKUP($R126:$AK126,增益!$A:$A,增益!$R:$R,0))</f>
        <v>1.74</v>
      </c>
      <c r="BQ126" s="27" cm="1">
        <f t="array" ref="BQ126">IF(VLOOKUP($Q126,武学奇术!$A:$ZZ,24,FALSE)=1,100%,MIN(40%,$B$10+VLOOKUP($Q126,武学奇术!$A:$ZZ,19,FALSE)+SUM(_xlfn.XLOOKUP($R126:$AK126,增益!$A:$A,增益!$S:$S,0)))+$B$12+SUM(_xlfn.XLOOKUP($R126:$AK126,增益!$A:$A,增益!$V:$V,0)))*IF(VLOOKUP($Q126,武学奇术!$A:$ZZ,23,FALSE)=1,0,1)</f>
        <v>0.0929</v>
      </c>
      <c r="BR126" s="27" cm="1">
        <f t="array" ref="BR126">1+$B$14+VLOOKUP($Q126,武学奇术!$A:$ZZ,20,FALSE)+SUM(_xlfn.XLOOKUP($R126:$AK126,增益!$A:$A,增益!$T:$T,0))</f>
        <v>1.35</v>
      </c>
      <c r="BS126" s="27">
        <f t="shared" si="43"/>
        <v>0.87863408</v>
      </c>
      <c r="BT126" s="27">
        <f t="shared" si="44"/>
        <v>0.01567581</v>
      </c>
      <c r="BU126" s="27">
        <f>IF(VLOOKUP($Q126,武学奇术!$A:$ZZ,22,FALSE)=1,0,(1-$BN126))*(1-$BQ126)</f>
        <v>0.01279011</v>
      </c>
      <c r="BV126" s="27" cm="1">
        <f t="array" ref="BV126">SUM(_xlfn.XLOOKUP($R126:$AK126,增益!$A:$A,增益!$W:$W,0))+$I$5</f>
        <v>0.11</v>
      </c>
    </row>
    <row r="127" spans="11:74">
      <c r="K127" s="40">
        <f t="shared" si="45"/>
        <v>23203.3091976912</v>
      </c>
      <c r="L127" s="40">
        <f>((($AS127+$AT127)/2*$AM127+$AN127)*(1+$AU127)*(1+$AV127)+(($AX127+$AY127)/2*IF($G$1="鸣金",$AO127,$AM127)+IF($G$1="鸣金",$AP127*1.5,0))*(1+$AZ127)*(1+$BA127)+(($BB127+$BC127)/2*IF($G$1="裂石",$AO127,$AM127)+IF($G$1="裂石",$AP127*1.5,0))*(1+$BD127)*(1+$BE127)+(($BF127+$BG127)/2*IF($G$1="牵丝",$AO127,$AM127)+IF($G$1="牵丝",$AP127*1.5,0))*(1+$BH127)*(1+$BI127)+(($BJ127+$BK127)/2*IF($G$1="破竹",$AO127,$AM127)+IF($G$1="破竹",$AP127*1.5,0))*(1+$BL127)*(1+$BM127))*(1+$AQ127)*$BP127*$P127*(1+IF(VLOOKUP($Q127,武学奇术!$A:$ZZ,30,FALSE)="蓄力技",$B$21,0))*(1+$BV127)</f>
        <v>23831.1521211648</v>
      </c>
      <c r="M127" s="40">
        <f>(($AT127*$AM127+$AN127)*(1+$AU127)*(1+$AV127)+($AY127*IF($G$1="鸣金",$AO127,$AM127)+IF($G$1="鸣金",$AP127*1.5,0))*(1+$AZ127)*(1+$BA127)+($BC127*IF($G$1="裂石",$AO127,$AM127)+IF($G$1="裂石",$AP127*1.5,0))*(1+$BD127)*(1+$BE127)+($BG127*IF($G$1="牵丝",$AO127,$AM127)+IF($G$1="牵丝",$AP127*1.5,0))*(1+$BH127)*(1+$BI127)+($BK127*IF($G$1="破竹",$AO127,$AM127)+IF($G$1="破竹",$AP127*1.5,0))*(1+$BL127)*(1+$BM127))*(1+$AQ127)*$BR127*$P127*(1+IF(VLOOKUP($Q127,武学奇术!$A:$ZZ,30,FALSE)="蓄力技",$B$21,0))*(1+$BV127)</f>
        <v>20370.2047533931</v>
      </c>
      <c r="N127" s="40">
        <f>((($AS127+$AT127)/2*$AM127+$AN127)*(1+$AU127)*(1+$AV127)+(($AX127+$AY127)/2*IF($G$1="鸣金",$AO127,$AM127)+IF($G$1="鸣金",$AP127*1.5,0))*(1+$AZ127)*(1+$BA127)+(($BB127+$BC127)/2*IF($G$1="裂石",$AO127,$AM127)+IF($G$1="裂石",$AP127*1.5,0))*(1+$BD127)*(1+$BE127)+(($BF127+$BG127)/2*IF($G$1="牵丝",$AO127,$AM127)+IF($G$1="牵丝",$AP127*1.5,0))*(1+$BH127)*(1+$BI127)+(($BJ127+$BK127)/2*IF($G$1="破竹",$AO127,$AM127)+IF($G$1="破竹",$AP127*1.5,0))*(1+$BL127)*(1+$BM127))*(1+$AQ127)*$P127*(1+IF(VLOOKUP($Q127,武学奇术!$A:$ZZ,30,FALSE)="蓄力技",$B$21,0))*(1+$BV127)</f>
        <v>13696.064437451</v>
      </c>
      <c r="O127" s="40">
        <f>((($AS127*$AM127+$AN127)*(1+$AU127)*(1+$AV127)+($AX127*IF($G$1="鸣金",$AO127,$AM127)+IF($G$1="鸣金",$AP127*1.5,0))*(1+$AZ127)*(1+$BA127)+($BB127*IF($G$1="裂石",$AO127,$AM127)+IF($G$1="裂石",$AP127*1.5,0))*(1+$BD127)*(1+$BE127)+($BF127*IF($G$1="牵丝",$AO127,$AM127)+IF($G$1="牵丝",$AP127*1.5,0))*(1+$BH127)*(1+$BI127)+($BJ127*IF($G$1="破竹",$AO127,$AM127)+IF($G$1="破竹",$AP127*1.5,0))*(1+$BL127)*(1+$BM127))*(1+$AQ127))*$P127*(1+IF(VLOOKUP($Q127,武学奇术!$A:$ZZ,30,FALSE)="蓄力技",$B$21,0))*(1+$BV127)</f>
        <v>12303.0883168331</v>
      </c>
      <c r="P127" s="41">
        <f t="shared" si="46"/>
        <v>1</v>
      </c>
      <c r="Q127" s="42" t="s">
        <v>194</v>
      </c>
      <c r="R127" s="42" t="s">
        <v>103</v>
      </c>
      <c r="S127" s="42" t="s">
        <v>169</v>
      </c>
      <c r="T127" s="42" t="s">
        <v>86</v>
      </c>
      <c r="U127" s="42" t="s">
        <v>87</v>
      </c>
      <c r="V127" s="42" t="s">
        <v>77</v>
      </c>
      <c r="W127" s="42" t="s">
        <v>77</v>
      </c>
      <c r="X127" s="42" t="s">
        <v>176</v>
      </c>
      <c r="Y127" s="42" t="s">
        <v>186</v>
      </c>
      <c r="Z127" s="42" t="s">
        <v>187</v>
      </c>
      <c r="AA127" s="42" t="s">
        <v>77</v>
      </c>
      <c r="AB127" s="42" t="s">
        <v>95</v>
      </c>
      <c r="AC127" s="42" t="s">
        <v>77</v>
      </c>
      <c r="AD127" s="42" t="s">
        <v>80</v>
      </c>
      <c r="AE127" s="42" t="s">
        <v>81</v>
      </c>
      <c r="AF127" s="42" t="s">
        <v>82</v>
      </c>
      <c r="AG127" s="42" t="s">
        <v>77</v>
      </c>
      <c r="AH127" s="42" t="s">
        <v>77</v>
      </c>
      <c r="AI127" s="42" t="s">
        <v>77</v>
      </c>
      <c r="AJ127" s="42" t="s">
        <v>77</v>
      </c>
      <c r="AK127" s="42" t="s">
        <v>90</v>
      </c>
      <c r="AL127" t="str">
        <f>VLOOKUP($Q127,武学奇术!$A:$ZZ,25,FALSE)</f>
        <v>心法</v>
      </c>
      <c r="AM127" s="27">
        <f>VLOOKUP($Q127,武学奇术!$A:$ZZ,26,FALSE)</f>
        <v>1</v>
      </c>
      <c r="AN127" s="28">
        <f>VLOOKUP($Q127,武学奇术!$A:$ZZ,27,FALSE)*(1+IF(OR($AL127=$F$4,$AL127=$F$5),$B$22,0))</f>
        <v>0</v>
      </c>
      <c r="AO127" s="27">
        <f>VLOOKUP($Q127,武学奇术!$A:$ZZ,28,FALSE)</f>
        <v>1</v>
      </c>
      <c r="AP127" s="28">
        <f>VLOOKUP($Q127,武学奇术!$A:$ZZ,29,FALSE)*(1+IF(OR($AL127=$F$4,$AL127=$F$5),$B$22,0))</f>
        <v>0</v>
      </c>
      <c r="AQ127" s="27" cm="1">
        <f t="array" ref="AQ127">$G$3+IFERROR(VLOOKUP($AL127,$F$4:$G$7,2,FALSE),0)+VLOOKUP($Q127,武学奇术!$A:$ZZ,2,FALSE)+SUM(_xlfn.XLOOKUP($R127:$AK127,增益!$A:$A,增益!$B:$B,0))</f>
        <v>0.5637</v>
      </c>
      <c r="AR127" s="27" cm="1">
        <f t="array" ref="AR127">VLOOKUP($Q127,武学奇术!$A:$ZZ,5,FALSE)+SUM(_xlfn.XLOOKUP($R127:$AK127,增益!$A:$A,增益!$E:$E,0))</f>
        <v>0</v>
      </c>
      <c r="AS127" cm="1">
        <f t="array" ref="AS127">$D$10*(1+$AR127)+VLOOKUP($Q127,武学奇术!$A:$ZZ,3,FALSE)+SUM(_xlfn.XLOOKUP($R127:$AK127,增益!$A:$A,增益!$C:$C,0))-$I$2</f>
        <v>3648.7</v>
      </c>
      <c r="AT127" cm="1">
        <f t="array" ref="AT127">$E$10*(1+$AR127)+VLOOKUP($Q127,武学奇术!$A:$ZZ,4,FALSE)+SUM(_xlfn.XLOOKUP($R127:$AK127,增益!$A:$A,增益!$D:$D,0))-$I$2</f>
        <v>3648.7</v>
      </c>
      <c r="AU127" s="34" cm="1">
        <f t="array" ref="AU127">IF($F$10-$I$3+VLOOKUP($Q127,武学奇术!$A:$ZZ,6,FALSE)+SUM(_xlfn.XLOOKUP($R127:$AK127,增益!$A:$A,增益!$F:$F,0))&gt;0,($F$10-$I$3+VLOOKUP($Q127,武学奇术!$A:$ZZ,6,FALSE)+SUM(_xlfn.XLOOKUP($R127:$AK127,增益!$A:$A,增益!$F:$F,0)))/200,($F$10-$I$3+VLOOKUP($Q127,武学奇术!$A:$ZZ,6,FALSE)+SUM(_xlfn.XLOOKUP($R127:$AK127,增益!$A:$A,增益!$F:$F,0)))/100)</f>
        <v>0.427</v>
      </c>
      <c r="AV127" s="34" cm="1">
        <f t="array" ref="AV127">$G$10+VLOOKUP($Q127,武学奇术!$A:$ZZ,7,FALSE)+SUM(_xlfn.XLOOKUP($R127:$AK127,增益!$A:$A,增益!$G:$G,0))</f>
        <v>0</v>
      </c>
      <c r="AW127" s="27" cm="1">
        <f t="array" ref="AW127">VLOOKUP($Q127,武学奇术!$A:$ZZ,8,FALSE)+SUM(_xlfn.XLOOKUP($R127:$AK127,增益!$A:$A,增益!$H:$H,0))</f>
        <v>0</v>
      </c>
      <c r="AX127">
        <f t="shared" si="35"/>
        <v>0</v>
      </c>
      <c r="AY127">
        <f t="shared" si="36"/>
        <v>0</v>
      </c>
      <c r="AZ127" s="34" cm="1">
        <f t="array" ref="AZ127">IF($F$11-$I$4+VLOOKUP($Q127,武学奇术!$A:$ZZ,9,FALSE)+SUM(_xlfn.XLOOKUP($R127:$AK127,增益!$A:$A,增益!$I:$I,0))&gt;0,($F$11-$I$4+VLOOKUP($Q127,武学奇术!$A:$ZZ,9,FALSE)+SUM(_xlfn.XLOOKUP($R127:$AK127,增益!$A:$A,增益!$I:$I,0)))/200,($F$11-$I$4+VLOOKUP($Q127,武学奇术!$A:$ZZ,9,FALSE)+SUM(_xlfn.XLOOKUP($R127:$AK127,增益!$A:$A,增益!$I:$I,0)))/100)</f>
        <v>-0.14</v>
      </c>
      <c r="BA127" s="34" cm="1">
        <f t="array" ref="BA127">$G$11+VLOOKUP($Q127,武学奇术!$A:$ZZ,10,FALSE)+SUM(_xlfn.XLOOKUP($R127:$AK127,增益!$A:$A,增益!$J:$J,0))</f>
        <v>0.1</v>
      </c>
      <c r="BB127">
        <f t="shared" si="37"/>
        <v>594.1</v>
      </c>
      <c r="BC127">
        <f t="shared" si="38"/>
        <v>1604.9</v>
      </c>
      <c r="BD127" s="34" cm="1">
        <f t="array" ref="BD127">IF($F$12-$I$4+VLOOKUP($Q127,武学奇术!$A:$ZZ,11,FALSE)+SUM(_xlfn.XLOOKUP($R127:$AK127,增益!$A:$A,增益!$K:$K,0))&gt;0,($F$12-$I$4+VLOOKUP($Q127,武学奇术!$A:$ZZ,11,FALSE)+SUM(_xlfn.XLOOKUP($R127:$AK127,增益!$A:$A,增益!$K:$K,0)))/200,($F$12-$I$4+VLOOKUP($Q127,武学奇术!$A:$ZZ,11,FALSE)+SUM(_xlfn.XLOOKUP($R127:$AK127,增益!$A:$A,增益!$K:$K,0)))/100)</f>
        <v>0.17</v>
      </c>
      <c r="BE127" s="34" cm="1">
        <f t="array" ref="BE127">$G$12+VLOOKUP($Q127,武学奇术!$A:$ZZ,12,FALSE)+SUM(_xlfn.XLOOKUP($R127:$AK127,增益!$A:$A,增益!$L:$L,0))</f>
        <v>0.15</v>
      </c>
      <c r="BF127">
        <f t="shared" si="39"/>
        <v>0</v>
      </c>
      <c r="BG127">
        <f t="shared" si="40"/>
        <v>0</v>
      </c>
      <c r="BH127" s="34" cm="1">
        <f t="array" ref="BH127">IF($F$13-$I$4+VLOOKUP($Q127,武学奇术!$A:$ZZ,13,FALSE)+SUM(_xlfn.XLOOKUP($R127:$AK127,增益!$A:$A,增益!$M:$M,0))&gt;0,($F$13-$I$4+VLOOKUP($Q127,武学奇术!$A:$ZZ,13,FALSE)+SUM(_xlfn.XLOOKUP($R127:$AK127,增益!$A:$A,增益!$K:$K,0)))/200,($F$13-$I$4+VLOOKUP($Q127,武学奇术!$A:$ZZ,13,FALSE)+SUM(_xlfn.XLOOKUP($R127:$AK127,增益!$A:$A,增益!$M:$M,0)))/100)</f>
        <v>-0.14</v>
      </c>
      <c r="BI127" s="34" cm="1">
        <f t="array" ref="BI127">$G$13+VLOOKUP($Q127,武学奇术!$A:$ZZ,14,FALSE)+SUM(_xlfn.XLOOKUP($R127:$AK127,增益!$A:$A,增益!$N:$N,0))</f>
        <v>0</v>
      </c>
      <c r="BJ127">
        <f t="shared" si="41"/>
        <v>0</v>
      </c>
      <c r="BK127">
        <f t="shared" si="42"/>
        <v>0</v>
      </c>
      <c r="BL127" s="34" cm="1">
        <f t="array" ref="BL127">IF($F$14-$I$4+VLOOKUP($Q127,武学奇术!$A:$ZZ,15,FALSE)+SUM(_xlfn.XLOOKUP($R127:$AK127,增益!$A:$A,增益!$O:$O,0))&gt;0,($F$14-$I$4+VLOOKUP($Q127,武学奇术!$A:$ZZ,15,FALSE)+SUM(_xlfn.XLOOKUP($R127:$AK127,增益!$A:$A,增益!$O:$O,0)))/200,($F$14-$I$4+VLOOKUP($Q127,武学奇术!$A:$ZZ,15,FALSE)+SUM(_xlfn.XLOOKUP($R127:$AK127,增益!$A:$A,增益!$O:$O,0)))/100)</f>
        <v>-0.14</v>
      </c>
      <c r="BM127" s="34" cm="1">
        <f t="array" ref="BM127">$G$14+VLOOKUP($Q127,武学奇术!$A:$ZZ,16,FALSE)+SUM(_xlfn.XLOOKUP($R127:$AK127,增益!$A:$A,增益!$P:$P,0))</f>
        <v>0</v>
      </c>
      <c r="BN127" s="27">
        <f>MIN(IF(VLOOKUP($Q127,武学奇术!$A:$ZZ,23,FALSE)=1,100%,$B$8),100%)</f>
        <v>0.9859</v>
      </c>
      <c r="BO127" s="27" cm="1">
        <f t="array" ref="BO127">IF(VLOOKUP($Q127,武学奇术!$A:$ZZ,23,FALSE)=1,100%,MIN(80%,$B$9+VLOOKUP($Q127,武学奇术!$A:$ZZ,17,FALSE)+SUM(_xlfn.XLOOKUP($R127:$AK127,增益!$A:$A,增益!$Q:$Q,0)))+$B$11+SUM(_xlfn.XLOOKUP($R127:$AK127,增益!$A:$A,增益!$U:$U,0)))*IF(VLOOKUP($Q127,武学奇术!$A:$ZZ,24,FALSE)=1,0,1)</f>
        <v>0.8912</v>
      </c>
      <c r="BP127" s="27" cm="1">
        <f t="array" ref="BP127">1+$B$13+VLOOKUP($Q127,武学奇术!$A:$ZZ,18,FALSE)+SUM(_xlfn.XLOOKUP($R127:$AK127,增益!$A:$A,增益!$R:$R,0))</f>
        <v>1.74</v>
      </c>
      <c r="BQ127" s="27" cm="1">
        <f t="array" ref="BQ127">IF(VLOOKUP($Q127,武学奇术!$A:$ZZ,24,FALSE)=1,100%,MIN(40%,$B$10+VLOOKUP($Q127,武学奇术!$A:$ZZ,19,FALSE)+SUM(_xlfn.XLOOKUP($R127:$AK127,增益!$A:$A,增益!$S:$S,0)))+$B$12+SUM(_xlfn.XLOOKUP($R127:$AK127,增益!$A:$A,增益!$V:$V,0)))*IF(VLOOKUP($Q127,武学奇术!$A:$ZZ,23,FALSE)=1,0,1)</f>
        <v>0.0929</v>
      </c>
      <c r="BR127" s="27" cm="1">
        <f t="array" ref="BR127">1+$B$14+VLOOKUP($Q127,武学奇术!$A:$ZZ,20,FALSE)+SUM(_xlfn.XLOOKUP($R127:$AK127,增益!$A:$A,增益!$T:$T,0))</f>
        <v>1.35</v>
      </c>
      <c r="BS127" s="27">
        <f t="shared" si="43"/>
        <v>0.87863408</v>
      </c>
      <c r="BT127" s="27">
        <f t="shared" si="44"/>
        <v>0.01567581</v>
      </c>
      <c r="BU127" s="27">
        <f>IF(VLOOKUP($Q127,武学奇术!$A:$ZZ,22,FALSE)=1,0,(1-$BN127))*(1-$BQ127)</f>
        <v>0.01279011</v>
      </c>
      <c r="BV127" s="27" cm="1">
        <f t="array" ref="BV127">SUM(_xlfn.XLOOKUP($R127:$AK127,增益!$A:$A,增益!$W:$W,0))+$I$5</f>
        <v>0.31</v>
      </c>
    </row>
  </sheetData>
  <mergeCells count="38">
    <mergeCell ref="H1:I1"/>
    <mergeCell ref="C8:G8"/>
    <mergeCell ref="C15:D15"/>
    <mergeCell ref="E21:F21"/>
    <mergeCell ref="E22:F22"/>
    <mergeCell ref="A23:A24"/>
    <mergeCell ref="C27:C28"/>
    <mergeCell ref="C30:C36"/>
    <mergeCell ref="C58:C62"/>
    <mergeCell ref="C96:C98"/>
    <mergeCell ref="D31:D37"/>
    <mergeCell ref="D43:D51"/>
    <mergeCell ref="D55:D62"/>
    <mergeCell ref="D65:D73"/>
    <mergeCell ref="D79:D87"/>
    <mergeCell ref="D92:D98"/>
    <mergeCell ref="E33:E35"/>
    <mergeCell ref="E45:E47"/>
    <mergeCell ref="E59:E61"/>
    <mergeCell ref="E66:E68"/>
    <mergeCell ref="E78:E81"/>
    <mergeCell ref="E92:E98"/>
    <mergeCell ref="F92:F95"/>
    <mergeCell ref="F97:F98"/>
    <mergeCell ref="H8:H9"/>
    <mergeCell ref="H10:H11"/>
    <mergeCell ref="H12:H13"/>
    <mergeCell ref="H14:H15"/>
    <mergeCell ref="H16:H17"/>
    <mergeCell ref="H18:H19"/>
    <mergeCell ref="H20:H21"/>
    <mergeCell ref="I10:J11"/>
    <mergeCell ref="I8:J9"/>
    <mergeCell ref="I12:J13"/>
    <mergeCell ref="I14:J15"/>
    <mergeCell ref="I16:J17"/>
    <mergeCell ref="I18:J19"/>
    <mergeCell ref="I20:J21"/>
  </mergeCells>
  <conditionalFormatting sqref="F18">
    <cfRule type="cellIs" dxfId="0" priority="1" operator="greaterThanOrEqual">
      <formula>0.7</formula>
    </cfRule>
    <cfRule type="cellIs" dxfId="1" priority="3" operator="lessThan">
      <formula>0.7</formula>
    </cfRule>
  </conditionalFormatting>
  <dataValidations count="5">
    <dataValidation type="list" allowBlank="1" showInputMessage="1" showErrorMessage="1" sqref="G1">
      <formula1>"鸣金,裂石,牵丝,破竹"</formula1>
    </dataValidation>
    <dataValidation type="list" allowBlank="1" showInputMessage="1" showErrorMessage="1" sqref="E22:F22">
      <formula1>"易水歌,征人归"</formula1>
    </dataValidation>
    <dataValidation type="list" allowBlank="1" showInputMessage="1" showErrorMessage="1" sqref="D16:D18 D20:D22 F15:F17">
      <formula1>"√,×"</formula1>
    </dataValidation>
    <dataValidation type="list" allowBlank="1" showInputMessage="1" showErrorMessage="1" sqref="Q2:Q127">
      <formula1>武学奇术!$A:$A</formula1>
    </dataValidation>
    <dataValidation type="list" allowBlank="1" showInputMessage="1" showErrorMessage="1" sqref="R2:AK127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27"/>
  <sheetViews>
    <sheetView workbookViewId="0">
      <selection activeCell="E36" sqref="E36"/>
    </sheetView>
  </sheetViews>
  <sheetFormatPr defaultColWidth="9" defaultRowHeight="13.5"/>
  <cols>
    <col min="1" max="1" width="12.875" customWidth="1"/>
    <col min="11" max="15" width="12.625" style="28" customWidth="1"/>
    <col min="17" max="17" width="24.625" style="33" customWidth="1"/>
    <col min="18" max="37" width="9" style="33"/>
    <col min="39" max="39" width="9" style="27"/>
    <col min="40" max="40" width="9" style="28"/>
    <col min="41" max="41" width="9" style="27"/>
    <col min="42" max="42" width="9" style="28"/>
    <col min="43" max="44" width="9" style="27"/>
    <col min="47" max="49" width="9" style="34"/>
    <col min="52" max="53" width="9" style="34"/>
    <col min="66" max="70" width="9" style="27"/>
    <col min="71" max="72" width="9.00833333333333" style="27" customWidth="1"/>
    <col min="73" max="74" width="9" style="27"/>
  </cols>
  <sheetData>
    <row r="1" spans="1:74">
      <c r="A1" s="35"/>
      <c r="B1" s="36" t="s">
        <v>0</v>
      </c>
      <c r="C1" s="36" t="s">
        <v>1</v>
      </c>
      <c r="D1" s="36" t="s">
        <v>2</v>
      </c>
      <c r="E1" s="37" t="s">
        <v>3</v>
      </c>
      <c r="F1" s="38" t="s">
        <v>4</v>
      </c>
      <c r="G1" s="39" t="s">
        <v>5</v>
      </c>
      <c r="H1" s="38" t="s">
        <v>6</v>
      </c>
      <c r="I1" s="39"/>
      <c r="K1" s="40" t="s">
        <v>7</v>
      </c>
      <c r="L1" s="40" t="s">
        <v>8</v>
      </c>
      <c r="M1" s="40" t="s">
        <v>9</v>
      </c>
      <c r="N1" s="40" t="s">
        <v>10</v>
      </c>
      <c r="O1" s="40" t="s">
        <v>11</v>
      </c>
      <c r="P1" s="41" t="s">
        <v>12</v>
      </c>
      <c r="Q1" s="42" t="s">
        <v>13</v>
      </c>
      <c r="R1" s="42" t="s">
        <v>14</v>
      </c>
      <c r="S1" s="42" t="s">
        <v>15</v>
      </c>
      <c r="T1" s="42" t="s">
        <v>16</v>
      </c>
      <c r="U1" s="42" t="s">
        <v>17</v>
      </c>
      <c r="V1" s="42" t="s">
        <v>18</v>
      </c>
      <c r="W1" s="42" t="s">
        <v>19</v>
      </c>
      <c r="X1" s="42" t="s">
        <v>20</v>
      </c>
      <c r="Y1" s="42" t="s">
        <v>21</v>
      </c>
      <c r="Z1" s="42" t="s">
        <v>22</v>
      </c>
      <c r="AA1" s="42" t="s">
        <v>23</v>
      </c>
      <c r="AB1" s="42" t="s">
        <v>24</v>
      </c>
      <c r="AC1" s="42" t="s">
        <v>25</v>
      </c>
      <c r="AD1" s="42" t="s">
        <v>26</v>
      </c>
      <c r="AE1" s="42" t="s">
        <v>27</v>
      </c>
      <c r="AF1" s="42" t="s">
        <v>28</v>
      </c>
      <c r="AG1" s="42" t="s">
        <v>29</v>
      </c>
      <c r="AH1" s="42" t="s">
        <v>30</v>
      </c>
      <c r="AI1" s="42" t="s">
        <v>31</v>
      </c>
      <c r="AJ1" s="42" t="s">
        <v>32</v>
      </c>
      <c r="AK1" s="42" t="s">
        <v>33</v>
      </c>
      <c r="AL1" t="s">
        <v>34</v>
      </c>
      <c r="AM1" s="27" t="s">
        <v>35</v>
      </c>
      <c r="AN1" s="28" t="s">
        <v>36</v>
      </c>
      <c r="AO1" s="27" t="s">
        <v>37</v>
      </c>
      <c r="AP1" s="28" t="s">
        <v>38</v>
      </c>
      <c r="AQ1" s="27" t="s">
        <v>39</v>
      </c>
      <c r="AR1" s="27" t="s">
        <v>40</v>
      </c>
      <c r="AS1" t="s">
        <v>41</v>
      </c>
      <c r="AT1" t="s">
        <v>42</v>
      </c>
      <c r="AU1" s="34" t="s">
        <v>43</v>
      </c>
      <c r="AV1" s="34" t="s">
        <v>44</v>
      </c>
      <c r="AW1" s="34" t="s">
        <v>45</v>
      </c>
      <c r="AX1" t="s">
        <v>46</v>
      </c>
      <c r="AY1" t="s">
        <v>47</v>
      </c>
      <c r="AZ1" s="34" t="s">
        <v>48</v>
      </c>
      <c r="BA1" s="34" t="s">
        <v>49</v>
      </c>
      <c r="BB1" t="s">
        <v>50</v>
      </c>
      <c r="BC1" t="s">
        <v>51</v>
      </c>
      <c r="BD1" s="34" t="s">
        <v>52</v>
      </c>
      <c r="BE1" s="34" t="s">
        <v>53</v>
      </c>
      <c r="BF1" t="s">
        <v>54</v>
      </c>
      <c r="BG1" t="s">
        <v>55</v>
      </c>
      <c r="BH1" s="34" t="s">
        <v>56</v>
      </c>
      <c r="BI1" s="34" t="s">
        <v>57</v>
      </c>
      <c r="BJ1" t="s">
        <v>58</v>
      </c>
      <c r="BK1" t="s">
        <v>59</v>
      </c>
      <c r="BL1" s="34" t="s">
        <v>60</v>
      </c>
      <c r="BM1" s="34" t="s">
        <v>61</v>
      </c>
      <c r="BN1" s="27" t="s">
        <v>62</v>
      </c>
      <c r="BO1" s="27" t="s">
        <v>63</v>
      </c>
      <c r="BP1" s="27" t="s">
        <v>64</v>
      </c>
      <c r="BQ1" s="27" t="s">
        <v>65</v>
      </c>
      <c r="BR1" s="27" t="s">
        <v>66</v>
      </c>
      <c r="BS1" s="27" t="s">
        <v>67</v>
      </c>
      <c r="BT1" s="27" t="s">
        <v>68</v>
      </c>
      <c r="BU1" s="27" t="s">
        <v>69</v>
      </c>
      <c r="BV1" s="27" t="s">
        <v>70</v>
      </c>
    </row>
    <row r="2" spans="1:74">
      <c r="A2" s="43" t="s">
        <v>71</v>
      </c>
      <c r="B2" s="33"/>
      <c r="C2" s="33"/>
      <c r="D2" s="33"/>
      <c r="E2" s="44"/>
      <c r="F2" s="45" t="s">
        <v>72</v>
      </c>
      <c r="G2" s="46" t="s">
        <v>73</v>
      </c>
      <c r="H2" s="47" t="s">
        <v>74</v>
      </c>
      <c r="I2" s="11">
        <f>620*(1-IF(F17="√",0.06,0)-IF(D20="√",0.04,0))</f>
        <v>620</v>
      </c>
      <c r="K2" s="40">
        <f t="shared" ref="K2:K65" si="0">($L2*$BS2+$M2*$BQ2+$N2*$BT2+$O2*$BU2)</f>
        <v>21828.3598901249</v>
      </c>
      <c r="L2" s="40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BP2*$P2*(1+IF(VLOOKUP($Q2,武学奇术!$A:$ZZ,30,FALSE)="蓄力技",$B$21,0))*(1+$BV2)</f>
        <v>22092.5931690467</v>
      </c>
      <c r="M2" s="40">
        <f>(($AT2*$AM2+$AN2)*(1+$AU2)*(1+$AV2)+($AY2*IF($G$1="鸣金",$AO2,$AM2)+IF($G$1="鸣金",$AP2*1.5,0))*(1+$AZ2)*(1+$BA2)+($BC2*IF($G$1="裂石",$AO2,$AM2)+IF($G$1="裂石",$AP2*1.5,0))*(1+$BD2)*(1+$BE2)+($BG2*IF($G$1="牵丝",$AO2,$AM2)+IF($G$1="牵丝",$AP2*1.5,0))*(1+$BH2)*(1+$BI2)+($BK2*IF($G$1="破竹",$AO2,$AM2)+IF($G$1="破竹",$AP2*1.5,0))*(1+$BL2)*(1+$BM2))*(1+$AQ2)*$BR2*$P2*(1+IF(VLOOKUP($Q2,武学奇术!$A:$ZZ,30,FALSE)="蓄力技",$B$21,0))*(1+$BV2)</f>
        <v>21923.9090365365</v>
      </c>
      <c r="N2" s="40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P2*(1+IF(VLOOKUP($Q2,武学奇术!$A:$ZZ,30,FALSE)="蓄力技",$B$21,0))*(1+$BV2)</f>
        <v>14253.285915514</v>
      </c>
      <c r="O2" s="40">
        <f>((($AS2*$AM2+$AN2)*(1+$AU2)*(1+$AV2)+($AX2*IF($G$1="鸣金",$AO2,$AM2)+IF($G$1="鸣金",$AP2*1.5,0))*(1+$AZ2)*(1+$BA2)+($BB2*IF($G$1="裂石",$AO2,$AM2)+IF($G$1="裂石",$AP2*1.5,0))*(1+$BD2)*(1+$BE2)+($BF2*IF($G$1="牵丝",$AO2,$AM2)+IF($G$1="牵丝",$AP2*1.5,0))*(1+$BH2)*(1+$BI2)+($BJ2*IF($G$1="破竹",$AO2,$AM2)+IF($G$1="破竹",$AP2*1.5,0))*(1+$BL2)*(1+$BM2))*(1+$AQ2))*$P2*(1+IF(VLOOKUP($Q2,武学奇术!$A:$ZZ,30,FALSE)="蓄力技",$B$21,0))*(1+$BV2)</f>
        <v>12266.6392113714</v>
      </c>
      <c r="P2" s="41">
        <v>1</v>
      </c>
      <c r="Q2" s="42" t="s">
        <v>75</v>
      </c>
      <c r="R2" s="42" t="s">
        <v>76</v>
      </c>
      <c r="S2" s="42" t="s">
        <v>77</v>
      </c>
      <c r="T2" s="42" t="s">
        <v>77</v>
      </c>
      <c r="U2" s="42" t="s">
        <v>77</v>
      </c>
      <c r="V2" s="42" t="s">
        <v>77</v>
      </c>
      <c r="W2" s="42" t="s">
        <v>78</v>
      </c>
      <c r="X2" s="42" t="s">
        <v>79</v>
      </c>
      <c r="Y2" s="42" t="s">
        <v>77</v>
      </c>
      <c r="Z2" s="42" t="s">
        <v>77</v>
      </c>
      <c r="AA2" s="42" t="s">
        <v>77</v>
      </c>
      <c r="AB2" s="42" t="s">
        <v>77</v>
      </c>
      <c r="AC2" s="42" t="s">
        <v>77</v>
      </c>
      <c r="AD2" s="42" t="s">
        <v>77</v>
      </c>
      <c r="AE2" s="42" t="s">
        <v>81</v>
      </c>
      <c r="AF2" s="42" t="s">
        <v>82</v>
      </c>
      <c r="AG2" s="42" t="s">
        <v>77</v>
      </c>
      <c r="AH2" s="42" t="s">
        <v>77</v>
      </c>
      <c r="AI2" s="42" t="s">
        <v>77</v>
      </c>
      <c r="AJ2" s="42" t="s">
        <v>77</v>
      </c>
      <c r="AK2" s="42" t="s">
        <v>77</v>
      </c>
      <c r="AL2" t="str">
        <f>VLOOKUP($Q2,武学奇术!$A:$ZZ,25,FALSE)</f>
        <v>群体奇术</v>
      </c>
      <c r="AM2" s="27">
        <f>VLOOKUP($Q2,武学奇术!$A:$ZZ,26,FALSE)</f>
        <v>1.4904</v>
      </c>
      <c r="AN2" s="28">
        <f>VLOOKUP($Q2,武学奇术!$A:$ZZ,27,FALSE)*(1+IF(OR($AL2=$F$4,$AL2=$F$5),$B$22,0))</f>
        <v>378</v>
      </c>
      <c r="AO2" s="27">
        <f>VLOOKUP($Q2,武学奇术!$A:$ZZ,28,FALSE)</f>
        <v>2.2356</v>
      </c>
      <c r="AP2" s="28">
        <f>VLOOKUP($Q2,武学奇术!$A:$ZZ,29,FALSE)*(1+IF(OR($AL2=$F$4,$AL2=$F$5),$B$22,0))</f>
        <v>0</v>
      </c>
      <c r="AQ2" s="27" cm="1">
        <f t="array" ref="AQ2">$G$3+IFERROR(VLOOKUP($AL2,$F$4:$G$7,2,FALSE),0)+VLOOKUP($Q2,武学奇术!$A:$ZZ,2,FALSE)+SUM(_xlfn.XLOOKUP($R2:$AK2,增益!$A:$A,增益!$B:$B,0))</f>
        <v>0.2637</v>
      </c>
      <c r="AR2" s="27" cm="1">
        <f t="array" ref="AR2">VLOOKUP($Q2,武学奇术!$A:$ZZ,5,FALSE)+SUM(_xlfn.XLOOKUP($R2:$AK2,增益!$A:$A,增益!$E:$E,0))</f>
        <v>0</v>
      </c>
      <c r="AS2" cm="1">
        <f t="array" ref="AS2">$D$10*(1+$AR2)+VLOOKUP($Q2,武学奇术!$A:$ZZ,3,FALSE)+SUM(_xlfn.XLOOKUP($R2:$AK2,增益!$A:$A,增益!$C:$C,0))-$I$2</f>
        <v>3586.7</v>
      </c>
      <c r="AT2" cm="1">
        <f t="array" ref="AT2">$E$10*(1+$AR2)+VLOOKUP($Q2,武学奇术!$A:$ZZ,4,FALSE)+SUM(_xlfn.XLOOKUP($R2:$AK2,增益!$A:$A,增益!$D:$D,0))-$I$2</f>
        <v>3586.7</v>
      </c>
      <c r="AU2" s="34" cm="1">
        <f t="array" ref="AU2">IF($F$10-$I$3+VLOOKUP($Q2,武学奇术!$A:$ZZ,6,FALSE)+SUM(_xlfn.XLOOKUP($R2:$AK2,增益!$A:$A,增益!$F:$F,0))&gt;0,($F$10-$I$3+VLOOKUP($Q2,武学奇术!$A:$ZZ,6,FALSE)+SUM(_xlfn.XLOOKUP($R2:$AK2,增益!$A:$A,增益!$F:$F,0)))/200,($F$10-$I$3+VLOOKUP($Q2,武学奇术!$A:$ZZ,6,FALSE)+SUM(_xlfn.XLOOKUP($R2:$AK2,增益!$A:$A,增益!$F:$F,0)))/100)</f>
        <v>0.237</v>
      </c>
      <c r="AV2" s="34" cm="1">
        <f t="array" ref="AV2">$G$10+VLOOKUP($Q2,武学奇术!$A:$ZZ,7,FALSE)+SUM(_xlfn.XLOOKUP($R2:$AK2,增益!$A:$A,增益!$G:$G,0))</f>
        <v>0</v>
      </c>
      <c r="AW2" s="27" cm="1">
        <f t="array" ref="AW2">VLOOKUP($Q2,武学奇术!$A:$ZZ,8,FALSE)+SUM(_xlfn.XLOOKUP($R2:$AK2,增益!$A:$A,增益!$H:$H,0))</f>
        <v>0</v>
      </c>
      <c r="AX2">
        <f t="shared" ref="AX2:AX65" si="1">$D$11*(1+$AW2)</f>
        <v>0</v>
      </c>
      <c r="AY2">
        <f t="shared" ref="AY2:AY65" si="2">$E$11*(1+$AW2)</f>
        <v>0</v>
      </c>
      <c r="AZ2" s="34" cm="1">
        <f t="array" ref="AZ2">IF($F$11-$I$4+VLOOKUP($Q2,武学奇术!$A:$ZZ,9,FALSE)+SUM(_xlfn.XLOOKUP($R2:$AK2,增益!$A:$A,增益!$I:$I,0))&gt;0,($F$11-$I$4+VLOOKUP($Q2,武学奇术!$A:$ZZ,9,FALSE)+SUM(_xlfn.XLOOKUP($R2:$AK2,增益!$A:$A,增益!$I:$I,0)))/200,($F$11-$I$4+VLOOKUP($Q2,武学奇术!$A:$ZZ,9,FALSE)+SUM(_xlfn.XLOOKUP($R2:$AK2,增益!$A:$A,增益!$I:$I,0)))/100)</f>
        <v>-0.3</v>
      </c>
      <c r="BA2" s="34" cm="1">
        <f t="array" ref="BA2">$G$11+VLOOKUP($Q2,武学奇术!$A:$ZZ,10,FALSE)+SUM(_xlfn.XLOOKUP($R2:$AK2,增益!$A:$A,增益!$J:$J,0))</f>
        <v>0</v>
      </c>
      <c r="BB2">
        <f t="shared" ref="BB2:BB65" si="3">$D$12*(1+$AW2)</f>
        <v>594.1</v>
      </c>
      <c r="BC2">
        <f t="shared" ref="BC2:BC65" si="4">$E$12*(1+$AW2)</f>
        <v>1604.9</v>
      </c>
      <c r="BD2" s="34" cm="1">
        <f t="array" ref="BD2">IF($F$12-$I$4+VLOOKUP($Q2,武学奇术!$A:$ZZ,11,FALSE)+SUM(_xlfn.XLOOKUP($R2:$AK2,增益!$A:$A,增益!$K:$K,0))&gt;0,($F$12-$I$4+VLOOKUP($Q2,武学奇术!$A:$ZZ,11,FALSE)+SUM(_xlfn.XLOOKUP($R2:$AK2,增益!$A:$A,增益!$K:$K,0)))/200,($F$12-$I$4+VLOOKUP($Q2,武学奇术!$A:$ZZ,11,FALSE)+SUM(_xlfn.XLOOKUP($R2:$AK2,增益!$A:$A,增益!$K:$K,0)))/100)</f>
        <v>0.09</v>
      </c>
      <c r="BE2" s="34" cm="1">
        <f t="array" ref="BE2">$G$12+VLOOKUP($Q2,武学奇术!$A:$ZZ,12,FALSE)+SUM(_xlfn.XLOOKUP($R2:$AK2,增益!$A:$A,增益!$L:$L,0))</f>
        <v>0.15</v>
      </c>
      <c r="BF2">
        <f t="shared" ref="BF2:BF65" si="5">$D$13*(1+$AW2)</f>
        <v>0</v>
      </c>
      <c r="BG2">
        <f t="shared" ref="BG2:BG65" si="6">$E$13*(1+$AW2)</f>
        <v>0</v>
      </c>
      <c r="BH2" s="34" cm="1">
        <f t="array" ref="BH2">IF($F$13-$I$4+VLOOKUP($Q2,武学奇术!$A:$ZZ,13,FALSE)+SUM(_xlfn.XLOOKUP($R2:$AK2,增益!$A:$A,增益!$M:$M,0))&gt;0,($F$13-$I$4+VLOOKUP($Q2,武学奇术!$A:$ZZ,13,FALSE)+SUM(_xlfn.XLOOKUP($R2:$AK2,增益!$A:$A,增益!$K:$K,0)))/200,($F$13-$I$4+VLOOKUP($Q2,武学奇术!$A:$ZZ,13,FALSE)+SUM(_xlfn.XLOOKUP($R2:$AK2,增益!$A:$A,增益!$M:$M,0)))/100)</f>
        <v>-0.3</v>
      </c>
      <c r="BI2" s="34" cm="1">
        <f t="array" ref="BI2">$G$13+VLOOKUP($Q2,武学奇术!$A:$ZZ,14,FALSE)+SUM(_xlfn.XLOOKUP($R2:$AK2,增益!$A:$A,增益!$N:$N,0))</f>
        <v>0</v>
      </c>
      <c r="BJ2">
        <f t="shared" ref="BJ2:BJ65" si="7">$D$14*(1+$AW2)</f>
        <v>0</v>
      </c>
      <c r="BK2">
        <f t="shared" ref="BK2:BK65" si="8">$E$14*(1+$AW2)</f>
        <v>0</v>
      </c>
      <c r="BL2" s="34" cm="1">
        <f t="array" ref="BL2">IF($F$14-$I$4+VLOOKUP($Q2,武学奇术!$A:$ZZ,15,FALSE)+SUM(_xlfn.XLOOKUP($R2:$AK2,增益!$A:$A,增益!$O:$O,0))&gt;0,($F$14-$I$4+VLOOKUP($Q2,武学奇术!$A:$ZZ,15,FALSE)+SUM(_xlfn.XLOOKUP($R2:$AK2,增益!$A:$A,增益!$O:$O,0)))/200,($F$14-$I$4+VLOOKUP($Q2,武学奇术!$A:$ZZ,15,FALSE)+SUM(_xlfn.XLOOKUP($R2:$AK2,增益!$A:$A,增益!$O:$O,0)))/100)</f>
        <v>-0.3</v>
      </c>
      <c r="BM2" s="34" cm="1">
        <f t="array" ref="BM2">$G$14+VLOOKUP($Q2,武学奇术!$A:$ZZ,16,FALSE)+SUM(_xlfn.XLOOKUP($R2:$AK2,增益!$A:$A,增益!$P:$P,0))</f>
        <v>0</v>
      </c>
      <c r="BN2" s="27">
        <f>MIN(IF(VLOOKUP($Q2,武学奇术!$A:$ZZ,23,FALSE)=1,100%,$B$8),100%)</f>
        <v>0.9859</v>
      </c>
      <c r="BO2" s="27" cm="1">
        <f t="array" ref="BO2">IF(VLOOKUP($Q2,武学奇术!$A:$ZZ,23,FALSE)=1,100%,MIN(80%,$B$9+VLOOKUP($Q2,武学奇术!$A:$ZZ,17,FALSE)+SUM(_xlfn.XLOOKUP($R2:$AK2,增益!$A:$A,增益!$Q:$Q,0)))+$B$11+SUM(_xlfn.XLOOKUP($R2:$AK2,增益!$A:$A,增益!$U:$U,0)))*IF(VLOOKUP($Q2,武学奇术!$A:$ZZ,24,FALSE)=1,0,1)</f>
        <v>0.8912</v>
      </c>
      <c r="BP2" s="27" cm="1">
        <f t="array" ref="BP2">1+$B$13+VLOOKUP($Q2,武学奇术!$A:$ZZ,18,FALSE)+SUM(_xlfn.XLOOKUP($R2:$AK2,增益!$A:$A,增益!$R:$R,0))</f>
        <v>1.55</v>
      </c>
      <c r="BQ2" s="27" cm="1">
        <f t="array" ref="BQ2">IF(VLOOKUP($Q2,武学奇术!$A:$ZZ,24,FALSE)=1,100%,MIN(40%,$B$10+VLOOKUP($Q2,武学奇术!$A:$ZZ,19,FALSE)+SUM(_xlfn.XLOOKUP($R2:$AK2,增益!$A:$A,增益!$S:$S,0)))+$B$12+SUM(_xlfn.XLOOKUP($R2:$AK2,增益!$A:$A,增益!$V:$V,0)))*IF(VLOOKUP($Q2,武学奇术!$A:$ZZ,23,FALSE)=1,0,1)</f>
        <v>0.0929</v>
      </c>
      <c r="BR2" s="27" cm="1">
        <f t="array" ref="BR2">1+$B$14+VLOOKUP($Q2,武学奇术!$A:$ZZ,20,FALSE)+SUM(_xlfn.XLOOKUP($R2:$AK2,增益!$A:$A,增益!$T:$T,0))</f>
        <v>1.35</v>
      </c>
      <c r="BS2" s="27">
        <f t="shared" ref="BS2:BS65" si="9">MIN((1-BQ2)*BN2,BN2*BO2)</f>
        <v>0.87863408</v>
      </c>
      <c r="BT2" s="27">
        <f t="shared" ref="BT2:BT65" si="10">1-BQ2-BS2-BU2</f>
        <v>0.01567581</v>
      </c>
      <c r="BU2" s="27">
        <f>IF(VLOOKUP($Q2,武学奇术!$A:$ZZ,22,FALSE)=1,0,(1-$BN2))*(1-$BQ2)</f>
        <v>0.01279011</v>
      </c>
      <c r="BV2" s="27" cm="1">
        <f t="array" ref="BV2">SUM(_xlfn.XLOOKUP($R2:$AK2,增益!$A:$A,增益!$W:$W,0))+$I$5</f>
        <v>0.11</v>
      </c>
    </row>
    <row r="3" spans="1:74">
      <c r="A3" s="48" t="s">
        <v>83</v>
      </c>
      <c r="B3" s="49"/>
      <c r="C3" s="49"/>
      <c r="D3" s="49"/>
      <c r="E3" s="50"/>
      <c r="F3" s="47" t="s">
        <v>39</v>
      </c>
      <c r="G3" s="51">
        <f>B16+1.5%+IF(G2="断岳",5%,0)+IF($D$16="√",8%,0)+IF($E$22="征人归",8%,0)</f>
        <v>0.1537</v>
      </c>
      <c r="H3" s="47" t="s">
        <v>84</v>
      </c>
      <c r="I3" s="11">
        <f>25-IF(D17="√",10,0)-IF(F17="√",10,0)</f>
        <v>25</v>
      </c>
      <c r="K3" s="40">
        <f t="shared" si="0"/>
        <v>26256.1774501918</v>
      </c>
      <c r="L3" s="40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BP3*$P3*(1+IF(VLOOKUP($Q3,武学奇术!$A:$ZZ,30,FALSE)="蓄力技",$B$21,0))*(1+$BV3)</f>
        <v>26766.2004440239</v>
      </c>
      <c r="M3" s="40">
        <f>(($AT3*$AM3+$AN3)*(1+$AU3)*(1+$AV3)+($AY3*IF($G$1="鸣金",$AO3,$AM3)+IF($G$1="鸣金",$AP3*1.5,0))*(1+$AZ3)*(1+$BA3)+($BC3*IF($G$1="裂石",$AO3,$AM3)+IF($G$1="裂石",$AP3*1.5,0))*(1+$BD3)*(1+$BE3)+($BG3*IF($G$1="牵丝",$AO3,$AM3)+IF($G$1="牵丝",$AP3*1.5,0))*(1+$BH3)*(1+$BI3)+($BK3*IF($G$1="破竹",$AO3,$AM3)+IF($G$1="破竹",$AP3*1.5,0))*(1+$BL3)*(1+$BM3))*(1+$AQ3)*$BR3*$P3*(1+IF(VLOOKUP($Q3,武学奇术!$A:$ZZ,30,FALSE)="蓄力技",$B$21,0))*(1+$BV3)</f>
        <v>24851.5358270756</v>
      </c>
      <c r="N3" s="40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P3*(1+IF(VLOOKUP($Q3,武学奇术!$A:$ZZ,30,FALSE)="蓄力技",$B$21,0))*(1+$BV3)</f>
        <v>16124.2171349541</v>
      </c>
      <c r="O3" s="40">
        <f>((($AS3*$AM3+$AN3)*(1+$AU3)*(1+$AV3)+($AX3*IF($G$1="鸣金",$AO3,$AM3)+IF($G$1="鸣金",$AP3*1.5,0))*(1+$AZ3)*(1+$BA3)+($BB3*IF($G$1="裂石",$AO3,$AM3)+IF($G$1="裂石",$AP3*1.5,0))*(1+$BD3)*(1+$BE3)+($BF3*IF($G$1="牵丝",$AO3,$AM3)+IF($G$1="牵丝",$AP3*1.5,0))*(1+$BH3)*(1+$BI3)+($BJ3*IF($G$1="破竹",$AO3,$AM3)+IF($G$1="破竹",$AP3*1.5,0))*(1+$BL3)*(1+$BM3))*(1+$AQ3))*$P3*(1+IF(VLOOKUP($Q3,武学奇术!$A:$ZZ,30,FALSE)="蓄力技",$B$21,0))*(1+$BV3)</f>
        <v>13839.8892128152</v>
      </c>
      <c r="P3" s="41">
        <v>1</v>
      </c>
      <c r="Q3" s="42" t="s">
        <v>75</v>
      </c>
      <c r="R3" s="42" t="s">
        <v>85</v>
      </c>
      <c r="S3" s="42" t="s">
        <v>77</v>
      </c>
      <c r="T3" s="42" t="s">
        <v>86</v>
      </c>
      <c r="U3" s="42" t="s">
        <v>87</v>
      </c>
      <c r="V3" s="42" t="s">
        <v>77</v>
      </c>
      <c r="W3" s="42" t="s">
        <v>78</v>
      </c>
      <c r="X3" s="42" t="s">
        <v>88</v>
      </c>
      <c r="Y3" s="42" t="s">
        <v>77</v>
      </c>
      <c r="Z3" s="42" t="s">
        <v>77</v>
      </c>
      <c r="AA3" s="42" t="s">
        <v>77</v>
      </c>
      <c r="AB3" s="42" t="s">
        <v>77</v>
      </c>
      <c r="AC3" s="42" t="s">
        <v>77</v>
      </c>
      <c r="AD3" s="42" t="s">
        <v>77</v>
      </c>
      <c r="AE3" s="42" t="s">
        <v>81</v>
      </c>
      <c r="AF3" s="42" t="s">
        <v>82</v>
      </c>
      <c r="AG3" s="42" t="s">
        <v>77</v>
      </c>
      <c r="AH3" s="42" t="s">
        <v>77</v>
      </c>
      <c r="AI3" s="42" t="s">
        <v>77</v>
      </c>
      <c r="AJ3" s="42" t="s">
        <v>77</v>
      </c>
      <c r="AK3" s="42" t="s">
        <v>77</v>
      </c>
      <c r="AL3" t="str">
        <f>VLOOKUP($Q3,武学奇术!$A:$ZZ,25,FALSE)</f>
        <v>群体奇术</v>
      </c>
      <c r="AM3" s="27">
        <f>VLOOKUP($Q3,武学奇术!$A:$ZZ,26,FALSE)</f>
        <v>1.4904</v>
      </c>
      <c r="AN3" s="28">
        <f>VLOOKUP($Q3,武学奇术!$A:$ZZ,27,FALSE)*(1+IF(OR($AL3=$F$4,$AL3=$F$5),$B$22,0))</f>
        <v>378</v>
      </c>
      <c r="AO3" s="27">
        <f>VLOOKUP($Q3,武学奇术!$A:$ZZ,28,FALSE)</f>
        <v>2.2356</v>
      </c>
      <c r="AP3" s="28">
        <f>VLOOKUP($Q3,武学奇术!$A:$ZZ,29,FALSE)*(1+IF(OR($AL3=$F$4,$AL3=$F$5),$B$22,0))</f>
        <v>0</v>
      </c>
      <c r="AQ3" s="27" cm="1">
        <f t="array" ref="AQ3">$G$3+IFERROR(VLOOKUP($AL3,$F$4:$G$7,2,FALSE),0)+VLOOKUP($Q3,武学奇术!$A:$ZZ,2,FALSE)+SUM(_xlfn.XLOOKUP($R3:$AK3,增益!$A:$A,增益!$B:$B,0))</f>
        <v>0.3537</v>
      </c>
      <c r="AR3" s="27" cm="1">
        <f t="array" ref="AR3">VLOOKUP($Q3,武学奇术!$A:$ZZ,5,FALSE)+SUM(_xlfn.XLOOKUP($R3:$AK3,增益!$A:$A,增益!$E:$E,0))</f>
        <v>0</v>
      </c>
      <c r="AS3" cm="1">
        <f t="array" ref="AS3">$D$10*(1+$AR3)+VLOOKUP($Q3,武学奇术!$A:$ZZ,3,FALSE)+SUM(_xlfn.XLOOKUP($R3:$AK3,增益!$A:$A,增益!$C:$C,0))-$I$2</f>
        <v>3586.7</v>
      </c>
      <c r="AT3" cm="1">
        <f t="array" ref="AT3">$E$10*(1+$AR3)+VLOOKUP($Q3,武学奇术!$A:$ZZ,4,FALSE)+SUM(_xlfn.XLOOKUP($R3:$AK3,增益!$A:$A,增益!$D:$D,0))-$I$2</f>
        <v>3586.7</v>
      </c>
      <c r="AU3" s="34" cm="1">
        <f t="array" ref="AU3">IF($F$10-$I$3+VLOOKUP($Q3,武学奇术!$A:$ZZ,6,FALSE)+SUM(_xlfn.XLOOKUP($R3:$AK3,增益!$A:$A,增益!$F:$F,0))&gt;0,($F$10-$I$3+VLOOKUP($Q3,武学奇术!$A:$ZZ,6,FALSE)+SUM(_xlfn.XLOOKUP($R3:$AK3,增益!$A:$A,增益!$F:$F,0)))/200,($F$10-$I$3+VLOOKUP($Q3,武学奇术!$A:$ZZ,6,FALSE)+SUM(_xlfn.XLOOKUP($R3:$AK3,增益!$A:$A,增益!$F:$F,0)))/100)</f>
        <v>0.297</v>
      </c>
      <c r="AV3" s="34" cm="1">
        <f t="array" ref="AV3">$G$10+VLOOKUP($Q3,武学奇术!$A:$ZZ,7,FALSE)+SUM(_xlfn.XLOOKUP($R3:$AK3,增益!$A:$A,增益!$G:$G,0))</f>
        <v>0</v>
      </c>
      <c r="AW3" s="27" cm="1">
        <f t="array" ref="AW3">VLOOKUP($Q3,武学奇术!$A:$ZZ,8,FALSE)+SUM(_xlfn.XLOOKUP($R3:$AK3,增益!$A:$A,增益!$H:$H,0))</f>
        <v>0</v>
      </c>
      <c r="AX3">
        <f t="shared" si="1"/>
        <v>0</v>
      </c>
      <c r="AY3">
        <f t="shared" si="2"/>
        <v>0</v>
      </c>
      <c r="AZ3" s="34" cm="1">
        <f t="array" ref="AZ3">IF($F$11-$I$4+VLOOKUP($Q3,武学奇术!$A:$ZZ,9,FALSE)+SUM(_xlfn.XLOOKUP($R3:$AK3,增益!$A:$A,增益!$I:$I,0))&gt;0,($F$11-$I$4+VLOOKUP($Q3,武学奇术!$A:$ZZ,9,FALSE)+SUM(_xlfn.XLOOKUP($R3:$AK3,增益!$A:$A,增益!$I:$I,0)))/200,($F$11-$I$4+VLOOKUP($Q3,武学奇术!$A:$ZZ,9,FALSE)+SUM(_xlfn.XLOOKUP($R3:$AK3,增益!$A:$A,增益!$I:$I,0)))/100)</f>
        <v>-0.14</v>
      </c>
      <c r="BA3" s="34" cm="1">
        <f t="array" ref="BA3">$G$11+VLOOKUP($Q3,武学奇术!$A:$ZZ,10,FALSE)+SUM(_xlfn.XLOOKUP($R3:$AK3,增益!$A:$A,增益!$J:$J,0))</f>
        <v>0</v>
      </c>
      <c r="BB3">
        <f t="shared" si="3"/>
        <v>594.1</v>
      </c>
      <c r="BC3">
        <f t="shared" si="4"/>
        <v>1604.9</v>
      </c>
      <c r="BD3" s="34" cm="1">
        <f t="array" ref="BD3">IF($F$12-$I$4+VLOOKUP($Q3,武学奇术!$A:$ZZ,11,FALSE)+SUM(_xlfn.XLOOKUP($R3:$AK3,增益!$A:$A,增益!$K:$K,0))&gt;0,($F$12-$I$4+VLOOKUP($Q3,武学奇术!$A:$ZZ,11,FALSE)+SUM(_xlfn.XLOOKUP($R3:$AK3,增益!$A:$A,增益!$K:$K,0)))/200,($F$12-$I$4+VLOOKUP($Q3,武学奇术!$A:$ZZ,11,FALSE)+SUM(_xlfn.XLOOKUP($R3:$AK3,增益!$A:$A,增益!$K:$K,0)))/100)</f>
        <v>0.17</v>
      </c>
      <c r="BE3" s="34" cm="1">
        <f t="array" ref="BE3">$G$12+VLOOKUP($Q3,武学奇术!$A:$ZZ,12,FALSE)+SUM(_xlfn.XLOOKUP($R3:$AK3,增益!$A:$A,增益!$L:$L,0))</f>
        <v>0.15</v>
      </c>
      <c r="BF3">
        <f t="shared" si="5"/>
        <v>0</v>
      </c>
      <c r="BG3">
        <f t="shared" si="6"/>
        <v>0</v>
      </c>
      <c r="BH3" s="34" cm="1">
        <f t="array" ref="BH3">IF($F$13-$I$4+VLOOKUP($Q3,武学奇术!$A:$ZZ,13,FALSE)+SUM(_xlfn.XLOOKUP($R3:$AK3,增益!$A:$A,增益!$M:$M,0))&gt;0,($F$13-$I$4+VLOOKUP($Q3,武学奇术!$A:$ZZ,13,FALSE)+SUM(_xlfn.XLOOKUP($R3:$AK3,增益!$A:$A,增益!$K:$K,0)))/200,($F$13-$I$4+VLOOKUP($Q3,武学奇术!$A:$ZZ,13,FALSE)+SUM(_xlfn.XLOOKUP($R3:$AK3,增益!$A:$A,增益!$M:$M,0)))/100)</f>
        <v>-0.14</v>
      </c>
      <c r="BI3" s="34" cm="1">
        <f t="array" ref="BI3">$G$13+VLOOKUP($Q3,武学奇术!$A:$ZZ,14,FALSE)+SUM(_xlfn.XLOOKUP($R3:$AK3,增益!$A:$A,增益!$N:$N,0))</f>
        <v>0</v>
      </c>
      <c r="BJ3">
        <f t="shared" si="7"/>
        <v>0</v>
      </c>
      <c r="BK3">
        <f t="shared" si="8"/>
        <v>0</v>
      </c>
      <c r="BL3" s="34" cm="1">
        <f t="array" ref="BL3">IF($F$14-$I$4+VLOOKUP($Q3,武学奇术!$A:$ZZ,15,FALSE)+SUM(_xlfn.XLOOKUP($R3:$AK3,增益!$A:$A,增益!$O:$O,0))&gt;0,($F$14-$I$4+VLOOKUP($Q3,武学奇术!$A:$ZZ,15,FALSE)+SUM(_xlfn.XLOOKUP($R3:$AK3,增益!$A:$A,增益!$O:$O,0)))/200,($F$14-$I$4+VLOOKUP($Q3,武学奇术!$A:$ZZ,15,FALSE)+SUM(_xlfn.XLOOKUP($R3:$AK3,增益!$A:$A,增益!$O:$O,0)))/100)</f>
        <v>-0.14</v>
      </c>
      <c r="BM3" s="34" cm="1">
        <f t="array" ref="BM3">$G$14+VLOOKUP($Q3,武学奇术!$A:$ZZ,16,FALSE)+SUM(_xlfn.XLOOKUP($R3:$AK3,增益!$A:$A,增益!$P:$P,0))</f>
        <v>0</v>
      </c>
      <c r="BN3" s="27">
        <f>MIN(IF(VLOOKUP($Q3,武学奇术!$A:$ZZ,23,FALSE)=1,100%,$B$8),100%)</f>
        <v>0.9859</v>
      </c>
      <c r="BO3" s="27" cm="1">
        <f t="array" ref="BO3">IF(VLOOKUP($Q3,武学奇术!$A:$ZZ,23,FALSE)=1,100%,MIN(80%,$B$9+VLOOKUP($Q3,武学奇术!$A:$ZZ,17,FALSE)+SUM(_xlfn.XLOOKUP($R3:$AK3,增益!$A:$A,增益!$Q:$Q,0)))+$B$11+SUM(_xlfn.XLOOKUP($R3:$AK3,增益!$A:$A,增益!$U:$U,0)))*IF(VLOOKUP($Q3,武学奇术!$A:$ZZ,24,FALSE)=1,0,1)</f>
        <v>0.8912</v>
      </c>
      <c r="BP3" s="27" cm="1">
        <f t="array" ref="BP3">1+$B$13+VLOOKUP($Q3,武学奇术!$A:$ZZ,18,FALSE)+SUM(_xlfn.XLOOKUP($R3:$AK3,增益!$A:$A,增益!$R:$R,0))</f>
        <v>1.66</v>
      </c>
      <c r="BQ3" s="27" cm="1">
        <f t="array" ref="BQ3">IF(VLOOKUP($Q3,武学奇术!$A:$ZZ,24,FALSE)=1,100%,MIN(40%,$B$10+VLOOKUP($Q3,武学奇术!$A:$ZZ,19,FALSE)+SUM(_xlfn.XLOOKUP($R3:$AK3,增益!$A:$A,增益!$S:$S,0)))+$B$12+SUM(_xlfn.XLOOKUP($R3:$AK3,增益!$A:$A,增益!$V:$V,0)))*IF(VLOOKUP($Q3,武学奇术!$A:$ZZ,23,FALSE)=1,0,1)</f>
        <v>0.0929</v>
      </c>
      <c r="BR3" s="27" cm="1">
        <f t="array" ref="BR3">1+$B$14+VLOOKUP($Q3,武学奇术!$A:$ZZ,20,FALSE)+SUM(_xlfn.XLOOKUP($R3:$AK3,增益!$A:$A,增益!$T:$T,0))</f>
        <v>1.35</v>
      </c>
      <c r="BS3" s="27">
        <f t="shared" si="9"/>
        <v>0.87863408</v>
      </c>
      <c r="BT3" s="27">
        <f t="shared" si="10"/>
        <v>0.01567581</v>
      </c>
      <c r="BU3" s="27">
        <f>IF(VLOOKUP($Q3,武学奇术!$A:$ZZ,22,FALSE)=1,0,(1-$BN3))*(1-$BQ3)</f>
        <v>0.01279011</v>
      </c>
      <c r="BV3" s="27" cm="1">
        <f t="array" ref="BV3">SUM(_xlfn.XLOOKUP($R3:$AK3,增益!$A:$A,增益!$W:$W,0))+$I$5</f>
        <v>0.11</v>
      </c>
    </row>
    <row r="4" ht="14.25" spans="1:74">
      <c r="A4" s="52" t="s">
        <v>5</v>
      </c>
      <c r="B4" s="53"/>
      <c r="C4" s="53"/>
      <c r="D4" s="53"/>
      <c r="E4" s="54"/>
      <c r="F4" s="47" t="s">
        <v>91</v>
      </c>
      <c r="G4" s="51">
        <f>B15+B17</f>
        <v>0.1704</v>
      </c>
      <c r="H4" s="55" t="s">
        <v>92</v>
      </c>
      <c r="I4" s="14">
        <f>30</f>
        <v>30</v>
      </c>
      <c r="K4" s="40">
        <f t="shared" si="0"/>
        <v>26733.314300963</v>
      </c>
      <c r="L4" s="40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BP4*$P4*(1+IF(VLOOKUP($Q4,武学奇术!$A:$ZZ,30,FALSE)="蓄力技",$B$21,0))*(1+$BV4)</f>
        <v>27271.0467708246</v>
      </c>
      <c r="M4" s="40">
        <f>(($AT4*$AM4+$AN4)*(1+$AU4)*(1+$AV4)+($AY4*IF($G$1="鸣金",$AO4,$AM4)+IF($G$1="鸣金",$AP4*1.5,0))*(1+$AZ4)*(1+$BA4)+($BC4*IF($G$1="裂石",$AO4,$AM4)+IF($G$1="裂石",$AP4*1.5,0))*(1+$BD4)*(1+$BE4)+($BG4*IF($G$1="牵丝",$AO4,$AM4)+IF($G$1="牵丝",$AP4*1.5,0))*(1+$BH4)*(1+$BI4)+($BK4*IF($G$1="破竹",$AO4,$AM4)+IF($G$1="破竹",$AP4*1.5,0))*(1+$BL4)*(1+$BM4))*(1+$AQ4)*$BR4*$P4*(1+IF(VLOOKUP($Q4,武学奇术!$A:$ZZ,30,FALSE)="蓄力技",$B$21,0))*(1+$BV4)</f>
        <v>25152.0805081519</v>
      </c>
      <c r="N4" s="40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P4*(1+IF(VLOOKUP($Q4,武学奇术!$A:$ZZ,30,FALSE)="蓄力技",$B$21,0))*(1+$BV4)</f>
        <v>16329.9681262423</v>
      </c>
      <c r="O4" s="40">
        <f>((($AS4*$AM4+$AN4)*(1+$AU4)*(1+$AV4)+($AX4*IF($G$1="鸣金",$AO4,$AM4)+IF($G$1="鸣金",$AP4*1.5,0))*(1+$AZ4)*(1+$BA4)+($BB4*IF($G$1="裂石",$AO4,$AM4)+IF($G$1="裂石",$AP4*1.5,0))*(1+$BD4)*(1+$BE4)+($BF4*IF($G$1="牵丝",$AO4,$AM4)+IF($G$1="牵丝",$AP4*1.5,0))*(1+$BH4)*(1+$BI4)+($BJ4*IF($G$1="破竹",$AO4,$AM4)+IF($G$1="破竹",$AP4*1.5,0))*(1+$BL4)*(1+$BM4))*(1+$AQ4))*$P4*(1+IF(VLOOKUP($Q4,武学奇术!$A:$ZZ,30,FALSE)="蓄力技",$B$21,0))*(1+$BV4)</f>
        <v>14028.7655057054</v>
      </c>
      <c r="P4" s="41">
        <v>1</v>
      </c>
      <c r="Q4" s="42" t="s">
        <v>75</v>
      </c>
      <c r="R4" s="42" t="s">
        <v>93</v>
      </c>
      <c r="S4" s="42" t="s">
        <v>77</v>
      </c>
      <c r="T4" s="42" t="s">
        <v>86</v>
      </c>
      <c r="U4" s="42" t="s">
        <v>87</v>
      </c>
      <c r="V4" s="42" t="s">
        <v>77</v>
      </c>
      <c r="W4" s="42" t="s">
        <v>78</v>
      </c>
      <c r="X4" s="42" t="s">
        <v>94</v>
      </c>
      <c r="Y4" s="42" t="s">
        <v>77</v>
      </c>
      <c r="Z4" s="42" t="s">
        <v>77</v>
      </c>
      <c r="AA4" s="42" t="s">
        <v>77</v>
      </c>
      <c r="AB4" s="42" t="s">
        <v>77</v>
      </c>
      <c r="AC4" s="42" t="s">
        <v>77</v>
      </c>
      <c r="AD4" s="42" t="s">
        <v>77</v>
      </c>
      <c r="AE4" s="42" t="s">
        <v>81</v>
      </c>
      <c r="AF4" s="42" t="s">
        <v>82</v>
      </c>
      <c r="AG4" s="42" t="s">
        <v>77</v>
      </c>
      <c r="AH4" s="42" t="s">
        <v>77</v>
      </c>
      <c r="AI4" s="42" t="s">
        <v>77</v>
      </c>
      <c r="AJ4" s="42" t="s">
        <v>77</v>
      </c>
      <c r="AK4" s="42" t="s">
        <v>77</v>
      </c>
      <c r="AL4" t="str">
        <f>VLOOKUP($Q4,武学奇术!$A:$ZZ,25,FALSE)</f>
        <v>群体奇术</v>
      </c>
      <c r="AM4" s="27">
        <f>VLOOKUP($Q4,武学奇术!$A:$ZZ,26,FALSE)</f>
        <v>1.4904</v>
      </c>
      <c r="AN4" s="28">
        <f>VLOOKUP($Q4,武学奇术!$A:$ZZ,27,FALSE)*(1+IF(OR($AL4=$F$4,$AL4=$F$5),$B$22,0))</f>
        <v>378</v>
      </c>
      <c r="AO4" s="27">
        <f>VLOOKUP($Q4,武学奇术!$A:$ZZ,28,FALSE)</f>
        <v>2.2356</v>
      </c>
      <c r="AP4" s="28">
        <f>VLOOKUP($Q4,武学奇术!$A:$ZZ,29,FALSE)*(1+IF(OR($AL4=$F$4,$AL4=$F$5),$B$22,0))</f>
        <v>0</v>
      </c>
      <c r="AQ4" s="27" cm="1">
        <f t="array" ref="AQ4">$G$3+IFERROR(VLOOKUP($AL4,$F$4:$G$7,2,FALSE),0)+VLOOKUP($Q4,武学奇术!$A:$ZZ,2,FALSE)+SUM(_xlfn.XLOOKUP($R4:$AK4,增益!$A:$A,增益!$B:$B,0))</f>
        <v>0.3637</v>
      </c>
      <c r="AR4" s="27" cm="1">
        <f t="array" ref="AR4">VLOOKUP($Q4,武学奇术!$A:$ZZ,5,FALSE)+SUM(_xlfn.XLOOKUP($R4:$AK4,增益!$A:$A,增益!$E:$E,0))</f>
        <v>0</v>
      </c>
      <c r="AS4" cm="1">
        <f t="array" ref="AS4">$D$10*(1+$AR4)+VLOOKUP($Q4,武学奇术!$A:$ZZ,3,FALSE)+SUM(_xlfn.XLOOKUP($R4:$AK4,增益!$A:$A,增益!$C:$C,0))-$I$2</f>
        <v>3586.7</v>
      </c>
      <c r="AT4" cm="1">
        <f t="array" ref="AT4">$E$10*(1+$AR4)+VLOOKUP($Q4,武学奇术!$A:$ZZ,4,FALSE)+SUM(_xlfn.XLOOKUP($R4:$AK4,增益!$A:$A,增益!$D:$D,0))-$I$2</f>
        <v>3586.7</v>
      </c>
      <c r="AU4" s="34" cm="1">
        <f t="array" ref="AU4">IF($F$10-$I$3+VLOOKUP($Q4,武学奇术!$A:$ZZ,6,FALSE)+SUM(_xlfn.XLOOKUP($R4:$AK4,增益!$A:$A,增益!$F:$F,0))&gt;0,($F$10-$I$3+VLOOKUP($Q4,武学奇术!$A:$ZZ,6,FALSE)+SUM(_xlfn.XLOOKUP($R4:$AK4,增益!$A:$A,增益!$F:$F,0)))/200,($F$10-$I$3+VLOOKUP($Q4,武学奇术!$A:$ZZ,6,FALSE)+SUM(_xlfn.XLOOKUP($R4:$AK4,增益!$A:$A,增益!$F:$F,0)))/100)</f>
        <v>0.307</v>
      </c>
      <c r="AV4" s="34" cm="1">
        <f t="array" ref="AV4">$G$10+VLOOKUP($Q4,武学奇术!$A:$ZZ,7,FALSE)+SUM(_xlfn.XLOOKUP($R4:$AK4,增益!$A:$A,增益!$G:$G,0))</f>
        <v>0</v>
      </c>
      <c r="AW4" s="27" cm="1">
        <f t="array" ref="AW4">VLOOKUP($Q4,武学奇术!$A:$ZZ,8,FALSE)+SUM(_xlfn.XLOOKUP($R4:$AK4,增益!$A:$A,增益!$H:$H,0))</f>
        <v>0</v>
      </c>
      <c r="AX4">
        <f t="shared" si="1"/>
        <v>0</v>
      </c>
      <c r="AY4">
        <f t="shared" si="2"/>
        <v>0</v>
      </c>
      <c r="AZ4" s="34" cm="1">
        <f t="array" ref="AZ4">IF($F$11-$I$4+VLOOKUP($Q4,武学奇术!$A:$ZZ,9,FALSE)+SUM(_xlfn.XLOOKUP($R4:$AK4,增益!$A:$A,增益!$I:$I,0))&gt;0,($F$11-$I$4+VLOOKUP($Q4,武学奇术!$A:$ZZ,9,FALSE)+SUM(_xlfn.XLOOKUP($R4:$AK4,增益!$A:$A,增益!$I:$I,0)))/200,($F$11-$I$4+VLOOKUP($Q4,武学奇术!$A:$ZZ,9,FALSE)+SUM(_xlfn.XLOOKUP($R4:$AK4,增益!$A:$A,增益!$I:$I,0)))/100)</f>
        <v>-0.14</v>
      </c>
      <c r="BA4" s="34" cm="1">
        <f t="array" ref="BA4">$G$11+VLOOKUP($Q4,武学奇术!$A:$ZZ,10,FALSE)+SUM(_xlfn.XLOOKUP($R4:$AK4,增益!$A:$A,增益!$J:$J,0))</f>
        <v>0</v>
      </c>
      <c r="BB4">
        <f t="shared" si="3"/>
        <v>594.1</v>
      </c>
      <c r="BC4">
        <f t="shared" si="4"/>
        <v>1604.9</v>
      </c>
      <c r="BD4" s="34" cm="1">
        <f t="array" ref="BD4">IF($F$12-$I$4+VLOOKUP($Q4,武学奇术!$A:$ZZ,11,FALSE)+SUM(_xlfn.XLOOKUP($R4:$AK4,增益!$A:$A,增益!$K:$K,0))&gt;0,($F$12-$I$4+VLOOKUP($Q4,武学奇术!$A:$ZZ,11,FALSE)+SUM(_xlfn.XLOOKUP($R4:$AK4,增益!$A:$A,增益!$K:$K,0)))/200,($F$12-$I$4+VLOOKUP($Q4,武学奇术!$A:$ZZ,11,FALSE)+SUM(_xlfn.XLOOKUP($R4:$AK4,增益!$A:$A,增益!$K:$K,0)))/100)</f>
        <v>0.17</v>
      </c>
      <c r="BE4" s="34" cm="1">
        <f t="array" ref="BE4">$G$12+VLOOKUP($Q4,武学奇术!$A:$ZZ,12,FALSE)+SUM(_xlfn.XLOOKUP($R4:$AK4,增益!$A:$A,增益!$L:$L,0))</f>
        <v>0.15</v>
      </c>
      <c r="BF4">
        <f t="shared" si="5"/>
        <v>0</v>
      </c>
      <c r="BG4">
        <f t="shared" si="6"/>
        <v>0</v>
      </c>
      <c r="BH4" s="34" cm="1">
        <f t="array" ref="BH4">IF($F$13-$I$4+VLOOKUP($Q4,武学奇术!$A:$ZZ,13,FALSE)+SUM(_xlfn.XLOOKUP($R4:$AK4,增益!$A:$A,增益!$M:$M,0))&gt;0,($F$13-$I$4+VLOOKUP($Q4,武学奇术!$A:$ZZ,13,FALSE)+SUM(_xlfn.XLOOKUP($R4:$AK4,增益!$A:$A,增益!$K:$K,0)))/200,($F$13-$I$4+VLOOKUP($Q4,武学奇术!$A:$ZZ,13,FALSE)+SUM(_xlfn.XLOOKUP($R4:$AK4,增益!$A:$A,增益!$M:$M,0)))/100)</f>
        <v>-0.14</v>
      </c>
      <c r="BI4" s="34" cm="1">
        <f t="array" ref="BI4">$G$13+VLOOKUP($Q4,武学奇术!$A:$ZZ,14,FALSE)+SUM(_xlfn.XLOOKUP($R4:$AK4,增益!$A:$A,增益!$N:$N,0))</f>
        <v>0</v>
      </c>
      <c r="BJ4">
        <f t="shared" si="7"/>
        <v>0</v>
      </c>
      <c r="BK4">
        <f t="shared" si="8"/>
        <v>0</v>
      </c>
      <c r="BL4" s="34" cm="1">
        <f t="array" ref="BL4">IF($F$14-$I$4+VLOOKUP($Q4,武学奇术!$A:$ZZ,15,FALSE)+SUM(_xlfn.XLOOKUP($R4:$AK4,增益!$A:$A,增益!$O:$O,0))&gt;0,($F$14-$I$4+VLOOKUP($Q4,武学奇术!$A:$ZZ,15,FALSE)+SUM(_xlfn.XLOOKUP($R4:$AK4,增益!$A:$A,增益!$O:$O,0)))/200,($F$14-$I$4+VLOOKUP($Q4,武学奇术!$A:$ZZ,15,FALSE)+SUM(_xlfn.XLOOKUP($R4:$AK4,增益!$A:$A,增益!$O:$O,0)))/100)</f>
        <v>-0.14</v>
      </c>
      <c r="BM4" s="34" cm="1">
        <f t="array" ref="BM4">$G$14+VLOOKUP($Q4,武学奇术!$A:$ZZ,16,FALSE)+SUM(_xlfn.XLOOKUP($R4:$AK4,增益!$A:$A,增益!$P:$P,0))</f>
        <v>0</v>
      </c>
      <c r="BN4" s="27">
        <f>MIN(IF(VLOOKUP($Q4,武学奇术!$A:$ZZ,23,FALSE)=1,100%,$B$8),100%)</f>
        <v>0.9859</v>
      </c>
      <c r="BO4" s="27" cm="1">
        <f t="array" ref="BO4">IF(VLOOKUP($Q4,武学奇术!$A:$ZZ,23,FALSE)=1,100%,MIN(80%,$B$9+VLOOKUP($Q4,武学奇术!$A:$ZZ,17,FALSE)+SUM(_xlfn.XLOOKUP($R4:$AK4,增益!$A:$A,增益!$Q:$Q,0)))+$B$11+SUM(_xlfn.XLOOKUP($R4:$AK4,增益!$A:$A,增益!$U:$U,0)))*IF(VLOOKUP($Q4,武学奇术!$A:$ZZ,24,FALSE)=1,0,1)</f>
        <v>0.8912</v>
      </c>
      <c r="BP4" s="27" cm="1">
        <f t="array" ref="BP4">1+$B$13+VLOOKUP($Q4,武学奇术!$A:$ZZ,18,FALSE)+SUM(_xlfn.XLOOKUP($R4:$AK4,增益!$A:$A,增益!$R:$R,0))</f>
        <v>1.67</v>
      </c>
      <c r="BQ4" s="27" cm="1">
        <f t="array" ref="BQ4">IF(VLOOKUP($Q4,武学奇术!$A:$ZZ,24,FALSE)=1,100%,MIN(40%,$B$10+VLOOKUP($Q4,武学奇术!$A:$ZZ,19,FALSE)+SUM(_xlfn.XLOOKUP($R4:$AK4,增益!$A:$A,增益!$S:$S,0)))+$B$12+SUM(_xlfn.XLOOKUP($R4:$AK4,增益!$A:$A,增益!$V:$V,0)))*IF(VLOOKUP($Q4,武学奇术!$A:$ZZ,23,FALSE)=1,0,1)</f>
        <v>0.0929</v>
      </c>
      <c r="BR4" s="27" cm="1">
        <f t="array" ref="BR4">1+$B$14+VLOOKUP($Q4,武学奇术!$A:$ZZ,20,FALSE)+SUM(_xlfn.XLOOKUP($R4:$AK4,增益!$A:$A,增益!$T:$T,0))</f>
        <v>1.35</v>
      </c>
      <c r="BS4" s="27">
        <f t="shared" si="9"/>
        <v>0.87863408</v>
      </c>
      <c r="BT4" s="27">
        <f t="shared" si="10"/>
        <v>0.01567581</v>
      </c>
      <c r="BU4" s="27">
        <f>IF(VLOOKUP($Q4,武学奇术!$A:$ZZ,22,FALSE)=1,0,(1-$BN4))*(1-$BQ4)</f>
        <v>0.01279011</v>
      </c>
      <c r="BV4" s="27" cm="1">
        <f t="array" ref="BV4">SUM(_xlfn.XLOOKUP($R4:$AK4,增益!$A:$A,增益!$W:$W,0))+$I$5</f>
        <v>0.11</v>
      </c>
    </row>
    <row r="5" spans="1:74">
      <c r="A5" s="56" t="s">
        <v>96</v>
      </c>
      <c r="B5" s="57"/>
      <c r="C5" s="57"/>
      <c r="D5" s="57"/>
      <c r="E5" s="58"/>
      <c r="F5" s="47" t="s">
        <v>97</v>
      </c>
      <c r="G5" s="51">
        <f>B15+B18</f>
        <v>0.0852</v>
      </c>
      <c r="H5" t="s">
        <v>98</v>
      </c>
      <c r="I5" s="29">
        <v>0.06</v>
      </c>
      <c r="K5" s="40">
        <f t="shared" si="0"/>
        <v>27216.1378791192</v>
      </c>
      <c r="L5" s="40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BP5*$P5*(1+IF(VLOOKUP($Q5,武学奇术!$A:$ZZ,30,FALSE)="蓄力技",$B$21,0))*(1+$BV5)</f>
        <v>27782.1427979011</v>
      </c>
      <c r="M5" s="40">
        <f>(($AT5*$AM5+$AN5)*(1+$AU5)*(1+$AV5)+($AY5*IF($G$1="鸣金",$AO5,$AM5)+IF($G$1="鸣金",$AP5*1.5,0))*(1+$AZ5)*(1+$BA5)+($BC5*IF($G$1="裂石",$AO5,$AM5)+IF($G$1="裂石",$AP5*1.5,0))*(1+$BD5)*(1+$BE5)+($BG5*IF($G$1="牵丝",$AO5,$AM5)+IF($G$1="牵丝",$AP5*1.5,0))*(1+$BH5)*(1+$BI5)+($BK5*IF($G$1="破竹",$AO5,$AM5)+IF($G$1="破竹",$AP5*1.5,0))*(1+$BL5)*(1+$BM5))*(1+$AQ5)*$BR5*$P5*(1+IF(VLOOKUP($Q5,武学奇术!$A:$ZZ,30,FALSE)="蓄力技",$B$21,0))*(1+$BV5)</f>
        <v>25454.3405574469</v>
      </c>
      <c r="N5" s="40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P5*(1+IF(VLOOKUP($Q5,武学奇术!$A:$ZZ,30,FALSE)="蓄力技",$B$21,0))*(1+$BV5)</f>
        <v>16536.9897606554</v>
      </c>
      <c r="O5" s="40">
        <f>((($AS5*$AM5+$AN5)*(1+$AU5)*(1+$AV5)+($AX5*IF($G$1="鸣金",$AO5,$AM5)+IF($G$1="鸣金",$AP5*1.5,0))*(1+$AZ5)*(1+$BA5)+($BB5*IF($G$1="裂石",$AO5,$AM5)+IF($G$1="裂石",$AP5*1.5,0))*(1+$BD5)*(1+$BE5)+($BF5*IF($G$1="牵丝",$AO5,$AM5)+IF($G$1="牵丝",$AP5*1.5,0))*(1+$BH5)*(1+$BI5)+($BJ5*IF($G$1="破竹",$AO5,$AM5)+IF($G$1="破竹",$AP5*1.5,0))*(1+$BL5)*(1+$BM5))*(1+$AQ5))*$P5*(1+IF(VLOOKUP($Q5,武学奇术!$A:$ZZ,30,FALSE)="蓄力技",$B$21,0))*(1+$BV5)</f>
        <v>14218.9124417205</v>
      </c>
      <c r="P5" s="41">
        <v>1</v>
      </c>
      <c r="Q5" s="42" t="s">
        <v>75</v>
      </c>
      <c r="R5" s="42" t="s">
        <v>99</v>
      </c>
      <c r="S5" s="42" t="s">
        <v>77</v>
      </c>
      <c r="T5" s="42" t="s">
        <v>86</v>
      </c>
      <c r="U5" s="42" t="s">
        <v>87</v>
      </c>
      <c r="V5" s="42" t="s">
        <v>77</v>
      </c>
      <c r="W5" s="42" t="s">
        <v>78</v>
      </c>
      <c r="X5" s="42" t="s">
        <v>100</v>
      </c>
      <c r="Y5" s="42" t="s">
        <v>77</v>
      </c>
      <c r="Z5" s="42" t="s">
        <v>77</v>
      </c>
      <c r="AA5" s="42" t="s">
        <v>77</v>
      </c>
      <c r="AB5" s="42" t="s">
        <v>77</v>
      </c>
      <c r="AC5" s="42" t="s">
        <v>77</v>
      </c>
      <c r="AD5" s="42" t="s">
        <v>77</v>
      </c>
      <c r="AE5" s="42" t="s">
        <v>81</v>
      </c>
      <c r="AF5" s="42" t="s">
        <v>82</v>
      </c>
      <c r="AG5" s="42" t="s">
        <v>77</v>
      </c>
      <c r="AH5" s="42" t="s">
        <v>77</v>
      </c>
      <c r="AI5" s="42" t="s">
        <v>77</v>
      </c>
      <c r="AJ5" s="42" t="s">
        <v>77</v>
      </c>
      <c r="AK5" s="42" t="s">
        <v>77</v>
      </c>
      <c r="AL5" t="str">
        <f>VLOOKUP($Q5,武学奇术!$A:$ZZ,25,FALSE)</f>
        <v>群体奇术</v>
      </c>
      <c r="AM5" s="27">
        <f>VLOOKUP($Q5,武学奇术!$A:$ZZ,26,FALSE)</f>
        <v>1.4904</v>
      </c>
      <c r="AN5" s="28">
        <f>VLOOKUP($Q5,武学奇术!$A:$ZZ,27,FALSE)*(1+IF(OR($AL5=$F$4,$AL5=$F$5),$B$22,0))</f>
        <v>378</v>
      </c>
      <c r="AO5" s="27">
        <f>VLOOKUP($Q5,武学奇术!$A:$ZZ,28,FALSE)</f>
        <v>2.2356</v>
      </c>
      <c r="AP5" s="28">
        <f>VLOOKUP($Q5,武学奇术!$A:$ZZ,29,FALSE)*(1+IF(OR($AL5=$F$4,$AL5=$F$5),$B$22,0))</f>
        <v>0</v>
      </c>
      <c r="AQ5" s="27" cm="1">
        <f t="array" ref="AQ5">$G$3+IFERROR(VLOOKUP($AL5,$F$4:$G$7,2,FALSE),0)+VLOOKUP($Q5,武学奇术!$A:$ZZ,2,FALSE)+SUM(_xlfn.XLOOKUP($R5:$AK5,增益!$A:$A,增益!$B:$B,0))</f>
        <v>0.3737</v>
      </c>
      <c r="AR5" s="27" cm="1">
        <f t="array" ref="AR5">VLOOKUP($Q5,武学奇术!$A:$ZZ,5,FALSE)+SUM(_xlfn.XLOOKUP($R5:$AK5,增益!$A:$A,增益!$E:$E,0))</f>
        <v>0</v>
      </c>
      <c r="AS5" cm="1">
        <f t="array" ref="AS5">$D$10*(1+$AR5)+VLOOKUP($Q5,武学奇术!$A:$ZZ,3,FALSE)+SUM(_xlfn.XLOOKUP($R5:$AK5,增益!$A:$A,增益!$C:$C,0))-$I$2</f>
        <v>3586.7</v>
      </c>
      <c r="AT5" cm="1">
        <f t="array" ref="AT5">$E$10*(1+$AR5)+VLOOKUP($Q5,武学奇术!$A:$ZZ,4,FALSE)+SUM(_xlfn.XLOOKUP($R5:$AK5,增益!$A:$A,增益!$D:$D,0))-$I$2</f>
        <v>3586.7</v>
      </c>
      <c r="AU5" s="34" cm="1">
        <f t="array" ref="AU5">IF($F$10-$I$3+VLOOKUP($Q5,武学奇术!$A:$ZZ,6,FALSE)+SUM(_xlfn.XLOOKUP($R5:$AK5,增益!$A:$A,增益!$F:$F,0))&gt;0,($F$10-$I$3+VLOOKUP($Q5,武学奇术!$A:$ZZ,6,FALSE)+SUM(_xlfn.XLOOKUP($R5:$AK5,增益!$A:$A,增益!$F:$F,0)))/200,($F$10-$I$3+VLOOKUP($Q5,武学奇术!$A:$ZZ,6,FALSE)+SUM(_xlfn.XLOOKUP($R5:$AK5,增益!$A:$A,增益!$F:$F,0)))/100)</f>
        <v>0.317</v>
      </c>
      <c r="AV5" s="34" cm="1">
        <f t="array" ref="AV5">$G$10+VLOOKUP($Q5,武学奇术!$A:$ZZ,7,FALSE)+SUM(_xlfn.XLOOKUP($R5:$AK5,增益!$A:$A,增益!$G:$G,0))</f>
        <v>0</v>
      </c>
      <c r="AW5" s="27" cm="1">
        <f t="array" ref="AW5">VLOOKUP($Q5,武学奇术!$A:$ZZ,8,FALSE)+SUM(_xlfn.XLOOKUP($R5:$AK5,增益!$A:$A,增益!$H:$H,0))</f>
        <v>0</v>
      </c>
      <c r="AX5">
        <f t="shared" si="1"/>
        <v>0</v>
      </c>
      <c r="AY5">
        <f t="shared" si="2"/>
        <v>0</v>
      </c>
      <c r="AZ5" s="34" cm="1">
        <f t="array" ref="AZ5">IF($F$11-$I$4+VLOOKUP($Q5,武学奇术!$A:$ZZ,9,FALSE)+SUM(_xlfn.XLOOKUP($R5:$AK5,增益!$A:$A,增益!$I:$I,0))&gt;0,($F$11-$I$4+VLOOKUP($Q5,武学奇术!$A:$ZZ,9,FALSE)+SUM(_xlfn.XLOOKUP($R5:$AK5,增益!$A:$A,增益!$I:$I,0)))/200,($F$11-$I$4+VLOOKUP($Q5,武学奇术!$A:$ZZ,9,FALSE)+SUM(_xlfn.XLOOKUP($R5:$AK5,增益!$A:$A,增益!$I:$I,0)))/100)</f>
        <v>-0.14</v>
      </c>
      <c r="BA5" s="34" cm="1">
        <f t="array" ref="BA5">$G$11+VLOOKUP($Q5,武学奇术!$A:$ZZ,10,FALSE)+SUM(_xlfn.XLOOKUP($R5:$AK5,增益!$A:$A,增益!$J:$J,0))</f>
        <v>0</v>
      </c>
      <c r="BB5">
        <f t="shared" si="3"/>
        <v>594.1</v>
      </c>
      <c r="BC5">
        <f t="shared" si="4"/>
        <v>1604.9</v>
      </c>
      <c r="BD5" s="34" cm="1">
        <f t="array" ref="BD5">IF($F$12-$I$4+VLOOKUP($Q5,武学奇术!$A:$ZZ,11,FALSE)+SUM(_xlfn.XLOOKUP($R5:$AK5,增益!$A:$A,增益!$K:$K,0))&gt;0,($F$12-$I$4+VLOOKUP($Q5,武学奇术!$A:$ZZ,11,FALSE)+SUM(_xlfn.XLOOKUP($R5:$AK5,增益!$A:$A,增益!$K:$K,0)))/200,($F$12-$I$4+VLOOKUP($Q5,武学奇术!$A:$ZZ,11,FALSE)+SUM(_xlfn.XLOOKUP($R5:$AK5,增益!$A:$A,增益!$K:$K,0)))/100)</f>
        <v>0.17</v>
      </c>
      <c r="BE5" s="34" cm="1">
        <f t="array" ref="BE5">$G$12+VLOOKUP($Q5,武学奇术!$A:$ZZ,12,FALSE)+SUM(_xlfn.XLOOKUP($R5:$AK5,增益!$A:$A,增益!$L:$L,0))</f>
        <v>0.15</v>
      </c>
      <c r="BF5">
        <f t="shared" si="5"/>
        <v>0</v>
      </c>
      <c r="BG5">
        <f t="shared" si="6"/>
        <v>0</v>
      </c>
      <c r="BH5" s="34" cm="1">
        <f t="array" ref="BH5">IF($F$13-$I$4+VLOOKUP($Q5,武学奇术!$A:$ZZ,13,FALSE)+SUM(_xlfn.XLOOKUP($R5:$AK5,增益!$A:$A,增益!$M:$M,0))&gt;0,($F$13-$I$4+VLOOKUP($Q5,武学奇术!$A:$ZZ,13,FALSE)+SUM(_xlfn.XLOOKUP($R5:$AK5,增益!$A:$A,增益!$K:$K,0)))/200,($F$13-$I$4+VLOOKUP($Q5,武学奇术!$A:$ZZ,13,FALSE)+SUM(_xlfn.XLOOKUP($R5:$AK5,增益!$A:$A,增益!$M:$M,0)))/100)</f>
        <v>-0.14</v>
      </c>
      <c r="BI5" s="34" cm="1">
        <f t="array" ref="BI5">$G$13+VLOOKUP($Q5,武学奇术!$A:$ZZ,14,FALSE)+SUM(_xlfn.XLOOKUP($R5:$AK5,增益!$A:$A,增益!$N:$N,0))</f>
        <v>0</v>
      </c>
      <c r="BJ5">
        <f t="shared" si="7"/>
        <v>0</v>
      </c>
      <c r="BK5">
        <f t="shared" si="8"/>
        <v>0</v>
      </c>
      <c r="BL5" s="34" cm="1">
        <f t="array" ref="BL5">IF($F$14-$I$4+VLOOKUP($Q5,武学奇术!$A:$ZZ,15,FALSE)+SUM(_xlfn.XLOOKUP($R5:$AK5,增益!$A:$A,增益!$O:$O,0))&gt;0,($F$14-$I$4+VLOOKUP($Q5,武学奇术!$A:$ZZ,15,FALSE)+SUM(_xlfn.XLOOKUP($R5:$AK5,增益!$A:$A,增益!$O:$O,0)))/200,($F$14-$I$4+VLOOKUP($Q5,武学奇术!$A:$ZZ,15,FALSE)+SUM(_xlfn.XLOOKUP($R5:$AK5,增益!$A:$A,增益!$O:$O,0)))/100)</f>
        <v>-0.14</v>
      </c>
      <c r="BM5" s="34" cm="1">
        <f t="array" ref="BM5">$G$14+VLOOKUP($Q5,武学奇术!$A:$ZZ,16,FALSE)+SUM(_xlfn.XLOOKUP($R5:$AK5,增益!$A:$A,增益!$P:$P,0))</f>
        <v>0</v>
      </c>
      <c r="BN5" s="27">
        <f>MIN(IF(VLOOKUP($Q5,武学奇术!$A:$ZZ,23,FALSE)=1,100%,$B$8),100%)</f>
        <v>0.9859</v>
      </c>
      <c r="BO5" s="27" cm="1">
        <f t="array" ref="BO5">IF(VLOOKUP($Q5,武学奇术!$A:$ZZ,23,FALSE)=1,100%,MIN(80%,$B$9+VLOOKUP($Q5,武学奇术!$A:$ZZ,17,FALSE)+SUM(_xlfn.XLOOKUP($R5:$AK5,增益!$A:$A,增益!$Q:$Q,0)))+$B$11+SUM(_xlfn.XLOOKUP($R5:$AK5,增益!$A:$A,增益!$U:$U,0)))*IF(VLOOKUP($Q5,武学奇术!$A:$ZZ,24,FALSE)=1,0,1)</f>
        <v>0.8912</v>
      </c>
      <c r="BP5" s="27" cm="1">
        <f t="array" ref="BP5">1+$B$13+VLOOKUP($Q5,武学奇术!$A:$ZZ,18,FALSE)+SUM(_xlfn.XLOOKUP($R5:$AK5,增益!$A:$A,增益!$R:$R,0))</f>
        <v>1.68</v>
      </c>
      <c r="BQ5" s="27" cm="1">
        <f t="array" ref="BQ5">IF(VLOOKUP($Q5,武学奇术!$A:$ZZ,24,FALSE)=1,100%,MIN(40%,$B$10+VLOOKUP($Q5,武学奇术!$A:$ZZ,19,FALSE)+SUM(_xlfn.XLOOKUP($R5:$AK5,增益!$A:$A,增益!$S:$S,0)))+$B$12+SUM(_xlfn.XLOOKUP($R5:$AK5,增益!$A:$A,增益!$V:$V,0)))*IF(VLOOKUP($Q5,武学奇术!$A:$ZZ,23,FALSE)=1,0,1)</f>
        <v>0.0929</v>
      </c>
      <c r="BR5" s="27" cm="1">
        <f t="array" ref="BR5">1+$B$14+VLOOKUP($Q5,武学奇术!$A:$ZZ,20,FALSE)+SUM(_xlfn.XLOOKUP($R5:$AK5,增益!$A:$A,增益!$T:$T,0))</f>
        <v>1.35</v>
      </c>
      <c r="BS5" s="27">
        <f t="shared" si="9"/>
        <v>0.87863408</v>
      </c>
      <c r="BT5" s="27">
        <f t="shared" si="10"/>
        <v>0.01567581</v>
      </c>
      <c r="BU5" s="27">
        <f>IF(VLOOKUP($Q5,武学奇术!$A:$ZZ,22,FALSE)=1,0,(1-$BN5))*(1-$BQ5)</f>
        <v>0.01279011</v>
      </c>
      <c r="BV5" s="27" cm="1">
        <f t="array" ref="BV5">SUM(_xlfn.XLOOKUP($R5:$AK5,增益!$A:$A,增益!$W:$W,0))+$I$5</f>
        <v>0.11</v>
      </c>
    </row>
    <row r="6" spans="1:74">
      <c r="A6" s="59" t="s">
        <v>101</v>
      </c>
      <c r="B6" s="60"/>
      <c r="C6" s="60"/>
      <c r="D6" s="60"/>
      <c r="E6" s="61"/>
      <c r="F6" s="47" t="s">
        <v>102</v>
      </c>
      <c r="G6" s="51">
        <f>B19</f>
        <v>0</v>
      </c>
      <c r="K6" s="40">
        <f t="shared" si="0"/>
        <v>27557.5519227915</v>
      </c>
      <c r="L6" s="40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BP6*$P6*(1+IF(VLOOKUP($Q6,武学奇术!$A:$ZZ,30,FALSE)="蓄力技",$B$21,0))*(1+$BV6)</f>
        <v>28132.0738241651</v>
      </c>
      <c r="M6" s="40">
        <f>(($AT6*$AM6+$AN6)*(1+$AU6)*(1+$AV6)+($AY6*IF($G$1="鸣金",$AO6,$AM6)+IF($G$1="鸣金",$AP6*1.5,0))*(1+$AZ6)*(1+$BA6)+($BC6*IF($G$1="裂石",$AO6,$AM6)+IF($G$1="裂石",$AP6*1.5,0))*(1+$BD6)*(1+$BE6)+($BG6*IF($G$1="牵丝",$AO6,$AM6)+IF($G$1="牵丝",$AP6*1.5,0))*(1+$BH6)*(1+$BI6)+($BK6*IF($G$1="破竹",$AO6,$AM6)+IF($G$1="破竹",$AP6*1.5,0))*(1+$BL6)*(1+$BM6))*(1+$AQ6)*$BR6*$P6*(1+IF(VLOOKUP($Q6,武学奇术!$A:$ZZ,30,FALSE)="蓄力技",$B$21,0))*(1+$BV6)</f>
        <v>25758.3159749607</v>
      </c>
      <c r="N6" s="40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P6*(1+IF(VLOOKUP($Q6,武学奇术!$A:$ZZ,30,FALSE)="蓄力技",$B$21,0))*(1+$BV6)</f>
        <v>16745.2820381935</v>
      </c>
      <c r="O6" s="40">
        <f>((($AS6*$AM6+$AN6)*(1+$AU6)*(1+$AV6)+($AX6*IF($G$1="鸣金",$AO6,$AM6)+IF($G$1="鸣金",$AP6*1.5,0))*(1+$AZ6)*(1+$BA6)+($BB6*IF($G$1="裂石",$AO6,$AM6)+IF($G$1="裂石",$AP6*1.5,0))*(1+$BD6)*(1+$BE6)+($BF6*IF($G$1="牵丝",$AO6,$AM6)+IF($G$1="牵丝",$AP6*1.5,0))*(1+$BH6)*(1+$BI6)+($BJ6*IF($G$1="破竹",$AO6,$AM6)+IF($G$1="破竹",$AP6*1.5,0))*(1+$BL6)*(1+$BM6))*(1+$AQ6))*$P6*(1+IF(VLOOKUP($Q6,武学奇术!$A:$ZZ,30,FALSE)="蓄力技",$B$21,0))*(1+$BV6)</f>
        <v>14410.3300208606</v>
      </c>
      <c r="P6" s="41">
        <v>1</v>
      </c>
      <c r="Q6" s="42" t="s">
        <v>75</v>
      </c>
      <c r="R6" s="42" t="s">
        <v>103</v>
      </c>
      <c r="S6" s="42" t="s">
        <v>77</v>
      </c>
      <c r="T6" s="42" t="s">
        <v>86</v>
      </c>
      <c r="U6" s="42" t="s">
        <v>87</v>
      </c>
      <c r="V6" s="42" t="s">
        <v>77</v>
      </c>
      <c r="W6" s="42" t="s">
        <v>78</v>
      </c>
      <c r="X6" s="42" t="s">
        <v>100</v>
      </c>
      <c r="Y6" s="42" t="s">
        <v>77</v>
      </c>
      <c r="Z6" s="42" t="s">
        <v>77</v>
      </c>
      <c r="AA6" s="42" t="s">
        <v>77</v>
      </c>
      <c r="AB6" s="42" t="s">
        <v>77</v>
      </c>
      <c r="AC6" s="42" t="s">
        <v>77</v>
      </c>
      <c r="AD6" s="42" t="s">
        <v>77</v>
      </c>
      <c r="AE6" s="42" t="s">
        <v>81</v>
      </c>
      <c r="AF6" s="42" t="s">
        <v>82</v>
      </c>
      <c r="AG6" s="42" t="s">
        <v>77</v>
      </c>
      <c r="AH6" s="42" t="s">
        <v>77</v>
      </c>
      <c r="AI6" s="42" t="s">
        <v>77</v>
      </c>
      <c r="AJ6" s="42" t="s">
        <v>77</v>
      </c>
      <c r="AK6" s="42" t="s">
        <v>77</v>
      </c>
      <c r="AL6" t="str">
        <f>VLOOKUP($Q6,武学奇术!$A:$ZZ,25,FALSE)</f>
        <v>群体奇术</v>
      </c>
      <c r="AM6" s="27">
        <f>VLOOKUP($Q6,武学奇术!$A:$ZZ,26,FALSE)</f>
        <v>1.4904</v>
      </c>
      <c r="AN6" s="28">
        <f>VLOOKUP($Q6,武学奇术!$A:$ZZ,27,FALSE)*(1+IF(OR($AL6=$F$4,$AL6=$F$5),$B$22,0))</f>
        <v>378</v>
      </c>
      <c r="AO6" s="27">
        <f>VLOOKUP($Q6,武学奇术!$A:$ZZ,28,FALSE)</f>
        <v>2.2356</v>
      </c>
      <c r="AP6" s="28">
        <f>VLOOKUP($Q6,武学奇术!$A:$ZZ,29,FALSE)*(1+IF(OR($AL6=$F$4,$AL6=$F$5),$B$22,0))</f>
        <v>0</v>
      </c>
      <c r="AQ6" s="27" cm="1">
        <f t="array" ref="AQ6">$G$3+IFERROR(VLOOKUP($AL6,$F$4:$G$7,2,FALSE),0)+VLOOKUP($Q6,武学奇术!$A:$ZZ,2,FALSE)+SUM(_xlfn.XLOOKUP($R6:$AK6,增益!$A:$A,增益!$B:$B,0))</f>
        <v>0.3837</v>
      </c>
      <c r="AR6" s="27" cm="1">
        <f t="array" ref="AR6">VLOOKUP($Q6,武学奇术!$A:$ZZ,5,FALSE)+SUM(_xlfn.XLOOKUP($R6:$AK6,增益!$A:$A,增益!$E:$E,0))</f>
        <v>0</v>
      </c>
      <c r="AS6" cm="1">
        <f t="array" ref="AS6">$D$10*(1+$AR6)+VLOOKUP($Q6,武学奇术!$A:$ZZ,3,FALSE)+SUM(_xlfn.XLOOKUP($R6:$AK6,增益!$A:$A,增益!$C:$C,0))-$I$2</f>
        <v>3586.7</v>
      </c>
      <c r="AT6" cm="1">
        <f t="array" ref="AT6">$E$10*(1+$AR6)+VLOOKUP($Q6,武学奇术!$A:$ZZ,4,FALSE)+SUM(_xlfn.XLOOKUP($R6:$AK6,增益!$A:$A,增益!$D:$D,0))-$I$2</f>
        <v>3586.7</v>
      </c>
      <c r="AU6" s="34" cm="1">
        <f t="array" ref="AU6">IF($F$10-$I$3+VLOOKUP($Q6,武学奇术!$A:$ZZ,6,FALSE)+SUM(_xlfn.XLOOKUP($R6:$AK6,增益!$A:$A,增益!$F:$F,0))&gt;0,($F$10-$I$3+VLOOKUP($Q6,武学奇术!$A:$ZZ,6,FALSE)+SUM(_xlfn.XLOOKUP($R6:$AK6,增益!$A:$A,增益!$F:$F,0)))/200,($F$10-$I$3+VLOOKUP($Q6,武学奇术!$A:$ZZ,6,FALSE)+SUM(_xlfn.XLOOKUP($R6:$AK6,增益!$A:$A,增益!$F:$F,0)))/100)</f>
        <v>0.327</v>
      </c>
      <c r="AV6" s="34" cm="1">
        <f t="array" ref="AV6">$G$10+VLOOKUP($Q6,武学奇术!$A:$ZZ,7,FALSE)+SUM(_xlfn.XLOOKUP($R6:$AK6,增益!$A:$A,增益!$G:$G,0))</f>
        <v>0</v>
      </c>
      <c r="AW6" s="27" cm="1">
        <f t="array" ref="AW6">VLOOKUP($Q6,武学奇术!$A:$ZZ,8,FALSE)+SUM(_xlfn.XLOOKUP($R6:$AK6,增益!$A:$A,增益!$H:$H,0))</f>
        <v>0</v>
      </c>
      <c r="AX6">
        <f t="shared" si="1"/>
        <v>0</v>
      </c>
      <c r="AY6">
        <f t="shared" si="2"/>
        <v>0</v>
      </c>
      <c r="AZ6" s="34" cm="1">
        <f t="array" ref="AZ6">IF($F$11-$I$4+VLOOKUP($Q6,武学奇术!$A:$ZZ,9,FALSE)+SUM(_xlfn.XLOOKUP($R6:$AK6,增益!$A:$A,增益!$I:$I,0))&gt;0,($F$11-$I$4+VLOOKUP($Q6,武学奇术!$A:$ZZ,9,FALSE)+SUM(_xlfn.XLOOKUP($R6:$AK6,增益!$A:$A,增益!$I:$I,0)))/200,($F$11-$I$4+VLOOKUP($Q6,武学奇术!$A:$ZZ,9,FALSE)+SUM(_xlfn.XLOOKUP($R6:$AK6,增益!$A:$A,增益!$I:$I,0)))/100)</f>
        <v>-0.14</v>
      </c>
      <c r="BA6" s="34" cm="1">
        <f t="array" ref="BA6">$G$11+VLOOKUP($Q6,武学奇术!$A:$ZZ,10,FALSE)+SUM(_xlfn.XLOOKUP($R6:$AK6,增益!$A:$A,增益!$J:$J,0))</f>
        <v>0</v>
      </c>
      <c r="BB6">
        <f t="shared" si="3"/>
        <v>594.1</v>
      </c>
      <c r="BC6">
        <f t="shared" si="4"/>
        <v>1604.9</v>
      </c>
      <c r="BD6" s="34" cm="1">
        <f t="array" ref="BD6">IF($F$12-$I$4+VLOOKUP($Q6,武学奇术!$A:$ZZ,11,FALSE)+SUM(_xlfn.XLOOKUP($R6:$AK6,增益!$A:$A,增益!$K:$K,0))&gt;0,($F$12-$I$4+VLOOKUP($Q6,武学奇术!$A:$ZZ,11,FALSE)+SUM(_xlfn.XLOOKUP($R6:$AK6,增益!$A:$A,增益!$K:$K,0)))/200,($F$12-$I$4+VLOOKUP($Q6,武学奇术!$A:$ZZ,11,FALSE)+SUM(_xlfn.XLOOKUP($R6:$AK6,增益!$A:$A,增益!$K:$K,0)))/100)</f>
        <v>0.17</v>
      </c>
      <c r="BE6" s="34" cm="1">
        <f t="array" ref="BE6">$G$12+VLOOKUP($Q6,武学奇术!$A:$ZZ,12,FALSE)+SUM(_xlfn.XLOOKUP($R6:$AK6,增益!$A:$A,增益!$L:$L,0))</f>
        <v>0.15</v>
      </c>
      <c r="BF6">
        <f t="shared" si="5"/>
        <v>0</v>
      </c>
      <c r="BG6">
        <f t="shared" si="6"/>
        <v>0</v>
      </c>
      <c r="BH6" s="34" cm="1">
        <f t="array" ref="BH6">IF($F$13-$I$4+VLOOKUP($Q6,武学奇术!$A:$ZZ,13,FALSE)+SUM(_xlfn.XLOOKUP($R6:$AK6,增益!$A:$A,增益!$M:$M,0))&gt;0,($F$13-$I$4+VLOOKUP($Q6,武学奇术!$A:$ZZ,13,FALSE)+SUM(_xlfn.XLOOKUP($R6:$AK6,增益!$A:$A,增益!$K:$K,0)))/200,($F$13-$I$4+VLOOKUP($Q6,武学奇术!$A:$ZZ,13,FALSE)+SUM(_xlfn.XLOOKUP($R6:$AK6,增益!$A:$A,增益!$M:$M,0)))/100)</f>
        <v>-0.14</v>
      </c>
      <c r="BI6" s="34" cm="1">
        <f t="array" ref="BI6">$G$13+VLOOKUP($Q6,武学奇术!$A:$ZZ,14,FALSE)+SUM(_xlfn.XLOOKUP($R6:$AK6,增益!$A:$A,增益!$N:$N,0))</f>
        <v>0</v>
      </c>
      <c r="BJ6">
        <f t="shared" si="7"/>
        <v>0</v>
      </c>
      <c r="BK6">
        <f t="shared" si="8"/>
        <v>0</v>
      </c>
      <c r="BL6" s="34" cm="1">
        <f t="array" ref="BL6">IF($F$14-$I$4+VLOOKUP($Q6,武学奇术!$A:$ZZ,15,FALSE)+SUM(_xlfn.XLOOKUP($R6:$AK6,增益!$A:$A,增益!$O:$O,0))&gt;0,($F$14-$I$4+VLOOKUP($Q6,武学奇术!$A:$ZZ,15,FALSE)+SUM(_xlfn.XLOOKUP($R6:$AK6,增益!$A:$A,增益!$O:$O,0)))/200,($F$14-$I$4+VLOOKUP($Q6,武学奇术!$A:$ZZ,15,FALSE)+SUM(_xlfn.XLOOKUP($R6:$AK6,增益!$A:$A,增益!$O:$O,0)))/100)</f>
        <v>-0.14</v>
      </c>
      <c r="BM6" s="34" cm="1">
        <f t="array" ref="BM6">$G$14+VLOOKUP($Q6,武学奇术!$A:$ZZ,16,FALSE)+SUM(_xlfn.XLOOKUP($R6:$AK6,增益!$A:$A,增益!$P:$P,0))</f>
        <v>0</v>
      </c>
      <c r="BN6" s="27">
        <f>MIN(IF(VLOOKUP($Q6,武学奇术!$A:$ZZ,23,FALSE)=1,100%,$B$8),100%)</f>
        <v>0.9859</v>
      </c>
      <c r="BO6" s="27" cm="1">
        <f t="array" ref="BO6">IF(VLOOKUP($Q6,武学奇术!$A:$ZZ,23,FALSE)=1,100%,MIN(80%,$B$9+VLOOKUP($Q6,武学奇术!$A:$ZZ,17,FALSE)+SUM(_xlfn.XLOOKUP($R6:$AK6,增益!$A:$A,增益!$Q:$Q,0)))+$B$11+SUM(_xlfn.XLOOKUP($R6:$AK6,增益!$A:$A,增益!$U:$U,0)))*IF(VLOOKUP($Q6,武学奇术!$A:$ZZ,24,FALSE)=1,0,1)</f>
        <v>0.8912</v>
      </c>
      <c r="BP6" s="27" cm="1">
        <f t="array" ref="BP6">1+$B$13+VLOOKUP($Q6,武学奇术!$A:$ZZ,18,FALSE)+SUM(_xlfn.XLOOKUP($R6:$AK6,增益!$A:$A,增益!$R:$R,0))</f>
        <v>1.68</v>
      </c>
      <c r="BQ6" s="27" cm="1">
        <f t="array" ref="BQ6">IF(VLOOKUP($Q6,武学奇术!$A:$ZZ,24,FALSE)=1,100%,MIN(40%,$B$10+VLOOKUP($Q6,武学奇术!$A:$ZZ,19,FALSE)+SUM(_xlfn.XLOOKUP($R6:$AK6,增益!$A:$A,增益!$S:$S,0)))+$B$12+SUM(_xlfn.XLOOKUP($R6:$AK6,增益!$A:$A,增益!$V:$V,0)))*IF(VLOOKUP($Q6,武学奇术!$A:$ZZ,23,FALSE)=1,0,1)</f>
        <v>0.0929</v>
      </c>
      <c r="BR6" s="27" cm="1">
        <f t="array" ref="BR6">1+$B$14+VLOOKUP($Q6,武学奇术!$A:$ZZ,20,FALSE)+SUM(_xlfn.XLOOKUP($R6:$AK6,增益!$A:$A,增益!$T:$T,0))</f>
        <v>1.35</v>
      </c>
      <c r="BS6" s="27">
        <f t="shared" si="9"/>
        <v>0.87863408</v>
      </c>
      <c r="BT6" s="27">
        <f t="shared" si="10"/>
        <v>0.01567581</v>
      </c>
      <c r="BU6" s="27">
        <f>IF(VLOOKUP($Q6,武学奇术!$A:$ZZ,22,FALSE)=1,0,(1-$BN6))*(1-$BQ6)</f>
        <v>0.01279011</v>
      </c>
      <c r="BV6" s="27" cm="1">
        <f t="array" ref="BV6">SUM(_xlfn.XLOOKUP($R6:$AK6,增益!$A:$A,增益!$W:$W,0))+$I$5</f>
        <v>0.11</v>
      </c>
    </row>
    <row r="7" ht="14.25" spans="1:74">
      <c r="A7" s="43" t="s">
        <v>104</v>
      </c>
      <c r="B7" s="62"/>
      <c r="C7" s="62"/>
      <c r="D7" s="63"/>
      <c r="E7" s="64"/>
      <c r="F7" s="55" t="s">
        <v>105</v>
      </c>
      <c r="G7" s="65">
        <f>B20</f>
        <v>0</v>
      </c>
      <c r="K7" s="40">
        <f t="shared" si="0"/>
        <v>42635.1318395647</v>
      </c>
      <c r="L7" s="40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BP7*$P7*(1+IF(VLOOKUP($Q7,武学奇术!$A:$ZZ,30,FALSE)="蓄力技",$B$21,0))*(1+$BV7)</f>
        <v>43760.6452951365</v>
      </c>
      <c r="M7" s="40">
        <f>(($AT7*$AM7+$AN7)*(1+$AU7)*(1+$AV7)+($AY7*IF($G$1="鸣金",$AO7,$AM7)+IF($G$1="鸣金",$AP7*1.5,0))*(1+$AZ7)*(1+$BA7)+($BC7*IF($G$1="裂石",$AO7,$AM7)+IF($G$1="裂石",$AP7*1.5,0))*(1+$BD7)*(1+$BE7)+($BG7*IF($G$1="牵丝",$AO7,$AM7)+IF($G$1="牵丝",$AP7*1.5,0))*(1+$BH7)*(1+$BI7)+($BK7*IF($G$1="破竹",$AO7,$AM7)+IF($G$1="破竹",$AP7*1.5,0))*(1+$BL7)*(1+$BM7))*(1+$AQ7)*$BR7*$P7*(1+IF(VLOOKUP($Q7,武学奇术!$A:$ZZ,30,FALSE)="蓄力技",$B$21,0))*(1+$BV7)</f>
        <v>37874.9233821346</v>
      </c>
      <c r="N7" s="40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P7*(1+IF(VLOOKUP($Q7,武学奇术!$A:$ZZ,30,FALSE)="蓄力技",$B$21,0))*(1+$BV7)</f>
        <v>24864.0030086003</v>
      </c>
      <c r="O7" s="40">
        <f>((($AS7*$AM7+$AN7)*(1+$AU7)*(1+$AV7)+($AX7*IF($G$1="鸣金",$AO7,$AM7)+IF($G$1="鸣金",$AP7*1.5,0))*(1+$AZ7)*(1+$BA7)+($BB7*IF($G$1="裂石",$AO7,$AM7)+IF($G$1="裂石",$AP7*1.5,0))*(1+$BD7)*(1+$BE7)+($BF7*IF($G$1="牵丝",$AO7,$AM7)+IF($G$1="牵丝",$AP7*1.5,0))*(1+$BH7)*(1+$BI7)+($BJ7*IF($G$1="破竹",$AO7,$AM7)+IF($G$1="破竹",$AP7*1.5,0))*(1+$BL7)*(1+$BM7))*(1+$AQ7))*$P7*(1+IF(VLOOKUP($Q7,武学奇术!$A:$ZZ,30,FALSE)="蓄力技",$B$21,0))*(1+$BV7)</f>
        <v>21672.5072156194</v>
      </c>
      <c r="P7" s="41">
        <v>1</v>
      </c>
      <c r="Q7" s="42" t="s">
        <v>106</v>
      </c>
      <c r="R7" s="42" t="s">
        <v>77</v>
      </c>
      <c r="S7" s="42" t="s">
        <v>77</v>
      </c>
      <c r="T7" s="42" t="s">
        <v>77</v>
      </c>
      <c r="U7" s="42" t="s">
        <v>77</v>
      </c>
      <c r="V7" s="42" t="s">
        <v>77</v>
      </c>
      <c r="W7" s="42" t="s">
        <v>78</v>
      </c>
      <c r="X7" s="42" t="s">
        <v>79</v>
      </c>
      <c r="Y7" s="42" t="s">
        <v>77</v>
      </c>
      <c r="Z7" s="42" t="s">
        <v>77</v>
      </c>
      <c r="AA7" s="42" t="s">
        <v>73</v>
      </c>
      <c r="AB7" s="42" t="s">
        <v>77</v>
      </c>
      <c r="AC7" s="42" t="s">
        <v>77</v>
      </c>
      <c r="AD7" s="42" t="s">
        <v>77</v>
      </c>
      <c r="AE7" s="42" t="s">
        <v>81</v>
      </c>
      <c r="AF7" s="42" t="s">
        <v>82</v>
      </c>
      <c r="AG7" s="42" t="s">
        <v>77</v>
      </c>
      <c r="AH7" s="42" t="s">
        <v>77</v>
      </c>
      <c r="AI7" s="42" t="s">
        <v>77</v>
      </c>
      <c r="AJ7" s="42" t="s">
        <v>77</v>
      </c>
      <c r="AK7" s="42" t="s">
        <v>77</v>
      </c>
      <c r="AL7" t="str">
        <f>VLOOKUP($Q7,武学奇术!$A:$ZZ,25,FALSE)</f>
        <v>横刀</v>
      </c>
      <c r="AM7" s="27">
        <f>VLOOKUP($Q7,武学奇术!$A:$ZZ,26,FALSE)</f>
        <v>2.1324</v>
      </c>
      <c r="AN7" s="28">
        <f>VLOOKUP($Q7,武学奇术!$A:$ZZ,27,FALSE)*(1+IF(OR($AL7=$F$4,$AL7=$F$5),$B$22,0))</f>
        <v>885</v>
      </c>
      <c r="AO7" s="27">
        <f>VLOOKUP($Q7,武学奇术!$A:$ZZ,28,FALSE)</f>
        <v>3.1986</v>
      </c>
      <c r="AP7" s="28">
        <f>VLOOKUP($Q7,武学奇术!$A:$ZZ,29,FALSE)*(1+IF(OR($AL7=$F$4,$AL7=$F$5),$B$22,0))</f>
        <v>483</v>
      </c>
      <c r="AQ7" s="27" cm="1">
        <f t="array" ref="AQ7">$G$3+IFERROR(VLOOKUP($AL7,$F$4:$G$7,2,FALSE),0)+VLOOKUP($Q7,武学奇术!$A:$ZZ,2,FALSE)+SUM(_xlfn.XLOOKUP($R7:$AK7,增益!$A:$A,增益!$B:$B,0))</f>
        <v>0.4189</v>
      </c>
      <c r="AR7" s="27" cm="1">
        <f t="array" ref="AR7">VLOOKUP($Q7,武学奇术!$A:$ZZ,5,FALSE)+SUM(_xlfn.XLOOKUP($R7:$AK7,增益!$A:$A,增益!$E:$E,0))</f>
        <v>0</v>
      </c>
      <c r="AS7" cm="1">
        <f t="array" ref="AS7">$D$10*(1+$AR7)+VLOOKUP($Q7,武学奇术!$A:$ZZ,3,FALSE)+SUM(_xlfn.XLOOKUP($R7:$AK7,增益!$A:$A,增益!$C:$C,0))-$I$2</f>
        <v>3586.7</v>
      </c>
      <c r="AT7" cm="1">
        <f t="array" ref="AT7">$E$10*(1+$AR7)+VLOOKUP($Q7,武学奇术!$A:$ZZ,4,FALSE)+SUM(_xlfn.XLOOKUP($R7:$AK7,增益!$A:$A,增益!$D:$D,0))-$I$2</f>
        <v>3586.7</v>
      </c>
      <c r="AU7" s="34" cm="1">
        <f t="array" ref="AU7">IF($F$10-$I$3+VLOOKUP($Q7,武学奇术!$A:$ZZ,6,FALSE)+SUM(_xlfn.XLOOKUP($R7:$AK7,增益!$A:$A,增益!$F:$F,0))&gt;0,($F$10-$I$3+VLOOKUP($Q7,武学奇术!$A:$ZZ,6,FALSE)+SUM(_xlfn.XLOOKUP($R7:$AK7,增益!$A:$A,增益!$F:$F,0)))/200,($F$10-$I$3+VLOOKUP($Q7,武学奇术!$A:$ZZ,6,FALSE)+SUM(_xlfn.XLOOKUP($R7:$AK7,增益!$A:$A,增益!$F:$F,0)))/100)</f>
        <v>0.227</v>
      </c>
      <c r="AV7" s="34" cm="1">
        <f t="array" ref="AV7">$G$10+VLOOKUP($Q7,武学奇术!$A:$ZZ,7,FALSE)+SUM(_xlfn.XLOOKUP($R7:$AK7,增益!$A:$A,增益!$G:$G,0))</f>
        <v>0</v>
      </c>
      <c r="AW7" s="27" cm="1">
        <f t="array" ref="AW7">VLOOKUP($Q7,武学奇术!$A:$ZZ,8,FALSE)+SUM(_xlfn.XLOOKUP($R7:$AK7,增益!$A:$A,增益!$H:$H,0))</f>
        <v>0</v>
      </c>
      <c r="AX7">
        <f t="shared" si="1"/>
        <v>0</v>
      </c>
      <c r="AY7">
        <f t="shared" si="2"/>
        <v>0</v>
      </c>
      <c r="AZ7" s="34" cm="1">
        <f t="array" ref="AZ7">IF($F$11-$I$4+VLOOKUP($Q7,武学奇术!$A:$ZZ,9,FALSE)+SUM(_xlfn.XLOOKUP($R7:$AK7,增益!$A:$A,增益!$I:$I,0))&gt;0,($F$11-$I$4+VLOOKUP($Q7,武学奇术!$A:$ZZ,9,FALSE)+SUM(_xlfn.XLOOKUP($R7:$AK7,增益!$A:$A,增益!$I:$I,0)))/200,($F$11-$I$4+VLOOKUP($Q7,武学奇术!$A:$ZZ,9,FALSE)+SUM(_xlfn.XLOOKUP($R7:$AK7,增益!$A:$A,增益!$I:$I,0)))/100)</f>
        <v>-0.3</v>
      </c>
      <c r="BA7" s="34" cm="1">
        <f t="array" ref="BA7">$G$11+VLOOKUP($Q7,武学奇术!$A:$ZZ,10,FALSE)+SUM(_xlfn.XLOOKUP($R7:$AK7,增益!$A:$A,增益!$J:$J,0))</f>
        <v>0</v>
      </c>
      <c r="BB7">
        <f t="shared" si="3"/>
        <v>594.1</v>
      </c>
      <c r="BC7">
        <f t="shared" si="4"/>
        <v>1604.9</v>
      </c>
      <c r="BD7" s="34" cm="1">
        <f t="array" ref="BD7">IF($F$12-$I$4+VLOOKUP($Q7,武学奇术!$A:$ZZ,11,FALSE)+SUM(_xlfn.XLOOKUP($R7:$AK7,增益!$A:$A,增益!$K:$K,0))&gt;0,($F$12-$I$4+VLOOKUP($Q7,武学奇术!$A:$ZZ,11,FALSE)+SUM(_xlfn.XLOOKUP($R7:$AK7,增益!$A:$A,增益!$K:$K,0)))/200,($F$12-$I$4+VLOOKUP($Q7,武学奇术!$A:$ZZ,11,FALSE)+SUM(_xlfn.XLOOKUP($R7:$AK7,增益!$A:$A,增益!$K:$K,0)))/100)</f>
        <v>0.09</v>
      </c>
      <c r="BE7" s="34" cm="1">
        <f t="array" ref="BE7">$G$12+VLOOKUP($Q7,武学奇术!$A:$ZZ,12,FALSE)+SUM(_xlfn.XLOOKUP($R7:$AK7,增益!$A:$A,增益!$L:$L,0))</f>
        <v>0.15</v>
      </c>
      <c r="BF7">
        <f t="shared" si="5"/>
        <v>0</v>
      </c>
      <c r="BG7">
        <f t="shared" si="6"/>
        <v>0</v>
      </c>
      <c r="BH7" s="34" cm="1">
        <f t="array" ref="BH7">IF($F$13-$I$4+VLOOKUP($Q7,武学奇术!$A:$ZZ,13,FALSE)+SUM(_xlfn.XLOOKUP($R7:$AK7,增益!$A:$A,增益!$M:$M,0))&gt;0,($F$13-$I$4+VLOOKUP($Q7,武学奇术!$A:$ZZ,13,FALSE)+SUM(_xlfn.XLOOKUP($R7:$AK7,增益!$A:$A,增益!$K:$K,0)))/200,($F$13-$I$4+VLOOKUP($Q7,武学奇术!$A:$ZZ,13,FALSE)+SUM(_xlfn.XLOOKUP($R7:$AK7,增益!$A:$A,增益!$M:$M,0)))/100)</f>
        <v>-0.3</v>
      </c>
      <c r="BI7" s="34" cm="1">
        <f t="array" ref="BI7">$G$13+VLOOKUP($Q7,武学奇术!$A:$ZZ,14,FALSE)+SUM(_xlfn.XLOOKUP($R7:$AK7,增益!$A:$A,增益!$N:$N,0))</f>
        <v>0</v>
      </c>
      <c r="BJ7">
        <f t="shared" si="7"/>
        <v>0</v>
      </c>
      <c r="BK7">
        <f t="shared" si="8"/>
        <v>0</v>
      </c>
      <c r="BL7" s="34" cm="1">
        <f t="array" ref="BL7">IF($F$14-$I$4+VLOOKUP($Q7,武学奇术!$A:$ZZ,15,FALSE)+SUM(_xlfn.XLOOKUP($R7:$AK7,增益!$A:$A,增益!$O:$O,0))&gt;0,($F$14-$I$4+VLOOKUP($Q7,武学奇术!$A:$ZZ,15,FALSE)+SUM(_xlfn.XLOOKUP($R7:$AK7,增益!$A:$A,增益!$O:$O,0)))/200,($F$14-$I$4+VLOOKUP($Q7,武学奇术!$A:$ZZ,15,FALSE)+SUM(_xlfn.XLOOKUP($R7:$AK7,增益!$A:$A,增益!$O:$O,0)))/100)</f>
        <v>-0.3</v>
      </c>
      <c r="BM7" s="34" cm="1">
        <f t="array" ref="BM7">$G$14+VLOOKUP($Q7,武学奇术!$A:$ZZ,16,FALSE)+SUM(_xlfn.XLOOKUP($R7:$AK7,增益!$A:$A,增益!$P:$P,0))</f>
        <v>0</v>
      </c>
      <c r="BN7" s="27">
        <f>MIN(IF(VLOOKUP($Q7,武学奇术!$A:$ZZ,23,FALSE)=1,100%,$B$8),100%)</f>
        <v>0.9859</v>
      </c>
      <c r="BO7" s="27" cm="1">
        <f t="array" ref="BO7">IF(VLOOKUP($Q7,武学奇术!$A:$ZZ,23,FALSE)=1,100%,MIN(80%,$B$9+VLOOKUP($Q7,武学奇术!$A:$ZZ,17,FALSE)+SUM(_xlfn.XLOOKUP($R7:$AK7,增益!$A:$A,增益!$Q:$Q,0)))+$B$11+SUM(_xlfn.XLOOKUP($R7:$AK7,增益!$A:$A,增益!$U:$U,0)))*IF(VLOOKUP($Q7,武学奇术!$A:$ZZ,24,FALSE)=1,0,1)</f>
        <v>0.8912</v>
      </c>
      <c r="BP7" s="27" cm="1">
        <f t="array" ref="BP7">1+$B$13+VLOOKUP($Q7,武学奇术!$A:$ZZ,18,FALSE)+SUM(_xlfn.XLOOKUP($R7:$AK7,增益!$A:$A,增益!$R:$R,0))</f>
        <v>1.76</v>
      </c>
      <c r="BQ7" s="27" cm="1">
        <f t="array" ref="BQ7">IF(VLOOKUP($Q7,武学奇术!$A:$ZZ,24,FALSE)=1,100%,MIN(40%,$B$10+VLOOKUP($Q7,武学奇术!$A:$ZZ,19,FALSE)+SUM(_xlfn.XLOOKUP($R7:$AK7,增益!$A:$A,增益!$S:$S,0)))+$B$12+SUM(_xlfn.XLOOKUP($R7:$AK7,增益!$A:$A,增益!$V:$V,0)))*IF(VLOOKUP($Q7,武学奇术!$A:$ZZ,23,FALSE)=1,0,1)</f>
        <v>0.0929</v>
      </c>
      <c r="BR7" s="27" cm="1">
        <f t="array" ref="BR7">1+$B$14+VLOOKUP($Q7,武学奇术!$A:$ZZ,20,FALSE)+SUM(_xlfn.XLOOKUP($R7:$AK7,增益!$A:$A,增益!$T:$T,0))</f>
        <v>1.35</v>
      </c>
      <c r="BS7" s="27">
        <f t="shared" si="9"/>
        <v>0.87863408</v>
      </c>
      <c r="BT7" s="27">
        <f t="shared" si="10"/>
        <v>0.01567581</v>
      </c>
      <c r="BU7" s="27">
        <f>IF(VLOOKUP($Q7,武学奇术!$A:$ZZ,22,FALSE)=1,0,(1-$BN7))*(1-$BQ7)</f>
        <v>0.01279011</v>
      </c>
      <c r="BV7" s="27" cm="1">
        <f t="array" ref="BV7">SUM(_xlfn.XLOOKUP($R7:$AK7,增益!$A:$A,增益!$W:$W,0))+$I$5</f>
        <v>0.11</v>
      </c>
    </row>
    <row r="8" spans="1:74">
      <c r="A8" s="66" t="s">
        <v>107</v>
      </c>
      <c r="B8" s="67">
        <f>期望!B8</f>
        <v>0.9859</v>
      </c>
      <c r="C8" s="68" t="s">
        <v>108</v>
      </c>
      <c r="D8" s="68"/>
      <c r="E8" s="68"/>
      <c r="F8" s="68"/>
      <c r="G8" s="39"/>
      <c r="H8" s="69" t="s">
        <v>109</v>
      </c>
      <c r="I8" s="18">
        <f>期望!I8</f>
        <v>101.7</v>
      </c>
      <c r="J8" s="70"/>
      <c r="K8" s="40">
        <f t="shared" si="0"/>
        <v>26805.1806293487</v>
      </c>
      <c r="L8" s="40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BP8*$P8*(1+IF(VLOOKUP($Q8,武学奇术!$A:$ZZ,30,FALSE)="蓄力技",$B$21,0))*(1+$BV8)</f>
        <v>27467.8902212379</v>
      </c>
      <c r="M8" s="40">
        <f>(($AT8*$AM8+$AN8)*(1+$AU8)*(1+$AV8)+($AY8*IF($G$1="鸣金",$AO8,$AM8)+IF($G$1="鸣金",$AP8*1.5,0))*(1+$AZ8)*(1+$BA8)+($BC8*IF($G$1="裂石",$AO8,$AM8)+IF($G$1="裂石",$AP8*1.5,0))*(1+$BD8)*(1+$BE8)+($BG8*IF($G$1="牵丝",$AO8,$AM8)+IF($G$1="牵丝",$AP8*1.5,0))*(1+$BH8)*(1+$BI8)+($BK8*IF($G$1="破竹",$AO8,$AM8)+IF($G$1="破竹",$AP8*1.5,0))*(1+$BL8)*(1+$BM8))*(1+$AQ8)*$BR8*$P8*(1+IF(VLOOKUP($Q8,武学奇术!$A:$ZZ,30,FALSE)="蓄力技",$B$21,0))*(1+$BV8)</f>
        <v>24298.0266243809</v>
      </c>
      <c r="N8" s="40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P8*(1+IF(VLOOKUP($Q8,武学奇术!$A:$ZZ,30,FALSE)="蓄力技",$B$21,0))*(1+$BV8)</f>
        <v>15606.7558075215</v>
      </c>
      <c r="O8" s="40">
        <f>((($AS8*$AM8+$AN8)*(1+$AU8)*(1+$AV8)+($AX8*IF($G$1="鸣金",$AO8,$AM8)+IF($G$1="鸣金",$AP8*1.5,0))*(1+$AZ8)*(1+$BA8)+($BB8*IF($G$1="裂石",$AO8,$AM8)+IF($G$1="裂石",$AP8*1.5,0))*(1+$BD8)*(1+$BE8)+($BF8*IF($G$1="牵丝",$AO8,$AM8)+IF($G$1="牵丝",$AP8*1.5,0))*(1+$BH8)*(1+$BI8)+($BJ8*IF($G$1="破竹",$AO8,$AM8)+IF($G$1="破竹",$AP8*1.5,0))*(1+$BL8)*(1+$BM8))*(1+$AQ8))*$P8*(1+IF(VLOOKUP($Q8,武学奇术!$A:$ZZ,30,FALSE)="蓄力技",$B$21,0))*(1+$BV8)</f>
        <v>13214.9733747609</v>
      </c>
      <c r="P8" s="41">
        <v>1</v>
      </c>
      <c r="Q8" s="42" t="s">
        <v>110</v>
      </c>
      <c r="R8" s="42" t="s">
        <v>76</v>
      </c>
      <c r="S8" s="42" t="s">
        <v>77</v>
      </c>
      <c r="T8" s="42" t="s">
        <v>86</v>
      </c>
      <c r="U8" s="42" t="s">
        <v>77</v>
      </c>
      <c r="V8" s="42" t="s">
        <v>77</v>
      </c>
      <c r="W8" s="42" t="s">
        <v>78</v>
      </c>
      <c r="X8" s="42" t="s">
        <v>79</v>
      </c>
      <c r="Y8" s="42" t="s">
        <v>77</v>
      </c>
      <c r="Z8" s="42" t="s">
        <v>77</v>
      </c>
      <c r="AA8" s="42" t="s">
        <v>73</v>
      </c>
      <c r="AB8" s="42" t="s">
        <v>77</v>
      </c>
      <c r="AC8" s="42" t="s">
        <v>77</v>
      </c>
      <c r="AD8" s="42" t="s">
        <v>77</v>
      </c>
      <c r="AE8" s="42" t="s">
        <v>81</v>
      </c>
      <c r="AF8" s="42" t="s">
        <v>82</v>
      </c>
      <c r="AG8" s="42" t="s">
        <v>77</v>
      </c>
      <c r="AH8" s="42" t="s">
        <v>77</v>
      </c>
      <c r="AI8" s="42" t="s">
        <v>77</v>
      </c>
      <c r="AJ8" s="42" t="s">
        <v>77</v>
      </c>
      <c r="AK8" s="42" t="s">
        <v>77</v>
      </c>
      <c r="AL8" t="str">
        <f>VLOOKUP($Q8,武学奇术!$A:$ZZ,25,FALSE)</f>
        <v>横刀</v>
      </c>
      <c r="AM8" s="27">
        <f>VLOOKUP($Q8,武学奇术!$A:$ZZ,26,FALSE)</f>
        <v>1.4</v>
      </c>
      <c r="AN8" s="28">
        <f>VLOOKUP($Q8,武学奇术!$A:$ZZ,27,FALSE)*(1+IF(OR($AL8=$F$4,$AL8=$F$5),$B$22,0))</f>
        <v>0</v>
      </c>
      <c r="AO8" s="27">
        <f>VLOOKUP($Q8,武学奇术!$A:$ZZ,28,FALSE)</f>
        <v>2.1</v>
      </c>
      <c r="AP8" s="28">
        <f>VLOOKUP($Q8,武学奇术!$A:$ZZ,29,FALSE)*(1+IF(OR($AL8=$F$4,$AL8=$F$5),$B$22,0))</f>
        <v>0</v>
      </c>
      <c r="AQ8" s="27" cm="1">
        <f t="array" ref="AQ8">$G$3+IFERROR(VLOOKUP($AL8,$F$4:$G$7,2,FALSE),0)+VLOOKUP($Q8,武学奇术!$A:$ZZ,2,FALSE)+SUM(_xlfn.XLOOKUP($R8:$AK8,增益!$A:$A,增益!$B:$B,0))</f>
        <v>0.5089</v>
      </c>
      <c r="AR8" s="27" cm="1">
        <f t="array" ref="AR8">VLOOKUP($Q8,武学奇术!$A:$ZZ,5,FALSE)+SUM(_xlfn.XLOOKUP($R8:$AK8,增益!$A:$A,增益!$E:$E,0))</f>
        <v>0</v>
      </c>
      <c r="AS8" cm="1">
        <f t="array" ref="AS8">$D$10*(1+$AR8)+VLOOKUP($Q8,武学奇术!$A:$ZZ,3,FALSE)+SUM(_xlfn.XLOOKUP($R8:$AK8,增益!$A:$A,增益!$C:$C,0))-$I$2</f>
        <v>3586.7</v>
      </c>
      <c r="AT8" cm="1">
        <f t="array" ref="AT8">$E$10*(1+$AR8)+VLOOKUP($Q8,武学奇术!$A:$ZZ,4,FALSE)+SUM(_xlfn.XLOOKUP($R8:$AK8,增益!$A:$A,增益!$D:$D,0))-$I$2</f>
        <v>3586.7</v>
      </c>
      <c r="AU8" s="34" cm="1">
        <f t="array" ref="AU8">IF($F$10-$I$3+VLOOKUP($Q8,武学奇术!$A:$ZZ,6,FALSE)+SUM(_xlfn.XLOOKUP($R8:$AK8,增益!$A:$A,增益!$F:$F,0))&gt;0,($F$10-$I$3+VLOOKUP($Q8,武学奇术!$A:$ZZ,6,FALSE)+SUM(_xlfn.XLOOKUP($R8:$AK8,增益!$A:$A,增益!$F:$F,0)))/200,($F$10-$I$3+VLOOKUP($Q8,武学奇术!$A:$ZZ,6,FALSE)+SUM(_xlfn.XLOOKUP($R8:$AK8,增益!$A:$A,增益!$F:$F,0)))/100)</f>
        <v>0.237</v>
      </c>
      <c r="AV8" s="34" cm="1">
        <f t="array" ref="AV8">$G$10+VLOOKUP($Q8,武学奇术!$A:$ZZ,7,FALSE)+SUM(_xlfn.XLOOKUP($R8:$AK8,增益!$A:$A,增益!$G:$G,0))</f>
        <v>0</v>
      </c>
      <c r="AW8" s="27" cm="1">
        <f t="array" ref="AW8">VLOOKUP($Q8,武学奇术!$A:$ZZ,8,FALSE)+SUM(_xlfn.XLOOKUP($R8:$AK8,增益!$A:$A,增益!$H:$H,0))</f>
        <v>0</v>
      </c>
      <c r="AX8">
        <f t="shared" si="1"/>
        <v>0</v>
      </c>
      <c r="AY8">
        <f t="shared" si="2"/>
        <v>0</v>
      </c>
      <c r="AZ8" s="34" cm="1">
        <f t="array" ref="AZ8">IF($F$11-$I$4+VLOOKUP($Q8,武学奇术!$A:$ZZ,9,FALSE)+SUM(_xlfn.XLOOKUP($R8:$AK8,增益!$A:$A,增益!$I:$I,0))&gt;0,($F$11-$I$4+VLOOKUP($Q8,武学奇术!$A:$ZZ,9,FALSE)+SUM(_xlfn.XLOOKUP($R8:$AK8,增益!$A:$A,增益!$I:$I,0)))/200,($F$11-$I$4+VLOOKUP($Q8,武学奇术!$A:$ZZ,9,FALSE)+SUM(_xlfn.XLOOKUP($R8:$AK8,增益!$A:$A,增益!$I:$I,0)))/100)</f>
        <v>-0.14</v>
      </c>
      <c r="BA8" s="34" cm="1">
        <f t="array" ref="BA8">$G$11+VLOOKUP($Q8,武学奇术!$A:$ZZ,10,FALSE)+SUM(_xlfn.XLOOKUP($R8:$AK8,增益!$A:$A,增益!$J:$J,0))</f>
        <v>0</v>
      </c>
      <c r="BB8">
        <f t="shared" si="3"/>
        <v>594.1</v>
      </c>
      <c r="BC8">
        <f t="shared" si="4"/>
        <v>1604.9</v>
      </c>
      <c r="BD8" s="34" cm="1">
        <f t="array" ref="BD8">IF($F$12-$I$4+VLOOKUP($Q8,武学奇术!$A:$ZZ,11,FALSE)+SUM(_xlfn.XLOOKUP($R8:$AK8,增益!$A:$A,增益!$K:$K,0))&gt;0,($F$12-$I$4+VLOOKUP($Q8,武学奇术!$A:$ZZ,11,FALSE)+SUM(_xlfn.XLOOKUP($R8:$AK8,增益!$A:$A,增益!$K:$K,0)))/200,($F$12-$I$4+VLOOKUP($Q8,武学奇术!$A:$ZZ,11,FALSE)+SUM(_xlfn.XLOOKUP($R8:$AK8,增益!$A:$A,增益!$K:$K,0)))/100)</f>
        <v>0.17</v>
      </c>
      <c r="BE8" s="34" cm="1">
        <f t="array" ref="BE8">$G$12+VLOOKUP($Q8,武学奇术!$A:$ZZ,12,FALSE)+SUM(_xlfn.XLOOKUP($R8:$AK8,增益!$A:$A,增益!$L:$L,0))</f>
        <v>0.15</v>
      </c>
      <c r="BF8">
        <f t="shared" si="5"/>
        <v>0</v>
      </c>
      <c r="BG8">
        <f t="shared" si="6"/>
        <v>0</v>
      </c>
      <c r="BH8" s="34" cm="1">
        <f t="array" ref="BH8">IF($F$13-$I$4+VLOOKUP($Q8,武学奇术!$A:$ZZ,13,FALSE)+SUM(_xlfn.XLOOKUP($R8:$AK8,增益!$A:$A,增益!$M:$M,0))&gt;0,($F$13-$I$4+VLOOKUP($Q8,武学奇术!$A:$ZZ,13,FALSE)+SUM(_xlfn.XLOOKUP($R8:$AK8,增益!$A:$A,增益!$K:$K,0)))/200,($F$13-$I$4+VLOOKUP($Q8,武学奇术!$A:$ZZ,13,FALSE)+SUM(_xlfn.XLOOKUP($R8:$AK8,增益!$A:$A,增益!$M:$M,0)))/100)</f>
        <v>-0.14</v>
      </c>
      <c r="BI8" s="34" cm="1">
        <f t="array" ref="BI8">$G$13+VLOOKUP($Q8,武学奇术!$A:$ZZ,14,FALSE)+SUM(_xlfn.XLOOKUP($R8:$AK8,增益!$A:$A,增益!$N:$N,0))</f>
        <v>0</v>
      </c>
      <c r="BJ8">
        <f t="shared" si="7"/>
        <v>0</v>
      </c>
      <c r="BK8">
        <f t="shared" si="8"/>
        <v>0</v>
      </c>
      <c r="BL8" s="34" cm="1">
        <f t="array" ref="BL8">IF($F$14-$I$4+VLOOKUP($Q8,武学奇术!$A:$ZZ,15,FALSE)+SUM(_xlfn.XLOOKUP($R8:$AK8,增益!$A:$A,增益!$O:$O,0))&gt;0,($F$14-$I$4+VLOOKUP($Q8,武学奇术!$A:$ZZ,15,FALSE)+SUM(_xlfn.XLOOKUP($R8:$AK8,增益!$A:$A,增益!$O:$O,0)))/200,($F$14-$I$4+VLOOKUP($Q8,武学奇术!$A:$ZZ,15,FALSE)+SUM(_xlfn.XLOOKUP($R8:$AK8,增益!$A:$A,增益!$O:$O,0)))/100)</f>
        <v>-0.14</v>
      </c>
      <c r="BM8" s="34" cm="1">
        <f t="array" ref="BM8">$G$14+VLOOKUP($Q8,武学奇术!$A:$ZZ,16,FALSE)+SUM(_xlfn.XLOOKUP($R8:$AK8,增益!$A:$A,增益!$P:$P,0))</f>
        <v>0</v>
      </c>
      <c r="BN8" s="27">
        <f>MIN(IF(VLOOKUP($Q8,武学奇术!$A:$ZZ,23,FALSE)=1,100%,$B$8),100%)</f>
        <v>0.9859</v>
      </c>
      <c r="BO8" s="27" cm="1">
        <f t="array" ref="BO8">IF(VLOOKUP($Q8,武学奇术!$A:$ZZ,23,FALSE)=1,100%,MIN(80%,$B$9+VLOOKUP($Q8,武学奇术!$A:$ZZ,17,FALSE)+SUM(_xlfn.XLOOKUP($R8:$AK8,增益!$A:$A,增益!$Q:$Q,0)))+$B$11+SUM(_xlfn.XLOOKUP($R8:$AK8,增益!$A:$A,增益!$U:$U,0)))*IF(VLOOKUP($Q8,武学奇术!$A:$ZZ,24,FALSE)=1,0,1)</f>
        <v>0.8912</v>
      </c>
      <c r="BP8" s="27" cm="1">
        <f t="array" ref="BP8">1+$B$13+VLOOKUP($Q8,武学奇术!$A:$ZZ,18,FALSE)+SUM(_xlfn.XLOOKUP($R8:$AK8,增益!$A:$A,增益!$R:$R,0))</f>
        <v>1.76</v>
      </c>
      <c r="BQ8" s="27" cm="1">
        <f t="array" ref="BQ8">IF(VLOOKUP($Q8,武学奇术!$A:$ZZ,24,FALSE)=1,100%,MIN(40%,$B$10+VLOOKUP($Q8,武学奇术!$A:$ZZ,19,FALSE)+SUM(_xlfn.XLOOKUP($R8:$AK8,增益!$A:$A,增益!$S:$S,0)))+$B$12+SUM(_xlfn.XLOOKUP($R8:$AK8,增益!$A:$A,增益!$V:$V,0)))*IF(VLOOKUP($Q8,武学奇术!$A:$ZZ,23,FALSE)=1,0,1)</f>
        <v>0.0929</v>
      </c>
      <c r="BR8" s="27" cm="1">
        <f t="array" ref="BR8">1+$B$14+VLOOKUP($Q8,武学奇术!$A:$ZZ,20,FALSE)+SUM(_xlfn.XLOOKUP($R8:$AK8,增益!$A:$A,增益!$T:$T,0))</f>
        <v>1.35</v>
      </c>
      <c r="BS8" s="27">
        <f t="shared" si="9"/>
        <v>0.87863408</v>
      </c>
      <c r="BT8" s="27">
        <f t="shared" si="10"/>
        <v>0.01567581</v>
      </c>
      <c r="BU8" s="27">
        <f>IF(VLOOKUP($Q8,武学奇术!$A:$ZZ,22,FALSE)=1,0,(1-$BN8))*(1-$BQ8)</f>
        <v>0.01279011</v>
      </c>
      <c r="BV8" s="27" cm="1">
        <f t="array" ref="BV8">SUM(_xlfn.XLOOKUP($R8:$AK8,增益!$A:$A,增益!$W:$W,0))+$I$5</f>
        <v>0.11</v>
      </c>
    </row>
    <row r="9" ht="14.25" spans="1:74">
      <c r="A9" s="43" t="s">
        <v>111</v>
      </c>
      <c r="B9" s="71">
        <f>期望!B9</f>
        <v>0.7992</v>
      </c>
      <c r="C9" s="22"/>
      <c r="D9" t="s">
        <v>0</v>
      </c>
      <c r="E9" t="s">
        <v>1</v>
      </c>
      <c r="F9" s="41" t="s">
        <v>2</v>
      </c>
      <c r="G9" s="46" t="s">
        <v>3</v>
      </c>
      <c r="H9" s="72"/>
      <c r="I9" s="20"/>
      <c r="J9" s="73"/>
      <c r="K9" s="40">
        <f t="shared" si="0"/>
        <v>14898.8270553456</v>
      </c>
      <c r="L9" s="40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BP9*$P9*(1+IF(VLOOKUP($Q9,武学奇术!$A:$ZZ,30,FALSE)="蓄力技",$B$21,0))*(1+$BV9)</f>
        <v>15369.4552780998</v>
      </c>
      <c r="M9" s="40">
        <f>(($AT9*$AM9+$AN9)*(1+$AU9)*(1+$AV9)+($AY9*IF($G$1="鸣金",$AO9,$AM9)+IF($G$1="鸣金",$AP9*1.5,0))*(1+$AZ9)*(1+$BA9)+($BC9*IF($G$1="裂石",$AO9,$AM9)+IF($G$1="裂石",$AP9*1.5,0))*(1+$BD9)*(1+$BE9)+($BG9*IF($G$1="牵丝",$AO9,$AM9)+IF($G$1="牵丝",$AP9*1.5,0))*(1+$BH9)*(1+$BI9)+($BK9*IF($G$1="破竹",$AO9,$AM9)+IF($G$1="破竹",$AP9*1.5,0))*(1+$BL9)*(1+$BM9))*(1+$AQ9)*$BR9*$P9*(1+IF(VLOOKUP($Q9,武学奇术!$A:$ZZ,30,FALSE)="蓄力技",$B$21,0))*(1+$BV9)</f>
        <v>12674.9909194571</v>
      </c>
      <c r="N9" s="40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P9*(1+IF(VLOOKUP($Q9,武学奇术!$A:$ZZ,30,FALSE)="蓄力技",$B$21,0))*(1+$BV9)</f>
        <v>8175.24216920204</v>
      </c>
      <c r="O9" s="40">
        <f>((($AS9*$AM9+$AN9)*(1+$AU9)*(1+$AV9)+($AX9*IF($G$1="鸣金",$AO9,$AM9)+IF($G$1="鸣金",$AP9*1.5,0))*(1+$AZ9)*(1+$BA9)+($BB9*IF($G$1="裂石",$AO9,$AM9)+IF($G$1="裂石",$AP9*1.5,0))*(1+$BD9)*(1+$BE9)+($BF9*IF($G$1="牵丝",$AO9,$AM9)+IF($G$1="牵丝",$AP9*1.5,0))*(1+$BH9)*(1+$BI9)+($BJ9*IF($G$1="破竹",$AO9,$AM9)+IF($G$1="破竹",$AP9*1.5,0))*(1+$BL9)*(1+$BM9))*(1+$AQ9))*$P9*(1+IF(VLOOKUP($Q9,武学奇术!$A:$ZZ,30,FALSE)="蓄力技",$B$21,0))*(1+$BV9)</f>
        <v>6961.60217584324</v>
      </c>
      <c r="P9" s="41">
        <v>1</v>
      </c>
      <c r="Q9" s="42" t="s">
        <v>112</v>
      </c>
      <c r="R9" s="42" t="s">
        <v>76</v>
      </c>
      <c r="S9" s="42" t="s">
        <v>77</v>
      </c>
      <c r="T9" s="42" t="s">
        <v>86</v>
      </c>
      <c r="U9" s="42" t="s">
        <v>113</v>
      </c>
      <c r="V9" s="42" t="s">
        <v>77</v>
      </c>
      <c r="W9" s="42" t="s">
        <v>114</v>
      </c>
      <c r="X9" s="42" t="s">
        <v>79</v>
      </c>
      <c r="Y9" s="42" t="s">
        <v>77</v>
      </c>
      <c r="Z9" s="42" t="s">
        <v>77</v>
      </c>
      <c r="AA9" s="42" t="s">
        <v>73</v>
      </c>
      <c r="AB9" s="42" t="s">
        <v>77</v>
      </c>
      <c r="AC9" s="42" t="s">
        <v>77</v>
      </c>
      <c r="AD9" s="42" t="s">
        <v>77</v>
      </c>
      <c r="AE9" s="42" t="s">
        <v>81</v>
      </c>
      <c r="AF9" s="42" t="s">
        <v>82</v>
      </c>
      <c r="AG9" s="42" t="s">
        <v>77</v>
      </c>
      <c r="AH9" s="42" t="s">
        <v>77</v>
      </c>
      <c r="AI9" s="42" t="s">
        <v>77</v>
      </c>
      <c r="AJ9" s="42" t="s">
        <v>77</v>
      </c>
      <c r="AK9" s="42" t="s">
        <v>77</v>
      </c>
      <c r="AL9" t="str">
        <f>VLOOKUP($Q9,武学奇术!$A:$ZZ,25,FALSE)</f>
        <v>陌刀</v>
      </c>
      <c r="AM9" s="27">
        <f>VLOOKUP($Q9,武学奇术!$A:$ZZ,26,FALSE)</f>
        <v>0.5</v>
      </c>
      <c r="AN9" s="28">
        <f>VLOOKUP($Q9,武学奇术!$A:$ZZ,27,FALSE)*(1+IF(OR($AL9=$F$4,$AL9=$F$5),$B$22,0))</f>
        <v>0</v>
      </c>
      <c r="AO9" s="27">
        <f>VLOOKUP($Q9,武学奇术!$A:$ZZ,28,FALSE)</f>
        <v>0.75</v>
      </c>
      <c r="AP9" s="28">
        <f>VLOOKUP($Q9,武学奇术!$A:$ZZ,29,FALSE)*(1+IF(OR($AL9=$F$4,$AL9=$F$5),$B$22,0))</f>
        <v>0</v>
      </c>
      <c r="AQ9" s="27" cm="1">
        <f t="array" ref="AQ9">$G$3+IFERROR(VLOOKUP($AL9,$F$4:$G$7,2,FALSE),0)+VLOOKUP($Q9,武学奇术!$A:$ZZ,2,FALSE)+SUM(_xlfn.XLOOKUP($R9:$AK9,增益!$A:$A,增益!$B:$B,0))</f>
        <v>0.6241</v>
      </c>
      <c r="AR9" s="27" cm="1">
        <f t="array" ref="AR9">VLOOKUP($Q9,武学奇术!$A:$ZZ,5,FALSE)+SUM(_xlfn.XLOOKUP($R9:$AK9,增益!$A:$A,增益!$E:$E,0))</f>
        <v>0</v>
      </c>
      <c r="AS9" cm="1">
        <f t="array" ref="AS9">$D$10*(1+$AR9)+VLOOKUP($Q9,武学奇术!$A:$ZZ,3,FALSE)+SUM(_xlfn.XLOOKUP($R9:$AK9,增益!$A:$A,增益!$C:$C,0))-$I$2</f>
        <v>3586.7</v>
      </c>
      <c r="AT9" cm="1">
        <f t="array" ref="AT9">$E$10*(1+$AR9)+VLOOKUP($Q9,武学奇术!$A:$ZZ,4,FALSE)+SUM(_xlfn.XLOOKUP($R9:$AK9,增益!$A:$A,增益!$D:$D,0))-$I$2</f>
        <v>3586.7</v>
      </c>
      <c r="AU9" s="34" cm="1">
        <f t="array" ref="AU9">IF($F$10-$I$3+VLOOKUP($Q9,武学奇术!$A:$ZZ,6,FALSE)+SUM(_xlfn.XLOOKUP($R9:$AK9,增益!$A:$A,增益!$F:$F,0))&gt;0,($F$10-$I$3+VLOOKUP($Q9,武学奇术!$A:$ZZ,6,FALSE)+SUM(_xlfn.XLOOKUP($R9:$AK9,增益!$A:$A,增益!$F:$F,0)))/200,($F$10-$I$3+VLOOKUP($Q9,武学奇术!$A:$ZZ,6,FALSE)+SUM(_xlfn.XLOOKUP($R9:$AK9,增益!$A:$A,增益!$F:$F,0)))/100)</f>
        <v>0.297</v>
      </c>
      <c r="AV9" s="34" cm="1">
        <f t="array" ref="AV9">$G$10+VLOOKUP($Q9,武学奇术!$A:$ZZ,7,FALSE)+SUM(_xlfn.XLOOKUP($R9:$AK9,增益!$A:$A,增益!$G:$G,0))</f>
        <v>0</v>
      </c>
      <c r="AW9" s="27" cm="1">
        <f t="array" ref="AW9">VLOOKUP($Q9,武学奇术!$A:$ZZ,8,FALSE)+SUM(_xlfn.XLOOKUP($R9:$AK9,增益!$A:$A,增益!$H:$H,0))</f>
        <v>0</v>
      </c>
      <c r="AX9">
        <f t="shared" si="1"/>
        <v>0</v>
      </c>
      <c r="AY9">
        <f t="shared" si="2"/>
        <v>0</v>
      </c>
      <c r="AZ9" s="34" cm="1">
        <f t="array" ref="AZ9">IF($F$11-$I$4+VLOOKUP($Q9,武学奇术!$A:$ZZ,9,FALSE)+SUM(_xlfn.XLOOKUP($R9:$AK9,增益!$A:$A,增益!$I:$I,0))&gt;0,($F$11-$I$4+VLOOKUP($Q9,武学奇术!$A:$ZZ,9,FALSE)+SUM(_xlfn.XLOOKUP($R9:$AK9,增益!$A:$A,增益!$I:$I,0)))/200,($F$11-$I$4+VLOOKUP($Q9,武学奇术!$A:$ZZ,9,FALSE)+SUM(_xlfn.XLOOKUP($R9:$AK9,增益!$A:$A,增益!$I:$I,0)))/100)</f>
        <v>-0.14</v>
      </c>
      <c r="BA9" s="34" cm="1">
        <f t="array" ref="BA9">$G$11+VLOOKUP($Q9,武学奇术!$A:$ZZ,10,FALSE)+SUM(_xlfn.XLOOKUP($R9:$AK9,增益!$A:$A,增益!$J:$J,0))</f>
        <v>0</v>
      </c>
      <c r="BB9">
        <f t="shared" si="3"/>
        <v>594.1</v>
      </c>
      <c r="BC9">
        <f t="shared" si="4"/>
        <v>1604.9</v>
      </c>
      <c r="BD9" s="34" cm="1">
        <f t="array" ref="BD9">IF($F$12-$I$4+VLOOKUP($Q9,武学奇术!$A:$ZZ,11,FALSE)+SUM(_xlfn.XLOOKUP($R9:$AK9,增益!$A:$A,增益!$K:$K,0))&gt;0,($F$12-$I$4+VLOOKUP($Q9,武学奇术!$A:$ZZ,11,FALSE)+SUM(_xlfn.XLOOKUP($R9:$AK9,增益!$A:$A,增益!$K:$K,0)))/200,($F$12-$I$4+VLOOKUP($Q9,武学奇术!$A:$ZZ,11,FALSE)+SUM(_xlfn.XLOOKUP($R9:$AK9,增益!$A:$A,增益!$K:$K,0)))/100)</f>
        <v>0.17</v>
      </c>
      <c r="BE9" s="34" cm="1">
        <f t="array" ref="BE9">$G$12+VLOOKUP($Q9,武学奇术!$A:$ZZ,12,FALSE)+SUM(_xlfn.XLOOKUP($R9:$AK9,增益!$A:$A,增益!$L:$L,0))</f>
        <v>0.15</v>
      </c>
      <c r="BF9">
        <f t="shared" si="5"/>
        <v>0</v>
      </c>
      <c r="BG9">
        <f t="shared" si="6"/>
        <v>0</v>
      </c>
      <c r="BH9" s="34" cm="1">
        <f t="array" ref="BH9">IF($F$13-$I$4+VLOOKUP($Q9,武学奇术!$A:$ZZ,13,FALSE)+SUM(_xlfn.XLOOKUP($R9:$AK9,增益!$A:$A,增益!$M:$M,0))&gt;0,($F$13-$I$4+VLOOKUP($Q9,武学奇术!$A:$ZZ,13,FALSE)+SUM(_xlfn.XLOOKUP($R9:$AK9,增益!$A:$A,增益!$K:$K,0)))/200,($F$13-$I$4+VLOOKUP($Q9,武学奇术!$A:$ZZ,13,FALSE)+SUM(_xlfn.XLOOKUP($R9:$AK9,增益!$A:$A,增益!$M:$M,0)))/100)</f>
        <v>-0.14</v>
      </c>
      <c r="BI9" s="34" cm="1">
        <f t="array" ref="BI9">$G$13+VLOOKUP($Q9,武学奇术!$A:$ZZ,14,FALSE)+SUM(_xlfn.XLOOKUP($R9:$AK9,增益!$A:$A,增益!$N:$N,0))</f>
        <v>0</v>
      </c>
      <c r="BJ9">
        <f t="shared" si="7"/>
        <v>0</v>
      </c>
      <c r="BK9">
        <f t="shared" si="8"/>
        <v>0</v>
      </c>
      <c r="BL9" s="34" cm="1">
        <f t="array" ref="BL9">IF($F$14-$I$4+VLOOKUP($Q9,武学奇术!$A:$ZZ,15,FALSE)+SUM(_xlfn.XLOOKUP($R9:$AK9,增益!$A:$A,增益!$O:$O,0))&gt;0,($F$14-$I$4+VLOOKUP($Q9,武学奇术!$A:$ZZ,15,FALSE)+SUM(_xlfn.XLOOKUP($R9:$AK9,增益!$A:$A,增益!$O:$O,0)))/200,($F$14-$I$4+VLOOKUP($Q9,武学奇术!$A:$ZZ,15,FALSE)+SUM(_xlfn.XLOOKUP($R9:$AK9,增益!$A:$A,增益!$O:$O,0)))/100)</f>
        <v>-0.14</v>
      </c>
      <c r="BM9" s="34" cm="1">
        <f t="array" ref="BM9">$G$14+VLOOKUP($Q9,武学奇术!$A:$ZZ,16,FALSE)+SUM(_xlfn.XLOOKUP($R9:$AK9,增益!$A:$A,增益!$P:$P,0))</f>
        <v>0</v>
      </c>
      <c r="BN9" s="27">
        <f>MIN(IF(VLOOKUP($Q9,武学奇术!$A:$ZZ,23,FALSE)=1,100%,$B$8),100%)</f>
        <v>0.9859</v>
      </c>
      <c r="BO9" s="27" cm="1">
        <f t="array" ref="BO9">IF(VLOOKUP($Q9,武学奇术!$A:$ZZ,23,FALSE)=1,100%,MIN(80%,$B$9+VLOOKUP($Q9,武学奇术!$A:$ZZ,17,FALSE)+SUM(_xlfn.XLOOKUP($R9:$AK9,增益!$A:$A,增益!$Q:$Q,0)))+$B$11+SUM(_xlfn.XLOOKUP($R9:$AK9,增益!$A:$A,增益!$U:$U,0)))*IF(VLOOKUP($Q9,武学奇术!$A:$ZZ,24,FALSE)=1,0,1)</f>
        <v>0.8912</v>
      </c>
      <c r="BP9" s="27" cm="1">
        <f t="array" ref="BP9">1+$B$13+VLOOKUP($Q9,武学奇术!$A:$ZZ,18,FALSE)+SUM(_xlfn.XLOOKUP($R9:$AK9,增益!$A:$A,增益!$R:$R,0))</f>
        <v>1.88</v>
      </c>
      <c r="BQ9" s="27" cm="1">
        <f t="array" ref="BQ9">IF(VLOOKUP($Q9,武学奇术!$A:$ZZ,24,FALSE)=1,100%,MIN(40%,$B$10+VLOOKUP($Q9,武学奇术!$A:$ZZ,19,FALSE)+SUM(_xlfn.XLOOKUP($R9:$AK9,增益!$A:$A,增益!$S:$S,0)))+$B$12+SUM(_xlfn.XLOOKUP($R9:$AK9,增益!$A:$A,增益!$V:$V,0)))*IF(VLOOKUP($Q9,武学奇术!$A:$ZZ,23,FALSE)=1,0,1)</f>
        <v>0.0929</v>
      </c>
      <c r="BR9" s="27" cm="1">
        <f t="array" ref="BR9">1+$B$14+VLOOKUP($Q9,武学奇术!$A:$ZZ,20,FALSE)+SUM(_xlfn.XLOOKUP($R9:$AK9,增益!$A:$A,增益!$T:$T,0))</f>
        <v>1.35</v>
      </c>
      <c r="BS9" s="27">
        <f t="shared" si="9"/>
        <v>0.87863408</v>
      </c>
      <c r="BT9" s="27">
        <f t="shared" si="10"/>
        <v>0.01567581</v>
      </c>
      <c r="BU9" s="27">
        <f>IF(VLOOKUP($Q9,武学奇术!$A:$ZZ,22,FALSE)=1,0,(1-$BN9))*(1-$BQ9)</f>
        <v>0.01279011</v>
      </c>
      <c r="BV9" s="27" cm="1">
        <f t="array" ref="BV9">SUM(_xlfn.XLOOKUP($R9:$AK9,增益!$A:$A,增益!$W:$W,0))+$I$5</f>
        <v>0.11</v>
      </c>
    </row>
    <row r="10" spans="1:74">
      <c r="A10" s="43" t="s">
        <v>115</v>
      </c>
      <c r="B10" s="71">
        <f>期望!B10</f>
        <v>0.0929</v>
      </c>
      <c r="C10" s="22" t="s">
        <v>71</v>
      </c>
      <c r="D10">
        <f>期望!D10</f>
        <v>4206.7</v>
      </c>
      <c r="E10">
        <f>期望!E10</f>
        <v>4206.7</v>
      </c>
      <c r="F10">
        <f>期望!F10</f>
        <v>58.4</v>
      </c>
      <c r="G10" s="51">
        <f>期望!G10</f>
        <v>0</v>
      </c>
      <c r="H10" s="69" t="s">
        <v>116</v>
      </c>
      <c r="I10" s="24">
        <f>SUM(K:K)</f>
        <v>12040477.5871593</v>
      </c>
      <c r="J10" s="74"/>
      <c r="K10" s="40">
        <f t="shared" si="0"/>
        <v>29136.5630910361</v>
      </c>
      <c r="L10" s="40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BP10*$P10*(1+IF(VLOOKUP($Q10,武学奇术!$A:$ZZ,30,FALSE)="蓄力技",$B$21,0))*(1+$BV10)</f>
        <v>29136.5630910361</v>
      </c>
      <c r="M10" s="40">
        <f>(($AT10*$AM10+$AN10)*(1+$AU10)*(1+$AV10)+($AY10*IF($G$1="鸣金",$AO10,$AM10)+IF($G$1="鸣金",$AP10*1.5,0))*(1+$AZ10)*(1+$BA10)+($BC10*IF($G$1="裂石",$AO10,$AM10)+IF($G$1="裂石",$AP10*1.5,0))*(1+$BD10)*(1+$BE10)+($BG10*IF($G$1="牵丝",$AO10,$AM10)+IF($G$1="牵丝",$AP10*1.5,0))*(1+$BH10)*(1+$BI10)+($BK10*IF($G$1="破竹",$AO10,$AM10)+IF($G$1="破竹",$AP10*1.5,0))*(1+$BL10)*(1+$BM10))*(1+$AQ10)*$BR10*$P10*(1+IF(VLOOKUP($Q10,武学奇术!$A:$ZZ,30,FALSE)="蓄力技",$B$21,0))*(1+$BV10)</f>
        <v>22814.9836550228</v>
      </c>
      <c r="N10" s="40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P10*(1+IF(VLOOKUP($Q10,武学奇术!$A:$ZZ,30,FALSE)="蓄力技",$B$21,0))*(1+$BV10)</f>
        <v>14715.4359045637</v>
      </c>
      <c r="O10" s="40">
        <f>((($AS10*$AM10+$AN10)*(1+$AU10)*(1+$AV10)+($AX10*IF($G$1="鸣金",$AO10,$AM10)+IF($G$1="鸣金",$AP10*1.5,0))*(1+$AZ10)*(1+$BA10)+($BB10*IF($G$1="裂石",$AO10,$AM10)+IF($G$1="裂石",$AP10*1.5,0))*(1+$BD10)*(1+$BE10)+($BF10*IF($G$1="牵丝",$AO10,$AM10)+IF($G$1="牵丝",$AP10*1.5,0))*(1+$BH10)*(1+$BI10)+($BJ10*IF($G$1="破竹",$AO10,$AM10)+IF($G$1="破竹",$AP10*1.5,0))*(1+$BL10)*(1+$BM10))*(1+$AQ10))*$P10*(1+IF(VLOOKUP($Q10,武学奇术!$A:$ZZ,30,FALSE)="蓄力技",$B$21,0))*(1+$BV10)</f>
        <v>12530.8839165178</v>
      </c>
      <c r="P10" s="41">
        <v>1</v>
      </c>
      <c r="Q10" s="42" t="s">
        <v>117</v>
      </c>
      <c r="R10" s="42" t="s">
        <v>76</v>
      </c>
      <c r="S10" s="42" t="s">
        <v>77</v>
      </c>
      <c r="T10" s="42" t="s">
        <v>86</v>
      </c>
      <c r="U10" s="42" t="s">
        <v>113</v>
      </c>
      <c r="V10" s="42" t="s">
        <v>118</v>
      </c>
      <c r="W10" s="42" t="s">
        <v>114</v>
      </c>
      <c r="X10" s="42" t="s">
        <v>79</v>
      </c>
      <c r="Y10" s="42" t="s">
        <v>77</v>
      </c>
      <c r="Z10" s="42" t="s">
        <v>77</v>
      </c>
      <c r="AA10" s="42" t="s">
        <v>73</v>
      </c>
      <c r="AB10" s="42" t="s">
        <v>77</v>
      </c>
      <c r="AC10" s="42" t="s">
        <v>77</v>
      </c>
      <c r="AD10" s="42" t="s">
        <v>77</v>
      </c>
      <c r="AE10" s="42" t="s">
        <v>81</v>
      </c>
      <c r="AF10" s="42" t="s">
        <v>82</v>
      </c>
      <c r="AG10" s="42" t="s">
        <v>77</v>
      </c>
      <c r="AH10" s="42" t="s">
        <v>77</v>
      </c>
      <c r="AI10" s="42" t="s">
        <v>77</v>
      </c>
      <c r="AJ10" s="42" t="s">
        <v>77</v>
      </c>
      <c r="AK10" s="42" t="s">
        <v>77</v>
      </c>
      <c r="AL10" t="str">
        <f>VLOOKUP($Q10,武学奇术!$A:$ZZ,25,FALSE)</f>
        <v>陌刀</v>
      </c>
      <c r="AM10" s="27">
        <f>VLOOKUP($Q10,武学奇术!$A:$ZZ,26,FALSE)</f>
        <v>0.9</v>
      </c>
      <c r="AN10" s="28">
        <f>VLOOKUP($Q10,武学奇术!$A:$ZZ,27,FALSE)*(1+IF(OR($AL10=$F$4,$AL10=$F$5),$B$22,0))</f>
        <v>0</v>
      </c>
      <c r="AO10" s="27">
        <f>VLOOKUP($Q10,武学奇术!$A:$ZZ,28,FALSE)</f>
        <v>1.35</v>
      </c>
      <c r="AP10" s="28">
        <f>VLOOKUP($Q10,武学奇术!$A:$ZZ,29,FALSE)*(1+IF(OR($AL10=$F$4,$AL10=$F$5),$B$22,0))</f>
        <v>0</v>
      </c>
      <c r="AQ10" s="27" cm="1">
        <f t="array" ref="AQ10">$G$3+IFERROR(VLOOKUP($AL10,$F$4:$G$7,2,FALSE),0)+VLOOKUP($Q10,武学奇术!$A:$ZZ,2,FALSE)+SUM(_xlfn.XLOOKUP($R10:$AK10,增益!$A:$A,增益!$B:$B,0))</f>
        <v>0.6241</v>
      </c>
      <c r="AR10" s="27" cm="1">
        <f t="array" ref="AR10">VLOOKUP($Q10,武学奇术!$A:$ZZ,5,FALSE)+SUM(_xlfn.XLOOKUP($R10:$AK10,增益!$A:$A,增益!$E:$E,0))</f>
        <v>0</v>
      </c>
      <c r="AS10" cm="1">
        <f t="array" ref="AS10">$D$10*(1+$AR10)+VLOOKUP($Q10,武学奇术!$A:$ZZ,3,FALSE)+SUM(_xlfn.XLOOKUP($R10:$AK10,增益!$A:$A,增益!$C:$C,0))-$I$2</f>
        <v>3586.7</v>
      </c>
      <c r="AT10" cm="1">
        <f t="array" ref="AT10">$E$10*(1+$AR10)+VLOOKUP($Q10,武学奇术!$A:$ZZ,4,FALSE)+SUM(_xlfn.XLOOKUP($R10:$AK10,增益!$A:$A,增益!$D:$D,0))-$I$2</f>
        <v>3586.7</v>
      </c>
      <c r="AU10" s="34" cm="1">
        <f t="array" ref="AU10">IF($F$10-$I$3+VLOOKUP($Q10,武学奇术!$A:$ZZ,6,FALSE)+SUM(_xlfn.XLOOKUP($R10:$AK10,增益!$A:$A,增益!$F:$F,0))&gt;0,($F$10-$I$3+VLOOKUP($Q10,武学奇术!$A:$ZZ,6,FALSE)+SUM(_xlfn.XLOOKUP($R10:$AK10,增益!$A:$A,增益!$F:$F,0)))/200,($F$10-$I$3+VLOOKUP($Q10,武学奇术!$A:$ZZ,6,FALSE)+SUM(_xlfn.XLOOKUP($R10:$AK10,增益!$A:$A,增益!$F:$F,0)))/100)</f>
        <v>0.297</v>
      </c>
      <c r="AV10" s="34" cm="1">
        <f t="array" ref="AV10">$G$10+VLOOKUP($Q10,武学奇术!$A:$ZZ,7,FALSE)+SUM(_xlfn.XLOOKUP($R10:$AK10,增益!$A:$A,增益!$G:$G,0))</f>
        <v>0</v>
      </c>
      <c r="AW10" s="27" cm="1">
        <f t="array" ref="AW10">VLOOKUP($Q10,武学奇术!$A:$ZZ,8,FALSE)+SUM(_xlfn.XLOOKUP($R10:$AK10,增益!$A:$A,增益!$H:$H,0))</f>
        <v>0</v>
      </c>
      <c r="AX10">
        <f t="shared" si="1"/>
        <v>0</v>
      </c>
      <c r="AY10">
        <f t="shared" si="2"/>
        <v>0</v>
      </c>
      <c r="AZ10" s="34" cm="1">
        <f t="array" ref="AZ10">IF($F$11-$I$4+VLOOKUP($Q10,武学奇术!$A:$ZZ,9,FALSE)+SUM(_xlfn.XLOOKUP($R10:$AK10,增益!$A:$A,增益!$I:$I,0))&gt;0,($F$11-$I$4+VLOOKUP($Q10,武学奇术!$A:$ZZ,9,FALSE)+SUM(_xlfn.XLOOKUP($R10:$AK10,增益!$A:$A,增益!$I:$I,0)))/200,($F$11-$I$4+VLOOKUP($Q10,武学奇术!$A:$ZZ,9,FALSE)+SUM(_xlfn.XLOOKUP($R10:$AK10,增益!$A:$A,增益!$I:$I,0)))/100)</f>
        <v>-0.14</v>
      </c>
      <c r="BA10" s="34" cm="1">
        <f t="array" ref="BA10">$G$11+VLOOKUP($Q10,武学奇术!$A:$ZZ,10,FALSE)+SUM(_xlfn.XLOOKUP($R10:$AK10,增益!$A:$A,增益!$J:$J,0))</f>
        <v>0</v>
      </c>
      <c r="BB10">
        <f t="shared" si="3"/>
        <v>594.1</v>
      </c>
      <c r="BC10">
        <f t="shared" si="4"/>
        <v>1604.9</v>
      </c>
      <c r="BD10" s="34" cm="1">
        <f t="array" ref="BD10">IF($F$12-$I$4+VLOOKUP($Q10,武学奇术!$A:$ZZ,11,FALSE)+SUM(_xlfn.XLOOKUP($R10:$AK10,增益!$A:$A,增益!$K:$K,0))&gt;0,($F$12-$I$4+VLOOKUP($Q10,武学奇术!$A:$ZZ,11,FALSE)+SUM(_xlfn.XLOOKUP($R10:$AK10,增益!$A:$A,增益!$K:$K,0)))/200,($F$12-$I$4+VLOOKUP($Q10,武学奇术!$A:$ZZ,11,FALSE)+SUM(_xlfn.XLOOKUP($R10:$AK10,增益!$A:$A,增益!$K:$K,0)))/100)</f>
        <v>0.17</v>
      </c>
      <c r="BE10" s="34" cm="1">
        <f t="array" ref="BE10">$G$12+VLOOKUP($Q10,武学奇术!$A:$ZZ,12,FALSE)+SUM(_xlfn.XLOOKUP($R10:$AK10,增益!$A:$A,增益!$L:$L,0))</f>
        <v>0.15</v>
      </c>
      <c r="BF10">
        <f t="shared" si="5"/>
        <v>0</v>
      </c>
      <c r="BG10">
        <f t="shared" si="6"/>
        <v>0</v>
      </c>
      <c r="BH10" s="34" cm="1">
        <f t="array" ref="BH10">IF($F$13-$I$4+VLOOKUP($Q10,武学奇术!$A:$ZZ,13,FALSE)+SUM(_xlfn.XLOOKUP($R10:$AK10,增益!$A:$A,增益!$M:$M,0))&gt;0,($F$13-$I$4+VLOOKUP($Q10,武学奇术!$A:$ZZ,13,FALSE)+SUM(_xlfn.XLOOKUP($R10:$AK10,增益!$A:$A,增益!$K:$K,0)))/200,($F$13-$I$4+VLOOKUP($Q10,武学奇术!$A:$ZZ,13,FALSE)+SUM(_xlfn.XLOOKUP($R10:$AK10,增益!$A:$A,增益!$M:$M,0)))/100)</f>
        <v>-0.14</v>
      </c>
      <c r="BI10" s="34" cm="1">
        <f t="array" ref="BI10">$G$13+VLOOKUP($Q10,武学奇术!$A:$ZZ,14,FALSE)+SUM(_xlfn.XLOOKUP($R10:$AK10,增益!$A:$A,增益!$N:$N,0))</f>
        <v>0</v>
      </c>
      <c r="BJ10">
        <f t="shared" si="7"/>
        <v>0</v>
      </c>
      <c r="BK10">
        <f t="shared" si="8"/>
        <v>0</v>
      </c>
      <c r="BL10" s="34" cm="1">
        <f t="array" ref="BL10">IF($F$14-$I$4+VLOOKUP($Q10,武学奇术!$A:$ZZ,15,FALSE)+SUM(_xlfn.XLOOKUP($R10:$AK10,增益!$A:$A,增益!$O:$O,0))&gt;0,($F$14-$I$4+VLOOKUP($Q10,武学奇术!$A:$ZZ,15,FALSE)+SUM(_xlfn.XLOOKUP($R10:$AK10,增益!$A:$A,增益!$O:$O,0)))/200,($F$14-$I$4+VLOOKUP($Q10,武学奇术!$A:$ZZ,15,FALSE)+SUM(_xlfn.XLOOKUP($R10:$AK10,增益!$A:$A,增益!$O:$O,0)))/100)</f>
        <v>-0.14</v>
      </c>
      <c r="BM10" s="34" cm="1">
        <f t="array" ref="BM10">$G$14+VLOOKUP($Q10,武学奇术!$A:$ZZ,16,FALSE)+SUM(_xlfn.XLOOKUP($R10:$AK10,增益!$A:$A,增益!$P:$P,0))</f>
        <v>0</v>
      </c>
      <c r="BN10" s="27">
        <f>MIN(IF(VLOOKUP($Q10,武学奇术!$A:$ZZ,23,FALSE)=1,100%,$B$8),100%)</f>
        <v>1</v>
      </c>
      <c r="BO10" s="27" cm="1">
        <f t="array" ref="BO10">IF(VLOOKUP($Q10,武学奇术!$A:$ZZ,23,FALSE)=1,100%,MIN(80%,$B$9+VLOOKUP($Q10,武学奇术!$A:$ZZ,17,FALSE)+SUM(_xlfn.XLOOKUP($R10:$AK10,增益!$A:$A,增益!$Q:$Q,0)))+$B$11+SUM(_xlfn.XLOOKUP($R10:$AK10,增益!$A:$A,增益!$U:$U,0)))*IF(VLOOKUP($Q10,武学奇术!$A:$ZZ,24,FALSE)=1,0,1)</f>
        <v>1</v>
      </c>
      <c r="BP10" s="27" cm="1">
        <f t="array" ref="BP10">1+$B$13+VLOOKUP($Q10,武学奇术!$A:$ZZ,18,FALSE)+SUM(_xlfn.XLOOKUP($R10:$AK10,增益!$A:$A,增益!$R:$R,0))</f>
        <v>1.98</v>
      </c>
      <c r="BQ10" s="27" cm="1">
        <f t="array" ref="BQ10">IF(VLOOKUP($Q10,武学奇术!$A:$ZZ,24,FALSE)=1,100%,MIN(40%,$B$10+VLOOKUP($Q10,武学奇术!$A:$ZZ,19,FALSE)+SUM(_xlfn.XLOOKUP($R10:$AK10,增益!$A:$A,增益!$S:$S,0)))+$B$12+SUM(_xlfn.XLOOKUP($R10:$AK10,增益!$A:$A,增益!$V:$V,0)))*IF(VLOOKUP($Q10,武学奇术!$A:$ZZ,23,FALSE)=1,0,1)</f>
        <v>0</v>
      </c>
      <c r="BR10" s="27" cm="1">
        <f t="array" ref="BR10">1+$B$14+VLOOKUP($Q10,武学奇术!$A:$ZZ,20,FALSE)+SUM(_xlfn.XLOOKUP($R10:$AK10,增益!$A:$A,增益!$T:$T,0))</f>
        <v>1.35</v>
      </c>
      <c r="BS10" s="27">
        <f t="shared" si="9"/>
        <v>1</v>
      </c>
      <c r="BT10" s="27">
        <f t="shared" si="10"/>
        <v>0</v>
      </c>
      <c r="BU10" s="27">
        <f>IF(VLOOKUP($Q10,武学奇术!$A:$ZZ,22,FALSE)=1,0,(1-$BN10))*(1-$BQ10)</f>
        <v>0</v>
      </c>
      <c r="BV10" s="27" cm="1">
        <f t="array" ref="BV10">SUM(_xlfn.XLOOKUP($R10:$AK10,增益!$A:$A,增益!$W:$W,0))+$I$5</f>
        <v>0.11</v>
      </c>
    </row>
    <row r="11" ht="14.25" spans="1:74">
      <c r="A11" s="43" t="s">
        <v>119</v>
      </c>
      <c r="B11" s="71">
        <f>期望!B11</f>
        <v>0.092</v>
      </c>
      <c r="C11" s="22" t="s">
        <v>83</v>
      </c>
      <c r="D11">
        <f>期望!D11</f>
        <v>0</v>
      </c>
      <c r="E11">
        <f>期望!E11</f>
        <v>0</v>
      </c>
      <c r="F11">
        <f>期望!F11</f>
        <v>0</v>
      </c>
      <c r="G11" s="51">
        <f>期望!G11</f>
        <v>0</v>
      </c>
      <c r="H11" s="72"/>
      <c r="I11" s="25"/>
      <c r="J11" s="75"/>
      <c r="K11" s="40">
        <f t="shared" si="0"/>
        <v>286528.735098128</v>
      </c>
      <c r="L11" s="40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BP11*$P11*(1+IF(VLOOKUP($Q11,武学奇术!$A:$ZZ,30,FALSE)="蓄力技",$B$21,0))*(1+$BV11)</f>
        <v>286528.735098128</v>
      </c>
      <c r="M11" s="40">
        <f>(($AT11*$AM11+$AN11)*(1+$AU11)*(1+$AV11)+($AY11*IF($G$1="鸣金",$AO11,$AM11)+IF($G$1="鸣金",$AP11*1.5,0))*(1+$AZ11)*(1+$BA11)+($BC11*IF($G$1="裂石",$AO11,$AM11)+IF($G$1="裂石",$AP11*1.5,0))*(1+$BD11)*(1+$BE11)+($BG11*IF($G$1="牵丝",$AO11,$AM11)+IF($G$1="牵丝",$AP11*1.5,0))*(1+$BH11)*(1+$BI11)+($BK11*IF($G$1="破竹",$AO11,$AM11)+IF($G$1="破竹",$AP11*1.5,0))*(1+$BL11)*(1+$BM11))*(1+$AQ11)*$BR11*$P11*(1+IF(VLOOKUP($Q11,武学奇术!$A:$ZZ,30,FALSE)="蓄力技",$B$21,0))*(1+$BV11)</f>
        <v>217089.276104458</v>
      </c>
      <c r="N11" s="40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P11*(1+IF(VLOOKUP($Q11,武学奇术!$A:$ZZ,30,FALSE)="蓄力技",$B$21,0))*(1+$BV11)</f>
        <v>142551.609501556</v>
      </c>
      <c r="O11" s="40">
        <f>((($AS11*$AM11+$AN11)*(1+$AU11)*(1+$AV11)+($AX11*IF($G$1="鸣金",$AO11,$AM11)+IF($G$1="鸣金",$AP11*1.5,0))*(1+$AZ11)*(1+$BA11)+($BB11*IF($G$1="裂石",$AO11,$AM11)+IF($G$1="裂石",$AP11*1.5,0))*(1+$BD11)*(1+$BE11)+($BF11*IF($G$1="牵丝",$AO11,$AM11)+IF($G$1="牵丝",$AP11*1.5,0))*(1+$BH11)*(1+$BI11)+($BJ11*IF($G$1="破竹",$AO11,$AM11)+IF($G$1="破竹",$AP11*1.5,0))*(1+$BL11)*(1+$BM11))*(1+$AQ11))*$P11*(1+IF(VLOOKUP($Q11,武学奇术!$A:$ZZ,30,FALSE)="蓄力技",$B$21,0))*(1+$BV11)</f>
        <v>124296.347814625</v>
      </c>
      <c r="P11" s="41">
        <v>1</v>
      </c>
      <c r="Q11" s="42" t="s">
        <v>120</v>
      </c>
      <c r="R11" s="42" t="s">
        <v>85</v>
      </c>
      <c r="S11" s="42" t="s">
        <v>77</v>
      </c>
      <c r="T11" s="42" t="s">
        <v>86</v>
      </c>
      <c r="U11" s="42" t="s">
        <v>121</v>
      </c>
      <c r="V11" s="42" t="s">
        <v>118</v>
      </c>
      <c r="W11" s="42" t="s">
        <v>122</v>
      </c>
      <c r="X11" s="42" t="s">
        <v>79</v>
      </c>
      <c r="Y11" s="42" t="s">
        <v>77</v>
      </c>
      <c r="Z11" s="42" t="s">
        <v>77</v>
      </c>
      <c r="AA11" s="42" t="s">
        <v>73</v>
      </c>
      <c r="AB11" s="42" t="s">
        <v>77</v>
      </c>
      <c r="AC11" s="42" t="s">
        <v>77</v>
      </c>
      <c r="AD11" s="42" t="s">
        <v>77</v>
      </c>
      <c r="AE11" s="42" t="s">
        <v>81</v>
      </c>
      <c r="AF11" s="42" t="s">
        <v>82</v>
      </c>
      <c r="AG11" s="42" t="s">
        <v>77</v>
      </c>
      <c r="AH11" s="42" t="s">
        <v>77</v>
      </c>
      <c r="AI11" s="42" t="s">
        <v>77</v>
      </c>
      <c r="AJ11" s="42" t="s">
        <v>77</v>
      </c>
      <c r="AK11" s="42" t="s">
        <v>77</v>
      </c>
      <c r="AL11" t="str">
        <f>VLOOKUP($Q11,武学奇术!$A:$ZZ,25,FALSE)</f>
        <v>陌刀</v>
      </c>
      <c r="AM11" s="27">
        <f>VLOOKUP($Q11,武学奇术!$A:$ZZ,26,FALSE)</f>
        <v>7.5674</v>
      </c>
      <c r="AN11" s="28">
        <f>VLOOKUP($Q11,武学奇术!$A:$ZZ,27,FALSE)*(1+IF(OR($AL11=$F$4,$AL11=$F$5),$B$22,0))</f>
        <v>3139.5</v>
      </c>
      <c r="AO11" s="27">
        <f>VLOOKUP($Q11,武学奇术!$A:$ZZ,28,FALSE)</f>
        <v>11.3512</v>
      </c>
      <c r="AP11" s="28">
        <f>VLOOKUP($Q11,武学奇术!$A:$ZZ,29,FALSE)*(1+IF(OR($AL11=$F$4,$AL11=$F$5),$B$22,0))</f>
        <v>1710</v>
      </c>
      <c r="AQ11" s="27" cm="1">
        <f t="array" ref="AQ11">$G$3+IFERROR(VLOOKUP($AL11,$F$4:$G$7,2,FALSE),0)+VLOOKUP($Q11,武学奇术!$A:$ZZ,2,FALSE)+SUM(_xlfn.XLOOKUP($R11:$AK11,增益!$A:$A,增益!$B:$B,0))</f>
        <v>0.6141</v>
      </c>
      <c r="AR11" s="27" cm="1">
        <f t="array" ref="AR11">VLOOKUP($Q11,武学奇术!$A:$ZZ,5,FALSE)+SUM(_xlfn.XLOOKUP($R11:$AK11,增益!$A:$A,增益!$E:$E,0))</f>
        <v>0</v>
      </c>
      <c r="AS11" cm="1">
        <f t="array" ref="AS11">$D$10*(1+$AR11)+VLOOKUP($Q11,武学奇术!$A:$ZZ,3,FALSE)+SUM(_xlfn.XLOOKUP($R11:$AK11,增益!$A:$A,增益!$C:$C,0))-$I$2</f>
        <v>3586.7</v>
      </c>
      <c r="AT11" cm="1">
        <f t="array" ref="AT11">$E$10*(1+$AR11)+VLOOKUP($Q11,武学奇术!$A:$ZZ,4,FALSE)+SUM(_xlfn.XLOOKUP($R11:$AK11,增益!$A:$A,增益!$D:$D,0))-$I$2</f>
        <v>3586.7</v>
      </c>
      <c r="AU11" s="34" cm="1">
        <f t="array" ref="AU11">IF($F$10-$I$3+VLOOKUP($Q11,武学奇术!$A:$ZZ,6,FALSE)+SUM(_xlfn.XLOOKUP($R11:$AK11,增益!$A:$A,增益!$F:$F,0))&gt;0,($F$10-$I$3+VLOOKUP($Q11,武学奇术!$A:$ZZ,6,FALSE)+SUM(_xlfn.XLOOKUP($R11:$AK11,增益!$A:$A,增益!$F:$F,0)))/200,($F$10-$I$3+VLOOKUP($Q11,武学奇术!$A:$ZZ,6,FALSE)+SUM(_xlfn.XLOOKUP($R11:$AK11,增益!$A:$A,增益!$F:$F,0)))/100)</f>
        <v>0.322</v>
      </c>
      <c r="AV11" s="34" cm="1">
        <f t="array" ref="AV11">$G$10+VLOOKUP($Q11,武学奇术!$A:$ZZ,7,FALSE)+SUM(_xlfn.XLOOKUP($R11:$AK11,增益!$A:$A,增益!$G:$G,0))</f>
        <v>0</v>
      </c>
      <c r="AW11" s="27" cm="1">
        <f t="array" ref="AW11">VLOOKUP($Q11,武学奇术!$A:$ZZ,8,FALSE)+SUM(_xlfn.XLOOKUP($R11:$AK11,增益!$A:$A,增益!$H:$H,0))</f>
        <v>0</v>
      </c>
      <c r="AX11">
        <f t="shared" si="1"/>
        <v>0</v>
      </c>
      <c r="AY11">
        <f t="shared" si="2"/>
        <v>0</v>
      </c>
      <c r="AZ11" s="34" cm="1">
        <f t="array" ref="AZ11">IF($F$11-$I$4+VLOOKUP($Q11,武学奇术!$A:$ZZ,9,FALSE)+SUM(_xlfn.XLOOKUP($R11:$AK11,增益!$A:$A,增益!$I:$I,0))&gt;0,($F$11-$I$4+VLOOKUP($Q11,武学奇术!$A:$ZZ,9,FALSE)+SUM(_xlfn.XLOOKUP($R11:$AK11,增益!$A:$A,增益!$I:$I,0)))/200,($F$11-$I$4+VLOOKUP($Q11,武学奇术!$A:$ZZ,9,FALSE)+SUM(_xlfn.XLOOKUP($R11:$AK11,增益!$A:$A,增益!$I:$I,0)))/100)</f>
        <v>-0.14</v>
      </c>
      <c r="BA11" s="34" cm="1">
        <f t="array" ref="BA11">$G$11+VLOOKUP($Q11,武学奇术!$A:$ZZ,10,FALSE)+SUM(_xlfn.XLOOKUP($R11:$AK11,增益!$A:$A,增益!$J:$J,0))</f>
        <v>0</v>
      </c>
      <c r="BB11">
        <f t="shared" si="3"/>
        <v>594.1</v>
      </c>
      <c r="BC11">
        <f t="shared" si="4"/>
        <v>1604.9</v>
      </c>
      <c r="BD11" s="34" cm="1">
        <f t="array" ref="BD11">IF($F$12-$I$4+VLOOKUP($Q11,武学奇术!$A:$ZZ,11,FALSE)+SUM(_xlfn.XLOOKUP($R11:$AK11,增益!$A:$A,增益!$K:$K,0))&gt;0,($F$12-$I$4+VLOOKUP($Q11,武学奇术!$A:$ZZ,11,FALSE)+SUM(_xlfn.XLOOKUP($R11:$AK11,增益!$A:$A,增益!$K:$K,0)))/200,($F$12-$I$4+VLOOKUP($Q11,武学奇术!$A:$ZZ,11,FALSE)+SUM(_xlfn.XLOOKUP($R11:$AK11,增益!$A:$A,增益!$K:$K,0)))/100)</f>
        <v>0.17</v>
      </c>
      <c r="BE11" s="34" cm="1">
        <f t="array" ref="BE11">$G$12+VLOOKUP($Q11,武学奇术!$A:$ZZ,12,FALSE)+SUM(_xlfn.XLOOKUP($R11:$AK11,增益!$A:$A,增益!$L:$L,0))</f>
        <v>0.15</v>
      </c>
      <c r="BF11">
        <f t="shared" si="5"/>
        <v>0</v>
      </c>
      <c r="BG11">
        <f t="shared" si="6"/>
        <v>0</v>
      </c>
      <c r="BH11" s="34" cm="1">
        <f t="array" ref="BH11">IF($F$13-$I$4+VLOOKUP($Q11,武学奇术!$A:$ZZ,13,FALSE)+SUM(_xlfn.XLOOKUP($R11:$AK11,增益!$A:$A,增益!$M:$M,0))&gt;0,($F$13-$I$4+VLOOKUP($Q11,武学奇术!$A:$ZZ,13,FALSE)+SUM(_xlfn.XLOOKUP($R11:$AK11,增益!$A:$A,增益!$K:$K,0)))/200,($F$13-$I$4+VLOOKUP($Q11,武学奇术!$A:$ZZ,13,FALSE)+SUM(_xlfn.XLOOKUP($R11:$AK11,增益!$A:$A,增益!$M:$M,0)))/100)</f>
        <v>-0.14</v>
      </c>
      <c r="BI11" s="34" cm="1">
        <f t="array" ref="BI11">$G$13+VLOOKUP($Q11,武学奇术!$A:$ZZ,14,FALSE)+SUM(_xlfn.XLOOKUP($R11:$AK11,增益!$A:$A,增益!$N:$N,0))</f>
        <v>0</v>
      </c>
      <c r="BJ11">
        <f t="shared" si="7"/>
        <v>0</v>
      </c>
      <c r="BK11">
        <f t="shared" si="8"/>
        <v>0</v>
      </c>
      <c r="BL11" s="34" cm="1">
        <f t="array" ref="BL11">IF($F$14-$I$4+VLOOKUP($Q11,武学奇术!$A:$ZZ,15,FALSE)+SUM(_xlfn.XLOOKUP($R11:$AK11,增益!$A:$A,增益!$O:$O,0))&gt;0,($F$14-$I$4+VLOOKUP($Q11,武学奇术!$A:$ZZ,15,FALSE)+SUM(_xlfn.XLOOKUP($R11:$AK11,增益!$A:$A,增益!$O:$O,0)))/200,($F$14-$I$4+VLOOKUP($Q11,武学奇术!$A:$ZZ,15,FALSE)+SUM(_xlfn.XLOOKUP($R11:$AK11,增益!$A:$A,增益!$O:$O,0)))/100)</f>
        <v>-0.14</v>
      </c>
      <c r="BM11" s="34" cm="1">
        <f t="array" ref="BM11">$G$14+VLOOKUP($Q11,武学奇术!$A:$ZZ,16,FALSE)+SUM(_xlfn.XLOOKUP($R11:$AK11,增益!$A:$A,增益!$P:$P,0))</f>
        <v>0</v>
      </c>
      <c r="BN11" s="27">
        <f>MIN(IF(VLOOKUP($Q11,武学奇术!$A:$ZZ,23,FALSE)=1,100%,$B$8),100%)</f>
        <v>1</v>
      </c>
      <c r="BO11" s="27" cm="1">
        <f t="array" ref="BO11">IF(VLOOKUP($Q11,武学奇术!$A:$ZZ,23,FALSE)=1,100%,MIN(80%,$B$9+VLOOKUP($Q11,武学奇术!$A:$ZZ,17,FALSE)+SUM(_xlfn.XLOOKUP($R11:$AK11,增益!$A:$A,增益!$Q:$Q,0)))+$B$11+SUM(_xlfn.XLOOKUP($R11:$AK11,增益!$A:$A,增益!$U:$U,0)))*IF(VLOOKUP($Q11,武学奇术!$A:$ZZ,24,FALSE)=1,0,1)</f>
        <v>1</v>
      </c>
      <c r="BP11" s="27" cm="1">
        <f t="array" ref="BP11">1+$B$13+VLOOKUP($Q11,武学奇术!$A:$ZZ,18,FALSE)+SUM(_xlfn.XLOOKUP($R11:$AK11,增益!$A:$A,增益!$R:$R,0))</f>
        <v>2.01</v>
      </c>
      <c r="BQ11" s="27" cm="1">
        <f t="array" ref="BQ11">IF(VLOOKUP($Q11,武学奇术!$A:$ZZ,24,FALSE)=1,100%,MIN(40%,$B$10+VLOOKUP($Q11,武学奇术!$A:$ZZ,19,FALSE)+SUM(_xlfn.XLOOKUP($R11:$AK11,增益!$A:$A,增益!$S:$S,0)))+$B$12+SUM(_xlfn.XLOOKUP($R11:$AK11,增益!$A:$A,增益!$V:$V,0)))*IF(VLOOKUP($Q11,武学奇术!$A:$ZZ,23,FALSE)=1,0,1)</f>
        <v>0</v>
      </c>
      <c r="BR11" s="27" cm="1">
        <f t="array" ref="BR11">1+$B$14+VLOOKUP($Q11,武学奇术!$A:$ZZ,20,FALSE)+SUM(_xlfn.XLOOKUP($R11:$AK11,增益!$A:$A,增益!$T:$T,0))</f>
        <v>1.35</v>
      </c>
      <c r="BS11" s="27">
        <f t="shared" si="9"/>
        <v>1</v>
      </c>
      <c r="BT11" s="27">
        <f t="shared" si="10"/>
        <v>0</v>
      </c>
      <c r="BU11" s="27">
        <f>IF(VLOOKUP($Q11,武学奇术!$A:$ZZ,22,FALSE)=1,0,(1-$BN11))*(1-$BQ11)</f>
        <v>0</v>
      </c>
      <c r="BV11" s="27" cm="1">
        <f t="array" ref="BV11">SUM(_xlfn.XLOOKUP($R11:$AK11,增益!$A:$A,增益!$W:$W,0))+$I$5</f>
        <v>0.11</v>
      </c>
    </row>
    <row r="12" spans="1:74">
      <c r="A12" s="43" t="s">
        <v>123</v>
      </c>
      <c r="B12" s="71">
        <f>期望!B12</f>
        <v>0</v>
      </c>
      <c r="C12" s="22" t="s">
        <v>5</v>
      </c>
      <c r="D12">
        <f>期望!D12</f>
        <v>594.1</v>
      </c>
      <c r="E12">
        <f>期望!E12</f>
        <v>1604.9</v>
      </c>
      <c r="F12">
        <f>期望!F12</f>
        <v>36</v>
      </c>
      <c r="G12" s="51">
        <f>期望!G12</f>
        <v>0.15</v>
      </c>
      <c r="H12" s="69" t="s">
        <v>195</v>
      </c>
      <c r="I12" s="40">
        <f>I10/I8</f>
        <v>118392.110001566</v>
      </c>
      <c r="J12" s="76"/>
      <c r="K12" s="40">
        <f t="shared" si="0"/>
        <v>16832.5063397468</v>
      </c>
      <c r="L12" s="40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BP12*$P12*(1+IF(VLOOKUP($Q12,武学奇术!$A:$ZZ,30,FALSE)="蓄力技",$B$21,0))*(1+$BV12)</f>
        <v>16832.5063397468</v>
      </c>
      <c r="M12" s="40">
        <f>(($AT12*$AM12+$AN12)*(1+$AU12)*(1+$AV12)+($AY12*IF($G$1="鸣金",$AO12,$AM12)+IF($G$1="鸣金",$AP12*1.5,0))*(1+$AZ12)*(1+$BA12)+($BC12*IF($G$1="裂石",$AO12,$AM12)+IF($G$1="裂石",$AP12*1.5,0))*(1+$BD12)*(1+$BE12)+($BG12*IF($G$1="牵丝",$AO12,$AM12)+IF($G$1="牵丝",$AP12*1.5,0))*(1+$BH12)*(1+$BI12)+($BK12*IF($G$1="破竹",$AO12,$AM12)+IF($G$1="破竹",$AP12*1.5,0))*(1+$BL12)*(1+$BM12))*(1+$AQ12)*$BR12*$P12*(1+IF(VLOOKUP($Q12,武学奇术!$A:$ZZ,30,FALSE)="蓄力技",$B$21,0))*(1+$BV12)</f>
        <v>12897.9494322127</v>
      </c>
      <c r="N12" s="40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P12*(1+IF(VLOOKUP($Q12,武学奇术!$A:$ZZ,30,FALSE)="蓄力技",$B$21,0))*(1+$BV12)</f>
        <v>8332.92393056774</v>
      </c>
      <c r="O12" s="40">
        <f>((($AS12*$AM12+$AN12)*(1+$AU12)*(1+$AV12)+($AX12*IF($G$1="鸣金",$AO12,$AM12)+IF($G$1="鸣金",$AP12*1.5,0))*(1+$AZ12)*(1+$BA12)+($BB12*IF($G$1="裂石",$AO12,$AM12)+IF($G$1="裂石",$AP12*1.5,0))*(1+$BD12)*(1+$BE12)+($BF12*IF($G$1="牵丝",$AO12,$AM12)+IF($G$1="牵丝",$AP12*1.5,0))*(1+$BH12)*(1+$BI12)+($BJ12*IF($G$1="破竹",$AO12,$AM12)+IF($G$1="破竹",$AP12*1.5,0))*(1+$BL12)*(1+$BM12))*(1+$AQ12))*$P12*(1+IF(VLOOKUP($Q12,武学奇术!$A:$ZZ,30,FALSE)="蓄力技",$B$21,0))*(1+$BV12)</f>
        <v>7111.81124468164</v>
      </c>
      <c r="P12" s="41">
        <v>1</v>
      </c>
      <c r="Q12" s="42" t="s">
        <v>125</v>
      </c>
      <c r="R12" s="42" t="s">
        <v>85</v>
      </c>
      <c r="S12" s="42" t="s">
        <v>77</v>
      </c>
      <c r="T12" s="42" t="s">
        <v>86</v>
      </c>
      <c r="U12" s="42" t="s">
        <v>121</v>
      </c>
      <c r="V12" s="42" t="s">
        <v>118</v>
      </c>
      <c r="W12" s="42" t="s">
        <v>114</v>
      </c>
      <c r="X12" s="42" t="s">
        <v>88</v>
      </c>
      <c r="Y12" s="42" t="s">
        <v>77</v>
      </c>
      <c r="Z12" s="42" t="s">
        <v>77</v>
      </c>
      <c r="AA12" s="42" t="s">
        <v>73</v>
      </c>
      <c r="AB12" s="42" t="s">
        <v>77</v>
      </c>
      <c r="AC12" s="42" t="s">
        <v>77</v>
      </c>
      <c r="AD12" s="42" t="s">
        <v>77</v>
      </c>
      <c r="AE12" s="42" t="s">
        <v>81</v>
      </c>
      <c r="AF12" s="42" t="s">
        <v>82</v>
      </c>
      <c r="AG12" s="42" t="s">
        <v>77</v>
      </c>
      <c r="AH12" s="42" t="s">
        <v>77</v>
      </c>
      <c r="AI12" s="42" t="s">
        <v>77</v>
      </c>
      <c r="AJ12" s="42" t="s">
        <v>77</v>
      </c>
      <c r="AK12" s="42" t="s">
        <v>77</v>
      </c>
      <c r="AL12" t="str">
        <f>VLOOKUP($Q12,武学奇术!$A:$ZZ,25,FALSE)</f>
        <v>陌刀</v>
      </c>
      <c r="AM12" s="27">
        <f>VLOOKUP($Q12,武学奇术!$A:$ZZ,26,FALSE)</f>
        <v>0.5</v>
      </c>
      <c r="AN12" s="28">
        <f>VLOOKUP($Q12,武学奇术!$A:$ZZ,27,FALSE)*(1+IF(OR($AL12=$F$4,$AL12=$F$5),$B$22,0))</f>
        <v>0</v>
      </c>
      <c r="AO12" s="27">
        <f>VLOOKUP($Q12,武学奇术!$A:$ZZ,28,FALSE)</f>
        <v>0.75</v>
      </c>
      <c r="AP12" s="28">
        <f>VLOOKUP($Q12,武学奇术!$A:$ZZ,29,FALSE)*(1+IF(OR($AL12=$F$4,$AL12=$F$5),$B$22,0))</f>
        <v>0</v>
      </c>
      <c r="AQ12" s="27" cm="1">
        <f t="array" ref="AQ12">$G$3+IFERROR(VLOOKUP($AL12,$F$4:$G$7,2,FALSE),0)+VLOOKUP($Q12,武学奇术!$A:$ZZ,2,FALSE)+SUM(_xlfn.XLOOKUP($R12:$AK12,增益!$A:$A,增益!$B:$B,0))</f>
        <v>0.6341</v>
      </c>
      <c r="AR12" s="27" cm="1">
        <f t="array" ref="AR12">VLOOKUP($Q12,武学奇术!$A:$ZZ,5,FALSE)+SUM(_xlfn.XLOOKUP($R12:$AK12,增益!$A:$A,增益!$E:$E,0))</f>
        <v>0</v>
      </c>
      <c r="AS12" cm="1">
        <f t="array" ref="AS12">$D$10*(1+$AR12)+VLOOKUP($Q12,武学奇术!$A:$ZZ,3,FALSE)+SUM(_xlfn.XLOOKUP($R12:$AK12,增益!$A:$A,增益!$C:$C,0))-$I$2</f>
        <v>3586.7</v>
      </c>
      <c r="AT12" cm="1">
        <f t="array" ref="AT12">$E$10*(1+$AR12)+VLOOKUP($Q12,武学奇术!$A:$ZZ,4,FALSE)+SUM(_xlfn.XLOOKUP($R12:$AK12,增益!$A:$A,增益!$D:$D,0))-$I$2</f>
        <v>3586.7</v>
      </c>
      <c r="AU12" s="34" cm="1">
        <f t="array" ref="AU12">IF($F$10-$I$3+VLOOKUP($Q12,武学奇术!$A:$ZZ,6,FALSE)+SUM(_xlfn.XLOOKUP($R12:$AK12,增益!$A:$A,增益!$F:$F,0))&gt;0,($F$10-$I$3+VLOOKUP($Q12,武学奇术!$A:$ZZ,6,FALSE)+SUM(_xlfn.XLOOKUP($R12:$AK12,增益!$A:$A,增益!$F:$F,0)))/200,($F$10-$I$3+VLOOKUP($Q12,武学奇术!$A:$ZZ,6,FALSE)+SUM(_xlfn.XLOOKUP($R12:$AK12,增益!$A:$A,增益!$F:$F,0)))/100)</f>
        <v>0.322</v>
      </c>
      <c r="AV12" s="34" cm="1">
        <f t="array" ref="AV12">$G$10+VLOOKUP($Q12,武学奇术!$A:$ZZ,7,FALSE)+SUM(_xlfn.XLOOKUP($R12:$AK12,增益!$A:$A,增益!$G:$G,0))</f>
        <v>0</v>
      </c>
      <c r="AW12" s="27" cm="1">
        <f t="array" ref="AW12">VLOOKUP($Q12,武学奇术!$A:$ZZ,8,FALSE)+SUM(_xlfn.XLOOKUP($R12:$AK12,增益!$A:$A,增益!$H:$H,0))</f>
        <v>0</v>
      </c>
      <c r="AX12">
        <f t="shared" si="1"/>
        <v>0</v>
      </c>
      <c r="AY12">
        <f t="shared" si="2"/>
        <v>0</v>
      </c>
      <c r="AZ12" s="34" cm="1">
        <f t="array" ref="AZ12">IF($F$11-$I$4+VLOOKUP($Q12,武学奇术!$A:$ZZ,9,FALSE)+SUM(_xlfn.XLOOKUP($R12:$AK12,增益!$A:$A,增益!$I:$I,0))&gt;0,($F$11-$I$4+VLOOKUP($Q12,武学奇术!$A:$ZZ,9,FALSE)+SUM(_xlfn.XLOOKUP($R12:$AK12,增益!$A:$A,增益!$I:$I,0)))/200,($F$11-$I$4+VLOOKUP($Q12,武学奇术!$A:$ZZ,9,FALSE)+SUM(_xlfn.XLOOKUP($R12:$AK12,增益!$A:$A,增益!$I:$I,0)))/100)</f>
        <v>-0.14</v>
      </c>
      <c r="BA12" s="34" cm="1">
        <f t="array" ref="BA12">$G$11+VLOOKUP($Q12,武学奇术!$A:$ZZ,10,FALSE)+SUM(_xlfn.XLOOKUP($R12:$AK12,增益!$A:$A,增益!$J:$J,0))</f>
        <v>0</v>
      </c>
      <c r="BB12">
        <f t="shared" si="3"/>
        <v>594.1</v>
      </c>
      <c r="BC12">
        <f t="shared" si="4"/>
        <v>1604.9</v>
      </c>
      <c r="BD12" s="34" cm="1">
        <f t="array" ref="BD12">IF($F$12-$I$4+VLOOKUP($Q12,武学奇术!$A:$ZZ,11,FALSE)+SUM(_xlfn.XLOOKUP($R12:$AK12,增益!$A:$A,增益!$K:$K,0))&gt;0,($F$12-$I$4+VLOOKUP($Q12,武学奇术!$A:$ZZ,11,FALSE)+SUM(_xlfn.XLOOKUP($R12:$AK12,增益!$A:$A,增益!$K:$K,0)))/200,($F$12-$I$4+VLOOKUP($Q12,武学奇术!$A:$ZZ,11,FALSE)+SUM(_xlfn.XLOOKUP($R12:$AK12,增益!$A:$A,增益!$K:$K,0)))/100)</f>
        <v>0.17</v>
      </c>
      <c r="BE12" s="34" cm="1">
        <f t="array" ref="BE12">$G$12+VLOOKUP($Q12,武学奇术!$A:$ZZ,12,FALSE)+SUM(_xlfn.XLOOKUP($R12:$AK12,增益!$A:$A,增益!$L:$L,0))</f>
        <v>0.15</v>
      </c>
      <c r="BF12">
        <f t="shared" si="5"/>
        <v>0</v>
      </c>
      <c r="BG12">
        <f t="shared" si="6"/>
        <v>0</v>
      </c>
      <c r="BH12" s="34" cm="1">
        <f t="array" ref="BH12">IF($F$13-$I$4+VLOOKUP($Q12,武学奇术!$A:$ZZ,13,FALSE)+SUM(_xlfn.XLOOKUP($R12:$AK12,增益!$A:$A,增益!$M:$M,0))&gt;0,($F$13-$I$4+VLOOKUP($Q12,武学奇术!$A:$ZZ,13,FALSE)+SUM(_xlfn.XLOOKUP($R12:$AK12,增益!$A:$A,增益!$K:$K,0)))/200,($F$13-$I$4+VLOOKUP($Q12,武学奇术!$A:$ZZ,13,FALSE)+SUM(_xlfn.XLOOKUP($R12:$AK12,增益!$A:$A,增益!$M:$M,0)))/100)</f>
        <v>-0.14</v>
      </c>
      <c r="BI12" s="34" cm="1">
        <f t="array" ref="BI12">$G$13+VLOOKUP($Q12,武学奇术!$A:$ZZ,14,FALSE)+SUM(_xlfn.XLOOKUP($R12:$AK12,增益!$A:$A,增益!$N:$N,0))</f>
        <v>0</v>
      </c>
      <c r="BJ12">
        <f t="shared" si="7"/>
        <v>0</v>
      </c>
      <c r="BK12">
        <f t="shared" si="8"/>
        <v>0</v>
      </c>
      <c r="BL12" s="34" cm="1">
        <f t="array" ref="BL12">IF($F$14-$I$4+VLOOKUP($Q12,武学奇术!$A:$ZZ,15,FALSE)+SUM(_xlfn.XLOOKUP($R12:$AK12,增益!$A:$A,增益!$O:$O,0))&gt;0,($F$14-$I$4+VLOOKUP($Q12,武学奇术!$A:$ZZ,15,FALSE)+SUM(_xlfn.XLOOKUP($R12:$AK12,增益!$A:$A,增益!$O:$O,0)))/200,($F$14-$I$4+VLOOKUP($Q12,武学奇术!$A:$ZZ,15,FALSE)+SUM(_xlfn.XLOOKUP($R12:$AK12,增益!$A:$A,增益!$O:$O,0)))/100)</f>
        <v>-0.14</v>
      </c>
      <c r="BM12" s="34" cm="1">
        <f t="array" ref="BM12">$G$14+VLOOKUP($Q12,武学奇术!$A:$ZZ,16,FALSE)+SUM(_xlfn.XLOOKUP($R12:$AK12,增益!$A:$A,增益!$P:$P,0))</f>
        <v>0</v>
      </c>
      <c r="BN12" s="27">
        <f>MIN(IF(VLOOKUP($Q12,武学奇术!$A:$ZZ,23,FALSE)=1,100%,$B$8),100%)</f>
        <v>1</v>
      </c>
      <c r="BO12" s="27" cm="1">
        <f t="array" ref="BO12">IF(VLOOKUP($Q12,武学奇术!$A:$ZZ,23,FALSE)=1,100%,MIN(80%,$B$9+VLOOKUP($Q12,武学奇术!$A:$ZZ,17,FALSE)+SUM(_xlfn.XLOOKUP($R12:$AK12,增益!$A:$A,增益!$Q:$Q,0)))+$B$11+SUM(_xlfn.XLOOKUP($R12:$AK12,增益!$A:$A,增益!$U:$U,0)))*IF(VLOOKUP($Q12,武学奇术!$A:$ZZ,24,FALSE)=1,0,1)</f>
        <v>1</v>
      </c>
      <c r="BP12" s="27" cm="1">
        <f t="array" ref="BP12">1+$B$13+VLOOKUP($Q12,武学奇术!$A:$ZZ,18,FALSE)+SUM(_xlfn.XLOOKUP($R12:$AK12,增益!$A:$A,增益!$R:$R,0))</f>
        <v>2.02</v>
      </c>
      <c r="BQ12" s="27" cm="1">
        <f t="array" ref="BQ12">IF(VLOOKUP($Q12,武学奇术!$A:$ZZ,24,FALSE)=1,100%,MIN(40%,$B$10+VLOOKUP($Q12,武学奇术!$A:$ZZ,19,FALSE)+SUM(_xlfn.XLOOKUP($R12:$AK12,增益!$A:$A,增益!$S:$S,0)))+$B$12+SUM(_xlfn.XLOOKUP($R12:$AK12,增益!$A:$A,增益!$V:$V,0)))*IF(VLOOKUP($Q12,武学奇术!$A:$ZZ,23,FALSE)=1,0,1)</f>
        <v>0</v>
      </c>
      <c r="BR12" s="27" cm="1">
        <f t="array" ref="BR12">1+$B$14+VLOOKUP($Q12,武学奇术!$A:$ZZ,20,FALSE)+SUM(_xlfn.XLOOKUP($R12:$AK12,增益!$A:$A,增益!$T:$T,0))</f>
        <v>1.35</v>
      </c>
      <c r="BS12" s="27">
        <f t="shared" si="9"/>
        <v>1</v>
      </c>
      <c r="BT12" s="27">
        <f t="shared" si="10"/>
        <v>0</v>
      </c>
      <c r="BU12" s="27">
        <f>IF(VLOOKUP($Q12,武学奇术!$A:$ZZ,22,FALSE)=1,0,(1-$BN12))*(1-$BQ12)</f>
        <v>0</v>
      </c>
      <c r="BV12" s="27" cm="1">
        <f t="array" ref="BV12">SUM(_xlfn.XLOOKUP($R12:$AK12,增益!$A:$A,增益!$W:$W,0))+$I$5</f>
        <v>0.11</v>
      </c>
    </row>
    <row r="13" ht="14.25" spans="1:74">
      <c r="A13" s="43" t="s">
        <v>126</v>
      </c>
      <c r="B13" s="71">
        <f>期望!B13</f>
        <v>0.54</v>
      </c>
      <c r="C13" s="22" t="s">
        <v>96</v>
      </c>
      <c r="D13">
        <f>期望!D13</f>
        <v>0</v>
      </c>
      <c r="E13">
        <f>期望!E13</f>
        <v>0</v>
      </c>
      <c r="F13">
        <f>期望!F13</f>
        <v>0</v>
      </c>
      <c r="G13" s="51">
        <f>期望!G13</f>
        <v>0</v>
      </c>
      <c r="H13" s="72"/>
      <c r="I13" s="77"/>
      <c r="J13" s="75"/>
      <c r="K13" s="40">
        <f t="shared" si="0"/>
        <v>30641.0030034466</v>
      </c>
      <c r="L13" s="40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BP13*$P13*(1+IF(VLOOKUP($Q13,武学奇术!$A:$ZZ,30,FALSE)="蓄力技",$B$21,0))*(1+$BV13)</f>
        <v>30641.0030034466</v>
      </c>
      <c r="M13" s="40">
        <f>(($AT13*$AM13+$AN13)*(1+$AU13)*(1+$AV13)+($AY13*IF($G$1="鸣金",$AO13,$AM13)+IF($G$1="鸣金",$AP13*1.5,0))*(1+$AZ13)*(1+$BA13)+($BC13*IF($G$1="裂石",$AO13,$AM13)+IF($G$1="裂石",$AP13*1.5,0))*(1+$BD13)*(1+$BE13)+($BG13*IF($G$1="牵丝",$AO13,$AM13)+IF($G$1="牵丝",$AP13*1.5,0))*(1+$BH13)*(1+$BI13)+($BK13*IF($G$1="破竹",$AO13,$AM13)+IF($G$1="破竹",$AP13*1.5,0))*(1+$BL13)*(1+$BM13))*(1+$AQ13)*$BR13*$P13*(1+IF(VLOOKUP($Q13,武学奇术!$A:$ZZ,30,FALSE)="蓄力技",$B$21,0))*(1+$BV13)</f>
        <v>23463.3605164024</v>
      </c>
      <c r="N13" s="40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P13*(1+IF(VLOOKUP($Q13,武学奇术!$A:$ZZ,30,FALSE)="蓄力技",$B$21,0))*(1+$BV13)</f>
        <v>15168.8133680429</v>
      </c>
      <c r="O13" s="40">
        <f>((($AS13*$AM13+$AN13)*(1+$AU13)*(1+$AV13)+($AX13*IF($G$1="鸣金",$AO13,$AM13)+IF($G$1="鸣金",$AP13*1.5,0))*(1+$AZ13)*(1+$BA13)+($BB13*IF($G$1="裂石",$AO13,$AM13)+IF($G$1="裂石",$AP13*1.5,0))*(1+$BD13)*(1+$BE13)+($BF13*IF($G$1="牵丝",$AO13,$AM13)+IF($G$1="牵丝",$AP13*1.5,0))*(1+$BH13)*(1+$BI13)+($BJ13*IF($G$1="破竹",$AO13,$AM13)+IF($G$1="破竹",$AP13*1.5,0))*(1+$BL13)*(1+$BM13))*(1+$AQ13))*$P13*(1+IF(VLOOKUP($Q13,武学奇术!$A:$ZZ,30,FALSE)="蓄力技",$B$21,0))*(1+$BV13)</f>
        <v>12957.3596868988</v>
      </c>
      <c r="P13" s="41">
        <v>1</v>
      </c>
      <c r="Q13" s="42" t="s">
        <v>117</v>
      </c>
      <c r="R13" s="42" t="s">
        <v>93</v>
      </c>
      <c r="S13" s="42" t="s">
        <v>77</v>
      </c>
      <c r="T13" s="42" t="s">
        <v>86</v>
      </c>
      <c r="U13" s="42" t="s">
        <v>121</v>
      </c>
      <c r="V13" s="42" t="s">
        <v>118</v>
      </c>
      <c r="W13" s="42" t="s">
        <v>114</v>
      </c>
      <c r="X13" s="42" t="s">
        <v>88</v>
      </c>
      <c r="Y13" s="42" t="s">
        <v>77</v>
      </c>
      <c r="Z13" s="42" t="s">
        <v>77</v>
      </c>
      <c r="AA13" s="42" t="s">
        <v>73</v>
      </c>
      <c r="AB13" s="42" t="s">
        <v>77</v>
      </c>
      <c r="AC13" s="42" t="s">
        <v>77</v>
      </c>
      <c r="AD13" s="42" t="s">
        <v>77</v>
      </c>
      <c r="AE13" s="42" t="s">
        <v>81</v>
      </c>
      <c r="AF13" s="42" t="s">
        <v>82</v>
      </c>
      <c r="AG13" s="42" t="s">
        <v>77</v>
      </c>
      <c r="AH13" s="42" t="s">
        <v>77</v>
      </c>
      <c r="AI13" s="42" t="s">
        <v>77</v>
      </c>
      <c r="AJ13" s="42" t="s">
        <v>77</v>
      </c>
      <c r="AK13" s="42" t="s">
        <v>77</v>
      </c>
      <c r="AL13" t="str">
        <f>VLOOKUP($Q13,武学奇术!$A:$ZZ,25,FALSE)</f>
        <v>陌刀</v>
      </c>
      <c r="AM13" s="27">
        <f>VLOOKUP($Q13,武学奇术!$A:$ZZ,26,FALSE)</f>
        <v>0.9</v>
      </c>
      <c r="AN13" s="28">
        <f>VLOOKUP($Q13,武学奇术!$A:$ZZ,27,FALSE)*(1+IF(OR($AL13=$F$4,$AL13=$F$5),$B$22,0))</f>
        <v>0</v>
      </c>
      <c r="AO13" s="27">
        <f>VLOOKUP($Q13,武学奇术!$A:$ZZ,28,FALSE)</f>
        <v>1.35</v>
      </c>
      <c r="AP13" s="28">
        <f>VLOOKUP($Q13,武学奇术!$A:$ZZ,29,FALSE)*(1+IF(OR($AL13=$F$4,$AL13=$F$5),$B$22,0))</f>
        <v>0</v>
      </c>
      <c r="AQ13" s="27" cm="1">
        <f t="array" ref="AQ13">$G$3+IFERROR(VLOOKUP($AL13,$F$4:$G$7,2,FALSE),0)+VLOOKUP($Q13,武学奇术!$A:$ZZ,2,FALSE)+SUM(_xlfn.XLOOKUP($R13:$AK13,增益!$A:$A,增益!$B:$B,0))</f>
        <v>0.6441</v>
      </c>
      <c r="AR13" s="27" cm="1">
        <f t="array" ref="AR13">VLOOKUP($Q13,武学奇术!$A:$ZZ,5,FALSE)+SUM(_xlfn.XLOOKUP($R13:$AK13,增益!$A:$A,增益!$E:$E,0))</f>
        <v>0</v>
      </c>
      <c r="AS13" cm="1">
        <f t="array" ref="AS13">$D$10*(1+$AR13)+VLOOKUP($Q13,武学奇术!$A:$ZZ,3,FALSE)+SUM(_xlfn.XLOOKUP($R13:$AK13,增益!$A:$A,增益!$C:$C,0))-$I$2</f>
        <v>3586.7</v>
      </c>
      <c r="AT13" cm="1">
        <f t="array" ref="AT13">$E$10*(1+$AR13)+VLOOKUP($Q13,武学奇术!$A:$ZZ,4,FALSE)+SUM(_xlfn.XLOOKUP($R13:$AK13,增益!$A:$A,增益!$D:$D,0))-$I$2</f>
        <v>3586.7</v>
      </c>
      <c r="AU13" s="34" cm="1">
        <f t="array" ref="AU13">IF($F$10-$I$3+VLOOKUP($Q13,武学奇术!$A:$ZZ,6,FALSE)+SUM(_xlfn.XLOOKUP($R13:$AK13,增益!$A:$A,增益!$F:$F,0))&gt;0,($F$10-$I$3+VLOOKUP($Q13,武学奇术!$A:$ZZ,6,FALSE)+SUM(_xlfn.XLOOKUP($R13:$AK13,增益!$A:$A,增益!$F:$F,0)))/200,($F$10-$I$3+VLOOKUP($Q13,武学奇术!$A:$ZZ,6,FALSE)+SUM(_xlfn.XLOOKUP($R13:$AK13,增益!$A:$A,增益!$F:$F,0)))/100)</f>
        <v>0.332</v>
      </c>
      <c r="AV13" s="34" cm="1">
        <f t="array" ref="AV13">$G$10+VLOOKUP($Q13,武学奇术!$A:$ZZ,7,FALSE)+SUM(_xlfn.XLOOKUP($R13:$AK13,增益!$A:$A,增益!$G:$G,0))</f>
        <v>0</v>
      </c>
      <c r="AW13" s="27" cm="1">
        <f t="array" ref="AW13">VLOOKUP($Q13,武学奇术!$A:$ZZ,8,FALSE)+SUM(_xlfn.XLOOKUP($R13:$AK13,增益!$A:$A,增益!$H:$H,0))</f>
        <v>0</v>
      </c>
      <c r="AX13">
        <f t="shared" si="1"/>
        <v>0</v>
      </c>
      <c r="AY13">
        <f t="shared" si="2"/>
        <v>0</v>
      </c>
      <c r="AZ13" s="34" cm="1">
        <f t="array" ref="AZ13">IF($F$11-$I$4+VLOOKUP($Q13,武学奇术!$A:$ZZ,9,FALSE)+SUM(_xlfn.XLOOKUP($R13:$AK13,增益!$A:$A,增益!$I:$I,0))&gt;0,($F$11-$I$4+VLOOKUP($Q13,武学奇术!$A:$ZZ,9,FALSE)+SUM(_xlfn.XLOOKUP($R13:$AK13,增益!$A:$A,增益!$I:$I,0)))/200,($F$11-$I$4+VLOOKUP($Q13,武学奇术!$A:$ZZ,9,FALSE)+SUM(_xlfn.XLOOKUP($R13:$AK13,增益!$A:$A,增益!$I:$I,0)))/100)</f>
        <v>-0.14</v>
      </c>
      <c r="BA13" s="34" cm="1">
        <f t="array" ref="BA13">$G$11+VLOOKUP($Q13,武学奇术!$A:$ZZ,10,FALSE)+SUM(_xlfn.XLOOKUP($R13:$AK13,增益!$A:$A,增益!$J:$J,0))</f>
        <v>0</v>
      </c>
      <c r="BB13">
        <f t="shared" si="3"/>
        <v>594.1</v>
      </c>
      <c r="BC13">
        <f t="shared" si="4"/>
        <v>1604.9</v>
      </c>
      <c r="BD13" s="34" cm="1">
        <f t="array" ref="BD13">IF($F$12-$I$4+VLOOKUP($Q13,武学奇术!$A:$ZZ,11,FALSE)+SUM(_xlfn.XLOOKUP($R13:$AK13,增益!$A:$A,增益!$K:$K,0))&gt;0,($F$12-$I$4+VLOOKUP($Q13,武学奇术!$A:$ZZ,11,FALSE)+SUM(_xlfn.XLOOKUP($R13:$AK13,增益!$A:$A,增益!$K:$K,0)))/200,($F$12-$I$4+VLOOKUP($Q13,武学奇术!$A:$ZZ,11,FALSE)+SUM(_xlfn.XLOOKUP($R13:$AK13,增益!$A:$A,增益!$K:$K,0)))/100)</f>
        <v>0.17</v>
      </c>
      <c r="BE13" s="34" cm="1">
        <f t="array" ref="BE13">$G$12+VLOOKUP($Q13,武学奇术!$A:$ZZ,12,FALSE)+SUM(_xlfn.XLOOKUP($R13:$AK13,增益!$A:$A,增益!$L:$L,0))</f>
        <v>0.15</v>
      </c>
      <c r="BF13">
        <f t="shared" si="5"/>
        <v>0</v>
      </c>
      <c r="BG13">
        <f t="shared" si="6"/>
        <v>0</v>
      </c>
      <c r="BH13" s="34" cm="1">
        <f t="array" ref="BH13">IF($F$13-$I$4+VLOOKUP($Q13,武学奇术!$A:$ZZ,13,FALSE)+SUM(_xlfn.XLOOKUP($R13:$AK13,增益!$A:$A,增益!$M:$M,0))&gt;0,($F$13-$I$4+VLOOKUP($Q13,武学奇术!$A:$ZZ,13,FALSE)+SUM(_xlfn.XLOOKUP($R13:$AK13,增益!$A:$A,增益!$K:$K,0)))/200,($F$13-$I$4+VLOOKUP($Q13,武学奇术!$A:$ZZ,13,FALSE)+SUM(_xlfn.XLOOKUP($R13:$AK13,增益!$A:$A,增益!$M:$M,0)))/100)</f>
        <v>-0.14</v>
      </c>
      <c r="BI13" s="34" cm="1">
        <f t="array" ref="BI13">$G$13+VLOOKUP($Q13,武学奇术!$A:$ZZ,14,FALSE)+SUM(_xlfn.XLOOKUP($R13:$AK13,增益!$A:$A,增益!$N:$N,0))</f>
        <v>0</v>
      </c>
      <c r="BJ13">
        <f t="shared" si="7"/>
        <v>0</v>
      </c>
      <c r="BK13">
        <f t="shared" si="8"/>
        <v>0</v>
      </c>
      <c r="BL13" s="34" cm="1">
        <f t="array" ref="BL13">IF($F$14-$I$4+VLOOKUP($Q13,武学奇术!$A:$ZZ,15,FALSE)+SUM(_xlfn.XLOOKUP($R13:$AK13,增益!$A:$A,增益!$O:$O,0))&gt;0,($F$14-$I$4+VLOOKUP($Q13,武学奇术!$A:$ZZ,15,FALSE)+SUM(_xlfn.XLOOKUP($R13:$AK13,增益!$A:$A,增益!$O:$O,0)))/200,($F$14-$I$4+VLOOKUP($Q13,武学奇术!$A:$ZZ,15,FALSE)+SUM(_xlfn.XLOOKUP($R13:$AK13,增益!$A:$A,增益!$O:$O,0)))/100)</f>
        <v>-0.14</v>
      </c>
      <c r="BM13" s="34" cm="1">
        <f t="array" ref="BM13">$G$14+VLOOKUP($Q13,武学奇术!$A:$ZZ,16,FALSE)+SUM(_xlfn.XLOOKUP($R13:$AK13,增益!$A:$A,增益!$P:$P,0))</f>
        <v>0</v>
      </c>
      <c r="BN13" s="27">
        <f>MIN(IF(VLOOKUP($Q13,武学奇术!$A:$ZZ,23,FALSE)=1,100%,$B$8),100%)</f>
        <v>1</v>
      </c>
      <c r="BO13" s="27" cm="1">
        <f t="array" ref="BO13">IF(VLOOKUP($Q13,武学奇术!$A:$ZZ,23,FALSE)=1,100%,MIN(80%,$B$9+VLOOKUP($Q13,武学奇术!$A:$ZZ,17,FALSE)+SUM(_xlfn.XLOOKUP($R13:$AK13,增益!$A:$A,增益!$Q:$Q,0)))+$B$11+SUM(_xlfn.XLOOKUP($R13:$AK13,增益!$A:$A,增益!$U:$U,0)))*IF(VLOOKUP($Q13,武学奇术!$A:$ZZ,24,FALSE)=1,0,1)</f>
        <v>1</v>
      </c>
      <c r="BP13" s="27" cm="1">
        <f t="array" ref="BP13">1+$B$13+VLOOKUP($Q13,武学奇术!$A:$ZZ,18,FALSE)+SUM(_xlfn.XLOOKUP($R13:$AK13,增益!$A:$A,增益!$R:$R,0))</f>
        <v>2.02</v>
      </c>
      <c r="BQ13" s="27" cm="1">
        <f t="array" ref="BQ13">IF(VLOOKUP($Q13,武学奇术!$A:$ZZ,24,FALSE)=1,100%,MIN(40%,$B$10+VLOOKUP($Q13,武学奇术!$A:$ZZ,19,FALSE)+SUM(_xlfn.XLOOKUP($R13:$AK13,增益!$A:$A,增益!$S:$S,0)))+$B$12+SUM(_xlfn.XLOOKUP($R13:$AK13,增益!$A:$A,增益!$V:$V,0)))*IF(VLOOKUP($Q13,武学奇术!$A:$ZZ,23,FALSE)=1,0,1)</f>
        <v>0</v>
      </c>
      <c r="BR13" s="27" cm="1">
        <f t="array" ref="BR13">1+$B$14+VLOOKUP($Q13,武学奇术!$A:$ZZ,20,FALSE)+SUM(_xlfn.XLOOKUP($R13:$AK13,增益!$A:$A,增益!$T:$T,0))</f>
        <v>1.35</v>
      </c>
      <c r="BS13" s="27">
        <f t="shared" si="9"/>
        <v>1</v>
      </c>
      <c r="BT13" s="27">
        <f t="shared" si="10"/>
        <v>0</v>
      </c>
      <c r="BU13" s="27">
        <f>IF(VLOOKUP($Q13,武学奇术!$A:$ZZ,22,FALSE)=1,0,(1-$BN13))*(1-$BQ13)</f>
        <v>0</v>
      </c>
      <c r="BV13" s="27" cm="1">
        <f t="array" ref="BV13">SUM(_xlfn.XLOOKUP($R13:$AK13,增益!$A:$A,增益!$W:$W,0))+$I$5</f>
        <v>0.11</v>
      </c>
    </row>
    <row r="14" ht="14.25" spans="1:74">
      <c r="A14" s="43" t="s">
        <v>127</v>
      </c>
      <c r="B14" s="71">
        <f>期望!B14</f>
        <v>0.35</v>
      </c>
      <c r="C14" s="13" t="s">
        <v>101</v>
      </c>
      <c r="D14" s="13">
        <f>期望!D14</f>
        <v>0</v>
      </c>
      <c r="E14" s="13">
        <f>期望!E14</f>
        <v>0</v>
      </c>
      <c r="F14" s="13">
        <f>期望!F14</f>
        <v>0</v>
      </c>
      <c r="G14" s="65">
        <f>期望!G14</f>
        <v>0</v>
      </c>
      <c r="H14" s="38" t="s">
        <v>128</v>
      </c>
      <c r="I14" s="24">
        <f>I12+120000*8%</f>
        <v>127992.110001566</v>
      </c>
      <c r="J14" s="74"/>
      <c r="K14" s="40">
        <f t="shared" si="0"/>
        <v>291193.8313969</v>
      </c>
      <c r="L14" s="40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BP14*$P14*(1+IF(VLOOKUP($Q14,武学奇术!$A:$ZZ,30,FALSE)="蓄力技",$B$21,0))*(1+$BV14)</f>
        <v>291193.8313969</v>
      </c>
      <c r="M14" s="40">
        <f>(($AT14*$AM14+$AN14)*(1+$AU14)*(1+$AV14)+($AY14*IF($G$1="鸣金",$AO14,$AM14)+IF($G$1="鸣金",$AP14*1.5,0))*(1+$AZ14)*(1+$BA14)+($BC14*IF($G$1="裂石",$AO14,$AM14)+IF($G$1="裂石",$AP14*1.5,0))*(1+$BD14)*(1+$BE14)+($BG14*IF($G$1="牵丝",$AO14,$AM14)+IF($G$1="牵丝",$AP14*1.5,0))*(1+$BH14)*(1+$BI14)+($BK14*IF($G$1="破竹",$AO14,$AM14)+IF($G$1="破竹",$AP14*1.5,0))*(1+$BL14)*(1+$BM14))*(1+$AQ14)*$BR14*$P14*(1+IF(VLOOKUP($Q14,武学奇术!$A:$ZZ,30,FALSE)="蓄力技",$B$21,0))*(1+$BV14)</f>
        <v>219407.025331565</v>
      </c>
      <c r="N14" s="40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P14*(1+IF(VLOOKUP($Q14,武学奇术!$A:$ZZ,30,FALSE)="蓄力技",$B$21,0))*(1+$BV14)</f>
        <v>144155.362077673</v>
      </c>
      <c r="O14" s="40">
        <f>((($AS14*$AM14+$AN14)*(1+$AU14)*(1+$AV14)+($AX14*IF($G$1="鸣金",$AO14,$AM14)+IF($G$1="鸣金",$AP14*1.5,0))*(1+$AZ14)*(1+$BA14)+($BB14*IF($G$1="裂石",$AO14,$AM14)+IF($G$1="裂石",$AP14*1.5,0))*(1+$BD14)*(1+$BE14)+($BF14*IF($G$1="牵丝",$AO14,$AM14)+IF($G$1="牵丝",$AP14*1.5,0))*(1+$BH14)*(1+$BI14)+($BJ14*IF($G$1="破竹",$AO14,$AM14)+IF($G$1="破竹",$AP14*1.5,0))*(1+$BL14)*(1+$BM14))*(1+$AQ14))*$P14*(1+IF(VLOOKUP($Q14,武学奇术!$A:$ZZ,30,FALSE)="蓄力技",$B$21,0))*(1+$BV14)</f>
        <v>125787.001687521</v>
      </c>
      <c r="P14" s="41">
        <v>1</v>
      </c>
      <c r="Q14" s="42" t="s">
        <v>120</v>
      </c>
      <c r="R14" s="42" t="s">
        <v>93</v>
      </c>
      <c r="S14" s="42" t="s">
        <v>77</v>
      </c>
      <c r="T14" s="42" t="s">
        <v>86</v>
      </c>
      <c r="U14" s="42" t="s">
        <v>121</v>
      </c>
      <c r="V14" s="42" t="s">
        <v>118</v>
      </c>
      <c r="W14" s="42" t="s">
        <v>122</v>
      </c>
      <c r="X14" s="42" t="s">
        <v>88</v>
      </c>
      <c r="Y14" s="42" t="s">
        <v>77</v>
      </c>
      <c r="Z14" s="42" t="s">
        <v>77</v>
      </c>
      <c r="AA14" s="42" t="s">
        <v>73</v>
      </c>
      <c r="AB14" s="42" t="s">
        <v>77</v>
      </c>
      <c r="AC14" s="42" t="s">
        <v>77</v>
      </c>
      <c r="AD14" s="42" t="s">
        <v>77</v>
      </c>
      <c r="AE14" s="42" t="s">
        <v>81</v>
      </c>
      <c r="AF14" s="42" t="s">
        <v>82</v>
      </c>
      <c r="AG14" s="42" t="s">
        <v>77</v>
      </c>
      <c r="AH14" s="42" t="s">
        <v>77</v>
      </c>
      <c r="AI14" s="42" t="s">
        <v>77</v>
      </c>
      <c r="AJ14" s="42" t="s">
        <v>77</v>
      </c>
      <c r="AK14" s="42" t="s">
        <v>77</v>
      </c>
      <c r="AL14" t="str">
        <f>VLOOKUP($Q14,武学奇术!$A:$ZZ,25,FALSE)</f>
        <v>陌刀</v>
      </c>
      <c r="AM14" s="27">
        <f>VLOOKUP($Q14,武学奇术!$A:$ZZ,26,FALSE)</f>
        <v>7.5674</v>
      </c>
      <c r="AN14" s="28">
        <f>VLOOKUP($Q14,武学奇术!$A:$ZZ,27,FALSE)*(1+IF(OR($AL14=$F$4,$AL14=$F$5),$B$22,0))</f>
        <v>3139.5</v>
      </c>
      <c r="AO14" s="27">
        <f>VLOOKUP($Q14,武学奇术!$A:$ZZ,28,FALSE)</f>
        <v>11.3512</v>
      </c>
      <c r="AP14" s="28">
        <f>VLOOKUP($Q14,武学奇术!$A:$ZZ,29,FALSE)*(1+IF(OR($AL14=$F$4,$AL14=$F$5),$B$22,0))</f>
        <v>1710</v>
      </c>
      <c r="AQ14" s="27" cm="1">
        <f t="array" ref="AQ14">$G$3+IFERROR(VLOOKUP($AL14,$F$4:$G$7,2,FALSE),0)+VLOOKUP($Q14,武学奇术!$A:$ZZ,2,FALSE)+SUM(_xlfn.XLOOKUP($R14:$AK14,增益!$A:$A,增益!$B:$B,0))</f>
        <v>0.6241</v>
      </c>
      <c r="AR14" s="27" cm="1">
        <f t="array" ref="AR14">VLOOKUP($Q14,武学奇术!$A:$ZZ,5,FALSE)+SUM(_xlfn.XLOOKUP($R14:$AK14,增益!$A:$A,增益!$E:$E,0))</f>
        <v>0</v>
      </c>
      <c r="AS14" cm="1">
        <f t="array" ref="AS14">$D$10*(1+$AR14)+VLOOKUP($Q14,武学奇术!$A:$ZZ,3,FALSE)+SUM(_xlfn.XLOOKUP($R14:$AK14,增益!$A:$A,增益!$C:$C,0))-$I$2</f>
        <v>3586.7</v>
      </c>
      <c r="AT14" cm="1">
        <f t="array" ref="AT14">$E$10*(1+$AR14)+VLOOKUP($Q14,武学奇术!$A:$ZZ,4,FALSE)+SUM(_xlfn.XLOOKUP($R14:$AK14,增益!$A:$A,增益!$D:$D,0))-$I$2</f>
        <v>3586.7</v>
      </c>
      <c r="AU14" s="34" cm="1">
        <f t="array" ref="AU14">IF($F$10-$I$3+VLOOKUP($Q14,武学奇术!$A:$ZZ,6,FALSE)+SUM(_xlfn.XLOOKUP($R14:$AK14,增益!$A:$A,增益!$F:$F,0))&gt;0,($F$10-$I$3+VLOOKUP($Q14,武学奇术!$A:$ZZ,6,FALSE)+SUM(_xlfn.XLOOKUP($R14:$AK14,增益!$A:$A,增益!$F:$F,0)))/200,($F$10-$I$3+VLOOKUP($Q14,武学奇术!$A:$ZZ,6,FALSE)+SUM(_xlfn.XLOOKUP($R14:$AK14,增益!$A:$A,增益!$F:$F,0)))/100)</f>
        <v>0.332</v>
      </c>
      <c r="AV14" s="34" cm="1">
        <f t="array" ref="AV14">$G$10+VLOOKUP($Q14,武学奇术!$A:$ZZ,7,FALSE)+SUM(_xlfn.XLOOKUP($R14:$AK14,增益!$A:$A,增益!$G:$G,0))</f>
        <v>0</v>
      </c>
      <c r="AW14" s="27" cm="1">
        <f t="array" ref="AW14">VLOOKUP($Q14,武学奇术!$A:$ZZ,8,FALSE)+SUM(_xlfn.XLOOKUP($R14:$AK14,增益!$A:$A,增益!$H:$H,0))</f>
        <v>0</v>
      </c>
      <c r="AX14">
        <f t="shared" si="1"/>
        <v>0</v>
      </c>
      <c r="AY14">
        <f t="shared" si="2"/>
        <v>0</v>
      </c>
      <c r="AZ14" s="34" cm="1">
        <f t="array" ref="AZ14">IF($F$11-$I$4+VLOOKUP($Q14,武学奇术!$A:$ZZ,9,FALSE)+SUM(_xlfn.XLOOKUP($R14:$AK14,增益!$A:$A,增益!$I:$I,0))&gt;0,($F$11-$I$4+VLOOKUP($Q14,武学奇术!$A:$ZZ,9,FALSE)+SUM(_xlfn.XLOOKUP($R14:$AK14,增益!$A:$A,增益!$I:$I,0)))/200,($F$11-$I$4+VLOOKUP($Q14,武学奇术!$A:$ZZ,9,FALSE)+SUM(_xlfn.XLOOKUP($R14:$AK14,增益!$A:$A,增益!$I:$I,0)))/100)</f>
        <v>-0.14</v>
      </c>
      <c r="BA14" s="34" cm="1">
        <f t="array" ref="BA14">$G$11+VLOOKUP($Q14,武学奇术!$A:$ZZ,10,FALSE)+SUM(_xlfn.XLOOKUP($R14:$AK14,增益!$A:$A,增益!$J:$J,0))</f>
        <v>0</v>
      </c>
      <c r="BB14">
        <f t="shared" si="3"/>
        <v>594.1</v>
      </c>
      <c r="BC14">
        <f t="shared" si="4"/>
        <v>1604.9</v>
      </c>
      <c r="BD14" s="34" cm="1">
        <f t="array" ref="BD14">IF($F$12-$I$4+VLOOKUP($Q14,武学奇术!$A:$ZZ,11,FALSE)+SUM(_xlfn.XLOOKUP($R14:$AK14,增益!$A:$A,增益!$K:$K,0))&gt;0,($F$12-$I$4+VLOOKUP($Q14,武学奇术!$A:$ZZ,11,FALSE)+SUM(_xlfn.XLOOKUP($R14:$AK14,增益!$A:$A,增益!$K:$K,0)))/200,($F$12-$I$4+VLOOKUP($Q14,武学奇术!$A:$ZZ,11,FALSE)+SUM(_xlfn.XLOOKUP($R14:$AK14,增益!$A:$A,增益!$K:$K,0)))/100)</f>
        <v>0.17</v>
      </c>
      <c r="BE14" s="34" cm="1">
        <f t="array" ref="BE14">$G$12+VLOOKUP($Q14,武学奇术!$A:$ZZ,12,FALSE)+SUM(_xlfn.XLOOKUP($R14:$AK14,增益!$A:$A,增益!$L:$L,0))</f>
        <v>0.15</v>
      </c>
      <c r="BF14">
        <f t="shared" si="5"/>
        <v>0</v>
      </c>
      <c r="BG14">
        <f t="shared" si="6"/>
        <v>0</v>
      </c>
      <c r="BH14" s="34" cm="1">
        <f t="array" ref="BH14">IF($F$13-$I$4+VLOOKUP($Q14,武学奇术!$A:$ZZ,13,FALSE)+SUM(_xlfn.XLOOKUP($R14:$AK14,增益!$A:$A,增益!$M:$M,0))&gt;0,($F$13-$I$4+VLOOKUP($Q14,武学奇术!$A:$ZZ,13,FALSE)+SUM(_xlfn.XLOOKUP($R14:$AK14,增益!$A:$A,增益!$K:$K,0)))/200,($F$13-$I$4+VLOOKUP($Q14,武学奇术!$A:$ZZ,13,FALSE)+SUM(_xlfn.XLOOKUP($R14:$AK14,增益!$A:$A,增益!$M:$M,0)))/100)</f>
        <v>-0.14</v>
      </c>
      <c r="BI14" s="34" cm="1">
        <f t="array" ref="BI14">$G$13+VLOOKUP($Q14,武学奇术!$A:$ZZ,14,FALSE)+SUM(_xlfn.XLOOKUP($R14:$AK14,增益!$A:$A,增益!$N:$N,0))</f>
        <v>0</v>
      </c>
      <c r="BJ14">
        <f t="shared" si="7"/>
        <v>0</v>
      </c>
      <c r="BK14">
        <f t="shared" si="8"/>
        <v>0</v>
      </c>
      <c r="BL14" s="34" cm="1">
        <f t="array" ref="BL14">IF($F$14-$I$4+VLOOKUP($Q14,武学奇术!$A:$ZZ,15,FALSE)+SUM(_xlfn.XLOOKUP($R14:$AK14,增益!$A:$A,增益!$O:$O,0))&gt;0,($F$14-$I$4+VLOOKUP($Q14,武学奇术!$A:$ZZ,15,FALSE)+SUM(_xlfn.XLOOKUP($R14:$AK14,增益!$A:$A,增益!$O:$O,0)))/200,($F$14-$I$4+VLOOKUP($Q14,武学奇术!$A:$ZZ,15,FALSE)+SUM(_xlfn.XLOOKUP($R14:$AK14,增益!$A:$A,增益!$O:$O,0)))/100)</f>
        <v>-0.14</v>
      </c>
      <c r="BM14" s="34" cm="1">
        <f t="array" ref="BM14">$G$14+VLOOKUP($Q14,武学奇术!$A:$ZZ,16,FALSE)+SUM(_xlfn.XLOOKUP($R14:$AK14,增益!$A:$A,增益!$P:$P,0))</f>
        <v>0</v>
      </c>
      <c r="BN14" s="27">
        <f>MIN(IF(VLOOKUP($Q14,武学奇术!$A:$ZZ,23,FALSE)=1,100%,$B$8),100%)</f>
        <v>1</v>
      </c>
      <c r="BO14" s="27" cm="1">
        <f t="array" ref="BO14">IF(VLOOKUP($Q14,武学奇术!$A:$ZZ,23,FALSE)=1,100%,MIN(80%,$B$9+VLOOKUP($Q14,武学奇术!$A:$ZZ,17,FALSE)+SUM(_xlfn.XLOOKUP($R14:$AK14,增益!$A:$A,增益!$Q:$Q,0)))+$B$11+SUM(_xlfn.XLOOKUP($R14:$AK14,增益!$A:$A,增益!$U:$U,0)))*IF(VLOOKUP($Q14,武学奇术!$A:$ZZ,24,FALSE)=1,0,1)</f>
        <v>1</v>
      </c>
      <c r="BP14" s="27" cm="1">
        <f t="array" ref="BP14">1+$B$13+VLOOKUP($Q14,武学奇术!$A:$ZZ,18,FALSE)+SUM(_xlfn.XLOOKUP($R14:$AK14,增益!$A:$A,增益!$R:$R,0))</f>
        <v>2.02</v>
      </c>
      <c r="BQ14" s="27" cm="1">
        <f t="array" ref="BQ14">IF(VLOOKUP($Q14,武学奇术!$A:$ZZ,24,FALSE)=1,100%,MIN(40%,$B$10+VLOOKUP($Q14,武学奇术!$A:$ZZ,19,FALSE)+SUM(_xlfn.XLOOKUP($R14:$AK14,增益!$A:$A,增益!$S:$S,0)))+$B$12+SUM(_xlfn.XLOOKUP($R14:$AK14,增益!$A:$A,增益!$V:$V,0)))*IF(VLOOKUP($Q14,武学奇术!$A:$ZZ,23,FALSE)=1,0,1)</f>
        <v>0</v>
      </c>
      <c r="BR14" s="27" cm="1">
        <f t="array" ref="BR14">1+$B$14+VLOOKUP($Q14,武学奇术!$A:$ZZ,20,FALSE)+SUM(_xlfn.XLOOKUP($R14:$AK14,增益!$A:$A,增益!$T:$T,0))</f>
        <v>1.35</v>
      </c>
      <c r="BS14" s="27">
        <f t="shared" si="9"/>
        <v>1</v>
      </c>
      <c r="BT14" s="27">
        <f t="shared" si="10"/>
        <v>0</v>
      </c>
      <c r="BU14" s="27">
        <f>IF(VLOOKUP($Q14,武学奇术!$A:$ZZ,22,FALSE)=1,0,(1-$BN14))*(1-$BQ14)</f>
        <v>0</v>
      </c>
      <c r="BV14" s="27" cm="1">
        <f t="array" ref="BV14">SUM(_xlfn.XLOOKUP($R14:$AK14,增益!$A:$A,增益!$W:$W,0))+$I$5</f>
        <v>0.11</v>
      </c>
    </row>
    <row r="15" ht="14.25" spans="1:74">
      <c r="A15" s="43" t="s">
        <v>129</v>
      </c>
      <c r="B15" s="71">
        <f>期望!B15</f>
        <v>0.0852</v>
      </c>
      <c r="C15" s="41" t="s">
        <v>130</v>
      </c>
      <c r="D15" s="41"/>
      <c r="F15" s="78"/>
      <c r="H15" s="79"/>
      <c r="I15" s="25"/>
      <c r="J15" s="75"/>
      <c r="K15" s="40">
        <f t="shared" si="0"/>
        <v>17299.3324966885</v>
      </c>
      <c r="L15" s="40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BP15*$P15*(1+IF(VLOOKUP($Q15,武学奇术!$A:$ZZ,30,FALSE)="蓄力技",$B$21,0))*(1+$BV15)</f>
        <v>17299.3324966885</v>
      </c>
      <c r="M15" s="40">
        <f>(($AT15*$AM15+$AN15)*(1+$AU15)*(1+$AV15)+($AY15*IF($G$1="鸣金",$AO15,$AM15)+IF($G$1="鸣金",$AP15*1.5,0))*(1+$AZ15)*(1+$BA15)+($BC15*IF($G$1="裂石",$AO15,$AM15)+IF($G$1="裂石",$AP15*1.5,0))*(1+$BD15)*(1+$BE15)+($BG15*IF($G$1="牵丝",$AO15,$AM15)+IF($G$1="牵丝",$AP15*1.5,0))*(1+$BH15)*(1+$BI15)+($BK15*IF($G$1="破竹",$AO15,$AM15)+IF($G$1="破竹",$AP15*1.5,0))*(1+$BL15)*(1+$BM15))*(1+$AQ15)*$BR15*$P15*(1+IF(VLOOKUP($Q15,武学奇术!$A:$ZZ,30,FALSE)="蓄力技",$B$21,0))*(1+$BV15)</f>
        <v>13173.1605980012</v>
      </c>
      <c r="N15" s="40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P15*(1+IF(VLOOKUP($Q15,武学奇术!$A:$ZZ,30,FALSE)="蓄力技",$B$21,0))*(1+$BV15)</f>
        <v>8521.83866831948</v>
      </c>
      <c r="O15" s="40">
        <f>((($AS15*$AM15+$AN15)*(1+$AU15)*(1+$AV15)+($AX15*IF($G$1="鸣金",$AO15,$AM15)+IF($G$1="鸣金",$AP15*1.5,0))*(1+$AZ15)*(1+$BA15)+($BB15*IF($G$1="裂石",$AO15,$AM15)+IF($G$1="裂石",$AP15*1.5,0))*(1+$BD15)*(1+$BE15)+($BF15*IF($G$1="牵丝",$AO15,$AM15)+IF($G$1="牵丝",$AP15*1.5,0))*(1+$BH15)*(1+$BI15)+($BJ15*IF($G$1="破竹",$AO15,$AM15)+IF($G$1="破竹",$AP15*1.5,0))*(1+$BL15)*(1+$BM15))*(1+$AQ15))*$P15*(1+IF(VLOOKUP($Q15,武学奇术!$A:$ZZ,30,FALSE)="蓄力技",$B$21,0))*(1+$BV15)</f>
        <v>7285.78059737879</v>
      </c>
      <c r="P15" s="41">
        <v>1</v>
      </c>
      <c r="Q15" s="42" t="s">
        <v>125</v>
      </c>
      <c r="R15" s="42" t="s">
        <v>99</v>
      </c>
      <c r="S15" s="42" t="s">
        <v>77</v>
      </c>
      <c r="T15" s="42" t="s">
        <v>86</v>
      </c>
      <c r="U15" s="42" t="s">
        <v>121</v>
      </c>
      <c r="V15" s="42" t="s">
        <v>118</v>
      </c>
      <c r="W15" s="42" t="s">
        <v>114</v>
      </c>
      <c r="X15" s="42" t="s">
        <v>94</v>
      </c>
      <c r="Y15" s="42" t="s">
        <v>77</v>
      </c>
      <c r="Z15" s="42" t="s">
        <v>77</v>
      </c>
      <c r="AA15" s="42" t="s">
        <v>73</v>
      </c>
      <c r="AB15" s="42" t="s">
        <v>77</v>
      </c>
      <c r="AC15" s="42" t="s">
        <v>77</v>
      </c>
      <c r="AD15" s="42" t="s">
        <v>77</v>
      </c>
      <c r="AE15" s="42" t="s">
        <v>81</v>
      </c>
      <c r="AF15" s="42" t="s">
        <v>82</v>
      </c>
      <c r="AG15" s="42" t="s">
        <v>77</v>
      </c>
      <c r="AH15" s="42" t="s">
        <v>77</v>
      </c>
      <c r="AI15" s="42" t="s">
        <v>77</v>
      </c>
      <c r="AJ15" s="42" t="s">
        <v>77</v>
      </c>
      <c r="AK15" s="42" t="s">
        <v>77</v>
      </c>
      <c r="AL15" t="str">
        <f>VLOOKUP($Q15,武学奇术!$A:$ZZ,25,FALSE)</f>
        <v>陌刀</v>
      </c>
      <c r="AM15" s="27">
        <f>VLOOKUP($Q15,武学奇术!$A:$ZZ,26,FALSE)</f>
        <v>0.5</v>
      </c>
      <c r="AN15" s="28">
        <f>VLOOKUP($Q15,武学奇术!$A:$ZZ,27,FALSE)*(1+IF(OR($AL15=$F$4,$AL15=$F$5),$B$22,0))</f>
        <v>0</v>
      </c>
      <c r="AO15" s="27">
        <f>VLOOKUP($Q15,武学奇术!$A:$ZZ,28,FALSE)</f>
        <v>0.75</v>
      </c>
      <c r="AP15" s="28">
        <f>VLOOKUP($Q15,武学奇术!$A:$ZZ,29,FALSE)*(1+IF(OR($AL15=$F$4,$AL15=$F$5),$B$22,0))</f>
        <v>0</v>
      </c>
      <c r="AQ15" s="27" cm="1">
        <f t="array" ref="AQ15">$G$3+IFERROR(VLOOKUP($AL15,$F$4:$G$7,2,FALSE),0)+VLOOKUP($Q15,武学奇术!$A:$ZZ,2,FALSE)+SUM(_xlfn.XLOOKUP($R15:$AK15,增益!$A:$A,增益!$B:$B,0))</f>
        <v>0.6541</v>
      </c>
      <c r="AR15" s="27" cm="1">
        <f t="array" ref="AR15">VLOOKUP($Q15,武学奇术!$A:$ZZ,5,FALSE)+SUM(_xlfn.XLOOKUP($R15:$AK15,增益!$A:$A,增益!$E:$E,0))</f>
        <v>0</v>
      </c>
      <c r="AS15" cm="1">
        <f t="array" ref="AS15">$D$10*(1+$AR15)+VLOOKUP($Q15,武学奇术!$A:$ZZ,3,FALSE)+SUM(_xlfn.XLOOKUP($R15:$AK15,增益!$A:$A,增益!$C:$C,0))-$I$2</f>
        <v>3586.7</v>
      </c>
      <c r="AT15" cm="1">
        <f t="array" ref="AT15">$E$10*(1+$AR15)+VLOOKUP($Q15,武学奇术!$A:$ZZ,4,FALSE)+SUM(_xlfn.XLOOKUP($R15:$AK15,增益!$A:$A,增益!$D:$D,0))-$I$2</f>
        <v>3586.7</v>
      </c>
      <c r="AU15" s="34" cm="1">
        <f t="array" ref="AU15">IF($F$10-$I$3+VLOOKUP($Q15,武学奇术!$A:$ZZ,6,FALSE)+SUM(_xlfn.XLOOKUP($R15:$AK15,增益!$A:$A,增益!$F:$F,0))&gt;0,($F$10-$I$3+VLOOKUP($Q15,武学奇术!$A:$ZZ,6,FALSE)+SUM(_xlfn.XLOOKUP($R15:$AK15,增益!$A:$A,增益!$F:$F,0)))/200,($F$10-$I$3+VLOOKUP($Q15,武学奇术!$A:$ZZ,6,FALSE)+SUM(_xlfn.XLOOKUP($R15:$AK15,增益!$A:$A,增益!$F:$F,0)))/100)</f>
        <v>0.342</v>
      </c>
      <c r="AV15" s="34" cm="1">
        <f t="array" ref="AV15">$G$10+VLOOKUP($Q15,武学奇术!$A:$ZZ,7,FALSE)+SUM(_xlfn.XLOOKUP($R15:$AK15,增益!$A:$A,增益!$G:$G,0))</f>
        <v>0</v>
      </c>
      <c r="AW15" s="27" cm="1">
        <f t="array" ref="AW15">VLOOKUP($Q15,武学奇术!$A:$ZZ,8,FALSE)+SUM(_xlfn.XLOOKUP($R15:$AK15,增益!$A:$A,增益!$H:$H,0))</f>
        <v>0</v>
      </c>
      <c r="AX15">
        <f t="shared" si="1"/>
        <v>0</v>
      </c>
      <c r="AY15">
        <f t="shared" si="2"/>
        <v>0</v>
      </c>
      <c r="AZ15" s="34" cm="1">
        <f t="array" ref="AZ15">IF($F$11-$I$4+VLOOKUP($Q15,武学奇术!$A:$ZZ,9,FALSE)+SUM(_xlfn.XLOOKUP($R15:$AK15,增益!$A:$A,增益!$I:$I,0))&gt;0,($F$11-$I$4+VLOOKUP($Q15,武学奇术!$A:$ZZ,9,FALSE)+SUM(_xlfn.XLOOKUP($R15:$AK15,增益!$A:$A,增益!$I:$I,0)))/200,($F$11-$I$4+VLOOKUP($Q15,武学奇术!$A:$ZZ,9,FALSE)+SUM(_xlfn.XLOOKUP($R15:$AK15,增益!$A:$A,增益!$I:$I,0)))/100)</f>
        <v>-0.14</v>
      </c>
      <c r="BA15" s="34" cm="1">
        <f t="array" ref="BA15">$G$11+VLOOKUP($Q15,武学奇术!$A:$ZZ,10,FALSE)+SUM(_xlfn.XLOOKUP($R15:$AK15,增益!$A:$A,增益!$J:$J,0))</f>
        <v>0</v>
      </c>
      <c r="BB15">
        <f t="shared" si="3"/>
        <v>594.1</v>
      </c>
      <c r="BC15">
        <f t="shared" si="4"/>
        <v>1604.9</v>
      </c>
      <c r="BD15" s="34" cm="1">
        <f t="array" ref="BD15">IF($F$12-$I$4+VLOOKUP($Q15,武学奇术!$A:$ZZ,11,FALSE)+SUM(_xlfn.XLOOKUP($R15:$AK15,增益!$A:$A,增益!$K:$K,0))&gt;0,($F$12-$I$4+VLOOKUP($Q15,武学奇术!$A:$ZZ,11,FALSE)+SUM(_xlfn.XLOOKUP($R15:$AK15,增益!$A:$A,增益!$K:$K,0)))/200,($F$12-$I$4+VLOOKUP($Q15,武学奇术!$A:$ZZ,11,FALSE)+SUM(_xlfn.XLOOKUP($R15:$AK15,增益!$A:$A,增益!$K:$K,0)))/100)</f>
        <v>0.17</v>
      </c>
      <c r="BE15" s="34" cm="1">
        <f t="array" ref="BE15">$G$12+VLOOKUP($Q15,武学奇术!$A:$ZZ,12,FALSE)+SUM(_xlfn.XLOOKUP($R15:$AK15,增益!$A:$A,增益!$L:$L,0))</f>
        <v>0.15</v>
      </c>
      <c r="BF15">
        <f t="shared" si="5"/>
        <v>0</v>
      </c>
      <c r="BG15">
        <f t="shared" si="6"/>
        <v>0</v>
      </c>
      <c r="BH15" s="34" cm="1">
        <f t="array" ref="BH15">IF($F$13-$I$4+VLOOKUP($Q15,武学奇术!$A:$ZZ,13,FALSE)+SUM(_xlfn.XLOOKUP($R15:$AK15,增益!$A:$A,增益!$M:$M,0))&gt;0,($F$13-$I$4+VLOOKUP($Q15,武学奇术!$A:$ZZ,13,FALSE)+SUM(_xlfn.XLOOKUP($R15:$AK15,增益!$A:$A,增益!$K:$K,0)))/200,($F$13-$I$4+VLOOKUP($Q15,武学奇术!$A:$ZZ,13,FALSE)+SUM(_xlfn.XLOOKUP($R15:$AK15,增益!$A:$A,增益!$M:$M,0)))/100)</f>
        <v>-0.14</v>
      </c>
      <c r="BI15" s="34" cm="1">
        <f t="array" ref="BI15">$G$13+VLOOKUP($Q15,武学奇术!$A:$ZZ,14,FALSE)+SUM(_xlfn.XLOOKUP($R15:$AK15,增益!$A:$A,增益!$N:$N,0))</f>
        <v>0</v>
      </c>
      <c r="BJ15">
        <f t="shared" si="7"/>
        <v>0</v>
      </c>
      <c r="BK15">
        <f t="shared" si="8"/>
        <v>0</v>
      </c>
      <c r="BL15" s="34" cm="1">
        <f t="array" ref="BL15">IF($F$14-$I$4+VLOOKUP($Q15,武学奇术!$A:$ZZ,15,FALSE)+SUM(_xlfn.XLOOKUP($R15:$AK15,增益!$A:$A,增益!$O:$O,0))&gt;0,($F$14-$I$4+VLOOKUP($Q15,武学奇术!$A:$ZZ,15,FALSE)+SUM(_xlfn.XLOOKUP($R15:$AK15,增益!$A:$A,增益!$O:$O,0)))/200,($F$14-$I$4+VLOOKUP($Q15,武学奇术!$A:$ZZ,15,FALSE)+SUM(_xlfn.XLOOKUP($R15:$AK15,增益!$A:$A,增益!$O:$O,0)))/100)</f>
        <v>-0.14</v>
      </c>
      <c r="BM15" s="34" cm="1">
        <f t="array" ref="BM15">$G$14+VLOOKUP($Q15,武学奇术!$A:$ZZ,16,FALSE)+SUM(_xlfn.XLOOKUP($R15:$AK15,增益!$A:$A,增益!$P:$P,0))</f>
        <v>0</v>
      </c>
      <c r="BN15" s="27">
        <f>MIN(IF(VLOOKUP($Q15,武学奇术!$A:$ZZ,23,FALSE)=1,100%,$B$8),100%)</f>
        <v>1</v>
      </c>
      <c r="BO15" s="27" cm="1">
        <f t="array" ref="BO15">IF(VLOOKUP($Q15,武学奇术!$A:$ZZ,23,FALSE)=1,100%,MIN(80%,$B$9+VLOOKUP($Q15,武学奇术!$A:$ZZ,17,FALSE)+SUM(_xlfn.XLOOKUP($R15:$AK15,增益!$A:$A,增益!$Q:$Q,0)))+$B$11+SUM(_xlfn.XLOOKUP($R15:$AK15,增益!$A:$A,增益!$U:$U,0)))*IF(VLOOKUP($Q15,武学奇术!$A:$ZZ,24,FALSE)=1,0,1)</f>
        <v>1</v>
      </c>
      <c r="BP15" s="27" cm="1">
        <f t="array" ref="BP15">1+$B$13+VLOOKUP($Q15,武学奇术!$A:$ZZ,18,FALSE)+SUM(_xlfn.XLOOKUP($R15:$AK15,增益!$A:$A,增益!$R:$R,0))</f>
        <v>2.03</v>
      </c>
      <c r="BQ15" s="27" cm="1">
        <f t="array" ref="BQ15">IF(VLOOKUP($Q15,武学奇术!$A:$ZZ,24,FALSE)=1,100%,MIN(40%,$B$10+VLOOKUP($Q15,武学奇术!$A:$ZZ,19,FALSE)+SUM(_xlfn.XLOOKUP($R15:$AK15,增益!$A:$A,增益!$S:$S,0)))+$B$12+SUM(_xlfn.XLOOKUP($R15:$AK15,增益!$A:$A,增益!$V:$V,0)))*IF(VLOOKUP($Q15,武学奇术!$A:$ZZ,23,FALSE)=1,0,1)</f>
        <v>0</v>
      </c>
      <c r="BR15" s="27" cm="1">
        <f t="array" ref="BR15">1+$B$14+VLOOKUP($Q15,武学奇术!$A:$ZZ,20,FALSE)+SUM(_xlfn.XLOOKUP($R15:$AK15,增益!$A:$A,增益!$T:$T,0))</f>
        <v>1.35</v>
      </c>
      <c r="BS15" s="27">
        <f t="shared" si="9"/>
        <v>1</v>
      </c>
      <c r="BT15" s="27">
        <f t="shared" si="10"/>
        <v>0</v>
      </c>
      <c r="BU15" s="27">
        <f>IF(VLOOKUP($Q15,武学奇术!$A:$ZZ,22,FALSE)=1,0,(1-$BN15))*(1-$BQ15)</f>
        <v>0</v>
      </c>
      <c r="BV15" s="27" cm="1">
        <f t="array" ref="BV15">SUM(_xlfn.XLOOKUP($R15:$AK15,增益!$A:$A,增益!$W:$W,0))+$I$5</f>
        <v>0.11</v>
      </c>
    </row>
    <row r="16" spans="1:74">
      <c r="A16" s="43" t="s">
        <v>131</v>
      </c>
      <c r="B16" s="71">
        <f>期望!B16</f>
        <v>0.0887</v>
      </c>
      <c r="C16" s="41" t="s">
        <v>132</v>
      </c>
      <c r="D16" s="78" t="s">
        <v>147</v>
      </c>
      <c r="E16" s="41" t="s">
        <v>134</v>
      </c>
      <c r="F16" s="78" t="s">
        <v>133</v>
      </c>
      <c r="H16" s="69" t="s">
        <v>135</v>
      </c>
      <c r="I16" s="80"/>
      <c r="J16" s="81"/>
      <c r="K16" s="40">
        <f t="shared" si="0"/>
        <v>31138.7984940394</v>
      </c>
      <c r="L16" s="40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BP16*$P16*(1+IF(VLOOKUP($Q16,武学奇术!$A:$ZZ,30,FALSE)="蓄力技",$B$21,0))*(1+$BV16)</f>
        <v>31138.7984940394</v>
      </c>
      <c r="M16" s="40">
        <f>(($AT16*$AM16+$AN16)*(1+$AU16)*(1+$AV16)+($AY16*IF($G$1="鸣金",$AO16,$AM16)+IF($G$1="鸣金",$AP16*1.5,0))*(1+$AZ16)*(1+$BA16)+($BC16*IF($G$1="裂石",$AO16,$AM16)+IF($G$1="裂石",$AP16*1.5,0))*(1+$BD16)*(1+$BE16)+($BG16*IF($G$1="牵丝",$AO16,$AM16)+IF($G$1="牵丝",$AP16*1.5,0))*(1+$BH16)*(1+$BI16)+($BK16*IF($G$1="破竹",$AO16,$AM16)+IF($G$1="破竹",$AP16*1.5,0))*(1+$BL16)*(1+$BM16))*(1+$AQ16)*$BR16*$P16*(1+IF(VLOOKUP($Q16,武学奇术!$A:$ZZ,30,FALSE)="蓄力技",$B$21,0))*(1+$BV16)</f>
        <v>23711.6890764022</v>
      </c>
      <c r="N16" s="40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P16*(1+IF(VLOOKUP($Q16,武学奇术!$A:$ZZ,30,FALSE)="蓄力技",$B$21,0))*(1+$BV16)</f>
        <v>15339.3096029751</v>
      </c>
      <c r="O16" s="40">
        <f>((($AS16*$AM16+$AN16)*(1+$AU16)*(1+$AV16)+($AX16*IF($G$1="鸣金",$AO16,$AM16)+IF($G$1="鸣金",$AP16*1.5,0))*(1+$AZ16)*(1+$BA16)+($BB16*IF($G$1="裂石",$AO16,$AM16)+IF($G$1="裂石",$AP16*1.5,0))*(1+$BD16)*(1+$BE16)+($BF16*IF($G$1="牵丝",$AO16,$AM16)+IF($G$1="牵丝",$AP16*1.5,0))*(1+$BH16)*(1+$BI16)+($BJ16*IF($G$1="破竹",$AO16,$AM16)+IF($G$1="破竹",$AP16*1.5,0))*(1+$BL16)*(1+$BM16))*(1+$AQ16))*$P16*(1+IF(VLOOKUP($Q16,武学奇术!$A:$ZZ,30,FALSE)="蓄力技",$B$21,0))*(1+$BV16)</f>
        <v>13114.4050752818</v>
      </c>
      <c r="P16" s="41">
        <v>1</v>
      </c>
      <c r="Q16" s="42" t="s">
        <v>117</v>
      </c>
      <c r="R16" s="42" t="s">
        <v>99</v>
      </c>
      <c r="S16" s="42" t="s">
        <v>77</v>
      </c>
      <c r="T16" s="42" t="s">
        <v>86</v>
      </c>
      <c r="U16" s="42" t="s">
        <v>121</v>
      </c>
      <c r="V16" s="42" t="s">
        <v>118</v>
      </c>
      <c r="W16" s="42" t="s">
        <v>114</v>
      </c>
      <c r="X16" s="42" t="s">
        <v>94</v>
      </c>
      <c r="Y16" s="42" t="s">
        <v>77</v>
      </c>
      <c r="Z16" s="42" t="s">
        <v>77</v>
      </c>
      <c r="AA16" s="42" t="s">
        <v>73</v>
      </c>
      <c r="AB16" s="42" t="s">
        <v>77</v>
      </c>
      <c r="AC16" s="42" t="s">
        <v>77</v>
      </c>
      <c r="AD16" s="42" t="s">
        <v>77</v>
      </c>
      <c r="AE16" s="42" t="s">
        <v>81</v>
      </c>
      <c r="AF16" s="42" t="s">
        <v>82</v>
      </c>
      <c r="AG16" s="42" t="s">
        <v>77</v>
      </c>
      <c r="AH16" s="42" t="s">
        <v>77</v>
      </c>
      <c r="AI16" s="42" t="s">
        <v>77</v>
      </c>
      <c r="AJ16" s="42" t="s">
        <v>77</v>
      </c>
      <c r="AK16" s="42" t="s">
        <v>77</v>
      </c>
      <c r="AL16" t="str">
        <f>VLOOKUP($Q16,武学奇术!$A:$ZZ,25,FALSE)</f>
        <v>陌刀</v>
      </c>
      <c r="AM16" s="27">
        <f>VLOOKUP($Q16,武学奇术!$A:$ZZ,26,FALSE)</f>
        <v>0.9</v>
      </c>
      <c r="AN16" s="28">
        <f>VLOOKUP($Q16,武学奇术!$A:$ZZ,27,FALSE)*(1+IF(OR($AL16=$F$4,$AL16=$F$5),$B$22,0))</f>
        <v>0</v>
      </c>
      <c r="AO16" s="27">
        <f>VLOOKUP($Q16,武学奇术!$A:$ZZ,28,FALSE)</f>
        <v>1.35</v>
      </c>
      <c r="AP16" s="28">
        <f>VLOOKUP($Q16,武学奇术!$A:$ZZ,29,FALSE)*(1+IF(OR($AL16=$F$4,$AL16=$F$5),$B$22,0))</f>
        <v>0</v>
      </c>
      <c r="AQ16" s="27" cm="1">
        <f t="array" ref="AQ16">$G$3+IFERROR(VLOOKUP($AL16,$F$4:$G$7,2,FALSE),0)+VLOOKUP($Q16,武学奇术!$A:$ZZ,2,FALSE)+SUM(_xlfn.XLOOKUP($R16:$AK16,增益!$A:$A,增益!$B:$B,0))</f>
        <v>0.6541</v>
      </c>
      <c r="AR16" s="27" cm="1">
        <f t="array" ref="AR16">VLOOKUP($Q16,武学奇术!$A:$ZZ,5,FALSE)+SUM(_xlfn.XLOOKUP($R16:$AK16,增益!$A:$A,增益!$E:$E,0))</f>
        <v>0</v>
      </c>
      <c r="AS16" cm="1">
        <f t="array" ref="AS16">$D$10*(1+$AR16)+VLOOKUP($Q16,武学奇术!$A:$ZZ,3,FALSE)+SUM(_xlfn.XLOOKUP($R16:$AK16,增益!$A:$A,增益!$C:$C,0))-$I$2</f>
        <v>3586.7</v>
      </c>
      <c r="AT16" cm="1">
        <f t="array" ref="AT16">$E$10*(1+$AR16)+VLOOKUP($Q16,武学奇术!$A:$ZZ,4,FALSE)+SUM(_xlfn.XLOOKUP($R16:$AK16,增益!$A:$A,增益!$D:$D,0))-$I$2</f>
        <v>3586.7</v>
      </c>
      <c r="AU16" s="34" cm="1">
        <f t="array" ref="AU16">IF($F$10-$I$3+VLOOKUP($Q16,武学奇术!$A:$ZZ,6,FALSE)+SUM(_xlfn.XLOOKUP($R16:$AK16,增益!$A:$A,增益!$F:$F,0))&gt;0,($F$10-$I$3+VLOOKUP($Q16,武学奇术!$A:$ZZ,6,FALSE)+SUM(_xlfn.XLOOKUP($R16:$AK16,增益!$A:$A,增益!$F:$F,0)))/200,($F$10-$I$3+VLOOKUP($Q16,武学奇术!$A:$ZZ,6,FALSE)+SUM(_xlfn.XLOOKUP($R16:$AK16,增益!$A:$A,增益!$F:$F,0)))/100)</f>
        <v>0.342</v>
      </c>
      <c r="AV16" s="34" cm="1">
        <f t="array" ref="AV16">$G$10+VLOOKUP($Q16,武学奇术!$A:$ZZ,7,FALSE)+SUM(_xlfn.XLOOKUP($R16:$AK16,增益!$A:$A,增益!$G:$G,0))</f>
        <v>0</v>
      </c>
      <c r="AW16" s="27" cm="1">
        <f t="array" ref="AW16">VLOOKUP($Q16,武学奇术!$A:$ZZ,8,FALSE)+SUM(_xlfn.XLOOKUP($R16:$AK16,增益!$A:$A,增益!$H:$H,0))</f>
        <v>0</v>
      </c>
      <c r="AX16">
        <f t="shared" si="1"/>
        <v>0</v>
      </c>
      <c r="AY16">
        <f t="shared" si="2"/>
        <v>0</v>
      </c>
      <c r="AZ16" s="34" cm="1">
        <f t="array" ref="AZ16">IF($F$11-$I$4+VLOOKUP($Q16,武学奇术!$A:$ZZ,9,FALSE)+SUM(_xlfn.XLOOKUP($R16:$AK16,增益!$A:$A,增益!$I:$I,0))&gt;0,($F$11-$I$4+VLOOKUP($Q16,武学奇术!$A:$ZZ,9,FALSE)+SUM(_xlfn.XLOOKUP($R16:$AK16,增益!$A:$A,增益!$I:$I,0)))/200,($F$11-$I$4+VLOOKUP($Q16,武学奇术!$A:$ZZ,9,FALSE)+SUM(_xlfn.XLOOKUP($R16:$AK16,增益!$A:$A,增益!$I:$I,0)))/100)</f>
        <v>-0.14</v>
      </c>
      <c r="BA16" s="34" cm="1">
        <f t="array" ref="BA16">$G$11+VLOOKUP($Q16,武学奇术!$A:$ZZ,10,FALSE)+SUM(_xlfn.XLOOKUP($R16:$AK16,增益!$A:$A,增益!$J:$J,0))</f>
        <v>0</v>
      </c>
      <c r="BB16">
        <f t="shared" si="3"/>
        <v>594.1</v>
      </c>
      <c r="BC16">
        <f t="shared" si="4"/>
        <v>1604.9</v>
      </c>
      <c r="BD16" s="34" cm="1">
        <f t="array" ref="BD16">IF($F$12-$I$4+VLOOKUP($Q16,武学奇术!$A:$ZZ,11,FALSE)+SUM(_xlfn.XLOOKUP($R16:$AK16,增益!$A:$A,增益!$K:$K,0))&gt;0,($F$12-$I$4+VLOOKUP($Q16,武学奇术!$A:$ZZ,11,FALSE)+SUM(_xlfn.XLOOKUP($R16:$AK16,增益!$A:$A,增益!$K:$K,0)))/200,($F$12-$I$4+VLOOKUP($Q16,武学奇术!$A:$ZZ,11,FALSE)+SUM(_xlfn.XLOOKUP($R16:$AK16,增益!$A:$A,增益!$K:$K,0)))/100)</f>
        <v>0.17</v>
      </c>
      <c r="BE16" s="34" cm="1">
        <f t="array" ref="BE16">$G$12+VLOOKUP($Q16,武学奇术!$A:$ZZ,12,FALSE)+SUM(_xlfn.XLOOKUP($R16:$AK16,增益!$A:$A,增益!$L:$L,0))</f>
        <v>0.15</v>
      </c>
      <c r="BF16">
        <f t="shared" si="5"/>
        <v>0</v>
      </c>
      <c r="BG16">
        <f t="shared" si="6"/>
        <v>0</v>
      </c>
      <c r="BH16" s="34" cm="1">
        <f t="array" ref="BH16">IF($F$13-$I$4+VLOOKUP($Q16,武学奇术!$A:$ZZ,13,FALSE)+SUM(_xlfn.XLOOKUP($R16:$AK16,增益!$A:$A,增益!$M:$M,0))&gt;0,($F$13-$I$4+VLOOKUP($Q16,武学奇术!$A:$ZZ,13,FALSE)+SUM(_xlfn.XLOOKUP($R16:$AK16,增益!$A:$A,增益!$K:$K,0)))/200,($F$13-$I$4+VLOOKUP($Q16,武学奇术!$A:$ZZ,13,FALSE)+SUM(_xlfn.XLOOKUP($R16:$AK16,增益!$A:$A,增益!$M:$M,0)))/100)</f>
        <v>-0.14</v>
      </c>
      <c r="BI16" s="34" cm="1">
        <f t="array" ref="BI16">$G$13+VLOOKUP($Q16,武学奇术!$A:$ZZ,14,FALSE)+SUM(_xlfn.XLOOKUP($R16:$AK16,增益!$A:$A,增益!$N:$N,0))</f>
        <v>0</v>
      </c>
      <c r="BJ16">
        <f t="shared" si="7"/>
        <v>0</v>
      </c>
      <c r="BK16">
        <f t="shared" si="8"/>
        <v>0</v>
      </c>
      <c r="BL16" s="34" cm="1">
        <f t="array" ref="BL16">IF($F$14-$I$4+VLOOKUP($Q16,武学奇术!$A:$ZZ,15,FALSE)+SUM(_xlfn.XLOOKUP($R16:$AK16,增益!$A:$A,增益!$O:$O,0))&gt;0,($F$14-$I$4+VLOOKUP($Q16,武学奇术!$A:$ZZ,15,FALSE)+SUM(_xlfn.XLOOKUP($R16:$AK16,增益!$A:$A,增益!$O:$O,0)))/200,($F$14-$I$4+VLOOKUP($Q16,武学奇术!$A:$ZZ,15,FALSE)+SUM(_xlfn.XLOOKUP($R16:$AK16,增益!$A:$A,增益!$O:$O,0)))/100)</f>
        <v>-0.14</v>
      </c>
      <c r="BM16" s="34" cm="1">
        <f t="array" ref="BM16">$G$14+VLOOKUP($Q16,武学奇术!$A:$ZZ,16,FALSE)+SUM(_xlfn.XLOOKUP($R16:$AK16,增益!$A:$A,增益!$P:$P,0))</f>
        <v>0</v>
      </c>
      <c r="BN16" s="27">
        <f>MIN(IF(VLOOKUP($Q16,武学奇术!$A:$ZZ,23,FALSE)=1,100%,$B$8),100%)</f>
        <v>1</v>
      </c>
      <c r="BO16" s="27" cm="1">
        <f t="array" ref="BO16">IF(VLOOKUP($Q16,武学奇术!$A:$ZZ,23,FALSE)=1,100%,MIN(80%,$B$9+VLOOKUP($Q16,武学奇术!$A:$ZZ,17,FALSE)+SUM(_xlfn.XLOOKUP($R16:$AK16,增益!$A:$A,增益!$Q:$Q,0)))+$B$11+SUM(_xlfn.XLOOKUP($R16:$AK16,增益!$A:$A,增益!$U:$U,0)))*IF(VLOOKUP($Q16,武学奇术!$A:$ZZ,24,FALSE)=1,0,1)</f>
        <v>1</v>
      </c>
      <c r="BP16" s="27" cm="1">
        <f t="array" ref="BP16">1+$B$13+VLOOKUP($Q16,武学奇术!$A:$ZZ,18,FALSE)+SUM(_xlfn.XLOOKUP($R16:$AK16,增益!$A:$A,增益!$R:$R,0))</f>
        <v>2.03</v>
      </c>
      <c r="BQ16" s="27" cm="1">
        <f t="array" ref="BQ16">IF(VLOOKUP($Q16,武学奇术!$A:$ZZ,24,FALSE)=1,100%,MIN(40%,$B$10+VLOOKUP($Q16,武学奇术!$A:$ZZ,19,FALSE)+SUM(_xlfn.XLOOKUP($R16:$AK16,增益!$A:$A,增益!$S:$S,0)))+$B$12+SUM(_xlfn.XLOOKUP($R16:$AK16,增益!$A:$A,增益!$V:$V,0)))*IF(VLOOKUP($Q16,武学奇术!$A:$ZZ,23,FALSE)=1,0,1)</f>
        <v>0</v>
      </c>
      <c r="BR16" s="27" cm="1">
        <f t="array" ref="BR16">1+$B$14+VLOOKUP($Q16,武学奇术!$A:$ZZ,20,FALSE)+SUM(_xlfn.XLOOKUP($R16:$AK16,增益!$A:$A,增益!$T:$T,0))</f>
        <v>1.35</v>
      </c>
      <c r="BS16" s="27">
        <f t="shared" si="9"/>
        <v>1</v>
      </c>
      <c r="BT16" s="27">
        <f t="shared" si="10"/>
        <v>0</v>
      </c>
      <c r="BU16" s="27">
        <f>IF(VLOOKUP($Q16,武学奇术!$A:$ZZ,22,FALSE)=1,0,(1-$BN16))*(1-$BQ16)</f>
        <v>0</v>
      </c>
      <c r="BV16" s="27" cm="1">
        <f t="array" ref="BV16">SUM(_xlfn.XLOOKUP($R16:$AK16,增益!$A:$A,增益!$W:$W,0))+$I$5</f>
        <v>0.11</v>
      </c>
    </row>
    <row r="17" ht="14.25" spans="1:74">
      <c r="A17" s="43" t="s">
        <v>136</v>
      </c>
      <c r="B17" s="71">
        <f>期望!B17</f>
        <v>0.0852</v>
      </c>
      <c r="C17" s="41" t="s">
        <v>137</v>
      </c>
      <c r="D17" s="78" t="s">
        <v>147</v>
      </c>
      <c r="E17" s="41" t="s">
        <v>138</v>
      </c>
      <c r="F17" s="78" t="s">
        <v>147</v>
      </c>
      <c r="H17" s="72"/>
      <c r="I17" s="82"/>
      <c r="J17" s="83"/>
      <c r="K17" s="40">
        <f t="shared" si="0"/>
        <v>295909.016335619</v>
      </c>
      <c r="L17" s="40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BP17*$P17*(1+IF(VLOOKUP($Q17,武学奇术!$A:$ZZ,30,FALSE)="蓄力技",$B$21,0))*(1+$BV17)</f>
        <v>295909.016335619</v>
      </c>
      <c r="M17" s="40">
        <f>(($AT17*$AM17+$AN17)*(1+$AU17)*(1+$AV17)+($AY17*IF($G$1="鸣金",$AO17,$AM17)+IF($G$1="鸣金",$AP17*1.5,0))*(1+$AZ17)*(1+$BA17)+($BC17*IF($G$1="裂石",$AO17,$AM17)+IF($G$1="裂石",$AP17*1.5,0))*(1+$BD17)*(1+$BE17)+($BG17*IF($G$1="牵丝",$AO17,$AM17)+IF($G$1="牵丝",$AP17*1.5,0))*(1+$BH17)*(1+$BI17)+($BK17*IF($G$1="破竹",$AO17,$AM17)+IF($G$1="破竹",$AP17*1.5,0))*(1+$BL17)*(1+$BM17))*(1+$AQ17)*$BR17*$P17*(1+IF(VLOOKUP($Q17,武学奇术!$A:$ZZ,30,FALSE)="蓄力技",$B$21,0))*(1+$BV17)</f>
        <v>221736.754038658</v>
      </c>
      <c r="N17" s="40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P17*(1+IF(VLOOKUP($Q17,武学奇术!$A:$ZZ,30,FALSE)="蓄力技",$B$21,0))*(1+$BV17)</f>
        <v>145767.98834267</v>
      </c>
      <c r="O17" s="40">
        <f>((($AS17*$AM17+$AN17)*(1+$AU17)*(1+$AV17)+($AX17*IF($G$1="鸣金",$AO17,$AM17)+IF($G$1="鸣金",$AP17*1.5,0))*(1+$AZ17)*(1+$BA17)+($BB17*IF($G$1="裂石",$AO17,$AM17)+IF($G$1="裂石",$AP17*1.5,0))*(1+$BD17)*(1+$BE17)+($BF17*IF($G$1="牵丝",$AO17,$AM17)+IF($G$1="牵丝",$AP17*1.5,0))*(1+$BH17)*(1+$BI17)+($BJ17*IF($G$1="破竹",$AO17,$AM17)+IF($G$1="破竹",$AP17*1.5,0))*(1+$BL17)*(1+$BM17))*(1+$AQ17))*$P17*(1+IF(VLOOKUP($Q17,武学奇术!$A:$ZZ,30,FALSE)="蓄力技",$B$21,0))*(1+$BV17)</f>
        <v>127286.529249296</v>
      </c>
      <c r="P17" s="41">
        <v>1</v>
      </c>
      <c r="Q17" s="42" t="s">
        <v>120</v>
      </c>
      <c r="R17" s="42" t="s">
        <v>99</v>
      </c>
      <c r="S17" s="42" t="s">
        <v>77</v>
      </c>
      <c r="T17" s="42" t="s">
        <v>86</v>
      </c>
      <c r="U17" s="42" t="s">
        <v>121</v>
      </c>
      <c r="V17" s="42" t="s">
        <v>118</v>
      </c>
      <c r="W17" s="42" t="s">
        <v>122</v>
      </c>
      <c r="X17" s="42" t="s">
        <v>94</v>
      </c>
      <c r="Y17" s="42" t="s">
        <v>77</v>
      </c>
      <c r="Z17" s="42" t="s">
        <v>77</v>
      </c>
      <c r="AA17" s="42" t="s">
        <v>73</v>
      </c>
      <c r="AB17" s="42" t="s">
        <v>77</v>
      </c>
      <c r="AC17" s="42" t="s">
        <v>77</v>
      </c>
      <c r="AD17" s="42" t="s">
        <v>77</v>
      </c>
      <c r="AE17" s="42" t="s">
        <v>81</v>
      </c>
      <c r="AF17" s="42" t="s">
        <v>82</v>
      </c>
      <c r="AG17" s="42" t="s">
        <v>77</v>
      </c>
      <c r="AH17" s="42" t="s">
        <v>77</v>
      </c>
      <c r="AI17" s="42" t="s">
        <v>77</v>
      </c>
      <c r="AJ17" s="42" t="s">
        <v>77</v>
      </c>
      <c r="AK17" s="42" t="s">
        <v>77</v>
      </c>
      <c r="AL17" t="str">
        <f>VLOOKUP($Q17,武学奇术!$A:$ZZ,25,FALSE)</f>
        <v>陌刀</v>
      </c>
      <c r="AM17" s="27">
        <f>VLOOKUP($Q17,武学奇术!$A:$ZZ,26,FALSE)</f>
        <v>7.5674</v>
      </c>
      <c r="AN17" s="28">
        <f>VLOOKUP($Q17,武学奇术!$A:$ZZ,27,FALSE)*(1+IF(OR($AL17=$F$4,$AL17=$F$5),$B$22,0))</f>
        <v>3139.5</v>
      </c>
      <c r="AO17" s="27">
        <f>VLOOKUP($Q17,武学奇术!$A:$ZZ,28,FALSE)</f>
        <v>11.3512</v>
      </c>
      <c r="AP17" s="28">
        <f>VLOOKUP($Q17,武学奇术!$A:$ZZ,29,FALSE)*(1+IF(OR($AL17=$F$4,$AL17=$F$5),$B$22,0))</f>
        <v>1710</v>
      </c>
      <c r="AQ17" s="27" cm="1">
        <f t="array" ref="AQ17">$G$3+IFERROR(VLOOKUP($AL17,$F$4:$G$7,2,FALSE),0)+VLOOKUP($Q17,武学奇术!$A:$ZZ,2,FALSE)+SUM(_xlfn.XLOOKUP($R17:$AK17,增益!$A:$A,增益!$B:$B,0))</f>
        <v>0.6341</v>
      </c>
      <c r="AR17" s="27" cm="1">
        <f t="array" ref="AR17">VLOOKUP($Q17,武学奇术!$A:$ZZ,5,FALSE)+SUM(_xlfn.XLOOKUP($R17:$AK17,增益!$A:$A,增益!$E:$E,0))</f>
        <v>0</v>
      </c>
      <c r="AS17" cm="1">
        <f t="array" ref="AS17">$D$10*(1+$AR17)+VLOOKUP($Q17,武学奇术!$A:$ZZ,3,FALSE)+SUM(_xlfn.XLOOKUP($R17:$AK17,增益!$A:$A,增益!$C:$C,0))-$I$2</f>
        <v>3586.7</v>
      </c>
      <c r="AT17" cm="1">
        <f t="array" ref="AT17">$E$10*(1+$AR17)+VLOOKUP($Q17,武学奇术!$A:$ZZ,4,FALSE)+SUM(_xlfn.XLOOKUP($R17:$AK17,增益!$A:$A,增益!$D:$D,0))-$I$2</f>
        <v>3586.7</v>
      </c>
      <c r="AU17" s="34" cm="1">
        <f t="array" ref="AU17">IF($F$10-$I$3+VLOOKUP($Q17,武学奇术!$A:$ZZ,6,FALSE)+SUM(_xlfn.XLOOKUP($R17:$AK17,增益!$A:$A,增益!$F:$F,0))&gt;0,($F$10-$I$3+VLOOKUP($Q17,武学奇术!$A:$ZZ,6,FALSE)+SUM(_xlfn.XLOOKUP($R17:$AK17,增益!$A:$A,增益!$F:$F,0)))/200,($F$10-$I$3+VLOOKUP($Q17,武学奇术!$A:$ZZ,6,FALSE)+SUM(_xlfn.XLOOKUP($R17:$AK17,增益!$A:$A,增益!$F:$F,0)))/100)</f>
        <v>0.342</v>
      </c>
      <c r="AV17" s="34" cm="1">
        <f t="array" ref="AV17">$G$10+VLOOKUP($Q17,武学奇术!$A:$ZZ,7,FALSE)+SUM(_xlfn.XLOOKUP($R17:$AK17,增益!$A:$A,增益!$G:$G,0))</f>
        <v>0</v>
      </c>
      <c r="AW17" s="27" cm="1">
        <f t="array" ref="AW17">VLOOKUP($Q17,武学奇术!$A:$ZZ,8,FALSE)+SUM(_xlfn.XLOOKUP($R17:$AK17,增益!$A:$A,增益!$H:$H,0))</f>
        <v>0</v>
      </c>
      <c r="AX17">
        <f t="shared" si="1"/>
        <v>0</v>
      </c>
      <c r="AY17">
        <f t="shared" si="2"/>
        <v>0</v>
      </c>
      <c r="AZ17" s="34" cm="1">
        <f t="array" ref="AZ17">IF($F$11-$I$4+VLOOKUP($Q17,武学奇术!$A:$ZZ,9,FALSE)+SUM(_xlfn.XLOOKUP($R17:$AK17,增益!$A:$A,增益!$I:$I,0))&gt;0,($F$11-$I$4+VLOOKUP($Q17,武学奇术!$A:$ZZ,9,FALSE)+SUM(_xlfn.XLOOKUP($R17:$AK17,增益!$A:$A,增益!$I:$I,0)))/200,($F$11-$I$4+VLOOKUP($Q17,武学奇术!$A:$ZZ,9,FALSE)+SUM(_xlfn.XLOOKUP($R17:$AK17,增益!$A:$A,增益!$I:$I,0)))/100)</f>
        <v>-0.14</v>
      </c>
      <c r="BA17" s="34" cm="1">
        <f t="array" ref="BA17">$G$11+VLOOKUP($Q17,武学奇术!$A:$ZZ,10,FALSE)+SUM(_xlfn.XLOOKUP($R17:$AK17,增益!$A:$A,增益!$J:$J,0))</f>
        <v>0</v>
      </c>
      <c r="BB17">
        <f t="shared" si="3"/>
        <v>594.1</v>
      </c>
      <c r="BC17">
        <f t="shared" si="4"/>
        <v>1604.9</v>
      </c>
      <c r="BD17" s="34" cm="1">
        <f t="array" ref="BD17">IF($F$12-$I$4+VLOOKUP($Q17,武学奇术!$A:$ZZ,11,FALSE)+SUM(_xlfn.XLOOKUP($R17:$AK17,增益!$A:$A,增益!$K:$K,0))&gt;0,($F$12-$I$4+VLOOKUP($Q17,武学奇术!$A:$ZZ,11,FALSE)+SUM(_xlfn.XLOOKUP($R17:$AK17,增益!$A:$A,增益!$K:$K,0)))/200,($F$12-$I$4+VLOOKUP($Q17,武学奇术!$A:$ZZ,11,FALSE)+SUM(_xlfn.XLOOKUP($R17:$AK17,增益!$A:$A,增益!$K:$K,0)))/100)</f>
        <v>0.17</v>
      </c>
      <c r="BE17" s="34" cm="1">
        <f t="array" ref="BE17">$G$12+VLOOKUP($Q17,武学奇术!$A:$ZZ,12,FALSE)+SUM(_xlfn.XLOOKUP($R17:$AK17,增益!$A:$A,增益!$L:$L,0))</f>
        <v>0.15</v>
      </c>
      <c r="BF17">
        <f t="shared" si="5"/>
        <v>0</v>
      </c>
      <c r="BG17">
        <f t="shared" si="6"/>
        <v>0</v>
      </c>
      <c r="BH17" s="34" cm="1">
        <f t="array" ref="BH17">IF($F$13-$I$4+VLOOKUP($Q17,武学奇术!$A:$ZZ,13,FALSE)+SUM(_xlfn.XLOOKUP($R17:$AK17,增益!$A:$A,增益!$M:$M,0))&gt;0,($F$13-$I$4+VLOOKUP($Q17,武学奇术!$A:$ZZ,13,FALSE)+SUM(_xlfn.XLOOKUP($R17:$AK17,增益!$A:$A,增益!$K:$K,0)))/200,($F$13-$I$4+VLOOKUP($Q17,武学奇术!$A:$ZZ,13,FALSE)+SUM(_xlfn.XLOOKUP($R17:$AK17,增益!$A:$A,增益!$M:$M,0)))/100)</f>
        <v>-0.14</v>
      </c>
      <c r="BI17" s="34" cm="1">
        <f t="array" ref="BI17">$G$13+VLOOKUP($Q17,武学奇术!$A:$ZZ,14,FALSE)+SUM(_xlfn.XLOOKUP($R17:$AK17,增益!$A:$A,增益!$N:$N,0))</f>
        <v>0</v>
      </c>
      <c r="BJ17">
        <f t="shared" si="7"/>
        <v>0</v>
      </c>
      <c r="BK17">
        <f t="shared" si="8"/>
        <v>0</v>
      </c>
      <c r="BL17" s="34" cm="1">
        <f t="array" ref="BL17">IF($F$14-$I$4+VLOOKUP($Q17,武学奇术!$A:$ZZ,15,FALSE)+SUM(_xlfn.XLOOKUP($R17:$AK17,增益!$A:$A,增益!$O:$O,0))&gt;0,($F$14-$I$4+VLOOKUP($Q17,武学奇术!$A:$ZZ,15,FALSE)+SUM(_xlfn.XLOOKUP($R17:$AK17,增益!$A:$A,增益!$O:$O,0)))/200,($F$14-$I$4+VLOOKUP($Q17,武学奇术!$A:$ZZ,15,FALSE)+SUM(_xlfn.XLOOKUP($R17:$AK17,增益!$A:$A,增益!$O:$O,0)))/100)</f>
        <v>-0.14</v>
      </c>
      <c r="BM17" s="34" cm="1">
        <f t="array" ref="BM17">$G$14+VLOOKUP($Q17,武学奇术!$A:$ZZ,16,FALSE)+SUM(_xlfn.XLOOKUP($R17:$AK17,增益!$A:$A,增益!$P:$P,0))</f>
        <v>0</v>
      </c>
      <c r="BN17" s="27">
        <f>MIN(IF(VLOOKUP($Q17,武学奇术!$A:$ZZ,23,FALSE)=1,100%,$B$8),100%)</f>
        <v>1</v>
      </c>
      <c r="BO17" s="27" cm="1">
        <f t="array" ref="BO17">IF(VLOOKUP($Q17,武学奇术!$A:$ZZ,23,FALSE)=1,100%,MIN(80%,$B$9+VLOOKUP($Q17,武学奇术!$A:$ZZ,17,FALSE)+SUM(_xlfn.XLOOKUP($R17:$AK17,增益!$A:$A,增益!$Q:$Q,0)))+$B$11+SUM(_xlfn.XLOOKUP($R17:$AK17,增益!$A:$A,增益!$U:$U,0)))*IF(VLOOKUP($Q17,武学奇术!$A:$ZZ,24,FALSE)=1,0,1)</f>
        <v>1</v>
      </c>
      <c r="BP17" s="27" cm="1">
        <f t="array" ref="BP17">1+$B$13+VLOOKUP($Q17,武学奇术!$A:$ZZ,18,FALSE)+SUM(_xlfn.XLOOKUP($R17:$AK17,增益!$A:$A,增益!$R:$R,0))</f>
        <v>2.03</v>
      </c>
      <c r="BQ17" s="27" cm="1">
        <f t="array" ref="BQ17">IF(VLOOKUP($Q17,武学奇术!$A:$ZZ,24,FALSE)=1,100%,MIN(40%,$B$10+VLOOKUP($Q17,武学奇术!$A:$ZZ,19,FALSE)+SUM(_xlfn.XLOOKUP($R17:$AK17,增益!$A:$A,增益!$S:$S,0)))+$B$12+SUM(_xlfn.XLOOKUP($R17:$AK17,增益!$A:$A,增益!$V:$V,0)))*IF(VLOOKUP($Q17,武学奇术!$A:$ZZ,23,FALSE)=1,0,1)</f>
        <v>0</v>
      </c>
      <c r="BR17" s="27" cm="1">
        <f t="array" ref="BR17">1+$B$14+VLOOKUP($Q17,武学奇术!$A:$ZZ,20,FALSE)+SUM(_xlfn.XLOOKUP($R17:$AK17,增益!$A:$A,增益!$T:$T,0))</f>
        <v>1.35</v>
      </c>
      <c r="BS17" s="27">
        <f t="shared" si="9"/>
        <v>1</v>
      </c>
      <c r="BT17" s="27">
        <f t="shared" si="10"/>
        <v>0</v>
      </c>
      <c r="BU17" s="27">
        <f>IF(VLOOKUP($Q17,武学奇术!$A:$ZZ,22,FALSE)=1,0,(1-$BN17))*(1-$BQ17)</f>
        <v>0</v>
      </c>
      <c r="BV17" s="27" cm="1">
        <f t="array" ref="BV17">SUM(_xlfn.XLOOKUP($R17:$AK17,增益!$A:$A,增益!$W:$W,0))+$I$5</f>
        <v>0.11</v>
      </c>
    </row>
    <row r="18" ht="14.25" spans="1:74">
      <c r="A18" s="43" t="s">
        <v>139</v>
      </c>
      <c r="B18" s="71">
        <f>期望!B18</f>
        <v>0</v>
      </c>
      <c r="C18" s="41" t="s">
        <v>140</v>
      </c>
      <c r="D18" s="78" t="s">
        <v>147</v>
      </c>
      <c r="E18" s="41" t="s">
        <v>63</v>
      </c>
      <c r="F18" s="84">
        <f>$B$8*($B$9+$B$11)</f>
        <v>0.87863408</v>
      </c>
      <c r="K18" s="40">
        <f t="shared" si="0"/>
        <v>17578.8520171275</v>
      </c>
      <c r="L18" s="40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BP18*$P18*(1+IF(VLOOKUP($Q18,武学奇术!$A:$ZZ,30,FALSE)="蓄力技",$B$21,0))*(1+$BV18)</f>
        <v>17578.8520171275</v>
      </c>
      <c r="M18" s="40">
        <f>(($AT18*$AM18+$AN18)*(1+$AU18)*(1+$AV18)+($AY18*IF($G$1="鸣金",$AO18,$AM18)+IF($G$1="鸣金",$AP18*1.5,0))*(1+$AZ18)*(1+$BA18)+($BC18*IF($G$1="裂石",$AO18,$AM18)+IF($G$1="裂石",$AP18*1.5,0))*(1+$BD18)*(1+$BE18)+($BG18*IF($G$1="牵丝",$AO18,$AM18)+IF($G$1="牵丝",$AP18*1.5,0))*(1+$BH18)*(1+$BI18)+($BK18*IF($G$1="破竹",$AO18,$AM18)+IF($G$1="破竹",$AP18*1.5,0))*(1+$BL18)*(1+$BM18))*(1+$AQ18)*$BR18*$P18*(1+IF(VLOOKUP($Q18,武学奇术!$A:$ZZ,30,FALSE)="蓄力技",$B$21,0))*(1+$BV18)</f>
        <v>13311.8303655456</v>
      </c>
      <c r="N18" s="40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P18*(1+IF(VLOOKUP($Q18,武学奇术!$A:$ZZ,30,FALSE)="蓄力技",$B$21,0))*(1+$BV18)</f>
        <v>8617.08432212135</v>
      </c>
      <c r="O18" s="40">
        <f>((($AS18*$AM18+$AN18)*(1+$AU18)*(1+$AV18)+($AX18*IF($G$1="鸣金",$AO18,$AM18)+IF($G$1="鸣金",$AP18*1.5,0))*(1+$AZ18)*(1+$BA18)+($BB18*IF($G$1="裂石",$AO18,$AM18)+IF($G$1="裂石",$AP18*1.5,0))*(1+$BD18)*(1+$BE18)+($BF18*IF($G$1="牵丝",$AO18,$AM18)+IF($G$1="牵丝",$AP18*1.5,0))*(1+$BH18)*(1+$BI18)+($BJ18*IF($G$1="破竹",$AO18,$AM18)+IF($G$1="破竹",$AP18*1.5,0))*(1+$BL18)*(1+$BM18))*(1+$AQ18))*$P18*(1+IF(VLOOKUP($Q18,武学奇术!$A:$ZZ,30,FALSE)="蓄力技",$B$21,0))*(1+$BV18)</f>
        <v>7373.55355865335</v>
      </c>
      <c r="P18" s="41">
        <v>1</v>
      </c>
      <c r="Q18" s="42" t="s">
        <v>125</v>
      </c>
      <c r="R18" s="42" t="s">
        <v>103</v>
      </c>
      <c r="S18" s="42" t="s">
        <v>77</v>
      </c>
      <c r="T18" s="42" t="s">
        <v>86</v>
      </c>
      <c r="U18" s="42" t="s">
        <v>121</v>
      </c>
      <c r="V18" s="42" t="s">
        <v>118</v>
      </c>
      <c r="W18" s="42" t="s">
        <v>114</v>
      </c>
      <c r="X18" s="42" t="s">
        <v>100</v>
      </c>
      <c r="Y18" s="42" t="s">
        <v>77</v>
      </c>
      <c r="Z18" s="42" t="s">
        <v>77</v>
      </c>
      <c r="AA18" s="42" t="s">
        <v>73</v>
      </c>
      <c r="AB18" s="42" t="s">
        <v>77</v>
      </c>
      <c r="AC18" s="42" t="s">
        <v>77</v>
      </c>
      <c r="AD18" s="42" t="s">
        <v>77</v>
      </c>
      <c r="AE18" s="42" t="s">
        <v>81</v>
      </c>
      <c r="AF18" s="42" t="s">
        <v>82</v>
      </c>
      <c r="AG18" s="42" t="s">
        <v>77</v>
      </c>
      <c r="AH18" s="42" t="s">
        <v>77</v>
      </c>
      <c r="AI18" s="42" t="s">
        <v>77</v>
      </c>
      <c r="AJ18" s="42" t="s">
        <v>77</v>
      </c>
      <c r="AK18" s="42" t="s">
        <v>77</v>
      </c>
      <c r="AL18" t="str">
        <f>VLOOKUP($Q18,武学奇术!$A:$ZZ,25,FALSE)</f>
        <v>陌刀</v>
      </c>
      <c r="AM18" s="27">
        <f>VLOOKUP($Q18,武学奇术!$A:$ZZ,26,FALSE)</f>
        <v>0.5</v>
      </c>
      <c r="AN18" s="28">
        <f>VLOOKUP($Q18,武学奇术!$A:$ZZ,27,FALSE)*(1+IF(OR($AL18=$F$4,$AL18=$F$5),$B$22,0))</f>
        <v>0</v>
      </c>
      <c r="AO18" s="27">
        <f>VLOOKUP($Q18,武学奇术!$A:$ZZ,28,FALSE)</f>
        <v>0.75</v>
      </c>
      <c r="AP18" s="28">
        <f>VLOOKUP($Q18,武学奇术!$A:$ZZ,29,FALSE)*(1+IF(OR($AL18=$F$4,$AL18=$F$5),$B$22,0))</f>
        <v>0</v>
      </c>
      <c r="AQ18" s="27" cm="1">
        <f t="array" ref="AQ18">$G$3+IFERROR(VLOOKUP($AL18,$F$4:$G$7,2,FALSE),0)+VLOOKUP($Q18,武学奇术!$A:$ZZ,2,FALSE)+SUM(_xlfn.XLOOKUP($R18:$AK18,增益!$A:$A,增益!$B:$B,0))</f>
        <v>0.6641</v>
      </c>
      <c r="AR18" s="27" cm="1">
        <f t="array" ref="AR18">VLOOKUP($Q18,武学奇术!$A:$ZZ,5,FALSE)+SUM(_xlfn.XLOOKUP($R18:$AK18,增益!$A:$A,增益!$E:$E,0))</f>
        <v>0</v>
      </c>
      <c r="AS18" cm="1">
        <f t="array" ref="AS18">$D$10*(1+$AR18)+VLOOKUP($Q18,武学奇术!$A:$ZZ,3,FALSE)+SUM(_xlfn.XLOOKUP($R18:$AK18,增益!$A:$A,增益!$C:$C,0))-$I$2</f>
        <v>3586.7</v>
      </c>
      <c r="AT18" cm="1">
        <f t="array" ref="AT18">$E$10*(1+$AR18)+VLOOKUP($Q18,武学奇术!$A:$ZZ,4,FALSE)+SUM(_xlfn.XLOOKUP($R18:$AK18,增益!$A:$A,增益!$D:$D,0))-$I$2</f>
        <v>3586.7</v>
      </c>
      <c r="AU18" s="34" cm="1">
        <f t="array" ref="AU18">IF($F$10-$I$3+VLOOKUP($Q18,武学奇术!$A:$ZZ,6,FALSE)+SUM(_xlfn.XLOOKUP($R18:$AK18,增益!$A:$A,增益!$F:$F,0))&gt;0,($F$10-$I$3+VLOOKUP($Q18,武学奇术!$A:$ZZ,6,FALSE)+SUM(_xlfn.XLOOKUP($R18:$AK18,增益!$A:$A,增益!$F:$F,0)))/200,($F$10-$I$3+VLOOKUP($Q18,武学奇术!$A:$ZZ,6,FALSE)+SUM(_xlfn.XLOOKUP($R18:$AK18,增益!$A:$A,增益!$F:$F,0)))/100)</f>
        <v>0.352</v>
      </c>
      <c r="AV18" s="34" cm="1">
        <f t="array" ref="AV18">$G$10+VLOOKUP($Q18,武学奇术!$A:$ZZ,7,FALSE)+SUM(_xlfn.XLOOKUP($R18:$AK18,增益!$A:$A,增益!$G:$G,0))</f>
        <v>0</v>
      </c>
      <c r="AW18" s="27" cm="1">
        <f t="array" ref="AW18">VLOOKUP($Q18,武学奇术!$A:$ZZ,8,FALSE)+SUM(_xlfn.XLOOKUP($R18:$AK18,增益!$A:$A,增益!$H:$H,0))</f>
        <v>0</v>
      </c>
      <c r="AX18">
        <f t="shared" si="1"/>
        <v>0</v>
      </c>
      <c r="AY18">
        <f t="shared" si="2"/>
        <v>0</v>
      </c>
      <c r="AZ18" s="34" cm="1">
        <f t="array" ref="AZ18">IF($F$11-$I$4+VLOOKUP($Q18,武学奇术!$A:$ZZ,9,FALSE)+SUM(_xlfn.XLOOKUP($R18:$AK18,增益!$A:$A,增益!$I:$I,0))&gt;0,($F$11-$I$4+VLOOKUP($Q18,武学奇术!$A:$ZZ,9,FALSE)+SUM(_xlfn.XLOOKUP($R18:$AK18,增益!$A:$A,增益!$I:$I,0)))/200,($F$11-$I$4+VLOOKUP($Q18,武学奇术!$A:$ZZ,9,FALSE)+SUM(_xlfn.XLOOKUP($R18:$AK18,增益!$A:$A,增益!$I:$I,0)))/100)</f>
        <v>-0.14</v>
      </c>
      <c r="BA18" s="34" cm="1">
        <f t="array" ref="BA18">$G$11+VLOOKUP($Q18,武学奇术!$A:$ZZ,10,FALSE)+SUM(_xlfn.XLOOKUP($R18:$AK18,增益!$A:$A,增益!$J:$J,0))</f>
        <v>0</v>
      </c>
      <c r="BB18">
        <f t="shared" si="3"/>
        <v>594.1</v>
      </c>
      <c r="BC18">
        <f t="shared" si="4"/>
        <v>1604.9</v>
      </c>
      <c r="BD18" s="34" cm="1">
        <f t="array" ref="BD18">IF($F$12-$I$4+VLOOKUP($Q18,武学奇术!$A:$ZZ,11,FALSE)+SUM(_xlfn.XLOOKUP($R18:$AK18,增益!$A:$A,增益!$K:$K,0))&gt;0,($F$12-$I$4+VLOOKUP($Q18,武学奇术!$A:$ZZ,11,FALSE)+SUM(_xlfn.XLOOKUP($R18:$AK18,增益!$A:$A,增益!$K:$K,0)))/200,($F$12-$I$4+VLOOKUP($Q18,武学奇术!$A:$ZZ,11,FALSE)+SUM(_xlfn.XLOOKUP($R18:$AK18,增益!$A:$A,增益!$K:$K,0)))/100)</f>
        <v>0.17</v>
      </c>
      <c r="BE18" s="34" cm="1">
        <f t="array" ref="BE18">$G$12+VLOOKUP($Q18,武学奇术!$A:$ZZ,12,FALSE)+SUM(_xlfn.XLOOKUP($R18:$AK18,增益!$A:$A,增益!$L:$L,0))</f>
        <v>0.15</v>
      </c>
      <c r="BF18">
        <f t="shared" si="5"/>
        <v>0</v>
      </c>
      <c r="BG18">
        <f t="shared" si="6"/>
        <v>0</v>
      </c>
      <c r="BH18" s="34" cm="1">
        <f t="array" ref="BH18">IF($F$13-$I$4+VLOOKUP($Q18,武学奇术!$A:$ZZ,13,FALSE)+SUM(_xlfn.XLOOKUP($R18:$AK18,增益!$A:$A,增益!$M:$M,0))&gt;0,($F$13-$I$4+VLOOKUP($Q18,武学奇术!$A:$ZZ,13,FALSE)+SUM(_xlfn.XLOOKUP($R18:$AK18,增益!$A:$A,增益!$K:$K,0)))/200,($F$13-$I$4+VLOOKUP($Q18,武学奇术!$A:$ZZ,13,FALSE)+SUM(_xlfn.XLOOKUP($R18:$AK18,增益!$A:$A,增益!$M:$M,0)))/100)</f>
        <v>-0.14</v>
      </c>
      <c r="BI18" s="34" cm="1">
        <f t="array" ref="BI18">$G$13+VLOOKUP($Q18,武学奇术!$A:$ZZ,14,FALSE)+SUM(_xlfn.XLOOKUP($R18:$AK18,增益!$A:$A,增益!$N:$N,0))</f>
        <v>0</v>
      </c>
      <c r="BJ18">
        <f t="shared" si="7"/>
        <v>0</v>
      </c>
      <c r="BK18">
        <f t="shared" si="8"/>
        <v>0</v>
      </c>
      <c r="BL18" s="34" cm="1">
        <f t="array" ref="BL18">IF($F$14-$I$4+VLOOKUP($Q18,武学奇术!$A:$ZZ,15,FALSE)+SUM(_xlfn.XLOOKUP($R18:$AK18,增益!$A:$A,增益!$O:$O,0))&gt;0,($F$14-$I$4+VLOOKUP($Q18,武学奇术!$A:$ZZ,15,FALSE)+SUM(_xlfn.XLOOKUP($R18:$AK18,增益!$A:$A,增益!$O:$O,0)))/200,($F$14-$I$4+VLOOKUP($Q18,武学奇术!$A:$ZZ,15,FALSE)+SUM(_xlfn.XLOOKUP($R18:$AK18,增益!$A:$A,增益!$O:$O,0)))/100)</f>
        <v>-0.14</v>
      </c>
      <c r="BM18" s="34" cm="1">
        <f t="array" ref="BM18">$G$14+VLOOKUP($Q18,武学奇术!$A:$ZZ,16,FALSE)+SUM(_xlfn.XLOOKUP($R18:$AK18,增益!$A:$A,增益!$P:$P,0))</f>
        <v>0</v>
      </c>
      <c r="BN18" s="27">
        <f>MIN(IF(VLOOKUP($Q18,武学奇术!$A:$ZZ,23,FALSE)=1,100%,$B$8),100%)</f>
        <v>1</v>
      </c>
      <c r="BO18" s="27" cm="1">
        <f t="array" ref="BO18">IF(VLOOKUP($Q18,武学奇术!$A:$ZZ,23,FALSE)=1,100%,MIN(80%,$B$9+VLOOKUP($Q18,武学奇术!$A:$ZZ,17,FALSE)+SUM(_xlfn.XLOOKUP($R18:$AK18,增益!$A:$A,增益!$Q:$Q,0)))+$B$11+SUM(_xlfn.XLOOKUP($R18:$AK18,增益!$A:$A,增益!$U:$U,0)))*IF(VLOOKUP($Q18,武学奇术!$A:$ZZ,24,FALSE)=1,0,1)</f>
        <v>1</v>
      </c>
      <c r="BP18" s="27" cm="1">
        <f t="array" ref="BP18">1+$B$13+VLOOKUP($Q18,武学奇术!$A:$ZZ,18,FALSE)+SUM(_xlfn.XLOOKUP($R18:$AK18,增益!$A:$A,增益!$R:$R,0))</f>
        <v>2.04</v>
      </c>
      <c r="BQ18" s="27" cm="1">
        <f t="array" ref="BQ18">IF(VLOOKUP($Q18,武学奇术!$A:$ZZ,24,FALSE)=1,100%,MIN(40%,$B$10+VLOOKUP($Q18,武学奇术!$A:$ZZ,19,FALSE)+SUM(_xlfn.XLOOKUP($R18:$AK18,增益!$A:$A,增益!$S:$S,0)))+$B$12+SUM(_xlfn.XLOOKUP($R18:$AK18,增益!$A:$A,增益!$V:$V,0)))*IF(VLOOKUP($Q18,武学奇术!$A:$ZZ,23,FALSE)=1,0,1)</f>
        <v>0</v>
      </c>
      <c r="BR18" s="27" cm="1">
        <f t="array" ref="BR18">1+$B$14+VLOOKUP($Q18,武学奇术!$A:$ZZ,20,FALSE)+SUM(_xlfn.XLOOKUP($R18:$AK18,增益!$A:$A,增益!$T:$T,0))</f>
        <v>1.35</v>
      </c>
      <c r="BS18" s="27">
        <f t="shared" si="9"/>
        <v>1</v>
      </c>
      <c r="BT18" s="27">
        <f t="shared" si="10"/>
        <v>0</v>
      </c>
      <c r="BU18" s="27">
        <f>IF(VLOOKUP($Q18,武学奇术!$A:$ZZ,22,FALSE)=1,0,(1-$BN18))*(1-$BQ18)</f>
        <v>0</v>
      </c>
      <c r="BV18" s="27" cm="1">
        <f t="array" ref="BV18">SUM(_xlfn.XLOOKUP($R18:$AK18,增益!$A:$A,增益!$W:$W,0))+$I$5</f>
        <v>0.11</v>
      </c>
    </row>
    <row r="19" spans="1:74">
      <c r="A19" s="43" t="s">
        <v>142</v>
      </c>
      <c r="B19" s="71">
        <f>期望!B19</f>
        <v>0</v>
      </c>
      <c r="K19" s="40">
        <f t="shared" si="0"/>
        <v>31641.9336308296</v>
      </c>
      <c r="L19" s="40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BP19*$P19*(1+IF(VLOOKUP($Q19,武学奇术!$A:$ZZ,30,FALSE)="蓄力技",$B$21,0))*(1+$BV19)</f>
        <v>31641.9336308296</v>
      </c>
      <c r="M19" s="40">
        <f>(($AT19*$AM19+$AN19)*(1+$AU19)*(1+$AV19)+($AY19*IF($G$1="鸣金",$AO19,$AM19)+IF($G$1="鸣金",$AP19*1.5,0))*(1+$AZ19)*(1+$BA19)+($BC19*IF($G$1="裂石",$AO19,$AM19)+IF($G$1="裂石",$AP19*1.5,0))*(1+$BD19)*(1+$BE19)+($BG19*IF($G$1="牵丝",$AO19,$AM19)+IF($G$1="牵丝",$AP19*1.5,0))*(1+$BH19)*(1+$BI19)+($BK19*IF($G$1="破竹",$AO19,$AM19)+IF($G$1="破竹",$AP19*1.5,0))*(1+$BL19)*(1+$BM19))*(1+$AQ19)*$BR19*$P19*(1+IF(VLOOKUP($Q19,武学奇术!$A:$ZZ,30,FALSE)="蓄力技",$B$21,0))*(1+$BV19)</f>
        <v>23961.2946579821</v>
      </c>
      <c r="N19" s="40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P19*(1+IF(VLOOKUP($Q19,武学奇术!$A:$ZZ,30,FALSE)="蓄力技",$B$21,0))*(1+$BV19)</f>
        <v>15510.7517798184</v>
      </c>
      <c r="O19" s="40">
        <f>((($AS19*$AM19+$AN19)*(1+$AU19)*(1+$AV19)+($AX19*IF($G$1="鸣金",$AO19,$AM19)+IF($G$1="鸣金",$AP19*1.5,0))*(1+$AZ19)*(1+$BA19)+($BB19*IF($G$1="裂石",$AO19,$AM19)+IF($G$1="裂石",$AP19*1.5,0))*(1+$BD19)*(1+$BE19)+($BF19*IF($G$1="牵丝",$AO19,$AM19)+IF($G$1="牵丝",$AP19*1.5,0))*(1+$BH19)*(1+$BI19)+($BJ19*IF($G$1="破竹",$AO19,$AM19)+IF($G$1="破竹",$AP19*1.5,0))*(1+$BL19)*(1+$BM19))*(1+$AQ19))*$P19*(1+IF(VLOOKUP($Q19,武学奇术!$A:$ZZ,30,FALSE)="蓄力技",$B$21,0))*(1+$BV19)</f>
        <v>13272.396405576</v>
      </c>
      <c r="P19" s="41">
        <v>1</v>
      </c>
      <c r="Q19" s="42" t="s">
        <v>117</v>
      </c>
      <c r="R19" s="42" t="s">
        <v>103</v>
      </c>
      <c r="S19" s="42" t="s">
        <v>77</v>
      </c>
      <c r="T19" s="42" t="s">
        <v>86</v>
      </c>
      <c r="U19" s="42" t="s">
        <v>121</v>
      </c>
      <c r="V19" s="42" t="s">
        <v>118</v>
      </c>
      <c r="W19" s="42" t="s">
        <v>114</v>
      </c>
      <c r="X19" s="42" t="s">
        <v>100</v>
      </c>
      <c r="Y19" s="42" t="s">
        <v>77</v>
      </c>
      <c r="Z19" s="42" t="s">
        <v>77</v>
      </c>
      <c r="AA19" s="42" t="s">
        <v>73</v>
      </c>
      <c r="AB19" s="42" t="s">
        <v>77</v>
      </c>
      <c r="AC19" s="42" t="s">
        <v>77</v>
      </c>
      <c r="AD19" s="42" t="s">
        <v>77</v>
      </c>
      <c r="AE19" s="42" t="s">
        <v>81</v>
      </c>
      <c r="AF19" s="42" t="s">
        <v>82</v>
      </c>
      <c r="AG19" s="42" t="s">
        <v>77</v>
      </c>
      <c r="AH19" s="42" t="s">
        <v>77</v>
      </c>
      <c r="AI19" s="42" t="s">
        <v>77</v>
      </c>
      <c r="AJ19" s="42" t="s">
        <v>77</v>
      </c>
      <c r="AK19" s="42" t="s">
        <v>77</v>
      </c>
      <c r="AL19" t="str">
        <f>VLOOKUP($Q19,武学奇术!$A:$ZZ,25,FALSE)</f>
        <v>陌刀</v>
      </c>
      <c r="AM19" s="27">
        <f>VLOOKUP($Q19,武学奇术!$A:$ZZ,26,FALSE)</f>
        <v>0.9</v>
      </c>
      <c r="AN19" s="28">
        <f>VLOOKUP($Q19,武学奇术!$A:$ZZ,27,FALSE)*(1+IF(OR($AL19=$F$4,$AL19=$F$5),$B$22,0))</f>
        <v>0</v>
      </c>
      <c r="AO19" s="27">
        <f>VLOOKUP($Q19,武学奇术!$A:$ZZ,28,FALSE)</f>
        <v>1.35</v>
      </c>
      <c r="AP19" s="28">
        <f>VLOOKUP($Q19,武学奇术!$A:$ZZ,29,FALSE)*(1+IF(OR($AL19=$F$4,$AL19=$F$5),$B$22,0))</f>
        <v>0</v>
      </c>
      <c r="AQ19" s="27" cm="1">
        <f t="array" ref="AQ19">$G$3+IFERROR(VLOOKUP($AL19,$F$4:$G$7,2,FALSE),0)+VLOOKUP($Q19,武学奇术!$A:$ZZ,2,FALSE)+SUM(_xlfn.XLOOKUP($R19:$AK19,增益!$A:$A,增益!$B:$B,0))</f>
        <v>0.6641</v>
      </c>
      <c r="AR19" s="27" cm="1">
        <f t="array" ref="AR19">VLOOKUP($Q19,武学奇术!$A:$ZZ,5,FALSE)+SUM(_xlfn.XLOOKUP($R19:$AK19,增益!$A:$A,增益!$E:$E,0))</f>
        <v>0</v>
      </c>
      <c r="AS19" cm="1">
        <f t="array" ref="AS19">$D$10*(1+$AR19)+VLOOKUP($Q19,武学奇术!$A:$ZZ,3,FALSE)+SUM(_xlfn.XLOOKUP($R19:$AK19,增益!$A:$A,增益!$C:$C,0))-$I$2</f>
        <v>3586.7</v>
      </c>
      <c r="AT19" cm="1">
        <f t="array" ref="AT19">$E$10*(1+$AR19)+VLOOKUP($Q19,武学奇术!$A:$ZZ,4,FALSE)+SUM(_xlfn.XLOOKUP($R19:$AK19,增益!$A:$A,增益!$D:$D,0))-$I$2</f>
        <v>3586.7</v>
      </c>
      <c r="AU19" s="34" cm="1">
        <f t="array" ref="AU19">IF($F$10-$I$3+VLOOKUP($Q19,武学奇术!$A:$ZZ,6,FALSE)+SUM(_xlfn.XLOOKUP($R19:$AK19,增益!$A:$A,增益!$F:$F,0))&gt;0,($F$10-$I$3+VLOOKUP($Q19,武学奇术!$A:$ZZ,6,FALSE)+SUM(_xlfn.XLOOKUP($R19:$AK19,增益!$A:$A,增益!$F:$F,0)))/200,($F$10-$I$3+VLOOKUP($Q19,武学奇术!$A:$ZZ,6,FALSE)+SUM(_xlfn.XLOOKUP($R19:$AK19,增益!$A:$A,增益!$F:$F,0)))/100)</f>
        <v>0.352</v>
      </c>
      <c r="AV19" s="34" cm="1">
        <f t="array" ref="AV19">$G$10+VLOOKUP($Q19,武学奇术!$A:$ZZ,7,FALSE)+SUM(_xlfn.XLOOKUP($R19:$AK19,增益!$A:$A,增益!$G:$G,0))</f>
        <v>0</v>
      </c>
      <c r="AW19" s="27" cm="1">
        <f t="array" ref="AW19">VLOOKUP($Q19,武学奇术!$A:$ZZ,8,FALSE)+SUM(_xlfn.XLOOKUP($R19:$AK19,增益!$A:$A,增益!$H:$H,0))</f>
        <v>0</v>
      </c>
      <c r="AX19">
        <f t="shared" si="1"/>
        <v>0</v>
      </c>
      <c r="AY19">
        <f t="shared" si="2"/>
        <v>0</v>
      </c>
      <c r="AZ19" s="34" cm="1">
        <f t="array" ref="AZ19">IF($F$11-$I$4+VLOOKUP($Q19,武学奇术!$A:$ZZ,9,FALSE)+SUM(_xlfn.XLOOKUP($R19:$AK19,增益!$A:$A,增益!$I:$I,0))&gt;0,($F$11-$I$4+VLOOKUP($Q19,武学奇术!$A:$ZZ,9,FALSE)+SUM(_xlfn.XLOOKUP($R19:$AK19,增益!$A:$A,增益!$I:$I,0)))/200,($F$11-$I$4+VLOOKUP($Q19,武学奇术!$A:$ZZ,9,FALSE)+SUM(_xlfn.XLOOKUP($R19:$AK19,增益!$A:$A,增益!$I:$I,0)))/100)</f>
        <v>-0.14</v>
      </c>
      <c r="BA19" s="34" cm="1">
        <f t="array" ref="BA19">$G$11+VLOOKUP($Q19,武学奇术!$A:$ZZ,10,FALSE)+SUM(_xlfn.XLOOKUP($R19:$AK19,增益!$A:$A,增益!$J:$J,0))</f>
        <v>0</v>
      </c>
      <c r="BB19">
        <f t="shared" si="3"/>
        <v>594.1</v>
      </c>
      <c r="BC19">
        <f t="shared" si="4"/>
        <v>1604.9</v>
      </c>
      <c r="BD19" s="34" cm="1">
        <f t="array" ref="BD19">IF($F$12-$I$4+VLOOKUP($Q19,武学奇术!$A:$ZZ,11,FALSE)+SUM(_xlfn.XLOOKUP($R19:$AK19,增益!$A:$A,增益!$K:$K,0))&gt;0,($F$12-$I$4+VLOOKUP($Q19,武学奇术!$A:$ZZ,11,FALSE)+SUM(_xlfn.XLOOKUP($R19:$AK19,增益!$A:$A,增益!$K:$K,0)))/200,($F$12-$I$4+VLOOKUP($Q19,武学奇术!$A:$ZZ,11,FALSE)+SUM(_xlfn.XLOOKUP($R19:$AK19,增益!$A:$A,增益!$K:$K,0)))/100)</f>
        <v>0.17</v>
      </c>
      <c r="BE19" s="34" cm="1">
        <f t="array" ref="BE19">$G$12+VLOOKUP($Q19,武学奇术!$A:$ZZ,12,FALSE)+SUM(_xlfn.XLOOKUP($R19:$AK19,增益!$A:$A,增益!$L:$L,0))</f>
        <v>0.15</v>
      </c>
      <c r="BF19">
        <f t="shared" si="5"/>
        <v>0</v>
      </c>
      <c r="BG19">
        <f t="shared" si="6"/>
        <v>0</v>
      </c>
      <c r="BH19" s="34" cm="1">
        <f t="array" ref="BH19">IF($F$13-$I$4+VLOOKUP($Q19,武学奇术!$A:$ZZ,13,FALSE)+SUM(_xlfn.XLOOKUP($R19:$AK19,增益!$A:$A,增益!$M:$M,0))&gt;0,($F$13-$I$4+VLOOKUP($Q19,武学奇术!$A:$ZZ,13,FALSE)+SUM(_xlfn.XLOOKUP($R19:$AK19,增益!$A:$A,增益!$K:$K,0)))/200,($F$13-$I$4+VLOOKUP($Q19,武学奇术!$A:$ZZ,13,FALSE)+SUM(_xlfn.XLOOKUP($R19:$AK19,增益!$A:$A,增益!$M:$M,0)))/100)</f>
        <v>-0.14</v>
      </c>
      <c r="BI19" s="34" cm="1">
        <f t="array" ref="BI19">$G$13+VLOOKUP($Q19,武学奇术!$A:$ZZ,14,FALSE)+SUM(_xlfn.XLOOKUP($R19:$AK19,增益!$A:$A,增益!$N:$N,0))</f>
        <v>0</v>
      </c>
      <c r="BJ19">
        <f t="shared" si="7"/>
        <v>0</v>
      </c>
      <c r="BK19">
        <f t="shared" si="8"/>
        <v>0</v>
      </c>
      <c r="BL19" s="34" cm="1">
        <f t="array" ref="BL19">IF($F$14-$I$4+VLOOKUP($Q19,武学奇术!$A:$ZZ,15,FALSE)+SUM(_xlfn.XLOOKUP($R19:$AK19,增益!$A:$A,增益!$O:$O,0))&gt;0,($F$14-$I$4+VLOOKUP($Q19,武学奇术!$A:$ZZ,15,FALSE)+SUM(_xlfn.XLOOKUP($R19:$AK19,增益!$A:$A,增益!$O:$O,0)))/200,($F$14-$I$4+VLOOKUP($Q19,武学奇术!$A:$ZZ,15,FALSE)+SUM(_xlfn.XLOOKUP($R19:$AK19,增益!$A:$A,增益!$O:$O,0)))/100)</f>
        <v>-0.14</v>
      </c>
      <c r="BM19" s="34" cm="1">
        <f t="array" ref="BM19">$G$14+VLOOKUP($Q19,武学奇术!$A:$ZZ,16,FALSE)+SUM(_xlfn.XLOOKUP($R19:$AK19,增益!$A:$A,增益!$P:$P,0))</f>
        <v>0</v>
      </c>
      <c r="BN19" s="27">
        <f>MIN(IF(VLOOKUP($Q19,武学奇术!$A:$ZZ,23,FALSE)=1,100%,$B$8),100%)</f>
        <v>1</v>
      </c>
      <c r="BO19" s="27" cm="1">
        <f t="array" ref="BO19">IF(VLOOKUP($Q19,武学奇术!$A:$ZZ,23,FALSE)=1,100%,MIN(80%,$B$9+VLOOKUP($Q19,武学奇术!$A:$ZZ,17,FALSE)+SUM(_xlfn.XLOOKUP($R19:$AK19,增益!$A:$A,增益!$Q:$Q,0)))+$B$11+SUM(_xlfn.XLOOKUP($R19:$AK19,增益!$A:$A,增益!$U:$U,0)))*IF(VLOOKUP($Q19,武学奇术!$A:$ZZ,24,FALSE)=1,0,1)</f>
        <v>1</v>
      </c>
      <c r="BP19" s="27" cm="1">
        <f t="array" ref="BP19">1+$B$13+VLOOKUP($Q19,武学奇术!$A:$ZZ,18,FALSE)+SUM(_xlfn.XLOOKUP($R19:$AK19,增益!$A:$A,增益!$R:$R,0))</f>
        <v>2.04</v>
      </c>
      <c r="BQ19" s="27" cm="1">
        <f t="array" ref="BQ19">IF(VLOOKUP($Q19,武学奇术!$A:$ZZ,24,FALSE)=1,100%,MIN(40%,$B$10+VLOOKUP($Q19,武学奇术!$A:$ZZ,19,FALSE)+SUM(_xlfn.XLOOKUP($R19:$AK19,增益!$A:$A,增益!$S:$S,0)))+$B$12+SUM(_xlfn.XLOOKUP($R19:$AK19,增益!$A:$A,增益!$V:$V,0)))*IF(VLOOKUP($Q19,武学奇术!$A:$ZZ,23,FALSE)=1,0,1)</f>
        <v>0</v>
      </c>
      <c r="BR19" s="27" cm="1">
        <f t="array" ref="BR19">1+$B$14+VLOOKUP($Q19,武学奇术!$A:$ZZ,20,FALSE)+SUM(_xlfn.XLOOKUP($R19:$AK19,增益!$A:$A,增益!$T:$T,0))</f>
        <v>1.35</v>
      </c>
      <c r="BS19" s="27">
        <f t="shared" si="9"/>
        <v>1</v>
      </c>
      <c r="BT19" s="27">
        <f t="shared" si="10"/>
        <v>0</v>
      </c>
      <c r="BU19" s="27">
        <f>IF(VLOOKUP($Q19,武学奇术!$A:$ZZ,22,FALSE)=1,0,(1-$BN19))*(1-$BQ19)</f>
        <v>0</v>
      </c>
      <c r="BV19" s="27" cm="1">
        <f t="array" ref="BV19">SUM(_xlfn.XLOOKUP($R19:$AK19,增益!$A:$A,增益!$W:$W,0))+$I$5</f>
        <v>0.11</v>
      </c>
    </row>
    <row r="20" spans="1:74">
      <c r="A20" s="43" t="s">
        <v>143</v>
      </c>
      <c r="B20" s="71">
        <f>期望!B20</f>
        <v>0</v>
      </c>
      <c r="C20" s="41" t="s">
        <v>144</v>
      </c>
      <c r="D20" s="78" t="s">
        <v>147</v>
      </c>
      <c r="K20" s="40">
        <f t="shared" si="0"/>
        <v>300674.55612495</v>
      </c>
      <c r="L20" s="40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BP20*$P20*(1+IF(VLOOKUP($Q20,武学奇术!$A:$ZZ,30,FALSE)="蓄力技",$B$21,0))*(1+$BV20)</f>
        <v>300674.55612495</v>
      </c>
      <c r="M20" s="40">
        <f>(($AT20*$AM20+$AN20)*(1+$AU20)*(1+$AV20)+($AY20*IF($G$1="鸣金",$AO20,$AM20)+IF($G$1="鸣金",$AP20*1.5,0))*(1+$AZ20)*(1+$BA20)+($BC20*IF($G$1="裂石",$AO20,$AM20)+IF($G$1="裂石",$AP20*1.5,0))*(1+$BD20)*(1+$BE20)+($BG20*IF($G$1="牵丝",$AO20,$AM20)+IF($G$1="牵丝",$AP20*1.5,0))*(1+$BH20)*(1+$BI20)+($BK20*IF($G$1="破竹",$AO20,$AM20)+IF($G$1="破竹",$AP20*1.5,0))*(1+$BL20)*(1+$BM20))*(1+$AQ20)*$BR20*$P20*(1+IF(VLOOKUP($Q20,武学奇术!$A:$ZZ,30,FALSE)="蓄力技",$B$21,0))*(1+$BV20)</f>
        <v>224078.462225738</v>
      </c>
      <c r="N20" s="40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P20*(1+IF(VLOOKUP($Q20,武学奇术!$A:$ZZ,30,FALSE)="蓄力技",$B$21,0))*(1+$BV20)</f>
        <v>147389.488296544</v>
      </c>
      <c r="O20" s="40">
        <f>((($AS20*$AM20+$AN20)*(1+$AU20)*(1+$AV20)+($AX20*IF($G$1="鸣金",$AO20,$AM20)+IF($G$1="鸣金",$AP20*1.5,0))*(1+$AZ20)*(1+$BA20)+($BB20*IF($G$1="裂石",$AO20,$AM20)+IF($G$1="裂石",$AP20*1.5,0))*(1+$BD20)*(1+$BE20)+($BF20*IF($G$1="牵丝",$AO20,$AM20)+IF($G$1="牵丝",$AP20*1.5,0))*(1+$BH20)*(1+$BI20)+($BJ20*IF($G$1="破竹",$AO20,$AM20)+IF($G$1="破竹",$AP20*1.5,0))*(1+$BL20)*(1+$BM20))*(1+$AQ20))*$P20*(1+IF(VLOOKUP($Q20,武学奇术!$A:$ZZ,30,FALSE)="蓄力技",$B$21,0))*(1+$BV20)</f>
        <v>128794.93049995</v>
      </c>
      <c r="P20" s="41">
        <v>1</v>
      </c>
      <c r="Q20" s="42" t="s">
        <v>120</v>
      </c>
      <c r="R20" s="42" t="s">
        <v>103</v>
      </c>
      <c r="S20" s="42" t="s">
        <v>77</v>
      </c>
      <c r="T20" s="42" t="s">
        <v>86</v>
      </c>
      <c r="U20" s="42" t="s">
        <v>121</v>
      </c>
      <c r="V20" s="42" t="s">
        <v>118</v>
      </c>
      <c r="W20" s="42" t="s">
        <v>122</v>
      </c>
      <c r="X20" s="42" t="s">
        <v>100</v>
      </c>
      <c r="Y20" s="42" t="s">
        <v>77</v>
      </c>
      <c r="Z20" s="42" t="s">
        <v>77</v>
      </c>
      <c r="AA20" s="42" t="s">
        <v>73</v>
      </c>
      <c r="AB20" s="42" t="s">
        <v>77</v>
      </c>
      <c r="AC20" s="42" t="s">
        <v>77</v>
      </c>
      <c r="AD20" s="42" t="s">
        <v>77</v>
      </c>
      <c r="AE20" s="42" t="s">
        <v>81</v>
      </c>
      <c r="AF20" s="42" t="s">
        <v>82</v>
      </c>
      <c r="AG20" s="42" t="s">
        <v>77</v>
      </c>
      <c r="AH20" s="42" t="s">
        <v>77</v>
      </c>
      <c r="AI20" s="42" t="s">
        <v>77</v>
      </c>
      <c r="AJ20" s="42" t="s">
        <v>77</v>
      </c>
      <c r="AK20" s="42" t="s">
        <v>77</v>
      </c>
      <c r="AL20" t="str">
        <f>VLOOKUP($Q20,武学奇术!$A:$ZZ,25,FALSE)</f>
        <v>陌刀</v>
      </c>
      <c r="AM20" s="27">
        <f>VLOOKUP($Q20,武学奇术!$A:$ZZ,26,FALSE)</f>
        <v>7.5674</v>
      </c>
      <c r="AN20" s="28">
        <f>VLOOKUP($Q20,武学奇术!$A:$ZZ,27,FALSE)*(1+IF(OR($AL20=$F$4,$AL20=$F$5),$B$22,0))</f>
        <v>3139.5</v>
      </c>
      <c r="AO20" s="27">
        <f>VLOOKUP($Q20,武学奇术!$A:$ZZ,28,FALSE)</f>
        <v>11.3512</v>
      </c>
      <c r="AP20" s="28">
        <f>VLOOKUP($Q20,武学奇术!$A:$ZZ,29,FALSE)*(1+IF(OR($AL20=$F$4,$AL20=$F$5),$B$22,0))</f>
        <v>1710</v>
      </c>
      <c r="AQ20" s="27" cm="1">
        <f t="array" ref="AQ20">$G$3+IFERROR(VLOOKUP($AL20,$F$4:$G$7,2,FALSE),0)+VLOOKUP($Q20,武学奇术!$A:$ZZ,2,FALSE)+SUM(_xlfn.XLOOKUP($R20:$AK20,增益!$A:$A,增益!$B:$B,0))</f>
        <v>0.6441</v>
      </c>
      <c r="AR20" s="27" cm="1">
        <f t="array" ref="AR20">VLOOKUP($Q20,武学奇术!$A:$ZZ,5,FALSE)+SUM(_xlfn.XLOOKUP($R20:$AK20,增益!$A:$A,增益!$E:$E,0))</f>
        <v>0</v>
      </c>
      <c r="AS20" cm="1">
        <f t="array" ref="AS20">$D$10*(1+$AR20)+VLOOKUP($Q20,武学奇术!$A:$ZZ,3,FALSE)+SUM(_xlfn.XLOOKUP($R20:$AK20,增益!$A:$A,增益!$C:$C,0))-$I$2</f>
        <v>3586.7</v>
      </c>
      <c r="AT20" cm="1">
        <f t="array" ref="AT20">$E$10*(1+$AR20)+VLOOKUP($Q20,武学奇术!$A:$ZZ,4,FALSE)+SUM(_xlfn.XLOOKUP($R20:$AK20,增益!$A:$A,增益!$D:$D,0))-$I$2</f>
        <v>3586.7</v>
      </c>
      <c r="AU20" s="34" cm="1">
        <f t="array" ref="AU20">IF($F$10-$I$3+VLOOKUP($Q20,武学奇术!$A:$ZZ,6,FALSE)+SUM(_xlfn.XLOOKUP($R20:$AK20,增益!$A:$A,增益!$F:$F,0))&gt;0,($F$10-$I$3+VLOOKUP($Q20,武学奇术!$A:$ZZ,6,FALSE)+SUM(_xlfn.XLOOKUP($R20:$AK20,增益!$A:$A,增益!$F:$F,0)))/200,($F$10-$I$3+VLOOKUP($Q20,武学奇术!$A:$ZZ,6,FALSE)+SUM(_xlfn.XLOOKUP($R20:$AK20,增益!$A:$A,增益!$F:$F,0)))/100)</f>
        <v>0.352</v>
      </c>
      <c r="AV20" s="34" cm="1">
        <f t="array" ref="AV20">$G$10+VLOOKUP($Q20,武学奇术!$A:$ZZ,7,FALSE)+SUM(_xlfn.XLOOKUP($R20:$AK20,增益!$A:$A,增益!$G:$G,0))</f>
        <v>0</v>
      </c>
      <c r="AW20" s="27" cm="1">
        <f t="array" ref="AW20">VLOOKUP($Q20,武学奇术!$A:$ZZ,8,FALSE)+SUM(_xlfn.XLOOKUP($R20:$AK20,增益!$A:$A,增益!$H:$H,0))</f>
        <v>0</v>
      </c>
      <c r="AX20">
        <f t="shared" si="1"/>
        <v>0</v>
      </c>
      <c r="AY20">
        <f t="shared" si="2"/>
        <v>0</v>
      </c>
      <c r="AZ20" s="34" cm="1">
        <f t="array" ref="AZ20">IF($F$11-$I$4+VLOOKUP($Q20,武学奇术!$A:$ZZ,9,FALSE)+SUM(_xlfn.XLOOKUP($R20:$AK20,增益!$A:$A,增益!$I:$I,0))&gt;0,($F$11-$I$4+VLOOKUP($Q20,武学奇术!$A:$ZZ,9,FALSE)+SUM(_xlfn.XLOOKUP($R20:$AK20,增益!$A:$A,增益!$I:$I,0)))/200,($F$11-$I$4+VLOOKUP($Q20,武学奇术!$A:$ZZ,9,FALSE)+SUM(_xlfn.XLOOKUP($R20:$AK20,增益!$A:$A,增益!$I:$I,0)))/100)</f>
        <v>-0.14</v>
      </c>
      <c r="BA20" s="34" cm="1">
        <f t="array" ref="BA20">$G$11+VLOOKUP($Q20,武学奇术!$A:$ZZ,10,FALSE)+SUM(_xlfn.XLOOKUP($R20:$AK20,增益!$A:$A,增益!$J:$J,0))</f>
        <v>0</v>
      </c>
      <c r="BB20">
        <f t="shared" si="3"/>
        <v>594.1</v>
      </c>
      <c r="BC20">
        <f t="shared" si="4"/>
        <v>1604.9</v>
      </c>
      <c r="BD20" s="34" cm="1">
        <f t="array" ref="BD20">IF($F$12-$I$4+VLOOKUP($Q20,武学奇术!$A:$ZZ,11,FALSE)+SUM(_xlfn.XLOOKUP($R20:$AK20,增益!$A:$A,增益!$K:$K,0))&gt;0,($F$12-$I$4+VLOOKUP($Q20,武学奇术!$A:$ZZ,11,FALSE)+SUM(_xlfn.XLOOKUP($R20:$AK20,增益!$A:$A,增益!$K:$K,0)))/200,($F$12-$I$4+VLOOKUP($Q20,武学奇术!$A:$ZZ,11,FALSE)+SUM(_xlfn.XLOOKUP($R20:$AK20,增益!$A:$A,增益!$K:$K,0)))/100)</f>
        <v>0.17</v>
      </c>
      <c r="BE20" s="34" cm="1">
        <f t="array" ref="BE20">$G$12+VLOOKUP($Q20,武学奇术!$A:$ZZ,12,FALSE)+SUM(_xlfn.XLOOKUP($R20:$AK20,增益!$A:$A,增益!$L:$L,0))</f>
        <v>0.15</v>
      </c>
      <c r="BF20">
        <f t="shared" si="5"/>
        <v>0</v>
      </c>
      <c r="BG20">
        <f t="shared" si="6"/>
        <v>0</v>
      </c>
      <c r="BH20" s="34" cm="1">
        <f t="array" ref="BH20">IF($F$13-$I$4+VLOOKUP($Q20,武学奇术!$A:$ZZ,13,FALSE)+SUM(_xlfn.XLOOKUP($R20:$AK20,增益!$A:$A,增益!$M:$M,0))&gt;0,($F$13-$I$4+VLOOKUP($Q20,武学奇术!$A:$ZZ,13,FALSE)+SUM(_xlfn.XLOOKUP($R20:$AK20,增益!$A:$A,增益!$K:$K,0)))/200,($F$13-$I$4+VLOOKUP($Q20,武学奇术!$A:$ZZ,13,FALSE)+SUM(_xlfn.XLOOKUP($R20:$AK20,增益!$A:$A,增益!$M:$M,0)))/100)</f>
        <v>-0.14</v>
      </c>
      <c r="BI20" s="34" cm="1">
        <f t="array" ref="BI20">$G$13+VLOOKUP($Q20,武学奇术!$A:$ZZ,14,FALSE)+SUM(_xlfn.XLOOKUP($R20:$AK20,增益!$A:$A,增益!$N:$N,0))</f>
        <v>0</v>
      </c>
      <c r="BJ20">
        <f t="shared" si="7"/>
        <v>0</v>
      </c>
      <c r="BK20">
        <f t="shared" si="8"/>
        <v>0</v>
      </c>
      <c r="BL20" s="34" cm="1">
        <f t="array" ref="BL20">IF($F$14-$I$4+VLOOKUP($Q20,武学奇术!$A:$ZZ,15,FALSE)+SUM(_xlfn.XLOOKUP($R20:$AK20,增益!$A:$A,增益!$O:$O,0))&gt;0,($F$14-$I$4+VLOOKUP($Q20,武学奇术!$A:$ZZ,15,FALSE)+SUM(_xlfn.XLOOKUP($R20:$AK20,增益!$A:$A,增益!$O:$O,0)))/200,($F$14-$I$4+VLOOKUP($Q20,武学奇术!$A:$ZZ,15,FALSE)+SUM(_xlfn.XLOOKUP($R20:$AK20,增益!$A:$A,增益!$O:$O,0)))/100)</f>
        <v>-0.14</v>
      </c>
      <c r="BM20" s="34" cm="1">
        <f t="array" ref="BM20">$G$14+VLOOKUP($Q20,武学奇术!$A:$ZZ,16,FALSE)+SUM(_xlfn.XLOOKUP($R20:$AK20,增益!$A:$A,增益!$P:$P,0))</f>
        <v>0</v>
      </c>
      <c r="BN20" s="27">
        <f>MIN(IF(VLOOKUP($Q20,武学奇术!$A:$ZZ,23,FALSE)=1,100%,$B$8),100%)</f>
        <v>1</v>
      </c>
      <c r="BO20" s="27" cm="1">
        <f t="array" ref="BO20">IF(VLOOKUP($Q20,武学奇术!$A:$ZZ,23,FALSE)=1,100%,MIN(80%,$B$9+VLOOKUP($Q20,武学奇术!$A:$ZZ,17,FALSE)+SUM(_xlfn.XLOOKUP($R20:$AK20,增益!$A:$A,增益!$Q:$Q,0)))+$B$11+SUM(_xlfn.XLOOKUP($R20:$AK20,增益!$A:$A,增益!$U:$U,0)))*IF(VLOOKUP($Q20,武学奇术!$A:$ZZ,24,FALSE)=1,0,1)</f>
        <v>1</v>
      </c>
      <c r="BP20" s="27" cm="1">
        <f t="array" ref="BP20">1+$B$13+VLOOKUP($Q20,武学奇术!$A:$ZZ,18,FALSE)+SUM(_xlfn.XLOOKUP($R20:$AK20,增益!$A:$A,增益!$R:$R,0))</f>
        <v>2.04</v>
      </c>
      <c r="BQ20" s="27" cm="1">
        <f t="array" ref="BQ20">IF(VLOOKUP($Q20,武学奇术!$A:$ZZ,24,FALSE)=1,100%,MIN(40%,$B$10+VLOOKUP($Q20,武学奇术!$A:$ZZ,19,FALSE)+SUM(_xlfn.XLOOKUP($R20:$AK20,增益!$A:$A,增益!$S:$S,0)))+$B$12+SUM(_xlfn.XLOOKUP($R20:$AK20,增益!$A:$A,增益!$V:$V,0)))*IF(VLOOKUP($Q20,武学奇术!$A:$ZZ,23,FALSE)=1,0,1)</f>
        <v>0</v>
      </c>
      <c r="BR20" s="27" cm="1">
        <f t="array" ref="BR20">1+$B$14+VLOOKUP($Q20,武学奇术!$A:$ZZ,20,FALSE)+SUM(_xlfn.XLOOKUP($R20:$AK20,增益!$A:$A,增益!$T:$T,0))</f>
        <v>1.35</v>
      </c>
      <c r="BS20" s="27">
        <f t="shared" si="9"/>
        <v>1</v>
      </c>
      <c r="BT20" s="27">
        <f t="shared" si="10"/>
        <v>0</v>
      </c>
      <c r="BU20" s="27">
        <f>IF(VLOOKUP($Q20,武学奇术!$A:$ZZ,22,FALSE)=1,0,(1-$BN20))*(1-$BQ20)</f>
        <v>0</v>
      </c>
      <c r="BV20" s="27" cm="1">
        <f t="array" ref="BV20">SUM(_xlfn.XLOOKUP($R20:$AK20,增益!$A:$A,增益!$W:$W,0))+$I$5</f>
        <v>0.11</v>
      </c>
    </row>
    <row r="21" ht="14.25" spans="1:74">
      <c r="A21" s="85" t="s">
        <v>145</v>
      </c>
      <c r="B21" s="86">
        <f>期望!B21</f>
        <v>0.32</v>
      </c>
      <c r="C21" s="41" t="s">
        <v>146</v>
      </c>
      <c r="D21" s="78" t="s">
        <v>147</v>
      </c>
      <c r="E21" s="41" t="s">
        <v>148</v>
      </c>
      <c r="F21" s="41"/>
      <c r="K21" s="40">
        <f t="shared" si="0"/>
        <v>129993.249347689</v>
      </c>
      <c r="L21" s="40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BP21*$P21*(1+IF(VLOOKUP($Q21,武学奇术!$A:$ZZ,30,FALSE)="蓄力技",$B$21,0))*(1+$BV21)</f>
        <v>132689.182067411</v>
      </c>
      <c r="M21" s="40">
        <f>(($AT21*$AM21+$AN21)*(1+$AU21)*(1+$AV21)+($AY21*IF($G$1="鸣金",$AO21,$AM21)+IF($G$1="鸣金",$AP21*1.5,0))*(1+$AZ21)*(1+$BA21)+($BC21*IF($G$1="裂石",$AO21,$AM21)+IF($G$1="裂石",$AP21*1.5,0))*(1+$BD21)*(1+$BE21)+($BG21*IF($G$1="牵丝",$AO21,$AM21)+IF($G$1="牵丝",$AP21*1.5,0))*(1+$BH21)*(1+$BI21)+($BK21*IF($G$1="破竹",$AO21,$AM21)+IF($G$1="破竹",$AP21*1.5,0))*(1+$BL21)*(1+$BM21))*(1+$AQ21)*$BR21*$P21*(1+IF(VLOOKUP($Q21,武学奇术!$A:$ZZ,30,FALSE)="蓄力技",$B$21,0))*(1+$BV21)</f>
        <v>121659.450191342</v>
      </c>
      <c r="N21" s="40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P21*(1+IF(VLOOKUP($Q21,武学奇术!$A:$ZZ,30,FALSE)="蓄力技",$B$21,0))*(1+$BV21)</f>
        <v>78981.6559925068</v>
      </c>
      <c r="O21" s="40">
        <f>((($AS21*$AM21+$AN21)*(1+$AU21)*(1+$AV21)+($AX21*IF($G$1="鸣金",$AO21,$AM21)+IF($G$1="鸣金",$AP21*1.5,0))*(1+$AZ21)*(1+$BA21)+($BB21*IF($G$1="裂石",$AO21,$AM21)+IF($G$1="裂石",$AP21*1.5,0))*(1+$BD21)*(1+$BE21)+($BF21*IF($G$1="牵丝",$AO21,$AM21)+IF($G$1="牵丝",$AP21*1.5,0))*(1+$BH21)*(1+$BI21)+($BJ21*IF($G$1="破竹",$AO21,$AM21)+IF($G$1="破竹",$AP21*1.5,0))*(1+$BL21)*(1+$BM21))*(1+$AQ21))*$P21*(1+IF(VLOOKUP($Q21,武学奇术!$A:$ZZ,30,FALSE)="蓄力技",$B$21,0))*(1+$BV21)</f>
        <v>67845.2007321678</v>
      </c>
      <c r="P21" s="41">
        <v>1</v>
      </c>
      <c r="Q21" s="42" t="s">
        <v>149</v>
      </c>
      <c r="R21" s="42" t="s">
        <v>103</v>
      </c>
      <c r="S21" s="42" t="s">
        <v>77</v>
      </c>
      <c r="T21" s="42" t="s">
        <v>86</v>
      </c>
      <c r="U21" s="42" t="s">
        <v>87</v>
      </c>
      <c r="V21" s="42" t="s">
        <v>77</v>
      </c>
      <c r="W21" s="42" t="s">
        <v>78</v>
      </c>
      <c r="X21" s="42" t="s">
        <v>100</v>
      </c>
      <c r="Y21" s="42" t="s">
        <v>77</v>
      </c>
      <c r="Z21" s="42" t="s">
        <v>77</v>
      </c>
      <c r="AA21" s="42" t="s">
        <v>77</v>
      </c>
      <c r="AB21" s="42" t="s">
        <v>77</v>
      </c>
      <c r="AC21" s="42" t="s">
        <v>77</v>
      </c>
      <c r="AD21" s="42" t="s">
        <v>77</v>
      </c>
      <c r="AE21" s="42" t="s">
        <v>81</v>
      </c>
      <c r="AF21" s="42" t="s">
        <v>82</v>
      </c>
      <c r="AG21" s="42" t="s">
        <v>77</v>
      </c>
      <c r="AH21" s="42" t="s">
        <v>77</v>
      </c>
      <c r="AI21" s="42" t="s">
        <v>77</v>
      </c>
      <c r="AJ21" s="42" t="s">
        <v>77</v>
      </c>
      <c r="AK21" s="42" t="s">
        <v>77</v>
      </c>
      <c r="AL21" t="str">
        <f>VLOOKUP($Q21,武学奇术!$A:$ZZ,25,FALSE)</f>
        <v>单体奇术</v>
      </c>
      <c r="AM21" s="27">
        <f>VLOOKUP($Q21,武学奇术!$A:$ZZ,26,FALSE)</f>
        <v>7.1084</v>
      </c>
      <c r="AN21" s="28">
        <f>VLOOKUP($Q21,武学奇术!$A:$ZZ,27,FALSE)*(1+IF(OR($AL21=$F$4,$AL21=$F$5),$B$22,0))</f>
        <v>1369</v>
      </c>
      <c r="AO21" s="27">
        <f>VLOOKUP($Q21,武学奇术!$A:$ZZ,28,FALSE)</f>
        <v>10.6626</v>
      </c>
      <c r="AP21" s="28">
        <f>VLOOKUP($Q21,武学奇术!$A:$ZZ,29,FALSE)*(1+IF(OR($AL21=$F$4,$AL21=$F$5),$B$22,0))</f>
        <v>0</v>
      </c>
      <c r="AQ21" s="27" cm="1">
        <f t="array" ref="AQ21">$G$3+IFERROR(VLOOKUP($AL21,$F$4:$G$7,2,FALSE),0)+VLOOKUP($Q21,武学奇术!$A:$ZZ,2,FALSE)+SUM(_xlfn.XLOOKUP($R21:$AK21,增益!$A:$A,增益!$B:$B,0))</f>
        <v>0.3837</v>
      </c>
      <c r="AR21" s="27" cm="1">
        <f t="array" ref="AR21">VLOOKUP($Q21,武学奇术!$A:$ZZ,5,FALSE)+SUM(_xlfn.XLOOKUP($R21:$AK21,增益!$A:$A,增益!$E:$E,0))</f>
        <v>0</v>
      </c>
      <c r="AS21" cm="1">
        <f t="array" ref="AS21">$D$10*(1+$AR21)+VLOOKUP($Q21,武学奇术!$A:$ZZ,3,FALSE)+SUM(_xlfn.XLOOKUP($R21:$AK21,增益!$A:$A,增益!$C:$C,0))-$I$2</f>
        <v>3586.7</v>
      </c>
      <c r="AT21" cm="1">
        <f t="array" ref="AT21">$E$10*(1+$AR21)+VLOOKUP($Q21,武学奇术!$A:$ZZ,4,FALSE)+SUM(_xlfn.XLOOKUP($R21:$AK21,增益!$A:$A,增益!$D:$D,0))-$I$2</f>
        <v>3586.7</v>
      </c>
      <c r="AU21" s="34" cm="1">
        <f t="array" ref="AU21">IF($F$10-$I$3+VLOOKUP($Q21,武学奇术!$A:$ZZ,6,FALSE)+SUM(_xlfn.XLOOKUP($R21:$AK21,增益!$A:$A,增益!$F:$F,0))&gt;0,($F$10-$I$3+VLOOKUP($Q21,武学奇术!$A:$ZZ,6,FALSE)+SUM(_xlfn.XLOOKUP($R21:$AK21,增益!$A:$A,增益!$F:$F,0)))/200,($F$10-$I$3+VLOOKUP($Q21,武学奇术!$A:$ZZ,6,FALSE)+SUM(_xlfn.XLOOKUP($R21:$AK21,增益!$A:$A,增益!$F:$F,0)))/100)</f>
        <v>0.327</v>
      </c>
      <c r="AV21" s="34" cm="1">
        <f t="array" ref="AV21">$G$10+VLOOKUP($Q21,武学奇术!$A:$ZZ,7,FALSE)+SUM(_xlfn.XLOOKUP($R21:$AK21,增益!$A:$A,增益!$G:$G,0))</f>
        <v>0</v>
      </c>
      <c r="AW21" s="27" cm="1">
        <f t="array" ref="AW21">VLOOKUP($Q21,武学奇术!$A:$ZZ,8,FALSE)+SUM(_xlfn.XLOOKUP($R21:$AK21,增益!$A:$A,增益!$H:$H,0))</f>
        <v>0</v>
      </c>
      <c r="AX21">
        <f t="shared" si="1"/>
        <v>0</v>
      </c>
      <c r="AY21">
        <f t="shared" si="2"/>
        <v>0</v>
      </c>
      <c r="AZ21" s="34" cm="1">
        <f t="array" ref="AZ21">IF($F$11-$I$4+VLOOKUP($Q21,武学奇术!$A:$ZZ,9,FALSE)+SUM(_xlfn.XLOOKUP($R21:$AK21,增益!$A:$A,增益!$I:$I,0))&gt;0,($F$11-$I$4+VLOOKUP($Q21,武学奇术!$A:$ZZ,9,FALSE)+SUM(_xlfn.XLOOKUP($R21:$AK21,增益!$A:$A,增益!$I:$I,0)))/200,($F$11-$I$4+VLOOKUP($Q21,武学奇术!$A:$ZZ,9,FALSE)+SUM(_xlfn.XLOOKUP($R21:$AK21,增益!$A:$A,增益!$I:$I,0)))/100)</f>
        <v>-0.14</v>
      </c>
      <c r="BA21" s="34" cm="1">
        <f t="array" ref="BA21">$G$11+VLOOKUP($Q21,武学奇术!$A:$ZZ,10,FALSE)+SUM(_xlfn.XLOOKUP($R21:$AK21,增益!$A:$A,增益!$J:$J,0))</f>
        <v>0</v>
      </c>
      <c r="BB21">
        <f t="shared" si="3"/>
        <v>594.1</v>
      </c>
      <c r="BC21">
        <f t="shared" si="4"/>
        <v>1604.9</v>
      </c>
      <c r="BD21" s="34" cm="1">
        <f t="array" ref="BD21">IF($F$12-$I$4+VLOOKUP($Q21,武学奇术!$A:$ZZ,11,FALSE)+SUM(_xlfn.XLOOKUP($R21:$AK21,增益!$A:$A,增益!$K:$K,0))&gt;0,($F$12-$I$4+VLOOKUP($Q21,武学奇术!$A:$ZZ,11,FALSE)+SUM(_xlfn.XLOOKUP($R21:$AK21,增益!$A:$A,增益!$K:$K,0)))/200,($F$12-$I$4+VLOOKUP($Q21,武学奇术!$A:$ZZ,11,FALSE)+SUM(_xlfn.XLOOKUP($R21:$AK21,增益!$A:$A,增益!$K:$K,0)))/100)</f>
        <v>0.17</v>
      </c>
      <c r="BE21" s="34" cm="1">
        <f t="array" ref="BE21">$G$12+VLOOKUP($Q21,武学奇术!$A:$ZZ,12,FALSE)+SUM(_xlfn.XLOOKUP($R21:$AK21,增益!$A:$A,增益!$L:$L,0))</f>
        <v>0.15</v>
      </c>
      <c r="BF21">
        <f t="shared" si="5"/>
        <v>0</v>
      </c>
      <c r="BG21">
        <f t="shared" si="6"/>
        <v>0</v>
      </c>
      <c r="BH21" s="34" cm="1">
        <f t="array" ref="BH21">IF($F$13-$I$4+VLOOKUP($Q21,武学奇术!$A:$ZZ,13,FALSE)+SUM(_xlfn.XLOOKUP($R21:$AK21,增益!$A:$A,增益!$M:$M,0))&gt;0,($F$13-$I$4+VLOOKUP($Q21,武学奇术!$A:$ZZ,13,FALSE)+SUM(_xlfn.XLOOKUP($R21:$AK21,增益!$A:$A,增益!$K:$K,0)))/200,($F$13-$I$4+VLOOKUP($Q21,武学奇术!$A:$ZZ,13,FALSE)+SUM(_xlfn.XLOOKUP($R21:$AK21,增益!$A:$A,增益!$M:$M,0)))/100)</f>
        <v>-0.14</v>
      </c>
      <c r="BI21" s="34" cm="1">
        <f t="array" ref="BI21">$G$13+VLOOKUP($Q21,武学奇术!$A:$ZZ,14,FALSE)+SUM(_xlfn.XLOOKUP($R21:$AK21,增益!$A:$A,增益!$N:$N,0))</f>
        <v>0</v>
      </c>
      <c r="BJ21">
        <f t="shared" si="7"/>
        <v>0</v>
      </c>
      <c r="BK21">
        <f t="shared" si="8"/>
        <v>0</v>
      </c>
      <c r="BL21" s="34" cm="1">
        <f t="array" ref="BL21">IF($F$14-$I$4+VLOOKUP($Q21,武学奇术!$A:$ZZ,15,FALSE)+SUM(_xlfn.XLOOKUP($R21:$AK21,增益!$A:$A,增益!$O:$O,0))&gt;0,($F$14-$I$4+VLOOKUP($Q21,武学奇术!$A:$ZZ,15,FALSE)+SUM(_xlfn.XLOOKUP($R21:$AK21,增益!$A:$A,增益!$O:$O,0)))/200,($F$14-$I$4+VLOOKUP($Q21,武学奇术!$A:$ZZ,15,FALSE)+SUM(_xlfn.XLOOKUP($R21:$AK21,增益!$A:$A,增益!$O:$O,0)))/100)</f>
        <v>-0.14</v>
      </c>
      <c r="BM21" s="34" cm="1">
        <f t="array" ref="BM21">$G$14+VLOOKUP($Q21,武学奇术!$A:$ZZ,16,FALSE)+SUM(_xlfn.XLOOKUP($R21:$AK21,增益!$A:$A,增益!$P:$P,0))</f>
        <v>0</v>
      </c>
      <c r="BN21" s="27">
        <f>MIN(IF(VLOOKUP($Q21,武学奇术!$A:$ZZ,23,FALSE)=1,100%,$B$8),100%)</f>
        <v>0.9859</v>
      </c>
      <c r="BO21" s="27" cm="1">
        <f t="array" ref="BO21">IF(VLOOKUP($Q21,武学奇术!$A:$ZZ,23,FALSE)=1,100%,MIN(80%,$B$9+VLOOKUP($Q21,武学奇术!$A:$ZZ,17,FALSE)+SUM(_xlfn.XLOOKUP($R21:$AK21,增益!$A:$A,增益!$Q:$Q,0)))+$B$11+SUM(_xlfn.XLOOKUP($R21:$AK21,增益!$A:$A,增益!$U:$U,0)))*IF(VLOOKUP($Q21,武学奇术!$A:$ZZ,24,FALSE)=1,0,1)</f>
        <v>0.8912</v>
      </c>
      <c r="BP21" s="27" cm="1">
        <f t="array" ref="BP21">1+$B$13+VLOOKUP($Q21,武学奇术!$A:$ZZ,18,FALSE)+SUM(_xlfn.XLOOKUP($R21:$AK21,增益!$A:$A,增益!$R:$R,0))</f>
        <v>1.68</v>
      </c>
      <c r="BQ21" s="27" cm="1">
        <f t="array" ref="BQ21">IF(VLOOKUP($Q21,武学奇术!$A:$ZZ,24,FALSE)=1,100%,MIN(40%,$B$10+VLOOKUP($Q21,武学奇术!$A:$ZZ,19,FALSE)+SUM(_xlfn.XLOOKUP($R21:$AK21,增益!$A:$A,增益!$S:$S,0)))+$B$12+SUM(_xlfn.XLOOKUP($R21:$AK21,增益!$A:$A,增益!$V:$V,0)))*IF(VLOOKUP($Q21,武学奇术!$A:$ZZ,23,FALSE)=1,0,1)</f>
        <v>0.0929</v>
      </c>
      <c r="BR21" s="27" cm="1">
        <f t="array" ref="BR21">1+$B$14+VLOOKUP($Q21,武学奇术!$A:$ZZ,20,FALSE)+SUM(_xlfn.XLOOKUP($R21:$AK21,增益!$A:$A,增益!$T:$T,0))</f>
        <v>1.35</v>
      </c>
      <c r="BS21" s="27">
        <f t="shared" si="9"/>
        <v>0.87863408</v>
      </c>
      <c r="BT21" s="27">
        <f t="shared" si="10"/>
        <v>0.01567581</v>
      </c>
      <c r="BU21" s="27">
        <f>IF(VLOOKUP($Q21,武学奇术!$A:$ZZ,22,FALSE)=1,0,(1-$BN21))*(1-$BQ21)</f>
        <v>0.01279011</v>
      </c>
      <c r="BV21" s="27" cm="1">
        <f t="array" ref="BV21">SUM(_xlfn.XLOOKUP($R21:$AK21,增益!$A:$A,增益!$W:$W,0))+$I$5</f>
        <v>0.11</v>
      </c>
    </row>
    <row r="22" spans="1:74">
      <c r="A22" t="s">
        <v>150</v>
      </c>
      <c r="B22" s="29">
        <f>期望!B22</f>
        <v>0.5</v>
      </c>
      <c r="C22" s="41" t="s">
        <v>151</v>
      </c>
      <c r="D22" s="78" t="s">
        <v>147</v>
      </c>
      <c r="E22" s="41" t="str">
        <f>期望!E22</f>
        <v>易水歌</v>
      </c>
      <c r="F22" s="41"/>
      <c r="K22" s="40">
        <f t="shared" si="0"/>
        <v>15742.370445869</v>
      </c>
      <c r="L22" s="40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BP22*$P22*(1+IF(VLOOKUP($Q22,武学奇术!$A:$ZZ,30,FALSE)="蓄力技",$B$21,0))*(1+$BV22)</f>
        <v>16298.4374847998</v>
      </c>
      <c r="M22" s="40">
        <f>(($AT22*$AM22+$AN22)*(1+$AU22)*(1+$AV22)+($AY22*IF($G$1="鸣金",$AO22,$AM22)+IF($G$1="鸣金",$AP22*1.5,0))*(1+$AZ22)*(1+$BA22)+($BC22*IF($G$1="裂石",$AO22,$AM22)+IF($G$1="裂石",$AP22*1.5,0))*(1+$BD22)*(1+$BE22)+($BG22*IF($G$1="牵丝",$AO22,$AM22)+IF($G$1="牵丝",$AP22*1.5,0))*(1+$BH22)*(1+$BI22)+($BK22*IF($G$1="破竹",$AO22,$AM22)+IF($G$1="破竹",$AP22*1.5,0))*(1+$BL22)*(1+$BM22))*(1+$AQ22)*$BR22*$P22*(1+IF(VLOOKUP($Q22,武学奇术!$A:$ZZ,30,FALSE)="蓄力技",$B$21,0))*(1+$BV22)</f>
        <v>12911.8594994454</v>
      </c>
      <c r="N22" s="40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P22*(1+IF(VLOOKUP($Q22,武学奇术!$A:$ZZ,30,FALSE)="蓄力技",$B$21,0))*(1+$BV22)</f>
        <v>8358.1730691281</v>
      </c>
      <c r="O22" s="40">
        <f>((($AS22*$AM22+$AN22)*(1+$AU22)*(1+$AV22)+($AX22*IF($G$1="鸣金",$AO22,$AM22)+IF($G$1="鸣金",$AP22*1.5,0))*(1+$AZ22)*(1+$BA22)+($BB22*IF($G$1="裂石",$AO22,$AM22)+IF($G$1="裂石",$AP22*1.5,0))*(1+$BD22)*(1+$BE22)+($BF22*IF($G$1="牵丝",$AO22,$AM22)+IF($G$1="牵丝",$AP22*1.5,0))*(1+$BH22)*(1+$BI22)+($BJ22*IF($G$1="破竹",$AO22,$AM22)+IF($G$1="破竹",$AP22*1.5,0))*(1+$BL22)*(1+$BM22))*(1+$AQ22))*$P22*(1+IF(VLOOKUP($Q22,武学奇术!$A:$ZZ,30,FALSE)="蓄力技",$B$21,0))*(1+$BV22)</f>
        <v>7152.0057682966</v>
      </c>
      <c r="P22" s="41">
        <v>1</v>
      </c>
      <c r="Q22" s="42" t="s">
        <v>112</v>
      </c>
      <c r="R22" s="42" t="s">
        <v>103</v>
      </c>
      <c r="S22" s="42" t="s">
        <v>77</v>
      </c>
      <c r="T22" s="42" t="s">
        <v>86</v>
      </c>
      <c r="U22" s="42" t="s">
        <v>121</v>
      </c>
      <c r="V22" s="42" t="s">
        <v>77</v>
      </c>
      <c r="W22" s="42" t="s">
        <v>77</v>
      </c>
      <c r="X22" s="42" t="s">
        <v>153</v>
      </c>
      <c r="Y22" s="42" t="s">
        <v>77</v>
      </c>
      <c r="Z22" s="42" t="s">
        <v>77</v>
      </c>
      <c r="AA22" s="42" t="s">
        <v>73</v>
      </c>
      <c r="AB22" s="42" t="s">
        <v>77</v>
      </c>
      <c r="AC22" s="42" t="s">
        <v>77</v>
      </c>
      <c r="AD22" s="42" t="s">
        <v>77</v>
      </c>
      <c r="AE22" s="42" t="s">
        <v>81</v>
      </c>
      <c r="AF22" s="42" t="s">
        <v>82</v>
      </c>
      <c r="AG22" s="42" t="s">
        <v>77</v>
      </c>
      <c r="AH22" s="42" t="s">
        <v>77</v>
      </c>
      <c r="AI22" s="42" t="s">
        <v>77</v>
      </c>
      <c r="AJ22" s="42" t="s">
        <v>77</v>
      </c>
      <c r="AK22" s="42" t="s">
        <v>77</v>
      </c>
      <c r="AL22" t="str">
        <f>VLOOKUP($Q22,武学奇术!$A:$ZZ,25,FALSE)</f>
        <v>陌刀</v>
      </c>
      <c r="AM22" s="27">
        <f>VLOOKUP($Q22,武学奇术!$A:$ZZ,26,FALSE)</f>
        <v>0.5</v>
      </c>
      <c r="AN22" s="28">
        <f>VLOOKUP($Q22,武学奇术!$A:$ZZ,27,FALSE)*(1+IF(OR($AL22=$F$4,$AL22=$F$5),$B$22,0))</f>
        <v>0</v>
      </c>
      <c r="AO22" s="27">
        <f>VLOOKUP($Q22,武学奇术!$A:$ZZ,28,FALSE)</f>
        <v>0.75</v>
      </c>
      <c r="AP22" s="28">
        <f>VLOOKUP($Q22,武学奇术!$A:$ZZ,29,FALSE)*(1+IF(OR($AL22=$F$4,$AL22=$F$5),$B$22,0))</f>
        <v>0</v>
      </c>
      <c r="AQ22" s="27" cm="1">
        <f t="array" ref="AQ22">$G$3+IFERROR(VLOOKUP($AL22,$F$4:$G$7,2,FALSE),0)+VLOOKUP($Q22,武学奇术!$A:$ZZ,2,FALSE)+SUM(_xlfn.XLOOKUP($R22:$AK22,增益!$A:$A,增益!$B:$B,0))</f>
        <v>0.6141</v>
      </c>
      <c r="AR22" s="27" cm="1">
        <f t="array" ref="AR22">VLOOKUP($Q22,武学奇术!$A:$ZZ,5,FALSE)+SUM(_xlfn.XLOOKUP($R22:$AK22,增益!$A:$A,增益!$E:$E,0))</f>
        <v>0</v>
      </c>
      <c r="AS22" cm="1">
        <f t="array" ref="AS22">$D$10*(1+$AR22)+VLOOKUP($Q22,武学奇术!$A:$ZZ,3,FALSE)+SUM(_xlfn.XLOOKUP($R22:$AK22,增益!$A:$A,增益!$C:$C,0))-$I$2</f>
        <v>3586.7</v>
      </c>
      <c r="AT22" cm="1">
        <f t="array" ref="AT22">$E$10*(1+$AR22)+VLOOKUP($Q22,武学奇术!$A:$ZZ,4,FALSE)+SUM(_xlfn.XLOOKUP($R22:$AK22,增益!$A:$A,增益!$D:$D,0))-$I$2</f>
        <v>3586.7</v>
      </c>
      <c r="AU22" s="34" cm="1">
        <f t="array" ref="AU22">IF($F$10-$I$3+VLOOKUP($Q22,武学奇术!$A:$ZZ,6,FALSE)+SUM(_xlfn.XLOOKUP($R22:$AK22,增益!$A:$A,增益!$F:$F,0))&gt;0,($F$10-$I$3+VLOOKUP($Q22,武学奇术!$A:$ZZ,6,FALSE)+SUM(_xlfn.XLOOKUP($R22:$AK22,增益!$A:$A,增益!$F:$F,0)))/200,($F$10-$I$3+VLOOKUP($Q22,武学奇术!$A:$ZZ,6,FALSE)+SUM(_xlfn.XLOOKUP($R22:$AK22,增益!$A:$A,增益!$F:$F,0)))/100)</f>
        <v>0.352</v>
      </c>
      <c r="AV22" s="34" cm="1">
        <f t="array" ref="AV22">$G$10+VLOOKUP($Q22,武学奇术!$A:$ZZ,7,FALSE)+SUM(_xlfn.XLOOKUP($R22:$AK22,增益!$A:$A,增益!$G:$G,0))</f>
        <v>0</v>
      </c>
      <c r="AW22" s="27" cm="1">
        <f t="array" ref="AW22">VLOOKUP($Q22,武学奇术!$A:$ZZ,8,FALSE)+SUM(_xlfn.XLOOKUP($R22:$AK22,增益!$A:$A,增益!$H:$H,0))</f>
        <v>0</v>
      </c>
      <c r="AX22">
        <f t="shared" si="1"/>
        <v>0</v>
      </c>
      <c r="AY22">
        <f t="shared" si="2"/>
        <v>0</v>
      </c>
      <c r="AZ22" s="34" cm="1">
        <f t="array" ref="AZ22">IF($F$11-$I$4+VLOOKUP($Q22,武学奇术!$A:$ZZ,9,FALSE)+SUM(_xlfn.XLOOKUP($R22:$AK22,增益!$A:$A,增益!$I:$I,0))&gt;0,($F$11-$I$4+VLOOKUP($Q22,武学奇术!$A:$ZZ,9,FALSE)+SUM(_xlfn.XLOOKUP($R22:$AK22,增益!$A:$A,增益!$I:$I,0)))/200,($F$11-$I$4+VLOOKUP($Q22,武学奇术!$A:$ZZ,9,FALSE)+SUM(_xlfn.XLOOKUP($R22:$AK22,增益!$A:$A,增益!$I:$I,0)))/100)</f>
        <v>-0.14</v>
      </c>
      <c r="BA22" s="34" cm="1">
        <f t="array" ref="BA22">$G$11+VLOOKUP($Q22,武学奇术!$A:$ZZ,10,FALSE)+SUM(_xlfn.XLOOKUP($R22:$AK22,增益!$A:$A,增益!$J:$J,0))</f>
        <v>0</v>
      </c>
      <c r="BB22">
        <f t="shared" si="3"/>
        <v>594.1</v>
      </c>
      <c r="BC22">
        <f t="shared" si="4"/>
        <v>1604.9</v>
      </c>
      <c r="BD22" s="34" cm="1">
        <f t="array" ref="BD22">IF($F$12-$I$4+VLOOKUP($Q22,武学奇术!$A:$ZZ,11,FALSE)+SUM(_xlfn.XLOOKUP($R22:$AK22,增益!$A:$A,增益!$K:$K,0))&gt;0,($F$12-$I$4+VLOOKUP($Q22,武学奇术!$A:$ZZ,11,FALSE)+SUM(_xlfn.XLOOKUP($R22:$AK22,增益!$A:$A,增益!$K:$K,0)))/200,($F$12-$I$4+VLOOKUP($Q22,武学奇术!$A:$ZZ,11,FALSE)+SUM(_xlfn.XLOOKUP($R22:$AK22,增益!$A:$A,增益!$K:$K,0)))/100)</f>
        <v>0.17</v>
      </c>
      <c r="BE22" s="34" cm="1">
        <f t="array" ref="BE22">$G$12+VLOOKUP($Q22,武学奇术!$A:$ZZ,12,FALSE)+SUM(_xlfn.XLOOKUP($R22:$AK22,增益!$A:$A,增益!$L:$L,0))</f>
        <v>0.15</v>
      </c>
      <c r="BF22">
        <f t="shared" si="5"/>
        <v>0</v>
      </c>
      <c r="BG22">
        <f t="shared" si="6"/>
        <v>0</v>
      </c>
      <c r="BH22" s="34" cm="1">
        <f t="array" ref="BH22">IF($F$13-$I$4+VLOOKUP($Q22,武学奇术!$A:$ZZ,13,FALSE)+SUM(_xlfn.XLOOKUP($R22:$AK22,增益!$A:$A,增益!$M:$M,0))&gt;0,($F$13-$I$4+VLOOKUP($Q22,武学奇术!$A:$ZZ,13,FALSE)+SUM(_xlfn.XLOOKUP($R22:$AK22,增益!$A:$A,增益!$K:$K,0)))/200,($F$13-$I$4+VLOOKUP($Q22,武学奇术!$A:$ZZ,13,FALSE)+SUM(_xlfn.XLOOKUP($R22:$AK22,增益!$A:$A,增益!$M:$M,0)))/100)</f>
        <v>-0.14</v>
      </c>
      <c r="BI22" s="34" cm="1">
        <f t="array" ref="BI22">$G$13+VLOOKUP($Q22,武学奇术!$A:$ZZ,14,FALSE)+SUM(_xlfn.XLOOKUP($R22:$AK22,增益!$A:$A,增益!$N:$N,0))</f>
        <v>0</v>
      </c>
      <c r="BJ22">
        <f t="shared" si="7"/>
        <v>0</v>
      </c>
      <c r="BK22">
        <f t="shared" si="8"/>
        <v>0</v>
      </c>
      <c r="BL22" s="34" cm="1">
        <f t="array" ref="BL22">IF($F$14-$I$4+VLOOKUP($Q22,武学奇术!$A:$ZZ,15,FALSE)+SUM(_xlfn.XLOOKUP($R22:$AK22,增益!$A:$A,增益!$O:$O,0))&gt;0,($F$14-$I$4+VLOOKUP($Q22,武学奇术!$A:$ZZ,15,FALSE)+SUM(_xlfn.XLOOKUP($R22:$AK22,增益!$A:$A,增益!$O:$O,0)))/200,($F$14-$I$4+VLOOKUP($Q22,武学奇术!$A:$ZZ,15,FALSE)+SUM(_xlfn.XLOOKUP($R22:$AK22,增益!$A:$A,增益!$O:$O,0)))/100)</f>
        <v>-0.14</v>
      </c>
      <c r="BM22" s="34" cm="1">
        <f t="array" ref="BM22">$G$14+VLOOKUP($Q22,武学奇术!$A:$ZZ,16,FALSE)+SUM(_xlfn.XLOOKUP($R22:$AK22,增益!$A:$A,增益!$P:$P,0))</f>
        <v>0</v>
      </c>
      <c r="BN22" s="27">
        <f>MIN(IF(VLOOKUP($Q22,武学奇术!$A:$ZZ,23,FALSE)=1,100%,$B$8),100%)</f>
        <v>0.9859</v>
      </c>
      <c r="BO22" s="27" cm="1">
        <f t="array" ref="BO22">IF(VLOOKUP($Q22,武学奇术!$A:$ZZ,23,FALSE)=1,100%,MIN(80%,$B$9+VLOOKUP($Q22,武学奇术!$A:$ZZ,17,FALSE)+SUM(_xlfn.XLOOKUP($R22:$AK22,增益!$A:$A,增益!$Q:$Q,0)))+$B$11+SUM(_xlfn.XLOOKUP($R22:$AK22,增益!$A:$A,增益!$U:$U,0)))*IF(VLOOKUP($Q22,武学奇术!$A:$ZZ,24,FALSE)=1,0,1)</f>
        <v>0.8912</v>
      </c>
      <c r="BP22" s="27" cm="1">
        <f t="array" ref="BP22">1+$B$13+VLOOKUP($Q22,武学奇术!$A:$ZZ,18,FALSE)+SUM(_xlfn.XLOOKUP($R22:$AK22,增益!$A:$A,增益!$R:$R,0))</f>
        <v>1.95</v>
      </c>
      <c r="BQ22" s="27" cm="1">
        <f t="array" ref="BQ22">IF(VLOOKUP($Q22,武学奇术!$A:$ZZ,24,FALSE)=1,100%,MIN(40%,$B$10+VLOOKUP($Q22,武学奇术!$A:$ZZ,19,FALSE)+SUM(_xlfn.XLOOKUP($R22:$AK22,增益!$A:$A,增益!$S:$S,0)))+$B$12+SUM(_xlfn.XLOOKUP($R22:$AK22,增益!$A:$A,增益!$V:$V,0)))*IF(VLOOKUP($Q22,武学奇术!$A:$ZZ,23,FALSE)=1,0,1)</f>
        <v>0.0929</v>
      </c>
      <c r="BR22" s="27" cm="1">
        <f t="array" ref="BR22">1+$B$14+VLOOKUP($Q22,武学奇术!$A:$ZZ,20,FALSE)+SUM(_xlfn.XLOOKUP($R22:$AK22,增益!$A:$A,增益!$T:$T,0))</f>
        <v>1.35</v>
      </c>
      <c r="BS22" s="27">
        <f t="shared" si="9"/>
        <v>0.87863408</v>
      </c>
      <c r="BT22" s="27">
        <f t="shared" si="10"/>
        <v>0.01567581</v>
      </c>
      <c r="BU22" s="27">
        <f>IF(VLOOKUP($Q22,武学奇术!$A:$ZZ,22,FALSE)=1,0,(1-$BN22))*(1-$BQ22)</f>
        <v>0.01279011</v>
      </c>
      <c r="BV22" s="27" cm="1">
        <f t="array" ref="BV22">SUM(_xlfn.XLOOKUP($R22:$AK22,增益!$A:$A,增益!$W:$W,0))+$I$5</f>
        <v>0.11</v>
      </c>
    </row>
    <row r="23" spans="1:74">
      <c r="A23" s="41" t="s">
        <v>154</v>
      </c>
      <c r="B23">
        <f>期望!B23</f>
        <v>200</v>
      </c>
      <c r="K23" s="40">
        <f t="shared" si="0"/>
        <v>28336.2668025642</v>
      </c>
      <c r="L23" s="40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BP23*$P23*(1+IF(VLOOKUP($Q23,武学奇术!$A:$ZZ,30,FALSE)="蓄力技",$B$21,0))*(1+$BV23)</f>
        <v>29337.1874726396</v>
      </c>
      <c r="M23" s="40">
        <f>(($AT23*$AM23+$AN23)*(1+$AU23)*(1+$AV23)+($AY23*IF($G$1="鸣金",$AO23,$AM23)+IF($G$1="鸣金",$AP23*1.5,0))*(1+$AZ23)*(1+$BA23)+($BC23*IF($G$1="裂石",$AO23,$AM23)+IF($G$1="裂石",$AP23*1.5,0))*(1+$BD23)*(1+$BE23)+($BG23*IF($G$1="牵丝",$AO23,$AM23)+IF($G$1="牵丝",$AP23*1.5,0))*(1+$BH23)*(1+$BI23)+($BK23*IF($G$1="破竹",$AO23,$AM23)+IF($G$1="破竹",$AP23*1.5,0))*(1+$BL23)*(1+$BM23))*(1+$AQ23)*$BR23*$P23*(1+IF(VLOOKUP($Q23,武学奇术!$A:$ZZ,30,FALSE)="蓄力技",$B$21,0))*(1+$BV23)</f>
        <v>23241.3470990018</v>
      </c>
      <c r="N23" s="40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P23*(1+IF(VLOOKUP($Q23,武学奇术!$A:$ZZ,30,FALSE)="蓄力技",$B$21,0))*(1+$BV23)</f>
        <v>15044.7115244306</v>
      </c>
      <c r="O23" s="40">
        <f>((($AS23*$AM23+$AN23)*(1+$AU23)*(1+$AV23)+($AX23*IF($G$1="鸣金",$AO23,$AM23)+IF($G$1="鸣金",$AP23*1.5,0))*(1+$AZ23)*(1+$BA23)+($BB23*IF($G$1="裂石",$AO23,$AM23)+IF($G$1="裂石",$AP23*1.5,0))*(1+$BD23)*(1+$BE23)+($BF23*IF($G$1="牵丝",$AO23,$AM23)+IF($G$1="牵丝",$AP23*1.5,0))*(1+$BH23)*(1+$BI23)+($BJ23*IF($G$1="破竹",$AO23,$AM23)+IF($G$1="破竹",$AP23*1.5,0))*(1+$BL23)*(1+$BM23))*(1+$AQ23))*$P23*(1+IF(VLOOKUP($Q23,武学奇术!$A:$ZZ,30,FALSE)="蓄力技",$B$21,0))*(1+$BV23)</f>
        <v>12873.6103829339</v>
      </c>
      <c r="P23" s="41">
        <v>1</v>
      </c>
      <c r="Q23" s="42" t="s">
        <v>155</v>
      </c>
      <c r="R23" s="42" t="s">
        <v>103</v>
      </c>
      <c r="S23" s="42" t="s">
        <v>77</v>
      </c>
      <c r="T23" s="42" t="s">
        <v>86</v>
      </c>
      <c r="U23" s="42" t="s">
        <v>121</v>
      </c>
      <c r="V23" s="42" t="s">
        <v>77</v>
      </c>
      <c r="W23" s="42" t="s">
        <v>77</v>
      </c>
      <c r="X23" s="42" t="s">
        <v>153</v>
      </c>
      <c r="Y23" s="42" t="s">
        <v>77</v>
      </c>
      <c r="Z23" s="42" t="s">
        <v>77</v>
      </c>
      <c r="AA23" s="42" t="s">
        <v>73</v>
      </c>
      <c r="AB23" s="42" t="s">
        <v>77</v>
      </c>
      <c r="AC23" s="42" t="s">
        <v>77</v>
      </c>
      <c r="AD23" s="42" t="s">
        <v>77</v>
      </c>
      <c r="AE23" s="42" t="s">
        <v>81</v>
      </c>
      <c r="AF23" s="42" t="s">
        <v>82</v>
      </c>
      <c r="AG23" s="42" t="s">
        <v>77</v>
      </c>
      <c r="AH23" s="42" t="s">
        <v>77</v>
      </c>
      <c r="AI23" s="42" t="s">
        <v>77</v>
      </c>
      <c r="AJ23" s="42" t="s">
        <v>77</v>
      </c>
      <c r="AK23" s="42" t="s">
        <v>77</v>
      </c>
      <c r="AL23" t="str">
        <f>VLOOKUP($Q23,武学奇术!$A:$ZZ,25,FALSE)</f>
        <v>陌刀</v>
      </c>
      <c r="AM23" s="27">
        <f>VLOOKUP($Q23,武学奇术!$A:$ZZ,26,FALSE)</f>
        <v>0.9</v>
      </c>
      <c r="AN23" s="28">
        <f>VLOOKUP($Q23,武学奇术!$A:$ZZ,27,FALSE)*(1+IF(OR($AL23=$F$4,$AL23=$F$5),$B$22,0))</f>
        <v>0</v>
      </c>
      <c r="AO23" s="27">
        <f>VLOOKUP($Q23,武学奇术!$A:$ZZ,28,FALSE)</f>
        <v>1.35</v>
      </c>
      <c r="AP23" s="28">
        <f>VLOOKUP($Q23,武学奇术!$A:$ZZ,29,FALSE)*(1+IF(OR($AL23=$F$4,$AL23=$F$5),$B$22,0))</f>
        <v>0</v>
      </c>
      <c r="AQ23" s="27" cm="1">
        <f t="array" ref="AQ23">$G$3+IFERROR(VLOOKUP($AL23,$F$4:$G$7,2,FALSE),0)+VLOOKUP($Q23,武学奇术!$A:$ZZ,2,FALSE)+SUM(_xlfn.XLOOKUP($R23:$AK23,增益!$A:$A,增益!$B:$B,0))</f>
        <v>0.6141</v>
      </c>
      <c r="AR23" s="27" cm="1">
        <f t="array" ref="AR23">VLOOKUP($Q23,武学奇术!$A:$ZZ,5,FALSE)+SUM(_xlfn.XLOOKUP($R23:$AK23,增益!$A:$A,增益!$E:$E,0))</f>
        <v>0</v>
      </c>
      <c r="AS23" cm="1">
        <f t="array" ref="AS23">$D$10*(1+$AR23)+VLOOKUP($Q23,武学奇术!$A:$ZZ,3,FALSE)+SUM(_xlfn.XLOOKUP($R23:$AK23,增益!$A:$A,增益!$C:$C,0))-$I$2</f>
        <v>3586.7</v>
      </c>
      <c r="AT23" cm="1">
        <f t="array" ref="AT23">$E$10*(1+$AR23)+VLOOKUP($Q23,武学奇术!$A:$ZZ,4,FALSE)+SUM(_xlfn.XLOOKUP($R23:$AK23,增益!$A:$A,增益!$D:$D,0))-$I$2</f>
        <v>3586.7</v>
      </c>
      <c r="AU23" s="34" cm="1">
        <f t="array" ref="AU23">IF($F$10-$I$3+VLOOKUP($Q23,武学奇术!$A:$ZZ,6,FALSE)+SUM(_xlfn.XLOOKUP($R23:$AK23,增益!$A:$A,增益!$F:$F,0))&gt;0,($F$10-$I$3+VLOOKUP($Q23,武学奇术!$A:$ZZ,6,FALSE)+SUM(_xlfn.XLOOKUP($R23:$AK23,增益!$A:$A,增益!$F:$F,0)))/200,($F$10-$I$3+VLOOKUP($Q23,武学奇术!$A:$ZZ,6,FALSE)+SUM(_xlfn.XLOOKUP($R23:$AK23,增益!$A:$A,增益!$F:$F,0)))/100)</f>
        <v>0.352</v>
      </c>
      <c r="AV23" s="34" cm="1">
        <f t="array" ref="AV23">$G$10+VLOOKUP($Q23,武学奇术!$A:$ZZ,7,FALSE)+SUM(_xlfn.XLOOKUP($R23:$AK23,增益!$A:$A,增益!$G:$G,0))</f>
        <v>0</v>
      </c>
      <c r="AW23" s="27" cm="1">
        <f t="array" ref="AW23">VLOOKUP($Q23,武学奇术!$A:$ZZ,8,FALSE)+SUM(_xlfn.XLOOKUP($R23:$AK23,增益!$A:$A,增益!$H:$H,0))</f>
        <v>0</v>
      </c>
      <c r="AX23">
        <f t="shared" si="1"/>
        <v>0</v>
      </c>
      <c r="AY23">
        <f t="shared" si="2"/>
        <v>0</v>
      </c>
      <c r="AZ23" s="34" cm="1">
        <f t="array" ref="AZ23">IF($F$11-$I$4+VLOOKUP($Q23,武学奇术!$A:$ZZ,9,FALSE)+SUM(_xlfn.XLOOKUP($R23:$AK23,增益!$A:$A,增益!$I:$I,0))&gt;0,($F$11-$I$4+VLOOKUP($Q23,武学奇术!$A:$ZZ,9,FALSE)+SUM(_xlfn.XLOOKUP($R23:$AK23,增益!$A:$A,增益!$I:$I,0)))/200,($F$11-$I$4+VLOOKUP($Q23,武学奇术!$A:$ZZ,9,FALSE)+SUM(_xlfn.XLOOKUP($R23:$AK23,增益!$A:$A,增益!$I:$I,0)))/100)</f>
        <v>-0.14</v>
      </c>
      <c r="BA23" s="34" cm="1">
        <f t="array" ref="BA23">$G$11+VLOOKUP($Q23,武学奇术!$A:$ZZ,10,FALSE)+SUM(_xlfn.XLOOKUP($R23:$AK23,增益!$A:$A,增益!$J:$J,0))</f>
        <v>0</v>
      </c>
      <c r="BB23">
        <f t="shared" si="3"/>
        <v>594.1</v>
      </c>
      <c r="BC23">
        <f t="shared" si="4"/>
        <v>1604.9</v>
      </c>
      <c r="BD23" s="34" cm="1">
        <f t="array" ref="BD23">IF($F$12-$I$4+VLOOKUP($Q23,武学奇术!$A:$ZZ,11,FALSE)+SUM(_xlfn.XLOOKUP($R23:$AK23,增益!$A:$A,增益!$K:$K,0))&gt;0,($F$12-$I$4+VLOOKUP($Q23,武学奇术!$A:$ZZ,11,FALSE)+SUM(_xlfn.XLOOKUP($R23:$AK23,增益!$A:$A,增益!$K:$K,0)))/200,($F$12-$I$4+VLOOKUP($Q23,武学奇术!$A:$ZZ,11,FALSE)+SUM(_xlfn.XLOOKUP($R23:$AK23,增益!$A:$A,增益!$K:$K,0)))/100)</f>
        <v>0.17</v>
      </c>
      <c r="BE23" s="34" cm="1">
        <f t="array" ref="BE23">$G$12+VLOOKUP($Q23,武学奇术!$A:$ZZ,12,FALSE)+SUM(_xlfn.XLOOKUP($R23:$AK23,增益!$A:$A,增益!$L:$L,0))</f>
        <v>0.15</v>
      </c>
      <c r="BF23">
        <f t="shared" si="5"/>
        <v>0</v>
      </c>
      <c r="BG23">
        <f t="shared" si="6"/>
        <v>0</v>
      </c>
      <c r="BH23" s="34" cm="1">
        <f t="array" ref="BH23">IF($F$13-$I$4+VLOOKUP($Q23,武学奇术!$A:$ZZ,13,FALSE)+SUM(_xlfn.XLOOKUP($R23:$AK23,增益!$A:$A,增益!$M:$M,0))&gt;0,($F$13-$I$4+VLOOKUP($Q23,武学奇术!$A:$ZZ,13,FALSE)+SUM(_xlfn.XLOOKUP($R23:$AK23,增益!$A:$A,增益!$K:$K,0)))/200,($F$13-$I$4+VLOOKUP($Q23,武学奇术!$A:$ZZ,13,FALSE)+SUM(_xlfn.XLOOKUP($R23:$AK23,增益!$A:$A,增益!$M:$M,0)))/100)</f>
        <v>-0.14</v>
      </c>
      <c r="BI23" s="34" cm="1">
        <f t="array" ref="BI23">$G$13+VLOOKUP($Q23,武学奇术!$A:$ZZ,14,FALSE)+SUM(_xlfn.XLOOKUP($R23:$AK23,增益!$A:$A,增益!$N:$N,0))</f>
        <v>0</v>
      </c>
      <c r="BJ23">
        <f t="shared" si="7"/>
        <v>0</v>
      </c>
      <c r="BK23">
        <f t="shared" si="8"/>
        <v>0</v>
      </c>
      <c r="BL23" s="34" cm="1">
        <f t="array" ref="BL23">IF($F$14-$I$4+VLOOKUP($Q23,武学奇术!$A:$ZZ,15,FALSE)+SUM(_xlfn.XLOOKUP($R23:$AK23,增益!$A:$A,增益!$O:$O,0))&gt;0,($F$14-$I$4+VLOOKUP($Q23,武学奇术!$A:$ZZ,15,FALSE)+SUM(_xlfn.XLOOKUP($R23:$AK23,增益!$A:$A,增益!$O:$O,0)))/200,($F$14-$I$4+VLOOKUP($Q23,武学奇术!$A:$ZZ,15,FALSE)+SUM(_xlfn.XLOOKUP($R23:$AK23,增益!$A:$A,增益!$O:$O,0)))/100)</f>
        <v>-0.14</v>
      </c>
      <c r="BM23" s="34" cm="1">
        <f t="array" ref="BM23">$G$14+VLOOKUP($Q23,武学奇术!$A:$ZZ,16,FALSE)+SUM(_xlfn.XLOOKUP($R23:$AK23,增益!$A:$A,增益!$P:$P,0))</f>
        <v>0</v>
      </c>
      <c r="BN23" s="27">
        <f>MIN(IF(VLOOKUP($Q23,武学奇术!$A:$ZZ,23,FALSE)=1,100%,$B$8),100%)</f>
        <v>0.9859</v>
      </c>
      <c r="BO23" s="27" cm="1">
        <f t="array" ref="BO23">IF(VLOOKUP($Q23,武学奇术!$A:$ZZ,23,FALSE)=1,100%,MIN(80%,$B$9+VLOOKUP($Q23,武学奇术!$A:$ZZ,17,FALSE)+SUM(_xlfn.XLOOKUP($R23:$AK23,增益!$A:$A,增益!$Q:$Q,0)))+$B$11+SUM(_xlfn.XLOOKUP($R23:$AK23,增益!$A:$A,增益!$U:$U,0)))*IF(VLOOKUP($Q23,武学奇术!$A:$ZZ,24,FALSE)=1,0,1)</f>
        <v>0.8912</v>
      </c>
      <c r="BP23" s="27" cm="1">
        <f t="array" ref="BP23">1+$B$13+VLOOKUP($Q23,武学奇术!$A:$ZZ,18,FALSE)+SUM(_xlfn.XLOOKUP($R23:$AK23,增益!$A:$A,增益!$R:$R,0))</f>
        <v>1.95</v>
      </c>
      <c r="BQ23" s="27" cm="1">
        <f t="array" ref="BQ23">IF(VLOOKUP($Q23,武学奇术!$A:$ZZ,24,FALSE)=1,100%,MIN(40%,$B$10+VLOOKUP($Q23,武学奇术!$A:$ZZ,19,FALSE)+SUM(_xlfn.XLOOKUP($R23:$AK23,增益!$A:$A,增益!$S:$S,0)))+$B$12+SUM(_xlfn.XLOOKUP($R23:$AK23,增益!$A:$A,增益!$V:$V,0)))*IF(VLOOKUP($Q23,武学奇术!$A:$ZZ,23,FALSE)=1,0,1)</f>
        <v>0.0929</v>
      </c>
      <c r="BR23" s="27" cm="1">
        <f t="array" ref="BR23">1+$B$14+VLOOKUP($Q23,武学奇术!$A:$ZZ,20,FALSE)+SUM(_xlfn.XLOOKUP($R23:$AK23,增益!$A:$A,增益!$T:$T,0))</f>
        <v>1.35</v>
      </c>
      <c r="BS23" s="27">
        <f t="shared" si="9"/>
        <v>0.87863408</v>
      </c>
      <c r="BT23" s="27">
        <f t="shared" si="10"/>
        <v>0.01567581</v>
      </c>
      <c r="BU23" s="27">
        <f>IF(VLOOKUP($Q23,武学奇术!$A:$ZZ,22,FALSE)=1,0,(1-$BN23))*(1-$BQ23)</f>
        <v>0.01279011</v>
      </c>
      <c r="BV23" s="27" cm="1">
        <f t="array" ref="BV23">SUM(_xlfn.XLOOKUP($R23:$AK23,增益!$A:$A,增益!$W:$W,0))+$I$5</f>
        <v>0.11</v>
      </c>
    </row>
    <row r="24" spans="1:74">
      <c r="A24" s="41"/>
      <c r="B24">
        <f>期望!B24</f>
        <v>400</v>
      </c>
      <c r="K24" s="40">
        <f t="shared" si="0"/>
        <v>206232.995468745</v>
      </c>
      <c r="L24" s="40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BP24*$P24*(1+IF(VLOOKUP($Q24,武学奇术!$A:$ZZ,30,FALSE)="蓄力技",$B$21,0))*(1+$BV24)</f>
        <v>213749.655554432</v>
      </c>
      <c r="M24" s="40">
        <f>(($AT24*$AM24+$AN24)*(1+$AU24)*(1+$AV24)+($AY24*IF($G$1="鸣金",$AO24,$AM24)+IF($G$1="鸣金",$AP24*1.5,0))*(1+$AZ24)*(1+$BA24)+($BC24*IF($G$1="裂石",$AO24,$AM24)+IF($G$1="裂石",$AP24*1.5,0))*(1+$BD24)*(1+$BE24)+($BG24*IF($G$1="牵丝",$AO24,$AM24)+IF($G$1="牵丝",$AP24*1.5,0))*(1+$BH24)*(1+$BI24)+($BK24*IF($G$1="破竹",$AO24,$AM24)+IF($G$1="破竹",$AP24*1.5,0))*(1+$BL24)*(1+$BM24))*(1+$AQ24)*$BR24*$P24*(1+IF(VLOOKUP($Q24,武学奇术!$A:$ZZ,30,FALSE)="蓄力技",$B$21,0))*(1+$BV24)</f>
        <v>166650.69792464</v>
      </c>
      <c r="N24" s="40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P24*(1+IF(VLOOKUP($Q24,武学奇术!$A:$ZZ,30,FALSE)="蓄力技",$B$21,0))*(1+$BV24)</f>
        <v>109615.207976632</v>
      </c>
      <c r="O24" s="40">
        <f>((($AS24*$AM24+$AN24)*(1+$AU24)*(1+$AV24)+($AX24*IF($G$1="鸣金",$AO24,$AM24)+IF($G$1="鸣金",$AP24*1.5,0))*(1+$AZ24)*(1+$BA24)+($BB24*IF($G$1="裂石",$AO24,$AM24)+IF($G$1="裂石",$AP24*1.5,0))*(1+$BD24)*(1+$BE24)+($BF24*IF($G$1="牵丝",$AO24,$AM24)+IF($G$1="牵丝",$AP24*1.5,0))*(1+$BH24)*(1+$BI24)+($BJ24*IF($G$1="破竹",$AO24,$AM24)+IF($G$1="破竹",$AP24*1.5,0))*(1+$BL24)*(1+$BM24))*(1+$AQ24))*$P24*(1+IF(VLOOKUP($Q24,武学奇术!$A:$ZZ,30,FALSE)="蓄力技",$B$21,0))*(1+$BV24)</f>
        <v>95785.4545276047</v>
      </c>
      <c r="P24" s="41">
        <v>1</v>
      </c>
      <c r="Q24" s="42" t="s">
        <v>156</v>
      </c>
      <c r="R24" s="42" t="s">
        <v>103</v>
      </c>
      <c r="S24" s="42" t="s">
        <v>77</v>
      </c>
      <c r="T24" s="42" t="s">
        <v>86</v>
      </c>
      <c r="U24" s="42" t="s">
        <v>121</v>
      </c>
      <c r="V24" s="42" t="s">
        <v>77</v>
      </c>
      <c r="W24" s="42" t="s">
        <v>77</v>
      </c>
      <c r="X24" s="42" t="s">
        <v>153</v>
      </c>
      <c r="Y24" s="42" t="s">
        <v>77</v>
      </c>
      <c r="Z24" s="42" t="s">
        <v>77</v>
      </c>
      <c r="AA24" s="42" t="s">
        <v>73</v>
      </c>
      <c r="AB24" s="42" t="s">
        <v>77</v>
      </c>
      <c r="AC24" s="42" t="s">
        <v>77</v>
      </c>
      <c r="AD24" s="42" t="s">
        <v>77</v>
      </c>
      <c r="AE24" s="42" t="s">
        <v>81</v>
      </c>
      <c r="AF24" s="42" t="s">
        <v>82</v>
      </c>
      <c r="AG24" s="42" t="s">
        <v>77</v>
      </c>
      <c r="AH24" s="42" t="s">
        <v>77</v>
      </c>
      <c r="AI24" s="42" t="s">
        <v>77</v>
      </c>
      <c r="AJ24" s="42" t="s">
        <v>77</v>
      </c>
      <c r="AK24" s="42" t="s">
        <v>77</v>
      </c>
      <c r="AL24" t="str">
        <f>VLOOKUP($Q24,武学奇术!$A:$ZZ,25,FALSE)</f>
        <v>陌刀</v>
      </c>
      <c r="AM24" s="27">
        <f>VLOOKUP($Q24,武学奇术!$A:$ZZ,26,FALSE)</f>
        <v>5.733</v>
      </c>
      <c r="AN24" s="28">
        <f>VLOOKUP($Q24,武学奇术!$A:$ZZ,27,FALSE)*(1+IF(OR($AL24=$F$4,$AL24=$F$5),$B$22,0))</f>
        <v>2377.5</v>
      </c>
      <c r="AO24" s="27">
        <f>VLOOKUP($Q24,武学奇术!$A:$ZZ,28,FALSE)</f>
        <v>8.5994</v>
      </c>
      <c r="AP24" s="28">
        <f>VLOOKUP($Q24,武学奇术!$A:$ZZ,29,FALSE)*(1+IF(OR($AL24=$F$4,$AL24=$F$5),$B$22,0))</f>
        <v>1294.5</v>
      </c>
      <c r="AQ24" s="27" cm="1">
        <f t="array" ref="AQ24">$G$3+IFERROR(VLOOKUP($AL24,$F$4:$G$7,2,FALSE),0)+VLOOKUP($Q24,武学奇术!$A:$ZZ,2,FALSE)+SUM(_xlfn.XLOOKUP($R24:$AK24,增益!$A:$A,增益!$B:$B,0))</f>
        <v>0.6141</v>
      </c>
      <c r="AR24" s="27" cm="1">
        <f t="array" ref="AR24">VLOOKUP($Q24,武学奇术!$A:$ZZ,5,FALSE)+SUM(_xlfn.XLOOKUP($R24:$AK24,增益!$A:$A,增益!$E:$E,0))</f>
        <v>0</v>
      </c>
      <c r="AS24" cm="1">
        <f t="array" ref="AS24">$D$10*(1+$AR24)+VLOOKUP($Q24,武学奇术!$A:$ZZ,3,FALSE)+SUM(_xlfn.XLOOKUP($R24:$AK24,增益!$A:$A,增益!$C:$C,0))-$I$2</f>
        <v>3586.7</v>
      </c>
      <c r="AT24" cm="1">
        <f t="array" ref="AT24">$E$10*(1+$AR24)+VLOOKUP($Q24,武学奇术!$A:$ZZ,4,FALSE)+SUM(_xlfn.XLOOKUP($R24:$AK24,增益!$A:$A,增益!$D:$D,0))-$I$2</f>
        <v>3586.7</v>
      </c>
      <c r="AU24" s="34" cm="1">
        <f t="array" ref="AU24">IF($F$10-$I$3+VLOOKUP($Q24,武学奇术!$A:$ZZ,6,FALSE)+SUM(_xlfn.XLOOKUP($R24:$AK24,增益!$A:$A,增益!$F:$F,0))&gt;0,($F$10-$I$3+VLOOKUP($Q24,武学奇术!$A:$ZZ,6,FALSE)+SUM(_xlfn.XLOOKUP($R24:$AK24,增益!$A:$A,增益!$F:$F,0)))/200,($F$10-$I$3+VLOOKUP($Q24,武学奇术!$A:$ZZ,6,FALSE)+SUM(_xlfn.XLOOKUP($R24:$AK24,增益!$A:$A,增益!$F:$F,0)))/100)</f>
        <v>0.352</v>
      </c>
      <c r="AV24" s="34" cm="1">
        <f t="array" ref="AV24">$G$10+VLOOKUP($Q24,武学奇术!$A:$ZZ,7,FALSE)+SUM(_xlfn.XLOOKUP($R24:$AK24,增益!$A:$A,增益!$G:$G,0))</f>
        <v>0</v>
      </c>
      <c r="AW24" s="27" cm="1">
        <f t="array" ref="AW24">VLOOKUP($Q24,武学奇术!$A:$ZZ,8,FALSE)+SUM(_xlfn.XLOOKUP($R24:$AK24,增益!$A:$A,增益!$H:$H,0))</f>
        <v>0</v>
      </c>
      <c r="AX24">
        <f t="shared" si="1"/>
        <v>0</v>
      </c>
      <c r="AY24">
        <f t="shared" si="2"/>
        <v>0</v>
      </c>
      <c r="AZ24" s="34" cm="1">
        <f t="array" ref="AZ24">IF($F$11-$I$4+VLOOKUP($Q24,武学奇术!$A:$ZZ,9,FALSE)+SUM(_xlfn.XLOOKUP($R24:$AK24,增益!$A:$A,增益!$I:$I,0))&gt;0,($F$11-$I$4+VLOOKUP($Q24,武学奇术!$A:$ZZ,9,FALSE)+SUM(_xlfn.XLOOKUP($R24:$AK24,增益!$A:$A,增益!$I:$I,0)))/200,($F$11-$I$4+VLOOKUP($Q24,武学奇术!$A:$ZZ,9,FALSE)+SUM(_xlfn.XLOOKUP($R24:$AK24,增益!$A:$A,增益!$I:$I,0)))/100)</f>
        <v>-0.14</v>
      </c>
      <c r="BA24" s="34" cm="1">
        <f t="array" ref="BA24">$G$11+VLOOKUP($Q24,武学奇术!$A:$ZZ,10,FALSE)+SUM(_xlfn.XLOOKUP($R24:$AK24,增益!$A:$A,增益!$J:$J,0))</f>
        <v>0</v>
      </c>
      <c r="BB24">
        <f t="shared" si="3"/>
        <v>594.1</v>
      </c>
      <c r="BC24">
        <f t="shared" si="4"/>
        <v>1604.9</v>
      </c>
      <c r="BD24" s="34" cm="1">
        <f t="array" ref="BD24">IF($F$12-$I$4+VLOOKUP($Q24,武学奇术!$A:$ZZ,11,FALSE)+SUM(_xlfn.XLOOKUP($R24:$AK24,增益!$A:$A,增益!$K:$K,0))&gt;0,($F$12-$I$4+VLOOKUP($Q24,武学奇术!$A:$ZZ,11,FALSE)+SUM(_xlfn.XLOOKUP($R24:$AK24,增益!$A:$A,增益!$K:$K,0)))/200,($F$12-$I$4+VLOOKUP($Q24,武学奇术!$A:$ZZ,11,FALSE)+SUM(_xlfn.XLOOKUP($R24:$AK24,增益!$A:$A,增益!$K:$K,0)))/100)</f>
        <v>0.17</v>
      </c>
      <c r="BE24" s="34" cm="1">
        <f t="array" ref="BE24">$G$12+VLOOKUP($Q24,武学奇术!$A:$ZZ,12,FALSE)+SUM(_xlfn.XLOOKUP($R24:$AK24,增益!$A:$A,增益!$L:$L,0))</f>
        <v>0.15</v>
      </c>
      <c r="BF24">
        <f t="shared" si="5"/>
        <v>0</v>
      </c>
      <c r="BG24">
        <f t="shared" si="6"/>
        <v>0</v>
      </c>
      <c r="BH24" s="34" cm="1">
        <f t="array" ref="BH24">IF($F$13-$I$4+VLOOKUP($Q24,武学奇术!$A:$ZZ,13,FALSE)+SUM(_xlfn.XLOOKUP($R24:$AK24,增益!$A:$A,增益!$M:$M,0))&gt;0,($F$13-$I$4+VLOOKUP($Q24,武学奇术!$A:$ZZ,13,FALSE)+SUM(_xlfn.XLOOKUP($R24:$AK24,增益!$A:$A,增益!$K:$K,0)))/200,($F$13-$I$4+VLOOKUP($Q24,武学奇术!$A:$ZZ,13,FALSE)+SUM(_xlfn.XLOOKUP($R24:$AK24,增益!$A:$A,增益!$M:$M,0)))/100)</f>
        <v>-0.14</v>
      </c>
      <c r="BI24" s="34" cm="1">
        <f t="array" ref="BI24">$G$13+VLOOKUP($Q24,武学奇术!$A:$ZZ,14,FALSE)+SUM(_xlfn.XLOOKUP($R24:$AK24,增益!$A:$A,增益!$N:$N,0))</f>
        <v>0</v>
      </c>
      <c r="BJ24">
        <f t="shared" si="7"/>
        <v>0</v>
      </c>
      <c r="BK24">
        <f t="shared" si="8"/>
        <v>0</v>
      </c>
      <c r="BL24" s="34" cm="1">
        <f t="array" ref="BL24">IF($F$14-$I$4+VLOOKUP($Q24,武学奇术!$A:$ZZ,15,FALSE)+SUM(_xlfn.XLOOKUP($R24:$AK24,增益!$A:$A,增益!$O:$O,0))&gt;0,($F$14-$I$4+VLOOKUP($Q24,武学奇术!$A:$ZZ,15,FALSE)+SUM(_xlfn.XLOOKUP($R24:$AK24,增益!$A:$A,增益!$O:$O,0)))/200,($F$14-$I$4+VLOOKUP($Q24,武学奇术!$A:$ZZ,15,FALSE)+SUM(_xlfn.XLOOKUP($R24:$AK24,增益!$A:$A,增益!$O:$O,0)))/100)</f>
        <v>-0.14</v>
      </c>
      <c r="BM24" s="34" cm="1">
        <f t="array" ref="BM24">$G$14+VLOOKUP($Q24,武学奇术!$A:$ZZ,16,FALSE)+SUM(_xlfn.XLOOKUP($R24:$AK24,增益!$A:$A,增益!$P:$P,0))</f>
        <v>0</v>
      </c>
      <c r="BN24" s="27">
        <f>MIN(IF(VLOOKUP($Q24,武学奇术!$A:$ZZ,23,FALSE)=1,100%,$B$8),100%)</f>
        <v>0.9859</v>
      </c>
      <c r="BO24" s="27" cm="1">
        <f t="array" ref="BO24">IF(VLOOKUP($Q24,武学奇术!$A:$ZZ,23,FALSE)=1,100%,MIN(80%,$B$9+VLOOKUP($Q24,武学奇术!$A:$ZZ,17,FALSE)+SUM(_xlfn.XLOOKUP($R24:$AK24,增益!$A:$A,增益!$Q:$Q,0)))+$B$11+SUM(_xlfn.XLOOKUP($R24:$AK24,增益!$A:$A,增益!$U:$U,0)))*IF(VLOOKUP($Q24,武学奇术!$A:$ZZ,24,FALSE)=1,0,1)</f>
        <v>0.8912</v>
      </c>
      <c r="BP24" s="27" cm="1">
        <f t="array" ref="BP24">1+$B$13+VLOOKUP($Q24,武学奇术!$A:$ZZ,18,FALSE)+SUM(_xlfn.XLOOKUP($R24:$AK24,增益!$A:$A,增益!$R:$R,0))</f>
        <v>1.95</v>
      </c>
      <c r="BQ24" s="27" cm="1">
        <f t="array" ref="BQ24">IF(VLOOKUP($Q24,武学奇术!$A:$ZZ,24,FALSE)=1,100%,MIN(40%,$B$10+VLOOKUP($Q24,武学奇术!$A:$ZZ,19,FALSE)+SUM(_xlfn.XLOOKUP($R24:$AK24,增益!$A:$A,增益!$S:$S,0)))+$B$12+SUM(_xlfn.XLOOKUP($R24:$AK24,增益!$A:$A,增益!$V:$V,0)))*IF(VLOOKUP($Q24,武学奇术!$A:$ZZ,23,FALSE)=1,0,1)</f>
        <v>0.0929</v>
      </c>
      <c r="BR24" s="27" cm="1">
        <f t="array" ref="BR24">1+$B$14+VLOOKUP($Q24,武学奇术!$A:$ZZ,20,FALSE)+SUM(_xlfn.XLOOKUP($R24:$AK24,增益!$A:$A,增益!$T:$T,0))</f>
        <v>1.35</v>
      </c>
      <c r="BS24" s="27">
        <f t="shared" si="9"/>
        <v>0.87863408</v>
      </c>
      <c r="BT24" s="27">
        <f t="shared" si="10"/>
        <v>0.01567581</v>
      </c>
      <c r="BU24" s="27">
        <f>IF(VLOOKUP($Q24,武学奇术!$A:$ZZ,22,FALSE)=1,0,(1-$BN24))*(1-$BQ24)</f>
        <v>0.01279011</v>
      </c>
      <c r="BV24" s="27" cm="1">
        <f t="array" ref="BV24">SUM(_xlfn.XLOOKUP($R24:$AK24,增益!$A:$A,增益!$W:$W,0))+$I$5</f>
        <v>0.11</v>
      </c>
    </row>
    <row r="25" spans="1:74">
      <c r="K25" s="40">
        <f t="shared" si="0"/>
        <v>48189.5707926326</v>
      </c>
      <c r="L25" s="40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BP25*$P25*(1+IF(VLOOKUP($Q25,武学奇术!$A:$ZZ,30,FALSE)="蓄力技",$B$21,0))*(1+$BV25)</f>
        <v>49986.4287302994</v>
      </c>
      <c r="M25" s="40">
        <f>(($AT25*$AM25+$AN25)*(1+$AU25)*(1+$AV25)+($AY25*IF($G$1="鸣金",$AO25,$AM25)+IF($G$1="鸣金",$AP25*1.5,0))*(1+$AZ25)*(1+$BA25)+($BC25*IF($G$1="裂石",$AO25,$AM25)+IF($G$1="裂石",$AP25*1.5,0))*(1+$BD25)*(1+$BE25)+($BG25*IF($G$1="牵丝",$AO25,$AM25)+IF($G$1="牵丝",$AP25*1.5,0))*(1+$BH25)*(1+$BI25)+($BK25*IF($G$1="破竹",$AO25,$AM25)+IF($G$1="破竹",$AP25*1.5,0))*(1+$BL25)*(1+$BM25))*(1+$AQ25)*$BR25*$P25*(1+IF(VLOOKUP($Q25,武学奇术!$A:$ZZ,30,FALSE)="蓄力技",$B$21,0))*(1+$BV25)</f>
        <v>38568.7062662202</v>
      </c>
      <c r="N25" s="40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P25*(1+IF(VLOOKUP($Q25,武学奇术!$A:$ZZ,30,FALSE)="蓄力技",$B$21,0))*(1+$BV25)</f>
        <v>25503.2799644385</v>
      </c>
      <c r="O25" s="40">
        <f>((($AS25*$AM25+$AN25)*(1+$AU25)*(1+$AV25)+($AX25*IF($G$1="鸣金",$AO25,$AM25)+IF($G$1="鸣金",$AP25*1.5,0))*(1+$AZ25)*(1+$BA25)+($BB25*IF($G$1="裂石",$AO25,$AM25)+IF($G$1="裂石",$AP25*1.5,0))*(1+$BD25)*(1+$BE25)+($BF25*IF($G$1="牵丝",$AO25,$AM25)+IF($G$1="牵丝",$AP25*1.5,0))*(1+$BH25)*(1+$BI25)+($BJ25*IF($G$1="破竹",$AO25,$AM25)+IF($G$1="破竹",$AP25*1.5,0))*(1+$BL25)*(1+$BM25))*(1+$AQ25))*$P25*(1+IF(VLOOKUP($Q25,武学奇术!$A:$ZZ,30,FALSE)="蓄力技",$B$21,0))*(1+$BV25)</f>
        <v>22437.147879825</v>
      </c>
      <c r="P25" s="41">
        <v>1</v>
      </c>
      <c r="Q25" s="42" t="s">
        <v>157</v>
      </c>
      <c r="R25" s="42" t="s">
        <v>103</v>
      </c>
      <c r="S25" s="42" t="s">
        <v>77</v>
      </c>
      <c r="T25" s="42" t="s">
        <v>77</v>
      </c>
      <c r="U25" s="42" t="s">
        <v>121</v>
      </c>
      <c r="V25" s="42" t="s">
        <v>77</v>
      </c>
      <c r="W25" s="42" t="s">
        <v>77</v>
      </c>
      <c r="X25" s="42" t="s">
        <v>158</v>
      </c>
      <c r="Y25" s="42" t="s">
        <v>77</v>
      </c>
      <c r="Z25" s="42" t="s">
        <v>77</v>
      </c>
      <c r="AA25" s="42" t="s">
        <v>73</v>
      </c>
      <c r="AB25" s="42" t="s">
        <v>77</v>
      </c>
      <c r="AC25" s="42" t="s">
        <v>77</v>
      </c>
      <c r="AD25" s="42" t="s">
        <v>77</v>
      </c>
      <c r="AE25" s="42" t="s">
        <v>81</v>
      </c>
      <c r="AF25" s="42" t="s">
        <v>82</v>
      </c>
      <c r="AG25" s="42" t="s">
        <v>77</v>
      </c>
      <c r="AH25" s="42" t="s">
        <v>77</v>
      </c>
      <c r="AI25" s="42" t="s">
        <v>77</v>
      </c>
      <c r="AJ25" s="42" t="s">
        <v>77</v>
      </c>
      <c r="AK25" s="42" t="s">
        <v>77</v>
      </c>
      <c r="AL25" t="str">
        <f>VLOOKUP($Q25,武学奇术!$A:$ZZ,25,FALSE)</f>
        <v>陌刀</v>
      </c>
      <c r="AM25" s="27">
        <f>VLOOKUP($Q25,武学奇术!$A:$ZZ,26,FALSE)</f>
        <v>1.8948</v>
      </c>
      <c r="AN25" s="28">
        <f>VLOOKUP($Q25,武学奇术!$A:$ZZ,27,FALSE)*(1+IF(OR($AL25=$F$4,$AL25=$F$5),$B$22,0))</f>
        <v>787.5</v>
      </c>
      <c r="AO25" s="27">
        <f>VLOOKUP($Q25,武学奇术!$A:$ZZ,28,FALSE)</f>
        <v>2.8422</v>
      </c>
      <c r="AP25" s="28">
        <f>VLOOKUP($Q25,武学奇术!$A:$ZZ,29,FALSE)*(1+IF(OR($AL25=$F$4,$AL25=$F$5),$B$22,0))</f>
        <v>429</v>
      </c>
      <c r="AQ25" s="27" cm="1">
        <f t="array" ref="AQ25">$G$3+IFERROR(VLOOKUP($AL25,$F$4:$G$7,2,FALSE),0)+VLOOKUP($Q25,武学奇术!$A:$ZZ,2,FALSE)+SUM(_xlfn.XLOOKUP($R25:$AK25,增益!$A:$A,增益!$B:$B,0))</f>
        <v>0.5341</v>
      </c>
      <c r="AR25" s="27" cm="1">
        <f t="array" ref="AR25">VLOOKUP($Q25,武学奇术!$A:$ZZ,5,FALSE)+SUM(_xlfn.XLOOKUP($R25:$AK25,增益!$A:$A,增益!$E:$E,0))</f>
        <v>0</v>
      </c>
      <c r="AS25" cm="1">
        <f t="array" ref="AS25">$D$10*(1+$AR25)+VLOOKUP($Q25,武学奇术!$A:$ZZ,3,FALSE)+SUM(_xlfn.XLOOKUP($R25:$AK25,增益!$A:$A,增益!$C:$C,0))-$I$2</f>
        <v>3586.7</v>
      </c>
      <c r="AT25" cm="1">
        <f t="array" ref="AT25">$E$10*(1+$AR25)+VLOOKUP($Q25,武学奇术!$A:$ZZ,4,FALSE)+SUM(_xlfn.XLOOKUP($R25:$AK25,增益!$A:$A,增益!$D:$D,0))-$I$2</f>
        <v>3586.7</v>
      </c>
      <c r="AU25" s="34" cm="1">
        <f t="array" ref="AU25">IF($F$10-$I$3+VLOOKUP($Q25,武学奇术!$A:$ZZ,6,FALSE)+SUM(_xlfn.XLOOKUP($R25:$AK25,增益!$A:$A,增益!$F:$F,0))&gt;0,($F$10-$I$3+VLOOKUP($Q25,武学奇术!$A:$ZZ,6,FALSE)+SUM(_xlfn.XLOOKUP($R25:$AK25,增益!$A:$A,增益!$F:$F,0)))/200,($F$10-$I$3+VLOOKUP($Q25,武学奇术!$A:$ZZ,6,FALSE)+SUM(_xlfn.XLOOKUP($R25:$AK25,增益!$A:$A,增益!$F:$F,0)))/100)</f>
        <v>0.352</v>
      </c>
      <c r="AV25" s="34" cm="1">
        <f t="array" ref="AV25">$G$10+VLOOKUP($Q25,武学奇术!$A:$ZZ,7,FALSE)+SUM(_xlfn.XLOOKUP($R25:$AK25,增益!$A:$A,增益!$G:$G,0))</f>
        <v>0</v>
      </c>
      <c r="AW25" s="27" cm="1">
        <f t="array" ref="AW25">VLOOKUP($Q25,武学奇术!$A:$ZZ,8,FALSE)+SUM(_xlfn.XLOOKUP($R25:$AK25,增益!$A:$A,增益!$H:$H,0))</f>
        <v>0</v>
      </c>
      <c r="AX25">
        <f t="shared" si="1"/>
        <v>0</v>
      </c>
      <c r="AY25">
        <f t="shared" si="2"/>
        <v>0</v>
      </c>
      <c r="AZ25" s="34" cm="1">
        <f t="array" ref="AZ25">IF($F$11-$I$4+VLOOKUP($Q25,武学奇术!$A:$ZZ,9,FALSE)+SUM(_xlfn.XLOOKUP($R25:$AK25,增益!$A:$A,增益!$I:$I,0))&gt;0,($F$11-$I$4+VLOOKUP($Q25,武学奇术!$A:$ZZ,9,FALSE)+SUM(_xlfn.XLOOKUP($R25:$AK25,增益!$A:$A,增益!$I:$I,0)))/200,($F$11-$I$4+VLOOKUP($Q25,武学奇术!$A:$ZZ,9,FALSE)+SUM(_xlfn.XLOOKUP($R25:$AK25,增益!$A:$A,增益!$I:$I,0)))/100)</f>
        <v>-0.3</v>
      </c>
      <c r="BA25" s="34" cm="1">
        <f t="array" ref="BA25">$G$11+VLOOKUP($Q25,武学奇术!$A:$ZZ,10,FALSE)+SUM(_xlfn.XLOOKUP($R25:$AK25,增益!$A:$A,增益!$J:$J,0))</f>
        <v>0</v>
      </c>
      <c r="BB25">
        <f t="shared" si="3"/>
        <v>594.1</v>
      </c>
      <c r="BC25">
        <f t="shared" si="4"/>
        <v>1604.9</v>
      </c>
      <c r="BD25" s="34" cm="1">
        <f t="array" ref="BD25">IF($F$12-$I$4+VLOOKUP($Q25,武学奇术!$A:$ZZ,11,FALSE)+SUM(_xlfn.XLOOKUP($R25:$AK25,增益!$A:$A,增益!$K:$K,0))&gt;0,($F$12-$I$4+VLOOKUP($Q25,武学奇术!$A:$ZZ,11,FALSE)+SUM(_xlfn.XLOOKUP($R25:$AK25,增益!$A:$A,增益!$K:$K,0)))/200,($F$12-$I$4+VLOOKUP($Q25,武学奇术!$A:$ZZ,11,FALSE)+SUM(_xlfn.XLOOKUP($R25:$AK25,增益!$A:$A,增益!$K:$K,0)))/100)</f>
        <v>0.09</v>
      </c>
      <c r="BE25" s="34" cm="1">
        <f t="array" ref="BE25">$G$12+VLOOKUP($Q25,武学奇术!$A:$ZZ,12,FALSE)+SUM(_xlfn.XLOOKUP($R25:$AK25,增益!$A:$A,增益!$L:$L,0))</f>
        <v>0.15</v>
      </c>
      <c r="BF25">
        <f t="shared" si="5"/>
        <v>0</v>
      </c>
      <c r="BG25">
        <f t="shared" si="6"/>
        <v>0</v>
      </c>
      <c r="BH25" s="34" cm="1">
        <f t="array" ref="BH25">IF($F$13-$I$4+VLOOKUP($Q25,武学奇术!$A:$ZZ,13,FALSE)+SUM(_xlfn.XLOOKUP($R25:$AK25,增益!$A:$A,增益!$M:$M,0))&gt;0,($F$13-$I$4+VLOOKUP($Q25,武学奇术!$A:$ZZ,13,FALSE)+SUM(_xlfn.XLOOKUP($R25:$AK25,增益!$A:$A,增益!$K:$K,0)))/200,($F$13-$I$4+VLOOKUP($Q25,武学奇术!$A:$ZZ,13,FALSE)+SUM(_xlfn.XLOOKUP($R25:$AK25,增益!$A:$A,增益!$M:$M,0)))/100)</f>
        <v>-0.3</v>
      </c>
      <c r="BI25" s="34" cm="1">
        <f t="array" ref="BI25">$G$13+VLOOKUP($Q25,武学奇术!$A:$ZZ,14,FALSE)+SUM(_xlfn.XLOOKUP($R25:$AK25,增益!$A:$A,增益!$N:$N,0))</f>
        <v>0</v>
      </c>
      <c r="BJ25">
        <f t="shared" si="7"/>
        <v>0</v>
      </c>
      <c r="BK25">
        <f t="shared" si="8"/>
        <v>0</v>
      </c>
      <c r="BL25" s="34" cm="1">
        <f t="array" ref="BL25">IF($F$14-$I$4+VLOOKUP($Q25,武学奇术!$A:$ZZ,15,FALSE)+SUM(_xlfn.XLOOKUP($R25:$AK25,增益!$A:$A,增益!$O:$O,0))&gt;0,($F$14-$I$4+VLOOKUP($Q25,武学奇术!$A:$ZZ,15,FALSE)+SUM(_xlfn.XLOOKUP($R25:$AK25,增益!$A:$A,增益!$O:$O,0)))/200,($F$14-$I$4+VLOOKUP($Q25,武学奇术!$A:$ZZ,15,FALSE)+SUM(_xlfn.XLOOKUP($R25:$AK25,增益!$A:$A,增益!$O:$O,0)))/100)</f>
        <v>-0.3</v>
      </c>
      <c r="BM25" s="34" cm="1">
        <f t="array" ref="BM25">$G$14+VLOOKUP($Q25,武学奇术!$A:$ZZ,16,FALSE)+SUM(_xlfn.XLOOKUP($R25:$AK25,增益!$A:$A,增益!$P:$P,0))</f>
        <v>0</v>
      </c>
      <c r="BN25" s="27">
        <f>MIN(IF(VLOOKUP($Q25,武学奇术!$A:$ZZ,23,FALSE)=1,100%,$B$8),100%)</f>
        <v>0.9859</v>
      </c>
      <c r="BO25" s="27" cm="1">
        <f t="array" ref="BO25">IF(VLOOKUP($Q25,武学奇术!$A:$ZZ,23,FALSE)=1,100%,MIN(80%,$B$9+VLOOKUP($Q25,武学奇术!$A:$ZZ,17,FALSE)+SUM(_xlfn.XLOOKUP($R25:$AK25,增益!$A:$A,增益!$Q:$Q,0)))+$B$11+SUM(_xlfn.XLOOKUP($R25:$AK25,增益!$A:$A,增益!$U:$U,0)))*IF(VLOOKUP($Q25,武学奇术!$A:$ZZ,24,FALSE)=1,0,1)</f>
        <v>0.8912</v>
      </c>
      <c r="BP25" s="27" cm="1">
        <f t="array" ref="BP25">1+$B$13+VLOOKUP($Q25,武学奇术!$A:$ZZ,18,FALSE)+SUM(_xlfn.XLOOKUP($R25:$AK25,增益!$A:$A,增益!$R:$R,0))</f>
        <v>1.96</v>
      </c>
      <c r="BQ25" s="27" cm="1">
        <f t="array" ref="BQ25">IF(VLOOKUP($Q25,武学奇术!$A:$ZZ,24,FALSE)=1,100%,MIN(40%,$B$10+VLOOKUP($Q25,武学奇术!$A:$ZZ,19,FALSE)+SUM(_xlfn.XLOOKUP($R25:$AK25,增益!$A:$A,增益!$S:$S,0)))+$B$12+SUM(_xlfn.XLOOKUP($R25:$AK25,增益!$A:$A,增益!$V:$V,0)))*IF(VLOOKUP($Q25,武学奇术!$A:$ZZ,23,FALSE)=1,0,1)</f>
        <v>0.0929</v>
      </c>
      <c r="BR25" s="27" cm="1">
        <f t="array" ref="BR25">1+$B$14+VLOOKUP($Q25,武学奇术!$A:$ZZ,20,FALSE)+SUM(_xlfn.XLOOKUP($R25:$AK25,增益!$A:$A,增益!$T:$T,0))</f>
        <v>1.35</v>
      </c>
      <c r="BS25" s="27">
        <f t="shared" si="9"/>
        <v>0.87863408</v>
      </c>
      <c r="BT25" s="27">
        <f t="shared" si="10"/>
        <v>0.01567581</v>
      </c>
      <c r="BU25" s="27">
        <f>IF(VLOOKUP($Q25,武学奇术!$A:$ZZ,22,FALSE)=1,0,(1-$BN25))*(1-$BQ25)</f>
        <v>0.01279011</v>
      </c>
      <c r="BV25" s="27" cm="1">
        <f t="array" ref="BV25">SUM(_xlfn.XLOOKUP($R25:$AK25,增益!$A:$A,增益!$W:$W,0))+$I$5</f>
        <v>0.11</v>
      </c>
    </row>
    <row r="26" spans="1:74">
      <c r="K26" s="40">
        <f t="shared" si="0"/>
        <v>22277.5561189174</v>
      </c>
      <c r="L26" s="40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BP26*$P26*(1+IF(VLOOKUP($Q26,武学奇术!$A:$ZZ,30,FALSE)="蓄力技",$B$21,0))*(1+$BV26)</f>
        <v>23084.6049353386</v>
      </c>
      <c r="M26" s="40">
        <f>(($AT26*$AM26+$AN26)*(1+$AU26)*(1+$AV26)+($AY26*IF($G$1="鸣金",$AO26,$AM26)+IF($G$1="鸣金",$AP26*1.5,0))*(1+$AZ26)*(1+$BA26)+($BC26*IF($G$1="裂石",$AO26,$AM26)+IF($G$1="裂石",$AP26*1.5,0))*(1+$BD26)*(1+$BE26)+($BG26*IF($G$1="牵丝",$AO26,$AM26)+IF($G$1="牵丝",$AP26*1.5,0))*(1+$BH26)*(1+$BI26)+($BK26*IF($G$1="破竹",$AO26,$AM26)+IF($G$1="破竹",$AP26*1.5,0))*(1+$BL26)*(1+$BM26))*(1+$AQ26)*$BR26*$P26*(1+IF(VLOOKUP($Q26,武学奇术!$A:$ZZ,30,FALSE)="蓄力技",$B$21,0))*(1+$BV26)</f>
        <v>18084.6568342749</v>
      </c>
      <c r="N26" s="40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P26*(1+IF(VLOOKUP($Q26,武学奇术!$A:$ZZ,30,FALSE)="蓄力技",$B$21,0))*(1+$BV26)</f>
        <v>11777.859660887</v>
      </c>
      <c r="O26" s="40">
        <f>((($AS26*$AM26+$AN26)*(1+$AU26)*(1+$AV26)+($AX26*IF($G$1="鸣金",$AO26,$AM26)+IF($G$1="鸣金",$AP26*1.5,0))*(1+$AZ26)*(1+$BA26)+($BB26*IF($G$1="裂石",$AO26,$AM26)+IF($G$1="裂石",$AP26*1.5,0))*(1+$BD26)*(1+$BE26)+($BF26*IF($G$1="牵丝",$AO26,$AM26)+IF($G$1="牵丝",$AP26*1.5,0))*(1+$BH26)*(1+$BI26)+($BJ26*IF($G$1="破竹",$AO26,$AM26)+IF($G$1="破竹",$AP26*1.5,0))*(1+$BL26)*(1+$BM26))*(1+$AQ26))*$P26*(1+IF(VLOOKUP($Q26,武学奇术!$A:$ZZ,30,FALSE)="蓄力技",$B$21,0))*(1+$BV26)</f>
        <v>10159.6772223112</v>
      </c>
      <c r="P26" s="41">
        <v>1</v>
      </c>
      <c r="Q26" s="42" t="s">
        <v>159</v>
      </c>
      <c r="R26" s="42" t="s">
        <v>103</v>
      </c>
      <c r="S26" s="42" t="s">
        <v>77</v>
      </c>
      <c r="T26" s="42" t="s">
        <v>77</v>
      </c>
      <c r="U26" s="42" t="s">
        <v>121</v>
      </c>
      <c r="V26" s="42" t="s">
        <v>77</v>
      </c>
      <c r="W26" s="42" t="s">
        <v>77</v>
      </c>
      <c r="X26" s="42" t="s">
        <v>158</v>
      </c>
      <c r="Y26" s="42" t="s">
        <v>77</v>
      </c>
      <c r="Z26" s="42" t="s">
        <v>77</v>
      </c>
      <c r="AA26" s="42" t="s">
        <v>73</v>
      </c>
      <c r="AB26" s="42" t="s">
        <v>77</v>
      </c>
      <c r="AC26" s="42" t="s">
        <v>77</v>
      </c>
      <c r="AD26" s="42" t="s">
        <v>77</v>
      </c>
      <c r="AE26" s="42" t="s">
        <v>81</v>
      </c>
      <c r="AF26" s="42" t="s">
        <v>82</v>
      </c>
      <c r="AG26" s="42" t="s">
        <v>77</v>
      </c>
      <c r="AH26" s="42" t="s">
        <v>77</v>
      </c>
      <c r="AI26" s="42" t="s">
        <v>77</v>
      </c>
      <c r="AJ26" s="42" t="s">
        <v>77</v>
      </c>
      <c r="AK26" s="42" t="s">
        <v>77</v>
      </c>
      <c r="AL26" t="str">
        <f>VLOOKUP($Q26,武学奇术!$A:$ZZ,25,FALSE)</f>
        <v>陌刀</v>
      </c>
      <c r="AM26" s="27">
        <f>VLOOKUP($Q26,武学奇术!$A:$ZZ,26,FALSE)</f>
        <v>1</v>
      </c>
      <c r="AN26" s="28">
        <f>VLOOKUP($Q26,武学奇术!$A:$ZZ,27,FALSE)*(1+IF(OR($AL26=$F$4,$AL26=$F$5),$B$22,0))</f>
        <v>0</v>
      </c>
      <c r="AO26" s="27">
        <f>VLOOKUP($Q26,武学奇术!$A:$ZZ,28,FALSE)</f>
        <v>1.5</v>
      </c>
      <c r="AP26" s="28">
        <f>VLOOKUP($Q26,武学奇术!$A:$ZZ,29,FALSE)*(1+IF(OR($AL26=$F$4,$AL26=$F$5),$B$22,0))</f>
        <v>0</v>
      </c>
      <c r="AQ26" s="27" cm="1">
        <f t="array" ref="AQ26">$G$3+IFERROR(VLOOKUP($AL26,$F$4:$G$7,2,FALSE),0)+VLOOKUP($Q26,武学奇术!$A:$ZZ,2,FALSE)+SUM(_xlfn.XLOOKUP($R26:$AK26,增益!$A:$A,增益!$B:$B,0))</f>
        <v>0.5341</v>
      </c>
      <c r="AR26" s="27" cm="1">
        <f t="array" ref="AR26">VLOOKUP($Q26,武学奇术!$A:$ZZ,5,FALSE)+SUM(_xlfn.XLOOKUP($R26:$AK26,增益!$A:$A,增益!$E:$E,0))</f>
        <v>0</v>
      </c>
      <c r="AS26" cm="1">
        <f t="array" ref="AS26">$D$10*(1+$AR26)+VLOOKUP($Q26,武学奇术!$A:$ZZ,3,FALSE)+SUM(_xlfn.XLOOKUP($R26:$AK26,增益!$A:$A,增益!$C:$C,0))-$I$2</f>
        <v>3586.7</v>
      </c>
      <c r="AT26" cm="1">
        <f t="array" ref="AT26">$E$10*(1+$AR26)+VLOOKUP($Q26,武学奇术!$A:$ZZ,4,FALSE)+SUM(_xlfn.XLOOKUP($R26:$AK26,增益!$A:$A,增益!$D:$D,0))-$I$2</f>
        <v>3586.7</v>
      </c>
      <c r="AU26" s="34" cm="1">
        <f t="array" ref="AU26">IF($F$10-$I$3+VLOOKUP($Q26,武学奇术!$A:$ZZ,6,FALSE)+SUM(_xlfn.XLOOKUP($R26:$AK26,增益!$A:$A,增益!$F:$F,0))&gt;0,($F$10-$I$3+VLOOKUP($Q26,武学奇术!$A:$ZZ,6,FALSE)+SUM(_xlfn.XLOOKUP($R26:$AK26,增益!$A:$A,增益!$F:$F,0)))/200,($F$10-$I$3+VLOOKUP($Q26,武学奇术!$A:$ZZ,6,FALSE)+SUM(_xlfn.XLOOKUP($R26:$AK26,增益!$A:$A,增益!$F:$F,0)))/100)</f>
        <v>0.352</v>
      </c>
      <c r="AV26" s="34" cm="1">
        <f t="array" ref="AV26">$G$10+VLOOKUP($Q26,武学奇术!$A:$ZZ,7,FALSE)+SUM(_xlfn.XLOOKUP($R26:$AK26,增益!$A:$A,增益!$G:$G,0))</f>
        <v>0</v>
      </c>
      <c r="AW26" s="27" cm="1">
        <f t="array" ref="AW26">VLOOKUP($Q26,武学奇术!$A:$ZZ,8,FALSE)+SUM(_xlfn.XLOOKUP($R26:$AK26,增益!$A:$A,增益!$H:$H,0))</f>
        <v>0</v>
      </c>
      <c r="AX26">
        <f t="shared" si="1"/>
        <v>0</v>
      </c>
      <c r="AY26">
        <f t="shared" si="2"/>
        <v>0</v>
      </c>
      <c r="AZ26" s="34" cm="1">
        <f t="array" ref="AZ26">IF($F$11-$I$4+VLOOKUP($Q26,武学奇术!$A:$ZZ,9,FALSE)+SUM(_xlfn.XLOOKUP($R26:$AK26,增益!$A:$A,增益!$I:$I,0))&gt;0,($F$11-$I$4+VLOOKUP($Q26,武学奇术!$A:$ZZ,9,FALSE)+SUM(_xlfn.XLOOKUP($R26:$AK26,增益!$A:$A,增益!$I:$I,0)))/200,($F$11-$I$4+VLOOKUP($Q26,武学奇术!$A:$ZZ,9,FALSE)+SUM(_xlfn.XLOOKUP($R26:$AK26,增益!$A:$A,增益!$I:$I,0)))/100)</f>
        <v>-0.3</v>
      </c>
      <c r="BA26" s="34" cm="1">
        <f t="array" ref="BA26">$G$11+VLOOKUP($Q26,武学奇术!$A:$ZZ,10,FALSE)+SUM(_xlfn.XLOOKUP($R26:$AK26,增益!$A:$A,增益!$J:$J,0))</f>
        <v>0</v>
      </c>
      <c r="BB26">
        <f t="shared" si="3"/>
        <v>594.1</v>
      </c>
      <c r="BC26">
        <f t="shared" si="4"/>
        <v>1604.9</v>
      </c>
      <c r="BD26" s="34" cm="1">
        <f t="array" ref="BD26">IF($F$12-$I$4+VLOOKUP($Q26,武学奇术!$A:$ZZ,11,FALSE)+SUM(_xlfn.XLOOKUP($R26:$AK26,增益!$A:$A,增益!$K:$K,0))&gt;0,($F$12-$I$4+VLOOKUP($Q26,武学奇术!$A:$ZZ,11,FALSE)+SUM(_xlfn.XLOOKUP($R26:$AK26,增益!$A:$A,增益!$K:$K,0)))/200,($F$12-$I$4+VLOOKUP($Q26,武学奇术!$A:$ZZ,11,FALSE)+SUM(_xlfn.XLOOKUP($R26:$AK26,增益!$A:$A,增益!$K:$K,0)))/100)</f>
        <v>0.09</v>
      </c>
      <c r="BE26" s="34" cm="1">
        <f t="array" ref="BE26">$G$12+VLOOKUP($Q26,武学奇术!$A:$ZZ,12,FALSE)+SUM(_xlfn.XLOOKUP($R26:$AK26,增益!$A:$A,增益!$L:$L,0))</f>
        <v>0.15</v>
      </c>
      <c r="BF26">
        <f t="shared" si="5"/>
        <v>0</v>
      </c>
      <c r="BG26">
        <f t="shared" si="6"/>
        <v>0</v>
      </c>
      <c r="BH26" s="34" cm="1">
        <f t="array" ref="BH26">IF($F$13-$I$4+VLOOKUP($Q26,武学奇术!$A:$ZZ,13,FALSE)+SUM(_xlfn.XLOOKUP($R26:$AK26,增益!$A:$A,增益!$M:$M,0))&gt;0,($F$13-$I$4+VLOOKUP($Q26,武学奇术!$A:$ZZ,13,FALSE)+SUM(_xlfn.XLOOKUP($R26:$AK26,增益!$A:$A,增益!$K:$K,0)))/200,($F$13-$I$4+VLOOKUP($Q26,武学奇术!$A:$ZZ,13,FALSE)+SUM(_xlfn.XLOOKUP($R26:$AK26,增益!$A:$A,增益!$M:$M,0)))/100)</f>
        <v>-0.3</v>
      </c>
      <c r="BI26" s="34" cm="1">
        <f t="array" ref="BI26">$G$13+VLOOKUP($Q26,武学奇术!$A:$ZZ,14,FALSE)+SUM(_xlfn.XLOOKUP($R26:$AK26,增益!$A:$A,增益!$N:$N,0))</f>
        <v>0</v>
      </c>
      <c r="BJ26">
        <f t="shared" si="7"/>
        <v>0</v>
      </c>
      <c r="BK26">
        <f t="shared" si="8"/>
        <v>0</v>
      </c>
      <c r="BL26" s="34" cm="1">
        <f t="array" ref="BL26">IF($F$14-$I$4+VLOOKUP($Q26,武学奇术!$A:$ZZ,15,FALSE)+SUM(_xlfn.XLOOKUP($R26:$AK26,增益!$A:$A,增益!$O:$O,0))&gt;0,($F$14-$I$4+VLOOKUP($Q26,武学奇术!$A:$ZZ,15,FALSE)+SUM(_xlfn.XLOOKUP($R26:$AK26,增益!$A:$A,增益!$O:$O,0)))/200,($F$14-$I$4+VLOOKUP($Q26,武学奇术!$A:$ZZ,15,FALSE)+SUM(_xlfn.XLOOKUP($R26:$AK26,增益!$A:$A,增益!$O:$O,0)))/100)</f>
        <v>-0.3</v>
      </c>
      <c r="BM26" s="34" cm="1">
        <f t="array" ref="BM26">$G$14+VLOOKUP($Q26,武学奇术!$A:$ZZ,16,FALSE)+SUM(_xlfn.XLOOKUP($R26:$AK26,增益!$A:$A,增益!$P:$P,0))</f>
        <v>0</v>
      </c>
      <c r="BN26" s="27">
        <f>MIN(IF(VLOOKUP($Q26,武学奇术!$A:$ZZ,23,FALSE)=1,100%,$B$8),100%)</f>
        <v>0.9859</v>
      </c>
      <c r="BO26" s="27" cm="1">
        <f t="array" ref="BO26">IF(VLOOKUP($Q26,武学奇术!$A:$ZZ,23,FALSE)=1,100%,MIN(80%,$B$9+VLOOKUP($Q26,武学奇术!$A:$ZZ,17,FALSE)+SUM(_xlfn.XLOOKUP($R26:$AK26,增益!$A:$A,增益!$Q:$Q,0)))+$B$11+SUM(_xlfn.XLOOKUP($R26:$AK26,增益!$A:$A,增益!$U:$U,0)))*IF(VLOOKUP($Q26,武学奇术!$A:$ZZ,24,FALSE)=1,0,1)</f>
        <v>0.8912</v>
      </c>
      <c r="BP26" s="27" cm="1">
        <f t="array" ref="BP26">1+$B$13+VLOOKUP($Q26,武学奇术!$A:$ZZ,18,FALSE)+SUM(_xlfn.XLOOKUP($R26:$AK26,增益!$A:$A,增益!$R:$R,0))</f>
        <v>1.96</v>
      </c>
      <c r="BQ26" s="27" cm="1">
        <f t="array" ref="BQ26">IF(VLOOKUP($Q26,武学奇术!$A:$ZZ,24,FALSE)=1,100%,MIN(40%,$B$10+VLOOKUP($Q26,武学奇术!$A:$ZZ,19,FALSE)+SUM(_xlfn.XLOOKUP($R26:$AK26,增益!$A:$A,增益!$S:$S,0)))+$B$12+SUM(_xlfn.XLOOKUP($R26:$AK26,增益!$A:$A,增益!$V:$V,0)))*IF(VLOOKUP($Q26,武学奇术!$A:$ZZ,23,FALSE)=1,0,1)</f>
        <v>0.0929</v>
      </c>
      <c r="BR26" s="27" cm="1">
        <f t="array" ref="BR26">1+$B$14+VLOOKUP($Q26,武学奇术!$A:$ZZ,20,FALSE)+SUM(_xlfn.XLOOKUP($R26:$AK26,增益!$A:$A,增益!$T:$T,0))</f>
        <v>1.35</v>
      </c>
      <c r="BS26" s="27">
        <f t="shared" si="9"/>
        <v>0.87863408</v>
      </c>
      <c r="BT26" s="27">
        <f t="shared" si="10"/>
        <v>0.01567581</v>
      </c>
      <c r="BU26" s="27">
        <f>IF(VLOOKUP($Q26,武学奇术!$A:$ZZ,22,FALSE)=1,0,(1-$BN26))*(1-$BQ26)</f>
        <v>0.01279011</v>
      </c>
      <c r="BV26" s="27" cm="1">
        <f t="array" ref="BV26">SUM(_xlfn.XLOOKUP($R26:$AK26,增益!$A:$A,增益!$W:$W,0))+$I$5</f>
        <v>0.11</v>
      </c>
    </row>
    <row r="27" spans="1:74">
      <c r="K27" s="40">
        <f t="shared" si="0"/>
        <v>27004.002150401</v>
      </c>
      <c r="L27" s="40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BP27*$P27*(1+IF(VLOOKUP($Q27,武学奇术!$A:$ZZ,30,FALSE)="蓄力技",$B$21,0))*(1+$BV27)</f>
        <v>27943.4514736311</v>
      </c>
      <c r="M27" s="40">
        <f>(($AT27*$AM27+$AN27)*(1+$AU27)*(1+$AV27)+($AY27*IF($G$1="鸣金",$AO27,$AM27)+IF($G$1="鸣金",$AP27*1.5,0))*(1+$AZ27)*(1+$BA27)+($BC27*IF($G$1="裂石",$AO27,$AM27)+IF($G$1="裂石",$AP27*1.5,0))*(1+$BD27)*(1+$BE27)+($BG27*IF($G$1="牵丝",$AO27,$AM27)+IF($G$1="牵丝",$AP27*1.5,0))*(1+$BH27)*(1+$BI27)+($BK27*IF($G$1="破竹",$AO27,$AM27)+IF($G$1="破竹",$AP27*1.5,0))*(1+$BL27)*(1+$BM27))*(1+$AQ27)*$BR27*$P27*(1+IF(VLOOKUP($Q27,武学奇术!$A:$ZZ,30,FALSE)="蓄力技",$B$21,0))*(1+$BV27)</f>
        <v>22155.6568521233</v>
      </c>
      <c r="N27" s="40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P27*(1+IF(VLOOKUP($Q27,武学奇术!$A:$ZZ,30,FALSE)="蓄力技",$B$21,0))*(1+$BV27)</f>
        <v>14630.079305566</v>
      </c>
      <c r="O27" s="40">
        <f>((($AS27*$AM27+$AN27)*(1+$AU27)*(1+$AV27)+($AX27*IF($G$1="鸣金",$AO27,$AM27)+IF($G$1="鸣金",$AP27*1.5,0))*(1+$AZ27)*(1+$BA27)+($BB27*IF($G$1="裂石",$AO27,$AM27)+IF($G$1="裂石",$AP27*1.5,0))*(1+$BD27)*(1+$BE27)+($BF27*IF($G$1="牵丝",$AO27,$AM27)+IF($G$1="牵丝",$AP27*1.5,0))*(1+$BH27)*(1+$BI27)+($BJ27*IF($G$1="破竹",$AO27,$AM27)+IF($G$1="破竹",$AP27*1.5,0))*(1+$BL27)*(1+$BM27))*(1+$AQ27))*$P27*(1+IF(VLOOKUP($Q27,武学奇术!$A:$ZZ,30,FALSE)="蓄力技",$B$21,0))*(1+$BV27)</f>
        <v>12848.5609428925</v>
      </c>
      <c r="P27" s="41">
        <v>1</v>
      </c>
      <c r="Q27" s="42" t="s">
        <v>162</v>
      </c>
      <c r="R27" s="42" t="s">
        <v>103</v>
      </c>
      <c r="S27" s="42" t="s">
        <v>77</v>
      </c>
      <c r="T27" s="42" t="s">
        <v>77</v>
      </c>
      <c r="U27" s="42" t="s">
        <v>87</v>
      </c>
      <c r="V27" s="42" t="s">
        <v>77</v>
      </c>
      <c r="W27" s="42" t="s">
        <v>77</v>
      </c>
      <c r="X27" s="42" t="s">
        <v>158</v>
      </c>
      <c r="Y27" s="42" t="s">
        <v>77</v>
      </c>
      <c r="Z27" s="42" t="s">
        <v>77</v>
      </c>
      <c r="AA27" s="42" t="s">
        <v>77</v>
      </c>
      <c r="AB27" s="42" t="s">
        <v>77</v>
      </c>
      <c r="AC27" s="42" t="s">
        <v>77</v>
      </c>
      <c r="AD27" s="42" t="s">
        <v>77</v>
      </c>
      <c r="AE27" s="42" t="s">
        <v>81</v>
      </c>
      <c r="AF27" s="42" t="s">
        <v>82</v>
      </c>
      <c r="AG27" s="42" t="s">
        <v>77</v>
      </c>
      <c r="AH27" s="42" t="s">
        <v>77</v>
      </c>
      <c r="AI27" s="42" t="s">
        <v>77</v>
      </c>
      <c r="AJ27" s="42" t="s">
        <v>77</v>
      </c>
      <c r="AK27" s="42" t="s">
        <v>77</v>
      </c>
      <c r="AL27" t="str">
        <f>VLOOKUP($Q27,武学奇术!$A:$ZZ,25,FALSE)</f>
        <v>横刀</v>
      </c>
      <c r="AM27" s="27">
        <f>VLOOKUP($Q27,武学奇术!$A:$ZZ,26,FALSE)</f>
        <v>1.2338</v>
      </c>
      <c r="AN27" s="28">
        <f>VLOOKUP($Q27,武学奇术!$A:$ZZ,27,FALSE)*(1+IF(OR($AL27=$F$4,$AL27=$F$5),$B$22,0))</f>
        <v>513</v>
      </c>
      <c r="AO27" s="27">
        <f>VLOOKUP($Q27,武学奇术!$A:$ZZ,28,FALSE)</f>
        <v>1.8507</v>
      </c>
      <c r="AP27" s="28">
        <f>VLOOKUP($Q27,武学奇术!$A:$ZZ,29,FALSE)*(1+IF(OR($AL27=$F$4,$AL27=$F$5),$B$22,0))</f>
        <v>279</v>
      </c>
      <c r="AQ27" s="27" cm="1">
        <f t="array" ref="AQ27">$G$3+IFERROR(VLOOKUP($AL27,$F$4:$G$7,2,FALSE),0)+VLOOKUP($Q27,武学奇术!$A:$ZZ,2,FALSE)+SUM(_xlfn.XLOOKUP($R27:$AK27,增益!$A:$A,增益!$B:$B,0))</f>
        <v>0.3689</v>
      </c>
      <c r="AR27" s="27" cm="1">
        <f t="array" ref="AR27">VLOOKUP($Q27,武学奇术!$A:$ZZ,5,FALSE)+SUM(_xlfn.XLOOKUP($R27:$AK27,增益!$A:$A,增益!$E:$E,0))</f>
        <v>0</v>
      </c>
      <c r="AS27" cm="1">
        <f t="array" ref="AS27">$D$10*(1+$AR27)+VLOOKUP($Q27,武学奇术!$A:$ZZ,3,FALSE)+SUM(_xlfn.XLOOKUP($R27:$AK27,增益!$A:$A,增益!$C:$C,0))-$I$2</f>
        <v>3586.7</v>
      </c>
      <c r="AT27" cm="1">
        <f t="array" ref="AT27">$E$10*(1+$AR27)+VLOOKUP($Q27,武学奇术!$A:$ZZ,4,FALSE)+SUM(_xlfn.XLOOKUP($R27:$AK27,增益!$A:$A,增益!$D:$D,0))-$I$2</f>
        <v>3586.7</v>
      </c>
      <c r="AU27" s="34" cm="1">
        <f t="array" ref="AU27">IF($F$10-$I$3+VLOOKUP($Q27,武学奇术!$A:$ZZ,6,FALSE)+SUM(_xlfn.XLOOKUP($R27:$AK27,增益!$A:$A,增益!$F:$F,0))&gt;0,($F$10-$I$3+VLOOKUP($Q27,武学奇术!$A:$ZZ,6,FALSE)+SUM(_xlfn.XLOOKUP($R27:$AK27,增益!$A:$A,增益!$F:$F,0)))/200,($F$10-$I$3+VLOOKUP($Q27,武学奇术!$A:$ZZ,6,FALSE)+SUM(_xlfn.XLOOKUP($R27:$AK27,增益!$A:$A,增益!$F:$F,0)))/100)</f>
        <v>0.327</v>
      </c>
      <c r="AV27" s="34" cm="1">
        <f t="array" ref="AV27">$G$10+VLOOKUP($Q27,武学奇术!$A:$ZZ,7,FALSE)+SUM(_xlfn.XLOOKUP($R27:$AK27,增益!$A:$A,增益!$G:$G,0))</f>
        <v>0</v>
      </c>
      <c r="AW27" s="27" cm="1">
        <f t="array" ref="AW27">VLOOKUP($Q27,武学奇术!$A:$ZZ,8,FALSE)+SUM(_xlfn.XLOOKUP($R27:$AK27,增益!$A:$A,增益!$H:$H,0))</f>
        <v>0</v>
      </c>
      <c r="AX27">
        <f t="shared" si="1"/>
        <v>0</v>
      </c>
      <c r="AY27">
        <f t="shared" si="2"/>
        <v>0</v>
      </c>
      <c r="AZ27" s="34" cm="1">
        <f t="array" ref="AZ27">IF($F$11-$I$4+VLOOKUP($Q27,武学奇术!$A:$ZZ,9,FALSE)+SUM(_xlfn.XLOOKUP($R27:$AK27,增益!$A:$A,增益!$I:$I,0))&gt;0,($F$11-$I$4+VLOOKUP($Q27,武学奇术!$A:$ZZ,9,FALSE)+SUM(_xlfn.XLOOKUP($R27:$AK27,增益!$A:$A,增益!$I:$I,0)))/200,($F$11-$I$4+VLOOKUP($Q27,武学奇术!$A:$ZZ,9,FALSE)+SUM(_xlfn.XLOOKUP($R27:$AK27,增益!$A:$A,增益!$I:$I,0)))/100)</f>
        <v>-0.3</v>
      </c>
      <c r="BA27" s="34" cm="1">
        <f t="array" ref="BA27">$G$11+VLOOKUP($Q27,武学奇术!$A:$ZZ,10,FALSE)+SUM(_xlfn.XLOOKUP($R27:$AK27,增益!$A:$A,增益!$J:$J,0))</f>
        <v>0</v>
      </c>
      <c r="BB27">
        <f t="shared" si="3"/>
        <v>594.1</v>
      </c>
      <c r="BC27">
        <f t="shared" si="4"/>
        <v>1604.9</v>
      </c>
      <c r="BD27" s="34" cm="1">
        <f t="array" ref="BD27">IF($F$12-$I$4+VLOOKUP($Q27,武学奇术!$A:$ZZ,11,FALSE)+SUM(_xlfn.XLOOKUP($R27:$AK27,增益!$A:$A,增益!$K:$K,0))&gt;0,($F$12-$I$4+VLOOKUP($Q27,武学奇术!$A:$ZZ,11,FALSE)+SUM(_xlfn.XLOOKUP($R27:$AK27,增益!$A:$A,增益!$K:$K,0)))/200,($F$12-$I$4+VLOOKUP($Q27,武学奇术!$A:$ZZ,11,FALSE)+SUM(_xlfn.XLOOKUP($R27:$AK27,增益!$A:$A,增益!$K:$K,0)))/100)</f>
        <v>0.09</v>
      </c>
      <c r="BE27" s="34" cm="1">
        <f t="array" ref="BE27">$G$12+VLOOKUP($Q27,武学奇术!$A:$ZZ,12,FALSE)+SUM(_xlfn.XLOOKUP($R27:$AK27,增益!$A:$A,增益!$L:$L,0))</f>
        <v>0.15</v>
      </c>
      <c r="BF27">
        <f t="shared" si="5"/>
        <v>0</v>
      </c>
      <c r="BG27">
        <f t="shared" si="6"/>
        <v>0</v>
      </c>
      <c r="BH27" s="34" cm="1">
        <f t="array" ref="BH27">IF($F$13-$I$4+VLOOKUP($Q27,武学奇术!$A:$ZZ,13,FALSE)+SUM(_xlfn.XLOOKUP($R27:$AK27,增益!$A:$A,增益!$M:$M,0))&gt;0,($F$13-$I$4+VLOOKUP($Q27,武学奇术!$A:$ZZ,13,FALSE)+SUM(_xlfn.XLOOKUP($R27:$AK27,增益!$A:$A,增益!$K:$K,0)))/200,($F$13-$I$4+VLOOKUP($Q27,武学奇术!$A:$ZZ,13,FALSE)+SUM(_xlfn.XLOOKUP($R27:$AK27,增益!$A:$A,增益!$M:$M,0)))/100)</f>
        <v>-0.3</v>
      </c>
      <c r="BI27" s="34" cm="1">
        <f t="array" ref="BI27">$G$13+VLOOKUP($Q27,武学奇术!$A:$ZZ,14,FALSE)+SUM(_xlfn.XLOOKUP($R27:$AK27,增益!$A:$A,增益!$N:$N,0))</f>
        <v>0</v>
      </c>
      <c r="BJ27">
        <f t="shared" si="7"/>
        <v>0</v>
      </c>
      <c r="BK27">
        <f t="shared" si="8"/>
        <v>0</v>
      </c>
      <c r="BL27" s="34" cm="1">
        <f t="array" ref="BL27">IF($F$14-$I$4+VLOOKUP($Q27,武学奇术!$A:$ZZ,15,FALSE)+SUM(_xlfn.XLOOKUP($R27:$AK27,增益!$A:$A,增益!$O:$O,0))&gt;0,($F$14-$I$4+VLOOKUP($Q27,武学奇术!$A:$ZZ,15,FALSE)+SUM(_xlfn.XLOOKUP($R27:$AK27,增益!$A:$A,增益!$O:$O,0)))/200,($F$14-$I$4+VLOOKUP($Q27,武学奇术!$A:$ZZ,15,FALSE)+SUM(_xlfn.XLOOKUP($R27:$AK27,增益!$A:$A,增益!$O:$O,0)))/100)</f>
        <v>-0.3</v>
      </c>
      <c r="BM27" s="34" cm="1">
        <f t="array" ref="BM27">$G$14+VLOOKUP($Q27,武学奇术!$A:$ZZ,16,FALSE)+SUM(_xlfn.XLOOKUP($R27:$AK27,增益!$A:$A,增益!$P:$P,0))</f>
        <v>0</v>
      </c>
      <c r="BN27" s="27">
        <f>MIN(IF(VLOOKUP($Q27,武学奇术!$A:$ZZ,23,FALSE)=1,100%,$B$8),100%)</f>
        <v>0.9859</v>
      </c>
      <c r="BO27" s="27" cm="1">
        <f t="array" ref="BO27">IF(VLOOKUP($Q27,武学奇术!$A:$ZZ,23,FALSE)=1,100%,MIN(80%,$B$9+VLOOKUP($Q27,武学奇术!$A:$ZZ,17,FALSE)+SUM(_xlfn.XLOOKUP($R27:$AK27,增益!$A:$A,增益!$Q:$Q,0)))+$B$11+SUM(_xlfn.XLOOKUP($R27:$AK27,增益!$A:$A,增益!$U:$U,0)))*IF(VLOOKUP($Q27,武学奇术!$A:$ZZ,24,FALSE)=1,0,1)</f>
        <v>0.8912</v>
      </c>
      <c r="BP27" s="27" cm="1">
        <f t="array" ref="BP27">1+$B$13+VLOOKUP($Q27,武学奇术!$A:$ZZ,18,FALSE)+SUM(_xlfn.XLOOKUP($R27:$AK27,增益!$A:$A,增益!$R:$R,0))</f>
        <v>1.91</v>
      </c>
      <c r="BQ27" s="27" cm="1">
        <f t="array" ref="BQ27">IF(VLOOKUP($Q27,武学奇术!$A:$ZZ,24,FALSE)=1,100%,MIN(40%,$B$10+VLOOKUP($Q27,武学奇术!$A:$ZZ,19,FALSE)+SUM(_xlfn.XLOOKUP($R27:$AK27,增益!$A:$A,增益!$S:$S,0)))+$B$12+SUM(_xlfn.XLOOKUP($R27:$AK27,增益!$A:$A,增益!$V:$V,0)))*IF(VLOOKUP($Q27,武学奇术!$A:$ZZ,23,FALSE)=1,0,1)</f>
        <v>0.0929</v>
      </c>
      <c r="BR27" s="27" cm="1">
        <f t="array" ref="BR27">1+$B$14+VLOOKUP($Q27,武学奇术!$A:$ZZ,20,FALSE)+SUM(_xlfn.XLOOKUP($R27:$AK27,增益!$A:$A,增益!$T:$T,0))</f>
        <v>1.35</v>
      </c>
      <c r="BS27" s="27">
        <f t="shared" si="9"/>
        <v>0.87863408</v>
      </c>
      <c r="BT27" s="27">
        <f t="shared" si="10"/>
        <v>0.01567581</v>
      </c>
      <c r="BU27" s="27">
        <f>IF(VLOOKUP($Q27,武学奇术!$A:$ZZ,22,FALSE)=1,0,(1-$BN27))*(1-$BQ27)</f>
        <v>0.01279011</v>
      </c>
      <c r="BV27" s="27" cm="1">
        <f t="array" ref="BV27">SUM(_xlfn.XLOOKUP($R27:$AK27,增益!$A:$A,增益!$W:$W,0))+$I$5</f>
        <v>0.11</v>
      </c>
    </row>
    <row r="28" spans="1:74">
      <c r="K28" s="40">
        <f t="shared" si="0"/>
        <v>83106.2278155023</v>
      </c>
      <c r="L28" s="40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BP28*$P28*(1+IF(VLOOKUP($Q28,武学奇术!$A:$ZZ,30,FALSE)="蓄力技",$B$21,0))*(1+$BV28)</f>
        <v>86038.0122397235</v>
      </c>
      <c r="M28" s="40">
        <f>(($AT28*$AM28+$AN28)*(1+$AU28)*(1+$AV28)+($AY28*IF($G$1="鸣金",$AO28,$AM28)+IF($G$1="鸣金",$AP28*1.5,0))*(1+$AZ28)*(1+$BA28)+($BC28*IF($G$1="裂石",$AO28,$AM28)+IF($G$1="裂石",$AP28*1.5,0))*(1+$BD28)*(1+$BE28)+($BG28*IF($G$1="牵丝",$AO28,$AM28)+IF($G$1="牵丝",$AP28*1.5,0))*(1+$BH28)*(1+$BI28)+($BK28*IF($G$1="破竹",$AO28,$AM28)+IF($G$1="破竹",$AP28*1.5,0))*(1+$BL28)*(1+$BM28))*(1+$AQ28)*$BR28*$P28*(1+IF(VLOOKUP($Q28,武学奇术!$A:$ZZ,30,FALSE)="蓄力技",$B$21,0))*(1+$BV28)</f>
        <v>67863.3221105638</v>
      </c>
      <c r="N28" s="40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P28*(1+IF(VLOOKUP($Q28,武学奇术!$A:$ZZ,30,FALSE)="蓄力技",$B$21,0))*(1+$BV28)</f>
        <v>44811.4647081893</v>
      </c>
      <c r="O28" s="40">
        <f>((($AS28*$AM28+$AN28)*(1+$AU28)*(1+$AV28)+($AX28*IF($G$1="鸣金",$AO28,$AM28)+IF($G$1="鸣金",$AP28*1.5,0))*(1+$AZ28)*(1+$BA28)+($BB28*IF($G$1="裂石",$AO28,$AM28)+IF($G$1="裂石",$AP28*1.5,0))*(1+$BD28)*(1+$BE28)+($BF28*IF($G$1="牵丝",$AO28,$AM28)+IF($G$1="牵丝",$AP28*1.5,0))*(1+$BH28)*(1+$BI28)+($BJ28*IF($G$1="破竹",$AO28,$AM28)+IF($G$1="破竹",$AP28*1.5,0))*(1+$BL28)*(1+$BM28))*(1+$AQ28))*$P28*(1+IF(VLOOKUP($Q28,武学奇术!$A:$ZZ,30,FALSE)="蓄力技",$B$21,0))*(1+$BV28)</f>
        <v>39353.8019270721</v>
      </c>
      <c r="P28" s="41">
        <v>1</v>
      </c>
      <c r="Q28" s="42" t="s">
        <v>164</v>
      </c>
      <c r="R28" s="42" t="s">
        <v>103</v>
      </c>
      <c r="S28" s="42" t="s">
        <v>77</v>
      </c>
      <c r="T28" s="42" t="s">
        <v>77</v>
      </c>
      <c r="U28" s="42" t="s">
        <v>87</v>
      </c>
      <c r="V28" s="42" t="s">
        <v>77</v>
      </c>
      <c r="W28" s="42" t="s">
        <v>77</v>
      </c>
      <c r="X28" s="42" t="s">
        <v>165</v>
      </c>
      <c r="Y28" s="42" t="s">
        <v>77</v>
      </c>
      <c r="Z28" s="42" t="s">
        <v>77</v>
      </c>
      <c r="AA28" s="42" t="s">
        <v>77</v>
      </c>
      <c r="AB28" s="42" t="s">
        <v>77</v>
      </c>
      <c r="AC28" s="42" t="s">
        <v>77</v>
      </c>
      <c r="AD28" s="42" t="s">
        <v>77</v>
      </c>
      <c r="AE28" s="42" t="s">
        <v>81</v>
      </c>
      <c r="AF28" s="42" t="s">
        <v>82</v>
      </c>
      <c r="AG28" s="42" t="s">
        <v>77</v>
      </c>
      <c r="AH28" s="42" t="s">
        <v>77</v>
      </c>
      <c r="AI28" s="42" t="s">
        <v>77</v>
      </c>
      <c r="AJ28" s="42" t="s">
        <v>77</v>
      </c>
      <c r="AK28" s="42" t="s">
        <v>77</v>
      </c>
      <c r="AL28" t="str">
        <f>VLOOKUP($Q28,武学奇术!$A:$ZZ,25,FALSE)</f>
        <v>横刀</v>
      </c>
      <c r="AM28" s="27">
        <f>VLOOKUP($Q28,武学奇术!$A:$ZZ,26,FALSE)</f>
        <v>3.7797</v>
      </c>
      <c r="AN28" s="28">
        <f>VLOOKUP($Q28,武学奇术!$A:$ZZ,27,FALSE)*(1+IF(OR($AL28=$F$4,$AL28=$F$5),$B$22,0))</f>
        <v>1567.5</v>
      </c>
      <c r="AO28" s="27">
        <f>VLOOKUP($Q28,武学奇术!$A:$ZZ,28,FALSE)</f>
        <v>5.6696</v>
      </c>
      <c r="AP28" s="28">
        <f>VLOOKUP($Q28,武学奇术!$A:$ZZ,29,FALSE)*(1+IF(OR($AL28=$F$4,$AL28=$F$5),$B$22,0))</f>
        <v>855</v>
      </c>
      <c r="AQ28" s="27" cm="1">
        <f t="array" ref="AQ28">$G$3+IFERROR(VLOOKUP($AL28,$F$4:$G$7,2,FALSE),0)+VLOOKUP($Q28,武学奇术!$A:$ZZ,2,FALSE)+SUM(_xlfn.XLOOKUP($R28:$AK28,增益!$A:$A,增益!$B:$B,0))</f>
        <v>0.3689</v>
      </c>
      <c r="AR28" s="27" cm="1">
        <f t="array" ref="AR28">VLOOKUP($Q28,武学奇术!$A:$ZZ,5,FALSE)+SUM(_xlfn.XLOOKUP($R28:$AK28,增益!$A:$A,增益!$E:$E,0))</f>
        <v>0</v>
      </c>
      <c r="AS28" cm="1">
        <f t="array" ref="AS28">$D$10*(1+$AR28)+VLOOKUP($Q28,武学奇术!$A:$ZZ,3,FALSE)+SUM(_xlfn.XLOOKUP($R28:$AK28,增益!$A:$A,增益!$C:$C,0))-$I$2</f>
        <v>3586.7</v>
      </c>
      <c r="AT28" cm="1">
        <f t="array" ref="AT28">$E$10*(1+$AR28)+VLOOKUP($Q28,武学奇术!$A:$ZZ,4,FALSE)+SUM(_xlfn.XLOOKUP($R28:$AK28,增益!$A:$A,增益!$D:$D,0))-$I$2</f>
        <v>3586.7</v>
      </c>
      <c r="AU28" s="34" cm="1">
        <f t="array" ref="AU28">IF($F$10-$I$3+VLOOKUP($Q28,武学奇术!$A:$ZZ,6,FALSE)+SUM(_xlfn.XLOOKUP($R28:$AK28,增益!$A:$A,增益!$F:$F,0))&gt;0,($F$10-$I$3+VLOOKUP($Q28,武学奇术!$A:$ZZ,6,FALSE)+SUM(_xlfn.XLOOKUP($R28:$AK28,增益!$A:$A,增益!$F:$F,0)))/200,($F$10-$I$3+VLOOKUP($Q28,武学奇术!$A:$ZZ,6,FALSE)+SUM(_xlfn.XLOOKUP($R28:$AK28,增益!$A:$A,增益!$F:$F,0)))/100)</f>
        <v>0.327</v>
      </c>
      <c r="AV28" s="34" cm="1">
        <f t="array" ref="AV28">$G$10+VLOOKUP($Q28,武学奇术!$A:$ZZ,7,FALSE)+SUM(_xlfn.XLOOKUP($R28:$AK28,增益!$A:$A,增益!$G:$G,0))</f>
        <v>0</v>
      </c>
      <c r="AW28" s="27" cm="1">
        <f t="array" ref="AW28">VLOOKUP($Q28,武学奇术!$A:$ZZ,8,FALSE)+SUM(_xlfn.XLOOKUP($R28:$AK28,增益!$A:$A,增益!$H:$H,0))</f>
        <v>0</v>
      </c>
      <c r="AX28">
        <f t="shared" si="1"/>
        <v>0</v>
      </c>
      <c r="AY28">
        <f t="shared" si="2"/>
        <v>0</v>
      </c>
      <c r="AZ28" s="34" cm="1">
        <f t="array" ref="AZ28">IF($F$11-$I$4+VLOOKUP($Q28,武学奇术!$A:$ZZ,9,FALSE)+SUM(_xlfn.XLOOKUP($R28:$AK28,增益!$A:$A,增益!$I:$I,0))&gt;0,($F$11-$I$4+VLOOKUP($Q28,武学奇术!$A:$ZZ,9,FALSE)+SUM(_xlfn.XLOOKUP($R28:$AK28,增益!$A:$A,增益!$I:$I,0)))/200,($F$11-$I$4+VLOOKUP($Q28,武学奇术!$A:$ZZ,9,FALSE)+SUM(_xlfn.XLOOKUP($R28:$AK28,增益!$A:$A,增益!$I:$I,0)))/100)</f>
        <v>-0.3</v>
      </c>
      <c r="BA28" s="34" cm="1">
        <f t="array" ref="BA28">$G$11+VLOOKUP($Q28,武学奇术!$A:$ZZ,10,FALSE)+SUM(_xlfn.XLOOKUP($R28:$AK28,增益!$A:$A,增益!$J:$J,0))</f>
        <v>0</v>
      </c>
      <c r="BB28">
        <f t="shared" si="3"/>
        <v>594.1</v>
      </c>
      <c r="BC28">
        <f t="shared" si="4"/>
        <v>1604.9</v>
      </c>
      <c r="BD28" s="34" cm="1">
        <f t="array" ref="BD28">IF($F$12-$I$4+VLOOKUP($Q28,武学奇术!$A:$ZZ,11,FALSE)+SUM(_xlfn.XLOOKUP($R28:$AK28,增益!$A:$A,增益!$K:$K,0))&gt;0,($F$12-$I$4+VLOOKUP($Q28,武学奇术!$A:$ZZ,11,FALSE)+SUM(_xlfn.XLOOKUP($R28:$AK28,增益!$A:$A,增益!$K:$K,0)))/200,($F$12-$I$4+VLOOKUP($Q28,武学奇术!$A:$ZZ,11,FALSE)+SUM(_xlfn.XLOOKUP($R28:$AK28,增益!$A:$A,增益!$K:$K,0)))/100)</f>
        <v>0.09</v>
      </c>
      <c r="BE28" s="34" cm="1">
        <f t="array" ref="BE28">$G$12+VLOOKUP($Q28,武学奇术!$A:$ZZ,12,FALSE)+SUM(_xlfn.XLOOKUP($R28:$AK28,增益!$A:$A,增益!$L:$L,0))</f>
        <v>0.15</v>
      </c>
      <c r="BF28">
        <f t="shared" si="5"/>
        <v>0</v>
      </c>
      <c r="BG28">
        <f t="shared" si="6"/>
        <v>0</v>
      </c>
      <c r="BH28" s="34" cm="1">
        <f t="array" ref="BH28">IF($F$13-$I$4+VLOOKUP($Q28,武学奇术!$A:$ZZ,13,FALSE)+SUM(_xlfn.XLOOKUP($R28:$AK28,增益!$A:$A,增益!$M:$M,0))&gt;0,($F$13-$I$4+VLOOKUP($Q28,武学奇术!$A:$ZZ,13,FALSE)+SUM(_xlfn.XLOOKUP($R28:$AK28,增益!$A:$A,增益!$K:$K,0)))/200,($F$13-$I$4+VLOOKUP($Q28,武学奇术!$A:$ZZ,13,FALSE)+SUM(_xlfn.XLOOKUP($R28:$AK28,增益!$A:$A,增益!$M:$M,0)))/100)</f>
        <v>-0.3</v>
      </c>
      <c r="BI28" s="34" cm="1">
        <f t="array" ref="BI28">$G$13+VLOOKUP($Q28,武学奇术!$A:$ZZ,14,FALSE)+SUM(_xlfn.XLOOKUP($R28:$AK28,增益!$A:$A,增益!$N:$N,0))</f>
        <v>0</v>
      </c>
      <c r="BJ28">
        <f t="shared" si="7"/>
        <v>0</v>
      </c>
      <c r="BK28">
        <f t="shared" si="8"/>
        <v>0</v>
      </c>
      <c r="BL28" s="34" cm="1">
        <f t="array" ref="BL28">IF($F$14-$I$4+VLOOKUP($Q28,武学奇术!$A:$ZZ,15,FALSE)+SUM(_xlfn.XLOOKUP($R28:$AK28,增益!$A:$A,增益!$O:$O,0))&gt;0,($F$14-$I$4+VLOOKUP($Q28,武学奇术!$A:$ZZ,15,FALSE)+SUM(_xlfn.XLOOKUP($R28:$AK28,增益!$A:$A,增益!$O:$O,0)))/200,($F$14-$I$4+VLOOKUP($Q28,武学奇术!$A:$ZZ,15,FALSE)+SUM(_xlfn.XLOOKUP($R28:$AK28,增益!$A:$A,增益!$O:$O,0)))/100)</f>
        <v>-0.3</v>
      </c>
      <c r="BM28" s="34" cm="1">
        <f t="array" ref="BM28">$G$14+VLOOKUP($Q28,武学奇术!$A:$ZZ,16,FALSE)+SUM(_xlfn.XLOOKUP($R28:$AK28,增益!$A:$A,增益!$P:$P,0))</f>
        <v>0</v>
      </c>
      <c r="BN28" s="27">
        <f>MIN(IF(VLOOKUP($Q28,武学奇术!$A:$ZZ,23,FALSE)=1,100%,$B$8),100%)</f>
        <v>0.9859</v>
      </c>
      <c r="BO28" s="27" cm="1">
        <f t="array" ref="BO28">IF(VLOOKUP($Q28,武学奇术!$A:$ZZ,23,FALSE)=1,100%,MIN(80%,$B$9+VLOOKUP($Q28,武学奇术!$A:$ZZ,17,FALSE)+SUM(_xlfn.XLOOKUP($R28:$AK28,增益!$A:$A,增益!$Q:$Q,0)))+$B$11+SUM(_xlfn.XLOOKUP($R28:$AK28,增益!$A:$A,增益!$U:$U,0)))*IF(VLOOKUP($Q28,武学奇术!$A:$ZZ,24,FALSE)=1,0,1)</f>
        <v>0.8912</v>
      </c>
      <c r="BP28" s="27" cm="1">
        <f t="array" ref="BP28">1+$B$13+VLOOKUP($Q28,武学奇术!$A:$ZZ,18,FALSE)+SUM(_xlfn.XLOOKUP($R28:$AK28,增益!$A:$A,增益!$R:$R,0))</f>
        <v>1.92</v>
      </c>
      <c r="BQ28" s="27" cm="1">
        <f t="array" ref="BQ28">IF(VLOOKUP($Q28,武学奇术!$A:$ZZ,24,FALSE)=1,100%,MIN(40%,$B$10+VLOOKUP($Q28,武学奇术!$A:$ZZ,19,FALSE)+SUM(_xlfn.XLOOKUP($R28:$AK28,增益!$A:$A,增益!$S:$S,0)))+$B$12+SUM(_xlfn.XLOOKUP($R28:$AK28,增益!$A:$A,增益!$V:$V,0)))*IF(VLOOKUP($Q28,武学奇术!$A:$ZZ,23,FALSE)=1,0,1)</f>
        <v>0.0929</v>
      </c>
      <c r="BR28" s="27" cm="1">
        <f t="array" ref="BR28">1+$B$14+VLOOKUP($Q28,武学奇术!$A:$ZZ,20,FALSE)+SUM(_xlfn.XLOOKUP($R28:$AK28,增益!$A:$A,增益!$T:$T,0))</f>
        <v>1.35</v>
      </c>
      <c r="BS28" s="27">
        <f t="shared" si="9"/>
        <v>0.87863408</v>
      </c>
      <c r="BT28" s="27">
        <f t="shared" si="10"/>
        <v>0.01567581</v>
      </c>
      <c r="BU28" s="27">
        <f>IF(VLOOKUP($Q28,武学奇术!$A:$ZZ,22,FALSE)=1,0,(1-$BN28))*(1-$BQ28)</f>
        <v>0.01279011</v>
      </c>
      <c r="BV28" s="27" cm="1">
        <f t="array" ref="BV28">SUM(_xlfn.XLOOKUP($R28:$AK28,增益!$A:$A,增益!$W:$W,0))+$I$5</f>
        <v>0.11</v>
      </c>
    </row>
    <row r="29" spans="1:74">
      <c r="K29" s="40">
        <f t="shared" si="0"/>
        <v>51454.6394431256</v>
      </c>
      <c r="L29" s="40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BP29*$P29*(1+IF(VLOOKUP($Q29,武学奇术!$A:$ZZ,30,FALSE)="蓄力技",$B$21,0))*(1+$BV29)</f>
        <v>53397.2297663027</v>
      </c>
      <c r="M29" s="40">
        <f>(($AT29*$AM29+$AN29)*(1+$AU29)*(1+$AV29)+($AY29*IF($G$1="鸣金",$AO29,$AM29)+IF($G$1="鸣金",$AP29*1.5,0))*(1+$AZ29)*(1+$BA29)+($BC29*IF($G$1="裂石",$AO29,$AM29)+IF($G$1="裂石",$AP29*1.5,0))*(1+$BD29)*(1+$BE29)+($BG29*IF($G$1="牵丝",$AO29,$AM29)+IF($G$1="牵丝",$AP29*1.5,0))*(1+$BH29)*(1+$BI29)+($BK29*IF($G$1="破竹",$AO29,$AM29)+IF($G$1="破竹",$AP29*1.5,0))*(1+$BL29)*(1+$BM29))*(1+$AQ29)*$BR29*$P29*(1+IF(VLOOKUP($Q29,武学奇术!$A:$ZZ,30,FALSE)="蓄力技",$B$21,0))*(1+$BV29)</f>
        <v>40991.625189567</v>
      </c>
      <c r="N29" s="40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P29*(1+IF(VLOOKUP($Q29,武学奇术!$A:$ZZ,30,FALSE)="蓄力技",$B$21,0))*(1+$BV29)</f>
        <v>27105.1927747729</v>
      </c>
      <c r="O29" s="40">
        <f>((($AS29*$AM29+$AN29)*(1+$AU29)*(1+$AV29)+($AX29*IF($G$1="鸣金",$AO29,$AM29)+IF($G$1="鸣金",$AP29*1.5,0))*(1+$AZ29)*(1+$BA29)+($BB29*IF($G$1="裂石",$AO29,$AM29)+IF($G$1="裂石",$AP29*1.5,0))*(1+$BD29)*(1+$BE29)+($BF29*IF($G$1="牵丝",$AO29,$AM29)+IF($G$1="牵丝",$AP29*1.5,0))*(1+$BH29)*(1+$BI29)+($BJ29*IF($G$1="破竹",$AO29,$AM29)+IF($G$1="破竹",$AP29*1.5,0))*(1+$BL29)*(1+$BM29))*(1+$AQ29))*$P29*(1+IF(VLOOKUP($Q29,武学奇术!$A:$ZZ,30,FALSE)="蓄力技",$B$21,0))*(1+$BV29)</f>
        <v>23846.2187424592</v>
      </c>
      <c r="P29" s="41">
        <v>1</v>
      </c>
      <c r="Q29" s="42" t="s">
        <v>106</v>
      </c>
      <c r="R29" s="42" t="s">
        <v>103</v>
      </c>
      <c r="S29" s="42" t="s">
        <v>77</v>
      </c>
      <c r="T29" s="42" t="s">
        <v>77</v>
      </c>
      <c r="U29" s="42" t="s">
        <v>121</v>
      </c>
      <c r="V29" s="42" t="s">
        <v>77</v>
      </c>
      <c r="W29" s="42" t="s">
        <v>77</v>
      </c>
      <c r="X29" s="42" t="s">
        <v>165</v>
      </c>
      <c r="Y29" s="42" t="s">
        <v>77</v>
      </c>
      <c r="Z29" s="42" t="s">
        <v>77</v>
      </c>
      <c r="AA29" s="42" t="s">
        <v>73</v>
      </c>
      <c r="AB29" s="42" t="s">
        <v>77</v>
      </c>
      <c r="AC29" s="42" t="s">
        <v>77</v>
      </c>
      <c r="AD29" s="42" t="s">
        <v>77</v>
      </c>
      <c r="AE29" s="42" t="s">
        <v>81</v>
      </c>
      <c r="AF29" s="42" t="s">
        <v>82</v>
      </c>
      <c r="AG29" s="42" t="s">
        <v>77</v>
      </c>
      <c r="AH29" s="42" t="s">
        <v>77</v>
      </c>
      <c r="AI29" s="42" t="s">
        <v>77</v>
      </c>
      <c r="AJ29" s="42" t="s">
        <v>77</v>
      </c>
      <c r="AK29" s="42" t="s">
        <v>77</v>
      </c>
      <c r="AL29" t="str">
        <f>VLOOKUP($Q29,武学奇术!$A:$ZZ,25,FALSE)</f>
        <v>横刀</v>
      </c>
      <c r="AM29" s="27">
        <f>VLOOKUP($Q29,武学奇术!$A:$ZZ,26,FALSE)</f>
        <v>2.1324</v>
      </c>
      <c r="AN29" s="28">
        <f>VLOOKUP($Q29,武学奇术!$A:$ZZ,27,FALSE)*(1+IF(OR($AL29=$F$4,$AL29=$F$5),$B$22,0))</f>
        <v>885</v>
      </c>
      <c r="AO29" s="27">
        <f>VLOOKUP($Q29,武学奇术!$A:$ZZ,28,FALSE)</f>
        <v>3.1986</v>
      </c>
      <c r="AP29" s="28">
        <f>VLOOKUP($Q29,武学奇术!$A:$ZZ,29,FALSE)*(1+IF(OR($AL29=$F$4,$AL29=$F$5),$B$22,0))</f>
        <v>483</v>
      </c>
      <c r="AQ29" s="27" cm="1">
        <f t="array" ref="AQ29">$G$3+IFERROR(VLOOKUP($AL29,$F$4:$G$7,2,FALSE),0)+VLOOKUP($Q29,武学奇术!$A:$ZZ,2,FALSE)+SUM(_xlfn.XLOOKUP($R29:$AK29,增益!$A:$A,增益!$B:$B,0))</f>
        <v>0.4489</v>
      </c>
      <c r="AR29" s="27" cm="1">
        <f t="array" ref="AR29">VLOOKUP($Q29,武学奇术!$A:$ZZ,5,FALSE)+SUM(_xlfn.XLOOKUP($R29:$AK29,增益!$A:$A,增益!$E:$E,0))</f>
        <v>0</v>
      </c>
      <c r="AS29" cm="1">
        <f t="array" ref="AS29">$D$10*(1+$AR29)+VLOOKUP($Q29,武学奇术!$A:$ZZ,3,FALSE)+SUM(_xlfn.XLOOKUP($R29:$AK29,增益!$A:$A,增益!$C:$C,0))-$I$2</f>
        <v>3586.7</v>
      </c>
      <c r="AT29" cm="1">
        <f t="array" ref="AT29">$E$10*(1+$AR29)+VLOOKUP($Q29,武学奇术!$A:$ZZ,4,FALSE)+SUM(_xlfn.XLOOKUP($R29:$AK29,增益!$A:$A,增益!$D:$D,0))-$I$2</f>
        <v>3586.7</v>
      </c>
      <c r="AU29" s="34" cm="1">
        <f t="array" ref="AU29">IF($F$10-$I$3+VLOOKUP($Q29,武学奇术!$A:$ZZ,6,FALSE)+SUM(_xlfn.XLOOKUP($R29:$AK29,增益!$A:$A,增益!$F:$F,0))&gt;0,($F$10-$I$3+VLOOKUP($Q29,武学奇术!$A:$ZZ,6,FALSE)+SUM(_xlfn.XLOOKUP($R29:$AK29,增益!$A:$A,增益!$F:$F,0)))/200,($F$10-$I$3+VLOOKUP($Q29,武学奇术!$A:$ZZ,6,FALSE)+SUM(_xlfn.XLOOKUP($R29:$AK29,增益!$A:$A,增益!$F:$F,0)))/100)</f>
        <v>0.352</v>
      </c>
      <c r="AV29" s="34" cm="1">
        <f t="array" ref="AV29">$G$10+VLOOKUP($Q29,武学奇术!$A:$ZZ,7,FALSE)+SUM(_xlfn.XLOOKUP($R29:$AK29,增益!$A:$A,增益!$G:$G,0))</f>
        <v>0</v>
      </c>
      <c r="AW29" s="27" cm="1">
        <f t="array" ref="AW29">VLOOKUP($Q29,武学奇术!$A:$ZZ,8,FALSE)+SUM(_xlfn.XLOOKUP($R29:$AK29,增益!$A:$A,增益!$H:$H,0))</f>
        <v>0</v>
      </c>
      <c r="AX29">
        <f t="shared" si="1"/>
        <v>0</v>
      </c>
      <c r="AY29">
        <f t="shared" si="2"/>
        <v>0</v>
      </c>
      <c r="AZ29" s="34" cm="1">
        <f t="array" ref="AZ29">IF($F$11-$I$4+VLOOKUP($Q29,武学奇术!$A:$ZZ,9,FALSE)+SUM(_xlfn.XLOOKUP($R29:$AK29,增益!$A:$A,增益!$I:$I,0))&gt;0,($F$11-$I$4+VLOOKUP($Q29,武学奇术!$A:$ZZ,9,FALSE)+SUM(_xlfn.XLOOKUP($R29:$AK29,增益!$A:$A,增益!$I:$I,0)))/200,($F$11-$I$4+VLOOKUP($Q29,武学奇术!$A:$ZZ,9,FALSE)+SUM(_xlfn.XLOOKUP($R29:$AK29,增益!$A:$A,增益!$I:$I,0)))/100)</f>
        <v>-0.3</v>
      </c>
      <c r="BA29" s="34" cm="1">
        <f t="array" ref="BA29">$G$11+VLOOKUP($Q29,武学奇术!$A:$ZZ,10,FALSE)+SUM(_xlfn.XLOOKUP($R29:$AK29,增益!$A:$A,增益!$J:$J,0))</f>
        <v>0</v>
      </c>
      <c r="BB29">
        <f t="shared" si="3"/>
        <v>594.1</v>
      </c>
      <c r="BC29">
        <f t="shared" si="4"/>
        <v>1604.9</v>
      </c>
      <c r="BD29" s="34" cm="1">
        <f t="array" ref="BD29">IF($F$12-$I$4+VLOOKUP($Q29,武学奇术!$A:$ZZ,11,FALSE)+SUM(_xlfn.XLOOKUP($R29:$AK29,增益!$A:$A,增益!$K:$K,0))&gt;0,($F$12-$I$4+VLOOKUP($Q29,武学奇术!$A:$ZZ,11,FALSE)+SUM(_xlfn.XLOOKUP($R29:$AK29,增益!$A:$A,增益!$K:$K,0)))/200,($F$12-$I$4+VLOOKUP($Q29,武学奇术!$A:$ZZ,11,FALSE)+SUM(_xlfn.XLOOKUP($R29:$AK29,增益!$A:$A,增益!$K:$K,0)))/100)</f>
        <v>0.09</v>
      </c>
      <c r="BE29" s="34" cm="1">
        <f t="array" ref="BE29">$G$12+VLOOKUP($Q29,武学奇术!$A:$ZZ,12,FALSE)+SUM(_xlfn.XLOOKUP($R29:$AK29,增益!$A:$A,增益!$L:$L,0))</f>
        <v>0.15</v>
      </c>
      <c r="BF29">
        <f t="shared" si="5"/>
        <v>0</v>
      </c>
      <c r="BG29">
        <f t="shared" si="6"/>
        <v>0</v>
      </c>
      <c r="BH29" s="34" cm="1">
        <f t="array" ref="BH29">IF($F$13-$I$4+VLOOKUP($Q29,武学奇术!$A:$ZZ,13,FALSE)+SUM(_xlfn.XLOOKUP($R29:$AK29,增益!$A:$A,增益!$M:$M,0))&gt;0,($F$13-$I$4+VLOOKUP($Q29,武学奇术!$A:$ZZ,13,FALSE)+SUM(_xlfn.XLOOKUP($R29:$AK29,增益!$A:$A,增益!$K:$K,0)))/200,($F$13-$I$4+VLOOKUP($Q29,武学奇术!$A:$ZZ,13,FALSE)+SUM(_xlfn.XLOOKUP($R29:$AK29,增益!$A:$A,增益!$M:$M,0)))/100)</f>
        <v>-0.3</v>
      </c>
      <c r="BI29" s="34" cm="1">
        <f t="array" ref="BI29">$G$13+VLOOKUP($Q29,武学奇术!$A:$ZZ,14,FALSE)+SUM(_xlfn.XLOOKUP($R29:$AK29,增益!$A:$A,增益!$N:$N,0))</f>
        <v>0</v>
      </c>
      <c r="BJ29">
        <f t="shared" si="7"/>
        <v>0</v>
      </c>
      <c r="BK29">
        <f t="shared" si="8"/>
        <v>0</v>
      </c>
      <c r="BL29" s="34" cm="1">
        <f t="array" ref="BL29">IF($F$14-$I$4+VLOOKUP($Q29,武学奇术!$A:$ZZ,15,FALSE)+SUM(_xlfn.XLOOKUP($R29:$AK29,增益!$A:$A,增益!$O:$O,0))&gt;0,($F$14-$I$4+VLOOKUP($Q29,武学奇术!$A:$ZZ,15,FALSE)+SUM(_xlfn.XLOOKUP($R29:$AK29,增益!$A:$A,增益!$O:$O,0)))/200,($F$14-$I$4+VLOOKUP($Q29,武学奇术!$A:$ZZ,15,FALSE)+SUM(_xlfn.XLOOKUP($R29:$AK29,增益!$A:$A,增益!$O:$O,0)))/100)</f>
        <v>-0.3</v>
      </c>
      <c r="BM29" s="34" cm="1">
        <f t="array" ref="BM29">$G$14+VLOOKUP($Q29,武学奇术!$A:$ZZ,16,FALSE)+SUM(_xlfn.XLOOKUP($R29:$AK29,增益!$A:$A,增益!$P:$P,0))</f>
        <v>0</v>
      </c>
      <c r="BN29" s="27">
        <f>MIN(IF(VLOOKUP($Q29,武学奇术!$A:$ZZ,23,FALSE)=1,100%,$B$8),100%)</f>
        <v>0.9859</v>
      </c>
      <c r="BO29" s="27" cm="1">
        <f t="array" ref="BO29">IF(VLOOKUP($Q29,武学奇术!$A:$ZZ,23,FALSE)=1,100%,MIN(80%,$B$9+VLOOKUP($Q29,武学奇术!$A:$ZZ,17,FALSE)+SUM(_xlfn.XLOOKUP($R29:$AK29,增益!$A:$A,增益!$Q:$Q,0)))+$B$11+SUM(_xlfn.XLOOKUP($R29:$AK29,增益!$A:$A,增益!$U:$U,0)))*IF(VLOOKUP($Q29,武学奇术!$A:$ZZ,24,FALSE)=1,0,1)</f>
        <v>0.8912</v>
      </c>
      <c r="BP29" s="27" cm="1">
        <f t="array" ref="BP29">1+$B$13+VLOOKUP($Q29,武学奇术!$A:$ZZ,18,FALSE)+SUM(_xlfn.XLOOKUP($R29:$AK29,增益!$A:$A,增益!$R:$R,0))</f>
        <v>1.97</v>
      </c>
      <c r="BQ29" s="27" cm="1">
        <f t="array" ref="BQ29">IF(VLOOKUP($Q29,武学奇术!$A:$ZZ,24,FALSE)=1,100%,MIN(40%,$B$10+VLOOKUP($Q29,武学奇术!$A:$ZZ,19,FALSE)+SUM(_xlfn.XLOOKUP($R29:$AK29,增益!$A:$A,增益!$S:$S,0)))+$B$12+SUM(_xlfn.XLOOKUP($R29:$AK29,增益!$A:$A,增益!$V:$V,0)))*IF(VLOOKUP($Q29,武学奇术!$A:$ZZ,23,FALSE)=1,0,1)</f>
        <v>0.0929</v>
      </c>
      <c r="BR29" s="27" cm="1">
        <f t="array" ref="BR29">1+$B$14+VLOOKUP($Q29,武学奇术!$A:$ZZ,20,FALSE)+SUM(_xlfn.XLOOKUP($R29:$AK29,增益!$A:$A,增益!$T:$T,0))</f>
        <v>1.35</v>
      </c>
      <c r="BS29" s="27">
        <f t="shared" si="9"/>
        <v>0.87863408</v>
      </c>
      <c r="BT29" s="27">
        <f t="shared" si="10"/>
        <v>0.01567581</v>
      </c>
      <c r="BU29" s="27">
        <f>IF(VLOOKUP($Q29,武学奇术!$A:$ZZ,22,FALSE)=1,0,(1-$BN29))*(1-$BQ29)</f>
        <v>0.01279011</v>
      </c>
      <c r="BV29" s="27" cm="1">
        <f t="array" ref="BV29">SUM(_xlfn.XLOOKUP($R29:$AK29,增益!$A:$A,增益!$W:$W,0))+$I$5</f>
        <v>0.11</v>
      </c>
    </row>
    <row r="30" spans="1:74">
      <c r="K30" s="40">
        <f t="shared" si="0"/>
        <v>31925.3767532318</v>
      </c>
      <c r="L30" s="40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BP30*$P30*(1+IF(VLOOKUP($Q30,武学奇术!$A:$ZZ,30,FALSE)="蓄力技",$B$21,0))*(1+$BV30)</f>
        <v>33083.4147195881</v>
      </c>
      <c r="M30" s="40">
        <f>(($AT30*$AM30+$AN30)*(1+$AU30)*(1+$AV30)+($AY30*IF($G$1="鸣金",$AO30,$AM30)+IF($G$1="鸣金",$AP30*1.5,0))*(1+$AZ30)*(1+$BA30)+($BC30*IF($G$1="裂石",$AO30,$AM30)+IF($G$1="裂石",$AP30*1.5,0))*(1+$BD30)*(1+$BE30)+($BG30*IF($G$1="牵丝",$AO30,$AM30)+IF($G$1="牵丝",$AP30*1.5,0))*(1+$BH30)*(1+$BI30)+($BK30*IF($G$1="破竹",$AO30,$AM30)+IF($G$1="破竹",$AP30*1.5,0))*(1+$BL30)*(1+$BM30))*(1+$AQ30)*$BR30*$P30*(1+IF(VLOOKUP($Q30,武学奇术!$A:$ZZ,30,FALSE)="蓄力技",$B$21,0))*(1+$BV30)</f>
        <v>25943.0800015986</v>
      </c>
      <c r="N30" s="40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P30*(1+IF(VLOOKUP($Q30,武学奇术!$A:$ZZ,30,FALSE)="蓄力技",$B$21,0))*(1+$BV30)</f>
        <v>16793.6115327858</v>
      </c>
      <c r="O30" s="40">
        <f>((($AS30*$AM30+$AN30)*(1+$AU30)*(1+$AV30)+($AX30*IF($G$1="鸣金",$AO30,$AM30)+IF($G$1="鸣金",$AP30*1.5,0))*(1+$AZ30)*(1+$BA30)+($BB30*IF($G$1="裂石",$AO30,$AM30)+IF($G$1="裂石",$AP30*1.5,0))*(1+$BD30)*(1+$BE30)+($BF30*IF($G$1="牵丝",$AO30,$AM30)+IF($G$1="牵丝",$AP30*1.5,0))*(1+$BH30)*(1+$BI30)+($BJ30*IF($G$1="破竹",$AO30,$AM30)+IF($G$1="破竹",$AP30*1.5,0))*(1+$BL30)*(1+$BM30))*(1+$AQ30))*$P30*(1+IF(VLOOKUP($Q30,武学奇术!$A:$ZZ,30,FALSE)="蓄力技",$B$21,0))*(1+$BV30)</f>
        <v>14370.1267680912</v>
      </c>
      <c r="P30" s="41">
        <v>1</v>
      </c>
      <c r="Q30" s="42" t="s">
        <v>110</v>
      </c>
      <c r="R30" s="42" t="s">
        <v>103</v>
      </c>
      <c r="S30" s="42" t="s">
        <v>77</v>
      </c>
      <c r="T30" s="42" t="s">
        <v>86</v>
      </c>
      <c r="U30" s="42" t="s">
        <v>121</v>
      </c>
      <c r="V30" s="42" t="s">
        <v>77</v>
      </c>
      <c r="W30" s="42" t="s">
        <v>77</v>
      </c>
      <c r="X30" s="42" t="s">
        <v>165</v>
      </c>
      <c r="Y30" s="42" t="s">
        <v>77</v>
      </c>
      <c r="Z30" s="42" t="s">
        <v>77</v>
      </c>
      <c r="AA30" s="42" t="s">
        <v>73</v>
      </c>
      <c r="AB30" s="42" t="s">
        <v>77</v>
      </c>
      <c r="AC30" s="42" t="s">
        <v>77</v>
      </c>
      <c r="AD30" s="42" t="s">
        <v>77</v>
      </c>
      <c r="AE30" s="42" t="s">
        <v>81</v>
      </c>
      <c r="AF30" s="42" t="s">
        <v>82</v>
      </c>
      <c r="AG30" s="42" t="s">
        <v>77</v>
      </c>
      <c r="AH30" s="42" t="s">
        <v>77</v>
      </c>
      <c r="AI30" s="42" t="s">
        <v>77</v>
      </c>
      <c r="AJ30" s="42" t="s">
        <v>77</v>
      </c>
      <c r="AK30" s="42" t="s">
        <v>77</v>
      </c>
      <c r="AL30" t="str">
        <f>VLOOKUP($Q30,武学奇术!$A:$ZZ,25,FALSE)</f>
        <v>横刀</v>
      </c>
      <c r="AM30" s="27">
        <f>VLOOKUP($Q30,武学奇术!$A:$ZZ,26,FALSE)</f>
        <v>1.4</v>
      </c>
      <c r="AN30" s="28">
        <f>VLOOKUP($Q30,武学奇术!$A:$ZZ,27,FALSE)*(1+IF(OR($AL30=$F$4,$AL30=$F$5),$B$22,0))</f>
        <v>0</v>
      </c>
      <c r="AO30" s="27">
        <f>VLOOKUP($Q30,武学奇术!$A:$ZZ,28,FALSE)</f>
        <v>2.1</v>
      </c>
      <c r="AP30" s="28">
        <f>VLOOKUP($Q30,武学奇术!$A:$ZZ,29,FALSE)*(1+IF(OR($AL30=$F$4,$AL30=$F$5),$B$22,0))</f>
        <v>0</v>
      </c>
      <c r="AQ30" s="27" cm="1">
        <f t="array" ref="AQ30">$G$3+IFERROR(VLOOKUP($AL30,$F$4:$G$7,2,FALSE),0)+VLOOKUP($Q30,武学奇术!$A:$ZZ,2,FALSE)+SUM(_xlfn.XLOOKUP($R30:$AK30,增益!$A:$A,增益!$B:$B,0))</f>
        <v>0.5289</v>
      </c>
      <c r="AR30" s="27" cm="1">
        <f t="array" ref="AR30">VLOOKUP($Q30,武学奇术!$A:$ZZ,5,FALSE)+SUM(_xlfn.XLOOKUP($R30:$AK30,增益!$A:$A,增益!$E:$E,0))</f>
        <v>0</v>
      </c>
      <c r="AS30" cm="1">
        <f t="array" ref="AS30">$D$10*(1+$AR30)+VLOOKUP($Q30,武学奇术!$A:$ZZ,3,FALSE)+SUM(_xlfn.XLOOKUP($R30:$AK30,增益!$A:$A,增益!$C:$C,0))-$I$2</f>
        <v>3586.7</v>
      </c>
      <c r="AT30" cm="1">
        <f t="array" ref="AT30">$E$10*(1+$AR30)+VLOOKUP($Q30,武学奇术!$A:$ZZ,4,FALSE)+SUM(_xlfn.XLOOKUP($R30:$AK30,增益!$A:$A,增益!$D:$D,0))-$I$2</f>
        <v>3586.7</v>
      </c>
      <c r="AU30" s="34" cm="1">
        <f t="array" ref="AU30">IF($F$10-$I$3+VLOOKUP($Q30,武学奇术!$A:$ZZ,6,FALSE)+SUM(_xlfn.XLOOKUP($R30:$AK30,增益!$A:$A,增益!$F:$F,0))&gt;0,($F$10-$I$3+VLOOKUP($Q30,武学奇术!$A:$ZZ,6,FALSE)+SUM(_xlfn.XLOOKUP($R30:$AK30,增益!$A:$A,增益!$F:$F,0)))/200,($F$10-$I$3+VLOOKUP($Q30,武学奇术!$A:$ZZ,6,FALSE)+SUM(_xlfn.XLOOKUP($R30:$AK30,增益!$A:$A,增益!$F:$F,0)))/100)</f>
        <v>0.352</v>
      </c>
      <c r="AV30" s="34" cm="1">
        <f t="array" ref="AV30">$G$10+VLOOKUP($Q30,武学奇术!$A:$ZZ,7,FALSE)+SUM(_xlfn.XLOOKUP($R30:$AK30,增益!$A:$A,增益!$G:$G,0))</f>
        <v>0</v>
      </c>
      <c r="AW30" s="27" cm="1">
        <f t="array" ref="AW30">VLOOKUP($Q30,武学奇术!$A:$ZZ,8,FALSE)+SUM(_xlfn.XLOOKUP($R30:$AK30,增益!$A:$A,增益!$H:$H,0))</f>
        <v>0</v>
      </c>
      <c r="AX30">
        <f t="shared" si="1"/>
        <v>0</v>
      </c>
      <c r="AY30">
        <f t="shared" si="2"/>
        <v>0</v>
      </c>
      <c r="AZ30" s="34" cm="1">
        <f t="array" ref="AZ30">IF($F$11-$I$4+VLOOKUP($Q30,武学奇术!$A:$ZZ,9,FALSE)+SUM(_xlfn.XLOOKUP($R30:$AK30,增益!$A:$A,增益!$I:$I,0))&gt;0,($F$11-$I$4+VLOOKUP($Q30,武学奇术!$A:$ZZ,9,FALSE)+SUM(_xlfn.XLOOKUP($R30:$AK30,增益!$A:$A,增益!$I:$I,0)))/200,($F$11-$I$4+VLOOKUP($Q30,武学奇术!$A:$ZZ,9,FALSE)+SUM(_xlfn.XLOOKUP($R30:$AK30,增益!$A:$A,增益!$I:$I,0)))/100)</f>
        <v>-0.14</v>
      </c>
      <c r="BA30" s="34" cm="1">
        <f t="array" ref="BA30">$G$11+VLOOKUP($Q30,武学奇术!$A:$ZZ,10,FALSE)+SUM(_xlfn.XLOOKUP($R30:$AK30,增益!$A:$A,增益!$J:$J,0))</f>
        <v>0</v>
      </c>
      <c r="BB30">
        <f t="shared" si="3"/>
        <v>594.1</v>
      </c>
      <c r="BC30">
        <f t="shared" si="4"/>
        <v>1604.9</v>
      </c>
      <c r="BD30" s="34" cm="1">
        <f t="array" ref="BD30">IF($F$12-$I$4+VLOOKUP($Q30,武学奇术!$A:$ZZ,11,FALSE)+SUM(_xlfn.XLOOKUP($R30:$AK30,增益!$A:$A,增益!$K:$K,0))&gt;0,($F$12-$I$4+VLOOKUP($Q30,武学奇术!$A:$ZZ,11,FALSE)+SUM(_xlfn.XLOOKUP($R30:$AK30,增益!$A:$A,增益!$K:$K,0)))/200,($F$12-$I$4+VLOOKUP($Q30,武学奇术!$A:$ZZ,11,FALSE)+SUM(_xlfn.XLOOKUP($R30:$AK30,增益!$A:$A,增益!$K:$K,0)))/100)</f>
        <v>0.17</v>
      </c>
      <c r="BE30" s="34" cm="1">
        <f t="array" ref="BE30">$G$12+VLOOKUP($Q30,武学奇术!$A:$ZZ,12,FALSE)+SUM(_xlfn.XLOOKUP($R30:$AK30,增益!$A:$A,增益!$L:$L,0))</f>
        <v>0.15</v>
      </c>
      <c r="BF30">
        <f t="shared" si="5"/>
        <v>0</v>
      </c>
      <c r="BG30">
        <f t="shared" si="6"/>
        <v>0</v>
      </c>
      <c r="BH30" s="34" cm="1">
        <f t="array" ref="BH30">IF($F$13-$I$4+VLOOKUP($Q30,武学奇术!$A:$ZZ,13,FALSE)+SUM(_xlfn.XLOOKUP($R30:$AK30,增益!$A:$A,增益!$M:$M,0))&gt;0,($F$13-$I$4+VLOOKUP($Q30,武学奇术!$A:$ZZ,13,FALSE)+SUM(_xlfn.XLOOKUP($R30:$AK30,增益!$A:$A,增益!$K:$K,0)))/200,($F$13-$I$4+VLOOKUP($Q30,武学奇术!$A:$ZZ,13,FALSE)+SUM(_xlfn.XLOOKUP($R30:$AK30,增益!$A:$A,增益!$M:$M,0)))/100)</f>
        <v>-0.14</v>
      </c>
      <c r="BI30" s="34" cm="1">
        <f t="array" ref="BI30">$G$13+VLOOKUP($Q30,武学奇术!$A:$ZZ,14,FALSE)+SUM(_xlfn.XLOOKUP($R30:$AK30,增益!$A:$A,增益!$N:$N,0))</f>
        <v>0</v>
      </c>
      <c r="BJ30">
        <f t="shared" si="7"/>
        <v>0</v>
      </c>
      <c r="BK30">
        <f t="shared" si="8"/>
        <v>0</v>
      </c>
      <c r="BL30" s="34" cm="1">
        <f t="array" ref="BL30">IF($F$14-$I$4+VLOOKUP($Q30,武学奇术!$A:$ZZ,15,FALSE)+SUM(_xlfn.XLOOKUP($R30:$AK30,增益!$A:$A,增益!$O:$O,0))&gt;0,($F$14-$I$4+VLOOKUP($Q30,武学奇术!$A:$ZZ,15,FALSE)+SUM(_xlfn.XLOOKUP($R30:$AK30,增益!$A:$A,增益!$O:$O,0)))/200,($F$14-$I$4+VLOOKUP($Q30,武学奇术!$A:$ZZ,15,FALSE)+SUM(_xlfn.XLOOKUP($R30:$AK30,增益!$A:$A,增益!$O:$O,0)))/100)</f>
        <v>-0.14</v>
      </c>
      <c r="BM30" s="34" cm="1">
        <f t="array" ref="BM30">$G$14+VLOOKUP($Q30,武学奇术!$A:$ZZ,16,FALSE)+SUM(_xlfn.XLOOKUP($R30:$AK30,增益!$A:$A,增益!$P:$P,0))</f>
        <v>0</v>
      </c>
      <c r="BN30" s="27">
        <f>MIN(IF(VLOOKUP($Q30,武学奇术!$A:$ZZ,23,FALSE)=1,100%,$B$8),100%)</f>
        <v>0.9859</v>
      </c>
      <c r="BO30" s="27" cm="1">
        <f t="array" ref="BO30">IF(VLOOKUP($Q30,武学奇术!$A:$ZZ,23,FALSE)=1,100%,MIN(80%,$B$9+VLOOKUP($Q30,武学奇术!$A:$ZZ,17,FALSE)+SUM(_xlfn.XLOOKUP($R30:$AK30,增益!$A:$A,增益!$Q:$Q,0)))+$B$11+SUM(_xlfn.XLOOKUP($R30:$AK30,增益!$A:$A,增益!$U:$U,0)))*IF(VLOOKUP($Q30,武学奇术!$A:$ZZ,24,FALSE)=1,0,1)</f>
        <v>0.8912</v>
      </c>
      <c r="BP30" s="27" cm="1">
        <f t="array" ref="BP30">1+$B$13+VLOOKUP($Q30,武学奇术!$A:$ZZ,18,FALSE)+SUM(_xlfn.XLOOKUP($R30:$AK30,增益!$A:$A,增益!$R:$R,0))</f>
        <v>1.97</v>
      </c>
      <c r="BQ30" s="27" cm="1">
        <f t="array" ref="BQ30">IF(VLOOKUP($Q30,武学奇术!$A:$ZZ,24,FALSE)=1,100%,MIN(40%,$B$10+VLOOKUP($Q30,武学奇术!$A:$ZZ,19,FALSE)+SUM(_xlfn.XLOOKUP($R30:$AK30,增益!$A:$A,增益!$S:$S,0)))+$B$12+SUM(_xlfn.XLOOKUP($R30:$AK30,增益!$A:$A,增益!$V:$V,0)))*IF(VLOOKUP($Q30,武学奇术!$A:$ZZ,23,FALSE)=1,0,1)</f>
        <v>0.0929</v>
      </c>
      <c r="BR30" s="27" cm="1">
        <f t="array" ref="BR30">1+$B$14+VLOOKUP($Q30,武学奇术!$A:$ZZ,20,FALSE)+SUM(_xlfn.XLOOKUP($R30:$AK30,增益!$A:$A,增益!$T:$T,0))</f>
        <v>1.35</v>
      </c>
      <c r="BS30" s="27">
        <f t="shared" si="9"/>
        <v>0.87863408</v>
      </c>
      <c r="BT30" s="27">
        <f t="shared" si="10"/>
        <v>0.01567581</v>
      </c>
      <c r="BU30" s="27">
        <f>IF(VLOOKUP($Q30,武学奇术!$A:$ZZ,22,FALSE)=1,0,(1-$BN30))*(1-$BQ30)</f>
        <v>0.01279011</v>
      </c>
      <c r="BV30" s="27" cm="1">
        <f t="array" ref="BV30">SUM(_xlfn.XLOOKUP($R30:$AK30,增益!$A:$A,增益!$W:$W,0))+$I$5</f>
        <v>0.11</v>
      </c>
    </row>
    <row r="31" spans="1:74">
      <c r="K31" s="40">
        <f t="shared" si="0"/>
        <v>17149.4268221835</v>
      </c>
      <c r="L31" s="40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BP31*$P31*(1+IF(VLOOKUP($Q31,武学奇术!$A:$ZZ,30,FALSE)="蓄力技",$B$21,0))*(1+$BV31)</f>
        <v>17779.5289510976</v>
      </c>
      <c r="M31" s="40">
        <f>(($AT31*$AM31+$AN31)*(1+$AU31)*(1+$AV31)+($AY31*IF($G$1="鸣金",$AO31,$AM31)+IF($G$1="鸣金",$AP31*1.5,0))*(1+$AZ31)*(1+$BA31)+($BC31*IF($G$1="裂石",$AO31,$AM31)+IF($G$1="裂石",$AP31*1.5,0))*(1+$BD31)*(1+$BE31)+($BG31*IF($G$1="牵丝",$AO31,$AM31)+IF($G$1="牵丝",$AP31*1.5,0))*(1+$BH31)*(1+$BI31)+($BK31*IF($G$1="破竹",$AO31,$AM31)+IF($G$1="破竹",$AP31*1.5,0))*(1+$BL31)*(1+$BM31))*(1+$AQ31)*$BR31*$P31*(1+IF(VLOOKUP($Q31,武学奇术!$A:$ZZ,30,FALSE)="蓄力技",$B$21,0))*(1+$BV31)</f>
        <v>13871.7895780858</v>
      </c>
      <c r="N31" s="40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P31*(1+IF(VLOOKUP($Q31,武学奇术!$A:$ZZ,30,FALSE)="蓄力技",$B$21,0))*(1+$BV31)</f>
        <v>8979.56007631189</v>
      </c>
      <c r="O31" s="40">
        <f>((($AS31*$AM31+$AN31)*(1+$AU31)*(1+$AV31)+($AX31*IF($G$1="鸣金",$AO31,$AM31)+IF($G$1="鸣金",$AP31*1.5,0))*(1+$AZ31)*(1+$BA31)+($BB31*IF($G$1="裂石",$AO31,$AM31)+IF($G$1="裂石",$AP31*1.5,0))*(1+$BD31)*(1+$BE31)+($BF31*IF($G$1="牵丝",$AO31,$AM31)+IF($G$1="牵丝",$AP31*1.5,0))*(1+$BH31)*(1+$BI31)+($BJ31*IF($G$1="破竹",$AO31,$AM31)+IF($G$1="破竹",$AP31*1.5,0))*(1+$BL31)*(1+$BM31))*(1+$AQ31))*$P31*(1+IF(VLOOKUP($Q31,武学奇术!$A:$ZZ,30,FALSE)="蓄力技",$B$21,0))*(1+$BV31)</f>
        <v>7683.7204651528</v>
      </c>
      <c r="P31" s="41">
        <v>1</v>
      </c>
      <c r="Q31" s="42" t="s">
        <v>112</v>
      </c>
      <c r="R31" s="42" t="s">
        <v>103</v>
      </c>
      <c r="S31" s="42" t="s">
        <v>169</v>
      </c>
      <c r="T31" s="42" t="s">
        <v>86</v>
      </c>
      <c r="U31" s="42" t="s">
        <v>121</v>
      </c>
      <c r="V31" s="42" t="s">
        <v>77</v>
      </c>
      <c r="W31" s="42" t="s">
        <v>77</v>
      </c>
      <c r="X31" s="42" t="s">
        <v>170</v>
      </c>
      <c r="Y31" s="42" t="s">
        <v>77</v>
      </c>
      <c r="Z31" s="42" t="s">
        <v>77</v>
      </c>
      <c r="AA31" s="42" t="s">
        <v>73</v>
      </c>
      <c r="AB31" s="42" t="s">
        <v>77</v>
      </c>
      <c r="AC31" s="42" t="s">
        <v>77</v>
      </c>
      <c r="AD31" s="42" t="s">
        <v>77</v>
      </c>
      <c r="AE31" s="42" t="s">
        <v>81</v>
      </c>
      <c r="AF31" s="42" t="s">
        <v>82</v>
      </c>
      <c r="AG31" s="42" t="s">
        <v>77</v>
      </c>
      <c r="AH31" s="42" t="s">
        <v>77</v>
      </c>
      <c r="AI31" s="42" t="s">
        <v>77</v>
      </c>
      <c r="AJ31" s="42" t="s">
        <v>77</v>
      </c>
      <c r="AK31" s="42" t="s">
        <v>77</v>
      </c>
      <c r="AL31" t="str">
        <f>VLOOKUP($Q31,武学奇术!$A:$ZZ,25,FALSE)</f>
        <v>陌刀</v>
      </c>
      <c r="AM31" s="27">
        <f>VLOOKUP($Q31,武学奇术!$A:$ZZ,26,FALSE)</f>
        <v>0.5</v>
      </c>
      <c r="AN31" s="28">
        <f>VLOOKUP($Q31,武学奇术!$A:$ZZ,27,FALSE)*(1+IF(OR($AL31=$F$4,$AL31=$F$5),$B$22,0))</f>
        <v>0</v>
      </c>
      <c r="AO31" s="27">
        <f>VLOOKUP($Q31,武学奇术!$A:$ZZ,28,FALSE)</f>
        <v>0.75</v>
      </c>
      <c r="AP31" s="28">
        <f>VLOOKUP($Q31,武学奇术!$A:$ZZ,29,FALSE)*(1+IF(OR($AL31=$F$4,$AL31=$F$5),$B$22,0))</f>
        <v>0</v>
      </c>
      <c r="AQ31" s="27" cm="1">
        <f t="array" ref="AQ31">$G$3+IFERROR(VLOOKUP($AL31,$F$4:$G$7,2,FALSE),0)+VLOOKUP($Q31,武学奇术!$A:$ZZ,2,FALSE)+SUM(_xlfn.XLOOKUP($R31:$AK31,增益!$A:$A,增益!$B:$B,0))</f>
        <v>0.7341</v>
      </c>
      <c r="AR31" s="27" cm="1">
        <f t="array" ref="AR31">VLOOKUP($Q31,武学奇术!$A:$ZZ,5,FALSE)+SUM(_xlfn.XLOOKUP($R31:$AK31,增益!$A:$A,增益!$E:$E,0))</f>
        <v>0</v>
      </c>
      <c r="AS31" cm="1">
        <f t="array" ref="AS31">$D$10*(1+$AR31)+VLOOKUP($Q31,武学奇术!$A:$ZZ,3,FALSE)+SUM(_xlfn.XLOOKUP($R31:$AK31,增益!$A:$A,增益!$C:$C,0))-$I$2</f>
        <v>3586.7</v>
      </c>
      <c r="AT31" cm="1">
        <f t="array" ref="AT31">$E$10*(1+$AR31)+VLOOKUP($Q31,武学奇术!$A:$ZZ,4,FALSE)+SUM(_xlfn.XLOOKUP($R31:$AK31,增益!$A:$A,增益!$D:$D,0))-$I$2</f>
        <v>3586.7</v>
      </c>
      <c r="AU31" s="34" cm="1">
        <f t="array" ref="AU31">IF($F$10-$I$3+VLOOKUP($Q31,武学奇术!$A:$ZZ,6,FALSE)+SUM(_xlfn.XLOOKUP($R31:$AK31,增益!$A:$A,增益!$F:$F,0))&gt;0,($F$10-$I$3+VLOOKUP($Q31,武学奇术!$A:$ZZ,6,FALSE)+SUM(_xlfn.XLOOKUP($R31:$AK31,增益!$A:$A,增益!$F:$F,0)))/200,($F$10-$I$3+VLOOKUP($Q31,武学奇术!$A:$ZZ,6,FALSE)+SUM(_xlfn.XLOOKUP($R31:$AK31,增益!$A:$A,增益!$F:$F,0)))/100)</f>
        <v>0.352</v>
      </c>
      <c r="AV31" s="34" cm="1">
        <f t="array" ref="AV31">$G$10+VLOOKUP($Q31,武学奇术!$A:$ZZ,7,FALSE)+SUM(_xlfn.XLOOKUP($R31:$AK31,增益!$A:$A,增益!$G:$G,0))</f>
        <v>0</v>
      </c>
      <c r="AW31" s="27" cm="1">
        <f t="array" ref="AW31">VLOOKUP($Q31,武学奇术!$A:$ZZ,8,FALSE)+SUM(_xlfn.XLOOKUP($R31:$AK31,增益!$A:$A,增益!$H:$H,0))</f>
        <v>0</v>
      </c>
      <c r="AX31">
        <f t="shared" si="1"/>
        <v>0</v>
      </c>
      <c r="AY31">
        <f t="shared" si="2"/>
        <v>0</v>
      </c>
      <c r="AZ31" s="34" cm="1">
        <f t="array" ref="AZ31">IF($F$11-$I$4+VLOOKUP($Q31,武学奇术!$A:$ZZ,9,FALSE)+SUM(_xlfn.XLOOKUP($R31:$AK31,增益!$A:$A,增益!$I:$I,0))&gt;0,($F$11-$I$4+VLOOKUP($Q31,武学奇术!$A:$ZZ,9,FALSE)+SUM(_xlfn.XLOOKUP($R31:$AK31,增益!$A:$A,增益!$I:$I,0)))/200,($F$11-$I$4+VLOOKUP($Q31,武学奇术!$A:$ZZ,9,FALSE)+SUM(_xlfn.XLOOKUP($R31:$AK31,增益!$A:$A,增益!$I:$I,0)))/100)</f>
        <v>-0.14</v>
      </c>
      <c r="BA31" s="34" cm="1">
        <f t="array" ref="BA31">$G$11+VLOOKUP($Q31,武学奇术!$A:$ZZ,10,FALSE)+SUM(_xlfn.XLOOKUP($R31:$AK31,增益!$A:$A,增益!$J:$J,0))</f>
        <v>0</v>
      </c>
      <c r="BB31">
        <f t="shared" si="3"/>
        <v>594.1</v>
      </c>
      <c r="BC31">
        <f t="shared" si="4"/>
        <v>1604.9</v>
      </c>
      <c r="BD31" s="34" cm="1">
        <f t="array" ref="BD31">IF($F$12-$I$4+VLOOKUP($Q31,武学奇术!$A:$ZZ,11,FALSE)+SUM(_xlfn.XLOOKUP($R31:$AK31,增益!$A:$A,增益!$K:$K,0))&gt;0,($F$12-$I$4+VLOOKUP($Q31,武学奇术!$A:$ZZ,11,FALSE)+SUM(_xlfn.XLOOKUP($R31:$AK31,增益!$A:$A,增益!$K:$K,0)))/200,($F$12-$I$4+VLOOKUP($Q31,武学奇术!$A:$ZZ,11,FALSE)+SUM(_xlfn.XLOOKUP($R31:$AK31,增益!$A:$A,增益!$K:$K,0)))/100)</f>
        <v>0.17</v>
      </c>
      <c r="BE31" s="34" cm="1">
        <f t="array" ref="BE31">$G$12+VLOOKUP($Q31,武学奇术!$A:$ZZ,12,FALSE)+SUM(_xlfn.XLOOKUP($R31:$AK31,增益!$A:$A,增益!$L:$L,0))</f>
        <v>0.15</v>
      </c>
      <c r="BF31">
        <f t="shared" si="5"/>
        <v>0</v>
      </c>
      <c r="BG31">
        <f t="shared" si="6"/>
        <v>0</v>
      </c>
      <c r="BH31" s="34" cm="1">
        <f t="array" ref="BH31">IF($F$13-$I$4+VLOOKUP($Q31,武学奇术!$A:$ZZ,13,FALSE)+SUM(_xlfn.XLOOKUP($R31:$AK31,增益!$A:$A,增益!$M:$M,0))&gt;0,($F$13-$I$4+VLOOKUP($Q31,武学奇术!$A:$ZZ,13,FALSE)+SUM(_xlfn.XLOOKUP($R31:$AK31,增益!$A:$A,增益!$K:$K,0)))/200,($F$13-$I$4+VLOOKUP($Q31,武学奇术!$A:$ZZ,13,FALSE)+SUM(_xlfn.XLOOKUP($R31:$AK31,增益!$A:$A,增益!$M:$M,0)))/100)</f>
        <v>-0.14</v>
      </c>
      <c r="BI31" s="34" cm="1">
        <f t="array" ref="BI31">$G$13+VLOOKUP($Q31,武学奇术!$A:$ZZ,14,FALSE)+SUM(_xlfn.XLOOKUP($R31:$AK31,增益!$A:$A,增益!$N:$N,0))</f>
        <v>0</v>
      </c>
      <c r="BJ31">
        <f t="shared" si="7"/>
        <v>0</v>
      </c>
      <c r="BK31">
        <f t="shared" si="8"/>
        <v>0</v>
      </c>
      <c r="BL31" s="34" cm="1">
        <f t="array" ref="BL31">IF($F$14-$I$4+VLOOKUP($Q31,武学奇术!$A:$ZZ,15,FALSE)+SUM(_xlfn.XLOOKUP($R31:$AK31,增益!$A:$A,增益!$O:$O,0))&gt;0,($F$14-$I$4+VLOOKUP($Q31,武学奇术!$A:$ZZ,15,FALSE)+SUM(_xlfn.XLOOKUP($R31:$AK31,增益!$A:$A,增益!$O:$O,0)))/200,($F$14-$I$4+VLOOKUP($Q31,武学奇术!$A:$ZZ,15,FALSE)+SUM(_xlfn.XLOOKUP($R31:$AK31,增益!$A:$A,增益!$O:$O,0)))/100)</f>
        <v>-0.14</v>
      </c>
      <c r="BM31" s="34" cm="1">
        <f t="array" ref="BM31">$G$14+VLOOKUP($Q31,武学奇术!$A:$ZZ,16,FALSE)+SUM(_xlfn.XLOOKUP($R31:$AK31,增益!$A:$A,增益!$P:$P,0))</f>
        <v>0</v>
      </c>
      <c r="BN31" s="27">
        <f>MIN(IF(VLOOKUP($Q31,武学奇术!$A:$ZZ,23,FALSE)=1,100%,$B$8),100%)</f>
        <v>0.9859</v>
      </c>
      <c r="BO31" s="27" cm="1">
        <f t="array" ref="BO31">IF(VLOOKUP($Q31,武学奇术!$A:$ZZ,23,FALSE)=1,100%,MIN(80%,$B$9+VLOOKUP($Q31,武学奇术!$A:$ZZ,17,FALSE)+SUM(_xlfn.XLOOKUP($R31:$AK31,增益!$A:$A,增益!$Q:$Q,0)))+$B$11+SUM(_xlfn.XLOOKUP($R31:$AK31,增益!$A:$A,增益!$U:$U,0)))*IF(VLOOKUP($Q31,武学奇术!$A:$ZZ,24,FALSE)=1,0,1)</f>
        <v>0.8912</v>
      </c>
      <c r="BP31" s="27" cm="1">
        <f t="array" ref="BP31">1+$B$13+VLOOKUP($Q31,武学奇术!$A:$ZZ,18,FALSE)+SUM(_xlfn.XLOOKUP($R31:$AK31,增益!$A:$A,增益!$R:$R,0))</f>
        <v>1.98</v>
      </c>
      <c r="BQ31" s="27" cm="1">
        <f t="array" ref="BQ31">IF(VLOOKUP($Q31,武学奇术!$A:$ZZ,24,FALSE)=1,100%,MIN(40%,$B$10+VLOOKUP($Q31,武学奇术!$A:$ZZ,19,FALSE)+SUM(_xlfn.XLOOKUP($R31:$AK31,增益!$A:$A,增益!$S:$S,0)))+$B$12+SUM(_xlfn.XLOOKUP($R31:$AK31,增益!$A:$A,增益!$V:$V,0)))*IF(VLOOKUP($Q31,武学奇术!$A:$ZZ,23,FALSE)=1,0,1)</f>
        <v>0.0929</v>
      </c>
      <c r="BR31" s="27" cm="1">
        <f t="array" ref="BR31">1+$B$14+VLOOKUP($Q31,武学奇术!$A:$ZZ,20,FALSE)+SUM(_xlfn.XLOOKUP($R31:$AK31,增益!$A:$A,增益!$T:$T,0))</f>
        <v>1.35</v>
      </c>
      <c r="BS31" s="27">
        <f t="shared" si="9"/>
        <v>0.87863408</v>
      </c>
      <c r="BT31" s="27">
        <f t="shared" si="10"/>
        <v>0.01567581</v>
      </c>
      <c r="BU31" s="27">
        <f>IF(VLOOKUP($Q31,武学奇术!$A:$ZZ,22,FALSE)=1,0,(1-$BN31))*(1-$BQ31)</f>
        <v>0.01279011</v>
      </c>
      <c r="BV31" s="27" cm="1">
        <f t="array" ref="BV31">SUM(_xlfn.XLOOKUP($R31:$AK31,增益!$A:$A,增益!$W:$W,0))+$I$5</f>
        <v>0.11</v>
      </c>
    </row>
    <row r="32" spans="1:74">
      <c r="K32" s="40">
        <f t="shared" si="0"/>
        <v>33619.4729257117</v>
      </c>
      <c r="L32" s="40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BP32*$P32*(1+IF(VLOOKUP($Q32,武学奇术!$A:$ZZ,30,FALSE)="蓄力技",$B$21,0))*(1+$BV32)</f>
        <v>33619.4729257117</v>
      </c>
      <c r="M32" s="40">
        <f>(($AT32*$AM32+$AN32)*(1+$AU32)*(1+$AV32)+($AY32*IF($G$1="鸣金",$AO32,$AM32)+IF($G$1="鸣金",$AP32*1.5,0))*(1+$AZ32)*(1+$BA32)+($BC32*IF($G$1="裂石",$AO32,$AM32)+IF($G$1="裂石",$AP32*1.5,0))*(1+$BD32)*(1+$BE32)+($BG32*IF($G$1="牵丝",$AO32,$AM32)+IF($G$1="牵丝",$AP32*1.5,0))*(1+$BH32)*(1+$BI32)+($BK32*IF($G$1="破竹",$AO32,$AM32)+IF($G$1="破竹",$AP32*1.5,0))*(1+$BL32)*(1+$BM32))*(1+$AQ32)*$BR32*$P32*(1+IF(VLOOKUP($Q32,武学奇术!$A:$ZZ,30,FALSE)="蓄力技",$B$21,0))*(1+$BV32)</f>
        <v>24969.2212405545</v>
      </c>
      <c r="N32" s="40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P32*(1+IF(VLOOKUP($Q32,武学奇术!$A:$ZZ,30,FALSE)="蓄力技",$B$21,0))*(1+$BV32)</f>
        <v>16163.2081373614</v>
      </c>
      <c r="O32" s="40">
        <f>((($AS32*$AM32+$AN32)*(1+$AU32)*(1+$AV32)+($AX32*IF($G$1="鸣金",$AO32,$AM32)+IF($G$1="鸣金",$AP32*1.5,0))*(1+$AZ32)*(1+$BA32)+($BB32*IF($G$1="裂石",$AO32,$AM32)+IF($G$1="裂石",$AP32*1.5,0))*(1+$BD32)*(1+$BE32)+($BF32*IF($G$1="牵丝",$AO32,$AM32)+IF($G$1="牵丝",$AP32*1.5,0))*(1+$BH32)*(1+$BI32)+($BJ32*IF($G$1="破竹",$AO32,$AM32)+IF($G$1="破竹",$AP32*1.5,0))*(1+$BL32)*(1+$BM32))*(1+$AQ32))*$P32*(1+IF(VLOOKUP($Q32,武学奇术!$A:$ZZ,30,FALSE)="蓄力技",$B$21,0))*(1+$BV32)</f>
        <v>13830.696837275</v>
      </c>
      <c r="P32" s="41">
        <v>1</v>
      </c>
      <c r="Q32" s="42" t="s">
        <v>117</v>
      </c>
      <c r="R32" s="42" t="s">
        <v>103</v>
      </c>
      <c r="S32" s="42" t="s">
        <v>169</v>
      </c>
      <c r="T32" s="42" t="s">
        <v>86</v>
      </c>
      <c r="U32" s="42" t="s">
        <v>121</v>
      </c>
      <c r="V32" s="42" t="s">
        <v>118</v>
      </c>
      <c r="W32" s="42" t="s">
        <v>77</v>
      </c>
      <c r="X32" s="42" t="s">
        <v>170</v>
      </c>
      <c r="Y32" s="42" t="s">
        <v>77</v>
      </c>
      <c r="Z32" s="42" t="s">
        <v>77</v>
      </c>
      <c r="AA32" s="42" t="s">
        <v>73</v>
      </c>
      <c r="AB32" s="42" t="s">
        <v>77</v>
      </c>
      <c r="AC32" s="42" t="s">
        <v>77</v>
      </c>
      <c r="AD32" s="42" t="s">
        <v>77</v>
      </c>
      <c r="AE32" s="42" t="s">
        <v>81</v>
      </c>
      <c r="AF32" s="42" t="s">
        <v>82</v>
      </c>
      <c r="AG32" s="42" t="s">
        <v>77</v>
      </c>
      <c r="AH32" s="42" t="s">
        <v>77</v>
      </c>
      <c r="AI32" s="42" t="s">
        <v>77</v>
      </c>
      <c r="AJ32" s="42" t="s">
        <v>77</v>
      </c>
      <c r="AK32" s="42" t="s">
        <v>77</v>
      </c>
      <c r="AL32" t="str">
        <f>VLOOKUP($Q32,武学奇术!$A:$ZZ,25,FALSE)</f>
        <v>陌刀</v>
      </c>
      <c r="AM32" s="27">
        <f>VLOOKUP($Q32,武学奇术!$A:$ZZ,26,FALSE)</f>
        <v>0.9</v>
      </c>
      <c r="AN32" s="28">
        <f>VLOOKUP($Q32,武学奇术!$A:$ZZ,27,FALSE)*(1+IF(OR($AL32=$F$4,$AL32=$F$5),$B$22,0))</f>
        <v>0</v>
      </c>
      <c r="AO32" s="27">
        <f>VLOOKUP($Q32,武学奇术!$A:$ZZ,28,FALSE)</f>
        <v>1.35</v>
      </c>
      <c r="AP32" s="28">
        <f>VLOOKUP($Q32,武学奇术!$A:$ZZ,29,FALSE)*(1+IF(OR($AL32=$F$4,$AL32=$F$5),$B$22,0))</f>
        <v>0</v>
      </c>
      <c r="AQ32" s="27" cm="1">
        <f t="array" ref="AQ32">$G$3+IFERROR(VLOOKUP($AL32,$F$4:$G$7,2,FALSE),0)+VLOOKUP($Q32,武学奇术!$A:$ZZ,2,FALSE)+SUM(_xlfn.XLOOKUP($R32:$AK32,增益!$A:$A,增益!$B:$B,0))</f>
        <v>0.7341</v>
      </c>
      <c r="AR32" s="27" cm="1">
        <f t="array" ref="AR32">VLOOKUP($Q32,武学奇术!$A:$ZZ,5,FALSE)+SUM(_xlfn.XLOOKUP($R32:$AK32,增益!$A:$A,增益!$E:$E,0))</f>
        <v>0</v>
      </c>
      <c r="AS32" cm="1">
        <f t="array" ref="AS32">$D$10*(1+$AR32)+VLOOKUP($Q32,武学奇术!$A:$ZZ,3,FALSE)+SUM(_xlfn.XLOOKUP($R32:$AK32,增益!$A:$A,增益!$C:$C,0))-$I$2</f>
        <v>3586.7</v>
      </c>
      <c r="AT32" cm="1">
        <f t="array" ref="AT32">$E$10*(1+$AR32)+VLOOKUP($Q32,武学奇术!$A:$ZZ,4,FALSE)+SUM(_xlfn.XLOOKUP($R32:$AK32,增益!$A:$A,增益!$D:$D,0))-$I$2</f>
        <v>3586.7</v>
      </c>
      <c r="AU32" s="34" cm="1">
        <f t="array" ref="AU32">IF($F$10-$I$3+VLOOKUP($Q32,武学奇术!$A:$ZZ,6,FALSE)+SUM(_xlfn.XLOOKUP($R32:$AK32,增益!$A:$A,增益!$F:$F,0))&gt;0,($F$10-$I$3+VLOOKUP($Q32,武学奇术!$A:$ZZ,6,FALSE)+SUM(_xlfn.XLOOKUP($R32:$AK32,增益!$A:$A,增益!$F:$F,0)))/200,($F$10-$I$3+VLOOKUP($Q32,武学奇术!$A:$ZZ,6,FALSE)+SUM(_xlfn.XLOOKUP($R32:$AK32,增益!$A:$A,增益!$F:$F,0)))/100)</f>
        <v>0.352</v>
      </c>
      <c r="AV32" s="34" cm="1">
        <f t="array" ref="AV32">$G$10+VLOOKUP($Q32,武学奇术!$A:$ZZ,7,FALSE)+SUM(_xlfn.XLOOKUP($R32:$AK32,增益!$A:$A,增益!$G:$G,0))</f>
        <v>0</v>
      </c>
      <c r="AW32" s="27" cm="1">
        <f t="array" ref="AW32">VLOOKUP($Q32,武学奇术!$A:$ZZ,8,FALSE)+SUM(_xlfn.XLOOKUP($R32:$AK32,增益!$A:$A,增益!$H:$H,0))</f>
        <v>0</v>
      </c>
      <c r="AX32">
        <f t="shared" si="1"/>
        <v>0</v>
      </c>
      <c r="AY32">
        <f t="shared" si="2"/>
        <v>0</v>
      </c>
      <c r="AZ32" s="34" cm="1">
        <f t="array" ref="AZ32">IF($F$11-$I$4+VLOOKUP($Q32,武学奇术!$A:$ZZ,9,FALSE)+SUM(_xlfn.XLOOKUP($R32:$AK32,增益!$A:$A,增益!$I:$I,0))&gt;0,($F$11-$I$4+VLOOKUP($Q32,武学奇术!$A:$ZZ,9,FALSE)+SUM(_xlfn.XLOOKUP($R32:$AK32,增益!$A:$A,增益!$I:$I,0)))/200,($F$11-$I$4+VLOOKUP($Q32,武学奇术!$A:$ZZ,9,FALSE)+SUM(_xlfn.XLOOKUP($R32:$AK32,增益!$A:$A,增益!$I:$I,0)))/100)</f>
        <v>-0.14</v>
      </c>
      <c r="BA32" s="34" cm="1">
        <f t="array" ref="BA32">$G$11+VLOOKUP($Q32,武学奇术!$A:$ZZ,10,FALSE)+SUM(_xlfn.XLOOKUP($R32:$AK32,增益!$A:$A,增益!$J:$J,0))</f>
        <v>0</v>
      </c>
      <c r="BB32">
        <f t="shared" si="3"/>
        <v>594.1</v>
      </c>
      <c r="BC32">
        <f t="shared" si="4"/>
        <v>1604.9</v>
      </c>
      <c r="BD32" s="34" cm="1">
        <f t="array" ref="BD32">IF($F$12-$I$4+VLOOKUP($Q32,武学奇术!$A:$ZZ,11,FALSE)+SUM(_xlfn.XLOOKUP($R32:$AK32,增益!$A:$A,增益!$K:$K,0))&gt;0,($F$12-$I$4+VLOOKUP($Q32,武学奇术!$A:$ZZ,11,FALSE)+SUM(_xlfn.XLOOKUP($R32:$AK32,增益!$A:$A,增益!$K:$K,0)))/200,($F$12-$I$4+VLOOKUP($Q32,武学奇术!$A:$ZZ,11,FALSE)+SUM(_xlfn.XLOOKUP($R32:$AK32,增益!$A:$A,增益!$K:$K,0)))/100)</f>
        <v>0.17</v>
      </c>
      <c r="BE32" s="34" cm="1">
        <f t="array" ref="BE32">$G$12+VLOOKUP($Q32,武学奇术!$A:$ZZ,12,FALSE)+SUM(_xlfn.XLOOKUP($R32:$AK32,增益!$A:$A,增益!$L:$L,0))</f>
        <v>0.15</v>
      </c>
      <c r="BF32">
        <f t="shared" si="5"/>
        <v>0</v>
      </c>
      <c r="BG32">
        <f t="shared" si="6"/>
        <v>0</v>
      </c>
      <c r="BH32" s="34" cm="1">
        <f t="array" ref="BH32">IF($F$13-$I$4+VLOOKUP($Q32,武学奇术!$A:$ZZ,13,FALSE)+SUM(_xlfn.XLOOKUP($R32:$AK32,增益!$A:$A,增益!$M:$M,0))&gt;0,($F$13-$I$4+VLOOKUP($Q32,武学奇术!$A:$ZZ,13,FALSE)+SUM(_xlfn.XLOOKUP($R32:$AK32,增益!$A:$A,增益!$K:$K,0)))/200,($F$13-$I$4+VLOOKUP($Q32,武学奇术!$A:$ZZ,13,FALSE)+SUM(_xlfn.XLOOKUP($R32:$AK32,增益!$A:$A,增益!$M:$M,0)))/100)</f>
        <v>-0.14</v>
      </c>
      <c r="BI32" s="34" cm="1">
        <f t="array" ref="BI32">$G$13+VLOOKUP($Q32,武学奇术!$A:$ZZ,14,FALSE)+SUM(_xlfn.XLOOKUP($R32:$AK32,增益!$A:$A,增益!$N:$N,0))</f>
        <v>0</v>
      </c>
      <c r="BJ32">
        <f t="shared" si="7"/>
        <v>0</v>
      </c>
      <c r="BK32">
        <f t="shared" si="8"/>
        <v>0</v>
      </c>
      <c r="BL32" s="34" cm="1">
        <f t="array" ref="BL32">IF($F$14-$I$4+VLOOKUP($Q32,武学奇术!$A:$ZZ,15,FALSE)+SUM(_xlfn.XLOOKUP($R32:$AK32,增益!$A:$A,增益!$O:$O,0))&gt;0,($F$14-$I$4+VLOOKUP($Q32,武学奇术!$A:$ZZ,15,FALSE)+SUM(_xlfn.XLOOKUP($R32:$AK32,增益!$A:$A,增益!$O:$O,0)))/200,($F$14-$I$4+VLOOKUP($Q32,武学奇术!$A:$ZZ,15,FALSE)+SUM(_xlfn.XLOOKUP($R32:$AK32,增益!$A:$A,增益!$O:$O,0)))/100)</f>
        <v>-0.14</v>
      </c>
      <c r="BM32" s="34" cm="1">
        <f t="array" ref="BM32">$G$14+VLOOKUP($Q32,武学奇术!$A:$ZZ,16,FALSE)+SUM(_xlfn.XLOOKUP($R32:$AK32,增益!$A:$A,增益!$P:$P,0))</f>
        <v>0</v>
      </c>
      <c r="BN32" s="27">
        <f>MIN(IF(VLOOKUP($Q32,武学奇术!$A:$ZZ,23,FALSE)=1,100%,$B$8),100%)</f>
        <v>1</v>
      </c>
      <c r="BO32" s="27" cm="1">
        <f t="array" ref="BO32">IF(VLOOKUP($Q32,武学奇术!$A:$ZZ,23,FALSE)=1,100%,MIN(80%,$B$9+VLOOKUP($Q32,武学奇术!$A:$ZZ,17,FALSE)+SUM(_xlfn.XLOOKUP($R32:$AK32,增益!$A:$A,增益!$Q:$Q,0)))+$B$11+SUM(_xlfn.XLOOKUP($R32:$AK32,增益!$A:$A,增益!$U:$U,0)))*IF(VLOOKUP($Q32,武学奇术!$A:$ZZ,24,FALSE)=1,0,1)</f>
        <v>1</v>
      </c>
      <c r="BP32" s="27" cm="1">
        <f t="array" ref="BP32">1+$B$13+VLOOKUP($Q32,武学奇术!$A:$ZZ,18,FALSE)+SUM(_xlfn.XLOOKUP($R32:$AK32,增益!$A:$A,增益!$R:$R,0))</f>
        <v>2.08</v>
      </c>
      <c r="BQ32" s="27" cm="1">
        <f t="array" ref="BQ32">IF(VLOOKUP($Q32,武学奇术!$A:$ZZ,24,FALSE)=1,100%,MIN(40%,$B$10+VLOOKUP($Q32,武学奇术!$A:$ZZ,19,FALSE)+SUM(_xlfn.XLOOKUP($R32:$AK32,增益!$A:$A,增益!$S:$S,0)))+$B$12+SUM(_xlfn.XLOOKUP($R32:$AK32,增益!$A:$A,增益!$V:$V,0)))*IF(VLOOKUP($Q32,武学奇术!$A:$ZZ,23,FALSE)=1,0,1)</f>
        <v>0</v>
      </c>
      <c r="BR32" s="27" cm="1">
        <f t="array" ref="BR32">1+$B$14+VLOOKUP($Q32,武学奇术!$A:$ZZ,20,FALSE)+SUM(_xlfn.XLOOKUP($R32:$AK32,增益!$A:$A,增益!$T:$T,0))</f>
        <v>1.35</v>
      </c>
      <c r="BS32" s="27">
        <f t="shared" si="9"/>
        <v>1</v>
      </c>
      <c r="BT32" s="27">
        <f t="shared" si="10"/>
        <v>0</v>
      </c>
      <c r="BU32" s="27">
        <f>IF(VLOOKUP($Q32,武学奇术!$A:$ZZ,22,FALSE)=1,0,(1-$BN32))*(1-$BQ32)</f>
        <v>0</v>
      </c>
      <c r="BV32" s="27" cm="1">
        <f t="array" ref="BV32">SUM(_xlfn.XLOOKUP($R32:$AK32,增益!$A:$A,增益!$W:$W,0))+$I$5</f>
        <v>0.11</v>
      </c>
    </row>
    <row r="33" spans="5:74">
      <c r="K33" s="40">
        <f t="shared" si="0"/>
        <v>324906.729127808</v>
      </c>
      <c r="L33" s="40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BP33*$P33*(1+IF(VLOOKUP($Q33,武学奇术!$A:$ZZ,30,FALSE)="蓄力技",$B$21,0))*(1+$BV33)</f>
        <v>324906.729127808</v>
      </c>
      <c r="M33" s="40">
        <f>(($AT33*$AM33+$AN33)*(1+$AU33)*(1+$AV33)+($AY33*IF($G$1="鸣金",$AO33,$AM33)+IF($G$1="鸣金",$AP33*1.5,0))*(1+$AZ33)*(1+$BA33)+($BC33*IF($G$1="裂石",$AO33,$AM33)+IF($G$1="裂石",$AP33*1.5,0))*(1+$BD33)*(1+$BE33)+($BG33*IF($G$1="牵丝",$AO33,$AM33)+IF($G$1="牵丝",$AP33*1.5,0))*(1+$BH33)*(1+$BI33)+($BK33*IF($G$1="破竹",$AO33,$AM33)+IF($G$1="破竹",$AP33*1.5,0))*(1+$BL33)*(1+$BM33))*(1+$AQ33)*$BR33*$P33*(1+IF(VLOOKUP($Q33,武学奇术!$A:$ZZ,30,FALSE)="蓄力技",$B$21,0))*(1+$BV33)</f>
        <v>236344.785198985</v>
      </c>
      <c r="N33" s="40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P33*(1+IF(VLOOKUP($Q33,武学奇术!$A:$ZZ,30,FALSE)="蓄力技",$B$21,0))*(1+$BV33)</f>
        <v>155457.765132922</v>
      </c>
      <c r="O33" s="40">
        <f>((($AS33*$AM33+$AN33)*(1+$AU33)*(1+$AV33)+($AX33*IF($G$1="鸣金",$AO33,$AM33)+IF($G$1="鸣金",$AP33*1.5,0))*(1+$AZ33)*(1+$BA33)+($BB33*IF($G$1="裂石",$AO33,$AM33)+IF($G$1="裂石",$AP33*1.5,0))*(1+$BD33)*(1+$BE33)+($BF33*IF($G$1="牵丝",$AO33,$AM33)+IF($G$1="牵丝",$AP33*1.5,0))*(1+$BH33)*(1+$BI33)+($BJ33*IF($G$1="破竹",$AO33,$AM33)+IF($G$1="破竹",$AP33*1.5,0))*(1+$BL33)*(1+$BM33))*(1+$AQ33))*$P33*(1+IF(VLOOKUP($Q33,武学奇术!$A:$ZZ,30,FALSE)="蓄力技",$B$21,0))*(1+$BV33)</f>
        <v>135845.319007337</v>
      </c>
      <c r="P33" s="41">
        <v>1</v>
      </c>
      <c r="Q33" s="42" t="s">
        <v>120</v>
      </c>
      <c r="R33" s="42" t="s">
        <v>103</v>
      </c>
      <c r="S33" s="42" t="s">
        <v>169</v>
      </c>
      <c r="T33" s="42" t="s">
        <v>86</v>
      </c>
      <c r="U33" s="42" t="s">
        <v>121</v>
      </c>
      <c r="V33" s="42" t="s">
        <v>118</v>
      </c>
      <c r="W33" s="42" t="s">
        <v>77</v>
      </c>
      <c r="X33" s="42" t="s">
        <v>173</v>
      </c>
      <c r="Y33" s="42" t="s">
        <v>77</v>
      </c>
      <c r="Z33" s="42" t="s">
        <v>77</v>
      </c>
      <c r="AA33" s="42" t="s">
        <v>73</v>
      </c>
      <c r="AB33" s="42" t="s">
        <v>77</v>
      </c>
      <c r="AC33" s="42" t="s">
        <v>77</v>
      </c>
      <c r="AD33" s="42" t="s">
        <v>77</v>
      </c>
      <c r="AE33" s="42" t="s">
        <v>81</v>
      </c>
      <c r="AF33" s="42" t="s">
        <v>82</v>
      </c>
      <c r="AG33" s="42" t="s">
        <v>77</v>
      </c>
      <c r="AH33" s="42" t="s">
        <v>77</v>
      </c>
      <c r="AI33" s="42" t="s">
        <v>77</v>
      </c>
      <c r="AJ33" s="42" t="s">
        <v>77</v>
      </c>
      <c r="AK33" s="42" t="s">
        <v>77</v>
      </c>
      <c r="AL33" t="str">
        <f>VLOOKUP($Q33,武学奇术!$A:$ZZ,25,FALSE)</f>
        <v>陌刀</v>
      </c>
      <c r="AM33" s="27">
        <f>VLOOKUP($Q33,武学奇术!$A:$ZZ,26,FALSE)</f>
        <v>7.5674</v>
      </c>
      <c r="AN33" s="28">
        <f>VLOOKUP($Q33,武学奇术!$A:$ZZ,27,FALSE)*(1+IF(OR($AL33=$F$4,$AL33=$F$5),$B$22,0))</f>
        <v>3139.5</v>
      </c>
      <c r="AO33" s="27">
        <f>VLOOKUP($Q33,武学奇术!$A:$ZZ,28,FALSE)</f>
        <v>11.3512</v>
      </c>
      <c r="AP33" s="28">
        <f>VLOOKUP($Q33,武学奇术!$A:$ZZ,29,FALSE)*(1+IF(OR($AL33=$F$4,$AL33=$F$5),$B$22,0))</f>
        <v>1710</v>
      </c>
      <c r="AQ33" s="27" cm="1">
        <f t="array" ref="AQ33">$G$3+IFERROR(VLOOKUP($AL33,$F$4:$G$7,2,FALSE),0)+VLOOKUP($Q33,武学奇术!$A:$ZZ,2,FALSE)+SUM(_xlfn.XLOOKUP($R33:$AK33,增益!$A:$A,增益!$B:$B,0))</f>
        <v>0.7341</v>
      </c>
      <c r="AR33" s="27" cm="1">
        <f t="array" ref="AR33">VLOOKUP($Q33,武学奇术!$A:$ZZ,5,FALSE)+SUM(_xlfn.XLOOKUP($R33:$AK33,增益!$A:$A,增益!$E:$E,0))</f>
        <v>0</v>
      </c>
      <c r="AS33" cm="1">
        <f t="array" ref="AS33">$D$10*(1+$AR33)+VLOOKUP($Q33,武学奇术!$A:$ZZ,3,FALSE)+SUM(_xlfn.XLOOKUP($R33:$AK33,增益!$A:$A,增益!$C:$C,0))-$I$2</f>
        <v>3586.7</v>
      </c>
      <c r="AT33" cm="1">
        <f t="array" ref="AT33">$E$10*(1+$AR33)+VLOOKUP($Q33,武学奇术!$A:$ZZ,4,FALSE)+SUM(_xlfn.XLOOKUP($R33:$AK33,增益!$A:$A,增益!$D:$D,0))-$I$2</f>
        <v>3586.7</v>
      </c>
      <c r="AU33" s="34" cm="1">
        <f t="array" ref="AU33">IF($F$10-$I$3+VLOOKUP($Q33,武学奇术!$A:$ZZ,6,FALSE)+SUM(_xlfn.XLOOKUP($R33:$AK33,增益!$A:$A,增益!$F:$F,0))&gt;0,($F$10-$I$3+VLOOKUP($Q33,武学奇术!$A:$ZZ,6,FALSE)+SUM(_xlfn.XLOOKUP($R33:$AK33,增益!$A:$A,增益!$F:$F,0)))/200,($F$10-$I$3+VLOOKUP($Q33,武学奇术!$A:$ZZ,6,FALSE)+SUM(_xlfn.XLOOKUP($R33:$AK33,增益!$A:$A,增益!$F:$F,0)))/100)</f>
        <v>0.352</v>
      </c>
      <c r="AV33" s="34" cm="1">
        <f t="array" ref="AV33">$G$10+VLOOKUP($Q33,武学奇术!$A:$ZZ,7,FALSE)+SUM(_xlfn.XLOOKUP($R33:$AK33,增益!$A:$A,增益!$G:$G,0))</f>
        <v>0</v>
      </c>
      <c r="AW33" s="27" cm="1">
        <f t="array" ref="AW33">VLOOKUP($Q33,武学奇术!$A:$ZZ,8,FALSE)+SUM(_xlfn.XLOOKUP($R33:$AK33,增益!$A:$A,增益!$H:$H,0))</f>
        <v>0</v>
      </c>
      <c r="AX33">
        <f t="shared" si="1"/>
        <v>0</v>
      </c>
      <c r="AY33">
        <f t="shared" si="2"/>
        <v>0</v>
      </c>
      <c r="AZ33" s="34" cm="1">
        <f t="array" ref="AZ33">IF($F$11-$I$4+VLOOKUP($Q33,武学奇术!$A:$ZZ,9,FALSE)+SUM(_xlfn.XLOOKUP($R33:$AK33,增益!$A:$A,增益!$I:$I,0))&gt;0,($F$11-$I$4+VLOOKUP($Q33,武学奇术!$A:$ZZ,9,FALSE)+SUM(_xlfn.XLOOKUP($R33:$AK33,增益!$A:$A,增益!$I:$I,0)))/200,($F$11-$I$4+VLOOKUP($Q33,武学奇术!$A:$ZZ,9,FALSE)+SUM(_xlfn.XLOOKUP($R33:$AK33,增益!$A:$A,增益!$I:$I,0)))/100)</f>
        <v>-0.14</v>
      </c>
      <c r="BA33" s="34" cm="1">
        <f t="array" ref="BA33">$G$11+VLOOKUP($Q33,武学奇术!$A:$ZZ,10,FALSE)+SUM(_xlfn.XLOOKUP($R33:$AK33,增益!$A:$A,增益!$J:$J,0))</f>
        <v>0</v>
      </c>
      <c r="BB33">
        <f t="shared" si="3"/>
        <v>594.1</v>
      </c>
      <c r="BC33">
        <f t="shared" si="4"/>
        <v>1604.9</v>
      </c>
      <c r="BD33" s="34" cm="1">
        <f t="array" ref="BD33">IF($F$12-$I$4+VLOOKUP($Q33,武学奇术!$A:$ZZ,11,FALSE)+SUM(_xlfn.XLOOKUP($R33:$AK33,增益!$A:$A,增益!$K:$K,0))&gt;0,($F$12-$I$4+VLOOKUP($Q33,武学奇术!$A:$ZZ,11,FALSE)+SUM(_xlfn.XLOOKUP($R33:$AK33,增益!$A:$A,增益!$K:$K,0)))/200,($F$12-$I$4+VLOOKUP($Q33,武学奇术!$A:$ZZ,11,FALSE)+SUM(_xlfn.XLOOKUP($R33:$AK33,增益!$A:$A,增益!$K:$K,0)))/100)</f>
        <v>0.17</v>
      </c>
      <c r="BE33" s="34" cm="1">
        <f t="array" ref="BE33">$G$12+VLOOKUP($Q33,武学奇术!$A:$ZZ,12,FALSE)+SUM(_xlfn.XLOOKUP($R33:$AK33,增益!$A:$A,增益!$L:$L,0))</f>
        <v>0.15</v>
      </c>
      <c r="BF33">
        <f t="shared" si="5"/>
        <v>0</v>
      </c>
      <c r="BG33">
        <f t="shared" si="6"/>
        <v>0</v>
      </c>
      <c r="BH33" s="34" cm="1">
        <f t="array" ref="BH33">IF($F$13-$I$4+VLOOKUP($Q33,武学奇术!$A:$ZZ,13,FALSE)+SUM(_xlfn.XLOOKUP($R33:$AK33,增益!$A:$A,增益!$M:$M,0))&gt;0,($F$13-$I$4+VLOOKUP($Q33,武学奇术!$A:$ZZ,13,FALSE)+SUM(_xlfn.XLOOKUP($R33:$AK33,增益!$A:$A,增益!$K:$K,0)))/200,($F$13-$I$4+VLOOKUP($Q33,武学奇术!$A:$ZZ,13,FALSE)+SUM(_xlfn.XLOOKUP($R33:$AK33,增益!$A:$A,增益!$M:$M,0)))/100)</f>
        <v>-0.14</v>
      </c>
      <c r="BI33" s="34" cm="1">
        <f t="array" ref="BI33">$G$13+VLOOKUP($Q33,武学奇术!$A:$ZZ,14,FALSE)+SUM(_xlfn.XLOOKUP($R33:$AK33,增益!$A:$A,增益!$N:$N,0))</f>
        <v>0</v>
      </c>
      <c r="BJ33">
        <f t="shared" si="7"/>
        <v>0</v>
      </c>
      <c r="BK33">
        <f t="shared" si="8"/>
        <v>0</v>
      </c>
      <c r="BL33" s="34" cm="1">
        <f t="array" ref="BL33">IF($F$14-$I$4+VLOOKUP($Q33,武学奇术!$A:$ZZ,15,FALSE)+SUM(_xlfn.XLOOKUP($R33:$AK33,增益!$A:$A,增益!$O:$O,0))&gt;0,($F$14-$I$4+VLOOKUP($Q33,武学奇术!$A:$ZZ,15,FALSE)+SUM(_xlfn.XLOOKUP($R33:$AK33,增益!$A:$A,增益!$O:$O,0)))/200,($F$14-$I$4+VLOOKUP($Q33,武学奇术!$A:$ZZ,15,FALSE)+SUM(_xlfn.XLOOKUP($R33:$AK33,增益!$A:$A,增益!$O:$O,0)))/100)</f>
        <v>-0.14</v>
      </c>
      <c r="BM33" s="34" cm="1">
        <f t="array" ref="BM33">$G$14+VLOOKUP($Q33,武学奇术!$A:$ZZ,16,FALSE)+SUM(_xlfn.XLOOKUP($R33:$AK33,增益!$A:$A,增益!$P:$P,0))</f>
        <v>0</v>
      </c>
      <c r="BN33" s="27">
        <f>MIN(IF(VLOOKUP($Q33,武学奇术!$A:$ZZ,23,FALSE)=1,100%,$B$8),100%)</f>
        <v>1</v>
      </c>
      <c r="BO33" s="27" cm="1">
        <f t="array" ref="BO33">IF(VLOOKUP($Q33,武学奇术!$A:$ZZ,23,FALSE)=1,100%,MIN(80%,$B$9+VLOOKUP($Q33,武学奇术!$A:$ZZ,17,FALSE)+SUM(_xlfn.XLOOKUP($R33:$AK33,增益!$A:$A,增益!$Q:$Q,0)))+$B$11+SUM(_xlfn.XLOOKUP($R33:$AK33,增益!$A:$A,增益!$U:$U,0)))*IF(VLOOKUP($Q33,武学奇术!$A:$ZZ,24,FALSE)=1,0,1)</f>
        <v>1</v>
      </c>
      <c r="BP33" s="27" cm="1">
        <f t="array" ref="BP33">1+$B$13+VLOOKUP($Q33,武学奇术!$A:$ZZ,18,FALSE)+SUM(_xlfn.XLOOKUP($R33:$AK33,增益!$A:$A,增益!$R:$R,0))</f>
        <v>2.09</v>
      </c>
      <c r="BQ33" s="27" cm="1">
        <f t="array" ref="BQ33">IF(VLOOKUP($Q33,武学奇术!$A:$ZZ,24,FALSE)=1,100%,MIN(40%,$B$10+VLOOKUP($Q33,武学奇术!$A:$ZZ,19,FALSE)+SUM(_xlfn.XLOOKUP($R33:$AK33,增益!$A:$A,增益!$S:$S,0)))+$B$12+SUM(_xlfn.XLOOKUP($R33:$AK33,增益!$A:$A,增益!$V:$V,0)))*IF(VLOOKUP($Q33,武学奇术!$A:$ZZ,23,FALSE)=1,0,1)</f>
        <v>0</v>
      </c>
      <c r="BR33" s="27" cm="1">
        <f t="array" ref="BR33">1+$B$14+VLOOKUP($Q33,武学奇术!$A:$ZZ,20,FALSE)+SUM(_xlfn.XLOOKUP($R33:$AK33,增益!$A:$A,增益!$T:$T,0))</f>
        <v>1.35</v>
      </c>
      <c r="BS33" s="27">
        <f t="shared" si="9"/>
        <v>1</v>
      </c>
      <c r="BT33" s="27">
        <f t="shared" si="10"/>
        <v>0</v>
      </c>
      <c r="BU33" s="27">
        <f>IF(VLOOKUP($Q33,武学奇术!$A:$ZZ,22,FALSE)=1,0,(1-$BN33))*(1-$BQ33)</f>
        <v>0</v>
      </c>
      <c r="BV33" s="27" cm="1">
        <f t="array" ref="BV33">SUM(_xlfn.XLOOKUP($R33:$AK33,增益!$A:$A,增益!$W:$W,0))+$I$5</f>
        <v>0.11</v>
      </c>
    </row>
    <row r="34" spans="5:74">
      <c r="K34" s="40">
        <f t="shared" si="0"/>
        <v>18767.2805594919</v>
      </c>
      <c r="L34" s="40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BP34*$P34*(1+IF(VLOOKUP($Q34,武学奇术!$A:$ZZ,30,FALSE)="蓄力技",$B$21,0))*(1+$BV34)</f>
        <v>18767.2805594919</v>
      </c>
      <c r="M34" s="40">
        <f>(($AT34*$AM34+$AN34)*(1+$AU34)*(1+$AV34)+($AY34*IF($G$1="鸣金",$AO34,$AM34)+IF($G$1="鸣金",$AP34*1.5,0))*(1+$AZ34)*(1+$BA34)+($BC34*IF($G$1="裂石",$AO34,$AM34)+IF($G$1="裂石",$AP34*1.5,0))*(1+$BD34)*(1+$BE34)+($BG34*IF($G$1="牵丝",$AO34,$AM34)+IF($G$1="牵丝",$AP34*1.5,0))*(1+$BH34)*(1+$BI34)+($BK34*IF($G$1="破竹",$AO34,$AM34)+IF($G$1="破竹",$AP34*1.5,0))*(1+$BL34)*(1+$BM34))*(1+$AQ34)*$BR34*$P34*(1+IF(VLOOKUP($Q34,武学奇术!$A:$ZZ,30,FALSE)="蓄力技",$B$21,0))*(1+$BV34)</f>
        <v>13871.7895780858</v>
      </c>
      <c r="N34" s="40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P34*(1+IF(VLOOKUP($Q34,武学奇术!$A:$ZZ,30,FALSE)="蓄力技",$B$21,0))*(1+$BV34)</f>
        <v>8979.56007631189</v>
      </c>
      <c r="O34" s="40">
        <f>((($AS34*$AM34+$AN34)*(1+$AU34)*(1+$AV34)+($AX34*IF($G$1="鸣金",$AO34,$AM34)+IF($G$1="鸣金",$AP34*1.5,0))*(1+$AZ34)*(1+$BA34)+($BB34*IF($G$1="裂石",$AO34,$AM34)+IF($G$1="裂石",$AP34*1.5,0))*(1+$BD34)*(1+$BE34)+($BF34*IF($G$1="牵丝",$AO34,$AM34)+IF($G$1="牵丝",$AP34*1.5,0))*(1+$BH34)*(1+$BI34)+($BJ34*IF($G$1="破竹",$AO34,$AM34)+IF($G$1="破竹",$AP34*1.5,0))*(1+$BL34)*(1+$BM34))*(1+$AQ34))*$P34*(1+IF(VLOOKUP($Q34,武学奇术!$A:$ZZ,30,FALSE)="蓄力技",$B$21,0))*(1+$BV34)</f>
        <v>7683.7204651528</v>
      </c>
      <c r="P34" s="41">
        <v>1</v>
      </c>
      <c r="Q34" s="42" t="s">
        <v>125</v>
      </c>
      <c r="R34" s="42" t="s">
        <v>103</v>
      </c>
      <c r="S34" s="42" t="s">
        <v>169</v>
      </c>
      <c r="T34" s="42" t="s">
        <v>86</v>
      </c>
      <c r="U34" s="42" t="s">
        <v>121</v>
      </c>
      <c r="V34" s="42" t="s">
        <v>118</v>
      </c>
      <c r="W34" s="42" t="s">
        <v>77</v>
      </c>
      <c r="X34" s="42" t="s">
        <v>173</v>
      </c>
      <c r="Y34" s="42" t="s">
        <v>77</v>
      </c>
      <c r="Z34" s="42" t="s">
        <v>77</v>
      </c>
      <c r="AA34" s="42" t="s">
        <v>73</v>
      </c>
      <c r="AB34" s="42" t="s">
        <v>77</v>
      </c>
      <c r="AC34" s="42" t="s">
        <v>77</v>
      </c>
      <c r="AD34" s="42" t="s">
        <v>77</v>
      </c>
      <c r="AE34" s="42" t="s">
        <v>81</v>
      </c>
      <c r="AF34" s="42" t="s">
        <v>82</v>
      </c>
      <c r="AG34" s="42" t="s">
        <v>77</v>
      </c>
      <c r="AH34" s="42" t="s">
        <v>77</v>
      </c>
      <c r="AI34" s="42" t="s">
        <v>77</v>
      </c>
      <c r="AJ34" s="42" t="s">
        <v>77</v>
      </c>
      <c r="AK34" s="42" t="s">
        <v>77</v>
      </c>
      <c r="AL34" t="str">
        <f>VLOOKUP($Q34,武学奇术!$A:$ZZ,25,FALSE)</f>
        <v>陌刀</v>
      </c>
      <c r="AM34" s="27">
        <f>VLOOKUP($Q34,武学奇术!$A:$ZZ,26,FALSE)</f>
        <v>0.5</v>
      </c>
      <c r="AN34" s="28">
        <f>VLOOKUP($Q34,武学奇术!$A:$ZZ,27,FALSE)*(1+IF(OR($AL34=$F$4,$AL34=$F$5),$B$22,0))</f>
        <v>0</v>
      </c>
      <c r="AO34" s="27">
        <f>VLOOKUP($Q34,武学奇术!$A:$ZZ,28,FALSE)</f>
        <v>0.75</v>
      </c>
      <c r="AP34" s="28">
        <f>VLOOKUP($Q34,武学奇术!$A:$ZZ,29,FALSE)*(1+IF(OR($AL34=$F$4,$AL34=$F$5),$B$22,0))</f>
        <v>0</v>
      </c>
      <c r="AQ34" s="27" cm="1">
        <f t="array" ref="AQ34">$G$3+IFERROR(VLOOKUP($AL34,$F$4:$G$7,2,FALSE),0)+VLOOKUP($Q34,武学奇术!$A:$ZZ,2,FALSE)+SUM(_xlfn.XLOOKUP($R34:$AK34,增益!$A:$A,增益!$B:$B,0))</f>
        <v>0.7341</v>
      </c>
      <c r="AR34" s="27" cm="1">
        <f t="array" ref="AR34">VLOOKUP($Q34,武学奇术!$A:$ZZ,5,FALSE)+SUM(_xlfn.XLOOKUP($R34:$AK34,增益!$A:$A,增益!$E:$E,0))</f>
        <v>0</v>
      </c>
      <c r="AS34" cm="1">
        <f t="array" ref="AS34">$D$10*(1+$AR34)+VLOOKUP($Q34,武学奇术!$A:$ZZ,3,FALSE)+SUM(_xlfn.XLOOKUP($R34:$AK34,增益!$A:$A,增益!$C:$C,0))-$I$2</f>
        <v>3586.7</v>
      </c>
      <c r="AT34" cm="1">
        <f t="array" ref="AT34">$E$10*(1+$AR34)+VLOOKUP($Q34,武学奇术!$A:$ZZ,4,FALSE)+SUM(_xlfn.XLOOKUP($R34:$AK34,增益!$A:$A,增益!$D:$D,0))-$I$2</f>
        <v>3586.7</v>
      </c>
      <c r="AU34" s="34" cm="1">
        <f t="array" ref="AU34">IF($F$10-$I$3+VLOOKUP($Q34,武学奇术!$A:$ZZ,6,FALSE)+SUM(_xlfn.XLOOKUP($R34:$AK34,增益!$A:$A,增益!$F:$F,0))&gt;0,($F$10-$I$3+VLOOKUP($Q34,武学奇术!$A:$ZZ,6,FALSE)+SUM(_xlfn.XLOOKUP($R34:$AK34,增益!$A:$A,增益!$F:$F,0)))/200,($F$10-$I$3+VLOOKUP($Q34,武学奇术!$A:$ZZ,6,FALSE)+SUM(_xlfn.XLOOKUP($R34:$AK34,增益!$A:$A,增益!$F:$F,0)))/100)</f>
        <v>0.352</v>
      </c>
      <c r="AV34" s="34" cm="1">
        <f t="array" ref="AV34">$G$10+VLOOKUP($Q34,武学奇术!$A:$ZZ,7,FALSE)+SUM(_xlfn.XLOOKUP($R34:$AK34,增益!$A:$A,增益!$G:$G,0))</f>
        <v>0</v>
      </c>
      <c r="AW34" s="27" cm="1">
        <f t="array" ref="AW34">VLOOKUP($Q34,武学奇术!$A:$ZZ,8,FALSE)+SUM(_xlfn.XLOOKUP($R34:$AK34,增益!$A:$A,增益!$H:$H,0))</f>
        <v>0</v>
      </c>
      <c r="AX34">
        <f t="shared" si="1"/>
        <v>0</v>
      </c>
      <c r="AY34">
        <f t="shared" si="2"/>
        <v>0</v>
      </c>
      <c r="AZ34" s="34" cm="1">
        <f t="array" ref="AZ34">IF($F$11-$I$4+VLOOKUP($Q34,武学奇术!$A:$ZZ,9,FALSE)+SUM(_xlfn.XLOOKUP($R34:$AK34,增益!$A:$A,增益!$I:$I,0))&gt;0,($F$11-$I$4+VLOOKUP($Q34,武学奇术!$A:$ZZ,9,FALSE)+SUM(_xlfn.XLOOKUP($R34:$AK34,增益!$A:$A,增益!$I:$I,0)))/200,($F$11-$I$4+VLOOKUP($Q34,武学奇术!$A:$ZZ,9,FALSE)+SUM(_xlfn.XLOOKUP($R34:$AK34,增益!$A:$A,增益!$I:$I,0)))/100)</f>
        <v>-0.14</v>
      </c>
      <c r="BA34" s="34" cm="1">
        <f t="array" ref="BA34">$G$11+VLOOKUP($Q34,武学奇术!$A:$ZZ,10,FALSE)+SUM(_xlfn.XLOOKUP($R34:$AK34,增益!$A:$A,增益!$J:$J,0))</f>
        <v>0</v>
      </c>
      <c r="BB34">
        <f t="shared" si="3"/>
        <v>594.1</v>
      </c>
      <c r="BC34">
        <f t="shared" si="4"/>
        <v>1604.9</v>
      </c>
      <c r="BD34" s="34" cm="1">
        <f t="array" ref="BD34">IF($F$12-$I$4+VLOOKUP($Q34,武学奇术!$A:$ZZ,11,FALSE)+SUM(_xlfn.XLOOKUP($R34:$AK34,增益!$A:$A,增益!$K:$K,0))&gt;0,($F$12-$I$4+VLOOKUP($Q34,武学奇术!$A:$ZZ,11,FALSE)+SUM(_xlfn.XLOOKUP($R34:$AK34,增益!$A:$A,增益!$K:$K,0)))/200,($F$12-$I$4+VLOOKUP($Q34,武学奇术!$A:$ZZ,11,FALSE)+SUM(_xlfn.XLOOKUP($R34:$AK34,增益!$A:$A,增益!$K:$K,0)))/100)</f>
        <v>0.17</v>
      </c>
      <c r="BE34" s="34" cm="1">
        <f t="array" ref="BE34">$G$12+VLOOKUP($Q34,武学奇术!$A:$ZZ,12,FALSE)+SUM(_xlfn.XLOOKUP($R34:$AK34,增益!$A:$A,增益!$L:$L,0))</f>
        <v>0.15</v>
      </c>
      <c r="BF34">
        <f t="shared" si="5"/>
        <v>0</v>
      </c>
      <c r="BG34">
        <f t="shared" si="6"/>
        <v>0</v>
      </c>
      <c r="BH34" s="34" cm="1">
        <f t="array" ref="BH34">IF($F$13-$I$4+VLOOKUP($Q34,武学奇术!$A:$ZZ,13,FALSE)+SUM(_xlfn.XLOOKUP($R34:$AK34,增益!$A:$A,增益!$M:$M,0))&gt;0,($F$13-$I$4+VLOOKUP($Q34,武学奇术!$A:$ZZ,13,FALSE)+SUM(_xlfn.XLOOKUP($R34:$AK34,增益!$A:$A,增益!$K:$K,0)))/200,($F$13-$I$4+VLOOKUP($Q34,武学奇术!$A:$ZZ,13,FALSE)+SUM(_xlfn.XLOOKUP($R34:$AK34,增益!$A:$A,增益!$M:$M,0)))/100)</f>
        <v>-0.14</v>
      </c>
      <c r="BI34" s="34" cm="1">
        <f t="array" ref="BI34">$G$13+VLOOKUP($Q34,武学奇术!$A:$ZZ,14,FALSE)+SUM(_xlfn.XLOOKUP($R34:$AK34,增益!$A:$A,增益!$N:$N,0))</f>
        <v>0</v>
      </c>
      <c r="BJ34">
        <f t="shared" si="7"/>
        <v>0</v>
      </c>
      <c r="BK34">
        <f t="shared" si="8"/>
        <v>0</v>
      </c>
      <c r="BL34" s="34" cm="1">
        <f t="array" ref="BL34">IF($F$14-$I$4+VLOOKUP($Q34,武学奇术!$A:$ZZ,15,FALSE)+SUM(_xlfn.XLOOKUP($R34:$AK34,增益!$A:$A,增益!$O:$O,0))&gt;0,($F$14-$I$4+VLOOKUP($Q34,武学奇术!$A:$ZZ,15,FALSE)+SUM(_xlfn.XLOOKUP($R34:$AK34,增益!$A:$A,增益!$O:$O,0)))/200,($F$14-$I$4+VLOOKUP($Q34,武学奇术!$A:$ZZ,15,FALSE)+SUM(_xlfn.XLOOKUP($R34:$AK34,增益!$A:$A,增益!$O:$O,0)))/100)</f>
        <v>-0.14</v>
      </c>
      <c r="BM34" s="34" cm="1">
        <f t="array" ref="BM34">$G$14+VLOOKUP($Q34,武学奇术!$A:$ZZ,16,FALSE)+SUM(_xlfn.XLOOKUP($R34:$AK34,增益!$A:$A,增益!$P:$P,0))</f>
        <v>0</v>
      </c>
      <c r="BN34" s="27">
        <f>MIN(IF(VLOOKUP($Q34,武学奇术!$A:$ZZ,23,FALSE)=1,100%,$B$8),100%)</f>
        <v>1</v>
      </c>
      <c r="BO34" s="27" cm="1">
        <f t="array" ref="BO34">IF(VLOOKUP($Q34,武学奇术!$A:$ZZ,23,FALSE)=1,100%,MIN(80%,$B$9+VLOOKUP($Q34,武学奇术!$A:$ZZ,17,FALSE)+SUM(_xlfn.XLOOKUP($R34:$AK34,增益!$A:$A,增益!$Q:$Q,0)))+$B$11+SUM(_xlfn.XLOOKUP($R34:$AK34,增益!$A:$A,增益!$U:$U,0)))*IF(VLOOKUP($Q34,武学奇术!$A:$ZZ,24,FALSE)=1,0,1)</f>
        <v>1</v>
      </c>
      <c r="BP34" s="27" cm="1">
        <f t="array" ref="BP34">1+$B$13+VLOOKUP($Q34,武学奇术!$A:$ZZ,18,FALSE)+SUM(_xlfn.XLOOKUP($R34:$AK34,增益!$A:$A,增益!$R:$R,0))</f>
        <v>2.09</v>
      </c>
      <c r="BQ34" s="27" cm="1">
        <f t="array" ref="BQ34">IF(VLOOKUP($Q34,武学奇术!$A:$ZZ,24,FALSE)=1,100%,MIN(40%,$B$10+VLOOKUP($Q34,武学奇术!$A:$ZZ,19,FALSE)+SUM(_xlfn.XLOOKUP($R34:$AK34,增益!$A:$A,增益!$S:$S,0)))+$B$12+SUM(_xlfn.XLOOKUP($R34:$AK34,增益!$A:$A,增益!$V:$V,0)))*IF(VLOOKUP($Q34,武学奇术!$A:$ZZ,23,FALSE)=1,0,1)</f>
        <v>0</v>
      </c>
      <c r="BR34" s="27" cm="1">
        <f t="array" ref="BR34">1+$B$14+VLOOKUP($Q34,武学奇术!$A:$ZZ,20,FALSE)+SUM(_xlfn.XLOOKUP($R34:$AK34,增益!$A:$A,增益!$T:$T,0))</f>
        <v>1.35</v>
      </c>
      <c r="BS34" s="27">
        <f t="shared" si="9"/>
        <v>1</v>
      </c>
      <c r="BT34" s="27">
        <f t="shared" si="10"/>
        <v>0</v>
      </c>
      <c r="BU34" s="27">
        <f>IF(VLOOKUP($Q34,武学奇术!$A:$ZZ,22,FALSE)=1,0,(1-$BN34))*(1-$BQ34)</f>
        <v>0</v>
      </c>
      <c r="BV34" s="27" cm="1">
        <f t="array" ref="BV34">SUM(_xlfn.XLOOKUP($R34:$AK34,增益!$A:$A,增益!$W:$W,0))+$I$5</f>
        <v>0.11</v>
      </c>
    </row>
    <row r="35" spans="5:74">
      <c r="K35" s="40">
        <f t="shared" si="0"/>
        <v>33781.1050070854</v>
      </c>
      <c r="L35" s="40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BP35*$P35*(1+IF(VLOOKUP($Q35,武学奇术!$A:$ZZ,30,FALSE)="蓄力技",$B$21,0))*(1+$BV35)</f>
        <v>33781.1050070854</v>
      </c>
      <c r="M35" s="40">
        <f>(($AT35*$AM35+$AN35)*(1+$AU35)*(1+$AV35)+($AY35*IF($G$1="鸣金",$AO35,$AM35)+IF($G$1="鸣金",$AP35*1.5,0))*(1+$AZ35)*(1+$BA35)+($BC35*IF($G$1="裂石",$AO35,$AM35)+IF($G$1="裂石",$AP35*1.5,0))*(1+$BD35)*(1+$BE35)+($BG35*IF($G$1="牵丝",$AO35,$AM35)+IF($G$1="牵丝",$AP35*1.5,0))*(1+$BH35)*(1+$BI35)+($BK35*IF($G$1="破竹",$AO35,$AM35)+IF($G$1="破竹",$AP35*1.5,0))*(1+$BL35)*(1+$BM35))*(1+$AQ35)*$BR35*$P35*(1+IF(VLOOKUP($Q35,武学奇术!$A:$ZZ,30,FALSE)="蓄力技",$B$21,0))*(1+$BV35)</f>
        <v>24969.2212405545</v>
      </c>
      <c r="N35" s="40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P35*(1+IF(VLOOKUP($Q35,武学奇术!$A:$ZZ,30,FALSE)="蓄力技",$B$21,0))*(1+$BV35)</f>
        <v>16163.2081373614</v>
      </c>
      <c r="O35" s="40">
        <f>((($AS35*$AM35+$AN35)*(1+$AU35)*(1+$AV35)+($AX35*IF($G$1="鸣金",$AO35,$AM35)+IF($G$1="鸣金",$AP35*1.5,0))*(1+$AZ35)*(1+$BA35)+($BB35*IF($G$1="裂石",$AO35,$AM35)+IF($G$1="裂石",$AP35*1.5,0))*(1+$BD35)*(1+$BE35)+($BF35*IF($G$1="牵丝",$AO35,$AM35)+IF($G$1="牵丝",$AP35*1.5,0))*(1+$BH35)*(1+$BI35)+($BJ35*IF($G$1="破竹",$AO35,$AM35)+IF($G$1="破竹",$AP35*1.5,0))*(1+$BL35)*(1+$BM35))*(1+$AQ35))*$P35*(1+IF(VLOOKUP($Q35,武学奇术!$A:$ZZ,30,FALSE)="蓄力技",$B$21,0))*(1+$BV35)</f>
        <v>13830.696837275</v>
      </c>
      <c r="P35" s="41">
        <v>1</v>
      </c>
      <c r="Q35" s="42" t="s">
        <v>117</v>
      </c>
      <c r="R35" s="42" t="s">
        <v>103</v>
      </c>
      <c r="S35" s="42" t="s">
        <v>169</v>
      </c>
      <c r="T35" s="42" t="s">
        <v>86</v>
      </c>
      <c r="U35" s="42" t="s">
        <v>121</v>
      </c>
      <c r="V35" s="42" t="s">
        <v>118</v>
      </c>
      <c r="W35" s="42" t="s">
        <v>77</v>
      </c>
      <c r="X35" s="42" t="s">
        <v>173</v>
      </c>
      <c r="Y35" s="42" t="s">
        <v>77</v>
      </c>
      <c r="Z35" s="42" t="s">
        <v>77</v>
      </c>
      <c r="AA35" s="42" t="s">
        <v>73</v>
      </c>
      <c r="AB35" s="42" t="s">
        <v>77</v>
      </c>
      <c r="AC35" s="42" t="s">
        <v>77</v>
      </c>
      <c r="AD35" s="42" t="s">
        <v>77</v>
      </c>
      <c r="AE35" s="42" t="s">
        <v>81</v>
      </c>
      <c r="AF35" s="42" t="s">
        <v>82</v>
      </c>
      <c r="AG35" s="42" t="s">
        <v>77</v>
      </c>
      <c r="AH35" s="42" t="s">
        <v>77</v>
      </c>
      <c r="AI35" s="42" t="s">
        <v>77</v>
      </c>
      <c r="AJ35" s="42" t="s">
        <v>77</v>
      </c>
      <c r="AK35" s="42" t="s">
        <v>77</v>
      </c>
      <c r="AL35" t="str">
        <f>VLOOKUP($Q35,武学奇术!$A:$ZZ,25,FALSE)</f>
        <v>陌刀</v>
      </c>
      <c r="AM35" s="27">
        <f>VLOOKUP($Q35,武学奇术!$A:$ZZ,26,FALSE)</f>
        <v>0.9</v>
      </c>
      <c r="AN35" s="28">
        <f>VLOOKUP($Q35,武学奇术!$A:$ZZ,27,FALSE)*(1+IF(OR($AL35=$F$4,$AL35=$F$5),$B$22,0))</f>
        <v>0</v>
      </c>
      <c r="AO35" s="27">
        <f>VLOOKUP($Q35,武学奇术!$A:$ZZ,28,FALSE)</f>
        <v>1.35</v>
      </c>
      <c r="AP35" s="28">
        <f>VLOOKUP($Q35,武学奇术!$A:$ZZ,29,FALSE)*(1+IF(OR($AL35=$F$4,$AL35=$F$5),$B$22,0))</f>
        <v>0</v>
      </c>
      <c r="AQ35" s="27" cm="1">
        <f t="array" ref="AQ35">$G$3+IFERROR(VLOOKUP($AL35,$F$4:$G$7,2,FALSE),0)+VLOOKUP($Q35,武学奇术!$A:$ZZ,2,FALSE)+SUM(_xlfn.XLOOKUP($R35:$AK35,增益!$A:$A,增益!$B:$B,0))</f>
        <v>0.7341</v>
      </c>
      <c r="AR35" s="27" cm="1">
        <f t="array" ref="AR35">VLOOKUP($Q35,武学奇术!$A:$ZZ,5,FALSE)+SUM(_xlfn.XLOOKUP($R35:$AK35,增益!$A:$A,增益!$E:$E,0))</f>
        <v>0</v>
      </c>
      <c r="AS35" cm="1">
        <f t="array" ref="AS35">$D$10*(1+$AR35)+VLOOKUP($Q35,武学奇术!$A:$ZZ,3,FALSE)+SUM(_xlfn.XLOOKUP($R35:$AK35,增益!$A:$A,增益!$C:$C,0))-$I$2</f>
        <v>3586.7</v>
      </c>
      <c r="AT35" cm="1">
        <f t="array" ref="AT35">$E$10*(1+$AR35)+VLOOKUP($Q35,武学奇术!$A:$ZZ,4,FALSE)+SUM(_xlfn.XLOOKUP($R35:$AK35,增益!$A:$A,增益!$D:$D,0))-$I$2</f>
        <v>3586.7</v>
      </c>
      <c r="AU35" s="34" cm="1">
        <f t="array" ref="AU35">IF($F$10-$I$3+VLOOKUP($Q35,武学奇术!$A:$ZZ,6,FALSE)+SUM(_xlfn.XLOOKUP($R35:$AK35,增益!$A:$A,增益!$F:$F,0))&gt;0,($F$10-$I$3+VLOOKUP($Q35,武学奇术!$A:$ZZ,6,FALSE)+SUM(_xlfn.XLOOKUP($R35:$AK35,增益!$A:$A,增益!$F:$F,0)))/200,($F$10-$I$3+VLOOKUP($Q35,武学奇术!$A:$ZZ,6,FALSE)+SUM(_xlfn.XLOOKUP($R35:$AK35,增益!$A:$A,增益!$F:$F,0)))/100)</f>
        <v>0.352</v>
      </c>
      <c r="AV35" s="34" cm="1">
        <f t="array" ref="AV35">$G$10+VLOOKUP($Q35,武学奇术!$A:$ZZ,7,FALSE)+SUM(_xlfn.XLOOKUP($R35:$AK35,增益!$A:$A,增益!$G:$G,0))</f>
        <v>0</v>
      </c>
      <c r="AW35" s="27" cm="1">
        <f t="array" ref="AW35">VLOOKUP($Q35,武学奇术!$A:$ZZ,8,FALSE)+SUM(_xlfn.XLOOKUP($R35:$AK35,增益!$A:$A,增益!$H:$H,0))</f>
        <v>0</v>
      </c>
      <c r="AX35">
        <f t="shared" si="1"/>
        <v>0</v>
      </c>
      <c r="AY35">
        <f t="shared" si="2"/>
        <v>0</v>
      </c>
      <c r="AZ35" s="34" cm="1">
        <f t="array" ref="AZ35">IF($F$11-$I$4+VLOOKUP($Q35,武学奇术!$A:$ZZ,9,FALSE)+SUM(_xlfn.XLOOKUP($R35:$AK35,增益!$A:$A,增益!$I:$I,0))&gt;0,($F$11-$I$4+VLOOKUP($Q35,武学奇术!$A:$ZZ,9,FALSE)+SUM(_xlfn.XLOOKUP($R35:$AK35,增益!$A:$A,增益!$I:$I,0)))/200,($F$11-$I$4+VLOOKUP($Q35,武学奇术!$A:$ZZ,9,FALSE)+SUM(_xlfn.XLOOKUP($R35:$AK35,增益!$A:$A,增益!$I:$I,0)))/100)</f>
        <v>-0.14</v>
      </c>
      <c r="BA35" s="34" cm="1">
        <f t="array" ref="BA35">$G$11+VLOOKUP($Q35,武学奇术!$A:$ZZ,10,FALSE)+SUM(_xlfn.XLOOKUP($R35:$AK35,增益!$A:$A,增益!$J:$J,0))</f>
        <v>0</v>
      </c>
      <c r="BB35">
        <f t="shared" si="3"/>
        <v>594.1</v>
      </c>
      <c r="BC35">
        <f t="shared" si="4"/>
        <v>1604.9</v>
      </c>
      <c r="BD35" s="34" cm="1">
        <f t="array" ref="BD35">IF($F$12-$I$4+VLOOKUP($Q35,武学奇术!$A:$ZZ,11,FALSE)+SUM(_xlfn.XLOOKUP($R35:$AK35,增益!$A:$A,增益!$K:$K,0))&gt;0,($F$12-$I$4+VLOOKUP($Q35,武学奇术!$A:$ZZ,11,FALSE)+SUM(_xlfn.XLOOKUP($R35:$AK35,增益!$A:$A,增益!$K:$K,0)))/200,($F$12-$I$4+VLOOKUP($Q35,武学奇术!$A:$ZZ,11,FALSE)+SUM(_xlfn.XLOOKUP($R35:$AK35,增益!$A:$A,增益!$K:$K,0)))/100)</f>
        <v>0.17</v>
      </c>
      <c r="BE35" s="34" cm="1">
        <f t="array" ref="BE35">$G$12+VLOOKUP($Q35,武学奇术!$A:$ZZ,12,FALSE)+SUM(_xlfn.XLOOKUP($R35:$AK35,增益!$A:$A,增益!$L:$L,0))</f>
        <v>0.15</v>
      </c>
      <c r="BF35">
        <f t="shared" si="5"/>
        <v>0</v>
      </c>
      <c r="BG35">
        <f t="shared" si="6"/>
        <v>0</v>
      </c>
      <c r="BH35" s="34" cm="1">
        <f t="array" ref="BH35">IF($F$13-$I$4+VLOOKUP($Q35,武学奇术!$A:$ZZ,13,FALSE)+SUM(_xlfn.XLOOKUP($R35:$AK35,增益!$A:$A,增益!$M:$M,0))&gt;0,($F$13-$I$4+VLOOKUP($Q35,武学奇术!$A:$ZZ,13,FALSE)+SUM(_xlfn.XLOOKUP($R35:$AK35,增益!$A:$A,增益!$K:$K,0)))/200,($F$13-$I$4+VLOOKUP($Q35,武学奇术!$A:$ZZ,13,FALSE)+SUM(_xlfn.XLOOKUP($R35:$AK35,增益!$A:$A,增益!$M:$M,0)))/100)</f>
        <v>-0.14</v>
      </c>
      <c r="BI35" s="34" cm="1">
        <f t="array" ref="BI35">$G$13+VLOOKUP($Q35,武学奇术!$A:$ZZ,14,FALSE)+SUM(_xlfn.XLOOKUP($R35:$AK35,增益!$A:$A,增益!$N:$N,0))</f>
        <v>0</v>
      </c>
      <c r="BJ35">
        <f t="shared" si="7"/>
        <v>0</v>
      </c>
      <c r="BK35">
        <f t="shared" si="8"/>
        <v>0</v>
      </c>
      <c r="BL35" s="34" cm="1">
        <f t="array" ref="BL35">IF($F$14-$I$4+VLOOKUP($Q35,武学奇术!$A:$ZZ,15,FALSE)+SUM(_xlfn.XLOOKUP($R35:$AK35,增益!$A:$A,增益!$O:$O,0))&gt;0,($F$14-$I$4+VLOOKUP($Q35,武学奇术!$A:$ZZ,15,FALSE)+SUM(_xlfn.XLOOKUP($R35:$AK35,增益!$A:$A,增益!$O:$O,0)))/200,($F$14-$I$4+VLOOKUP($Q35,武学奇术!$A:$ZZ,15,FALSE)+SUM(_xlfn.XLOOKUP($R35:$AK35,增益!$A:$A,增益!$O:$O,0)))/100)</f>
        <v>-0.14</v>
      </c>
      <c r="BM35" s="34" cm="1">
        <f t="array" ref="BM35">$G$14+VLOOKUP($Q35,武学奇术!$A:$ZZ,16,FALSE)+SUM(_xlfn.XLOOKUP($R35:$AK35,增益!$A:$A,增益!$P:$P,0))</f>
        <v>0</v>
      </c>
      <c r="BN35" s="27">
        <f>MIN(IF(VLOOKUP($Q35,武学奇术!$A:$ZZ,23,FALSE)=1,100%,$B$8),100%)</f>
        <v>1</v>
      </c>
      <c r="BO35" s="27" cm="1">
        <f t="array" ref="BO35">IF(VLOOKUP($Q35,武学奇术!$A:$ZZ,23,FALSE)=1,100%,MIN(80%,$B$9+VLOOKUP($Q35,武学奇术!$A:$ZZ,17,FALSE)+SUM(_xlfn.XLOOKUP($R35:$AK35,增益!$A:$A,增益!$Q:$Q,0)))+$B$11+SUM(_xlfn.XLOOKUP($R35:$AK35,增益!$A:$A,增益!$U:$U,0)))*IF(VLOOKUP($Q35,武学奇术!$A:$ZZ,24,FALSE)=1,0,1)</f>
        <v>1</v>
      </c>
      <c r="BP35" s="27" cm="1">
        <f t="array" ref="BP35">1+$B$13+VLOOKUP($Q35,武学奇术!$A:$ZZ,18,FALSE)+SUM(_xlfn.XLOOKUP($R35:$AK35,增益!$A:$A,增益!$R:$R,0))</f>
        <v>2.09</v>
      </c>
      <c r="BQ35" s="27" cm="1">
        <f t="array" ref="BQ35">IF(VLOOKUP($Q35,武学奇术!$A:$ZZ,24,FALSE)=1,100%,MIN(40%,$B$10+VLOOKUP($Q35,武学奇术!$A:$ZZ,19,FALSE)+SUM(_xlfn.XLOOKUP($R35:$AK35,增益!$A:$A,增益!$S:$S,0)))+$B$12+SUM(_xlfn.XLOOKUP($R35:$AK35,增益!$A:$A,增益!$V:$V,0)))*IF(VLOOKUP($Q35,武学奇术!$A:$ZZ,23,FALSE)=1,0,1)</f>
        <v>0</v>
      </c>
      <c r="BR35" s="27" cm="1">
        <f t="array" ref="BR35">1+$B$14+VLOOKUP($Q35,武学奇术!$A:$ZZ,20,FALSE)+SUM(_xlfn.XLOOKUP($R35:$AK35,增益!$A:$A,增益!$T:$T,0))</f>
        <v>1.35</v>
      </c>
      <c r="BS35" s="27">
        <f t="shared" si="9"/>
        <v>1</v>
      </c>
      <c r="BT35" s="27">
        <f t="shared" si="10"/>
        <v>0</v>
      </c>
      <c r="BU35" s="27">
        <f>IF(VLOOKUP($Q35,武学奇术!$A:$ZZ,22,FALSE)=1,0,(1-$BN35))*(1-$BQ35)</f>
        <v>0</v>
      </c>
      <c r="BV35" s="27" cm="1">
        <f t="array" ref="BV35">SUM(_xlfn.XLOOKUP($R35:$AK35,增益!$A:$A,增益!$W:$W,0))+$I$5</f>
        <v>0.11</v>
      </c>
    </row>
    <row r="36" spans="5:74">
      <c r="K36" s="40">
        <f t="shared" si="0"/>
        <v>324906.729127808</v>
      </c>
      <c r="L36" s="40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BP36*$P36*(1+IF(VLOOKUP($Q36,武学奇术!$A:$ZZ,30,FALSE)="蓄力技",$B$21,0))*(1+$BV36)</f>
        <v>324906.729127808</v>
      </c>
      <c r="M36" s="40">
        <f>(($AT36*$AM36+$AN36)*(1+$AU36)*(1+$AV36)+($AY36*IF($G$1="鸣金",$AO36,$AM36)+IF($G$1="鸣金",$AP36*1.5,0))*(1+$AZ36)*(1+$BA36)+($BC36*IF($G$1="裂石",$AO36,$AM36)+IF($G$1="裂石",$AP36*1.5,0))*(1+$BD36)*(1+$BE36)+($BG36*IF($G$1="牵丝",$AO36,$AM36)+IF($G$1="牵丝",$AP36*1.5,0))*(1+$BH36)*(1+$BI36)+($BK36*IF($G$1="破竹",$AO36,$AM36)+IF($G$1="破竹",$AP36*1.5,0))*(1+$BL36)*(1+$BM36))*(1+$AQ36)*$BR36*$P36*(1+IF(VLOOKUP($Q36,武学奇术!$A:$ZZ,30,FALSE)="蓄力技",$B$21,0))*(1+$BV36)</f>
        <v>236344.785198985</v>
      </c>
      <c r="N36" s="40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P36*(1+IF(VLOOKUP($Q36,武学奇术!$A:$ZZ,30,FALSE)="蓄力技",$B$21,0))*(1+$BV36)</f>
        <v>155457.765132922</v>
      </c>
      <c r="O36" s="40">
        <f>((($AS36*$AM36+$AN36)*(1+$AU36)*(1+$AV36)+($AX36*IF($G$1="鸣金",$AO36,$AM36)+IF($G$1="鸣金",$AP36*1.5,0))*(1+$AZ36)*(1+$BA36)+($BB36*IF($G$1="裂石",$AO36,$AM36)+IF($G$1="裂石",$AP36*1.5,0))*(1+$BD36)*(1+$BE36)+($BF36*IF($G$1="牵丝",$AO36,$AM36)+IF($G$1="牵丝",$AP36*1.5,0))*(1+$BH36)*(1+$BI36)+($BJ36*IF($G$1="破竹",$AO36,$AM36)+IF($G$1="破竹",$AP36*1.5,0))*(1+$BL36)*(1+$BM36))*(1+$AQ36))*$P36*(1+IF(VLOOKUP($Q36,武学奇术!$A:$ZZ,30,FALSE)="蓄力技",$B$21,0))*(1+$BV36)</f>
        <v>135845.319007337</v>
      </c>
      <c r="P36" s="41">
        <v>1</v>
      </c>
      <c r="Q36" s="42" t="s">
        <v>120</v>
      </c>
      <c r="R36" s="42" t="s">
        <v>103</v>
      </c>
      <c r="S36" s="42" t="s">
        <v>169</v>
      </c>
      <c r="T36" s="42" t="s">
        <v>86</v>
      </c>
      <c r="U36" s="42" t="s">
        <v>121</v>
      </c>
      <c r="V36" s="42" t="s">
        <v>118</v>
      </c>
      <c r="W36" s="42" t="s">
        <v>77</v>
      </c>
      <c r="X36" s="42" t="s">
        <v>173</v>
      </c>
      <c r="Y36" s="42" t="s">
        <v>77</v>
      </c>
      <c r="Z36" s="42" t="s">
        <v>77</v>
      </c>
      <c r="AA36" s="42" t="s">
        <v>73</v>
      </c>
      <c r="AB36" s="42" t="s">
        <v>77</v>
      </c>
      <c r="AC36" s="42" t="s">
        <v>77</v>
      </c>
      <c r="AD36" s="42" t="s">
        <v>77</v>
      </c>
      <c r="AE36" s="42" t="s">
        <v>81</v>
      </c>
      <c r="AF36" s="42" t="s">
        <v>82</v>
      </c>
      <c r="AG36" s="42" t="s">
        <v>77</v>
      </c>
      <c r="AH36" s="42" t="s">
        <v>77</v>
      </c>
      <c r="AI36" s="42" t="s">
        <v>77</v>
      </c>
      <c r="AJ36" s="42" t="s">
        <v>77</v>
      </c>
      <c r="AK36" s="42" t="s">
        <v>77</v>
      </c>
      <c r="AL36" t="str">
        <f>VLOOKUP($Q36,武学奇术!$A:$ZZ,25,FALSE)</f>
        <v>陌刀</v>
      </c>
      <c r="AM36" s="27">
        <f>VLOOKUP($Q36,武学奇术!$A:$ZZ,26,FALSE)</f>
        <v>7.5674</v>
      </c>
      <c r="AN36" s="28">
        <f>VLOOKUP($Q36,武学奇术!$A:$ZZ,27,FALSE)*(1+IF(OR($AL36=$F$4,$AL36=$F$5),$B$22,0))</f>
        <v>3139.5</v>
      </c>
      <c r="AO36" s="27">
        <f>VLOOKUP($Q36,武学奇术!$A:$ZZ,28,FALSE)</f>
        <v>11.3512</v>
      </c>
      <c r="AP36" s="28">
        <f>VLOOKUP($Q36,武学奇术!$A:$ZZ,29,FALSE)*(1+IF(OR($AL36=$F$4,$AL36=$F$5),$B$22,0))</f>
        <v>1710</v>
      </c>
      <c r="AQ36" s="27" cm="1">
        <f t="array" ref="AQ36">$G$3+IFERROR(VLOOKUP($AL36,$F$4:$G$7,2,FALSE),0)+VLOOKUP($Q36,武学奇术!$A:$ZZ,2,FALSE)+SUM(_xlfn.XLOOKUP($R36:$AK36,增益!$A:$A,增益!$B:$B,0))</f>
        <v>0.7341</v>
      </c>
      <c r="AR36" s="27" cm="1">
        <f t="array" ref="AR36">VLOOKUP($Q36,武学奇术!$A:$ZZ,5,FALSE)+SUM(_xlfn.XLOOKUP($R36:$AK36,增益!$A:$A,增益!$E:$E,0))</f>
        <v>0</v>
      </c>
      <c r="AS36" cm="1">
        <f t="array" ref="AS36">$D$10*(1+$AR36)+VLOOKUP($Q36,武学奇术!$A:$ZZ,3,FALSE)+SUM(_xlfn.XLOOKUP($R36:$AK36,增益!$A:$A,增益!$C:$C,0))-$I$2</f>
        <v>3586.7</v>
      </c>
      <c r="AT36" cm="1">
        <f t="array" ref="AT36">$E$10*(1+$AR36)+VLOOKUP($Q36,武学奇术!$A:$ZZ,4,FALSE)+SUM(_xlfn.XLOOKUP($R36:$AK36,增益!$A:$A,增益!$D:$D,0))-$I$2</f>
        <v>3586.7</v>
      </c>
      <c r="AU36" s="34" cm="1">
        <f t="array" ref="AU36">IF($F$10-$I$3+VLOOKUP($Q36,武学奇术!$A:$ZZ,6,FALSE)+SUM(_xlfn.XLOOKUP($R36:$AK36,增益!$A:$A,增益!$F:$F,0))&gt;0,($F$10-$I$3+VLOOKUP($Q36,武学奇术!$A:$ZZ,6,FALSE)+SUM(_xlfn.XLOOKUP($R36:$AK36,增益!$A:$A,增益!$F:$F,0)))/200,($F$10-$I$3+VLOOKUP($Q36,武学奇术!$A:$ZZ,6,FALSE)+SUM(_xlfn.XLOOKUP($R36:$AK36,增益!$A:$A,增益!$F:$F,0)))/100)</f>
        <v>0.352</v>
      </c>
      <c r="AV36" s="34" cm="1">
        <f t="array" ref="AV36">$G$10+VLOOKUP($Q36,武学奇术!$A:$ZZ,7,FALSE)+SUM(_xlfn.XLOOKUP($R36:$AK36,增益!$A:$A,增益!$G:$G,0))</f>
        <v>0</v>
      </c>
      <c r="AW36" s="27" cm="1">
        <f t="array" ref="AW36">VLOOKUP($Q36,武学奇术!$A:$ZZ,8,FALSE)+SUM(_xlfn.XLOOKUP($R36:$AK36,增益!$A:$A,增益!$H:$H,0))</f>
        <v>0</v>
      </c>
      <c r="AX36">
        <f t="shared" si="1"/>
        <v>0</v>
      </c>
      <c r="AY36">
        <f t="shared" si="2"/>
        <v>0</v>
      </c>
      <c r="AZ36" s="34" cm="1">
        <f t="array" ref="AZ36">IF($F$11-$I$4+VLOOKUP($Q36,武学奇术!$A:$ZZ,9,FALSE)+SUM(_xlfn.XLOOKUP($R36:$AK36,增益!$A:$A,增益!$I:$I,0))&gt;0,($F$11-$I$4+VLOOKUP($Q36,武学奇术!$A:$ZZ,9,FALSE)+SUM(_xlfn.XLOOKUP($R36:$AK36,增益!$A:$A,增益!$I:$I,0)))/200,($F$11-$I$4+VLOOKUP($Q36,武学奇术!$A:$ZZ,9,FALSE)+SUM(_xlfn.XLOOKUP($R36:$AK36,增益!$A:$A,增益!$I:$I,0)))/100)</f>
        <v>-0.14</v>
      </c>
      <c r="BA36" s="34" cm="1">
        <f t="array" ref="BA36">$G$11+VLOOKUP($Q36,武学奇术!$A:$ZZ,10,FALSE)+SUM(_xlfn.XLOOKUP($R36:$AK36,增益!$A:$A,增益!$J:$J,0))</f>
        <v>0</v>
      </c>
      <c r="BB36">
        <f t="shared" si="3"/>
        <v>594.1</v>
      </c>
      <c r="BC36">
        <f t="shared" si="4"/>
        <v>1604.9</v>
      </c>
      <c r="BD36" s="34" cm="1">
        <f t="array" ref="BD36">IF($F$12-$I$4+VLOOKUP($Q36,武学奇术!$A:$ZZ,11,FALSE)+SUM(_xlfn.XLOOKUP($R36:$AK36,增益!$A:$A,增益!$K:$K,0))&gt;0,($F$12-$I$4+VLOOKUP($Q36,武学奇术!$A:$ZZ,11,FALSE)+SUM(_xlfn.XLOOKUP($R36:$AK36,增益!$A:$A,增益!$K:$K,0)))/200,($F$12-$I$4+VLOOKUP($Q36,武学奇术!$A:$ZZ,11,FALSE)+SUM(_xlfn.XLOOKUP($R36:$AK36,增益!$A:$A,增益!$K:$K,0)))/100)</f>
        <v>0.17</v>
      </c>
      <c r="BE36" s="34" cm="1">
        <f t="array" ref="BE36">$G$12+VLOOKUP($Q36,武学奇术!$A:$ZZ,12,FALSE)+SUM(_xlfn.XLOOKUP($R36:$AK36,增益!$A:$A,增益!$L:$L,0))</f>
        <v>0.15</v>
      </c>
      <c r="BF36">
        <f t="shared" si="5"/>
        <v>0</v>
      </c>
      <c r="BG36">
        <f t="shared" si="6"/>
        <v>0</v>
      </c>
      <c r="BH36" s="34" cm="1">
        <f t="array" ref="BH36">IF($F$13-$I$4+VLOOKUP($Q36,武学奇术!$A:$ZZ,13,FALSE)+SUM(_xlfn.XLOOKUP($R36:$AK36,增益!$A:$A,增益!$M:$M,0))&gt;0,($F$13-$I$4+VLOOKUP($Q36,武学奇术!$A:$ZZ,13,FALSE)+SUM(_xlfn.XLOOKUP($R36:$AK36,增益!$A:$A,增益!$K:$K,0)))/200,($F$13-$I$4+VLOOKUP($Q36,武学奇术!$A:$ZZ,13,FALSE)+SUM(_xlfn.XLOOKUP($R36:$AK36,增益!$A:$A,增益!$M:$M,0)))/100)</f>
        <v>-0.14</v>
      </c>
      <c r="BI36" s="34" cm="1">
        <f t="array" ref="BI36">$G$13+VLOOKUP($Q36,武学奇术!$A:$ZZ,14,FALSE)+SUM(_xlfn.XLOOKUP($R36:$AK36,增益!$A:$A,增益!$N:$N,0))</f>
        <v>0</v>
      </c>
      <c r="BJ36">
        <f t="shared" si="7"/>
        <v>0</v>
      </c>
      <c r="BK36">
        <f t="shared" si="8"/>
        <v>0</v>
      </c>
      <c r="BL36" s="34" cm="1">
        <f t="array" ref="BL36">IF($F$14-$I$4+VLOOKUP($Q36,武学奇术!$A:$ZZ,15,FALSE)+SUM(_xlfn.XLOOKUP($R36:$AK36,增益!$A:$A,增益!$O:$O,0))&gt;0,($F$14-$I$4+VLOOKUP($Q36,武学奇术!$A:$ZZ,15,FALSE)+SUM(_xlfn.XLOOKUP($R36:$AK36,增益!$A:$A,增益!$O:$O,0)))/200,($F$14-$I$4+VLOOKUP($Q36,武学奇术!$A:$ZZ,15,FALSE)+SUM(_xlfn.XLOOKUP($R36:$AK36,增益!$A:$A,增益!$O:$O,0)))/100)</f>
        <v>-0.14</v>
      </c>
      <c r="BM36" s="34" cm="1">
        <f t="array" ref="BM36">$G$14+VLOOKUP($Q36,武学奇术!$A:$ZZ,16,FALSE)+SUM(_xlfn.XLOOKUP($R36:$AK36,增益!$A:$A,增益!$P:$P,0))</f>
        <v>0</v>
      </c>
      <c r="BN36" s="27">
        <f>MIN(IF(VLOOKUP($Q36,武学奇术!$A:$ZZ,23,FALSE)=1,100%,$B$8),100%)</f>
        <v>1</v>
      </c>
      <c r="BO36" s="27" cm="1">
        <f t="array" ref="BO36">IF(VLOOKUP($Q36,武学奇术!$A:$ZZ,23,FALSE)=1,100%,MIN(80%,$B$9+VLOOKUP($Q36,武学奇术!$A:$ZZ,17,FALSE)+SUM(_xlfn.XLOOKUP($R36:$AK36,增益!$A:$A,增益!$Q:$Q,0)))+$B$11+SUM(_xlfn.XLOOKUP($R36:$AK36,增益!$A:$A,增益!$U:$U,0)))*IF(VLOOKUP($Q36,武学奇术!$A:$ZZ,24,FALSE)=1,0,1)</f>
        <v>1</v>
      </c>
      <c r="BP36" s="27" cm="1">
        <f t="array" ref="BP36">1+$B$13+VLOOKUP($Q36,武学奇术!$A:$ZZ,18,FALSE)+SUM(_xlfn.XLOOKUP($R36:$AK36,增益!$A:$A,增益!$R:$R,0))</f>
        <v>2.09</v>
      </c>
      <c r="BQ36" s="27" cm="1">
        <f t="array" ref="BQ36">IF(VLOOKUP($Q36,武学奇术!$A:$ZZ,24,FALSE)=1,100%,MIN(40%,$B$10+VLOOKUP($Q36,武学奇术!$A:$ZZ,19,FALSE)+SUM(_xlfn.XLOOKUP($R36:$AK36,增益!$A:$A,增益!$S:$S,0)))+$B$12+SUM(_xlfn.XLOOKUP($R36:$AK36,增益!$A:$A,增益!$V:$V,0)))*IF(VLOOKUP($Q36,武学奇术!$A:$ZZ,23,FALSE)=1,0,1)</f>
        <v>0</v>
      </c>
      <c r="BR36" s="27" cm="1">
        <f t="array" ref="BR36">1+$B$14+VLOOKUP($Q36,武学奇术!$A:$ZZ,20,FALSE)+SUM(_xlfn.XLOOKUP($R36:$AK36,增益!$A:$A,增益!$T:$T,0))</f>
        <v>1.35</v>
      </c>
      <c r="BS36" s="27">
        <f t="shared" si="9"/>
        <v>1</v>
      </c>
      <c r="BT36" s="27">
        <f t="shared" si="10"/>
        <v>0</v>
      </c>
      <c r="BU36" s="27">
        <f>IF(VLOOKUP($Q36,武学奇术!$A:$ZZ,22,FALSE)=1,0,(1-$BN36))*(1-$BQ36)</f>
        <v>0</v>
      </c>
      <c r="BV36" s="27" cm="1">
        <f t="array" ref="BV36">SUM(_xlfn.XLOOKUP($R36:$AK36,增益!$A:$A,增益!$W:$W,0))+$I$5</f>
        <v>0.11</v>
      </c>
    </row>
    <row r="37" spans="5:74">
      <c r="K37" s="40">
        <f t="shared" si="0"/>
        <v>18857.076160255</v>
      </c>
      <c r="L37" s="40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BP37*$P37*(1+IF(VLOOKUP($Q37,武学奇术!$A:$ZZ,30,FALSE)="蓄力技",$B$21,0))*(1+$BV37)</f>
        <v>18857.076160255</v>
      </c>
      <c r="M37" s="40">
        <f>(($AT37*$AM37+$AN37)*(1+$AU37)*(1+$AV37)+($AY37*IF($G$1="鸣金",$AO37,$AM37)+IF($G$1="鸣金",$AP37*1.5,0))*(1+$AZ37)*(1+$BA37)+($BC37*IF($G$1="裂石",$AO37,$AM37)+IF($G$1="裂石",$AP37*1.5,0))*(1+$BD37)*(1+$BE37)+($BG37*IF($G$1="牵丝",$AO37,$AM37)+IF($G$1="牵丝",$AP37*1.5,0))*(1+$BH37)*(1+$BI37)+($BK37*IF($G$1="破竹",$AO37,$AM37)+IF($G$1="破竹",$AP37*1.5,0))*(1+$BL37)*(1+$BM37))*(1+$AQ37)*$BR37*$P37*(1+IF(VLOOKUP($Q37,武学奇术!$A:$ZZ,30,FALSE)="蓄力技",$B$21,0))*(1+$BV37)</f>
        <v>13871.7895780858</v>
      </c>
      <c r="N37" s="40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P37*(1+IF(VLOOKUP($Q37,武学奇术!$A:$ZZ,30,FALSE)="蓄力技",$B$21,0))*(1+$BV37)</f>
        <v>8979.56007631189</v>
      </c>
      <c r="O37" s="40">
        <f>((($AS37*$AM37+$AN37)*(1+$AU37)*(1+$AV37)+($AX37*IF($G$1="鸣金",$AO37,$AM37)+IF($G$1="鸣金",$AP37*1.5,0))*(1+$AZ37)*(1+$BA37)+($BB37*IF($G$1="裂石",$AO37,$AM37)+IF($G$1="裂石",$AP37*1.5,0))*(1+$BD37)*(1+$BE37)+($BF37*IF($G$1="牵丝",$AO37,$AM37)+IF($G$1="牵丝",$AP37*1.5,0))*(1+$BH37)*(1+$BI37)+($BJ37*IF($G$1="破竹",$AO37,$AM37)+IF($G$1="破竹",$AP37*1.5,0))*(1+$BL37)*(1+$BM37))*(1+$AQ37))*$P37*(1+IF(VLOOKUP($Q37,武学奇术!$A:$ZZ,30,FALSE)="蓄力技",$B$21,0))*(1+$BV37)</f>
        <v>7683.7204651528</v>
      </c>
      <c r="P37" s="41">
        <v>1</v>
      </c>
      <c r="Q37" s="42" t="s">
        <v>125</v>
      </c>
      <c r="R37" s="42" t="s">
        <v>103</v>
      </c>
      <c r="S37" s="42" t="s">
        <v>169</v>
      </c>
      <c r="T37" s="42" t="s">
        <v>86</v>
      </c>
      <c r="U37" s="42" t="s">
        <v>121</v>
      </c>
      <c r="V37" s="42" t="s">
        <v>118</v>
      </c>
      <c r="W37" s="42" t="s">
        <v>77</v>
      </c>
      <c r="X37" s="42" t="s">
        <v>176</v>
      </c>
      <c r="Y37" s="42" t="s">
        <v>77</v>
      </c>
      <c r="Z37" s="42" t="s">
        <v>77</v>
      </c>
      <c r="AA37" s="42" t="s">
        <v>73</v>
      </c>
      <c r="AB37" s="42" t="s">
        <v>77</v>
      </c>
      <c r="AC37" s="42" t="s">
        <v>77</v>
      </c>
      <c r="AD37" s="42" t="s">
        <v>77</v>
      </c>
      <c r="AE37" s="42" t="s">
        <v>81</v>
      </c>
      <c r="AF37" s="42" t="s">
        <v>82</v>
      </c>
      <c r="AG37" s="42" t="s">
        <v>77</v>
      </c>
      <c r="AH37" s="42" t="s">
        <v>77</v>
      </c>
      <c r="AI37" s="42" t="s">
        <v>77</v>
      </c>
      <c r="AJ37" s="42" t="s">
        <v>77</v>
      </c>
      <c r="AK37" s="42" t="s">
        <v>77</v>
      </c>
      <c r="AL37" t="str">
        <f>VLOOKUP($Q37,武学奇术!$A:$ZZ,25,FALSE)</f>
        <v>陌刀</v>
      </c>
      <c r="AM37" s="27">
        <f>VLOOKUP($Q37,武学奇术!$A:$ZZ,26,FALSE)</f>
        <v>0.5</v>
      </c>
      <c r="AN37" s="28">
        <f>VLOOKUP($Q37,武学奇术!$A:$ZZ,27,FALSE)*(1+IF(OR($AL37=$F$4,$AL37=$F$5),$B$22,0))</f>
        <v>0</v>
      </c>
      <c r="AO37" s="27">
        <f>VLOOKUP($Q37,武学奇术!$A:$ZZ,28,FALSE)</f>
        <v>0.75</v>
      </c>
      <c r="AP37" s="28">
        <f>VLOOKUP($Q37,武学奇术!$A:$ZZ,29,FALSE)*(1+IF(OR($AL37=$F$4,$AL37=$F$5),$B$22,0))</f>
        <v>0</v>
      </c>
      <c r="AQ37" s="27" cm="1">
        <f t="array" ref="AQ37">$G$3+IFERROR(VLOOKUP($AL37,$F$4:$G$7,2,FALSE),0)+VLOOKUP($Q37,武学奇术!$A:$ZZ,2,FALSE)+SUM(_xlfn.XLOOKUP($R37:$AK37,增益!$A:$A,增益!$B:$B,0))</f>
        <v>0.7341</v>
      </c>
      <c r="AR37" s="27" cm="1">
        <f t="array" ref="AR37">VLOOKUP($Q37,武学奇术!$A:$ZZ,5,FALSE)+SUM(_xlfn.XLOOKUP($R37:$AK37,增益!$A:$A,增益!$E:$E,0))</f>
        <v>0</v>
      </c>
      <c r="AS37" cm="1">
        <f t="array" ref="AS37">$D$10*(1+$AR37)+VLOOKUP($Q37,武学奇术!$A:$ZZ,3,FALSE)+SUM(_xlfn.XLOOKUP($R37:$AK37,增益!$A:$A,增益!$C:$C,0))-$I$2</f>
        <v>3586.7</v>
      </c>
      <c r="AT37" cm="1">
        <f t="array" ref="AT37">$E$10*(1+$AR37)+VLOOKUP($Q37,武学奇术!$A:$ZZ,4,FALSE)+SUM(_xlfn.XLOOKUP($R37:$AK37,增益!$A:$A,增益!$D:$D,0))-$I$2</f>
        <v>3586.7</v>
      </c>
      <c r="AU37" s="34" cm="1">
        <f t="array" ref="AU37">IF($F$10-$I$3+VLOOKUP($Q37,武学奇术!$A:$ZZ,6,FALSE)+SUM(_xlfn.XLOOKUP($R37:$AK37,增益!$A:$A,增益!$F:$F,0))&gt;0,($F$10-$I$3+VLOOKUP($Q37,武学奇术!$A:$ZZ,6,FALSE)+SUM(_xlfn.XLOOKUP($R37:$AK37,增益!$A:$A,增益!$F:$F,0)))/200,($F$10-$I$3+VLOOKUP($Q37,武学奇术!$A:$ZZ,6,FALSE)+SUM(_xlfn.XLOOKUP($R37:$AK37,增益!$A:$A,增益!$F:$F,0)))/100)</f>
        <v>0.352</v>
      </c>
      <c r="AV37" s="34" cm="1">
        <f t="array" ref="AV37">$G$10+VLOOKUP($Q37,武学奇术!$A:$ZZ,7,FALSE)+SUM(_xlfn.XLOOKUP($R37:$AK37,增益!$A:$A,增益!$G:$G,0))</f>
        <v>0</v>
      </c>
      <c r="AW37" s="27" cm="1">
        <f t="array" ref="AW37">VLOOKUP($Q37,武学奇术!$A:$ZZ,8,FALSE)+SUM(_xlfn.XLOOKUP($R37:$AK37,增益!$A:$A,增益!$H:$H,0))</f>
        <v>0</v>
      </c>
      <c r="AX37">
        <f t="shared" si="1"/>
        <v>0</v>
      </c>
      <c r="AY37">
        <f t="shared" si="2"/>
        <v>0</v>
      </c>
      <c r="AZ37" s="34" cm="1">
        <f t="array" ref="AZ37">IF($F$11-$I$4+VLOOKUP($Q37,武学奇术!$A:$ZZ,9,FALSE)+SUM(_xlfn.XLOOKUP($R37:$AK37,增益!$A:$A,增益!$I:$I,0))&gt;0,($F$11-$I$4+VLOOKUP($Q37,武学奇术!$A:$ZZ,9,FALSE)+SUM(_xlfn.XLOOKUP($R37:$AK37,增益!$A:$A,增益!$I:$I,0)))/200,($F$11-$I$4+VLOOKUP($Q37,武学奇术!$A:$ZZ,9,FALSE)+SUM(_xlfn.XLOOKUP($R37:$AK37,增益!$A:$A,增益!$I:$I,0)))/100)</f>
        <v>-0.14</v>
      </c>
      <c r="BA37" s="34" cm="1">
        <f t="array" ref="BA37">$G$11+VLOOKUP($Q37,武学奇术!$A:$ZZ,10,FALSE)+SUM(_xlfn.XLOOKUP($R37:$AK37,增益!$A:$A,增益!$J:$J,0))</f>
        <v>0</v>
      </c>
      <c r="BB37">
        <f t="shared" si="3"/>
        <v>594.1</v>
      </c>
      <c r="BC37">
        <f t="shared" si="4"/>
        <v>1604.9</v>
      </c>
      <c r="BD37" s="34" cm="1">
        <f t="array" ref="BD37">IF($F$12-$I$4+VLOOKUP($Q37,武学奇术!$A:$ZZ,11,FALSE)+SUM(_xlfn.XLOOKUP($R37:$AK37,增益!$A:$A,增益!$K:$K,0))&gt;0,($F$12-$I$4+VLOOKUP($Q37,武学奇术!$A:$ZZ,11,FALSE)+SUM(_xlfn.XLOOKUP($R37:$AK37,增益!$A:$A,增益!$K:$K,0)))/200,($F$12-$I$4+VLOOKUP($Q37,武学奇术!$A:$ZZ,11,FALSE)+SUM(_xlfn.XLOOKUP($R37:$AK37,增益!$A:$A,增益!$K:$K,0)))/100)</f>
        <v>0.17</v>
      </c>
      <c r="BE37" s="34" cm="1">
        <f t="array" ref="BE37">$G$12+VLOOKUP($Q37,武学奇术!$A:$ZZ,12,FALSE)+SUM(_xlfn.XLOOKUP($R37:$AK37,增益!$A:$A,增益!$L:$L,0))</f>
        <v>0.15</v>
      </c>
      <c r="BF37">
        <f t="shared" si="5"/>
        <v>0</v>
      </c>
      <c r="BG37">
        <f t="shared" si="6"/>
        <v>0</v>
      </c>
      <c r="BH37" s="34" cm="1">
        <f t="array" ref="BH37">IF($F$13-$I$4+VLOOKUP($Q37,武学奇术!$A:$ZZ,13,FALSE)+SUM(_xlfn.XLOOKUP($R37:$AK37,增益!$A:$A,增益!$M:$M,0))&gt;0,($F$13-$I$4+VLOOKUP($Q37,武学奇术!$A:$ZZ,13,FALSE)+SUM(_xlfn.XLOOKUP($R37:$AK37,增益!$A:$A,增益!$K:$K,0)))/200,($F$13-$I$4+VLOOKUP($Q37,武学奇术!$A:$ZZ,13,FALSE)+SUM(_xlfn.XLOOKUP($R37:$AK37,增益!$A:$A,增益!$M:$M,0)))/100)</f>
        <v>-0.14</v>
      </c>
      <c r="BI37" s="34" cm="1">
        <f t="array" ref="BI37">$G$13+VLOOKUP($Q37,武学奇术!$A:$ZZ,14,FALSE)+SUM(_xlfn.XLOOKUP($R37:$AK37,增益!$A:$A,增益!$N:$N,0))</f>
        <v>0</v>
      </c>
      <c r="BJ37">
        <f t="shared" si="7"/>
        <v>0</v>
      </c>
      <c r="BK37">
        <f t="shared" si="8"/>
        <v>0</v>
      </c>
      <c r="BL37" s="34" cm="1">
        <f t="array" ref="BL37">IF($F$14-$I$4+VLOOKUP($Q37,武学奇术!$A:$ZZ,15,FALSE)+SUM(_xlfn.XLOOKUP($R37:$AK37,增益!$A:$A,增益!$O:$O,0))&gt;0,($F$14-$I$4+VLOOKUP($Q37,武学奇术!$A:$ZZ,15,FALSE)+SUM(_xlfn.XLOOKUP($R37:$AK37,增益!$A:$A,增益!$O:$O,0)))/200,($F$14-$I$4+VLOOKUP($Q37,武学奇术!$A:$ZZ,15,FALSE)+SUM(_xlfn.XLOOKUP($R37:$AK37,增益!$A:$A,增益!$O:$O,0)))/100)</f>
        <v>-0.14</v>
      </c>
      <c r="BM37" s="34" cm="1">
        <f t="array" ref="BM37">$G$14+VLOOKUP($Q37,武学奇术!$A:$ZZ,16,FALSE)+SUM(_xlfn.XLOOKUP($R37:$AK37,增益!$A:$A,增益!$P:$P,0))</f>
        <v>0</v>
      </c>
      <c r="BN37" s="27">
        <f>MIN(IF(VLOOKUP($Q37,武学奇术!$A:$ZZ,23,FALSE)=1,100%,$B$8),100%)</f>
        <v>1</v>
      </c>
      <c r="BO37" s="27" cm="1">
        <f t="array" ref="BO37">IF(VLOOKUP($Q37,武学奇术!$A:$ZZ,23,FALSE)=1,100%,MIN(80%,$B$9+VLOOKUP($Q37,武学奇术!$A:$ZZ,17,FALSE)+SUM(_xlfn.XLOOKUP($R37:$AK37,增益!$A:$A,增益!$Q:$Q,0)))+$B$11+SUM(_xlfn.XLOOKUP($R37:$AK37,增益!$A:$A,增益!$U:$U,0)))*IF(VLOOKUP($Q37,武学奇术!$A:$ZZ,24,FALSE)=1,0,1)</f>
        <v>1</v>
      </c>
      <c r="BP37" s="27" cm="1">
        <f t="array" ref="BP37">1+$B$13+VLOOKUP($Q37,武学奇术!$A:$ZZ,18,FALSE)+SUM(_xlfn.XLOOKUP($R37:$AK37,增益!$A:$A,增益!$R:$R,0))</f>
        <v>2.1</v>
      </c>
      <c r="BQ37" s="27" cm="1">
        <f t="array" ref="BQ37">IF(VLOOKUP($Q37,武学奇术!$A:$ZZ,24,FALSE)=1,100%,MIN(40%,$B$10+VLOOKUP($Q37,武学奇术!$A:$ZZ,19,FALSE)+SUM(_xlfn.XLOOKUP($R37:$AK37,增益!$A:$A,增益!$S:$S,0)))+$B$12+SUM(_xlfn.XLOOKUP($R37:$AK37,增益!$A:$A,增益!$V:$V,0)))*IF(VLOOKUP($Q37,武学奇术!$A:$ZZ,23,FALSE)=1,0,1)</f>
        <v>0</v>
      </c>
      <c r="BR37" s="27" cm="1">
        <f t="array" ref="BR37">1+$B$14+VLOOKUP($Q37,武学奇术!$A:$ZZ,20,FALSE)+SUM(_xlfn.XLOOKUP($R37:$AK37,增益!$A:$A,增益!$T:$T,0))</f>
        <v>1.35</v>
      </c>
      <c r="BS37" s="27">
        <f t="shared" si="9"/>
        <v>1</v>
      </c>
      <c r="BT37" s="27">
        <f t="shared" si="10"/>
        <v>0</v>
      </c>
      <c r="BU37" s="27">
        <f>IF(VLOOKUP($Q37,武学奇术!$A:$ZZ,22,FALSE)=1,0,(1-$BN37))*(1-$BQ37)</f>
        <v>0</v>
      </c>
      <c r="BV37" s="27" cm="1">
        <f t="array" ref="BV37">SUM(_xlfn.XLOOKUP($R37:$AK37,增益!$A:$A,增益!$W:$W,0))+$I$5</f>
        <v>0.11</v>
      </c>
    </row>
    <row r="38" spans="5:74">
      <c r="K38" s="40">
        <f t="shared" si="0"/>
        <v>33942.737088459</v>
      </c>
      <c r="L38" s="40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BP38*$P38*(1+IF(VLOOKUP($Q38,武学奇术!$A:$ZZ,30,FALSE)="蓄力技",$B$21,0))*(1+$BV38)</f>
        <v>33942.737088459</v>
      </c>
      <c r="M38" s="40">
        <f>(($AT38*$AM38+$AN38)*(1+$AU38)*(1+$AV38)+($AY38*IF($G$1="鸣金",$AO38,$AM38)+IF($G$1="鸣金",$AP38*1.5,0))*(1+$AZ38)*(1+$BA38)+($BC38*IF($G$1="裂石",$AO38,$AM38)+IF($G$1="裂石",$AP38*1.5,0))*(1+$BD38)*(1+$BE38)+($BG38*IF($G$1="牵丝",$AO38,$AM38)+IF($G$1="牵丝",$AP38*1.5,0))*(1+$BH38)*(1+$BI38)+($BK38*IF($G$1="破竹",$AO38,$AM38)+IF($G$1="破竹",$AP38*1.5,0))*(1+$BL38)*(1+$BM38))*(1+$AQ38)*$BR38*$P38*(1+IF(VLOOKUP($Q38,武学奇术!$A:$ZZ,30,FALSE)="蓄力技",$B$21,0))*(1+$BV38)</f>
        <v>24969.2212405545</v>
      </c>
      <c r="N38" s="40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P38*(1+IF(VLOOKUP($Q38,武学奇术!$A:$ZZ,30,FALSE)="蓄力技",$B$21,0))*(1+$BV38)</f>
        <v>16163.2081373614</v>
      </c>
      <c r="O38" s="40">
        <f>((($AS38*$AM38+$AN38)*(1+$AU38)*(1+$AV38)+($AX38*IF($G$1="鸣金",$AO38,$AM38)+IF($G$1="鸣金",$AP38*1.5,0))*(1+$AZ38)*(1+$BA38)+($BB38*IF($G$1="裂石",$AO38,$AM38)+IF($G$1="裂石",$AP38*1.5,0))*(1+$BD38)*(1+$BE38)+($BF38*IF($G$1="牵丝",$AO38,$AM38)+IF($G$1="牵丝",$AP38*1.5,0))*(1+$BH38)*(1+$BI38)+($BJ38*IF($G$1="破竹",$AO38,$AM38)+IF($G$1="破竹",$AP38*1.5,0))*(1+$BL38)*(1+$BM38))*(1+$AQ38))*$P38*(1+IF(VLOOKUP($Q38,武学奇术!$A:$ZZ,30,FALSE)="蓄力技",$B$21,0))*(1+$BV38)</f>
        <v>13830.696837275</v>
      </c>
      <c r="P38" s="41">
        <v>1</v>
      </c>
      <c r="Q38" s="42" t="s">
        <v>117</v>
      </c>
      <c r="R38" s="42" t="s">
        <v>103</v>
      </c>
      <c r="S38" s="42" t="s">
        <v>169</v>
      </c>
      <c r="T38" s="42" t="s">
        <v>86</v>
      </c>
      <c r="U38" s="42" t="s">
        <v>121</v>
      </c>
      <c r="V38" s="42" t="s">
        <v>118</v>
      </c>
      <c r="W38" s="42" t="s">
        <v>77</v>
      </c>
      <c r="X38" s="42" t="s">
        <v>176</v>
      </c>
      <c r="Y38" s="42" t="s">
        <v>77</v>
      </c>
      <c r="Z38" s="42" t="s">
        <v>77</v>
      </c>
      <c r="AA38" s="42" t="s">
        <v>73</v>
      </c>
      <c r="AB38" s="42" t="s">
        <v>77</v>
      </c>
      <c r="AC38" s="42" t="s">
        <v>77</v>
      </c>
      <c r="AD38" s="42" t="s">
        <v>77</v>
      </c>
      <c r="AE38" s="42" t="s">
        <v>81</v>
      </c>
      <c r="AF38" s="42" t="s">
        <v>82</v>
      </c>
      <c r="AG38" s="42" t="s">
        <v>77</v>
      </c>
      <c r="AH38" s="42" t="s">
        <v>77</v>
      </c>
      <c r="AI38" s="42" t="s">
        <v>77</v>
      </c>
      <c r="AJ38" s="42" t="s">
        <v>77</v>
      </c>
      <c r="AK38" s="42" t="s">
        <v>77</v>
      </c>
      <c r="AL38" t="str">
        <f>VLOOKUP($Q38,武学奇术!$A:$ZZ,25,FALSE)</f>
        <v>陌刀</v>
      </c>
      <c r="AM38" s="27">
        <f>VLOOKUP($Q38,武学奇术!$A:$ZZ,26,FALSE)</f>
        <v>0.9</v>
      </c>
      <c r="AN38" s="28">
        <f>VLOOKUP($Q38,武学奇术!$A:$ZZ,27,FALSE)*(1+IF(OR($AL38=$F$4,$AL38=$F$5),$B$22,0))</f>
        <v>0</v>
      </c>
      <c r="AO38" s="27">
        <f>VLOOKUP($Q38,武学奇术!$A:$ZZ,28,FALSE)</f>
        <v>1.35</v>
      </c>
      <c r="AP38" s="28">
        <f>VLOOKUP($Q38,武学奇术!$A:$ZZ,29,FALSE)*(1+IF(OR($AL38=$F$4,$AL38=$F$5),$B$22,0))</f>
        <v>0</v>
      </c>
      <c r="AQ38" s="27" cm="1">
        <f t="array" ref="AQ38">$G$3+IFERROR(VLOOKUP($AL38,$F$4:$G$7,2,FALSE),0)+VLOOKUP($Q38,武学奇术!$A:$ZZ,2,FALSE)+SUM(_xlfn.XLOOKUP($R38:$AK38,增益!$A:$A,增益!$B:$B,0))</f>
        <v>0.7341</v>
      </c>
      <c r="AR38" s="27" cm="1">
        <f t="array" ref="AR38">VLOOKUP($Q38,武学奇术!$A:$ZZ,5,FALSE)+SUM(_xlfn.XLOOKUP($R38:$AK38,增益!$A:$A,增益!$E:$E,0))</f>
        <v>0</v>
      </c>
      <c r="AS38" cm="1">
        <f t="array" ref="AS38">$D$10*(1+$AR38)+VLOOKUP($Q38,武学奇术!$A:$ZZ,3,FALSE)+SUM(_xlfn.XLOOKUP($R38:$AK38,增益!$A:$A,增益!$C:$C,0))-$I$2</f>
        <v>3586.7</v>
      </c>
      <c r="AT38" cm="1">
        <f t="array" ref="AT38">$E$10*(1+$AR38)+VLOOKUP($Q38,武学奇术!$A:$ZZ,4,FALSE)+SUM(_xlfn.XLOOKUP($R38:$AK38,增益!$A:$A,增益!$D:$D,0))-$I$2</f>
        <v>3586.7</v>
      </c>
      <c r="AU38" s="34" cm="1">
        <f t="array" ref="AU38">IF($F$10-$I$3+VLOOKUP($Q38,武学奇术!$A:$ZZ,6,FALSE)+SUM(_xlfn.XLOOKUP($R38:$AK38,增益!$A:$A,增益!$F:$F,0))&gt;0,($F$10-$I$3+VLOOKUP($Q38,武学奇术!$A:$ZZ,6,FALSE)+SUM(_xlfn.XLOOKUP($R38:$AK38,增益!$A:$A,增益!$F:$F,0)))/200,($F$10-$I$3+VLOOKUP($Q38,武学奇术!$A:$ZZ,6,FALSE)+SUM(_xlfn.XLOOKUP($R38:$AK38,增益!$A:$A,增益!$F:$F,0)))/100)</f>
        <v>0.352</v>
      </c>
      <c r="AV38" s="34" cm="1">
        <f t="array" ref="AV38">$G$10+VLOOKUP($Q38,武学奇术!$A:$ZZ,7,FALSE)+SUM(_xlfn.XLOOKUP($R38:$AK38,增益!$A:$A,增益!$G:$G,0))</f>
        <v>0</v>
      </c>
      <c r="AW38" s="27" cm="1">
        <f t="array" ref="AW38">VLOOKUP($Q38,武学奇术!$A:$ZZ,8,FALSE)+SUM(_xlfn.XLOOKUP($R38:$AK38,增益!$A:$A,增益!$H:$H,0))</f>
        <v>0</v>
      </c>
      <c r="AX38">
        <f t="shared" si="1"/>
        <v>0</v>
      </c>
      <c r="AY38">
        <f t="shared" si="2"/>
        <v>0</v>
      </c>
      <c r="AZ38" s="34" cm="1">
        <f t="array" ref="AZ38">IF($F$11-$I$4+VLOOKUP($Q38,武学奇术!$A:$ZZ,9,FALSE)+SUM(_xlfn.XLOOKUP($R38:$AK38,增益!$A:$A,增益!$I:$I,0))&gt;0,($F$11-$I$4+VLOOKUP($Q38,武学奇术!$A:$ZZ,9,FALSE)+SUM(_xlfn.XLOOKUP($R38:$AK38,增益!$A:$A,增益!$I:$I,0)))/200,($F$11-$I$4+VLOOKUP($Q38,武学奇术!$A:$ZZ,9,FALSE)+SUM(_xlfn.XLOOKUP($R38:$AK38,增益!$A:$A,增益!$I:$I,0)))/100)</f>
        <v>-0.14</v>
      </c>
      <c r="BA38" s="34" cm="1">
        <f t="array" ref="BA38">$G$11+VLOOKUP($Q38,武学奇术!$A:$ZZ,10,FALSE)+SUM(_xlfn.XLOOKUP($R38:$AK38,增益!$A:$A,增益!$J:$J,0))</f>
        <v>0</v>
      </c>
      <c r="BB38">
        <f t="shared" si="3"/>
        <v>594.1</v>
      </c>
      <c r="BC38">
        <f t="shared" si="4"/>
        <v>1604.9</v>
      </c>
      <c r="BD38" s="34" cm="1">
        <f t="array" ref="BD38">IF($F$12-$I$4+VLOOKUP($Q38,武学奇术!$A:$ZZ,11,FALSE)+SUM(_xlfn.XLOOKUP($R38:$AK38,增益!$A:$A,增益!$K:$K,0))&gt;0,($F$12-$I$4+VLOOKUP($Q38,武学奇术!$A:$ZZ,11,FALSE)+SUM(_xlfn.XLOOKUP($R38:$AK38,增益!$A:$A,增益!$K:$K,0)))/200,($F$12-$I$4+VLOOKUP($Q38,武学奇术!$A:$ZZ,11,FALSE)+SUM(_xlfn.XLOOKUP($R38:$AK38,增益!$A:$A,增益!$K:$K,0)))/100)</f>
        <v>0.17</v>
      </c>
      <c r="BE38" s="34" cm="1">
        <f t="array" ref="BE38">$G$12+VLOOKUP($Q38,武学奇术!$A:$ZZ,12,FALSE)+SUM(_xlfn.XLOOKUP($R38:$AK38,增益!$A:$A,增益!$L:$L,0))</f>
        <v>0.15</v>
      </c>
      <c r="BF38">
        <f t="shared" si="5"/>
        <v>0</v>
      </c>
      <c r="BG38">
        <f t="shared" si="6"/>
        <v>0</v>
      </c>
      <c r="BH38" s="34" cm="1">
        <f t="array" ref="BH38">IF($F$13-$I$4+VLOOKUP($Q38,武学奇术!$A:$ZZ,13,FALSE)+SUM(_xlfn.XLOOKUP($R38:$AK38,增益!$A:$A,增益!$M:$M,0))&gt;0,($F$13-$I$4+VLOOKUP($Q38,武学奇术!$A:$ZZ,13,FALSE)+SUM(_xlfn.XLOOKUP($R38:$AK38,增益!$A:$A,增益!$K:$K,0)))/200,($F$13-$I$4+VLOOKUP($Q38,武学奇术!$A:$ZZ,13,FALSE)+SUM(_xlfn.XLOOKUP($R38:$AK38,增益!$A:$A,增益!$M:$M,0)))/100)</f>
        <v>-0.14</v>
      </c>
      <c r="BI38" s="34" cm="1">
        <f t="array" ref="BI38">$G$13+VLOOKUP($Q38,武学奇术!$A:$ZZ,14,FALSE)+SUM(_xlfn.XLOOKUP($R38:$AK38,增益!$A:$A,增益!$N:$N,0))</f>
        <v>0</v>
      </c>
      <c r="BJ38">
        <f t="shared" si="7"/>
        <v>0</v>
      </c>
      <c r="BK38">
        <f t="shared" si="8"/>
        <v>0</v>
      </c>
      <c r="BL38" s="34" cm="1">
        <f t="array" ref="BL38">IF($F$14-$I$4+VLOOKUP($Q38,武学奇术!$A:$ZZ,15,FALSE)+SUM(_xlfn.XLOOKUP($R38:$AK38,增益!$A:$A,增益!$O:$O,0))&gt;0,($F$14-$I$4+VLOOKUP($Q38,武学奇术!$A:$ZZ,15,FALSE)+SUM(_xlfn.XLOOKUP($R38:$AK38,增益!$A:$A,增益!$O:$O,0)))/200,($F$14-$I$4+VLOOKUP($Q38,武学奇术!$A:$ZZ,15,FALSE)+SUM(_xlfn.XLOOKUP($R38:$AK38,增益!$A:$A,增益!$O:$O,0)))/100)</f>
        <v>-0.14</v>
      </c>
      <c r="BM38" s="34" cm="1">
        <f t="array" ref="BM38">$G$14+VLOOKUP($Q38,武学奇术!$A:$ZZ,16,FALSE)+SUM(_xlfn.XLOOKUP($R38:$AK38,增益!$A:$A,增益!$P:$P,0))</f>
        <v>0</v>
      </c>
      <c r="BN38" s="27">
        <f>MIN(IF(VLOOKUP($Q38,武学奇术!$A:$ZZ,23,FALSE)=1,100%,$B$8),100%)</f>
        <v>1</v>
      </c>
      <c r="BO38" s="27" cm="1">
        <f t="array" ref="BO38">IF(VLOOKUP($Q38,武学奇术!$A:$ZZ,23,FALSE)=1,100%,MIN(80%,$B$9+VLOOKUP($Q38,武学奇术!$A:$ZZ,17,FALSE)+SUM(_xlfn.XLOOKUP($R38:$AK38,增益!$A:$A,增益!$Q:$Q,0)))+$B$11+SUM(_xlfn.XLOOKUP($R38:$AK38,增益!$A:$A,增益!$U:$U,0)))*IF(VLOOKUP($Q38,武学奇术!$A:$ZZ,24,FALSE)=1,0,1)</f>
        <v>1</v>
      </c>
      <c r="BP38" s="27" cm="1">
        <f t="array" ref="BP38">1+$B$13+VLOOKUP($Q38,武学奇术!$A:$ZZ,18,FALSE)+SUM(_xlfn.XLOOKUP($R38:$AK38,增益!$A:$A,增益!$R:$R,0))</f>
        <v>2.1</v>
      </c>
      <c r="BQ38" s="27" cm="1">
        <f t="array" ref="BQ38">IF(VLOOKUP($Q38,武学奇术!$A:$ZZ,24,FALSE)=1,100%,MIN(40%,$B$10+VLOOKUP($Q38,武学奇术!$A:$ZZ,19,FALSE)+SUM(_xlfn.XLOOKUP($R38:$AK38,增益!$A:$A,增益!$S:$S,0)))+$B$12+SUM(_xlfn.XLOOKUP($R38:$AK38,增益!$A:$A,增益!$V:$V,0)))*IF(VLOOKUP($Q38,武学奇术!$A:$ZZ,23,FALSE)=1,0,1)</f>
        <v>0</v>
      </c>
      <c r="BR38" s="27" cm="1">
        <f t="array" ref="BR38">1+$B$14+VLOOKUP($Q38,武学奇术!$A:$ZZ,20,FALSE)+SUM(_xlfn.XLOOKUP($R38:$AK38,增益!$A:$A,增益!$T:$T,0))</f>
        <v>1.35</v>
      </c>
      <c r="BS38" s="27">
        <f t="shared" si="9"/>
        <v>1</v>
      </c>
      <c r="BT38" s="27">
        <f t="shared" si="10"/>
        <v>0</v>
      </c>
      <c r="BU38" s="27">
        <f>IF(VLOOKUP($Q38,武学奇术!$A:$ZZ,22,FALSE)=1,0,(1-$BN38))*(1-$BQ38)</f>
        <v>0</v>
      </c>
      <c r="BV38" s="27" cm="1">
        <f t="array" ref="BV38">SUM(_xlfn.XLOOKUP($R38:$AK38,增益!$A:$A,增益!$W:$W,0))+$I$5</f>
        <v>0.11</v>
      </c>
    </row>
    <row r="39" spans="5:74">
      <c r="E39" s="4"/>
      <c r="F39" s="4"/>
      <c r="K39" s="40">
        <f t="shared" si="0"/>
        <v>326461.306779137</v>
      </c>
      <c r="L39" s="40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BP39*$P39*(1+IF(VLOOKUP($Q39,武学奇术!$A:$ZZ,30,FALSE)="蓄力技",$B$21,0))*(1+$BV39)</f>
        <v>326461.306779137</v>
      </c>
      <c r="M39" s="40">
        <f>(($AT39*$AM39+$AN39)*(1+$AU39)*(1+$AV39)+($AY39*IF($G$1="鸣金",$AO39,$AM39)+IF($G$1="鸣金",$AP39*1.5,0))*(1+$AZ39)*(1+$BA39)+($BC39*IF($G$1="裂石",$AO39,$AM39)+IF($G$1="裂石",$AP39*1.5,0))*(1+$BD39)*(1+$BE39)+($BG39*IF($G$1="牵丝",$AO39,$AM39)+IF($G$1="牵丝",$AP39*1.5,0))*(1+$BH39)*(1+$BI39)+($BK39*IF($G$1="破竹",$AO39,$AM39)+IF($G$1="破竹",$AP39*1.5,0))*(1+$BL39)*(1+$BM39))*(1+$AQ39)*$BR39*$P39*(1+IF(VLOOKUP($Q39,武学奇术!$A:$ZZ,30,FALSE)="蓄力技",$B$21,0))*(1+$BV39)</f>
        <v>236344.785198985</v>
      </c>
      <c r="N39" s="40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P39*(1+IF(VLOOKUP($Q39,武学奇术!$A:$ZZ,30,FALSE)="蓄力技",$B$21,0))*(1+$BV39)</f>
        <v>155457.765132922</v>
      </c>
      <c r="O39" s="40">
        <f>((($AS39*$AM39+$AN39)*(1+$AU39)*(1+$AV39)+($AX39*IF($G$1="鸣金",$AO39,$AM39)+IF($G$1="鸣金",$AP39*1.5,0))*(1+$AZ39)*(1+$BA39)+($BB39*IF($G$1="裂石",$AO39,$AM39)+IF($G$1="裂石",$AP39*1.5,0))*(1+$BD39)*(1+$BE39)+($BF39*IF($G$1="牵丝",$AO39,$AM39)+IF($G$1="牵丝",$AP39*1.5,0))*(1+$BH39)*(1+$BI39)+($BJ39*IF($G$1="破竹",$AO39,$AM39)+IF($G$1="破竹",$AP39*1.5,0))*(1+$BL39)*(1+$BM39))*(1+$AQ39))*$P39*(1+IF(VLOOKUP($Q39,武学奇术!$A:$ZZ,30,FALSE)="蓄力技",$B$21,0))*(1+$BV39)</f>
        <v>135845.319007337</v>
      </c>
      <c r="P39" s="41">
        <v>1</v>
      </c>
      <c r="Q39" s="42" t="s">
        <v>120</v>
      </c>
      <c r="R39" s="42" t="s">
        <v>103</v>
      </c>
      <c r="S39" s="42" t="s">
        <v>169</v>
      </c>
      <c r="T39" s="42" t="s">
        <v>86</v>
      </c>
      <c r="U39" s="42" t="s">
        <v>121</v>
      </c>
      <c r="V39" s="42" t="s">
        <v>118</v>
      </c>
      <c r="W39" s="42" t="s">
        <v>77</v>
      </c>
      <c r="X39" s="42" t="s">
        <v>176</v>
      </c>
      <c r="Y39" s="42" t="s">
        <v>77</v>
      </c>
      <c r="Z39" s="42" t="s">
        <v>77</v>
      </c>
      <c r="AA39" s="42" t="s">
        <v>73</v>
      </c>
      <c r="AB39" s="42" t="s">
        <v>77</v>
      </c>
      <c r="AC39" s="42" t="s">
        <v>77</v>
      </c>
      <c r="AD39" s="42" t="s">
        <v>77</v>
      </c>
      <c r="AE39" s="42" t="s">
        <v>81</v>
      </c>
      <c r="AF39" s="42" t="s">
        <v>82</v>
      </c>
      <c r="AG39" s="42" t="s">
        <v>77</v>
      </c>
      <c r="AH39" s="42" t="s">
        <v>77</v>
      </c>
      <c r="AI39" s="42" t="s">
        <v>77</v>
      </c>
      <c r="AJ39" s="42" t="s">
        <v>77</v>
      </c>
      <c r="AK39" s="42" t="s">
        <v>77</v>
      </c>
      <c r="AL39" t="str">
        <f>VLOOKUP($Q39,武学奇术!$A:$ZZ,25,FALSE)</f>
        <v>陌刀</v>
      </c>
      <c r="AM39" s="27">
        <f>VLOOKUP($Q39,武学奇术!$A:$ZZ,26,FALSE)</f>
        <v>7.5674</v>
      </c>
      <c r="AN39" s="28">
        <f>VLOOKUP($Q39,武学奇术!$A:$ZZ,27,FALSE)*(1+IF(OR($AL39=$F$4,$AL39=$F$5),$B$22,0))</f>
        <v>3139.5</v>
      </c>
      <c r="AO39" s="27">
        <f>VLOOKUP($Q39,武学奇术!$A:$ZZ,28,FALSE)</f>
        <v>11.3512</v>
      </c>
      <c r="AP39" s="28">
        <f>VLOOKUP($Q39,武学奇术!$A:$ZZ,29,FALSE)*(1+IF(OR($AL39=$F$4,$AL39=$F$5),$B$22,0))</f>
        <v>1710</v>
      </c>
      <c r="AQ39" s="27" cm="1">
        <f t="array" ref="AQ39">$G$3+IFERROR(VLOOKUP($AL39,$F$4:$G$7,2,FALSE),0)+VLOOKUP($Q39,武学奇术!$A:$ZZ,2,FALSE)+SUM(_xlfn.XLOOKUP($R39:$AK39,增益!$A:$A,增益!$B:$B,0))</f>
        <v>0.7341</v>
      </c>
      <c r="AR39" s="27" cm="1">
        <f t="array" ref="AR39">VLOOKUP($Q39,武学奇术!$A:$ZZ,5,FALSE)+SUM(_xlfn.XLOOKUP($R39:$AK39,增益!$A:$A,增益!$E:$E,0))</f>
        <v>0</v>
      </c>
      <c r="AS39" cm="1">
        <f t="array" ref="AS39">$D$10*(1+$AR39)+VLOOKUP($Q39,武学奇术!$A:$ZZ,3,FALSE)+SUM(_xlfn.XLOOKUP($R39:$AK39,增益!$A:$A,增益!$C:$C,0))-$I$2</f>
        <v>3586.7</v>
      </c>
      <c r="AT39" cm="1">
        <f t="array" ref="AT39">$E$10*(1+$AR39)+VLOOKUP($Q39,武学奇术!$A:$ZZ,4,FALSE)+SUM(_xlfn.XLOOKUP($R39:$AK39,增益!$A:$A,增益!$D:$D,0))-$I$2</f>
        <v>3586.7</v>
      </c>
      <c r="AU39" s="34" cm="1">
        <f t="array" ref="AU39">IF($F$10-$I$3+VLOOKUP($Q39,武学奇术!$A:$ZZ,6,FALSE)+SUM(_xlfn.XLOOKUP($R39:$AK39,增益!$A:$A,增益!$F:$F,0))&gt;0,($F$10-$I$3+VLOOKUP($Q39,武学奇术!$A:$ZZ,6,FALSE)+SUM(_xlfn.XLOOKUP($R39:$AK39,增益!$A:$A,增益!$F:$F,0)))/200,($F$10-$I$3+VLOOKUP($Q39,武学奇术!$A:$ZZ,6,FALSE)+SUM(_xlfn.XLOOKUP($R39:$AK39,增益!$A:$A,增益!$F:$F,0)))/100)</f>
        <v>0.352</v>
      </c>
      <c r="AV39" s="34" cm="1">
        <f t="array" ref="AV39">$G$10+VLOOKUP($Q39,武学奇术!$A:$ZZ,7,FALSE)+SUM(_xlfn.XLOOKUP($R39:$AK39,增益!$A:$A,增益!$G:$G,0))</f>
        <v>0</v>
      </c>
      <c r="AW39" s="27" cm="1">
        <f t="array" ref="AW39">VLOOKUP($Q39,武学奇术!$A:$ZZ,8,FALSE)+SUM(_xlfn.XLOOKUP($R39:$AK39,增益!$A:$A,增益!$H:$H,0))</f>
        <v>0</v>
      </c>
      <c r="AX39">
        <f t="shared" si="1"/>
        <v>0</v>
      </c>
      <c r="AY39">
        <f t="shared" si="2"/>
        <v>0</v>
      </c>
      <c r="AZ39" s="34" cm="1">
        <f t="array" ref="AZ39">IF($F$11-$I$4+VLOOKUP($Q39,武学奇术!$A:$ZZ,9,FALSE)+SUM(_xlfn.XLOOKUP($R39:$AK39,增益!$A:$A,增益!$I:$I,0))&gt;0,($F$11-$I$4+VLOOKUP($Q39,武学奇术!$A:$ZZ,9,FALSE)+SUM(_xlfn.XLOOKUP($R39:$AK39,增益!$A:$A,增益!$I:$I,0)))/200,($F$11-$I$4+VLOOKUP($Q39,武学奇术!$A:$ZZ,9,FALSE)+SUM(_xlfn.XLOOKUP($R39:$AK39,增益!$A:$A,增益!$I:$I,0)))/100)</f>
        <v>-0.14</v>
      </c>
      <c r="BA39" s="34" cm="1">
        <f t="array" ref="BA39">$G$11+VLOOKUP($Q39,武学奇术!$A:$ZZ,10,FALSE)+SUM(_xlfn.XLOOKUP($R39:$AK39,增益!$A:$A,增益!$J:$J,0))</f>
        <v>0</v>
      </c>
      <c r="BB39">
        <f t="shared" si="3"/>
        <v>594.1</v>
      </c>
      <c r="BC39">
        <f t="shared" si="4"/>
        <v>1604.9</v>
      </c>
      <c r="BD39" s="34" cm="1">
        <f t="array" ref="BD39">IF($F$12-$I$4+VLOOKUP($Q39,武学奇术!$A:$ZZ,11,FALSE)+SUM(_xlfn.XLOOKUP($R39:$AK39,增益!$A:$A,增益!$K:$K,0))&gt;0,($F$12-$I$4+VLOOKUP($Q39,武学奇术!$A:$ZZ,11,FALSE)+SUM(_xlfn.XLOOKUP($R39:$AK39,增益!$A:$A,增益!$K:$K,0)))/200,($F$12-$I$4+VLOOKUP($Q39,武学奇术!$A:$ZZ,11,FALSE)+SUM(_xlfn.XLOOKUP($R39:$AK39,增益!$A:$A,增益!$K:$K,0)))/100)</f>
        <v>0.17</v>
      </c>
      <c r="BE39" s="34" cm="1">
        <f t="array" ref="BE39">$G$12+VLOOKUP($Q39,武学奇术!$A:$ZZ,12,FALSE)+SUM(_xlfn.XLOOKUP($R39:$AK39,增益!$A:$A,增益!$L:$L,0))</f>
        <v>0.15</v>
      </c>
      <c r="BF39">
        <f t="shared" si="5"/>
        <v>0</v>
      </c>
      <c r="BG39">
        <f t="shared" si="6"/>
        <v>0</v>
      </c>
      <c r="BH39" s="34" cm="1">
        <f t="array" ref="BH39">IF($F$13-$I$4+VLOOKUP($Q39,武学奇术!$A:$ZZ,13,FALSE)+SUM(_xlfn.XLOOKUP($R39:$AK39,增益!$A:$A,增益!$M:$M,0))&gt;0,($F$13-$I$4+VLOOKUP($Q39,武学奇术!$A:$ZZ,13,FALSE)+SUM(_xlfn.XLOOKUP($R39:$AK39,增益!$A:$A,增益!$K:$K,0)))/200,($F$13-$I$4+VLOOKUP($Q39,武学奇术!$A:$ZZ,13,FALSE)+SUM(_xlfn.XLOOKUP($R39:$AK39,增益!$A:$A,增益!$M:$M,0)))/100)</f>
        <v>-0.14</v>
      </c>
      <c r="BI39" s="34" cm="1">
        <f t="array" ref="BI39">$G$13+VLOOKUP($Q39,武学奇术!$A:$ZZ,14,FALSE)+SUM(_xlfn.XLOOKUP($R39:$AK39,增益!$A:$A,增益!$N:$N,0))</f>
        <v>0</v>
      </c>
      <c r="BJ39">
        <f t="shared" si="7"/>
        <v>0</v>
      </c>
      <c r="BK39">
        <f t="shared" si="8"/>
        <v>0</v>
      </c>
      <c r="BL39" s="34" cm="1">
        <f t="array" ref="BL39">IF($F$14-$I$4+VLOOKUP($Q39,武学奇术!$A:$ZZ,15,FALSE)+SUM(_xlfn.XLOOKUP($R39:$AK39,增益!$A:$A,增益!$O:$O,0))&gt;0,($F$14-$I$4+VLOOKUP($Q39,武学奇术!$A:$ZZ,15,FALSE)+SUM(_xlfn.XLOOKUP($R39:$AK39,增益!$A:$A,增益!$O:$O,0)))/200,($F$14-$I$4+VLOOKUP($Q39,武学奇术!$A:$ZZ,15,FALSE)+SUM(_xlfn.XLOOKUP($R39:$AK39,增益!$A:$A,增益!$O:$O,0)))/100)</f>
        <v>-0.14</v>
      </c>
      <c r="BM39" s="34" cm="1">
        <f t="array" ref="BM39">$G$14+VLOOKUP($Q39,武学奇术!$A:$ZZ,16,FALSE)+SUM(_xlfn.XLOOKUP($R39:$AK39,增益!$A:$A,增益!$P:$P,0))</f>
        <v>0</v>
      </c>
      <c r="BN39" s="27">
        <f>MIN(IF(VLOOKUP($Q39,武学奇术!$A:$ZZ,23,FALSE)=1,100%,$B$8),100%)</f>
        <v>1</v>
      </c>
      <c r="BO39" s="27" cm="1">
        <f t="array" ref="BO39">IF(VLOOKUP($Q39,武学奇术!$A:$ZZ,23,FALSE)=1,100%,MIN(80%,$B$9+VLOOKUP($Q39,武学奇术!$A:$ZZ,17,FALSE)+SUM(_xlfn.XLOOKUP($R39:$AK39,增益!$A:$A,增益!$Q:$Q,0)))+$B$11+SUM(_xlfn.XLOOKUP($R39:$AK39,增益!$A:$A,增益!$U:$U,0)))*IF(VLOOKUP($Q39,武学奇术!$A:$ZZ,24,FALSE)=1,0,1)</f>
        <v>1</v>
      </c>
      <c r="BP39" s="27" cm="1">
        <f t="array" ref="BP39">1+$B$13+VLOOKUP($Q39,武学奇术!$A:$ZZ,18,FALSE)+SUM(_xlfn.XLOOKUP($R39:$AK39,增益!$A:$A,增益!$R:$R,0))</f>
        <v>2.1</v>
      </c>
      <c r="BQ39" s="27" cm="1">
        <f t="array" ref="BQ39">IF(VLOOKUP($Q39,武学奇术!$A:$ZZ,24,FALSE)=1,100%,MIN(40%,$B$10+VLOOKUP($Q39,武学奇术!$A:$ZZ,19,FALSE)+SUM(_xlfn.XLOOKUP($R39:$AK39,增益!$A:$A,增益!$S:$S,0)))+$B$12+SUM(_xlfn.XLOOKUP($R39:$AK39,增益!$A:$A,增益!$V:$V,0)))*IF(VLOOKUP($Q39,武学奇术!$A:$ZZ,23,FALSE)=1,0,1)</f>
        <v>0</v>
      </c>
      <c r="BR39" s="27" cm="1">
        <f t="array" ref="BR39">1+$B$14+VLOOKUP($Q39,武学奇术!$A:$ZZ,20,FALSE)+SUM(_xlfn.XLOOKUP($R39:$AK39,增益!$A:$A,增益!$T:$T,0))</f>
        <v>1.35</v>
      </c>
      <c r="BS39" s="27">
        <f t="shared" si="9"/>
        <v>1</v>
      </c>
      <c r="BT39" s="27">
        <f t="shared" si="10"/>
        <v>0</v>
      </c>
      <c r="BU39" s="27">
        <f>IF(VLOOKUP($Q39,武学奇术!$A:$ZZ,22,FALSE)=1,0,(1-$BN39))*(1-$BQ39)</f>
        <v>0</v>
      </c>
      <c r="BV39" s="27" cm="1">
        <f t="array" ref="BV39">SUM(_xlfn.XLOOKUP($R39:$AK39,增益!$A:$A,增益!$W:$W,0))+$I$5</f>
        <v>0.11</v>
      </c>
    </row>
    <row r="40" spans="5:74">
      <c r="K40" s="40">
        <f t="shared" si="0"/>
        <v>143852.534879269</v>
      </c>
      <c r="L40" s="40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BP40*$P40*(1+IF(VLOOKUP($Q40,武学奇术!$A:$ZZ,30,FALSE)="蓄力技",$B$21,0))*(1+$BV40)</f>
        <v>147360.008971008</v>
      </c>
      <c r="M40" s="40">
        <f>(($AT40*$AM40+$AN40)*(1+$AU40)*(1+$AV40)+($AY40*IF($G$1="鸣金",$AO40,$AM40)+IF($G$1="鸣金",$AP40*1.5,0))*(1+$AZ40)*(1+$BA40)+($BC40*IF($G$1="裂石",$AO40,$AM40)+IF($G$1="裂石",$AP40*1.5,0))*(1+$BD40)*(1+$BE40)+($BG40*IF($G$1="牵丝",$AO40,$AM40)+IF($G$1="牵丝",$AP40*1.5,0))*(1+$BH40)*(1+$BI40)+($BK40*IF($G$1="破竹",$AO40,$AM40)+IF($G$1="破竹",$AP40*1.5,0))*(1+$BL40)*(1+$BM40))*(1+$AQ40)*$BR40*$P40*(1+IF(VLOOKUP($Q40,武学奇术!$A:$ZZ,30,FALSE)="蓄力技",$B$21,0))*(1+$BV40)</f>
        <v>130451.778744593</v>
      </c>
      <c r="N40" s="40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P40*(1+IF(VLOOKUP($Q40,武学奇术!$A:$ZZ,30,FALSE)="蓄力技",$B$21,0))*(1+$BV40)</f>
        <v>84689.6603281653</v>
      </c>
      <c r="O40" s="40">
        <f>((($AS40*$AM40+$AN40)*(1+$AU40)*(1+$AV40)+($AX40*IF($G$1="鸣金",$AO40,$AM40)+IF($G$1="鸣金",$AP40*1.5,0))*(1+$AZ40)*(1+$BA40)+($BB40*IF($G$1="裂石",$AO40,$AM40)+IF($G$1="裂石",$AP40*1.5,0))*(1+$BD40)*(1+$BE40)+($BF40*IF($G$1="牵丝",$AO40,$AM40)+IF($G$1="牵丝",$AP40*1.5,0))*(1+$BH40)*(1+$BI40)+($BJ40*IF($G$1="破竹",$AO40,$AM40)+IF($G$1="破竹",$AP40*1.5,0))*(1+$BL40)*(1+$BM40))*(1+$AQ40))*$P40*(1+IF(VLOOKUP($Q40,武学奇术!$A:$ZZ,30,FALSE)="蓄力技",$B$21,0))*(1+$BV40)</f>
        <v>72748.3734381132</v>
      </c>
      <c r="P40" s="41">
        <v>1</v>
      </c>
      <c r="Q40" s="42" t="s">
        <v>149</v>
      </c>
      <c r="R40" s="42" t="s">
        <v>103</v>
      </c>
      <c r="S40" s="42" t="s">
        <v>169</v>
      </c>
      <c r="T40" s="42" t="s">
        <v>86</v>
      </c>
      <c r="U40" s="42" t="s">
        <v>87</v>
      </c>
      <c r="V40" s="42" t="s">
        <v>77</v>
      </c>
      <c r="W40" s="42" t="s">
        <v>77</v>
      </c>
      <c r="X40" s="42" t="s">
        <v>176</v>
      </c>
      <c r="Y40" s="42" t="s">
        <v>77</v>
      </c>
      <c r="Z40" s="42" t="s">
        <v>77</v>
      </c>
      <c r="AA40" s="42" t="s">
        <v>77</v>
      </c>
      <c r="AB40" s="42" t="s">
        <v>77</v>
      </c>
      <c r="AC40" s="42" t="s">
        <v>77</v>
      </c>
      <c r="AD40" s="42" t="s">
        <v>77</v>
      </c>
      <c r="AE40" s="42" t="s">
        <v>81</v>
      </c>
      <c r="AF40" s="42" t="s">
        <v>82</v>
      </c>
      <c r="AG40" s="42" t="s">
        <v>77</v>
      </c>
      <c r="AH40" s="42" t="s">
        <v>77</v>
      </c>
      <c r="AI40" s="42" t="s">
        <v>77</v>
      </c>
      <c r="AJ40" s="42" t="s">
        <v>77</v>
      </c>
      <c r="AK40" s="42" t="s">
        <v>77</v>
      </c>
      <c r="AL40" t="str">
        <f>VLOOKUP($Q40,武学奇术!$A:$ZZ,25,FALSE)</f>
        <v>单体奇术</v>
      </c>
      <c r="AM40" s="27">
        <f>VLOOKUP($Q40,武学奇术!$A:$ZZ,26,FALSE)</f>
        <v>7.1084</v>
      </c>
      <c r="AN40" s="28">
        <f>VLOOKUP($Q40,武学奇术!$A:$ZZ,27,FALSE)*(1+IF(OR($AL40=$F$4,$AL40=$F$5),$B$22,0))</f>
        <v>1369</v>
      </c>
      <c r="AO40" s="27">
        <f>VLOOKUP($Q40,武学奇术!$A:$ZZ,28,FALSE)</f>
        <v>10.6626</v>
      </c>
      <c r="AP40" s="28">
        <f>VLOOKUP($Q40,武学奇术!$A:$ZZ,29,FALSE)*(1+IF(OR($AL40=$F$4,$AL40=$F$5),$B$22,0))</f>
        <v>0</v>
      </c>
      <c r="AQ40" s="27" cm="1">
        <f t="array" ref="AQ40">$G$3+IFERROR(VLOOKUP($AL40,$F$4:$G$7,2,FALSE),0)+VLOOKUP($Q40,武学奇术!$A:$ZZ,2,FALSE)+SUM(_xlfn.XLOOKUP($R40:$AK40,增益!$A:$A,增益!$B:$B,0))</f>
        <v>0.4837</v>
      </c>
      <c r="AR40" s="27" cm="1">
        <f t="array" ref="AR40">VLOOKUP($Q40,武学奇术!$A:$ZZ,5,FALSE)+SUM(_xlfn.XLOOKUP($R40:$AK40,增益!$A:$A,增益!$E:$E,0))</f>
        <v>0</v>
      </c>
      <c r="AS40" cm="1">
        <f t="array" ref="AS40">$D$10*(1+$AR40)+VLOOKUP($Q40,武学奇术!$A:$ZZ,3,FALSE)+SUM(_xlfn.XLOOKUP($R40:$AK40,增益!$A:$A,增益!$C:$C,0))-$I$2</f>
        <v>3586.7</v>
      </c>
      <c r="AT40" cm="1">
        <f t="array" ref="AT40">$E$10*(1+$AR40)+VLOOKUP($Q40,武学奇术!$A:$ZZ,4,FALSE)+SUM(_xlfn.XLOOKUP($R40:$AK40,增益!$A:$A,增益!$D:$D,0))-$I$2</f>
        <v>3586.7</v>
      </c>
      <c r="AU40" s="34" cm="1">
        <f t="array" ref="AU40">IF($F$10-$I$3+VLOOKUP($Q40,武学奇术!$A:$ZZ,6,FALSE)+SUM(_xlfn.XLOOKUP($R40:$AK40,增益!$A:$A,增益!$F:$F,0))&gt;0,($F$10-$I$3+VLOOKUP($Q40,武学奇术!$A:$ZZ,6,FALSE)+SUM(_xlfn.XLOOKUP($R40:$AK40,增益!$A:$A,增益!$F:$F,0)))/200,($F$10-$I$3+VLOOKUP($Q40,武学奇术!$A:$ZZ,6,FALSE)+SUM(_xlfn.XLOOKUP($R40:$AK40,增益!$A:$A,增益!$F:$F,0)))/100)</f>
        <v>0.327</v>
      </c>
      <c r="AV40" s="34" cm="1">
        <f t="array" ref="AV40">$G$10+VLOOKUP($Q40,武学奇术!$A:$ZZ,7,FALSE)+SUM(_xlfn.XLOOKUP($R40:$AK40,增益!$A:$A,增益!$G:$G,0))</f>
        <v>0</v>
      </c>
      <c r="AW40" s="27" cm="1">
        <f t="array" ref="AW40">VLOOKUP($Q40,武学奇术!$A:$ZZ,8,FALSE)+SUM(_xlfn.XLOOKUP($R40:$AK40,增益!$A:$A,增益!$H:$H,0))</f>
        <v>0</v>
      </c>
      <c r="AX40">
        <f t="shared" si="1"/>
        <v>0</v>
      </c>
      <c r="AY40">
        <f t="shared" si="2"/>
        <v>0</v>
      </c>
      <c r="AZ40" s="34" cm="1">
        <f t="array" ref="AZ40">IF($F$11-$I$4+VLOOKUP($Q40,武学奇术!$A:$ZZ,9,FALSE)+SUM(_xlfn.XLOOKUP($R40:$AK40,增益!$A:$A,增益!$I:$I,0))&gt;0,($F$11-$I$4+VLOOKUP($Q40,武学奇术!$A:$ZZ,9,FALSE)+SUM(_xlfn.XLOOKUP($R40:$AK40,增益!$A:$A,增益!$I:$I,0)))/200,($F$11-$I$4+VLOOKUP($Q40,武学奇术!$A:$ZZ,9,FALSE)+SUM(_xlfn.XLOOKUP($R40:$AK40,增益!$A:$A,增益!$I:$I,0)))/100)</f>
        <v>-0.14</v>
      </c>
      <c r="BA40" s="34" cm="1">
        <f t="array" ref="BA40">$G$11+VLOOKUP($Q40,武学奇术!$A:$ZZ,10,FALSE)+SUM(_xlfn.XLOOKUP($R40:$AK40,增益!$A:$A,增益!$J:$J,0))</f>
        <v>0</v>
      </c>
      <c r="BB40">
        <f t="shared" si="3"/>
        <v>594.1</v>
      </c>
      <c r="BC40">
        <f t="shared" si="4"/>
        <v>1604.9</v>
      </c>
      <c r="BD40" s="34" cm="1">
        <f t="array" ref="BD40">IF($F$12-$I$4+VLOOKUP($Q40,武学奇术!$A:$ZZ,11,FALSE)+SUM(_xlfn.XLOOKUP($R40:$AK40,增益!$A:$A,增益!$K:$K,0))&gt;0,($F$12-$I$4+VLOOKUP($Q40,武学奇术!$A:$ZZ,11,FALSE)+SUM(_xlfn.XLOOKUP($R40:$AK40,增益!$A:$A,增益!$K:$K,0)))/200,($F$12-$I$4+VLOOKUP($Q40,武学奇术!$A:$ZZ,11,FALSE)+SUM(_xlfn.XLOOKUP($R40:$AK40,增益!$A:$A,增益!$K:$K,0)))/100)</f>
        <v>0.17</v>
      </c>
      <c r="BE40" s="34" cm="1">
        <f t="array" ref="BE40">$G$12+VLOOKUP($Q40,武学奇术!$A:$ZZ,12,FALSE)+SUM(_xlfn.XLOOKUP($R40:$AK40,增益!$A:$A,增益!$L:$L,0))</f>
        <v>0.15</v>
      </c>
      <c r="BF40">
        <f t="shared" si="5"/>
        <v>0</v>
      </c>
      <c r="BG40">
        <f t="shared" si="6"/>
        <v>0</v>
      </c>
      <c r="BH40" s="34" cm="1">
        <f t="array" ref="BH40">IF($F$13-$I$4+VLOOKUP($Q40,武学奇术!$A:$ZZ,13,FALSE)+SUM(_xlfn.XLOOKUP($R40:$AK40,增益!$A:$A,增益!$M:$M,0))&gt;0,($F$13-$I$4+VLOOKUP($Q40,武学奇术!$A:$ZZ,13,FALSE)+SUM(_xlfn.XLOOKUP($R40:$AK40,增益!$A:$A,增益!$K:$K,0)))/200,($F$13-$I$4+VLOOKUP($Q40,武学奇术!$A:$ZZ,13,FALSE)+SUM(_xlfn.XLOOKUP($R40:$AK40,增益!$A:$A,增益!$M:$M,0)))/100)</f>
        <v>-0.14</v>
      </c>
      <c r="BI40" s="34" cm="1">
        <f t="array" ref="BI40">$G$13+VLOOKUP($Q40,武学奇术!$A:$ZZ,14,FALSE)+SUM(_xlfn.XLOOKUP($R40:$AK40,增益!$A:$A,增益!$N:$N,0))</f>
        <v>0</v>
      </c>
      <c r="BJ40">
        <f t="shared" si="7"/>
        <v>0</v>
      </c>
      <c r="BK40">
        <f t="shared" si="8"/>
        <v>0</v>
      </c>
      <c r="BL40" s="34" cm="1">
        <f t="array" ref="BL40">IF($F$14-$I$4+VLOOKUP($Q40,武学奇术!$A:$ZZ,15,FALSE)+SUM(_xlfn.XLOOKUP($R40:$AK40,增益!$A:$A,增益!$O:$O,0))&gt;0,($F$14-$I$4+VLOOKUP($Q40,武学奇术!$A:$ZZ,15,FALSE)+SUM(_xlfn.XLOOKUP($R40:$AK40,增益!$A:$A,增益!$O:$O,0)))/200,($F$14-$I$4+VLOOKUP($Q40,武学奇术!$A:$ZZ,15,FALSE)+SUM(_xlfn.XLOOKUP($R40:$AK40,增益!$A:$A,增益!$O:$O,0)))/100)</f>
        <v>-0.14</v>
      </c>
      <c r="BM40" s="34" cm="1">
        <f t="array" ref="BM40">$G$14+VLOOKUP($Q40,武学奇术!$A:$ZZ,16,FALSE)+SUM(_xlfn.XLOOKUP($R40:$AK40,增益!$A:$A,增益!$P:$P,0))</f>
        <v>0</v>
      </c>
      <c r="BN40" s="27">
        <f>MIN(IF(VLOOKUP($Q40,武学奇术!$A:$ZZ,23,FALSE)=1,100%,$B$8),100%)</f>
        <v>0.9859</v>
      </c>
      <c r="BO40" s="27" cm="1">
        <f t="array" ref="BO40">IF(VLOOKUP($Q40,武学奇术!$A:$ZZ,23,FALSE)=1,100%,MIN(80%,$B$9+VLOOKUP($Q40,武学奇术!$A:$ZZ,17,FALSE)+SUM(_xlfn.XLOOKUP($R40:$AK40,增益!$A:$A,增益!$Q:$Q,0)))+$B$11+SUM(_xlfn.XLOOKUP($R40:$AK40,增益!$A:$A,增益!$U:$U,0)))*IF(VLOOKUP($Q40,武学奇术!$A:$ZZ,24,FALSE)=1,0,1)</f>
        <v>0.8912</v>
      </c>
      <c r="BP40" s="27" cm="1">
        <f t="array" ref="BP40">1+$B$13+VLOOKUP($Q40,武学奇术!$A:$ZZ,18,FALSE)+SUM(_xlfn.XLOOKUP($R40:$AK40,增益!$A:$A,增益!$R:$R,0))</f>
        <v>1.74</v>
      </c>
      <c r="BQ40" s="27" cm="1">
        <f t="array" ref="BQ40">IF(VLOOKUP($Q40,武学奇术!$A:$ZZ,24,FALSE)=1,100%,MIN(40%,$B$10+VLOOKUP($Q40,武学奇术!$A:$ZZ,19,FALSE)+SUM(_xlfn.XLOOKUP($R40:$AK40,增益!$A:$A,增益!$S:$S,0)))+$B$12+SUM(_xlfn.XLOOKUP($R40:$AK40,增益!$A:$A,增益!$V:$V,0)))*IF(VLOOKUP($Q40,武学奇术!$A:$ZZ,23,FALSE)=1,0,1)</f>
        <v>0.0929</v>
      </c>
      <c r="BR40" s="27" cm="1">
        <f t="array" ref="BR40">1+$B$14+VLOOKUP($Q40,武学奇术!$A:$ZZ,20,FALSE)+SUM(_xlfn.XLOOKUP($R40:$AK40,增益!$A:$A,增益!$T:$T,0))</f>
        <v>1.35</v>
      </c>
      <c r="BS40" s="27">
        <f t="shared" si="9"/>
        <v>0.87863408</v>
      </c>
      <c r="BT40" s="27">
        <f t="shared" si="10"/>
        <v>0.01567581</v>
      </c>
      <c r="BU40" s="27">
        <f>IF(VLOOKUP($Q40,武学奇术!$A:$ZZ,22,FALSE)=1,0,(1-$BN40))*(1-$BQ40)</f>
        <v>0.01279011</v>
      </c>
      <c r="BV40" s="27" cm="1">
        <f t="array" ref="BV40">SUM(_xlfn.XLOOKUP($R40:$AK40,增益!$A:$A,增益!$W:$W,0))+$I$5</f>
        <v>0.11</v>
      </c>
    </row>
    <row r="41" spans="5:74">
      <c r="K41" s="40">
        <f t="shared" si="0"/>
        <v>16977.9074064575</v>
      </c>
      <c r="L41" s="40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BP41*$P41*(1+IF(VLOOKUP($Q41,武学奇术!$A:$ZZ,30,FALSE)="蓄力技",$B$21,0))*(1+$BV41)</f>
        <v>17595.1062203886</v>
      </c>
      <c r="M41" s="40">
        <f>(($AT41*$AM41+$AN41)*(1+$AU41)*(1+$AV41)+($AY41*IF($G$1="鸣金",$AO41,$AM41)+IF($G$1="鸣金",$AP41*1.5,0))*(1+$AZ41)*(1+$BA41)+($BC41*IF($G$1="裂石",$AO41,$AM41)+IF($G$1="裂石",$AP41*1.5,0))*(1+$BD41)*(1+$BE41)+($BG41*IF($G$1="牵丝",$AO41,$AM41)+IF($G$1="牵丝",$AP41*1.5,0))*(1+$BH41)*(1+$BI41)+($BK41*IF($G$1="破竹",$AO41,$AM41)+IF($G$1="破竹",$AP41*1.5,0))*(1+$BL41)*(1+$BM41))*(1+$AQ41)*$BR41*$P41*(1+IF(VLOOKUP($Q41,武学奇术!$A:$ZZ,30,FALSE)="蓄力技",$B$21,0))*(1+$BV41)</f>
        <v>13736.6168494486</v>
      </c>
      <c r="N41" s="40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P41*(1+IF(VLOOKUP($Q41,武学奇术!$A:$ZZ,30,FALSE)="蓄力技",$B$21,0))*(1+$BV41)</f>
        <v>9023.1313950711</v>
      </c>
      <c r="O41" s="40">
        <f>((($AS41*$AM41+$AN41)*(1+$AU41)*(1+$AV41)+($AX41*IF($G$1="鸣金",$AO41,$AM41)+IF($G$1="鸣金",$AP41*1.5,0))*(1+$AZ41)*(1+$BA41)+($BB41*IF($G$1="裂石",$AO41,$AM41)+IF($G$1="裂石",$AP41*1.5,0))*(1+$BD41)*(1+$BE41)+($BF41*IF($G$1="牵丝",$AO41,$AM41)+IF($G$1="牵丝",$AP41*1.5,0))*(1+$BH41)*(1+$BI41)+($BJ41*IF($G$1="破竹",$AO41,$AM41)+IF($G$1="破竹",$AP41*1.5,0))*(1+$BL41)*(1+$BM41))*(1+$AQ41))*$P41*(1+IF(VLOOKUP($Q41,武学奇术!$A:$ZZ,30,FALSE)="蓄力技",$B$21,0))*(1+$BV41)</f>
        <v>7870.99104980987</v>
      </c>
      <c r="P41" s="41">
        <v>1</v>
      </c>
      <c r="Q41" s="42" t="s">
        <v>179</v>
      </c>
      <c r="R41" s="42" t="s">
        <v>103</v>
      </c>
      <c r="S41" s="42" t="s">
        <v>169</v>
      </c>
      <c r="T41" s="42" t="s">
        <v>86</v>
      </c>
      <c r="U41" s="42" t="s">
        <v>87</v>
      </c>
      <c r="V41" s="42" t="s">
        <v>77</v>
      </c>
      <c r="W41" s="42" t="s">
        <v>77</v>
      </c>
      <c r="X41" s="42" t="s">
        <v>176</v>
      </c>
      <c r="Y41" s="42" t="s">
        <v>77</v>
      </c>
      <c r="Z41" s="42" t="s">
        <v>77</v>
      </c>
      <c r="AA41" s="42" t="s">
        <v>77</v>
      </c>
      <c r="AB41" s="42" t="s">
        <v>77</v>
      </c>
      <c r="AC41" s="42" t="s">
        <v>77</v>
      </c>
      <c r="AD41" s="42" t="s">
        <v>77</v>
      </c>
      <c r="AE41" s="42" t="s">
        <v>81</v>
      </c>
      <c r="AF41" s="42" t="s">
        <v>82</v>
      </c>
      <c r="AG41" s="42" t="s">
        <v>77</v>
      </c>
      <c r="AH41" s="42" t="s">
        <v>77</v>
      </c>
      <c r="AI41" s="42" t="s">
        <v>77</v>
      </c>
      <c r="AJ41" s="42" t="s">
        <v>77</v>
      </c>
      <c r="AK41" s="42" t="s">
        <v>77</v>
      </c>
      <c r="AL41" t="str">
        <f>VLOOKUP($Q41,武学奇术!$A:$ZZ,25,FALSE)</f>
        <v>横刀</v>
      </c>
      <c r="AM41" s="27">
        <f>VLOOKUP($Q41,武学奇术!$A:$ZZ,26,FALSE)</f>
        <v>0.6486</v>
      </c>
      <c r="AN41" s="28">
        <f>VLOOKUP($Q41,武学奇术!$A:$ZZ,27,FALSE)*(1+IF(OR($AL41=$F$4,$AL41=$F$5),$B$22,0))</f>
        <v>270</v>
      </c>
      <c r="AO41" s="27">
        <f>VLOOKUP($Q41,武学奇术!$A:$ZZ,28,FALSE)</f>
        <v>0.9729</v>
      </c>
      <c r="AP41" s="28">
        <f>VLOOKUP($Q41,武学奇术!$A:$ZZ,29,FALSE)*(1+IF(OR($AL41=$F$4,$AL41=$F$5),$B$22,0))</f>
        <v>147</v>
      </c>
      <c r="AQ41" s="27" cm="1">
        <f t="array" ref="AQ41">$G$3+IFERROR(VLOOKUP($AL41,$F$4:$G$7,2,FALSE),0)+VLOOKUP($Q41,武学奇术!$A:$ZZ,2,FALSE)+SUM(_xlfn.XLOOKUP($R41:$AK41,增益!$A:$A,增益!$B:$B,0))</f>
        <v>0.5689</v>
      </c>
      <c r="AR41" s="27" cm="1">
        <f t="array" ref="AR41">VLOOKUP($Q41,武学奇术!$A:$ZZ,5,FALSE)+SUM(_xlfn.XLOOKUP($R41:$AK41,增益!$A:$A,增益!$E:$E,0))</f>
        <v>0</v>
      </c>
      <c r="AS41" cm="1">
        <f t="array" ref="AS41">$D$10*(1+$AR41)+VLOOKUP($Q41,武学奇术!$A:$ZZ,3,FALSE)+SUM(_xlfn.XLOOKUP($R41:$AK41,增益!$A:$A,增益!$C:$C,0))-$I$2</f>
        <v>3586.7</v>
      </c>
      <c r="AT41" cm="1">
        <f t="array" ref="AT41">$E$10*(1+$AR41)+VLOOKUP($Q41,武学奇术!$A:$ZZ,4,FALSE)+SUM(_xlfn.XLOOKUP($R41:$AK41,增益!$A:$A,增益!$D:$D,0))-$I$2</f>
        <v>3586.7</v>
      </c>
      <c r="AU41" s="34" cm="1">
        <f t="array" ref="AU41">IF($F$10-$I$3+VLOOKUP($Q41,武学奇术!$A:$ZZ,6,FALSE)+SUM(_xlfn.XLOOKUP($R41:$AK41,增益!$A:$A,增益!$F:$F,0))&gt;0,($F$10-$I$3+VLOOKUP($Q41,武学奇术!$A:$ZZ,6,FALSE)+SUM(_xlfn.XLOOKUP($R41:$AK41,增益!$A:$A,增益!$F:$F,0)))/200,($F$10-$I$3+VLOOKUP($Q41,武学奇术!$A:$ZZ,6,FALSE)+SUM(_xlfn.XLOOKUP($R41:$AK41,增益!$A:$A,增益!$F:$F,0)))/100)</f>
        <v>0.327</v>
      </c>
      <c r="AV41" s="34" cm="1">
        <f t="array" ref="AV41">$G$10+VLOOKUP($Q41,武学奇术!$A:$ZZ,7,FALSE)+SUM(_xlfn.XLOOKUP($R41:$AK41,增益!$A:$A,增益!$G:$G,0))</f>
        <v>0</v>
      </c>
      <c r="AW41" s="27" cm="1">
        <f t="array" ref="AW41">VLOOKUP($Q41,武学奇术!$A:$ZZ,8,FALSE)+SUM(_xlfn.XLOOKUP($R41:$AK41,增益!$A:$A,增益!$H:$H,0))</f>
        <v>0</v>
      </c>
      <c r="AX41">
        <f t="shared" si="1"/>
        <v>0</v>
      </c>
      <c r="AY41">
        <f t="shared" si="2"/>
        <v>0</v>
      </c>
      <c r="AZ41" s="34" cm="1">
        <f t="array" ref="AZ41">IF($F$11-$I$4+VLOOKUP($Q41,武学奇术!$A:$ZZ,9,FALSE)+SUM(_xlfn.XLOOKUP($R41:$AK41,增益!$A:$A,增益!$I:$I,0))&gt;0,($F$11-$I$4+VLOOKUP($Q41,武学奇术!$A:$ZZ,9,FALSE)+SUM(_xlfn.XLOOKUP($R41:$AK41,增益!$A:$A,增益!$I:$I,0)))/200,($F$11-$I$4+VLOOKUP($Q41,武学奇术!$A:$ZZ,9,FALSE)+SUM(_xlfn.XLOOKUP($R41:$AK41,增益!$A:$A,增益!$I:$I,0)))/100)</f>
        <v>-0.14</v>
      </c>
      <c r="BA41" s="34" cm="1">
        <f t="array" ref="BA41">$G$11+VLOOKUP($Q41,武学奇术!$A:$ZZ,10,FALSE)+SUM(_xlfn.XLOOKUP($R41:$AK41,增益!$A:$A,增益!$J:$J,0))</f>
        <v>0</v>
      </c>
      <c r="BB41">
        <f t="shared" si="3"/>
        <v>594.1</v>
      </c>
      <c r="BC41">
        <f t="shared" si="4"/>
        <v>1604.9</v>
      </c>
      <c r="BD41" s="34" cm="1">
        <f t="array" ref="BD41">IF($F$12-$I$4+VLOOKUP($Q41,武学奇术!$A:$ZZ,11,FALSE)+SUM(_xlfn.XLOOKUP($R41:$AK41,增益!$A:$A,增益!$K:$K,0))&gt;0,($F$12-$I$4+VLOOKUP($Q41,武学奇术!$A:$ZZ,11,FALSE)+SUM(_xlfn.XLOOKUP($R41:$AK41,增益!$A:$A,增益!$K:$K,0)))/200,($F$12-$I$4+VLOOKUP($Q41,武学奇术!$A:$ZZ,11,FALSE)+SUM(_xlfn.XLOOKUP($R41:$AK41,增益!$A:$A,增益!$K:$K,0)))/100)</f>
        <v>0.17</v>
      </c>
      <c r="BE41" s="34" cm="1">
        <f t="array" ref="BE41">$G$12+VLOOKUP($Q41,武学奇术!$A:$ZZ,12,FALSE)+SUM(_xlfn.XLOOKUP($R41:$AK41,增益!$A:$A,增益!$L:$L,0))</f>
        <v>0.15</v>
      </c>
      <c r="BF41">
        <f t="shared" si="5"/>
        <v>0</v>
      </c>
      <c r="BG41">
        <f t="shared" si="6"/>
        <v>0</v>
      </c>
      <c r="BH41" s="34" cm="1">
        <f t="array" ref="BH41">IF($F$13-$I$4+VLOOKUP($Q41,武学奇术!$A:$ZZ,13,FALSE)+SUM(_xlfn.XLOOKUP($R41:$AK41,增益!$A:$A,增益!$M:$M,0))&gt;0,($F$13-$I$4+VLOOKUP($Q41,武学奇术!$A:$ZZ,13,FALSE)+SUM(_xlfn.XLOOKUP($R41:$AK41,增益!$A:$A,增益!$K:$K,0)))/200,($F$13-$I$4+VLOOKUP($Q41,武学奇术!$A:$ZZ,13,FALSE)+SUM(_xlfn.XLOOKUP($R41:$AK41,增益!$A:$A,增益!$M:$M,0)))/100)</f>
        <v>-0.14</v>
      </c>
      <c r="BI41" s="34" cm="1">
        <f t="array" ref="BI41">$G$13+VLOOKUP($Q41,武学奇术!$A:$ZZ,14,FALSE)+SUM(_xlfn.XLOOKUP($R41:$AK41,增益!$A:$A,增益!$N:$N,0))</f>
        <v>0</v>
      </c>
      <c r="BJ41">
        <f t="shared" si="7"/>
        <v>0</v>
      </c>
      <c r="BK41">
        <f t="shared" si="8"/>
        <v>0</v>
      </c>
      <c r="BL41" s="34" cm="1">
        <f t="array" ref="BL41">IF($F$14-$I$4+VLOOKUP($Q41,武学奇术!$A:$ZZ,15,FALSE)+SUM(_xlfn.XLOOKUP($R41:$AK41,增益!$A:$A,增益!$O:$O,0))&gt;0,($F$14-$I$4+VLOOKUP($Q41,武学奇术!$A:$ZZ,15,FALSE)+SUM(_xlfn.XLOOKUP($R41:$AK41,增益!$A:$A,增益!$O:$O,0)))/200,($F$14-$I$4+VLOOKUP($Q41,武学奇术!$A:$ZZ,15,FALSE)+SUM(_xlfn.XLOOKUP($R41:$AK41,增益!$A:$A,增益!$O:$O,0)))/100)</f>
        <v>-0.14</v>
      </c>
      <c r="BM41" s="34" cm="1">
        <f t="array" ref="BM41">$G$14+VLOOKUP($Q41,武学奇术!$A:$ZZ,16,FALSE)+SUM(_xlfn.XLOOKUP($R41:$AK41,增益!$A:$A,增益!$P:$P,0))</f>
        <v>0</v>
      </c>
      <c r="BN41" s="27">
        <f>MIN(IF(VLOOKUP($Q41,武学奇术!$A:$ZZ,23,FALSE)=1,100%,$B$8),100%)</f>
        <v>0.9859</v>
      </c>
      <c r="BO41" s="27" cm="1">
        <f t="array" ref="BO41">IF(VLOOKUP($Q41,武学奇术!$A:$ZZ,23,FALSE)=1,100%,MIN(80%,$B$9+VLOOKUP($Q41,武学奇术!$A:$ZZ,17,FALSE)+SUM(_xlfn.XLOOKUP($R41:$AK41,增益!$A:$A,增益!$Q:$Q,0)))+$B$11+SUM(_xlfn.XLOOKUP($R41:$AK41,增益!$A:$A,增益!$U:$U,0)))*IF(VLOOKUP($Q41,武学奇术!$A:$ZZ,24,FALSE)=1,0,1)</f>
        <v>0.8912</v>
      </c>
      <c r="BP41" s="27" cm="1">
        <f t="array" ref="BP41">1+$B$13+VLOOKUP($Q41,武学奇术!$A:$ZZ,18,FALSE)+SUM(_xlfn.XLOOKUP($R41:$AK41,增益!$A:$A,增益!$R:$R,0))</f>
        <v>1.95</v>
      </c>
      <c r="BQ41" s="27" cm="1">
        <f t="array" ref="BQ41">IF(VLOOKUP($Q41,武学奇术!$A:$ZZ,24,FALSE)=1,100%,MIN(40%,$B$10+VLOOKUP($Q41,武学奇术!$A:$ZZ,19,FALSE)+SUM(_xlfn.XLOOKUP($R41:$AK41,增益!$A:$A,增益!$S:$S,0)))+$B$12+SUM(_xlfn.XLOOKUP($R41:$AK41,增益!$A:$A,增益!$V:$V,0)))*IF(VLOOKUP($Q41,武学奇术!$A:$ZZ,23,FALSE)=1,0,1)</f>
        <v>0.0929</v>
      </c>
      <c r="BR41" s="27" cm="1">
        <f t="array" ref="BR41">1+$B$14+VLOOKUP($Q41,武学奇术!$A:$ZZ,20,FALSE)+SUM(_xlfn.XLOOKUP($R41:$AK41,增益!$A:$A,增益!$T:$T,0))</f>
        <v>1.35</v>
      </c>
      <c r="BS41" s="27">
        <f t="shared" si="9"/>
        <v>0.87863408</v>
      </c>
      <c r="BT41" s="27">
        <f t="shared" si="10"/>
        <v>0.01567581</v>
      </c>
      <c r="BU41" s="27">
        <f>IF(VLOOKUP($Q41,武学奇术!$A:$ZZ,22,FALSE)=1,0,(1-$BN41))*(1-$BQ41)</f>
        <v>0.01279011</v>
      </c>
      <c r="BV41" s="27" cm="1">
        <f t="array" ref="BV41">SUM(_xlfn.XLOOKUP($R41:$AK41,增益!$A:$A,增益!$W:$W,0))+$I$5</f>
        <v>0.11</v>
      </c>
    </row>
    <row r="42" spans="5:74">
      <c r="K42" s="40">
        <f t="shared" si="0"/>
        <v>73860.1994970668</v>
      </c>
      <c r="L42" s="40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BP42*$P42*(1+IF(VLOOKUP($Q42,武学奇术!$A:$ZZ,30,FALSE)="蓄力技",$B$21,0))*(1+$BV42)</f>
        <v>76750.1276533862</v>
      </c>
      <c r="M42" s="40">
        <f>(($AT42*$AM42+$AN42)*(1+$AU42)*(1+$AV42)+($AY42*IF($G$1="鸣金",$AO42,$AM42)+IF($G$1="鸣金",$AP42*1.5,0))*(1+$AZ42)*(1+$BA42)+($BC42*IF($G$1="裂石",$AO42,$AM42)+IF($G$1="裂石",$AP42*1.5,0))*(1+$BD42)*(1+$BE42)+($BG42*IF($G$1="牵丝",$AO42,$AM42)+IF($G$1="牵丝",$AP42*1.5,0))*(1+$BH42)*(1+$BI42)+($BK42*IF($G$1="破竹",$AO42,$AM42)+IF($G$1="破竹",$AP42*1.5,0))*(1+$BL42)*(1+$BM42))*(1+$AQ42)*$BR42*$P42*(1+IF(VLOOKUP($Q42,武学奇术!$A:$ZZ,30,FALSE)="蓄力技",$B$21,0))*(1+$BV42)</f>
        <v>58036.1990245068</v>
      </c>
      <c r="N42" s="40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P42*(1+IF(VLOOKUP($Q42,武学奇术!$A:$ZZ,30,FALSE)="蓄力技",$B$21,0))*(1+$BV42)</f>
        <v>38375.0638266931</v>
      </c>
      <c r="O42" s="40">
        <f>((($AS42*$AM42+$AN42)*(1+$AU42)*(1+$AV42)+($AX42*IF($G$1="鸣金",$AO42,$AM42)+IF($G$1="鸣金",$AP42*1.5,0))*(1+$AZ42)*(1+$BA42)+($BB42*IF($G$1="裂石",$AO42,$AM42)+IF($G$1="裂石",$AP42*1.5,0))*(1+$BD42)*(1+$BE42)+($BF42*IF($G$1="牵丝",$AO42,$AM42)+IF($G$1="牵丝",$AP42*1.5,0))*(1+$BH42)*(1+$BI42)+($BJ42*IF($G$1="破竹",$AO42,$AM42)+IF($G$1="破竹",$AP42*1.5,0))*(1+$BL42)*(1+$BM42))*(1+$AQ42))*$P42*(1+IF(VLOOKUP($Q42,武学奇术!$A:$ZZ,30,FALSE)="蓄力技",$B$21,0))*(1+$BV42)</f>
        <v>33760.350598196</v>
      </c>
      <c r="P42" s="41">
        <v>1</v>
      </c>
      <c r="Q42" s="42" t="s">
        <v>180</v>
      </c>
      <c r="R42" s="42" t="s">
        <v>103</v>
      </c>
      <c r="S42" s="42" t="s">
        <v>77</v>
      </c>
      <c r="T42" s="42" t="s">
        <v>77</v>
      </c>
      <c r="U42" s="42" t="s">
        <v>121</v>
      </c>
      <c r="V42" s="42" t="s">
        <v>77</v>
      </c>
      <c r="W42" s="42" t="s">
        <v>77</v>
      </c>
      <c r="X42" s="42" t="s">
        <v>176</v>
      </c>
      <c r="Y42" s="42" t="s">
        <v>77</v>
      </c>
      <c r="Z42" s="42" t="s">
        <v>77</v>
      </c>
      <c r="AA42" s="42" t="s">
        <v>73</v>
      </c>
      <c r="AB42" s="42" t="s">
        <v>77</v>
      </c>
      <c r="AC42" s="42" t="s">
        <v>77</v>
      </c>
      <c r="AD42" s="42" t="s">
        <v>77</v>
      </c>
      <c r="AE42" s="42" t="s">
        <v>81</v>
      </c>
      <c r="AF42" s="42" t="s">
        <v>82</v>
      </c>
      <c r="AG42" s="42" t="s">
        <v>77</v>
      </c>
      <c r="AH42" s="42" t="s">
        <v>77</v>
      </c>
      <c r="AI42" s="42" t="s">
        <v>77</v>
      </c>
      <c r="AJ42" s="42" t="s">
        <v>77</v>
      </c>
      <c r="AK42" s="42" t="s">
        <v>77</v>
      </c>
      <c r="AL42" t="str">
        <f>VLOOKUP($Q42,武学奇术!$A:$ZZ,25,FALSE)</f>
        <v>横刀</v>
      </c>
      <c r="AM42" s="27">
        <f>VLOOKUP($Q42,武学奇术!$A:$ZZ,26,FALSE)</f>
        <v>2.8245</v>
      </c>
      <c r="AN42" s="28">
        <f>VLOOKUP($Q42,武学奇术!$A:$ZZ,27,FALSE)*(1+IF(OR($AL42=$F$4,$AL42=$F$5),$B$22,0))</f>
        <v>1173</v>
      </c>
      <c r="AO42" s="27">
        <f>VLOOKUP($Q42,武学奇术!$A:$ZZ,28,FALSE)</f>
        <v>4.236808</v>
      </c>
      <c r="AP42" s="28">
        <f>VLOOKUP($Q42,武学奇术!$A:$ZZ,29,FALSE)*(1+IF(OR($AL42=$F$4,$AL42=$F$5),$B$22,0))</f>
        <v>637.5</v>
      </c>
      <c r="AQ42" s="27" cm="1">
        <f t="array" ref="AQ42">$G$3+IFERROR(VLOOKUP($AL42,$F$4:$G$7,2,FALSE),0)+VLOOKUP($Q42,武学奇术!$A:$ZZ,2,FALSE)+SUM(_xlfn.XLOOKUP($R42:$AK42,增益!$A:$A,增益!$B:$B,0))</f>
        <v>0.5489</v>
      </c>
      <c r="AR42" s="27" cm="1">
        <f t="array" ref="AR42">VLOOKUP($Q42,武学奇术!$A:$ZZ,5,FALSE)+SUM(_xlfn.XLOOKUP($R42:$AK42,增益!$A:$A,增益!$E:$E,0))</f>
        <v>0</v>
      </c>
      <c r="AS42" cm="1">
        <f t="array" ref="AS42">$D$10*(1+$AR42)+VLOOKUP($Q42,武学奇术!$A:$ZZ,3,FALSE)+SUM(_xlfn.XLOOKUP($R42:$AK42,增益!$A:$A,增益!$C:$C,0))-$I$2</f>
        <v>3586.7</v>
      </c>
      <c r="AT42" cm="1">
        <f t="array" ref="AT42">$E$10*(1+$AR42)+VLOOKUP($Q42,武学奇术!$A:$ZZ,4,FALSE)+SUM(_xlfn.XLOOKUP($R42:$AK42,增益!$A:$A,增益!$D:$D,0))-$I$2</f>
        <v>3586.7</v>
      </c>
      <c r="AU42" s="34" cm="1">
        <f t="array" ref="AU42">IF($F$10-$I$3+VLOOKUP($Q42,武学奇术!$A:$ZZ,6,FALSE)+SUM(_xlfn.XLOOKUP($R42:$AK42,增益!$A:$A,增益!$F:$F,0))&gt;0,($F$10-$I$3+VLOOKUP($Q42,武学奇术!$A:$ZZ,6,FALSE)+SUM(_xlfn.XLOOKUP($R42:$AK42,增益!$A:$A,增益!$F:$F,0)))/200,($F$10-$I$3+VLOOKUP($Q42,武学奇术!$A:$ZZ,6,FALSE)+SUM(_xlfn.XLOOKUP($R42:$AK42,增益!$A:$A,增益!$F:$F,0)))/100)</f>
        <v>0.352</v>
      </c>
      <c r="AV42" s="34" cm="1">
        <f t="array" ref="AV42">$G$10+VLOOKUP($Q42,武学奇术!$A:$ZZ,7,FALSE)+SUM(_xlfn.XLOOKUP($R42:$AK42,增益!$A:$A,增益!$G:$G,0))</f>
        <v>0</v>
      </c>
      <c r="AW42" s="27" cm="1">
        <f t="array" ref="AW42">VLOOKUP($Q42,武学奇术!$A:$ZZ,8,FALSE)+SUM(_xlfn.XLOOKUP($R42:$AK42,增益!$A:$A,增益!$H:$H,0))</f>
        <v>0</v>
      </c>
      <c r="AX42">
        <f t="shared" si="1"/>
        <v>0</v>
      </c>
      <c r="AY42">
        <f t="shared" si="2"/>
        <v>0</v>
      </c>
      <c r="AZ42" s="34" cm="1">
        <f t="array" ref="AZ42">IF($F$11-$I$4+VLOOKUP($Q42,武学奇术!$A:$ZZ,9,FALSE)+SUM(_xlfn.XLOOKUP($R42:$AK42,增益!$A:$A,增益!$I:$I,0))&gt;0,($F$11-$I$4+VLOOKUP($Q42,武学奇术!$A:$ZZ,9,FALSE)+SUM(_xlfn.XLOOKUP($R42:$AK42,增益!$A:$A,增益!$I:$I,0)))/200,($F$11-$I$4+VLOOKUP($Q42,武学奇术!$A:$ZZ,9,FALSE)+SUM(_xlfn.XLOOKUP($R42:$AK42,增益!$A:$A,增益!$I:$I,0)))/100)</f>
        <v>-0.3</v>
      </c>
      <c r="BA42" s="34" cm="1">
        <f t="array" ref="BA42">$G$11+VLOOKUP($Q42,武学奇术!$A:$ZZ,10,FALSE)+SUM(_xlfn.XLOOKUP($R42:$AK42,增益!$A:$A,增益!$J:$J,0))</f>
        <v>0</v>
      </c>
      <c r="BB42">
        <f t="shared" si="3"/>
        <v>594.1</v>
      </c>
      <c r="BC42">
        <f t="shared" si="4"/>
        <v>1604.9</v>
      </c>
      <c r="BD42" s="34" cm="1">
        <f t="array" ref="BD42">IF($F$12-$I$4+VLOOKUP($Q42,武学奇术!$A:$ZZ,11,FALSE)+SUM(_xlfn.XLOOKUP($R42:$AK42,增益!$A:$A,增益!$K:$K,0))&gt;0,($F$12-$I$4+VLOOKUP($Q42,武学奇术!$A:$ZZ,11,FALSE)+SUM(_xlfn.XLOOKUP($R42:$AK42,增益!$A:$A,增益!$K:$K,0)))/200,($F$12-$I$4+VLOOKUP($Q42,武学奇术!$A:$ZZ,11,FALSE)+SUM(_xlfn.XLOOKUP($R42:$AK42,增益!$A:$A,增益!$K:$K,0)))/100)</f>
        <v>0.09</v>
      </c>
      <c r="BE42" s="34" cm="1">
        <f t="array" ref="BE42">$G$12+VLOOKUP($Q42,武学奇术!$A:$ZZ,12,FALSE)+SUM(_xlfn.XLOOKUP($R42:$AK42,增益!$A:$A,增益!$L:$L,0))</f>
        <v>0.15</v>
      </c>
      <c r="BF42">
        <f t="shared" si="5"/>
        <v>0</v>
      </c>
      <c r="BG42">
        <f t="shared" si="6"/>
        <v>0</v>
      </c>
      <c r="BH42" s="34" cm="1">
        <f t="array" ref="BH42">IF($F$13-$I$4+VLOOKUP($Q42,武学奇术!$A:$ZZ,13,FALSE)+SUM(_xlfn.XLOOKUP($R42:$AK42,增益!$A:$A,增益!$M:$M,0))&gt;0,($F$13-$I$4+VLOOKUP($Q42,武学奇术!$A:$ZZ,13,FALSE)+SUM(_xlfn.XLOOKUP($R42:$AK42,增益!$A:$A,增益!$K:$K,0)))/200,($F$13-$I$4+VLOOKUP($Q42,武学奇术!$A:$ZZ,13,FALSE)+SUM(_xlfn.XLOOKUP($R42:$AK42,增益!$A:$A,增益!$M:$M,0)))/100)</f>
        <v>-0.3</v>
      </c>
      <c r="BI42" s="34" cm="1">
        <f t="array" ref="BI42">$G$13+VLOOKUP($Q42,武学奇术!$A:$ZZ,14,FALSE)+SUM(_xlfn.XLOOKUP($R42:$AK42,增益!$A:$A,增益!$N:$N,0))</f>
        <v>0</v>
      </c>
      <c r="BJ42">
        <f t="shared" si="7"/>
        <v>0</v>
      </c>
      <c r="BK42">
        <f t="shared" si="8"/>
        <v>0</v>
      </c>
      <c r="BL42" s="34" cm="1">
        <f t="array" ref="BL42">IF($F$14-$I$4+VLOOKUP($Q42,武学奇术!$A:$ZZ,15,FALSE)+SUM(_xlfn.XLOOKUP($R42:$AK42,增益!$A:$A,增益!$O:$O,0))&gt;0,($F$14-$I$4+VLOOKUP($Q42,武学奇术!$A:$ZZ,15,FALSE)+SUM(_xlfn.XLOOKUP($R42:$AK42,增益!$A:$A,增益!$O:$O,0)))/200,($F$14-$I$4+VLOOKUP($Q42,武学奇术!$A:$ZZ,15,FALSE)+SUM(_xlfn.XLOOKUP($R42:$AK42,增益!$A:$A,增益!$O:$O,0)))/100)</f>
        <v>-0.3</v>
      </c>
      <c r="BM42" s="34" cm="1">
        <f t="array" ref="BM42">$G$14+VLOOKUP($Q42,武学奇术!$A:$ZZ,16,FALSE)+SUM(_xlfn.XLOOKUP($R42:$AK42,增益!$A:$A,增益!$P:$P,0))</f>
        <v>0</v>
      </c>
      <c r="BN42" s="27">
        <f>MIN(IF(VLOOKUP($Q42,武学奇术!$A:$ZZ,23,FALSE)=1,100%,$B$8),100%)</f>
        <v>0.9859</v>
      </c>
      <c r="BO42" s="27" cm="1">
        <f t="array" ref="BO42">IF(VLOOKUP($Q42,武学奇术!$A:$ZZ,23,FALSE)=1,100%,MIN(80%,$B$9+VLOOKUP($Q42,武学奇术!$A:$ZZ,17,FALSE)+SUM(_xlfn.XLOOKUP($R42:$AK42,增益!$A:$A,增益!$Q:$Q,0)))+$B$11+SUM(_xlfn.XLOOKUP($R42:$AK42,增益!$A:$A,增益!$U:$U,0)))*IF(VLOOKUP($Q42,武学奇术!$A:$ZZ,24,FALSE)=1,0,1)</f>
        <v>0.8912</v>
      </c>
      <c r="BP42" s="27" cm="1">
        <f t="array" ref="BP42">1+$B$13+VLOOKUP($Q42,武学奇术!$A:$ZZ,18,FALSE)+SUM(_xlfn.XLOOKUP($R42:$AK42,增益!$A:$A,增益!$R:$R,0))</f>
        <v>2</v>
      </c>
      <c r="BQ42" s="27" cm="1">
        <f t="array" ref="BQ42">IF(VLOOKUP($Q42,武学奇术!$A:$ZZ,24,FALSE)=1,100%,MIN(40%,$B$10+VLOOKUP($Q42,武学奇术!$A:$ZZ,19,FALSE)+SUM(_xlfn.XLOOKUP($R42:$AK42,增益!$A:$A,增益!$S:$S,0)))+$B$12+SUM(_xlfn.XLOOKUP($R42:$AK42,增益!$A:$A,增益!$V:$V,0)))*IF(VLOOKUP($Q42,武学奇术!$A:$ZZ,23,FALSE)=1,0,1)</f>
        <v>0.0929</v>
      </c>
      <c r="BR42" s="27" cm="1">
        <f t="array" ref="BR42">1+$B$14+VLOOKUP($Q42,武学奇术!$A:$ZZ,20,FALSE)+SUM(_xlfn.XLOOKUP($R42:$AK42,增益!$A:$A,增益!$T:$T,0))</f>
        <v>1.35</v>
      </c>
      <c r="BS42" s="27">
        <f t="shared" si="9"/>
        <v>0.87863408</v>
      </c>
      <c r="BT42" s="27">
        <f t="shared" si="10"/>
        <v>0.01567581</v>
      </c>
      <c r="BU42" s="27">
        <f>IF(VLOOKUP($Q42,武学奇术!$A:$ZZ,22,FALSE)=1,0,(1-$BN42))*(1-$BQ42)</f>
        <v>0.01279011</v>
      </c>
      <c r="BV42" s="27" cm="1">
        <f t="array" ref="BV42">SUM(_xlfn.XLOOKUP($R42:$AK42,增益!$A:$A,增益!$W:$W,0))+$I$5</f>
        <v>0.11</v>
      </c>
    </row>
    <row r="43" spans="5:74">
      <c r="K43" s="40">
        <f t="shared" si="0"/>
        <v>30003.7718841182</v>
      </c>
      <c r="L43" s="40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BP43*$P43*(1+IF(VLOOKUP($Q43,武学奇术!$A:$ZZ,30,FALSE)="蓄力技",$B$21,0))*(1+$BV43)</f>
        <v>31146.4926767784</v>
      </c>
      <c r="M43" s="40">
        <f>(($AT43*$AM43+$AN43)*(1+$AU43)*(1+$AV43)+($AY43*IF($G$1="鸣金",$AO43,$AM43)+IF($G$1="鸣金",$AP43*1.5,0))*(1+$AZ43)*(1+$BA43)+($BC43*IF($G$1="裂石",$AO43,$AM43)+IF($G$1="裂石",$AP43*1.5,0))*(1+$BD43)*(1+$BE43)+($BG43*IF($G$1="牵丝",$AO43,$AM43)+IF($G$1="牵丝",$AP43*1.5,0))*(1+$BH43)*(1+$BI43)+($BK43*IF($G$1="破竹",$AO43,$AM43)+IF($G$1="破竹",$AP43*1.5,0))*(1+$BL43)*(1+$BM43))*(1+$AQ43)*$BR43*$P43*(1+IF(VLOOKUP($Q43,武学奇术!$A:$ZZ,30,FALSE)="蓄力技",$B$21,0))*(1+$BV43)</f>
        <v>23912.3935871542</v>
      </c>
      <c r="N43" s="40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P43*(1+IF(VLOOKUP($Q43,武学奇术!$A:$ZZ,30,FALSE)="蓄力技",$B$21,0))*(1+$BV43)</f>
        <v>15573.2463383892</v>
      </c>
      <c r="O43" s="40">
        <f>((($AS43*$AM43+$AN43)*(1+$AU43)*(1+$AV43)+($AX43*IF($G$1="鸣金",$AO43,$AM43)+IF($G$1="鸣金",$AP43*1.5,0))*(1+$AZ43)*(1+$BA43)+($BB43*IF($G$1="裂石",$AO43,$AM43)+IF($G$1="裂石",$AP43*1.5,0))*(1+$BD43)*(1+$BE43)+($BF43*IF($G$1="牵丝",$AO43,$AM43)+IF($G$1="牵丝",$AP43*1.5,0))*(1+$BH43)*(1+$BI43)+($BJ43*IF($G$1="破竹",$AO43,$AM43)+IF($G$1="破竹",$AP43*1.5,0))*(1+$BL43)*(1+$BM43))*(1+$AQ43))*$P43*(1+IF(VLOOKUP($Q43,武学奇术!$A:$ZZ,30,FALSE)="蓄力技",$B$21,0))*(1+$BV43)</f>
        <v>13433.6085381457</v>
      </c>
      <c r="P43" s="41">
        <v>1</v>
      </c>
      <c r="Q43" s="42" t="s">
        <v>110</v>
      </c>
      <c r="R43" s="42" t="s">
        <v>103</v>
      </c>
      <c r="S43" s="42" t="s">
        <v>77</v>
      </c>
      <c r="T43" s="42" t="s">
        <v>77</v>
      </c>
      <c r="U43" s="42" t="s">
        <v>121</v>
      </c>
      <c r="V43" s="42" t="s">
        <v>77</v>
      </c>
      <c r="W43" s="42" t="s">
        <v>77</v>
      </c>
      <c r="X43" s="42" t="s">
        <v>176</v>
      </c>
      <c r="Y43" s="42" t="s">
        <v>77</v>
      </c>
      <c r="Z43" s="42" t="s">
        <v>77</v>
      </c>
      <c r="AA43" s="42" t="s">
        <v>73</v>
      </c>
      <c r="AB43" s="42" t="s">
        <v>77</v>
      </c>
      <c r="AC43" s="42" t="s">
        <v>77</v>
      </c>
      <c r="AD43" s="42" t="s">
        <v>77</v>
      </c>
      <c r="AE43" s="42" t="s">
        <v>81</v>
      </c>
      <c r="AF43" s="42" t="s">
        <v>82</v>
      </c>
      <c r="AG43" s="42" t="s">
        <v>77</v>
      </c>
      <c r="AH43" s="42" t="s">
        <v>77</v>
      </c>
      <c r="AI43" s="42" t="s">
        <v>77</v>
      </c>
      <c r="AJ43" s="42" t="s">
        <v>77</v>
      </c>
      <c r="AK43" s="42" t="s">
        <v>77</v>
      </c>
      <c r="AL43" t="str">
        <f>VLOOKUP($Q43,武学奇术!$A:$ZZ,25,FALSE)</f>
        <v>横刀</v>
      </c>
      <c r="AM43" s="27">
        <f>VLOOKUP($Q43,武学奇术!$A:$ZZ,26,FALSE)</f>
        <v>1.4</v>
      </c>
      <c r="AN43" s="28">
        <f>VLOOKUP($Q43,武学奇术!$A:$ZZ,27,FALSE)*(1+IF(OR($AL43=$F$4,$AL43=$F$5),$B$22,0))</f>
        <v>0</v>
      </c>
      <c r="AO43" s="27">
        <f>VLOOKUP($Q43,武学奇术!$A:$ZZ,28,FALSE)</f>
        <v>2.1</v>
      </c>
      <c r="AP43" s="28">
        <f>VLOOKUP($Q43,武学奇术!$A:$ZZ,29,FALSE)*(1+IF(OR($AL43=$F$4,$AL43=$F$5),$B$22,0))</f>
        <v>0</v>
      </c>
      <c r="AQ43" s="27" cm="1">
        <f t="array" ref="AQ43">$G$3+IFERROR(VLOOKUP($AL43,$F$4:$G$7,2,FALSE),0)+VLOOKUP($Q43,武学奇术!$A:$ZZ,2,FALSE)+SUM(_xlfn.XLOOKUP($R43:$AK43,增益!$A:$A,增益!$B:$B,0))</f>
        <v>0.4489</v>
      </c>
      <c r="AR43" s="27" cm="1">
        <f t="array" ref="AR43">VLOOKUP($Q43,武学奇术!$A:$ZZ,5,FALSE)+SUM(_xlfn.XLOOKUP($R43:$AK43,增益!$A:$A,增益!$E:$E,0))</f>
        <v>0</v>
      </c>
      <c r="AS43" cm="1">
        <f t="array" ref="AS43">$D$10*(1+$AR43)+VLOOKUP($Q43,武学奇术!$A:$ZZ,3,FALSE)+SUM(_xlfn.XLOOKUP($R43:$AK43,增益!$A:$A,增益!$C:$C,0))-$I$2</f>
        <v>3586.7</v>
      </c>
      <c r="AT43" cm="1">
        <f t="array" ref="AT43">$E$10*(1+$AR43)+VLOOKUP($Q43,武学奇术!$A:$ZZ,4,FALSE)+SUM(_xlfn.XLOOKUP($R43:$AK43,增益!$A:$A,增益!$D:$D,0))-$I$2</f>
        <v>3586.7</v>
      </c>
      <c r="AU43" s="34" cm="1">
        <f t="array" ref="AU43">IF($F$10-$I$3+VLOOKUP($Q43,武学奇术!$A:$ZZ,6,FALSE)+SUM(_xlfn.XLOOKUP($R43:$AK43,增益!$A:$A,增益!$F:$F,0))&gt;0,($F$10-$I$3+VLOOKUP($Q43,武学奇术!$A:$ZZ,6,FALSE)+SUM(_xlfn.XLOOKUP($R43:$AK43,增益!$A:$A,增益!$F:$F,0)))/200,($F$10-$I$3+VLOOKUP($Q43,武学奇术!$A:$ZZ,6,FALSE)+SUM(_xlfn.XLOOKUP($R43:$AK43,增益!$A:$A,增益!$F:$F,0)))/100)</f>
        <v>0.352</v>
      </c>
      <c r="AV43" s="34" cm="1">
        <f t="array" ref="AV43">$G$10+VLOOKUP($Q43,武学奇术!$A:$ZZ,7,FALSE)+SUM(_xlfn.XLOOKUP($R43:$AK43,增益!$A:$A,增益!$G:$G,0))</f>
        <v>0</v>
      </c>
      <c r="AW43" s="27" cm="1">
        <f t="array" ref="AW43">VLOOKUP($Q43,武学奇术!$A:$ZZ,8,FALSE)+SUM(_xlfn.XLOOKUP($R43:$AK43,增益!$A:$A,增益!$H:$H,0))</f>
        <v>0</v>
      </c>
      <c r="AX43">
        <f t="shared" si="1"/>
        <v>0</v>
      </c>
      <c r="AY43">
        <f t="shared" si="2"/>
        <v>0</v>
      </c>
      <c r="AZ43" s="34" cm="1">
        <f t="array" ref="AZ43">IF($F$11-$I$4+VLOOKUP($Q43,武学奇术!$A:$ZZ,9,FALSE)+SUM(_xlfn.XLOOKUP($R43:$AK43,增益!$A:$A,增益!$I:$I,0))&gt;0,($F$11-$I$4+VLOOKUP($Q43,武学奇术!$A:$ZZ,9,FALSE)+SUM(_xlfn.XLOOKUP($R43:$AK43,增益!$A:$A,增益!$I:$I,0)))/200,($F$11-$I$4+VLOOKUP($Q43,武学奇术!$A:$ZZ,9,FALSE)+SUM(_xlfn.XLOOKUP($R43:$AK43,增益!$A:$A,增益!$I:$I,0)))/100)</f>
        <v>-0.3</v>
      </c>
      <c r="BA43" s="34" cm="1">
        <f t="array" ref="BA43">$G$11+VLOOKUP($Q43,武学奇术!$A:$ZZ,10,FALSE)+SUM(_xlfn.XLOOKUP($R43:$AK43,增益!$A:$A,增益!$J:$J,0))</f>
        <v>0</v>
      </c>
      <c r="BB43">
        <f t="shared" si="3"/>
        <v>594.1</v>
      </c>
      <c r="BC43">
        <f t="shared" si="4"/>
        <v>1604.9</v>
      </c>
      <c r="BD43" s="34" cm="1">
        <f t="array" ref="BD43">IF($F$12-$I$4+VLOOKUP($Q43,武学奇术!$A:$ZZ,11,FALSE)+SUM(_xlfn.XLOOKUP($R43:$AK43,增益!$A:$A,增益!$K:$K,0))&gt;0,($F$12-$I$4+VLOOKUP($Q43,武学奇术!$A:$ZZ,11,FALSE)+SUM(_xlfn.XLOOKUP($R43:$AK43,增益!$A:$A,增益!$K:$K,0)))/200,($F$12-$I$4+VLOOKUP($Q43,武学奇术!$A:$ZZ,11,FALSE)+SUM(_xlfn.XLOOKUP($R43:$AK43,增益!$A:$A,增益!$K:$K,0)))/100)</f>
        <v>0.09</v>
      </c>
      <c r="BE43" s="34" cm="1">
        <f t="array" ref="BE43">$G$12+VLOOKUP($Q43,武学奇术!$A:$ZZ,12,FALSE)+SUM(_xlfn.XLOOKUP($R43:$AK43,增益!$A:$A,增益!$L:$L,0))</f>
        <v>0.15</v>
      </c>
      <c r="BF43">
        <f t="shared" si="5"/>
        <v>0</v>
      </c>
      <c r="BG43">
        <f t="shared" si="6"/>
        <v>0</v>
      </c>
      <c r="BH43" s="34" cm="1">
        <f t="array" ref="BH43">IF($F$13-$I$4+VLOOKUP($Q43,武学奇术!$A:$ZZ,13,FALSE)+SUM(_xlfn.XLOOKUP($R43:$AK43,增益!$A:$A,增益!$M:$M,0))&gt;0,($F$13-$I$4+VLOOKUP($Q43,武学奇术!$A:$ZZ,13,FALSE)+SUM(_xlfn.XLOOKUP($R43:$AK43,增益!$A:$A,增益!$K:$K,0)))/200,($F$13-$I$4+VLOOKUP($Q43,武学奇术!$A:$ZZ,13,FALSE)+SUM(_xlfn.XLOOKUP($R43:$AK43,增益!$A:$A,增益!$M:$M,0)))/100)</f>
        <v>-0.3</v>
      </c>
      <c r="BI43" s="34" cm="1">
        <f t="array" ref="BI43">$G$13+VLOOKUP($Q43,武学奇术!$A:$ZZ,14,FALSE)+SUM(_xlfn.XLOOKUP($R43:$AK43,增益!$A:$A,增益!$N:$N,0))</f>
        <v>0</v>
      </c>
      <c r="BJ43">
        <f t="shared" si="7"/>
        <v>0</v>
      </c>
      <c r="BK43">
        <f t="shared" si="8"/>
        <v>0</v>
      </c>
      <c r="BL43" s="34" cm="1">
        <f t="array" ref="BL43">IF($F$14-$I$4+VLOOKUP($Q43,武学奇术!$A:$ZZ,15,FALSE)+SUM(_xlfn.XLOOKUP($R43:$AK43,增益!$A:$A,增益!$O:$O,0))&gt;0,($F$14-$I$4+VLOOKUP($Q43,武学奇术!$A:$ZZ,15,FALSE)+SUM(_xlfn.XLOOKUP($R43:$AK43,增益!$A:$A,增益!$O:$O,0)))/200,($F$14-$I$4+VLOOKUP($Q43,武学奇术!$A:$ZZ,15,FALSE)+SUM(_xlfn.XLOOKUP($R43:$AK43,增益!$A:$A,增益!$O:$O,0)))/100)</f>
        <v>-0.3</v>
      </c>
      <c r="BM43" s="34" cm="1">
        <f t="array" ref="BM43">$G$14+VLOOKUP($Q43,武学奇术!$A:$ZZ,16,FALSE)+SUM(_xlfn.XLOOKUP($R43:$AK43,增益!$A:$A,增益!$P:$P,0))</f>
        <v>0</v>
      </c>
      <c r="BN43" s="27">
        <f>MIN(IF(VLOOKUP($Q43,武学奇术!$A:$ZZ,23,FALSE)=1,100%,$B$8),100%)</f>
        <v>0.9859</v>
      </c>
      <c r="BO43" s="27" cm="1">
        <f t="array" ref="BO43">IF(VLOOKUP($Q43,武学奇术!$A:$ZZ,23,FALSE)=1,100%,MIN(80%,$B$9+VLOOKUP($Q43,武学奇术!$A:$ZZ,17,FALSE)+SUM(_xlfn.XLOOKUP($R43:$AK43,增益!$A:$A,增益!$Q:$Q,0)))+$B$11+SUM(_xlfn.XLOOKUP($R43:$AK43,增益!$A:$A,增益!$U:$U,0)))*IF(VLOOKUP($Q43,武学奇术!$A:$ZZ,24,FALSE)=1,0,1)</f>
        <v>0.8912</v>
      </c>
      <c r="BP43" s="27" cm="1">
        <f t="array" ref="BP43">1+$B$13+VLOOKUP($Q43,武学奇术!$A:$ZZ,18,FALSE)+SUM(_xlfn.XLOOKUP($R43:$AK43,增益!$A:$A,增益!$R:$R,0))</f>
        <v>2</v>
      </c>
      <c r="BQ43" s="27" cm="1">
        <f t="array" ref="BQ43">IF(VLOOKUP($Q43,武学奇术!$A:$ZZ,24,FALSE)=1,100%,MIN(40%,$B$10+VLOOKUP($Q43,武学奇术!$A:$ZZ,19,FALSE)+SUM(_xlfn.XLOOKUP($R43:$AK43,增益!$A:$A,增益!$S:$S,0)))+$B$12+SUM(_xlfn.XLOOKUP($R43:$AK43,增益!$A:$A,增益!$V:$V,0)))*IF(VLOOKUP($Q43,武学奇术!$A:$ZZ,23,FALSE)=1,0,1)</f>
        <v>0.0929</v>
      </c>
      <c r="BR43" s="27" cm="1">
        <f t="array" ref="BR43">1+$B$14+VLOOKUP($Q43,武学奇术!$A:$ZZ,20,FALSE)+SUM(_xlfn.XLOOKUP($R43:$AK43,增益!$A:$A,增益!$T:$T,0))</f>
        <v>1.35</v>
      </c>
      <c r="BS43" s="27">
        <f t="shared" si="9"/>
        <v>0.87863408</v>
      </c>
      <c r="BT43" s="27">
        <f t="shared" si="10"/>
        <v>0.01567581</v>
      </c>
      <c r="BU43" s="27">
        <f>IF(VLOOKUP($Q43,武学奇术!$A:$ZZ,22,FALSE)=1,0,(1-$BN43))*(1-$BQ43)</f>
        <v>0.01279011</v>
      </c>
      <c r="BV43" s="27" cm="1">
        <f t="array" ref="BV43">SUM(_xlfn.XLOOKUP($R43:$AK43,增益!$A:$A,增益!$W:$W,0))+$I$5</f>
        <v>0.11</v>
      </c>
    </row>
    <row r="44" spans="5:74">
      <c r="K44" s="40">
        <f t="shared" si="0"/>
        <v>54611.4977859773</v>
      </c>
      <c r="L44" s="40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BP44*$P44*(1+IF(VLOOKUP($Q44,武学奇术!$A:$ZZ,30,FALSE)="蓄力技",$B$21,0))*(1+$BV44)</f>
        <v>56616.6758702708</v>
      </c>
      <c r="M44" s="40">
        <f>(($AT44*$AM44+$AN44)*(1+$AU44)*(1+$AV44)+($AY44*IF($G$1="鸣金",$AO44,$AM44)+IF($G$1="鸣金",$AP44*1.5,0))*(1+$AZ44)*(1+$BA44)+($BC44*IF($G$1="裂石",$AO44,$AM44)+IF($G$1="裂石",$AP44*1.5,0))*(1+$BD44)*(1+$BE44)+($BG44*IF($G$1="牵丝",$AO44,$AM44)+IF($G$1="牵丝",$AP44*1.5,0))*(1+$BH44)*(1+$BI44)+($BK44*IF($G$1="破竹",$AO44,$AM44)+IF($G$1="破竹",$AP44*1.5,0))*(1+$BL44)*(1+$BM44))*(1+$AQ44)*$BR44*$P44*(1+IF(VLOOKUP($Q44,武学奇术!$A:$ZZ,30,FALSE)="蓄力技",$B$21,0))*(1+$BV44)</f>
        <v>43971.0423932519</v>
      </c>
      <c r="N44" s="40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P44*(1+IF(VLOOKUP($Q44,武学奇术!$A:$ZZ,30,FALSE)="蓄力技",$B$21,0))*(1+$BV44)</f>
        <v>29034.192753985</v>
      </c>
      <c r="O44" s="40">
        <f>((($AS44*$AM44+$AN44)*(1+$AU44)*(1+$AV44)+($AX44*IF($G$1="鸣金",$AO44,$AM44)+IF($G$1="鸣金",$AP44*1.5,0))*(1+$AZ44)*(1+$BA44)+($BB44*IF($G$1="裂石",$AO44,$AM44)+IF($G$1="裂石",$AP44*1.5,0))*(1+$BD44)*(1+$BE44)+($BF44*IF($G$1="牵丝",$AO44,$AM44)+IF($G$1="牵丝",$AP44*1.5,0))*(1+$BH44)*(1+$BI44)+($BJ44*IF($G$1="破竹",$AO44,$AM44)+IF($G$1="破竹",$AP44*1.5,0))*(1+$BL44)*(1+$BM44))*(1+$AQ44))*$P44*(1+IF(VLOOKUP($Q44,武学奇术!$A:$ZZ,30,FALSE)="蓄力技",$B$21,0))*(1+$BV44)</f>
        <v>25497.2429944501</v>
      </c>
      <c r="P44" s="41">
        <v>1</v>
      </c>
      <c r="Q44" s="42" t="s">
        <v>182</v>
      </c>
      <c r="R44" s="42" t="s">
        <v>103</v>
      </c>
      <c r="S44" s="42" t="s">
        <v>77</v>
      </c>
      <c r="T44" s="42" t="s">
        <v>77</v>
      </c>
      <c r="U44" s="42" t="s">
        <v>87</v>
      </c>
      <c r="V44" s="42" t="s">
        <v>77</v>
      </c>
      <c r="W44" s="42" t="s">
        <v>77</v>
      </c>
      <c r="X44" s="42" t="s">
        <v>176</v>
      </c>
      <c r="Y44" s="42" t="s">
        <v>77</v>
      </c>
      <c r="Z44" s="42" t="s">
        <v>77</v>
      </c>
      <c r="AA44" s="42" t="s">
        <v>77</v>
      </c>
      <c r="AB44" s="42" t="s">
        <v>77</v>
      </c>
      <c r="AC44" s="42" t="s">
        <v>77</v>
      </c>
      <c r="AD44" s="42" t="s">
        <v>77</v>
      </c>
      <c r="AE44" s="42" t="s">
        <v>81</v>
      </c>
      <c r="AF44" s="42" t="s">
        <v>82</v>
      </c>
      <c r="AG44" s="42" t="s">
        <v>77</v>
      </c>
      <c r="AH44" s="42" t="s">
        <v>77</v>
      </c>
      <c r="AI44" s="42" t="s">
        <v>77</v>
      </c>
      <c r="AJ44" s="42" t="s">
        <v>77</v>
      </c>
      <c r="AK44" s="42" t="s">
        <v>77</v>
      </c>
      <c r="AL44" t="str">
        <f>VLOOKUP($Q44,武学奇术!$A:$ZZ,25,FALSE)</f>
        <v>横刀</v>
      </c>
      <c r="AM44" s="27">
        <f>VLOOKUP($Q44,武学奇术!$A:$ZZ,26,FALSE)</f>
        <v>2.4495</v>
      </c>
      <c r="AN44" s="28">
        <f>VLOOKUP($Q44,武学奇术!$A:$ZZ,27,FALSE)*(1+IF(OR($AL44=$F$4,$AL44=$F$5),$B$22,0))</f>
        <v>1015.5</v>
      </c>
      <c r="AO44" s="27">
        <f>VLOOKUP($Q44,武学奇术!$A:$ZZ,28,FALSE)</f>
        <v>3.6743</v>
      </c>
      <c r="AP44" s="28">
        <f>VLOOKUP($Q44,武学奇术!$A:$ZZ,29,FALSE)*(1+IF(OR($AL44=$F$4,$AL44=$F$5),$B$22,0))</f>
        <v>552</v>
      </c>
      <c r="AQ44" s="27" cm="1">
        <f t="array" ref="AQ44">$G$3+IFERROR(VLOOKUP($AL44,$F$4:$G$7,2,FALSE),0)+VLOOKUP($Q44,武学奇术!$A:$ZZ,2,FALSE)+SUM(_xlfn.XLOOKUP($R44:$AK44,增益!$A:$A,增益!$B:$B,0))</f>
        <v>0.3689</v>
      </c>
      <c r="AR44" s="27" cm="1">
        <f t="array" ref="AR44">VLOOKUP($Q44,武学奇术!$A:$ZZ,5,FALSE)+SUM(_xlfn.XLOOKUP($R44:$AK44,增益!$A:$A,增益!$E:$E,0))</f>
        <v>0</v>
      </c>
      <c r="AS44" cm="1">
        <f t="array" ref="AS44">$D$10*(1+$AR44)+VLOOKUP($Q44,武学奇术!$A:$ZZ,3,FALSE)+SUM(_xlfn.XLOOKUP($R44:$AK44,增益!$A:$A,增益!$C:$C,0))-$I$2</f>
        <v>3586.7</v>
      </c>
      <c r="AT44" cm="1">
        <f t="array" ref="AT44">$E$10*(1+$AR44)+VLOOKUP($Q44,武学奇术!$A:$ZZ,4,FALSE)+SUM(_xlfn.XLOOKUP($R44:$AK44,增益!$A:$A,增益!$D:$D,0))-$I$2</f>
        <v>3586.7</v>
      </c>
      <c r="AU44" s="34" cm="1">
        <f t="array" ref="AU44">IF($F$10-$I$3+VLOOKUP($Q44,武学奇术!$A:$ZZ,6,FALSE)+SUM(_xlfn.XLOOKUP($R44:$AK44,增益!$A:$A,增益!$F:$F,0))&gt;0,($F$10-$I$3+VLOOKUP($Q44,武学奇术!$A:$ZZ,6,FALSE)+SUM(_xlfn.XLOOKUP($R44:$AK44,增益!$A:$A,增益!$F:$F,0)))/200,($F$10-$I$3+VLOOKUP($Q44,武学奇术!$A:$ZZ,6,FALSE)+SUM(_xlfn.XLOOKUP($R44:$AK44,增益!$A:$A,增益!$F:$F,0)))/100)</f>
        <v>0.327</v>
      </c>
      <c r="AV44" s="34" cm="1">
        <f t="array" ref="AV44">$G$10+VLOOKUP($Q44,武学奇术!$A:$ZZ,7,FALSE)+SUM(_xlfn.XLOOKUP($R44:$AK44,增益!$A:$A,增益!$G:$G,0))</f>
        <v>0</v>
      </c>
      <c r="AW44" s="27" cm="1">
        <f t="array" ref="AW44">VLOOKUP($Q44,武学奇术!$A:$ZZ,8,FALSE)+SUM(_xlfn.XLOOKUP($R44:$AK44,增益!$A:$A,增益!$H:$H,0))</f>
        <v>0</v>
      </c>
      <c r="AX44">
        <f t="shared" si="1"/>
        <v>0</v>
      </c>
      <c r="AY44">
        <f t="shared" si="2"/>
        <v>0</v>
      </c>
      <c r="AZ44" s="34" cm="1">
        <f t="array" ref="AZ44">IF($F$11-$I$4+VLOOKUP($Q44,武学奇术!$A:$ZZ,9,FALSE)+SUM(_xlfn.XLOOKUP($R44:$AK44,增益!$A:$A,增益!$I:$I,0))&gt;0,($F$11-$I$4+VLOOKUP($Q44,武学奇术!$A:$ZZ,9,FALSE)+SUM(_xlfn.XLOOKUP($R44:$AK44,增益!$A:$A,增益!$I:$I,0)))/200,($F$11-$I$4+VLOOKUP($Q44,武学奇术!$A:$ZZ,9,FALSE)+SUM(_xlfn.XLOOKUP($R44:$AK44,增益!$A:$A,增益!$I:$I,0)))/100)</f>
        <v>-0.3</v>
      </c>
      <c r="BA44" s="34" cm="1">
        <f t="array" ref="BA44">$G$11+VLOOKUP($Q44,武学奇术!$A:$ZZ,10,FALSE)+SUM(_xlfn.XLOOKUP($R44:$AK44,增益!$A:$A,增益!$J:$J,0))</f>
        <v>0</v>
      </c>
      <c r="BB44">
        <f t="shared" si="3"/>
        <v>594.1</v>
      </c>
      <c r="BC44">
        <f t="shared" si="4"/>
        <v>1604.9</v>
      </c>
      <c r="BD44" s="34" cm="1">
        <f t="array" ref="BD44">IF($F$12-$I$4+VLOOKUP($Q44,武学奇术!$A:$ZZ,11,FALSE)+SUM(_xlfn.XLOOKUP($R44:$AK44,增益!$A:$A,增益!$K:$K,0))&gt;0,($F$12-$I$4+VLOOKUP($Q44,武学奇术!$A:$ZZ,11,FALSE)+SUM(_xlfn.XLOOKUP($R44:$AK44,增益!$A:$A,增益!$K:$K,0)))/200,($F$12-$I$4+VLOOKUP($Q44,武学奇术!$A:$ZZ,11,FALSE)+SUM(_xlfn.XLOOKUP($R44:$AK44,增益!$A:$A,增益!$K:$K,0)))/100)</f>
        <v>0.09</v>
      </c>
      <c r="BE44" s="34" cm="1">
        <f t="array" ref="BE44">$G$12+VLOOKUP($Q44,武学奇术!$A:$ZZ,12,FALSE)+SUM(_xlfn.XLOOKUP($R44:$AK44,增益!$A:$A,增益!$L:$L,0))</f>
        <v>0.15</v>
      </c>
      <c r="BF44">
        <f t="shared" si="5"/>
        <v>0</v>
      </c>
      <c r="BG44">
        <f t="shared" si="6"/>
        <v>0</v>
      </c>
      <c r="BH44" s="34" cm="1">
        <f t="array" ref="BH44">IF($F$13-$I$4+VLOOKUP($Q44,武学奇术!$A:$ZZ,13,FALSE)+SUM(_xlfn.XLOOKUP($R44:$AK44,增益!$A:$A,增益!$M:$M,0))&gt;0,($F$13-$I$4+VLOOKUP($Q44,武学奇术!$A:$ZZ,13,FALSE)+SUM(_xlfn.XLOOKUP($R44:$AK44,增益!$A:$A,增益!$K:$K,0)))/200,($F$13-$I$4+VLOOKUP($Q44,武学奇术!$A:$ZZ,13,FALSE)+SUM(_xlfn.XLOOKUP($R44:$AK44,增益!$A:$A,增益!$M:$M,0)))/100)</f>
        <v>-0.3</v>
      </c>
      <c r="BI44" s="34" cm="1">
        <f t="array" ref="BI44">$G$13+VLOOKUP($Q44,武学奇术!$A:$ZZ,14,FALSE)+SUM(_xlfn.XLOOKUP($R44:$AK44,增益!$A:$A,增益!$N:$N,0))</f>
        <v>0</v>
      </c>
      <c r="BJ44">
        <f t="shared" si="7"/>
        <v>0</v>
      </c>
      <c r="BK44">
        <f t="shared" si="8"/>
        <v>0</v>
      </c>
      <c r="BL44" s="34" cm="1">
        <f t="array" ref="BL44">IF($F$14-$I$4+VLOOKUP($Q44,武学奇术!$A:$ZZ,15,FALSE)+SUM(_xlfn.XLOOKUP($R44:$AK44,增益!$A:$A,增益!$O:$O,0))&gt;0,($F$14-$I$4+VLOOKUP($Q44,武学奇术!$A:$ZZ,15,FALSE)+SUM(_xlfn.XLOOKUP($R44:$AK44,增益!$A:$A,增益!$O:$O,0)))/200,($F$14-$I$4+VLOOKUP($Q44,武学奇术!$A:$ZZ,15,FALSE)+SUM(_xlfn.XLOOKUP($R44:$AK44,增益!$A:$A,增益!$O:$O,0)))/100)</f>
        <v>-0.3</v>
      </c>
      <c r="BM44" s="34" cm="1">
        <f t="array" ref="BM44">$G$14+VLOOKUP($Q44,武学奇术!$A:$ZZ,16,FALSE)+SUM(_xlfn.XLOOKUP($R44:$AK44,增益!$A:$A,增益!$P:$P,0))</f>
        <v>0</v>
      </c>
      <c r="BN44" s="27">
        <f>MIN(IF(VLOOKUP($Q44,武学奇术!$A:$ZZ,23,FALSE)=1,100%,$B$8),100%)</f>
        <v>0.9859</v>
      </c>
      <c r="BO44" s="27" cm="1">
        <f t="array" ref="BO44">IF(VLOOKUP($Q44,武学奇术!$A:$ZZ,23,FALSE)=1,100%,MIN(80%,$B$9+VLOOKUP($Q44,武学奇术!$A:$ZZ,17,FALSE)+SUM(_xlfn.XLOOKUP($R44:$AK44,增益!$A:$A,增益!$Q:$Q,0)))+$B$11+SUM(_xlfn.XLOOKUP($R44:$AK44,增益!$A:$A,增益!$U:$U,0)))*IF(VLOOKUP($Q44,武学奇术!$A:$ZZ,24,FALSE)=1,0,1)</f>
        <v>0.8912</v>
      </c>
      <c r="BP44" s="27" cm="1">
        <f t="array" ref="BP44">1+$B$13+VLOOKUP($Q44,武学奇术!$A:$ZZ,18,FALSE)+SUM(_xlfn.XLOOKUP($R44:$AK44,增益!$A:$A,增益!$R:$R,0))</f>
        <v>1.95</v>
      </c>
      <c r="BQ44" s="27" cm="1">
        <f t="array" ref="BQ44">IF(VLOOKUP($Q44,武学奇术!$A:$ZZ,24,FALSE)=1,100%,MIN(40%,$B$10+VLOOKUP($Q44,武学奇术!$A:$ZZ,19,FALSE)+SUM(_xlfn.XLOOKUP($R44:$AK44,增益!$A:$A,增益!$S:$S,0)))+$B$12+SUM(_xlfn.XLOOKUP($R44:$AK44,增益!$A:$A,增益!$V:$V,0)))*IF(VLOOKUP($Q44,武学奇术!$A:$ZZ,23,FALSE)=1,0,1)</f>
        <v>0.0929</v>
      </c>
      <c r="BR44" s="27" cm="1">
        <f t="array" ref="BR44">1+$B$14+VLOOKUP($Q44,武学奇术!$A:$ZZ,20,FALSE)+SUM(_xlfn.XLOOKUP($R44:$AK44,增益!$A:$A,增益!$T:$T,0))</f>
        <v>1.35</v>
      </c>
      <c r="BS44" s="27">
        <f t="shared" si="9"/>
        <v>0.87863408</v>
      </c>
      <c r="BT44" s="27">
        <f t="shared" si="10"/>
        <v>0.01567581</v>
      </c>
      <c r="BU44" s="27">
        <f>IF(VLOOKUP($Q44,武学奇术!$A:$ZZ,22,FALSE)=1,0,(1-$BN44))*(1-$BQ44)</f>
        <v>0.01279011</v>
      </c>
      <c r="BV44" s="27" cm="1">
        <f t="array" ref="BV44">SUM(_xlfn.XLOOKUP($R44:$AK44,增益!$A:$A,增益!$W:$W,0))+$I$5</f>
        <v>0.11</v>
      </c>
    </row>
    <row r="45" spans="5:74">
      <c r="K45" s="40">
        <f t="shared" si="0"/>
        <v>73860.1994970668</v>
      </c>
      <c r="L45" s="40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BP45*$P45*(1+IF(VLOOKUP($Q45,武学奇术!$A:$ZZ,30,FALSE)="蓄力技",$B$21,0))*(1+$BV45)</f>
        <v>76750.1276533862</v>
      </c>
      <c r="M45" s="40">
        <f>(($AT45*$AM45+$AN45)*(1+$AU45)*(1+$AV45)+($AY45*IF($G$1="鸣金",$AO45,$AM45)+IF($G$1="鸣金",$AP45*1.5,0))*(1+$AZ45)*(1+$BA45)+($BC45*IF($G$1="裂石",$AO45,$AM45)+IF($G$1="裂石",$AP45*1.5,0))*(1+$BD45)*(1+$BE45)+($BG45*IF($G$1="牵丝",$AO45,$AM45)+IF($G$1="牵丝",$AP45*1.5,0))*(1+$BH45)*(1+$BI45)+($BK45*IF($G$1="破竹",$AO45,$AM45)+IF($G$1="破竹",$AP45*1.5,0))*(1+$BL45)*(1+$BM45))*(1+$AQ45)*$BR45*$P45*(1+IF(VLOOKUP($Q45,武学奇术!$A:$ZZ,30,FALSE)="蓄力技",$B$21,0))*(1+$BV45)</f>
        <v>58036.1990245068</v>
      </c>
      <c r="N45" s="40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P45*(1+IF(VLOOKUP($Q45,武学奇术!$A:$ZZ,30,FALSE)="蓄力技",$B$21,0))*(1+$BV45)</f>
        <v>38375.0638266931</v>
      </c>
      <c r="O45" s="40">
        <f>((($AS45*$AM45+$AN45)*(1+$AU45)*(1+$AV45)+($AX45*IF($G$1="鸣金",$AO45,$AM45)+IF($G$1="鸣金",$AP45*1.5,0))*(1+$AZ45)*(1+$BA45)+($BB45*IF($G$1="裂石",$AO45,$AM45)+IF($G$1="裂石",$AP45*1.5,0))*(1+$BD45)*(1+$BE45)+($BF45*IF($G$1="牵丝",$AO45,$AM45)+IF($G$1="牵丝",$AP45*1.5,0))*(1+$BH45)*(1+$BI45)+($BJ45*IF($G$1="破竹",$AO45,$AM45)+IF($G$1="破竹",$AP45*1.5,0))*(1+$BL45)*(1+$BM45))*(1+$AQ45))*$P45*(1+IF(VLOOKUP($Q45,武学奇术!$A:$ZZ,30,FALSE)="蓄力技",$B$21,0))*(1+$BV45)</f>
        <v>33760.350598196</v>
      </c>
      <c r="P45" s="41">
        <v>1</v>
      </c>
      <c r="Q45" s="42" t="s">
        <v>180</v>
      </c>
      <c r="R45" s="42" t="s">
        <v>103</v>
      </c>
      <c r="S45" s="42" t="s">
        <v>77</v>
      </c>
      <c r="T45" s="42" t="s">
        <v>77</v>
      </c>
      <c r="U45" s="42" t="s">
        <v>121</v>
      </c>
      <c r="V45" s="42" t="s">
        <v>77</v>
      </c>
      <c r="W45" s="42" t="s">
        <v>77</v>
      </c>
      <c r="X45" s="42" t="s">
        <v>176</v>
      </c>
      <c r="Y45" s="42" t="s">
        <v>77</v>
      </c>
      <c r="Z45" s="42" t="s">
        <v>77</v>
      </c>
      <c r="AA45" s="42" t="s">
        <v>73</v>
      </c>
      <c r="AB45" s="42" t="s">
        <v>77</v>
      </c>
      <c r="AC45" s="42" t="s">
        <v>77</v>
      </c>
      <c r="AD45" s="42" t="s">
        <v>77</v>
      </c>
      <c r="AE45" s="42" t="s">
        <v>81</v>
      </c>
      <c r="AF45" s="42" t="s">
        <v>82</v>
      </c>
      <c r="AG45" s="42" t="s">
        <v>77</v>
      </c>
      <c r="AH45" s="42" t="s">
        <v>77</v>
      </c>
      <c r="AI45" s="42" t="s">
        <v>77</v>
      </c>
      <c r="AJ45" s="42" t="s">
        <v>77</v>
      </c>
      <c r="AK45" s="42" t="s">
        <v>77</v>
      </c>
      <c r="AL45" t="str">
        <f>VLOOKUP($Q45,武学奇术!$A:$ZZ,25,FALSE)</f>
        <v>横刀</v>
      </c>
      <c r="AM45" s="27">
        <f>VLOOKUP($Q45,武学奇术!$A:$ZZ,26,FALSE)</f>
        <v>2.8245</v>
      </c>
      <c r="AN45" s="28">
        <f>VLOOKUP($Q45,武学奇术!$A:$ZZ,27,FALSE)*(1+IF(OR($AL45=$F$4,$AL45=$F$5),$B$22,0))</f>
        <v>1173</v>
      </c>
      <c r="AO45" s="27">
        <f>VLOOKUP($Q45,武学奇术!$A:$ZZ,28,FALSE)</f>
        <v>4.236808</v>
      </c>
      <c r="AP45" s="28">
        <f>VLOOKUP($Q45,武学奇术!$A:$ZZ,29,FALSE)*(1+IF(OR($AL45=$F$4,$AL45=$F$5),$B$22,0))</f>
        <v>637.5</v>
      </c>
      <c r="AQ45" s="27" cm="1">
        <f t="array" ref="AQ45">$G$3+IFERROR(VLOOKUP($AL45,$F$4:$G$7,2,FALSE),0)+VLOOKUP($Q45,武学奇术!$A:$ZZ,2,FALSE)+SUM(_xlfn.XLOOKUP($R45:$AK45,增益!$A:$A,增益!$B:$B,0))</f>
        <v>0.5489</v>
      </c>
      <c r="AR45" s="27" cm="1">
        <f t="array" ref="AR45">VLOOKUP($Q45,武学奇术!$A:$ZZ,5,FALSE)+SUM(_xlfn.XLOOKUP($R45:$AK45,增益!$A:$A,增益!$E:$E,0))</f>
        <v>0</v>
      </c>
      <c r="AS45" cm="1">
        <f t="array" ref="AS45">$D$10*(1+$AR45)+VLOOKUP($Q45,武学奇术!$A:$ZZ,3,FALSE)+SUM(_xlfn.XLOOKUP($R45:$AK45,增益!$A:$A,增益!$C:$C,0))-$I$2</f>
        <v>3586.7</v>
      </c>
      <c r="AT45" cm="1">
        <f t="array" ref="AT45">$E$10*(1+$AR45)+VLOOKUP($Q45,武学奇术!$A:$ZZ,4,FALSE)+SUM(_xlfn.XLOOKUP($R45:$AK45,增益!$A:$A,增益!$D:$D,0))-$I$2</f>
        <v>3586.7</v>
      </c>
      <c r="AU45" s="34" cm="1">
        <f t="array" ref="AU45">IF($F$10-$I$3+VLOOKUP($Q45,武学奇术!$A:$ZZ,6,FALSE)+SUM(_xlfn.XLOOKUP($R45:$AK45,增益!$A:$A,增益!$F:$F,0))&gt;0,($F$10-$I$3+VLOOKUP($Q45,武学奇术!$A:$ZZ,6,FALSE)+SUM(_xlfn.XLOOKUP($R45:$AK45,增益!$A:$A,增益!$F:$F,0)))/200,($F$10-$I$3+VLOOKUP($Q45,武学奇术!$A:$ZZ,6,FALSE)+SUM(_xlfn.XLOOKUP($R45:$AK45,增益!$A:$A,增益!$F:$F,0)))/100)</f>
        <v>0.352</v>
      </c>
      <c r="AV45" s="34" cm="1">
        <f t="array" ref="AV45">$G$10+VLOOKUP($Q45,武学奇术!$A:$ZZ,7,FALSE)+SUM(_xlfn.XLOOKUP($R45:$AK45,增益!$A:$A,增益!$G:$G,0))</f>
        <v>0</v>
      </c>
      <c r="AW45" s="27" cm="1">
        <f t="array" ref="AW45">VLOOKUP($Q45,武学奇术!$A:$ZZ,8,FALSE)+SUM(_xlfn.XLOOKUP($R45:$AK45,增益!$A:$A,增益!$H:$H,0))</f>
        <v>0</v>
      </c>
      <c r="AX45">
        <f t="shared" si="1"/>
        <v>0</v>
      </c>
      <c r="AY45">
        <f t="shared" si="2"/>
        <v>0</v>
      </c>
      <c r="AZ45" s="34" cm="1">
        <f t="array" ref="AZ45">IF($F$11-$I$4+VLOOKUP($Q45,武学奇术!$A:$ZZ,9,FALSE)+SUM(_xlfn.XLOOKUP($R45:$AK45,增益!$A:$A,增益!$I:$I,0))&gt;0,($F$11-$I$4+VLOOKUP($Q45,武学奇术!$A:$ZZ,9,FALSE)+SUM(_xlfn.XLOOKUP($R45:$AK45,增益!$A:$A,增益!$I:$I,0)))/200,($F$11-$I$4+VLOOKUP($Q45,武学奇术!$A:$ZZ,9,FALSE)+SUM(_xlfn.XLOOKUP($R45:$AK45,增益!$A:$A,增益!$I:$I,0)))/100)</f>
        <v>-0.3</v>
      </c>
      <c r="BA45" s="34" cm="1">
        <f t="array" ref="BA45">$G$11+VLOOKUP($Q45,武学奇术!$A:$ZZ,10,FALSE)+SUM(_xlfn.XLOOKUP($R45:$AK45,增益!$A:$A,增益!$J:$J,0))</f>
        <v>0</v>
      </c>
      <c r="BB45">
        <f t="shared" si="3"/>
        <v>594.1</v>
      </c>
      <c r="BC45">
        <f t="shared" si="4"/>
        <v>1604.9</v>
      </c>
      <c r="BD45" s="34" cm="1">
        <f t="array" ref="BD45">IF($F$12-$I$4+VLOOKUP($Q45,武学奇术!$A:$ZZ,11,FALSE)+SUM(_xlfn.XLOOKUP($R45:$AK45,增益!$A:$A,增益!$K:$K,0))&gt;0,($F$12-$I$4+VLOOKUP($Q45,武学奇术!$A:$ZZ,11,FALSE)+SUM(_xlfn.XLOOKUP($R45:$AK45,增益!$A:$A,增益!$K:$K,0)))/200,($F$12-$I$4+VLOOKUP($Q45,武学奇术!$A:$ZZ,11,FALSE)+SUM(_xlfn.XLOOKUP($R45:$AK45,增益!$A:$A,增益!$K:$K,0)))/100)</f>
        <v>0.09</v>
      </c>
      <c r="BE45" s="34" cm="1">
        <f t="array" ref="BE45">$G$12+VLOOKUP($Q45,武学奇术!$A:$ZZ,12,FALSE)+SUM(_xlfn.XLOOKUP($R45:$AK45,增益!$A:$A,增益!$L:$L,0))</f>
        <v>0.15</v>
      </c>
      <c r="BF45">
        <f t="shared" si="5"/>
        <v>0</v>
      </c>
      <c r="BG45">
        <f t="shared" si="6"/>
        <v>0</v>
      </c>
      <c r="BH45" s="34" cm="1">
        <f t="array" ref="BH45">IF($F$13-$I$4+VLOOKUP($Q45,武学奇术!$A:$ZZ,13,FALSE)+SUM(_xlfn.XLOOKUP($R45:$AK45,增益!$A:$A,增益!$M:$M,0))&gt;0,($F$13-$I$4+VLOOKUP($Q45,武学奇术!$A:$ZZ,13,FALSE)+SUM(_xlfn.XLOOKUP($R45:$AK45,增益!$A:$A,增益!$K:$K,0)))/200,($F$13-$I$4+VLOOKUP($Q45,武学奇术!$A:$ZZ,13,FALSE)+SUM(_xlfn.XLOOKUP($R45:$AK45,增益!$A:$A,增益!$M:$M,0)))/100)</f>
        <v>-0.3</v>
      </c>
      <c r="BI45" s="34" cm="1">
        <f t="array" ref="BI45">$G$13+VLOOKUP($Q45,武学奇术!$A:$ZZ,14,FALSE)+SUM(_xlfn.XLOOKUP($R45:$AK45,增益!$A:$A,增益!$N:$N,0))</f>
        <v>0</v>
      </c>
      <c r="BJ45">
        <f t="shared" si="7"/>
        <v>0</v>
      </c>
      <c r="BK45">
        <f t="shared" si="8"/>
        <v>0</v>
      </c>
      <c r="BL45" s="34" cm="1">
        <f t="array" ref="BL45">IF($F$14-$I$4+VLOOKUP($Q45,武学奇术!$A:$ZZ,15,FALSE)+SUM(_xlfn.XLOOKUP($R45:$AK45,增益!$A:$A,增益!$O:$O,0))&gt;0,($F$14-$I$4+VLOOKUP($Q45,武学奇术!$A:$ZZ,15,FALSE)+SUM(_xlfn.XLOOKUP($R45:$AK45,增益!$A:$A,增益!$O:$O,0)))/200,($F$14-$I$4+VLOOKUP($Q45,武学奇术!$A:$ZZ,15,FALSE)+SUM(_xlfn.XLOOKUP($R45:$AK45,增益!$A:$A,增益!$O:$O,0)))/100)</f>
        <v>-0.3</v>
      </c>
      <c r="BM45" s="34" cm="1">
        <f t="array" ref="BM45">$G$14+VLOOKUP($Q45,武学奇术!$A:$ZZ,16,FALSE)+SUM(_xlfn.XLOOKUP($R45:$AK45,增益!$A:$A,增益!$P:$P,0))</f>
        <v>0</v>
      </c>
      <c r="BN45" s="27">
        <f>MIN(IF(VLOOKUP($Q45,武学奇术!$A:$ZZ,23,FALSE)=1,100%,$B$8),100%)</f>
        <v>0.9859</v>
      </c>
      <c r="BO45" s="27" cm="1">
        <f t="array" ref="BO45">IF(VLOOKUP($Q45,武学奇术!$A:$ZZ,23,FALSE)=1,100%,MIN(80%,$B$9+VLOOKUP($Q45,武学奇术!$A:$ZZ,17,FALSE)+SUM(_xlfn.XLOOKUP($R45:$AK45,增益!$A:$A,增益!$Q:$Q,0)))+$B$11+SUM(_xlfn.XLOOKUP($R45:$AK45,增益!$A:$A,增益!$U:$U,0)))*IF(VLOOKUP($Q45,武学奇术!$A:$ZZ,24,FALSE)=1,0,1)</f>
        <v>0.8912</v>
      </c>
      <c r="BP45" s="27" cm="1">
        <f t="array" ref="BP45">1+$B$13+VLOOKUP($Q45,武学奇术!$A:$ZZ,18,FALSE)+SUM(_xlfn.XLOOKUP($R45:$AK45,增益!$A:$A,增益!$R:$R,0))</f>
        <v>2</v>
      </c>
      <c r="BQ45" s="27" cm="1">
        <f t="array" ref="BQ45">IF(VLOOKUP($Q45,武学奇术!$A:$ZZ,24,FALSE)=1,100%,MIN(40%,$B$10+VLOOKUP($Q45,武学奇术!$A:$ZZ,19,FALSE)+SUM(_xlfn.XLOOKUP($R45:$AK45,增益!$A:$A,增益!$S:$S,0)))+$B$12+SUM(_xlfn.XLOOKUP($R45:$AK45,增益!$A:$A,增益!$V:$V,0)))*IF(VLOOKUP($Q45,武学奇术!$A:$ZZ,23,FALSE)=1,0,1)</f>
        <v>0.0929</v>
      </c>
      <c r="BR45" s="27" cm="1">
        <f t="array" ref="BR45">1+$B$14+VLOOKUP($Q45,武学奇术!$A:$ZZ,20,FALSE)+SUM(_xlfn.XLOOKUP($R45:$AK45,增益!$A:$A,增益!$T:$T,0))</f>
        <v>1.35</v>
      </c>
      <c r="BS45" s="27">
        <f t="shared" si="9"/>
        <v>0.87863408</v>
      </c>
      <c r="BT45" s="27">
        <f t="shared" si="10"/>
        <v>0.01567581</v>
      </c>
      <c r="BU45" s="27">
        <f>IF(VLOOKUP($Q45,武学奇术!$A:$ZZ,22,FALSE)=1,0,(1-$BN45))*(1-$BQ45)</f>
        <v>0.01279011</v>
      </c>
      <c r="BV45" s="27" cm="1">
        <f t="array" ref="BV45">SUM(_xlfn.XLOOKUP($R45:$AK45,增益!$A:$A,增益!$W:$W,0))+$I$5</f>
        <v>0.11</v>
      </c>
    </row>
    <row r="46" spans="5:74">
      <c r="K46" s="40">
        <f t="shared" si="0"/>
        <v>30003.7718841182</v>
      </c>
      <c r="L46" s="40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BP46*$P46*(1+IF(VLOOKUP($Q46,武学奇术!$A:$ZZ,30,FALSE)="蓄力技",$B$21,0))*(1+$BV46)</f>
        <v>31146.4926767784</v>
      </c>
      <c r="M46" s="40">
        <f>(($AT46*$AM46+$AN46)*(1+$AU46)*(1+$AV46)+($AY46*IF($G$1="鸣金",$AO46,$AM46)+IF($G$1="鸣金",$AP46*1.5,0))*(1+$AZ46)*(1+$BA46)+($BC46*IF($G$1="裂石",$AO46,$AM46)+IF($G$1="裂石",$AP46*1.5,0))*(1+$BD46)*(1+$BE46)+($BG46*IF($G$1="牵丝",$AO46,$AM46)+IF($G$1="牵丝",$AP46*1.5,0))*(1+$BH46)*(1+$BI46)+($BK46*IF($G$1="破竹",$AO46,$AM46)+IF($G$1="破竹",$AP46*1.5,0))*(1+$BL46)*(1+$BM46))*(1+$AQ46)*$BR46*$P46*(1+IF(VLOOKUP($Q46,武学奇术!$A:$ZZ,30,FALSE)="蓄力技",$B$21,0))*(1+$BV46)</f>
        <v>23912.3935871542</v>
      </c>
      <c r="N46" s="40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P46*(1+IF(VLOOKUP($Q46,武学奇术!$A:$ZZ,30,FALSE)="蓄力技",$B$21,0))*(1+$BV46)</f>
        <v>15573.2463383892</v>
      </c>
      <c r="O46" s="40">
        <f>((($AS46*$AM46+$AN46)*(1+$AU46)*(1+$AV46)+($AX46*IF($G$1="鸣金",$AO46,$AM46)+IF($G$1="鸣金",$AP46*1.5,0))*(1+$AZ46)*(1+$BA46)+($BB46*IF($G$1="裂石",$AO46,$AM46)+IF($G$1="裂石",$AP46*1.5,0))*(1+$BD46)*(1+$BE46)+($BF46*IF($G$1="牵丝",$AO46,$AM46)+IF($G$1="牵丝",$AP46*1.5,0))*(1+$BH46)*(1+$BI46)+($BJ46*IF($G$1="破竹",$AO46,$AM46)+IF($G$1="破竹",$AP46*1.5,0))*(1+$BL46)*(1+$BM46))*(1+$AQ46))*$P46*(1+IF(VLOOKUP($Q46,武学奇术!$A:$ZZ,30,FALSE)="蓄力技",$B$21,0))*(1+$BV46)</f>
        <v>13433.6085381457</v>
      </c>
      <c r="P46" s="41">
        <v>1</v>
      </c>
      <c r="Q46" s="42" t="s">
        <v>110</v>
      </c>
      <c r="R46" s="42" t="s">
        <v>103</v>
      </c>
      <c r="S46" s="42" t="s">
        <v>77</v>
      </c>
      <c r="T46" s="42" t="s">
        <v>77</v>
      </c>
      <c r="U46" s="42" t="s">
        <v>121</v>
      </c>
      <c r="V46" s="42" t="s">
        <v>77</v>
      </c>
      <c r="W46" s="42" t="s">
        <v>77</v>
      </c>
      <c r="X46" s="42" t="s">
        <v>176</v>
      </c>
      <c r="Y46" s="42" t="s">
        <v>77</v>
      </c>
      <c r="Z46" s="42" t="s">
        <v>77</v>
      </c>
      <c r="AA46" s="42" t="s">
        <v>73</v>
      </c>
      <c r="AB46" s="42" t="s">
        <v>77</v>
      </c>
      <c r="AC46" s="42" t="s">
        <v>77</v>
      </c>
      <c r="AD46" s="42" t="s">
        <v>77</v>
      </c>
      <c r="AE46" s="42" t="s">
        <v>81</v>
      </c>
      <c r="AF46" s="42" t="s">
        <v>82</v>
      </c>
      <c r="AG46" s="42" t="s">
        <v>77</v>
      </c>
      <c r="AH46" s="42" t="s">
        <v>77</v>
      </c>
      <c r="AI46" s="42" t="s">
        <v>77</v>
      </c>
      <c r="AJ46" s="42" t="s">
        <v>77</v>
      </c>
      <c r="AK46" s="42" t="s">
        <v>77</v>
      </c>
      <c r="AL46" t="str">
        <f>VLOOKUP($Q46,武学奇术!$A:$ZZ,25,FALSE)</f>
        <v>横刀</v>
      </c>
      <c r="AM46" s="27">
        <f>VLOOKUP($Q46,武学奇术!$A:$ZZ,26,FALSE)</f>
        <v>1.4</v>
      </c>
      <c r="AN46" s="28">
        <f>VLOOKUP($Q46,武学奇术!$A:$ZZ,27,FALSE)*(1+IF(OR($AL46=$F$4,$AL46=$F$5),$B$22,0))</f>
        <v>0</v>
      </c>
      <c r="AO46" s="27">
        <f>VLOOKUP($Q46,武学奇术!$A:$ZZ,28,FALSE)</f>
        <v>2.1</v>
      </c>
      <c r="AP46" s="28">
        <f>VLOOKUP($Q46,武学奇术!$A:$ZZ,29,FALSE)*(1+IF(OR($AL46=$F$4,$AL46=$F$5),$B$22,0))</f>
        <v>0</v>
      </c>
      <c r="AQ46" s="27" cm="1">
        <f t="array" ref="AQ46">$G$3+IFERROR(VLOOKUP($AL46,$F$4:$G$7,2,FALSE),0)+VLOOKUP($Q46,武学奇术!$A:$ZZ,2,FALSE)+SUM(_xlfn.XLOOKUP($R46:$AK46,增益!$A:$A,增益!$B:$B,0))</f>
        <v>0.4489</v>
      </c>
      <c r="AR46" s="27" cm="1">
        <f t="array" ref="AR46">VLOOKUP($Q46,武学奇术!$A:$ZZ,5,FALSE)+SUM(_xlfn.XLOOKUP($R46:$AK46,增益!$A:$A,增益!$E:$E,0))</f>
        <v>0</v>
      </c>
      <c r="AS46" cm="1">
        <f t="array" ref="AS46">$D$10*(1+$AR46)+VLOOKUP($Q46,武学奇术!$A:$ZZ,3,FALSE)+SUM(_xlfn.XLOOKUP($R46:$AK46,增益!$A:$A,增益!$C:$C,0))-$I$2</f>
        <v>3586.7</v>
      </c>
      <c r="AT46" cm="1">
        <f t="array" ref="AT46">$E$10*(1+$AR46)+VLOOKUP($Q46,武学奇术!$A:$ZZ,4,FALSE)+SUM(_xlfn.XLOOKUP($R46:$AK46,增益!$A:$A,增益!$D:$D,0))-$I$2</f>
        <v>3586.7</v>
      </c>
      <c r="AU46" s="34" cm="1">
        <f t="array" ref="AU46">IF($F$10-$I$3+VLOOKUP($Q46,武学奇术!$A:$ZZ,6,FALSE)+SUM(_xlfn.XLOOKUP($R46:$AK46,增益!$A:$A,增益!$F:$F,0))&gt;0,($F$10-$I$3+VLOOKUP($Q46,武学奇术!$A:$ZZ,6,FALSE)+SUM(_xlfn.XLOOKUP($R46:$AK46,增益!$A:$A,增益!$F:$F,0)))/200,($F$10-$I$3+VLOOKUP($Q46,武学奇术!$A:$ZZ,6,FALSE)+SUM(_xlfn.XLOOKUP($R46:$AK46,增益!$A:$A,增益!$F:$F,0)))/100)</f>
        <v>0.352</v>
      </c>
      <c r="AV46" s="34" cm="1">
        <f t="array" ref="AV46">$G$10+VLOOKUP($Q46,武学奇术!$A:$ZZ,7,FALSE)+SUM(_xlfn.XLOOKUP($R46:$AK46,增益!$A:$A,增益!$G:$G,0))</f>
        <v>0</v>
      </c>
      <c r="AW46" s="27" cm="1">
        <f t="array" ref="AW46">VLOOKUP($Q46,武学奇术!$A:$ZZ,8,FALSE)+SUM(_xlfn.XLOOKUP($R46:$AK46,增益!$A:$A,增益!$H:$H,0))</f>
        <v>0</v>
      </c>
      <c r="AX46">
        <f t="shared" si="1"/>
        <v>0</v>
      </c>
      <c r="AY46">
        <f t="shared" si="2"/>
        <v>0</v>
      </c>
      <c r="AZ46" s="34" cm="1">
        <f t="array" ref="AZ46">IF($F$11-$I$4+VLOOKUP($Q46,武学奇术!$A:$ZZ,9,FALSE)+SUM(_xlfn.XLOOKUP($R46:$AK46,增益!$A:$A,增益!$I:$I,0))&gt;0,($F$11-$I$4+VLOOKUP($Q46,武学奇术!$A:$ZZ,9,FALSE)+SUM(_xlfn.XLOOKUP($R46:$AK46,增益!$A:$A,增益!$I:$I,0)))/200,($F$11-$I$4+VLOOKUP($Q46,武学奇术!$A:$ZZ,9,FALSE)+SUM(_xlfn.XLOOKUP($R46:$AK46,增益!$A:$A,增益!$I:$I,0)))/100)</f>
        <v>-0.3</v>
      </c>
      <c r="BA46" s="34" cm="1">
        <f t="array" ref="BA46">$G$11+VLOOKUP($Q46,武学奇术!$A:$ZZ,10,FALSE)+SUM(_xlfn.XLOOKUP($R46:$AK46,增益!$A:$A,增益!$J:$J,0))</f>
        <v>0</v>
      </c>
      <c r="BB46">
        <f t="shared" si="3"/>
        <v>594.1</v>
      </c>
      <c r="BC46">
        <f t="shared" si="4"/>
        <v>1604.9</v>
      </c>
      <c r="BD46" s="34" cm="1">
        <f t="array" ref="BD46">IF($F$12-$I$4+VLOOKUP($Q46,武学奇术!$A:$ZZ,11,FALSE)+SUM(_xlfn.XLOOKUP($R46:$AK46,增益!$A:$A,增益!$K:$K,0))&gt;0,($F$12-$I$4+VLOOKUP($Q46,武学奇术!$A:$ZZ,11,FALSE)+SUM(_xlfn.XLOOKUP($R46:$AK46,增益!$A:$A,增益!$K:$K,0)))/200,($F$12-$I$4+VLOOKUP($Q46,武学奇术!$A:$ZZ,11,FALSE)+SUM(_xlfn.XLOOKUP($R46:$AK46,增益!$A:$A,增益!$K:$K,0)))/100)</f>
        <v>0.09</v>
      </c>
      <c r="BE46" s="34" cm="1">
        <f t="array" ref="BE46">$G$12+VLOOKUP($Q46,武学奇术!$A:$ZZ,12,FALSE)+SUM(_xlfn.XLOOKUP($R46:$AK46,增益!$A:$A,增益!$L:$L,0))</f>
        <v>0.15</v>
      </c>
      <c r="BF46">
        <f t="shared" si="5"/>
        <v>0</v>
      </c>
      <c r="BG46">
        <f t="shared" si="6"/>
        <v>0</v>
      </c>
      <c r="BH46" s="34" cm="1">
        <f t="array" ref="BH46">IF($F$13-$I$4+VLOOKUP($Q46,武学奇术!$A:$ZZ,13,FALSE)+SUM(_xlfn.XLOOKUP($R46:$AK46,增益!$A:$A,增益!$M:$M,0))&gt;0,($F$13-$I$4+VLOOKUP($Q46,武学奇术!$A:$ZZ,13,FALSE)+SUM(_xlfn.XLOOKUP($R46:$AK46,增益!$A:$A,增益!$K:$K,0)))/200,($F$13-$I$4+VLOOKUP($Q46,武学奇术!$A:$ZZ,13,FALSE)+SUM(_xlfn.XLOOKUP($R46:$AK46,增益!$A:$A,增益!$M:$M,0)))/100)</f>
        <v>-0.3</v>
      </c>
      <c r="BI46" s="34" cm="1">
        <f t="array" ref="BI46">$G$13+VLOOKUP($Q46,武学奇术!$A:$ZZ,14,FALSE)+SUM(_xlfn.XLOOKUP($R46:$AK46,增益!$A:$A,增益!$N:$N,0))</f>
        <v>0</v>
      </c>
      <c r="BJ46">
        <f t="shared" si="7"/>
        <v>0</v>
      </c>
      <c r="BK46">
        <f t="shared" si="8"/>
        <v>0</v>
      </c>
      <c r="BL46" s="34" cm="1">
        <f t="array" ref="BL46">IF($F$14-$I$4+VLOOKUP($Q46,武学奇术!$A:$ZZ,15,FALSE)+SUM(_xlfn.XLOOKUP($R46:$AK46,增益!$A:$A,增益!$O:$O,0))&gt;0,($F$14-$I$4+VLOOKUP($Q46,武学奇术!$A:$ZZ,15,FALSE)+SUM(_xlfn.XLOOKUP($R46:$AK46,增益!$A:$A,增益!$O:$O,0)))/200,($F$14-$I$4+VLOOKUP($Q46,武学奇术!$A:$ZZ,15,FALSE)+SUM(_xlfn.XLOOKUP($R46:$AK46,增益!$A:$A,增益!$O:$O,0)))/100)</f>
        <v>-0.3</v>
      </c>
      <c r="BM46" s="34" cm="1">
        <f t="array" ref="BM46">$G$14+VLOOKUP($Q46,武学奇术!$A:$ZZ,16,FALSE)+SUM(_xlfn.XLOOKUP($R46:$AK46,增益!$A:$A,增益!$P:$P,0))</f>
        <v>0</v>
      </c>
      <c r="BN46" s="27">
        <f>MIN(IF(VLOOKUP($Q46,武学奇术!$A:$ZZ,23,FALSE)=1,100%,$B$8),100%)</f>
        <v>0.9859</v>
      </c>
      <c r="BO46" s="27" cm="1">
        <f t="array" ref="BO46">IF(VLOOKUP($Q46,武学奇术!$A:$ZZ,23,FALSE)=1,100%,MIN(80%,$B$9+VLOOKUP($Q46,武学奇术!$A:$ZZ,17,FALSE)+SUM(_xlfn.XLOOKUP($R46:$AK46,增益!$A:$A,增益!$Q:$Q,0)))+$B$11+SUM(_xlfn.XLOOKUP($R46:$AK46,增益!$A:$A,增益!$U:$U,0)))*IF(VLOOKUP($Q46,武学奇术!$A:$ZZ,24,FALSE)=1,0,1)</f>
        <v>0.8912</v>
      </c>
      <c r="BP46" s="27" cm="1">
        <f t="array" ref="BP46">1+$B$13+VLOOKUP($Q46,武学奇术!$A:$ZZ,18,FALSE)+SUM(_xlfn.XLOOKUP($R46:$AK46,增益!$A:$A,增益!$R:$R,0))</f>
        <v>2</v>
      </c>
      <c r="BQ46" s="27" cm="1">
        <f t="array" ref="BQ46">IF(VLOOKUP($Q46,武学奇术!$A:$ZZ,24,FALSE)=1,100%,MIN(40%,$B$10+VLOOKUP($Q46,武学奇术!$A:$ZZ,19,FALSE)+SUM(_xlfn.XLOOKUP($R46:$AK46,增益!$A:$A,增益!$S:$S,0)))+$B$12+SUM(_xlfn.XLOOKUP($R46:$AK46,增益!$A:$A,增益!$V:$V,0)))*IF(VLOOKUP($Q46,武学奇术!$A:$ZZ,23,FALSE)=1,0,1)</f>
        <v>0.0929</v>
      </c>
      <c r="BR46" s="27" cm="1">
        <f t="array" ref="BR46">1+$B$14+VLOOKUP($Q46,武学奇术!$A:$ZZ,20,FALSE)+SUM(_xlfn.XLOOKUP($R46:$AK46,增益!$A:$A,增益!$T:$T,0))</f>
        <v>1.35</v>
      </c>
      <c r="BS46" s="27">
        <f t="shared" si="9"/>
        <v>0.87863408</v>
      </c>
      <c r="BT46" s="27">
        <f t="shared" si="10"/>
        <v>0.01567581</v>
      </c>
      <c r="BU46" s="27">
        <f>IF(VLOOKUP($Q46,武学奇术!$A:$ZZ,22,FALSE)=1,0,(1-$BN46))*(1-$BQ46)</f>
        <v>0.01279011</v>
      </c>
      <c r="BV46" s="27" cm="1">
        <f t="array" ref="BV46">SUM(_xlfn.XLOOKUP($R46:$AK46,增益!$A:$A,增益!$W:$W,0))+$I$5</f>
        <v>0.11</v>
      </c>
    </row>
    <row r="47" spans="5:74">
      <c r="K47" s="40">
        <f t="shared" si="0"/>
        <v>27518.1816012399</v>
      </c>
      <c r="L47" s="40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BP47*$P47*(1+IF(VLOOKUP($Q47,武学奇术!$A:$ZZ,30,FALSE)="蓄力技",$B$21,0))*(1+$BV47)</f>
        <v>28528.6546458537</v>
      </c>
      <c r="M47" s="40">
        <f>(($AT47*$AM47+$AN47)*(1+$AU47)*(1+$AV47)+($AY47*IF($G$1="鸣金",$AO47,$AM47)+IF($G$1="鸣金",$AP47*1.5,0))*(1+$AZ47)*(1+$BA47)+($BC47*IF($G$1="裂石",$AO47,$AM47)+IF($G$1="裂石",$AP47*1.5,0))*(1+$BD47)*(1+$BE47)+($BG47*IF($G$1="牵丝",$AO47,$AM47)+IF($G$1="牵丝",$AP47*1.5,0))*(1+$BH47)*(1+$BI47)+($BK47*IF($G$1="破竹",$AO47,$AM47)+IF($G$1="破竹",$AP47*1.5,0))*(1+$BL47)*(1+$BM47))*(1+$AQ47)*$BR47*$P47*(1+IF(VLOOKUP($Q47,武学奇术!$A:$ZZ,30,FALSE)="蓄力技",$B$21,0))*(1+$BV47)</f>
        <v>22155.6568521233</v>
      </c>
      <c r="N47" s="40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P47*(1+IF(VLOOKUP($Q47,武学奇术!$A:$ZZ,30,FALSE)="蓄力技",$B$21,0))*(1+$BV47)</f>
        <v>14630.079305566</v>
      </c>
      <c r="O47" s="40">
        <f>((($AS47*$AM47+$AN47)*(1+$AU47)*(1+$AV47)+($AX47*IF($G$1="鸣金",$AO47,$AM47)+IF($G$1="鸣金",$AP47*1.5,0))*(1+$AZ47)*(1+$BA47)+($BB47*IF($G$1="裂石",$AO47,$AM47)+IF($G$1="裂石",$AP47*1.5,0))*(1+$BD47)*(1+$BE47)+($BF47*IF($G$1="牵丝",$AO47,$AM47)+IF($G$1="牵丝",$AP47*1.5,0))*(1+$BH47)*(1+$BI47)+($BJ47*IF($G$1="破竹",$AO47,$AM47)+IF($G$1="破竹",$AP47*1.5,0))*(1+$BL47)*(1+$BM47))*(1+$AQ47))*$P47*(1+IF(VLOOKUP($Q47,武学奇术!$A:$ZZ,30,FALSE)="蓄力技",$B$21,0))*(1+$BV47)</f>
        <v>12848.5609428925</v>
      </c>
      <c r="P47" s="41">
        <v>1</v>
      </c>
      <c r="Q47" s="42" t="s">
        <v>162</v>
      </c>
      <c r="R47" s="42" t="s">
        <v>103</v>
      </c>
      <c r="S47" s="42" t="s">
        <v>77</v>
      </c>
      <c r="T47" s="42" t="s">
        <v>77</v>
      </c>
      <c r="U47" s="42" t="s">
        <v>87</v>
      </c>
      <c r="V47" s="42" t="s">
        <v>77</v>
      </c>
      <c r="W47" s="42" t="s">
        <v>77</v>
      </c>
      <c r="X47" s="42" t="s">
        <v>176</v>
      </c>
      <c r="Y47" s="42" t="s">
        <v>77</v>
      </c>
      <c r="Z47" s="42" t="s">
        <v>77</v>
      </c>
      <c r="AA47" s="42" t="s">
        <v>77</v>
      </c>
      <c r="AB47" s="42" t="s">
        <v>77</v>
      </c>
      <c r="AC47" s="42" t="s">
        <v>77</v>
      </c>
      <c r="AD47" s="42" t="s">
        <v>77</v>
      </c>
      <c r="AE47" s="42" t="s">
        <v>81</v>
      </c>
      <c r="AF47" s="42" t="s">
        <v>82</v>
      </c>
      <c r="AG47" s="42" t="s">
        <v>77</v>
      </c>
      <c r="AH47" s="42" t="s">
        <v>77</v>
      </c>
      <c r="AI47" s="42" t="s">
        <v>77</v>
      </c>
      <c r="AJ47" s="42" t="s">
        <v>77</v>
      </c>
      <c r="AK47" s="42" t="s">
        <v>77</v>
      </c>
      <c r="AL47" t="str">
        <f>VLOOKUP($Q47,武学奇术!$A:$ZZ,25,FALSE)</f>
        <v>横刀</v>
      </c>
      <c r="AM47" s="27">
        <f>VLOOKUP($Q47,武学奇术!$A:$ZZ,26,FALSE)</f>
        <v>1.2338</v>
      </c>
      <c r="AN47" s="28">
        <f>VLOOKUP($Q47,武学奇术!$A:$ZZ,27,FALSE)*(1+IF(OR($AL47=$F$4,$AL47=$F$5),$B$22,0))</f>
        <v>513</v>
      </c>
      <c r="AO47" s="27">
        <f>VLOOKUP($Q47,武学奇术!$A:$ZZ,28,FALSE)</f>
        <v>1.8507</v>
      </c>
      <c r="AP47" s="28">
        <f>VLOOKUP($Q47,武学奇术!$A:$ZZ,29,FALSE)*(1+IF(OR($AL47=$F$4,$AL47=$F$5),$B$22,0))</f>
        <v>279</v>
      </c>
      <c r="AQ47" s="27" cm="1">
        <f t="array" ref="AQ47">$G$3+IFERROR(VLOOKUP($AL47,$F$4:$G$7,2,FALSE),0)+VLOOKUP($Q47,武学奇术!$A:$ZZ,2,FALSE)+SUM(_xlfn.XLOOKUP($R47:$AK47,增益!$A:$A,增益!$B:$B,0))</f>
        <v>0.3689</v>
      </c>
      <c r="AR47" s="27" cm="1">
        <f t="array" ref="AR47">VLOOKUP($Q47,武学奇术!$A:$ZZ,5,FALSE)+SUM(_xlfn.XLOOKUP($R47:$AK47,增益!$A:$A,增益!$E:$E,0))</f>
        <v>0</v>
      </c>
      <c r="AS47" cm="1">
        <f t="array" ref="AS47">$D$10*(1+$AR47)+VLOOKUP($Q47,武学奇术!$A:$ZZ,3,FALSE)+SUM(_xlfn.XLOOKUP($R47:$AK47,增益!$A:$A,增益!$C:$C,0))-$I$2</f>
        <v>3586.7</v>
      </c>
      <c r="AT47" cm="1">
        <f t="array" ref="AT47">$E$10*(1+$AR47)+VLOOKUP($Q47,武学奇术!$A:$ZZ,4,FALSE)+SUM(_xlfn.XLOOKUP($R47:$AK47,增益!$A:$A,增益!$D:$D,0))-$I$2</f>
        <v>3586.7</v>
      </c>
      <c r="AU47" s="34" cm="1">
        <f t="array" ref="AU47">IF($F$10-$I$3+VLOOKUP($Q47,武学奇术!$A:$ZZ,6,FALSE)+SUM(_xlfn.XLOOKUP($R47:$AK47,增益!$A:$A,增益!$F:$F,0))&gt;0,($F$10-$I$3+VLOOKUP($Q47,武学奇术!$A:$ZZ,6,FALSE)+SUM(_xlfn.XLOOKUP($R47:$AK47,增益!$A:$A,增益!$F:$F,0)))/200,($F$10-$I$3+VLOOKUP($Q47,武学奇术!$A:$ZZ,6,FALSE)+SUM(_xlfn.XLOOKUP($R47:$AK47,增益!$A:$A,增益!$F:$F,0)))/100)</f>
        <v>0.327</v>
      </c>
      <c r="AV47" s="34" cm="1">
        <f t="array" ref="AV47">$G$10+VLOOKUP($Q47,武学奇术!$A:$ZZ,7,FALSE)+SUM(_xlfn.XLOOKUP($R47:$AK47,增益!$A:$A,增益!$G:$G,0))</f>
        <v>0</v>
      </c>
      <c r="AW47" s="27" cm="1">
        <f t="array" ref="AW47">VLOOKUP($Q47,武学奇术!$A:$ZZ,8,FALSE)+SUM(_xlfn.XLOOKUP($R47:$AK47,增益!$A:$A,增益!$H:$H,0))</f>
        <v>0</v>
      </c>
      <c r="AX47">
        <f t="shared" si="1"/>
        <v>0</v>
      </c>
      <c r="AY47">
        <f t="shared" si="2"/>
        <v>0</v>
      </c>
      <c r="AZ47" s="34" cm="1">
        <f t="array" ref="AZ47">IF($F$11-$I$4+VLOOKUP($Q47,武学奇术!$A:$ZZ,9,FALSE)+SUM(_xlfn.XLOOKUP($R47:$AK47,增益!$A:$A,增益!$I:$I,0))&gt;0,($F$11-$I$4+VLOOKUP($Q47,武学奇术!$A:$ZZ,9,FALSE)+SUM(_xlfn.XLOOKUP($R47:$AK47,增益!$A:$A,增益!$I:$I,0)))/200,($F$11-$I$4+VLOOKUP($Q47,武学奇术!$A:$ZZ,9,FALSE)+SUM(_xlfn.XLOOKUP($R47:$AK47,增益!$A:$A,增益!$I:$I,0)))/100)</f>
        <v>-0.3</v>
      </c>
      <c r="BA47" s="34" cm="1">
        <f t="array" ref="BA47">$G$11+VLOOKUP($Q47,武学奇术!$A:$ZZ,10,FALSE)+SUM(_xlfn.XLOOKUP($R47:$AK47,增益!$A:$A,增益!$J:$J,0))</f>
        <v>0</v>
      </c>
      <c r="BB47">
        <f t="shared" si="3"/>
        <v>594.1</v>
      </c>
      <c r="BC47">
        <f t="shared" si="4"/>
        <v>1604.9</v>
      </c>
      <c r="BD47" s="34" cm="1">
        <f t="array" ref="BD47">IF($F$12-$I$4+VLOOKUP($Q47,武学奇术!$A:$ZZ,11,FALSE)+SUM(_xlfn.XLOOKUP($R47:$AK47,增益!$A:$A,增益!$K:$K,0))&gt;0,($F$12-$I$4+VLOOKUP($Q47,武学奇术!$A:$ZZ,11,FALSE)+SUM(_xlfn.XLOOKUP($R47:$AK47,增益!$A:$A,增益!$K:$K,0)))/200,($F$12-$I$4+VLOOKUP($Q47,武学奇术!$A:$ZZ,11,FALSE)+SUM(_xlfn.XLOOKUP($R47:$AK47,增益!$A:$A,增益!$K:$K,0)))/100)</f>
        <v>0.09</v>
      </c>
      <c r="BE47" s="34" cm="1">
        <f t="array" ref="BE47">$G$12+VLOOKUP($Q47,武学奇术!$A:$ZZ,12,FALSE)+SUM(_xlfn.XLOOKUP($R47:$AK47,增益!$A:$A,增益!$L:$L,0))</f>
        <v>0.15</v>
      </c>
      <c r="BF47">
        <f t="shared" si="5"/>
        <v>0</v>
      </c>
      <c r="BG47">
        <f t="shared" si="6"/>
        <v>0</v>
      </c>
      <c r="BH47" s="34" cm="1">
        <f t="array" ref="BH47">IF($F$13-$I$4+VLOOKUP($Q47,武学奇术!$A:$ZZ,13,FALSE)+SUM(_xlfn.XLOOKUP($R47:$AK47,增益!$A:$A,增益!$M:$M,0))&gt;0,($F$13-$I$4+VLOOKUP($Q47,武学奇术!$A:$ZZ,13,FALSE)+SUM(_xlfn.XLOOKUP($R47:$AK47,增益!$A:$A,增益!$K:$K,0)))/200,($F$13-$I$4+VLOOKUP($Q47,武学奇术!$A:$ZZ,13,FALSE)+SUM(_xlfn.XLOOKUP($R47:$AK47,增益!$A:$A,增益!$M:$M,0)))/100)</f>
        <v>-0.3</v>
      </c>
      <c r="BI47" s="34" cm="1">
        <f t="array" ref="BI47">$G$13+VLOOKUP($Q47,武学奇术!$A:$ZZ,14,FALSE)+SUM(_xlfn.XLOOKUP($R47:$AK47,增益!$A:$A,增益!$N:$N,0))</f>
        <v>0</v>
      </c>
      <c r="BJ47">
        <f t="shared" si="7"/>
        <v>0</v>
      </c>
      <c r="BK47">
        <f t="shared" si="8"/>
        <v>0</v>
      </c>
      <c r="BL47" s="34" cm="1">
        <f t="array" ref="BL47">IF($F$14-$I$4+VLOOKUP($Q47,武学奇术!$A:$ZZ,15,FALSE)+SUM(_xlfn.XLOOKUP($R47:$AK47,增益!$A:$A,增益!$O:$O,0))&gt;0,($F$14-$I$4+VLOOKUP($Q47,武学奇术!$A:$ZZ,15,FALSE)+SUM(_xlfn.XLOOKUP($R47:$AK47,增益!$A:$A,增益!$O:$O,0)))/200,($F$14-$I$4+VLOOKUP($Q47,武学奇术!$A:$ZZ,15,FALSE)+SUM(_xlfn.XLOOKUP($R47:$AK47,增益!$A:$A,增益!$O:$O,0)))/100)</f>
        <v>-0.3</v>
      </c>
      <c r="BM47" s="34" cm="1">
        <f t="array" ref="BM47">$G$14+VLOOKUP($Q47,武学奇术!$A:$ZZ,16,FALSE)+SUM(_xlfn.XLOOKUP($R47:$AK47,增益!$A:$A,增益!$P:$P,0))</f>
        <v>0</v>
      </c>
      <c r="BN47" s="27">
        <f>MIN(IF(VLOOKUP($Q47,武学奇术!$A:$ZZ,23,FALSE)=1,100%,$B$8),100%)</f>
        <v>0.9859</v>
      </c>
      <c r="BO47" s="27" cm="1">
        <f t="array" ref="BO47">IF(VLOOKUP($Q47,武学奇术!$A:$ZZ,23,FALSE)=1,100%,MIN(80%,$B$9+VLOOKUP($Q47,武学奇术!$A:$ZZ,17,FALSE)+SUM(_xlfn.XLOOKUP($R47:$AK47,增益!$A:$A,增益!$Q:$Q,0)))+$B$11+SUM(_xlfn.XLOOKUP($R47:$AK47,增益!$A:$A,增益!$U:$U,0)))*IF(VLOOKUP($Q47,武学奇术!$A:$ZZ,24,FALSE)=1,0,1)</f>
        <v>0.8912</v>
      </c>
      <c r="BP47" s="27" cm="1">
        <f t="array" ref="BP47">1+$B$13+VLOOKUP($Q47,武学奇术!$A:$ZZ,18,FALSE)+SUM(_xlfn.XLOOKUP($R47:$AK47,增益!$A:$A,增益!$R:$R,0))</f>
        <v>1.95</v>
      </c>
      <c r="BQ47" s="27" cm="1">
        <f t="array" ref="BQ47">IF(VLOOKUP($Q47,武学奇术!$A:$ZZ,24,FALSE)=1,100%,MIN(40%,$B$10+VLOOKUP($Q47,武学奇术!$A:$ZZ,19,FALSE)+SUM(_xlfn.XLOOKUP($R47:$AK47,增益!$A:$A,增益!$S:$S,0)))+$B$12+SUM(_xlfn.XLOOKUP($R47:$AK47,增益!$A:$A,增益!$V:$V,0)))*IF(VLOOKUP($Q47,武学奇术!$A:$ZZ,23,FALSE)=1,0,1)</f>
        <v>0.0929</v>
      </c>
      <c r="BR47" s="27" cm="1">
        <f t="array" ref="BR47">1+$B$14+VLOOKUP($Q47,武学奇术!$A:$ZZ,20,FALSE)+SUM(_xlfn.XLOOKUP($R47:$AK47,增益!$A:$A,增益!$T:$T,0))</f>
        <v>1.35</v>
      </c>
      <c r="BS47" s="27">
        <f t="shared" si="9"/>
        <v>0.87863408</v>
      </c>
      <c r="BT47" s="27">
        <f t="shared" si="10"/>
        <v>0.01567581</v>
      </c>
      <c r="BU47" s="27">
        <f>IF(VLOOKUP($Q47,武学奇术!$A:$ZZ,22,FALSE)=1,0,(1-$BN47))*(1-$BQ47)</f>
        <v>0.01279011</v>
      </c>
      <c r="BV47" s="27" cm="1">
        <f t="array" ref="BV47">SUM(_xlfn.XLOOKUP($R47:$AK47,增益!$A:$A,增益!$W:$W,0))+$I$5</f>
        <v>0.11</v>
      </c>
    </row>
    <row r="48" spans="5:74">
      <c r="K48" s="40">
        <f t="shared" si="0"/>
        <v>84287.4142175223</v>
      </c>
      <c r="L48" s="40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BP48*$P48*(1+IF(VLOOKUP($Q48,武学奇术!$A:$ZZ,30,FALSE)="蓄力技",$B$21,0))*(1+$BV48)</f>
        <v>87382.3561809691</v>
      </c>
      <c r="M48" s="40">
        <f>(($AT48*$AM48+$AN48)*(1+$AU48)*(1+$AV48)+($AY48*IF($G$1="鸣金",$AO48,$AM48)+IF($G$1="鸣金",$AP48*1.5,0))*(1+$AZ48)*(1+$BA48)+($BC48*IF($G$1="裂石",$AO48,$AM48)+IF($G$1="裂石",$AP48*1.5,0))*(1+$BD48)*(1+$BE48)+($BG48*IF($G$1="牵丝",$AO48,$AM48)+IF($G$1="牵丝",$AP48*1.5,0))*(1+$BH48)*(1+$BI48)+($BK48*IF($G$1="破竹",$AO48,$AM48)+IF($G$1="破竹",$AP48*1.5,0))*(1+$BL48)*(1+$BM48))*(1+$AQ48)*$BR48*$P48*(1+IF(VLOOKUP($Q48,武学奇术!$A:$ZZ,30,FALSE)="蓄力技",$B$21,0))*(1+$BV48)</f>
        <v>67863.3221105638</v>
      </c>
      <c r="N48" s="40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P48*(1+IF(VLOOKUP($Q48,武学奇术!$A:$ZZ,30,FALSE)="蓄力技",$B$21,0))*(1+$BV48)</f>
        <v>44811.4647081893</v>
      </c>
      <c r="O48" s="40">
        <f>((($AS48*$AM48+$AN48)*(1+$AU48)*(1+$AV48)+($AX48*IF($G$1="鸣金",$AO48,$AM48)+IF($G$1="鸣金",$AP48*1.5,0))*(1+$AZ48)*(1+$BA48)+($BB48*IF($G$1="裂石",$AO48,$AM48)+IF($G$1="裂石",$AP48*1.5,0))*(1+$BD48)*(1+$BE48)+($BF48*IF($G$1="牵丝",$AO48,$AM48)+IF($G$1="牵丝",$AP48*1.5,0))*(1+$BH48)*(1+$BI48)+($BJ48*IF($G$1="破竹",$AO48,$AM48)+IF($G$1="破竹",$AP48*1.5,0))*(1+$BL48)*(1+$BM48))*(1+$AQ48))*$P48*(1+IF(VLOOKUP($Q48,武学奇术!$A:$ZZ,30,FALSE)="蓄力技",$B$21,0))*(1+$BV48)</f>
        <v>39353.8019270721</v>
      </c>
      <c r="P48" s="41">
        <v>1</v>
      </c>
      <c r="Q48" s="42" t="s">
        <v>164</v>
      </c>
      <c r="R48" s="42" t="s">
        <v>103</v>
      </c>
      <c r="S48" s="42" t="s">
        <v>77</v>
      </c>
      <c r="T48" s="42" t="s">
        <v>77</v>
      </c>
      <c r="U48" s="42" t="s">
        <v>87</v>
      </c>
      <c r="V48" s="42" t="s">
        <v>77</v>
      </c>
      <c r="W48" s="42" t="s">
        <v>77</v>
      </c>
      <c r="X48" s="42" t="s">
        <v>176</v>
      </c>
      <c r="Y48" s="42" t="s">
        <v>77</v>
      </c>
      <c r="Z48" s="42" t="s">
        <v>77</v>
      </c>
      <c r="AA48" s="42" t="s">
        <v>77</v>
      </c>
      <c r="AB48" s="42" t="s">
        <v>77</v>
      </c>
      <c r="AC48" s="42" t="s">
        <v>77</v>
      </c>
      <c r="AD48" s="42" t="s">
        <v>77</v>
      </c>
      <c r="AE48" s="42" t="s">
        <v>81</v>
      </c>
      <c r="AF48" s="42" t="s">
        <v>82</v>
      </c>
      <c r="AG48" s="42" t="s">
        <v>77</v>
      </c>
      <c r="AH48" s="42" t="s">
        <v>77</v>
      </c>
      <c r="AI48" s="42" t="s">
        <v>77</v>
      </c>
      <c r="AJ48" s="42" t="s">
        <v>77</v>
      </c>
      <c r="AK48" s="42" t="s">
        <v>77</v>
      </c>
      <c r="AL48" t="str">
        <f>VLOOKUP($Q48,武学奇术!$A:$ZZ,25,FALSE)</f>
        <v>横刀</v>
      </c>
      <c r="AM48" s="27">
        <f>VLOOKUP($Q48,武学奇术!$A:$ZZ,26,FALSE)</f>
        <v>3.7797</v>
      </c>
      <c r="AN48" s="28">
        <f>VLOOKUP($Q48,武学奇术!$A:$ZZ,27,FALSE)*(1+IF(OR($AL48=$F$4,$AL48=$F$5),$B$22,0))</f>
        <v>1567.5</v>
      </c>
      <c r="AO48" s="27">
        <f>VLOOKUP($Q48,武学奇术!$A:$ZZ,28,FALSE)</f>
        <v>5.6696</v>
      </c>
      <c r="AP48" s="28">
        <f>VLOOKUP($Q48,武学奇术!$A:$ZZ,29,FALSE)*(1+IF(OR($AL48=$F$4,$AL48=$F$5),$B$22,0))</f>
        <v>855</v>
      </c>
      <c r="AQ48" s="27" cm="1">
        <f t="array" ref="AQ48">$G$3+IFERROR(VLOOKUP($AL48,$F$4:$G$7,2,FALSE),0)+VLOOKUP($Q48,武学奇术!$A:$ZZ,2,FALSE)+SUM(_xlfn.XLOOKUP($R48:$AK48,增益!$A:$A,增益!$B:$B,0))</f>
        <v>0.3689</v>
      </c>
      <c r="AR48" s="27" cm="1">
        <f t="array" ref="AR48">VLOOKUP($Q48,武学奇术!$A:$ZZ,5,FALSE)+SUM(_xlfn.XLOOKUP($R48:$AK48,增益!$A:$A,增益!$E:$E,0))</f>
        <v>0</v>
      </c>
      <c r="AS48" cm="1">
        <f t="array" ref="AS48">$D$10*(1+$AR48)+VLOOKUP($Q48,武学奇术!$A:$ZZ,3,FALSE)+SUM(_xlfn.XLOOKUP($R48:$AK48,增益!$A:$A,增益!$C:$C,0))-$I$2</f>
        <v>3586.7</v>
      </c>
      <c r="AT48" cm="1">
        <f t="array" ref="AT48">$E$10*(1+$AR48)+VLOOKUP($Q48,武学奇术!$A:$ZZ,4,FALSE)+SUM(_xlfn.XLOOKUP($R48:$AK48,增益!$A:$A,增益!$D:$D,0))-$I$2</f>
        <v>3586.7</v>
      </c>
      <c r="AU48" s="34" cm="1">
        <f t="array" ref="AU48">IF($F$10-$I$3+VLOOKUP($Q48,武学奇术!$A:$ZZ,6,FALSE)+SUM(_xlfn.XLOOKUP($R48:$AK48,增益!$A:$A,增益!$F:$F,0))&gt;0,($F$10-$I$3+VLOOKUP($Q48,武学奇术!$A:$ZZ,6,FALSE)+SUM(_xlfn.XLOOKUP($R48:$AK48,增益!$A:$A,增益!$F:$F,0)))/200,($F$10-$I$3+VLOOKUP($Q48,武学奇术!$A:$ZZ,6,FALSE)+SUM(_xlfn.XLOOKUP($R48:$AK48,增益!$A:$A,增益!$F:$F,0)))/100)</f>
        <v>0.327</v>
      </c>
      <c r="AV48" s="34" cm="1">
        <f t="array" ref="AV48">$G$10+VLOOKUP($Q48,武学奇术!$A:$ZZ,7,FALSE)+SUM(_xlfn.XLOOKUP($R48:$AK48,增益!$A:$A,增益!$G:$G,0))</f>
        <v>0</v>
      </c>
      <c r="AW48" s="27" cm="1">
        <f t="array" ref="AW48">VLOOKUP($Q48,武学奇术!$A:$ZZ,8,FALSE)+SUM(_xlfn.XLOOKUP($R48:$AK48,增益!$A:$A,增益!$H:$H,0))</f>
        <v>0</v>
      </c>
      <c r="AX48">
        <f t="shared" si="1"/>
        <v>0</v>
      </c>
      <c r="AY48">
        <f t="shared" si="2"/>
        <v>0</v>
      </c>
      <c r="AZ48" s="34" cm="1">
        <f t="array" ref="AZ48">IF($F$11-$I$4+VLOOKUP($Q48,武学奇术!$A:$ZZ,9,FALSE)+SUM(_xlfn.XLOOKUP($R48:$AK48,增益!$A:$A,增益!$I:$I,0))&gt;0,($F$11-$I$4+VLOOKUP($Q48,武学奇术!$A:$ZZ,9,FALSE)+SUM(_xlfn.XLOOKUP($R48:$AK48,增益!$A:$A,增益!$I:$I,0)))/200,($F$11-$I$4+VLOOKUP($Q48,武学奇术!$A:$ZZ,9,FALSE)+SUM(_xlfn.XLOOKUP($R48:$AK48,增益!$A:$A,增益!$I:$I,0)))/100)</f>
        <v>-0.3</v>
      </c>
      <c r="BA48" s="34" cm="1">
        <f t="array" ref="BA48">$G$11+VLOOKUP($Q48,武学奇术!$A:$ZZ,10,FALSE)+SUM(_xlfn.XLOOKUP($R48:$AK48,增益!$A:$A,增益!$J:$J,0))</f>
        <v>0</v>
      </c>
      <c r="BB48">
        <f t="shared" si="3"/>
        <v>594.1</v>
      </c>
      <c r="BC48">
        <f t="shared" si="4"/>
        <v>1604.9</v>
      </c>
      <c r="BD48" s="34" cm="1">
        <f t="array" ref="BD48">IF($F$12-$I$4+VLOOKUP($Q48,武学奇术!$A:$ZZ,11,FALSE)+SUM(_xlfn.XLOOKUP($R48:$AK48,增益!$A:$A,增益!$K:$K,0))&gt;0,($F$12-$I$4+VLOOKUP($Q48,武学奇术!$A:$ZZ,11,FALSE)+SUM(_xlfn.XLOOKUP($R48:$AK48,增益!$A:$A,增益!$K:$K,0)))/200,($F$12-$I$4+VLOOKUP($Q48,武学奇术!$A:$ZZ,11,FALSE)+SUM(_xlfn.XLOOKUP($R48:$AK48,增益!$A:$A,增益!$K:$K,0)))/100)</f>
        <v>0.09</v>
      </c>
      <c r="BE48" s="34" cm="1">
        <f t="array" ref="BE48">$G$12+VLOOKUP($Q48,武学奇术!$A:$ZZ,12,FALSE)+SUM(_xlfn.XLOOKUP($R48:$AK48,增益!$A:$A,增益!$L:$L,0))</f>
        <v>0.15</v>
      </c>
      <c r="BF48">
        <f t="shared" si="5"/>
        <v>0</v>
      </c>
      <c r="BG48">
        <f t="shared" si="6"/>
        <v>0</v>
      </c>
      <c r="BH48" s="34" cm="1">
        <f t="array" ref="BH48">IF($F$13-$I$4+VLOOKUP($Q48,武学奇术!$A:$ZZ,13,FALSE)+SUM(_xlfn.XLOOKUP($R48:$AK48,增益!$A:$A,增益!$M:$M,0))&gt;0,($F$13-$I$4+VLOOKUP($Q48,武学奇术!$A:$ZZ,13,FALSE)+SUM(_xlfn.XLOOKUP($R48:$AK48,增益!$A:$A,增益!$K:$K,0)))/200,($F$13-$I$4+VLOOKUP($Q48,武学奇术!$A:$ZZ,13,FALSE)+SUM(_xlfn.XLOOKUP($R48:$AK48,增益!$A:$A,增益!$M:$M,0)))/100)</f>
        <v>-0.3</v>
      </c>
      <c r="BI48" s="34" cm="1">
        <f t="array" ref="BI48">$G$13+VLOOKUP($Q48,武学奇术!$A:$ZZ,14,FALSE)+SUM(_xlfn.XLOOKUP($R48:$AK48,增益!$A:$A,增益!$N:$N,0))</f>
        <v>0</v>
      </c>
      <c r="BJ48">
        <f t="shared" si="7"/>
        <v>0</v>
      </c>
      <c r="BK48">
        <f t="shared" si="8"/>
        <v>0</v>
      </c>
      <c r="BL48" s="34" cm="1">
        <f t="array" ref="BL48">IF($F$14-$I$4+VLOOKUP($Q48,武学奇术!$A:$ZZ,15,FALSE)+SUM(_xlfn.XLOOKUP($R48:$AK48,增益!$A:$A,增益!$O:$O,0))&gt;0,($F$14-$I$4+VLOOKUP($Q48,武学奇术!$A:$ZZ,15,FALSE)+SUM(_xlfn.XLOOKUP($R48:$AK48,增益!$A:$A,增益!$O:$O,0)))/200,($F$14-$I$4+VLOOKUP($Q48,武学奇术!$A:$ZZ,15,FALSE)+SUM(_xlfn.XLOOKUP($R48:$AK48,增益!$A:$A,增益!$O:$O,0)))/100)</f>
        <v>-0.3</v>
      </c>
      <c r="BM48" s="34" cm="1">
        <f t="array" ref="BM48">$G$14+VLOOKUP($Q48,武学奇术!$A:$ZZ,16,FALSE)+SUM(_xlfn.XLOOKUP($R48:$AK48,增益!$A:$A,增益!$P:$P,0))</f>
        <v>0</v>
      </c>
      <c r="BN48" s="27">
        <f>MIN(IF(VLOOKUP($Q48,武学奇术!$A:$ZZ,23,FALSE)=1,100%,$B$8),100%)</f>
        <v>0.9859</v>
      </c>
      <c r="BO48" s="27" cm="1">
        <f t="array" ref="BO48">IF(VLOOKUP($Q48,武学奇术!$A:$ZZ,23,FALSE)=1,100%,MIN(80%,$B$9+VLOOKUP($Q48,武学奇术!$A:$ZZ,17,FALSE)+SUM(_xlfn.XLOOKUP($R48:$AK48,增益!$A:$A,增益!$Q:$Q,0)))+$B$11+SUM(_xlfn.XLOOKUP($R48:$AK48,增益!$A:$A,增益!$U:$U,0)))*IF(VLOOKUP($Q48,武学奇术!$A:$ZZ,24,FALSE)=1,0,1)</f>
        <v>0.8912</v>
      </c>
      <c r="BP48" s="27" cm="1">
        <f t="array" ref="BP48">1+$B$13+VLOOKUP($Q48,武学奇术!$A:$ZZ,18,FALSE)+SUM(_xlfn.XLOOKUP($R48:$AK48,增益!$A:$A,增益!$R:$R,0))</f>
        <v>1.95</v>
      </c>
      <c r="BQ48" s="27" cm="1">
        <f t="array" ref="BQ48">IF(VLOOKUP($Q48,武学奇术!$A:$ZZ,24,FALSE)=1,100%,MIN(40%,$B$10+VLOOKUP($Q48,武学奇术!$A:$ZZ,19,FALSE)+SUM(_xlfn.XLOOKUP($R48:$AK48,增益!$A:$A,增益!$S:$S,0)))+$B$12+SUM(_xlfn.XLOOKUP($R48:$AK48,增益!$A:$A,增益!$V:$V,0)))*IF(VLOOKUP($Q48,武学奇术!$A:$ZZ,23,FALSE)=1,0,1)</f>
        <v>0.0929</v>
      </c>
      <c r="BR48" s="27" cm="1">
        <f t="array" ref="BR48">1+$B$14+VLOOKUP($Q48,武学奇术!$A:$ZZ,20,FALSE)+SUM(_xlfn.XLOOKUP($R48:$AK48,增益!$A:$A,增益!$T:$T,0))</f>
        <v>1.35</v>
      </c>
      <c r="BS48" s="27">
        <f t="shared" si="9"/>
        <v>0.87863408</v>
      </c>
      <c r="BT48" s="27">
        <f t="shared" si="10"/>
        <v>0.01567581</v>
      </c>
      <c r="BU48" s="27">
        <f>IF(VLOOKUP($Q48,武学奇术!$A:$ZZ,22,FALSE)=1,0,(1-$BN48))*(1-$BQ48)</f>
        <v>0.01279011</v>
      </c>
      <c r="BV48" s="27" cm="1">
        <f t="array" ref="BV48">SUM(_xlfn.XLOOKUP($R48:$AK48,增益!$A:$A,增益!$W:$W,0))+$I$5</f>
        <v>0.11</v>
      </c>
    </row>
    <row r="49" spans="4:74">
      <c r="K49" s="40">
        <f t="shared" si="0"/>
        <v>56489.8268558238</v>
      </c>
      <c r="L49" s="40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BP49*$P49*(1+IF(VLOOKUP($Q49,武学奇术!$A:$ZZ,30,FALSE)="蓄力技",$B$21,0))*(1+$BV49)</f>
        <v>58700.1683267876</v>
      </c>
      <c r="M49" s="40">
        <f>(($AT49*$AM49+$AN49)*(1+$AU49)*(1+$AV49)+($AY49*IF($G$1="鸣金",$AO49,$AM49)+IF($G$1="鸣金",$AP49*1.5,0))*(1+$AZ49)*(1+$BA49)+($BC49*IF($G$1="裂石",$AO49,$AM49)+IF($G$1="裂石",$AP49*1.5,0))*(1+$BD49)*(1+$BE49)+($BG49*IF($G$1="牵丝",$AO49,$AM49)+IF($G$1="牵丝",$AP49*1.5,0))*(1+$BH49)*(1+$BI49)+($BK49*IF($G$1="破竹",$AO49,$AM49)+IF($G$1="破竹",$AP49*1.5,0))*(1+$BL49)*(1+$BM49))*(1+$AQ49)*$BR49*$P49*(1+IF(VLOOKUP($Q49,武学奇术!$A:$ZZ,30,FALSE)="蓄力技",$B$21,0))*(1+$BV49)</f>
        <v>44386.6110566028</v>
      </c>
      <c r="N49" s="40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P49*(1+IF(VLOOKUP($Q49,武学奇术!$A:$ZZ,30,FALSE)="蓄力技",$B$21,0))*(1+$BV49)</f>
        <v>29350.0841633938</v>
      </c>
      <c r="O49" s="40">
        <f>((($AS49*$AM49+$AN49)*(1+$AU49)*(1+$AV49)+($AX49*IF($G$1="鸣金",$AO49,$AM49)+IF($G$1="鸣金",$AP49*1.5,0))*(1+$AZ49)*(1+$BA49)+($BB49*IF($G$1="裂石",$AO49,$AM49)+IF($G$1="裂石",$AP49*1.5,0))*(1+$BD49)*(1+$BE49)+($BF49*IF($G$1="牵丝",$AO49,$AM49)+IF($G$1="牵丝",$AP49*1.5,0))*(1+$BH49)*(1+$BI49)+($BJ49*IF($G$1="破竹",$AO49,$AM49)+IF($G$1="破竹",$AP49*1.5,0))*(1+$BL49)*(1+$BM49))*(1+$AQ49))*$P49*(1+IF(VLOOKUP($Q49,武学奇术!$A:$ZZ,30,FALSE)="蓄力技",$B$21,0))*(1+$BV49)</f>
        <v>25821.1971737485</v>
      </c>
      <c r="P49" s="41">
        <v>1</v>
      </c>
      <c r="Q49" s="42" t="s">
        <v>106</v>
      </c>
      <c r="R49" s="42" t="s">
        <v>103</v>
      </c>
      <c r="S49" s="42" t="s">
        <v>169</v>
      </c>
      <c r="T49" s="42" t="s">
        <v>77</v>
      </c>
      <c r="U49" s="42" t="s">
        <v>121</v>
      </c>
      <c r="V49" s="42" t="s">
        <v>77</v>
      </c>
      <c r="W49" s="42" t="s">
        <v>77</v>
      </c>
      <c r="X49" s="42" t="s">
        <v>176</v>
      </c>
      <c r="Y49" s="42" t="s">
        <v>77</v>
      </c>
      <c r="Z49" s="42" t="s">
        <v>77</v>
      </c>
      <c r="AA49" s="42" t="s">
        <v>73</v>
      </c>
      <c r="AB49" s="42" t="s">
        <v>77</v>
      </c>
      <c r="AC49" s="42" t="s">
        <v>77</v>
      </c>
      <c r="AD49" s="42" t="s">
        <v>77</v>
      </c>
      <c r="AE49" s="42" t="s">
        <v>81</v>
      </c>
      <c r="AF49" s="42" t="s">
        <v>82</v>
      </c>
      <c r="AG49" s="42" t="s">
        <v>77</v>
      </c>
      <c r="AH49" s="42" t="s">
        <v>77</v>
      </c>
      <c r="AI49" s="42" t="s">
        <v>77</v>
      </c>
      <c r="AJ49" s="42" t="s">
        <v>77</v>
      </c>
      <c r="AK49" s="42" t="s">
        <v>77</v>
      </c>
      <c r="AL49" t="str">
        <f>VLOOKUP($Q49,武学奇术!$A:$ZZ,25,FALSE)</f>
        <v>横刀</v>
      </c>
      <c r="AM49" s="27">
        <f>VLOOKUP($Q49,武学奇术!$A:$ZZ,26,FALSE)</f>
        <v>2.1324</v>
      </c>
      <c r="AN49" s="28">
        <f>VLOOKUP($Q49,武学奇术!$A:$ZZ,27,FALSE)*(1+IF(OR($AL49=$F$4,$AL49=$F$5),$B$22,0))</f>
        <v>885</v>
      </c>
      <c r="AO49" s="27">
        <f>VLOOKUP($Q49,武学奇术!$A:$ZZ,28,FALSE)</f>
        <v>3.1986</v>
      </c>
      <c r="AP49" s="28">
        <f>VLOOKUP($Q49,武学奇术!$A:$ZZ,29,FALSE)*(1+IF(OR($AL49=$F$4,$AL49=$F$5),$B$22,0))</f>
        <v>483</v>
      </c>
      <c r="AQ49" s="27" cm="1">
        <f t="array" ref="AQ49">$G$3+IFERROR(VLOOKUP($AL49,$F$4:$G$7,2,FALSE),0)+VLOOKUP($Q49,武学奇术!$A:$ZZ,2,FALSE)+SUM(_xlfn.XLOOKUP($R49:$AK49,增益!$A:$A,增益!$B:$B,0))</f>
        <v>0.5689</v>
      </c>
      <c r="AR49" s="27" cm="1">
        <f t="array" ref="AR49">VLOOKUP($Q49,武学奇术!$A:$ZZ,5,FALSE)+SUM(_xlfn.XLOOKUP($R49:$AK49,增益!$A:$A,增益!$E:$E,0))</f>
        <v>0</v>
      </c>
      <c r="AS49" cm="1">
        <f t="array" ref="AS49">$D$10*(1+$AR49)+VLOOKUP($Q49,武学奇术!$A:$ZZ,3,FALSE)+SUM(_xlfn.XLOOKUP($R49:$AK49,增益!$A:$A,增益!$C:$C,0))-$I$2</f>
        <v>3586.7</v>
      </c>
      <c r="AT49" cm="1">
        <f t="array" ref="AT49">$E$10*(1+$AR49)+VLOOKUP($Q49,武学奇术!$A:$ZZ,4,FALSE)+SUM(_xlfn.XLOOKUP($R49:$AK49,增益!$A:$A,增益!$D:$D,0))-$I$2</f>
        <v>3586.7</v>
      </c>
      <c r="AU49" s="34" cm="1">
        <f t="array" ref="AU49">IF($F$10-$I$3+VLOOKUP($Q49,武学奇术!$A:$ZZ,6,FALSE)+SUM(_xlfn.XLOOKUP($R49:$AK49,增益!$A:$A,增益!$F:$F,0))&gt;0,($F$10-$I$3+VLOOKUP($Q49,武学奇术!$A:$ZZ,6,FALSE)+SUM(_xlfn.XLOOKUP($R49:$AK49,增益!$A:$A,增益!$F:$F,0)))/200,($F$10-$I$3+VLOOKUP($Q49,武学奇术!$A:$ZZ,6,FALSE)+SUM(_xlfn.XLOOKUP($R49:$AK49,增益!$A:$A,增益!$F:$F,0)))/100)</f>
        <v>0.352</v>
      </c>
      <c r="AV49" s="34" cm="1">
        <f t="array" ref="AV49">$G$10+VLOOKUP($Q49,武学奇术!$A:$ZZ,7,FALSE)+SUM(_xlfn.XLOOKUP($R49:$AK49,增益!$A:$A,增益!$G:$G,0))</f>
        <v>0</v>
      </c>
      <c r="AW49" s="27" cm="1">
        <f t="array" ref="AW49">VLOOKUP($Q49,武学奇术!$A:$ZZ,8,FALSE)+SUM(_xlfn.XLOOKUP($R49:$AK49,增益!$A:$A,增益!$H:$H,0))</f>
        <v>0</v>
      </c>
      <c r="AX49">
        <f t="shared" si="1"/>
        <v>0</v>
      </c>
      <c r="AY49">
        <f t="shared" si="2"/>
        <v>0</v>
      </c>
      <c r="AZ49" s="34" cm="1">
        <f t="array" ref="AZ49">IF($F$11-$I$4+VLOOKUP($Q49,武学奇术!$A:$ZZ,9,FALSE)+SUM(_xlfn.XLOOKUP($R49:$AK49,增益!$A:$A,增益!$I:$I,0))&gt;0,($F$11-$I$4+VLOOKUP($Q49,武学奇术!$A:$ZZ,9,FALSE)+SUM(_xlfn.XLOOKUP($R49:$AK49,增益!$A:$A,增益!$I:$I,0)))/200,($F$11-$I$4+VLOOKUP($Q49,武学奇术!$A:$ZZ,9,FALSE)+SUM(_xlfn.XLOOKUP($R49:$AK49,增益!$A:$A,增益!$I:$I,0)))/100)</f>
        <v>-0.3</v>
      </c>
      <c r="BA49" s="34" cm="1">
        <f t="array" ref="BA49">$G$11+VLOOKUP($Q49,武学奇术!$A:$ZZ,10,FALSE)+SUM(_xlfn.XLOOKUP($R49:$AK49,增益!$A:$A,增益!$J:$J,0))</f>
        <v>0</v>
      </c>
      <c r="BB49">
        <f t="shared" si="3"/>
        <v>594.1</v>
      </c>
      <c r="BC49">
        <f t="shared" si="4"/>
        <v>1604.9</v>
      </c>
      <c r="BD49" s="34" cm="1">
        <f t="array" ref="BD49">IF($F$12-$I$4+VLOOKUP($Q49,武学奇术!$A:$ZZ,11,FALSE)+SUM(_xlfn.XLOOKUP($R49:$AK49,增益!$A:$A,增益!$K:$K,0))&gt;0,($F$12-$I$4+VLOOKUP($Q49,武学奇术!$A:$ZZ,11,FALSE)+SUM(_xlfn.XLOOKUP($R49:$AK49,增益!$A:$A,增益!$K:$K,0)))/200,($F$12-$I$4+VLOOKUP($Q49,武学奇术!$A:$ZZ,11,FALSE)+SUM(_xlfn.XLOOKUP($R49:$AK49,增益!$A:$A,增益!$K:$K,0)))/100)</f>
        <v>0.09</v>
      </c>
      <c r="BE49" s="34" cm="1">
        <f t="array" ref="BE49">$G$12+VLOOKUP($Q49,武学奇术!$A:$ZZ,12,FALSE)+SUM(_xlfn.XLOOKUP($R49:$AK49,增益!$A:$A,增益!$L:$L,0))</f>
        <v>0.15</v>
      </c>
      <c r="BF49">
        <f t="shared" si="5"/>
        <v>0</v>
      </c>
      <c r="BG49">
        <f t="shared" si="6"/>
        <v>0</v>
      </c>
      <c r="BH49" s="34" cm="1">
        <f t="array" ref="BH49">IF($F$13-$I$4+VLOOKUP($Q49,武学奇术!$A:$ZZ,13,FALSE)+SUM(_xlfn.XLOOKUP($R49:$AK49,增益!$A:$A,增益!$M:$M,0))&gt;0,($F$13-$I$4+VLOOKUP($Q49,武学奇术!$A:$ZZ,13,FALSE)+SUM(_xlfn.XLOOKUP($R49:$AK49,增益!$A:$A,增益!$K:$K,0)))/200,($F$13-$I$4+VLOOKUP($Q49,武学奇术!$A:$ZZ,13,FALSE)+SUM(_xlfn.XLOOKUP($R49:$AK49,增益!$A:$A,增益!$M:$M,0)))/100)</f>
        <v>-0.3</v>
      </c>
      <c r="BI49" s="34" cm="1">
        <f t="array" ref="BI49">$G$13+VLOOKUP($Q49,武学奇术!$A:$ZZ,14,FALSE)+SUM(_xlfn.XLOOKUP($R49:$AK49,增益!$A:$A,增益!$N:$N,0))</f>
        <v>0</v>
      </c>
      <c r="BJ49">
        <f t="shared" si="7"/>
        <v>0</v>
      </c>
      <c r="BK49">
        <f t="shared" si="8"/>
        <v>0</v>
      </c>
      <c r="BL49" s="34" cm="1">
        <f t="array" ref="BL49">IF($F$14-$I$4+VLOOKUP($Q49,武学奇术!$A:$ZZ,15,FALSE)+SUM(_xlfn.XLOOKUP($R49:$AK49,增益!$A:$A,增益!$O:$O,0))&gt;0,($F$14-$I$4+VLOOKUP($Q49,武学奇术!$A:$ZZ,15,FALSE)+SUM(_xlfn.XLOOKUP($R49:$AK49,增益!$A:$A,增益!$O:$O,0)))/200,($F$14-$I$4+VLOOKUP($Q49,武学奇术!$A:$ZZ,15,FALSE)+SUM(_xlfn.XLOOKUP($R49:$AK49,增益!$A:$A,增益!$O:$O,0)))/100)</f>
        <v>-0.3</v>
      </c>
      <c r="BM49" s="34" cm="1">
        <f t="array" ref="BM49">$G$14+VLOOKUP($Q49,武学奇术!$A:$ZZ,16,FALSE)+SUM(_xlfn.XLOOKUP($R49:$AK49,增益!$A:$A,增益!$P:$P,0))</f>
        <v>0</v>
      </c>
      <c r="BN49" s="27">
        <f>MIN(IF(VLOOKUP($Q49,武学奇术!$A:$ZZ,23,FALSE)=1,100%,$B$8),100%)</f>
        <v>0.9859</v>
      </c>
      <c r="BO49" s="27" cm="1">
        <f t="array" ref="BO49">IF(VLOOKUP($Q49,武学奇术!$A:$ZZ,23,FALSE)=1,100%,MIN(80%,$B$9+VLOOKUP($Q49,武学奇术!$A:$ZZ,17,FALSE)+SUM(_xlfn.XLOOKUP($R49:$AK49,增益!$A:$A,增益!$Q:$Q,0)))+$B$11+SUM(_xlfn.XLOOKUP($R49:$AK49,增益!$A:$A,增益!$U:$U,0)))*IF(VLOOKUP($Q49,武学奇术!$A:$ZZ,24,FALSE)=1,0,1)</f>
        <v>0.8912</v>
      </c>
      <c r="BP49" s="27" cm="1">
        <f t="array" ref="BP49">1+$B$13+VLOOKUP($Q49,武学奇术!$A:$ZZ,18,FALSE)+SUM(_xlfn.XLOOKUP($R49:$AK49,增益!$A:$A,增益!$R:$R,0))</f>
        <v>2</v>
      </c>
      <c r="BQ49" s="27" cm="1">
        <f t="array" ref="BQ49">IF(VLOOKUP($Q49,武学奇术!$A:$ZZ,24,FALSE)=1,100%,MIN(40%,$B$10+VLOOKUP($Q49,武学奇术!$A:$ZZ,19,FALSE)+SUM(_xlfn.XLOOKUP($R49:$AK49,增益!$A:$A,增益!$S:$S,0)))+$B$12+SUM(_xlfn.XLOOKUP($R49:$AK49,增益!$A:$A,增益!$V:$V,0)))*IF(VLOOKUP($Q49,武学奇术!$A:$ZZ,23,FALSE)=1,0,1)</f>
        <v>0.0929</v>
      </c>
      <c r="BR49" s="27" cm="1">
        <f t="array" ref="BR49">1+$B$14+VLOOKUP($Q49,武学奇术!$A:$ZZ,20,FALSE)+SUM(_xlfn.XLOOKUP($R49:$AK49,增益!$A:$A,增益!$T:$T,0))</f>
        <v>1.35</v>
      </c>
      <c r="BS49" s="27">
        <f t="shared" si="9"/>
        <v>0.87863408</v>
      </c>
      <c r="BT49" s="27">
        <f t="shared" si="10"/>
        <v>0.01567581</v>
      </c>
      <c r="BU49" s="27">
        <f>IF(VLOOKUP($Q49,武学奇术!$A:$ZZ,22,FALSE)=1,0,(1-$BN49))*(1-$BQ49)</f>
        <v>0.01279011</v>
      </c>
      <c r="BV49" s="27" cm="1">
        <f t="array" ref="BV49">SUM(_xlfn.XLOOKUP($R49:$AK49,增益!$A:$A,增益!$W:$W,0))+$I$5</f>
        <v>0.11</v>
      </c>
    </row>
    <row r="50" spans="4:74">
      <c r="K50" s="40">
        <f t="shared" si="0"/>
        <v>34908.5362352953</v>
      </c>
      <c r="L50" s="40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BP50*$P50*(1+IF(VLOOKUP($Q50,武学奇术!$A:$ZZ,30,FALSE)="蓄力技",$B$21,0))*(1+$BV50)</f>
        <v>36223.4103687756</v>
      </c>
      <c r="M50" s="40">
        <f>(($AT50*$AM50+$AN50)*(1+$AU50)*(1+$AV50)+($AY50*IF($G$1="鸣金",$AO50,$AM50)+IF($G$1="鸣金",$AP50*1.5,0))*(1+$AZ50)*(1+$BA50)+($BC50*IF($G$1="裂石",$AO50,$AM50)+IF($G$1="裂石",$AP50*1.5,0))*(1+$BD50)*(1+$BE50)+($BG50*IF($G$1="牵丝",$AO50,$AM50)+IF($G$1="牵丝",$AP50*1.5,0))*(1+$BH50)*(1+$BI50)+($BK50*IF($G$1="破竹",$AO50,$AM50)+IF($G$1="破竹",$AP50*1.5,0))*(1+$BL50)*(1+$BM50))*(1+$AQ50)*$BR50*$P50*(1+IF(VLOOKUP($Q50,武学奇术!$A:$ZZ,30,FALSE)="蓄力技",$B$21,0))*(1+$BV50)</f>
        <v>27979.2953199267</v>
      </c>
      <c r="N50" s="40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P50*(1+IF(VLOOKUP($Q50,武学奇术!$A:$ZZ,30,FALSE)="蓄力技",$B$21,0))*(1+$BV50)</f>
        <v>18111.7051843878</v>
      </c>
      <c r="O50" s="40">
        <f>((($AS50*$AM50+$AN50)*(1+$AU50)*(1+$AV50)+($AX50*IF($G$1="鸣金",$AO50,$AM50)+IF($G$1="鸣金",$AP50*1.5,0))*(1+$AZ50)*(1+$BA50)+($BB50*IF($G$1="裂石",$AO50,$AM50)+IF($G$1="裂石",$AP50*1.5,0))*(1+$BD50)*(1+$BE50)+($BF50*IF($G$1="牵丝",$AO50,$AM50)+IF($G$1="牵丝",$AP50*1.5,0))*(1+$BH50)*(1+$BI50)+($BJ50*IF($G$1="破竹",$AO50,$AM50)+IF($G$1="破竹",$AP50*1.5,0))*(1+$BL50)*(1+$BM50))*(1+$AQ50))*$P50*(1+IF(VLOOKUP($Q50,武学奇术!$A:$ZZ,30,FALSE)="蓄力技",$B$21,0))*(1+$BV50)</f>
        <v>15498.0064280892</v>
      </c>
      <c r="P50" s="41">
        <v>1</v>
      </c>
      <c r="Q50" s="42" t="s">
        <v>110</v>
      </c>
      <c r="R50" s="42" t="s">
        <v>103</v>
      </c>
      <c r="S50" s="42" t="s">
        <v>169</v>
      </c>
      <c r="T50" s="42" t="s">
        <v>86</v>
      </c>
      <c r="U50" s="42" t="s">
        <v>121</v>
      </c>
      <c r="V50" s="42" t="s">
        <v>77</v>
      </c>
      <c r="W50" s="42" t="s">
        <v>77</v>
      </c>
      <c r="X50" s="42" t="s">
        <v>176</v>
      </c>
      <c r="Y50" s="42" t="s">
        <v>77</v>
      </c>
      <c r="Z50" s="42" t="s">
        <v>77</v>
      </c>
      <c r="AA50" s="42" t="s">
        <v>73</v>
      </c>
      <c r="AB50" s="42" t="s">
        <v>77</v>
      </c>
      <c r="AC50" s="42" t="s">
        <v>77</v>
      </c>
      <c r="AD50" s="42" t="s">
        <v>77</v>
      </c>
      <c r="AE50" s="42" t="s">
        <v>81</v>
      </c>
      <c r="AF50" s="42" t="s">
        <v>82</v>
      </c>
      <c r="AG50" s="42" t="s">
        <v>77</v>
      </c>
      <c r="AH50" s="42" t="s">
        <v>77</v>
      </c>
      <c r="AI50" s="42" t="s">
        <v>77</v>
      </c>
      <c r="AJ50" s="42" t="s">
        <v>77</v>
      </c>
      <c r="AK50" s="42" t="s">
        <v>77</v>
      </c>
      <c r="AL50" t="str">
        <f>VLOOKUP($Q50,武学奇术!$A:$ZZ,25,FALSE)</f>
        <v>横刀</v>
      </c>
      <c r="AM50" s="27">
        <f>VLOOKUP($Q50,武学奇术!$A:$ZZ,26,FALSE)</f>
        <v>1.4</v>
      </c>
      <c r="AN50" s="28">
        <f>VLOOKUP($Q50,武学奇术!$A:$ZZ,27,FALSE)*(1+IF(OR($AL50=$F$4,$AL50=$F$5),$B$22,0))</f>
        <v>0</v>
      </c>
      <c r="AO50" s="27">
        <f>VLOOKUP($Q50,武学奇术!$A:$ZZ,28,FALSE)</f>
        <v>2.1</v>
      </c>
      <c r="AP50" s="28">
        <f>VLOOKUP($Q50,武学奇术!$A:$ZZ,29,FALSE)*(1+IF(OR($AL50=$F$4,$AL50=$F$5),$B$22,0))</f>
        <v>0</v>
      </c>
      <c r="AQ50" s="27" cm="1">
        <f t="array" ref="AQ50">$G$3+IFERROR(VLOOKUP($AL50,$F$4:$G$7,2,FALSE),0)+VLOOKUP($Q50,武学奇术!$A:$ZZ,2,FALSE)+SUM(_xlfn.XLOOKUP($R50:$AK50,增益!$A:$A,增益!$B:$B,0))</f>
        <v>0.6489</v>
      </c>
      <c r="AR50" s="27" cm="1">
        <f t="array" ref="AR50">VLOOKUP($Q50,武学奇术!$A:$ZZ,5,FALSE)+SUM(_xlfn.XLOOKUP($R50:$AK50,增益!$A:$A,增益!$E:$E,0))</f>
        <v>0</v>
      </c>
      <c r="AS50" cm="1">
        <f t="array" ref="AS50">$D$10*(1+$AR50)+VLOOKUP($Q50,武学奇术!$A:$ZZ,3,FALSE)+SUM(_xlfn.XLOOKUP($R50:$AK50,增益!$A:$A,增益!$C:$C,0))-$I$2</f>
        <v>3586.7</v>
      </c>
      <c r="AT50" cm="1">
        <f t="array" ref="AT50">$E$10*(1+$AR50)+VLOOKUP($Q50,武学奇术!$A:$ZZ,4,FALSE)+SUM(_xlfn.XLOOKUP($R50:$AK50,增益!$A:$A,增益!$D:$D,0))-$I$2</f>
        <v>3586.7</v>
      </c>
      <c r="AU50" s="34" cm="1">
        <f t="array" ref="AU50">IF($F$10-$I$3+VLOOKUP($Q50,武学奇术!$A:$ZZ,6,FALSE)+SUM(_xlfn.XLOOKUP($R50:$AK50,增益!$A:$A,增益!$F:$F,0))&gt;0,($F$10-$I$3+VLOOKUP($Q50,武学奇术!$A:$ZZ,6,FALSE)+SUM(_xlfn.XLOOKUP($R50:$AK50,增益!$A:$A,增益!$F:$F,0)))/200,($F$10-$I$3+VLOOKUP($Q50,武学奇术!$A:$ZZ,6,FALSE)+SUM(_xlfn.XLOOKUP($R50:$AK50,增益!$A:$A,增益!$F:$F,0)))/100)</f>
        <v>0.352</v>
      </c>
      <c r="AV50" s="34" cm="1">
        <f t="array" ref="AV50">$G$10+VLOOKUP($Q50,武学奇术!$A:$ZZ,7,FALSE)+SUM(_xlfn.XLOOKUP($R50:$AK50,增益!$A:$A,增益!$G:$G,0))</f>
        <v>0</v>
      </c>
      <c r="AW50" s="27" cm="1">
        <f t="array" ref="AW50">VLOOKUP($Q50,武学奇术!$A:$ZZ,8,FALSE)+SUM(_xlfn.XLOOKUP($R50:$AK50,增益!$A:$A,增益!$H:$H,0))</f>
        <v>0</v>
      </c>
      <c r="AX50">
        <f t="shared" si="1"/>
        <v>0</v>
      </c>
      <c r="AY50">
        <f t="shared" si="2"/>
        <v>0</v>
      </c>
      <c r="AZ50" s="34" cm="1">
        <f t="array" ref="AZ50">IF($F$11-$I$4+VLOOKUP($Q50,武学奇术!$A:$ZZ,9,FALSE)+SUM(_xlfn.XLOOKUP($R50:$AK50,增益!$A:$A,增益!$I:$I,0))&gt;0,($F$11-$I$4+VLOOKUP($Q50,武学奇术!$A:$ZZ,9,FALSE)+SUM(_xlfn.XLOOKUP($R50:$AK50,增益!$A:$A,增益!$I:$I,0)))/200,($F$11-$I$4+VLOOKUP($Q50,武学奇术!$A:$ZZ,9,FALSE)+SUM(_xlfn.XLOOKUP($R50:$AK50,增益!$A:$A,增益!$I:$I,0)))/100)</f>
        <v>-0.14</v>
      </c>
      <c r="BA50" s="34" cm="1">
        <f t="array" ref="BA50">$G$11+VLOOKUP($Q50,武学奇术!$A:$ZZ,10,FALSE)+SUM(_xlfn.XLOOKUP($R50:$AK50,增益!$A:$A,增益!$J:$J,0))</f>
        <v>0</v>
      </c>
      <c r="BB50">
        <f t="shared" si="3"/>
        <v>594.1</v>
      </c>
      <c r="BC50">
        <f t="shared" si="4"/>
        <v>1604.9</v>
      </c>
      <c r="BD50" s="34" cm="1">
        <f t="array" ref="BD50">IF($F$12-$I$4+VLOOKUP($Q50,武学奇术!$A:$ZZ,11,FALSE)+SUM(_xlfn.XLOOKUP($R50:$AK50,增益!$A:$A,增益!$K:$K,0))&gt;0,($F$12-$I$4+VLOOKUP($Q50,武学奇术!$A:$ZZ,11,FALSE)+SUM(_xlfn.XLOOKUP($R50:$AK50,增益!$A:$A,增益!$K:$K,0)))/200,($F$12-$I$4+VLOOKUP($Q50,武学奇术!$A:$ZZ,11,FALSE)+SUM(_xlfn.XLOOKUP($R50:$AK50,增益!$A:$A,增益!$K:$K,0)))/100)</f>
        <v>0.17</v>
      </c>
      <c r="BE50" s="34" cm="1">
        <f t="array" ref="BE50">$G$12+VLOOKUP($Q50,武学奇术!$A:$ZZ,12,FALSE)+SUM(_xlfn.XLOOKUP($R50:$AK50,增益!$A:$A,增益!$L:$L,0))</f>
        <v>0.15</v>
      </c>
      <c r="BF50">
        <f t="shared" si="5"/>
        <v>0</v>
      </c>
      <c r="BG50">
        <f t="shared" si="6"/>
        <v>0</v>
      </c>
      <c r="BH50" s="34" cm="1">
        <f t="array" ref="BH50">IF($F$13-$I$4+VLOOKUP($Q50,武学奇术!$A:$ZZ,13,FALSE)+SUM(_xlfn.XLOOKUP($R50:$AK50,增益!$A:$A,增益!$M:$M,0))&gt;0,($F$13-$I$4+VLOOKUP($Q50,武学奇术!$A:$ZZ,13,FALSE)+SUM(_xlfn.XLOOKUP($R50:$AK50,增益!$A:$A,增益!$K:$K,0)))/200,($F$13-$I$4+VLOOKUP($Q50,武学奇术!$A:$ZZ,13,FALSE)+SUM(_xlfn.XLOOKUP($R50:$AK50,增益!$A:$A,增益!$M:$M,0)))/100)</f>
        <v>-0.14</v>
      </c>
      <c r="BI50" s="34" cm="1">
        <f t="array" ref="BI50">$G$13+VLOOKUP($Q50,武学奇术!$A:$ZZ,14,FALSE)+SUM(_xlfn.XLOOKUP($R50:$AK50,增益!$A:$A,增益!$N:$N,0))</f>
        <v>0</v>
      </c>
      <c r="BJ50">
        <f t="shared" si="7"/>
        <v>0</v>
      </c>
      <c r="BK50">
        <f t="shared" si="8"/>
        <v>0</v>
      </c>
      <c r="BL50" s="34" cm="1">
        <f t="array" ref="BL50">IF($F$14-$I$4+VLOOKUP($Q50,武学奇术!$A:$ZZ,15,FALSE)+SUM(_xlfn.XLOOKUP($R50:$AK50,增益!$A:$A,增益!$O:$O,0))&gt;0,($F$14-$I$4+VLOOKUP($Q50,武学奇术!$A:$ZZ,15,FALSE)+SUM(_xlfn.XLOOKUP($R50:$AK50,增益!$A:$A,增益!$O:$O,0)))/200,($F$14-$I$4+VLOOKUP($Q50,武学奇术!$A:$ZZ,15,FALSE)+SUM(_xlfn.XLOOKUP($R50:$AK50,增益!$A:$A,增益!$O:$O,0)))/100)</f>
        <v>-0.14</v>
      </c>
      <c r="BM50" s="34" cm="1">
        <f t="array" ref="BM50">$G$14+VLOOKUP($Q50,武学奇术!$A:$ZZ,16,FALSE)+SUM(_xlfn.XLOOKUP($R50:$AK50,增益!$A:$A,增益!$P:$P,0))</f>
        <v>0</v>
      </c>
      <c r="BN50" s="27">
        <f>MIN(IF(VLOOKUP($Q50,武学奇术!$A:$ZZ,23,FALSE)=1,100%,$B$8),100%)</f>
        <v>0.9859</v>
      </c>
      <c r="BO50" s="27" cm="1">
        <f t="array" ref="BO50">IF(VLOOKUP($Q50,武学奇术!$A:$ZZ,23,FALSE)=1,100%,MIN(80%,$B$9+VLOOKUP($Q50,武学奇术!$A:$ZZ,17,FALSE)+SUM(_xlfn.XLOOKUP($R50:$AK50,增益!$A:$A,增益!$Q:$Q,0)))+$B$11+SUM(_xlfn.XLOOKUP($R50:$AK50,增益!$A:$A,增益!$U:$U,0)))*IF(VLOOKUP($Q50,武学奇术!$A:$ZZ,24,FALSE)=1,0,1)</f>
        <v>0.8912</v>
      </c>
      <c r="BP50" s="27" cm="1">
        <f t="array" ref="BP50">1+$B$13+VLOOKUP($Q50,武学奇术!$A:$ZZ,18,FALSE)+SUM(_xlfn.XLOOKUP($R50:$AK50,增益!$A:$A,增益!$R:$R,0))</f>
        <v>2</v>
      </c>
      <c r="BQ50" s="27" cm="1">
        <f t="array" ref="BQ50">IF(VLOOKUP($Q50,武学奇术!$A:$ZZ,24,FALSE)=1,100%,MIN(40%,$B$10+VLOOKUP($Q50,武学奇术!$A:$ZZ,19,FALSE)+SUM(_xlfn.XLOOKUP($R50:$AK50,增益!$A:$A,增益!$S:$S,0)))+$B$12+SUM(_xlfn.XLOOKUP($R50:$AK50,增益!$A:$A,增益!$V:$V,0)))*IF(VLOOKUP($Q50,武学奇术!$A:$ZZ,23,FALSE)=1,0,1)</f>
        <v>0.0929</v>
      </c>
      <c r="BR50" s="27" cm="1">
        <f t="array" ref="BR50">1+$B$14+VLOOKUP($Q50,武学奇术!$A:$ZZ,20,FALSE)+SUM(_xlfn.XLOOKUP($R50:$AK50,增益!$A:$A,增益!$T:$T,0))</f>
        <v>1.35</v>
      </c>
      <c r="BS50" s="27">
        <f t="shared" si="9"/>
        <v>0.87863408</v>
      </c>
      <c r="BT50" s="27">
        <f t="shared" si="10"/>
        <v>0.01567581</v>
      </c>
      <c r="BU50" s="27">
        <f>IF(VLOOKUP($Q50,武学奇术!$A:$ZZ,22,FALSE)=1,0,(1-$BN50))*(1-$BQ50)</f>
        <v>0.01279011</v>
      </c>
      <c r="BV50" s="27" cm="1">
        <f t="array" ref="BV50">SUM(_xlfn.XLOOKUP($R50:$AK50,增益!$A:$A,增益!$W:$W,0))+$I$5</f>
        <v>0.11</v>
      </c>
    </row>
    <row r="51" spans="4:74">
      <c r="K51" s="40">
        <f t="shared" si="0"/>
        <v>18866.4309409895</v>
      </c>
      <c r="L51" s="40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BP51*$P51*(1+IF(VLOOKUP($Q51,武学奇术!$A:$ZZ,30,FALSE)="蓄力技",$B$21,0))*(1+$BV51)</f>
        <v>19577.0589051124</v>
      </c>
      <c r="M51" s="40">
        <f>(($AT51*$AM51+$AN51)*(1+$AU51)*(1+$AV51)+($AY51*IF($G$1="鸣金",$AO51,$AM51)+IF($G$1="鸣金",$AP51*1.5,0))*(1+$AZ51)*(1+$BA51)+($BC51*IF($G$1="裂石",$AO51,$AM51)+IF($G$1="裂石",$AP51*1.5,0))*(1+$BD51)*(1+$BE51)+($BG51*IF($G$1="牵丝",$AO51,$AM51)+IF($G$1="牵丝",$AP51*1.5,0))*(1+$BH51)*(1+$BI51)+($BK51*IF($G$1="破竹",$AO51,$AM51)+IF($G$1="破竹",$AP51*1.5,0))*(1+$BL51)*(1+$BM51))*(1+$AQ51)*$BR51*$P51*(1+IF(VLOOKUP($Q51,武学奇术!$A:$ZZ,30,FALSE)="蓄力技",$B$21,0))*(1+$BV51)</f>
        <v>15121.5003508864</v>
      </c>
      <c r="N51" s="40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P51*(1+IF(VLOOKUP($Q51,武学奇术!$A:$ZZ,30,FALSE)="蓄力技",$B$21,0))*(1+$BV51)</f>
        <v>9788.52945255621</v>
      </c>
      <c r="O51" s="40">
        <f>((($AS51*$AM51+$AN51)*(1+$AU51)*(1+$AV51)+($AX51*IF($G$1="鸣金",$AO51,$AM51)+IF($G$1="鸣金",$AP51*1.5,0))*(1+$AZ51)*(1+$BA51)+($BB51*IF($G$1="裂石",$AO51,$AM51)+IF($G$1="裂石",$AP51*1.5,0))*(1+$BD51)*(1+$BE51)+($BF51*IF($G$1="牵丝",$AO51,$AM51)+IF($G$1="牵丝",$AP51*1.5,0))*(1+$BH51)*(1+$BI51)+($BJ51*IF($G$1="破竹",$AO51,$AM51)+IF($G$1="破竹",$AP51*1.5,0))*(1+$BL51)*(1+$BM51))*(1+$AQ51))*$P51*(1+IF(VLOOKUP($Q51,武学奇术!$A:$ZZ,30,FALSE)="蓄力技",$B$21,0))*(1+$BV51)</f>
        <v>8375.94753408549</v>
      </c>
      <c r="P51" s="41">
        <v>1</v>
      </c>
      <c r="Q51" s="42" t="s">
        <v>112</v>
      </c>
      <c r="R51" s="42" t="s">
        <v>103</v>
      </c>
      <c r="S51" s="42" t="s">
        <v>169</v>
      </c>
      <c r="T51" s="42" t="s">
        <v>86</v>
      </c>
      <c r="U51" s="42" t="s">
        <v>121</v>
      </c>
      <c r="V51" s="42" t="s">
        <v>77</v>
      </c>
      <c r="W51" s="42" t="s">
        <v>77</v>
      </c>
      <c r="X51" s="42" t="s">
        <v>176</v>
      </c>
      <c r="Y51" s="42" t="s">
        <v>186</v>
      </c>
      <c r="Z51" s="42" t="s">
        <v>77</v>
      </c>
      <c r="AA51" s="42" t="s">
        <v>73</v>
      </c>
      <c r="AB51" s="42" t="s">
        <v>77</v>
      </c>
      <c r="AC51" s="42" t="s">
        <v>77</v>
      </c>
      <c r="AD51" s="42" t="s">
        <v>77</v>
      </c>
      <c r="AE51" s="42" t="s">
        <v>81</v>
      </c>
      <c r="AF51" s="42" t="s">
        <v>82</v>
      </c>
      <c r="AG51" s="42" t="s">
        <v>77</v>
      </c>
      <c r="AH51" s="42" t="s">
        <v>77</v>
      </c>
      <c r="AI51" s="42" t="s">
        <v>77</v>
      </c>
      <c r="AJ51" s="42" t="s">
        <v>77</v>
      </c>
      <c r="AK51" s="42" t="s">
        <v>77</v>
      </c>
      <c r="AL51" t="str">
        <f>VLOOKUP($Q51,武学奇术!$A:$ZZ,25,FALSE)</f>
        <v>陌刀</v>
      </c>
      <c r="AM51" s="27">
        <f>VLOOKUP($Q51,武学奇术!$A:$ZZ,26,FALSE)</f>
        <v>0.5</v>
      </c>
      <c r="AN51" s="28">
        <f>VLOOKUP($Q51,武学奇术!$A:$ZZ,27,FALSE)*(1+IF(OR($AL51=$F$4,$AL51=$F$5),$B$22,0))</f>
        <v>0</v>
      </c>
      <c r="AO51" s="27">
        <f>VLOOKUP($Q51,武学奇术!$A:$ZZ,28,FALSE)</f>
        <v>0.75</v>
      </c>
      <c r="AP51" s="28">
        <f>VLOOKUP($Q51,武学奇术!$A:$ZZ,29,FALSE)*(1+IF(OR($AL51=$F$4,$AL51=$F$5),$B$22,0))</f>
        <v>0</v>
      </c>
      <c r="AQ51" s="27" cm="1">
        <f t="array" ref="AQ51">$G$3+IFERROR(VLOOKUP($AL51,$F$4:$G$7,2,FALSE),0)+VLOOKUP($Q51,武学奇术!$A:$ZZ,2,FALSE)+SUM(_xlfn.XLOOKUP($R51:$AK51,增益!$A:$A,增益!$B:$B,0))</f>
        <v>0.7341</v>
      </c>
      <c r="AR51" s="27" cm="1">
        <f t="array" ref="AR51">VLOOKUP($Q51,武学奇术!$A:$ZZ,5,FALSE)+SUM(_xlfn.XLOOKUP($R51:$AK51,增益!$A:$A,增益!$E:$E,0))</f>
        <v>0</v>
      </c>
      <c r="AS51" cm="1">
        <f t="array" ref="AS51">$D$10*(1+$AR51)+VLOOKUP($Q51,武学奇术!$A:$ZZ,3,FALSE)+SUM(_xlfn.XLOOKUP($R51:$AK51,增益!$A:$A,增益!$C:$C,0))-$I$2</f>
        <v>3586.7</v>
      </c>
      <c r="AT51" cm="1">
        <f t="array" ref="AT51">$E$10*(1+$AR51)+VLOOKUP($Q51,武学奇术!$A:$ZZ,4,FALSE)+SUM(_xlfn.XLOOKUP($R51:$AK51,增益!$A:$A,增益!$D:$D,0))-$I$2</f>
        <v>3586.7</v>
      </c>
      <c r="AU51" s="34" cm="1">
        <f t="array" ref="AU51">IF($F$10-$I$3+VLOOKUP($Q51,武学奇术!$A:$ZZ,6,FALSE)+SUM(_xlfn.XLOOKUP($R51:$AK51,增益!$A:$A,增益!$F:$F,0))&gt;0,($F$10-$I$3+VLOOKUP($Q51,武学奇术!$A:$ZZ,6,FALSE)+SUM(_xlfn.XLOOKUP($R51:$AK51,增益!$A:$A,增益!$F:$F,0)))/200,($F$10-$I$3+VLOOKUP($Q51,武学奇术!$A:$ZZ,6,FALSE)+SUM(_xlfn.XLOOKUP($R51:$AK51,增益!$A:$A,增益!$F:$F,0)))/100)</f>
        <v>0.352</v>
      </c>
      <c r="AV51" s="34" cm="1">
        <f t="array" ref="AV51">$G$10+VLOOKUP($Q51,武学奇术!$A:$ZZ,7,FALSE)+SUM(_xlfn.XLOOKUP($R51:$AK51,增益!$A:$A,增益!$G:$G,0))</f>
        <v>0</v>
      </c>
      <c r="AW51" s="27" cm="1">
        <f t="array" ref="AW51">VLOOKUP($Q51,武学奇术!$A:$ZZ,8,FALSE)+SUM(_xlfn.XLOOKUP($R51:$AK51,增益!$A:$A,增益!$H:$H,0))</f>
        <v>0</v>
      </c>
      <c r="AX51">
        <f t="shared" si="1"/>
        <v>0</v>
      </c>
      <c r="AY51">
        <f t="shared" si="2"/>
        <v>0</v>
      </c>
      <c r="AZ51" s="34" cm="1">
        <f t="array" ref="AZ51">IF($F$11-$I$4+VLOOKUP($Q51,武学奇术!$A:$ZZ,9,FALSE)+SUM(_xlfn.XLOOKUP($R51:$AK51,增益!$A:$A,增益!$I:$I,0))&gt;0,($F$11-$I$4+VLOOKUP($Q51,武学奇术!$A:$ZZ,9,FALSE)+SUM(_xlfn.XLOOKUP($R51:$AK51,增益!$A:$A,增益!$I:$I,0)))/200,($F$11-$I$4+VLOOKUP($Q51,武学奇术!$A:$ZZ,9,FALSE)+SUM(_xlfn.XLOOKUP($R51:$AK51,增益!$A:$A,增益!$I:$I,0)))/100)</f>
        <v>-0.14</v>
      </c>
      <c r="BA51" s="34" cm="1">
        <f t="array" ref="BA51">$G$11+VLOOKUP($Q51,武学奇术!$A:$ZZ,10,FALSE)+SUM(_xlfn.XLOOKUP($R51:$AK51,增益!$A:$A,增益!$J:$J,0))</f>
        <v>0</v>
      </c>
      <c r="BB51">
        <f t="shared" si="3"/>
        <v>594.1</v>
      </c>
      <c r="BC51">
        <f t="shared" si="4"/>
        <v>1604.9</v>
      </c>
      <c r="BD51" s="34" cm="1">
        <f t="array" ref="BD51">IF($F$12-$I$4+VLOOKUP($Q51,武学奇术!$A:$ZZ,11,FALSE)+SUM(_xlfn.XLOOKUP($R51:$AK51,增益!$A:$A,增益!$K:$K,0))&gt;0,($F$12-$I$4+VLOOKUP($Q51,武学奇术!$A:$ZZ,11,FALSE)+SUM(_xlfn.XLOOKUP($R51:$AK51,增益!$A:$A,增益!$K:$K,0)))/200,($F$12-$I$4+VLOOKUP($Q51,武学奇术!$A:$ZZ,11,FALSE)+SUM(_xlfn.XLOOKUP($R51:$AK51,增益!$A:$A,增益!$K:$K,0)))/100)</f>
        <v>0.17</v>
      </c>
      <c r="BE51" s="34" cm="1">
        <f t="array" ref="BE51">$G$12+VLOOKUP($Q51,武学奇术!$A:$ZZ,12,FALSE)+SUM(_xlfn.XLOOKUP($R51:$AK51,增益!$A:$A,增益!$L:$L,0))</f>
        <v>0.15</v>
      </c>
      <c r="BF51">
        <f t="shared" si="5"/>
        <v>0</v>
      </c>
      <c r="BG51">
        <f t="shared" si="6"/>
        <v>0</v>
      </c>
      <c r="BH51" s="34" cm="1">
        <f t="array" ref="BH51">IF($F$13-$I$4+VLOOKUP($Q51,武学奇术!$A:$ZZ,13,FALSE)+SUM(_xlfn.XLOOKUP($R51:$AK51,增益!$A:$A,增益!$M:$M,0))&gt;0,($F$13-$I$4+VLOOKUP($Q51,武学奇术!$A:$ZZ,13,FALSE)+SUM(_xlfn.XLOOKUP($R51:$AK51,增益!$A:$A,增益!$K:$K,0)))/200,($F$13-$I$4+VLOOKUP($Q51,武学奇术!$A:$ZZ,13,FALSE)+SUM(_xlfn.XLOOKUP($R51:$AK51,增益!$A:$A,增益!$M:$M,0)))/100)</f>
        <v>-0.14</v>
      </c>
      <c r="BI51" s="34" cm="1">
        <f t="array" ref="BI51">$G$13+VLOOKUP($Q51,武学奇术!$A:$ZZ,14,FALSE)+SUM(_xlfn.XLOOKUP($R51:$AK51,增益!$A:$A,增益!$N:$N,0))</f>
        <v>0</v>
      </c>
      <c r="BJ51">
        <f t="shared" si="7"/>
        <v>0</v>
      </c>
      <c r="BK51">
        <f t="shared" si="8"/>
        <v>0</v>
      </c>
      <c r="BL51" s="34" cm="1">
        <f t="array" ref="BL51">IF($F$14-$I$4+VLOOKUP($Q51,武学奇术!$A:$ZZ,15,FALSE)+SUM(_xlfn.XLOOKUP($R51:$AK51,增益!$A:$A,增益!$O:$O,0))&gt;0,($F$14-$I$4+VLOOKUP($Q51,武学奇术!$A:$ZZ,15,FALSE)+SUM(_xlfn.XLOOKUP($R51:$AK51,增益!$A:$A,增益!$O:$O,0)))/200,($F$14-$I$4+VLOOKUP($Q51,武学奇术!$A:$ZZ,15,FALSE)+SUM(_xlfn.XLOOKUP($R51:$AK51,增益!$A:$A,增益!$O:$O,0)))/100)</f>
        <v>-0.14</v>
      </c>
      <c r="BM51" s="34" cm="1">
        <f t="array" ref="BM51">$G$14+VLOOKUP($Q51,武学奇术!$A:$ZZ,16,FALSE)+SUM(_xlfn.XLOOKUP($R51:$AK51,增益!$A:$A,增益!$P:$P,0))</f>
        <v>0</v>
      </c>
      <c r="BN51" s="27">
        <f>MIN(IF(VLOOKUP($Q51,武学奇术!$A:$ZZ,23,FALSE)=1,100%,$B$8),100%)</f>
        <v>0.9859</v>
      </c>
      <c r="BO51" s="27" cm="1">
        <f t="array" ref="BO51">IF(VLOOKUP($Q51,武学奇术!$A:$ZZ,23,FALSE)=1,100%,MIN(80%,$B$9+VLOOKUP($Q51,武学奇术!$A:$ZZ,17,FALSE)+SUM(_xlfn.XLOOKUP($R51:$AK51,增益!$A:$A,增益!$Q:$Q,0)))+$B$11+SUM(_xlfn.XLOOKUP($R51:$AK51,增益!$A:$A,增益!$U:$U,0)))*IF(VLOOKUP($Q51,武学奇术!$A:$ZZ,24,FALSE)=1,0,1)</f>
        <v>0.8912</v>
      </c>
      <c r="BP51" s="27" cm="1">
        <f t="array" ref="BP51">1+$B$13+VLOOKUP($Q51,武学奇术!$A:$ZZ,18,FALSE)+SUM(_xlfn.XLOOKUP($R51:$AK51,增益!$A:$A,增益!$R:$R,0))</f>
        <v>2</v>
      </c>
      <c r="BQ51" s="27" cm="1">
        <f t="array" ref="BQ51">IF(VLOOKUP($Q51,武学奇术!$A:$ZZ,24,FALSE)=1,100%,MIN(40%,$B$10+VLOOKUP($Q51,武学奇术!$A:$ZZ,19,FALSE)+SUM(_xlfn.XLOOKUP($R51:$AK51,增益!$A:$A,增益!$S:$S,0)))+$B$12+SUM(_xlfn.XLOOKUP($R51:$AK51,增益!$A:$A,增益!$V:$V,0)))*IF(VLOOKUP($Q51,武学奇术!$A:$ZZ,23,FALSE)=1,0,1)</f>
        <v>0.0929</v>
      </c>
      <c r="BR51" s="27" cm="1">
        <f t="array" ref="BR51">1+$B$14+VLOOKUP($Q51,武学奇术!$A:$ZZ,20,FALSE)+SUM(_xlfn.XLOOKUP($R51:$AK51,增益!$A:$A,增益!$T:$T,0))</f>
        <v>1.35</v>
      </c>
      <c r="BS51" s="27">
        <f t="shared" si="9"/>
        <v>0.87863408</v>
      </c>
      <c r="BT51" s="27">
        <f t="shared" si="10"/>
        <v>0.01567581</v>
      </c>
      <c r="BU51" s="27">
        <f>IF(VLOOKUP($Q51,武学奇术!$A:$ZZ,22,FALSE)=1,0,(1-$BN51))*(1-$BQ51)</f>
        <v>0.01279011</v>
      </c>
      <c r="BV51" s="27" cm="1">
        <f t="array" ref="BV51">SUM(_xlfn.XLOOKUP($R51:$AK51,增益!$A:$A,增益!$W:$W,0))+$I$5</f>
        <v>0.21</v>
      </c>
    </row>
    <row r="52" spans="4:74">
      <c r="K52" s="40">
        <f t="shared" si="0"/>
        <v>37000.6413306625</v>
      </c>
      <c r="L52" s="40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BP52*$P52*(1+IF(VLOOKUP($Q52,武学奇术!$A:$ZZ,30,FALSE)="蓄力技",$B$21,0))*(1+$BV52)</f>
        <v>37000.6413306625</v>
      </c>
      <c r="M52" s="40">
        <f>(($AT52*$AM52+$AN52)*(1+$AU52)*(1+$AV52)+($AY52*IF($G$1="鸣金",$AO52,$AM52)+IF($G$1="鸣金",$AP52*1.5,0))*(1+$AZ52)*(1+$BA52)+($BC52*IF($G$1="裂石",$AO52,$AM52)+IF($G$1="裂石",$AP52*1.5,0))*(1+$BD52)*(1+$BE52)+($BG52*IF($G$1="牵丝",$AO52,$AM52)+IF($G$1="牵丝",$AP52*1.5,0))*(1+$BH52)*(1+$BI52)+($BK52*IF($G$1="破竹",$AO52,$AM52)+IF($G$1="破竹",$AP52*1.5,0))*(1+$BL52)*(1+$BM52))*(1+$AQ52)*$BR52*$P52*(1+IF(VLOOKUP($Q52,武学奇术!$A:$ZZ,30,FALSE)="蓄力技",$B$21,0))*(1+$BV52)</f>
        <v>27218.7006315955</v>
      </c>
      <c r="N52" s="40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P52*(1+IF(VLOOKUP($Q52,武学奇术!$A:$ZZ,30,FALSE)="蓄力技",$B$21,0))*(1+$BV52)</f>
        <v>17619.3530146012</v>
      </c>
      <c r="O52" s="40">
        <f>((($AS52*$AM52+$AN52)*(1+$AU52)*(1+$AV52)+($AX52*IF($G$1="鸣金",$AO52,$AM52)+IF($G$1="鸣金",$AP52*1.5,0))*(1+$AZ52)*(1+$BA52)+($BB52*IF($G$1="裂石",$AO52,$AM52)+IF($G$1="裂石",$AP52*1.5,0))*(1+$BD52)*(1+$BE52)+($BF52*IF($G$1="牵丝",$AO52,$AM52)+IF($G$1="牵丝",$AP52*1.5,0))*(1+$BH52)*(1+$BI52)+($BJ52*IF($G$1="破竹",$AO52,$AM52)+IF($G$1="破竹",$AP52*1.5,0))*(1+$BL52)*(1+$BM52))*(1+$AQ52))*$P52*(1+IF(VLOOKUP($Q52,武学奇术!$A:$ZZ,30,FALSE)="蓄力技",$B$21,0))*(1+$BV52)</f>
        <v>15076.7055613539</v>
      </c>
      <c r="P52" s="41">
        <v>1</v>
      </c>
      <c r="Q52" s="42" t="s">
        <v>117</v>
      </c>
      <c r="R52" s="42" t="s">
        <v>103</v>
      </c>
      <c r="S52" s="42" t="s">
        <v>169</v>
      </c>
      <c r="T52" s="42" t="s">
        <v>86</v>
      </c>
      <c r="U52" s="42" t="s">
        <v>121</v>
      </c>
      <c r="V52" s="42" t="s">
        <v>118</v>
      </c>
      <c r="W52" s="42" t="s">
        <v>77</v>
      </c>
      <c r="X52" s="42" t="s">
        <v>176</v>
      </c>
      <c r="Y52" s="42" t="s">
        <v>186</v>
      </c>
      <c r="Z52" s="42" t="s">
        <v>77</v>
      </c>
      <c r="AA52" s="42" t="s">
        <v>73</v>
      </c>
      <c r="AB52" s="42" t="s">
        <v>77</v>
      </c>
      <c r="AC52" s="42" t="s">
        <v>77</v>
      </c>
      <c r="AD52" s="42" t="s">
        <v>77</v>
      </c>
      <c r="AE52" s="42" t="s">
        <v>81</v>
      </c>
      <c r="AF52" s="42" t="s">
        <v>82</v>
      </c>
      <c r="AG52" s="42" t="s">
        <v>77</v>
      </c>
      <c r="AH52" s="42" t="s">
        <v>77</v>
      </c>
      <c r="AI52" s="42" t="s">
        <v>77</v>
      </c>
      <c r="AJ52" s="42" t="s">
        <v>77</v>
      </c>
      <c r="AK52" s="42" t="s">
        <v>77</v>
      </c>
      <c r="AL52" t="str">
        <f>VLOOKUP($Q52,武学奇术!$A:$ZZ,25,FALSE)</f>
        <v>陌刀</v>
      </c>
      <c r="AM52" s="27">
        <f>VLOOKUP($Q52,武学奇术!$A:$ZZ,26,FALSE)</f>
        <v>0.9</v>
      </c>
      <c r="AN52" s="28">
        <f>VLOOKUP($Q52,武学奇术!$A:$ZZ,27,FALSE)*(1+IF(OR($AL52=$F$4,$AL52=$F$5),$B$22,0))</f>
        <v>0</v>
      </c>
      <c r="AO52" s="27">
        <f>VLOOKUP($Q52,武学奇术!$A:$ZZ,28,FALSE)</f>
        <v>1.35</v>
      </c>
      <c r="AP52" s="28">
        <f>VLOOKUP($Q52,武学奇术!$A:$ZZ,29,FALSE)*(1+IF(OR($AL52=$F$4,$AL52=$F$5),$B$22,0))</f>
        <v>0</v>
      </c>
      <c r="AQ52" s="27" cm="1">
        <f t="array" ref="AQ52">$G$3+IFERROR(VLOOKUP($AL52,$F$4:$G$7,2,FALSE),0)+VLOOKUP($Q52,武学奇术!$A:$ZZ,2,FALSE)+SUM(_xlfn.XLOOKUP($R52:$AK52,增益!$A:$A,增益!$B:$B,0))</f>
        <v>0.7341</v>
      </c>
      <c r="AR52" s="27" cm="1">
        <f t="array" ref="AR52">VLOOKUP($Q52,武学奇术!$A:$ZZ,5,FALSE)+SUM(_xlfn.XLOOKUP($R52:$AK52,增益!$A:$A,增益!$E:$E,0))</f>
        <v>0</v>
      </c>
      <c r="AS52" cm="1">
        <f t="array" ref="AS52">$D$10*(1+$AR52)+VLOOKUP($Q52,武学奇术!$A:$ZZ,3,FALSE)+SUM(_xlfn.XLOOKUP($R52:$AK52,增益!$A:$A,增益!$C:$C,0))-$I$2</f>
        <v>3586.7</v>
      </c>
      <c r="AT52" cm="1">
        <f t="array" ref="AT52">$E$10*(1+$AR52)+VLOOKUP($Q52,武学奇术!$A:$ZZ,4,FALSE)+SUM(_xlfn.XLOOKUP($R52:$AK52,增益!$A:$A,增益!$D:$D,0))-$I$2</f>
        <v>3586.7</v>
      </c>
      <c r="AU52" s="34" cm="1">
        <f t="array" ref="AU52">IF($F$10-$I$3+VLOOKUP($Q52,武学奇术!$A:$ZZ,6,FALSE)+SUM(_xlfn.XLOOKUP($R52:$AK52,增益!$A:$A,增益!$F:$F,0))&gt;0,($F$10-$I$3+VLOOKUP($Q52,武学奇术!$A:$ZZ,6,FALSE)+SUM(_xlfn.XLOOKUP($R52:$AK52,增益!$A:$A,增益!$F:$F,0)))/200,($F$10-$I$3+VLOOKUP($Q52,武学奇术!$A:$ZZ,6,FALSE)+SUM(_xlfn.XLOOKUP($R52:$AK52,增益!$A:$A,增益!$F:$F,0)))/100)</f>
        <v>0.352</v>
      </c>
      <c r="AV52" s="34" cm="1">
        <f t="array" ref="AV52">$G$10+VLOOKUP($Q52,武学奇术!$A:$ZZ,7,FALSE)+SUM(_xlfn.XLOOKUP($R52:$AK52,增益!$A:$A,增益!$G:$G,0))</f>
        <v>0</v>
      </c>
      <c r="AW52" s="27" cm="1">
        <f t="array" ref="AW52">VLOOKUP($Q52,武学奇术!$A:$ZZ,8,FALSE)+SUM(_xlfn.XLOOKUP($R52:$AK52,增益!$A:$A,增益!$H:$H,0))</f>
        <v>0</v>
      </c>
      <c r="AX52">
        <f t="shared" si="1"/>
        <v>0</v>
      </c>
      <c r="AY52">
        <f t="shared" si="2"/>
        <v>0</v>
      </c>
      <c r="AZ52" s="34" cm="1">
        <f t="array" ref="AZ52">IF($F$11-$I$4+VLOOKUP($Q52,武学奇术!$A:$ZZ,9,FALSE)+SUM(_xlfn.XLOOKUP($R52:$AK52,增益!$A:$A,增益!$I:$I,0))&gt;0,($F$11-$I$4+VLOOKUP($Q52,武学奇术!$A:$ZZ,9,FALSE)+SUM(_xlfn.XLOOKUP($R52:$AK52,增益!$A:$A,增益!$I:$I,0)))/200,($F$11-$I$4+VLOOKUP($Q52,武学奇术!$A:$ZZ,9,FALSE)+SUM(_xlfn.XLOOKUP($R52:$AK52,增益!$A:$A,增益!$I:$I,0)))/100)</f>
        <v>-0.14</v>
      </c>
      <c r="BA52" s="34" cm="1">
        <f t="array" ref="BA52">$G$11+VLOOKUP($Q52,武学奇术!$A:$ZZ,10,FALSE)+SUM(_xlfn.XLOOKUP($R52:$AK52,增益!$A:$A,增益!$J:$J,0))</f>
        <v>0</v>
      </c>
      <c r="BB52">
        <f t="shared" si="3"/>
        <v>594.1</v>
      </c>
      <c r="BC52">
        <f t="shared" si="4"/>
        <v>1604.9</v>
      </c>
      <c r="BD52" s="34" cm="1">
        <f t="array" ref="BD52">IF($F$12-$I$4+VLOOKUP($Q52,武学奇术!$A:$ZZ,11,FALSE)+SUM(_xlfn.XLOOKUP($R52:$AK52,增益!$A:$A,增益!$K:$K,0))&gt;0,($F$12-$I$4+VLOOKUP($Q52,武学奇术!$A:$ZZ,11,FALSE)+SUM(_xlfn.XLOOKUP($R52:$AK52,增益!$A:$A,增益!$K:$K,0)))/200,($F$12-$I$4+VLOOKUP($Q52,武学奇术!$A:$ZZ,11,FALSE)+SUM(_xlfn.XLOOKUP($R52:$AK52,增益!$A:$A,增益!$K:$K,0)))/100)</f>
        <v>0.17</v>
      </c>
      <c r="BE52" s="34" cm="1">
        <f t="array" ref="BE52">$G$12+VLOOKUP($Q52,武学奇术!$A:$ZZ,12,FALSE)+SUM(_xlfn.XLOOKUP($R52:$AK52,增益!$A:$A,增益!$L:$L,0))</f>
        <v>0.15</v>
      </c>
      <c r="BF52">
        <f t="shared" si="5"/>
        <v>0</v>
      </c>
      <c r="BG52">
        <f t="shared" si="6"/>
        <v>0</v>
      </c>
      <c r="BH52" s="34" cm="1">
        <f t="array" ref="BH52">IF($F$13-$I$4+VLOOKUP($Q52,武学奇术!$A:$ZZ,13,FALSE)+SUM(_xlfn.XLOOKUP($R52:$AK52,增益!$A:$A,增益!$M:$M,0))&gt;0,($F$13-$I$4+VLOOKUP($Q52,武学奇术!$A:$ZZ,13,FALSE)+SUM(_xlfn.XLOOKUP($R52:$AK52,增益!$A:$A,增益!$K:$K,0)))/200,($F$13-$I$4+VLOOKUP($Q52,武学奇术!$A:$ZZ,13,FALSE)+SUM(_xlfn.XLOOKUP($R52:$AK52,增益!$A:$A,增益!$M:$M,0)))/100)</f>
        <v>-0.14</v>
      </c>
      <c r="BI52" s="34" cm="1">
        <f t="array" ref="BI52">$G$13+VLOOKUP($Q52,武学奇术!$A:$ZZ,14,FALSE)+SUM(_xlfn.XLOOKUP($R52:$AK52,增益!$A:$A,增益!$N:$N,0))</f>
        <v>0</v>
      </c>
      <c r="BJ52">
        <f t="shared" si="7"/>
        <v>0</v>
      </c>
      <c r="BK52">
        <f t="shared" si="8"/>
        <v>0</v>
      </c>
      <c r="BL52" s="34" cm="1">
        <f t="array" ref="BL52">IF($F$14-$I$4+VLOOKUP($Q52,武学奇术!$A:$ZZ,15,FALSE)+SUM(_xlfn.XLOOKUP($R52:$AK52,增益!$A:$A,增益!$O:$O,0))&gt;0,($F$14-$I$4+VLOOKUP($Q52,武学奇术!$A:$ZZ,15,FALSE)+SUM(_xlfn.XLOOKUP($R52:$AK52,增益!$A:$A,增益!$O:$O,0)))/200,($F$14-$I$4+VLOOKUP($Q52,武学奇术!$A:$ZZ,15,FALSE)+SUM(_xlfn.XLOOKUP($R52:$AK52,增益!$A:$A,增益!$O:$O,0)))/100)</f>
        <v>-0.14</v>
      </c>
      <c r="BM52" s="34" cm="1">
        <f t="array" ref="BM52">$G$14+VLOOKUP($Q52,武学奇术!$A:$ZZ,16,FALSE)+SUM(_xlfn.XLOOKUP($R52:$AK52,增益!$A:$A,增益!$P:$P,0))</f>
        <v>0</v>
      </c>
      <c r="BN52" s="27">
        <f>MIN(IF(VLOOKUP($Q52,武学奇术!$A:$ZZ,23,FALSE)=1,100%,$B$8),100%)</f>
        <v>1</v>
      </c>
      <c r="BO52" s="27" cm="1">
        <f t="array" ref="BO52">IF(VLOOKUP($Q52,武学奇术!$A:$ZZ,23,FALSE)=1,100%,MIN(80%,$B$9+VLOOKUP($Q52,武学奇术!$A:$ZZ,17,FALSE)+SUM(_xlfn.XLOOKUP($R52:$AK52,增益!$A:$A,增益!$Q:$Q,0)))+$B$11+SUM(_xlfn.XLOOKUP($R52:$AK52,增益!$A:$A,增益!$U:$U,0)))*IF(VLOOKUP($Q52,武学奇术!$A:$ZZ,24,FALSE)=1,0,1)</f>
        <v>1</v>
      </c>
      <c r="BP52" s="27" cm="1">
        <f t="array" ref="BP52">1+$B$13+VLOOKUP($Q52,武学奇术!$A:$ZZ,18,FALSE)+SUM(_xlfn.XLOOKUP($R52:$AK52,增益!$A:$A,增益!$R:$R,0))</f>
        <v>2.1</v>
      </c>
      <c r="BQ52" s="27" cm="1">
        <f t="array" ref="BQ52">IF(VLOOKUP($Q52,武学奇术!$A:$ZZ,24,FALSE)=1,100%,MIN(40%,$B$10+VLOOKUP($Q52,武学奇术!$A:$ZZ,19,FALSE)+SUM(_xlfn.XLOOKUP($R52:$AK52,增益!$A:$A,增益!$S:$S,0)))+$B$12+SUM(_xlfn.XLOOKUP($R52:$AK52,增益!$A:$A,增益!$V:$V,0)))*IF(VLOOKUP($Q52,武学奇术!$A:$ZZ,23,FALSE)=1,0,1)</f>
        <v>0</v>
      </c>
      <c r="BR52" s="27" cm="1">
        <f t="array" ref="BR52">1+$B$14+VLOOKUP($Q52,武学奇术!$A:$ZZ,20,FALSE)+SUM(_xlfn.XLOOKUP($R52:$AK52,增益!$A:$A,增益!$T:$T,0))</f>
        <v>1.35</v>
      </c>
      <c r="BS52" s="27">
        <f t="shared" si="9"/>
        <v>1</v>
      </c>
      <c r="BT52" s="27">
        <f t="shared" si="10"/>
        <v>0</v>
      </c>
      <c r="BU52" s="27">
        <f>IF(VLOOKUP($Q52,武学奇术!$A:$ZZ,22,FALSE)=1,0,(1-$BN52))*(1-$BQ52)</f>
        <v>0</v>
      </c>
      <c r="BV52" s="27" cm="1">
        <f t="array" ref="BV52">SUM(_xlfn.XLOOKUP($R52:$AK52,增益!$A:$A,增益!$W:$W,0))+$I$5</f>
        <v>0.21</v>
      </c>
    </row>
    <row r="53" spans="4:74">
      <c r="K53" s="40">
        <f t="shared" si="0"/>
        <v>355872.235317798</v>
      </c>
      <c r="L53" s="40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BP53*$P53*(1+IF(VLOOKUP($Q53,武学奇术!$A:$ZZ,30,FALSE)="蓄力技",$B$21,0))*(1+$BV53)</f>
        <v>355872.235317798</v>
      </c>
      <c r="M53" s="40">
        <f>(($AT53*$AM53+$AN53)*(1+$AU53)*(1+$AV53)+($AY53*IF($G$1="鸣金",$AO53,$AM53)+IF($G$1="鸣金",$AP53*1.5,0))*(1+$AZ53)*(1+$BA53)+($BC53*IF($G$1="裂石",$AO53,$AM53)+IF($G$1="裂石",$AP53*1.5,0))*(1+$BD53)*(1+$BE53)+($BG53*IF($G$1="牵丝",$AO53,$AM53)+IF($G$1="牵丝",$AP53*1.5,0))*(1+$BH53)*(1+$BI53)+($BK53*IF($G$1="破竹",$AO53,$AM53)+IF($G$1="破竹",$AP53*1.5,0))*(1+$BL53)*(1+$BM53))*(1+$AQ53)*$BR53*$P53*(1+IF(VLOOKUP($Q53,武学奇术!$A:$ZZ,30,FALSE)="蓄力技",$B$21,0))*(1+$BV53)</f>
        <v>257637.108189885</v>
      </c>
      <c r="N53" s="40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P53*(1+IF(VLOOKUP($Q53,武学奇术!$A:$ZZ,30,FALSE)="蓄力技",$B$21,0))*(1+$BV53)</f>
        <v>169462.969198951</v>
      </c>
      <c r="O53" s="40">
        <f>((($AS53*$AM53+$AN53)*(1+$AU53)*(1+$AV53)+($AX53*IF($G$1="鸣金",$AO53,$AM53)+IF($G$1="鸣金",$AP53*1.5,0))*(1+$AZ53)*(1+$BA53)+($BB53*IF($G$1="裂石",$AO53,$AM53)+IF($G$1="裂石",$AP53*1.5,0))*(1+$BD53)*(1+$BE53)+($BF53*IF($G$1="牵丝",$AO53,$AM53)+IF($G$1="牵丝",$AP53*1.5,0))*(1+$BH53)*(1+$BI53)+($BJ53*IF($G$1="破竹",$AO53,$AM53)+IF($G$1="破竹",$AP53*1.5,0))*(1+$BL53)*(1+$BM53))*(1+$AQ53))*$P53*(1+IF(VLOOKUP($Q53,武学奇术!$A:$ZZ,30,FALSE)="蓄力技",$B$21,0))*(1+$BV53)</f>
        <v>148083.636035025</v>
      </c>
      <c r="P53" s="41">
        <v>1</v>
      </c>
      <c r="Q53" s="42" t="s">
        <v>120</v>
      </c>
      <c r="R53" s="42" t="s">
        <v>103</v>
      </c>
      <c r="S53" s="42" t="s">
        <v>169</v>
      </c>
      <c r="T53" s="42" t="s">
        <v>86</v>
      </c>
      <c r="U53" s="42" t="s">
        <v>121</v>
      </c>
      <c r="V53" s="42" t="s">
        <v>118</v>
      </c>
      <c r="W53" s="42" t="s">
        <v>77</v>
      </c>
      <c r="X53" s="42" t="s">
        <v>176</v>
      </c>
      <c r="Y53" s="42" t="s">
        <v>186</v>
      </c>
      <c r="Z53" s="42" t="s">
        <v>77</v>
      </c>
      <c r="AA53" s="42" t="s">
        <v>73</v>
      </c>
      <c r="AB53" s="42" t="s">
        <v>77</v>
      </c>
      <c r="AC53" s="42" t="s">
        <v>77</v>
      </c>
      <c r="AD53" s="42" t="s">
        <v>77</v>
      </c>
      <c r="AE53" s="42" t="s">
        <v>81</v>
      </c>
      <c r="AF53" s="42" t="s">
        <v>82</v>
      </c>
      <c r="AG53" s="42" t="s">
        <v>77</v>
      </c>
      <c r="AH53" s="42" t="s">
        <v>77</v>
      </c>
      <c r="AI53" s="42" t="s">
        <v>77</v>
      </c>
      <c r="AJ53" s="42" t="s">
        <v>77</v>
      </c>
      <c r="AK53" s="42" t="s">
        <v>77</v>
      </c>
      <c r="AL53" t="str">
        <f>VLOOKUP($Q53,武学奇术!$A:$ZZ,25,FALSE)</f>
        <v>陌刀</v>
      </c>
      <c r="AM53" s="27">
        <f>VLOOKUP($Q53,武学奇术!$A:$ZZ,26,FALSE)</f>
        <v>7.5674</v>
      </c>
      <c r="AN53" s="28">
        <f>VLOOKUP($Q53,武学奇术!$A:$ZZ,27,FALSE)*(1+IF(OR($AL53=$F$4,$AL53=$F$5),$B$22,0))</f>
        <v>3139.5</v>
      </c>
      <c r="AO53" s="27">
        <f>VLOOKUP($Q53,武学奇术!$A:$ZZ,28,FALSE)</f>
        <v>11.3512</v>
      </c>
      <c r="AP53" s="28">
        <f>VLOOKUP($Q53,武学奇术!$A:$ZZ,29,FALSE)*(1+IF(OR($AL53=$F$4,$AL53=$F$5),$B$22,0))</f>
        <v>1710</v>
      </c>
      <c r="AQ53" s="27" cm="1">
        <f t="array" ref="AQ53">$G$3+IFERROR(VLOOKUP($AL53,$F$4:$G$7,2,FALSE),0)+VLOOKUP($Q53,武学奇术!$A:$ZZ,2,FALSE)+SUM(_xlfn.XLOOKUP($R53:$AK53,增益!$A:$A,增益!$B:$B,0))</f>
        <v>0.7341</v>
      </c>
      <c r="AR53" s="27" cm="1">
        <f t="array" ref="AR53">VLOOKUP($Q53,武学奇术!$A:$ZZ,5,FALSE)+SUM(_xlfn.XLOOKUP($R53:$AK53,增益!$A:$A,增益!$E:$E,0))</f>
        <v>0</v>
      </c>
      <c r="AS53" cm="1">
        <f t="array" ref="AS53">$D$10*(1+$AR53)+VLOOKUP($Q53,武学奇术!$A:$ZZ,3,FALSE)+SUM(_xlfn.XLOOKUP($R53:$AK53,增益!$A:$A,增益!$C:$C,0))-$I$2</f>
        <v>3586.7</v>
      </c>
      <c r="AT53" cm="1">
        <f t="array" ref="AT53">$E$10*(1+$AR53)+VLOOKUP($Q53,武学奇术!$A:$ZZ,4,FALSE)+SUM(_xlfn.XLOOKUP($R53:$AK53,增益!$A:$A,增益!$D:$D,0))-$I$2</f>
        <v>3586.7</v>
      </c>
      <c r="AU53" s="34" cm="1">
        <f t="array" ref="AU53">IF($F$10-$I$3+VLOOKUP($Q53,武学奇术!$A:$ZZ,6,FALSE)+SUM(_xlfn.XLOOKUP($R53:$AK53,增益!$A:$A,增益!$F:$F,0))&gt;0,($F$10-$I$3+VLOOKUP($Q53,武学奇术!$A:$ZZ,6,FALSE)+SUM(_xlfn.XLOOKUP($R53:$AK53,增益!$A:$A,增益!$F:$F,0)))/200,($F$10-$I$3+VLOOKUP($Q53,武学奇术!$A:$ZZ,6,FALSE)+SUM(_xlfn.XLOOKUP($R53:$AK53,增益!$A:$A,增益!$F:$F,0)))/100)</f>
        <v>0.352</v>
      </c>
      <c r="AV53" s="34" cm="1">
        <f t="array" ref="AV53">$G$10+VLOOKUP($Q53,武学奇术!$A:$ZZ,7,FALSE)+SUM(_xlfn.XLOOKUP($R53:$AK53,增益!$A:$A,增益!$G:$G,0))</f>
        <v>0</v>
      </c>
      <c r="AW53" s="27" cm="1">
        <f t="array" ref="AW53">VLOOKUP($Q53,武学奇术!$A:$ZZ,8,FALSE)+SUM(_xlfn.XLOOKUP($R53:$AK53,增益!$A:$A,增益!$H:$H,0))</f>
        <v>0</v>
      </c>
      <c r="AX53">
        <f t="shared" si="1"/>
        <v>0</v>
      </c>
      <c r="AY53">
        <f t="shared" si="2"/>
        <v>0</v>
      </c>
      <c r="AZ53" s="34" cm="1">
        <f t="array" ref="AZ53">IF($F$11-$I$4+VLOOKUP($Q53,武学奇术!$A:$ZZ,9,FALSE)+SUM(_xlfn.XLOOKUP($R53:$AK53,增益!$A:$A,增益!$I:$I,0))&gt;0,($F$11-$I$4+VLOOKUP($Q53,武学奇术!$A:$ZZ,9,FALSE)+SUM(_xlfn.XLOOKUP($R53:$AK53,增益!$A:$A,增益!$I:$I,0)))/200,($F$11-$I$4+VLOOKUP($Q53,武学奇术!$A:$ZZ,9,FALSE)+SUM(_xlfn.XLOOKUP($R53:$AK53,增益!$A:$A,增益!$I:$I,0)))/100)</f>
        <v>-0.14</v>
      </c>
      <c r="BA53" s="34" cm="1">
        <f t="array" ref="BA53">$G$11+VLOOKUP($Q53,武学奇术!$A:$ZZ,10,FALSE)+SUM(_xlfn.XLOOKUP($R53:$AK53,增益!$A:$A,增益!$J:$J,0))</f>
        <v>0</v>
      </c>
      <c r="BB53">
        <f t="shared" si="3"/>
        <v>594.1</v>
      </c>
      <c r="BC53">
        <f t="shared" si="4"/>
        <v>1604.9</v>
      </c>
      <c r="BD53" s="34" cm="1">
        <f t="array" ref="BD53">IF($F$12-$I$4+VLOOKUP($Q53,武学奇术!$A:$ZZ,11,FALSE)+SUM(_xlfn.XLOOKUP($R53:$AK53,增益!$A:$A,增益!$K:$K,0))&gt;0,($F$12-$I$4+VLOOKUP($Q53,武学奇术!$A:$ZZ,11,FALSE)+SUM(_xlfn.XLOOKUP($R53:$AK53,增益!$A:$A,增益!$K:$K,0)))/200,($F$12-$I$4+VLOOKUP($Q53,武学奇术!$A:$ZZ,11,FALSE)+SUM(_xlfn.XLOOKUP($R53:$AK53,增益!$A:$A,增益!$K:$K,0)))/100)</f>
        <v>0.17</v>
      </c>
      <c r="BE53" s="34" cm="1">
        <f t="array" ref="BE53">$G$12+VLOOKUP($Q53,武学奇术!$A:$ZZ,12,FALSE)+SUM(_xlfn.XLOOKUP($R53:$AK53,增益!$A:$A,增益!$L:$L,0))</f>
        <v>0.15</v>
      </c>
      <c r="BF53">
        <f t="shared" si="5"/>
        <v>0</v>
      </c>
      <c r="BG53">
        <f t="shared" si="6"/>
        <v>0</v>
      </c>
      <c r="BH53" s="34" cm="1">
        <f t="array" ref="BH53">IF($F$13-$I$4+VLOOKUP($Q53,武学奇术!$A:$ZZ,13,FALSE)+SUM(_xlfn.XLOOKUP($R53:$AK53,增益!$A:$A,增益!$M:$M,0))&gt;0,($F$13-$I$4+VLOOKUP($Q53,武学奇术!$A:$ZZ,13,FALSE)+SUM(_xlfn.XLOOKUP($R53:$AK53,增益!$A:$A,增益!$K:$K,0)))/200,($F$13-$I$4+VLOOKUP($Q53,武学奇术!$A:$ZZ,13,FALSE)+SUM(_xlfn.XLOOKUP($R53:$AK53,增益!$A:$A,增益!$M:$M,0)))/100)</f>
        <v>-0.14</v>
      </c>
      <c r="BI53" s="34" cm="1">
        <f t="array" ref="BI53">$G$13+VLOOKUP($Q53,武学奇术!$A:$ZZ,14,FALSE)+SUM(_xlfn.XLOOKUP($R53:$AK53,增益!$A:$A,增益!$N:$N,0))</f>
        <v>0</v>
      </c>
      <c r="BJ53">
        <f t="shared" si="7"/>
        <v>0</v>
      </c>
      <c r="BK53">
        <f t="shared" si="8"/>
        <v>0</v>
      </c>
      <c r="BL53" s="34" cm="1">
        <f t="array" ref="BL53">IF($F$14-$I$4+VLOOKUP($Q53,武学奇术!$A:$ZZ,15,FALSE)+SUM(_xlfn.XLOOKUP($R53:$AK53,增益!$A:$A,增益!$O:$O,0))&gt;0,($F$14-$I$4+VLOOKUP($Q53,武学奇术!$A:$ZZ,15,FALSE)+SUM(_xlfn.XLOOKUP($R53:$AK53,增益!$A:$A,增益!$O:$O,0)))/200,($F$14-$I$4+VLOOKUP($Q53,武学奇术!$A:$ZZ,15,FALSE)+SUM(_xlfn.XLOOKUP($R53:$AK53,增益!$A:$A,增益!$O:$O,0)))/100)</f>
        <v>-0.14</v>
      </c>
      <c r="BM53" s="34" cm="1">
        <f t="array" ref="BM53">$G$14+VLOOKUP($Q53,武学奇术!$A:$ZZ,16,FALSE)+SUM(_xlfn.XLOOKUP($R53:$AK53,增益!$A:$A,增益!$P:$P,0))</f>
        <v>0</v>
      </c>
      <c r="BN53" s="27">
        <f>MIN(IF(VLOOKUP($Q53,武学奇术!$A:$ZZ,23,FALSE)=1,100%,$B$8),100%)</f>
        <v>1</v>
      </c>
      <c r="BO53" s="27" cm="1">
        <f t="array" ref="BO53">IF(VLOOKUP($Q53,武学奇术!$A:$ZZ,23,FALSE)=1,100%,MIN(80%,$B$9+VLOOKUP($Q53,武学奇术!$A:$ZZ,17,FALSE)+SUM(_xlfn.XLOOKUP($R53:$AK53,增益!$A:$A,增益!$Q:$Q,0)))+$B$11+SUM(_xlfn.XLOOKUP($R53:$AK53,增益!$A:$A,增益!$U:$U,0)))*IF(VLOOKUP($Q53,武学奇术!$A:$ZZ,24,FALSE)=1,0,1)</f>
        <v>1</v>
      </c>
      <c r="BP53" s="27" cm="1">
        <f t="array" ref="BP53">1+$B$13+VLOOKUP($Q53,武学奇术!$A:$ZZ,18,FALSE)+SUM(_xlfn.XLOOKUP($R53:$AK53,增益!$A:$A,增益!$R:$R,0))</f>
        <v>2.1</v>
      </c>
      <c r="BQ53" s="27" cm="1">
        <f t="array" ref="BQ53">IF(VLOOKUP($Q53,武学奇术!$A:$ZZ,24,FALSE)=1,100%,MIN(40%,$B$10+VLOOKUP($Q53,武学奇术!$A:$ZZ,19,FALSE)+SUM(_xlfn.XLOOKUP($R53:$AK53,增益!$A:$A,增益!$S:$S,0)))+$B$12+SUM(_xlfn.XLOOKUP($R53:$AK53,增益!$A:$A,增益!$V:$V,0)))*IF(VLOOKUP($Q53,武学奇术!$A:$ZZ,23,FALSE)=1,0,1)</f>
        <v>0</v>
      </c>
      <c r="BR53" s="27" cm="1">
        <f t="array" ref="BR53">1+$B$14+VLOOKUP($Q53,武学奇术!$A:$ZZ,20,FALSE)+SUM(_xlfn.XLOOKUP($R53:$AK53,增益!$A:$A,增益!$T:$T,0))</f>
        <v>1.35</v>
      </c>
      <c r="BS53" s="27">
        <f t="shared" si="9"/>
        <v>1</v>
      </c>
      <c r="BT53" s="27">
        <f t="shared" si="10"/>
        <v>0</v>
      </c>
      <c r="BU53" s="27">
        <f>IF(VLOOKUP($Q53,武学奇术!$A:$ZZ,22,FALSE)=1,0,(1-$BN53))*(1-$BQ53)</f>
        <v>0</v>
      </c>
      <c r="BV53" s="27" cm="1">
        <f t="array" ref="BV53">SUM(_xlfn.XLOOKUP($R53:$AK53,增益!$A:$A,增益!$W:$W,0))+$I$5</f>
        <v>0.21</v>
      </c>
    </row>
    <row r="54" spans="4:74">
      <c r="K54" s="40">
        <f t="shared" si="0"/>
        <v>61667.7355511041</v>
      </c>
      <c r="L54" s="40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BP54*$P54*(1+IF(VLOOKUP($Q54,武学奇术!$A:$ZZ,30,FALSE)="蓄力技",$B$21,0))*(1+$BV54)</f>
        <v>61667.7355511041</v>
      </c>
      <c r="M54" s="40">
        <f>(($AT54*$AM54+$AN54)*(1+$AU54)*(1+$AV54)+($AY54*IF($G$1="鸣金",$AO54,$AM54)+IF($G$1="鸣金",$AP54*1.5,0))*(1+$AZ54)*(1+$BA54)+($BC54*IF($G$1="裂石",$AO54,$AM54)+IF($G$1="裂石",$AP54*1.5,0))*(1+$BD54)*(1+$BE54)+($BG54*IF($G$1="牵丝",$AO54,$AM54)+IF($G$1="牵丝",$AP54*1.5,0))*(1+$BH54)*(1+$BI54)+($BK54*IF($G$1="破竹",$AO54,$AM54)+IF($G$1="破竹",$AP54*1.5,0))*(1+$BL54)*(1+$BM54))*(1+$AQ54)*$BR54*$P54*(1+IF(VLOOKUP($Q54,武学奇术!$A:$ZZ,30,FALSE)="蓄力技",$B$21,0))*(1+$BV54)</f>
        <v>45364.5010526591</v>
      </c>
      <c r="N54" s="40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P54*(1+IF(VLOOKUP($Q54,武学奇术!$A:$ZZ,30,FALSE)="蓄力技",$B$21,0))*(1+$BV54)</f>
        <v>29365.5883576686</v>
      </c>
      <c r="O54" s="40">
        <f>((($AS54*$AM54+$AN54)*(1+$AU54)*(1+$AV54)+($AX54*IF($G$1="鸣金",$AO54,$AM54)+IF($G$1="鸣金",$AP54*1.5,0))*(1+$AZ54)*(1+$BA54)+($BB54*IF($G$1="裂石",$AO54,$AM54)+IF($G$1="裂石",$AP54*1.5,0))*(1+$BD54)*(1+$BE54)+($BF54*IF($G$1="牵丝",$AO54,$AM54)+IF($G$1="牵丝",$AP54*1.5,0))*(1+$BH54)*(1+$BI54)+($BJ54*IF($G$1="破竹",$AO54,$AM54)+IF($G$1="破竹",$AP54*1.5,0))*(1+$BL54)*(1+$BM54))*(1+$AQ54))*$P54*(1+IF(VLOOKUP($Q54,武学奇术!$A:$ZZ,30,FALSE)="蓄力技",$B$21,0))*(1+$BV54)</f>
        <v>25127.8426022565</v>
      </c>
      <c r="P54" s="41">
        <v>3</v>
      </c>
      <c r="Q54" s="42" t="s">
        <v>125</v>
      </c>
      <c r="R54" s="42" t="s">
        <v>103</v>
      </c>
      <c r="S54" s="42" t="s">
        <v>169</v>
      </c>
      <c r="T54" s="42" t="s">
        <v>86</v>
      </c>
      <c r="U54" s="42" t="s">
        <v>121</v>
      </c>
      <c r="V54" s="42" t="s">
        <v>118</v>
      </c>
      <c r="W54" s="42" t="s">
        <v>77</v>
      </c>
      <c r="X54" s="42" t="s">
        <v>176</v>
      </c>
      <c r="Y54" s="42" t="s">
        <v>186</v>
      </c>
      <c r="Z54" s="42" t="s">
        <v>77</v>
      </c>
      <c r="AA54" s="42" t="s">
        <v>73</v>
      </c>
      <c r="AB54" s="42" t="s">
        <v>77</v>
      </c>
      <c r="AC54" s="42" t="s">
        <v>77</v>
      </c>
      <c r="AD54" s="42" t="s">
        <v>77</v>
      </c>
      <c r="AE54" s="42" t="s">
        <v>81</v>
      </c>
      <c r="AF54" s="42" t="s">
        <v>82</v>
      </c>
      <c r="AG54" s="42" t="s">
        <v>77</v>
      </c>
      <c r="AH54" s="42" t="s">
        <v>77</v>
      </c>
      <c r="AI54" s="42" t="s">
        <v>77</v>
      </c>
      <c r="AJ54" s="42" t="s">
        <v>77</v>
      </c>
      <c r="AK54" s="42" t="s">
        <v>77</v>
      </c>
      <c r="AL54" t="str">
        <f>VLOOKUP($Q54,武学奇术!$A:$ZZ,25,FALSE)</f>
        <v>陌刀</v>
      </c>
      <c r="AM54" s="27">
        <f>VLOOKUP($Q54,武学奇术!$A:$ZZ,26,FALSE)</f>
        <v>0.5</v>
      </c>
      <c r="AN54" s="28">
        <f>VLOOKUP($Q54,武学奇术!$A:$ZZ,27,FALSE)*(1+IF(OR($AL54=$F$4,$AL54=$F$5),$B$22,0))</f>
        <v>0</v>
      </c>
      <c r="AO54" s="27">
        <f>VLOOKUP($Q54,武学奇术!$A:$ZZ,28,FALSE)</f>
        <v>0.75</v>
      </c>
      <c r="AP54" s="28">
        <f>VLOOKUP($Q54,武学奇术!$A:$ZZ,29,FALSE)*(1+IF(OR($AL54=$F$4,$AL54=$F$5),$B$22,0))</f>
        <v>0</v>
      </c>
      <c r="AQ54" s="27" cm="1">
        <f t="array" ref="AQ54">$G$3+IFERROR(VLOOKUP($AL54,$F$4:$G$7,2,FALSE),0)+VLOOKUP($Q54,武学奇术!$A:$ZZ,2,FALSE)+SUM(_xlfn.XLOOKUP($R54:$AK54,增益!$A:$A,增益!$B:$B,0))</f>
        <v>0.7341</v>
      </c>
      <c r="AR54" s="27" cm="1">
        <f t="array" ref="AR54">VLOOKUP($Q54,武学奇术!$A:$ZZ,5,FALSE)+SUM(_xlfn.XLOOKUP($R54:$AK54,增益!$A:$A,增益!$E:$E,0))</f>
        <v>0</v>
      </c>
      <c r="AS54" cm="1">
        <f t="array" ref="AS54">$D$10*(1+$AR54)+VLOOKUP($Q54,武学奇术!$A:$ZZ,3,FALSE)+SUM(_xlfn.XLOOKUP($R54:$AK54,增益!$A:$A,增益!$C:$C,0))-$I$2</f>
        <v>3586.7</v>
      </c>
      <c r="AT54" cm="1">
        <f t="array" ref="AT54">$E$10*(1+$AR54)+VLOOKUP($Q54,武学奇术!$A:$ZZ,4,FALSE)+SUM(_xlfn.XLOOKUP($R54:$AK54,增益!$A:$A,增益!$D:$D,0))-$I$2</f>
        <v>3586.7</v>
      </c>
      <c r="AU54" s="34" cm="1">
        <f t="array" ref="AU54">IF($F$10-$I$3+VLOOKUP($Q54,武学奇术!$A:$ZZ,6,FALSE)+SUM(_xlfn.XLOOKUP($R54:$AK54,增益!$A:$A,增益!$F:$F,0))&gt;0,($F$10-$I$3+VLOOKUP($Q54,武学奇术!$A:$ZZ,6,FALSE)+SUM(_xlfn.XLOOKUP($R54:$AK54,增益!$A:$A,增益!$F:$F,0)))/200,($F$10-$I$3+VLOOKUP($Q54,武学奇术!$A:$ZZ,6,FALSE)+SUM(_xlfn.XLOOKUP($R54:$AK54,增益!$A:$A,增益!$F:$F,0)))/100)</f>
        <v>0.352</v>
      </c>
      <c r="AV54" s="34" cm="1">
        <f t="array" ref="AV54">$G$10+VLOOKUP($Q54,武学奇术!$A:$ZZ,7,FALSE)+SUM(_xlfn.XLOOKUP($R54:$AK54,增益!$A:$A,增益!$G:$G,0))</f>
        <v>0</v>
      </c>
      <c r="AW54" s="27" cm="1">
        <f t="array" ref="AW54">VLOOKUP($Q54,武学奇术!$A:$ZZ,8,FALSE)+SUM(_xlfn.XLOOKUP($R54:$AK54,增益!$A:$A,增益!$H:$H,0))</f>
        <v>0</v>
      </c>
      <c r="AX54">
        <f t="shared" si="1"/>
        <v>0</v>
      </c>
      <c r="AY54">
        <f t="shared" si="2"/>
        <v>0</v>
      </c>
      <c r="AZ54" s="34" cm="1">
        <f t="array" ref="AZ54">IF($F$11-$I$4+VLOOKUP($Q54,武学奇术!$A:$ZZ,9,FALSE)+SUM(_xlfn.XLOOKUP($R54:$AK54,增益!$A:$A,增益!$I:$I,0))&gt;0,($F$11-$I$4+VLOOKUP($Q54,武学奇术!$A:$ZZ,9,FALSE)+SUM(_xlfn.XLOOKUP($R54:$AK54,增益!$A:$A,增益!$I:$I,0)))/200,($F$11-$I$4+VLOOKUP($Q54,武学奇术!$A:$ZZ,9,FALSE)+SUM(_xlfn.XLOOKUP($R54:$AK54,增益!$A:$A,增益!$I:$I,0)))/100)</f>
        <v>-0.14</v>
      </c>
      <c r="BA54" s="34" cm="1">
        <f t="array" ref="BA54">$G$11+VLOOKUP($Q54,武学奇术!$A:$ZZ,10,FALSE)+SUM(_xlfn.XLOOKUP($R54:$AK54,增益!$A:$A,增益!$J:$J,0))</f>
        <v>0</v>
      </c>
      <c r="BB54">
        <f t="shared" si="3"/>
        <v>594.1</v>
      </c>
      <c r="BC54">
        <f t="shared" si="4"/>
        <v>1604.9</v>
      </c>
      <c r="BD54" s="34" cm="1">
        <f t="array" ref="BD54">IF($F$12-$I$4+VLOOKUP($Q54,武学奇术!$A:$ZZ,11,FALSE)+SUM(_xlfn.XLOOKUP($R54:$AK54,增益!$A:$A,增益!$K:$K,0))&gt;0,($F$12-$I$4+VLOOKUP($Q54,武学奇术!$A:$ZZ,11,FALSE)+SUM(_xlfn.XLOOKUP($R54:$AK54,增益!$A:$A,增益!$K:$K,0)))/200,($F$12-$I$4+VLOOKUP($Q54,武学奇术!$A:$ZZ,11,FALSE)+SUM(_xlfn.XLOOKUP($R54:$AK54,增益!$A:$A,增益!$K:$K,0)))/100)</f>
        <v>0.17</v>
      </c>
      <c r="BE54" s="34" cm="1">
        <f t="array" ref="BE54">$G$12+VLOOKUP($Q54,武学奇术!$A:$ZZ,12,FALSE)+SUM(_xlfn.XLOOKUP($R54:$AK54,增益!$A:$A,增益!$L:$L,0))</f>
        <v>0.15</v>
      </c>
      <c r="BF54">
        <f t="shared" si="5"/>
        <v>0</v>
      </c>
      <c r="BG54">
        <f t="shared" si="6"/>
        <v>0</v>
      </c>
      <c r="BH54" s="34" cm="1">
        <f t="array" ref="BH54">IF($F$13-$I$4+VLOOKUP($Q54,武学奇术!$A:$ZZ,13,FALSE)+SUM(_xlfn.XLOOKUP($R54:$AK54,增益!$A:$A,增益!$M:$M,0))&gt;0,($F$13-$I$4+VLOOKUP($Q54,武学奇术!$A:$ZZ,13,FALSE)+SUM(_xlfn.XLOOKUP($R54:$AK54,增益!$A:$A,增益!$K:$K,0)))/200,($F$13-$I$4+VLOOKUP($Q54,武学奇术!$A:$ZZ,13,FALSE)+SUM(_xlfn.XLOOKUP($R54:$AK54,增益!$A:$A,增益!$M:$M,0)))/100)</f>
        <v>-0.14</v>
      </c>
      <c r="BI54" s="34" cm="1">
        <f t="array" ref="BI54">$G$13+VLOOKUP($Q54,武学奇术!$A:$ZZ,14,FALSE)+SUM(_xlfn.XLOOKUP($R54:$AK54,增益!$A:$A,增益!$N:$N,0))</f>
        <v>0</v>
      </c>
      <c r="BJ54">
        <f t="shared" si="7"/>
        <v>0</v>
      </c>
      <c r="BK54">
        <f t="shared" si="8"/>
        <v>0</v>
      </c>
      <c r="BL54" s="34" cm="1">
        <f t="array" ref="BL54">IF($F$14-$I$4+VLOOKUP($Q54,武学奇术!$A:$ZZ,15,FALSE)+SUM(_xlfn.XLOOKUP($R54:$AK54,增益!$A:$A,增益!$O:$O,0))&gt;0,($F$14-$I$4+VLOOKUP($Q54,武学奇术!$A:$ZZ,15,FALSE)+SUM(_xlfn.XLOOKUP($R54:$AK54,增益!$A:$A,增益!$O:$O,0)))/200,($F$14-$I$4+VLOOKUP($Q54,武学奇术!$A:$ZZ,15,FALSE)+SUM(_xlfn.XLOOKUP($R54:$AK54,增益!$A:$A,增益!$O:$O,0)))/100)</f>
        <v>-0.14</v>
      </c>
      <c r="BM54" s="34" cm="1">
        <f t="array" ref="BM54">$G$14+VLOOKUP($Q54,武学奇术!$A:$ZZ,16,FALSE)+SUM(_xlfn.XLOOKUP($R54:$AK54,增益!$A:$A,增益!$P:$P,0))</f>
        <v>0</v>
      </c>
      <c r="BN54" s="27">
        <f>MIN(IF(VLOOKUP($Q54,武学奇术!$A:$ZZ,23,FALSE)=1,100%,$B$8),100%)</f>
        <v>1</v>
      </c>
      <c r="BO54" s="27" cm="1">
        <f t="array" ref="BO54">IF(VLOOKUP($Q54,武学奇术!$A:$ZZ,23,FALSE)=1,100%,MIN(80%,$B$9+VLOOKUP($Q54,武学奇术!$A:$ZZ,17,FALSE)+SUM(_xlfn.XLOOKUP($R54:$AK54,增益!$A:$A,增益!$Q:$Q,0)))+$B$11+SUM(_xlfn.XLOOKUP($R54:$AK54,增益!$A:$A,增益!$U:$U,0)))*IF(VLOOKUP($Q54,武学奇术!$A:$ZZ,24,FALSE)=1,0,1)</f>
        <v>1</v>
      </c>
      <c r="BP54" s="27" cm="1">
        <f t="array" ref="BP54">1+$B$13+VLOOKUP($Q54,武学奇术!$A:$ZZ,18,FALSE)+SUM(_xlfn.XLOOKUP($R54:$AK54,增益!$A:$A,增益!$R:$R,0))</f>
        <v>2.1</v>
      </c>
      <c r="BQ54" s="27" cm="1">
        <f t="array" ref="BQ54">IF(VLOOKUP($Q54,武学奇术!$A:$ZZ,24,FALSE)=1,100%,MIN(40%,$B$10+VLOOKUP($Q54,武学奇术!$A:$ZZ,19,FALSE)+SUM(_xlfn.XLOOKUP($R54:$AK54,增益!$A:$A,增益!$S:$S,0)))+$B$12+SUM(_xlfn.XLOOKUP($R54:$AK54,增益!$A:$A,增益!$V:$V,0)))*IF(VLOOKUP($Q54,武学奇术!$A:$ZZ,23,FALSE)=1,0,1)</f>
        <v>0</v>
      </c>
      <c r="BR54" s="27" cm="1">
        <f t="array" ref="BR54">1+$B$14+VLOOKUP($Q54,武学奇术!$A:$ZZ,20,FALSE)+SUM(_xlfn.XLOOKUP($R54:$AK54,增益!$A:$A,增益!$T:$T,0))</f>
        <v>1.35</v>
      </c>
      <c r="BS54" s="27">
        <f t="shared" si="9"/>
        <v>1</v>
      </c>
      <c r="BT54" s="27">
        <f t="shared" si="10"/>
        <v>0</v>
      </c>
      <c r="BU54" s="27">
        <f>IF(VLOOKUP($Q54,武学奇术!$A:$ZZ,22,FALSE)=1,0,(1-$BN54))*(1-$BQ54)</f>
        <v>0</v>
      </c>
      <c r="BV54" s="27" cm="1">
        <f t="array" ref="BV54">SUM(_xlfn.XLOOKUP($R54:$AK54,增益!$A:$A,增益!$W:$W,0))+$I$5</f>
        <v>0.21</v>
      </c>
    </row>
    <row r="55" spans="4:74">
      <c r="K55" s="40">
        <f t="shared" si="0"/>
        <v>111001.923991987</v>
      </c>
      <c r="L55" s="40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BP55*$P55*(1+IF(VLOOKUP($Q55,武学奇术!$A:$ZZ,30,FALSE)="蓄力技",$B$21,0))*(1+$BV55)</f>
        <v>111001.923991987</v>
      </c>
      <c r="M55" s="40">
        <f>(($AT55*$AM55+$AN55)*(1+$AU55)*(1+$AV55)+($AY55*IF($G$1="鸣金",$AO55,$AM55)+IF($G$1="鸣金",$AP55*1.5,0))*(1+$AZ55)*(1+$BA55)+($BC55*IF($G$1="裂石",$AO55,$AM55)+IF($G$1="裂石",$AP55*1.5,0))*(1+$BD55)*(1+$BE55)+($BG55*IF($G$1="牵丝",$AO55,$AM55)+IF($G$1="牵丝",$AP55*1.5,0))*(1+$BH55)*(1+$BI55)+($BK55*IF($G$1="破竹",$AO55,$AM55)+IF($G$1="破竹",$AP55*1.5,0))*(1+$BL55)*(1+$BM55))*(1+$AQ55)*$BR55*$P55*(1+IF(VLOOKUP($Q55,武学奇术!$A:$ZZ,30,FALSE)="蓄力技",$B$21,0))*(1+$BV55)</f>
        <v>81656.1018947863</v>
      </c>
      <c r="N55" s="40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P55*(1+IF(VLOOKUP($Q55,武学奇术!$A:$ZZ,30,FALSE)="蓄力技",$B$21,0))*(1+$BV55)</f>
        <v>52858.0590438035</v>
      </c>
      <c r="O55" s="40">
        <f>((($AS55*$AM55+$AN55)*(1+$AU55)*(1+$AV55)+($AX55*IF($G$1="鸣金",$AO55,$AM55)+IF($G$1="鸣金",$AP55*1.5,0))*(1+$AZ55)*(1+$BA55)+($BB55*IF($G$1="裂石",$AO55,$AM55)+IF($G$1="裂石",$AP55*1.5,0))*(1+$BD55)*(1+$BE55)+($BF55*IF($G$1="牵丝",$AO55,$AM55)+IF($G$1="牵丝",$AP55*1.5,0))*(1+$BH55)*(1+$BI55)+($BJ55*IF($G$1="破竹",$AO55,$AM55)+IF($G$1="破竹",$AP55*1.5,0))*(1+$BL55)*(1+$BM55))*(1+$AQ55))*$P55*(1+IF(VLOOKUP($Q55,武学奇术!$A:$ZZ,30,FALSE)="蓄力技",$B$21,0))*(1+$BV55)</f>
        <v>45230.1166840616</v>
      </c>
      <c r="P55" s="41">
        <v>3</v>
      </c>
      <c r="Q55" s="42" t="s">
        <v>117</v>
      </c>
      <c r="R55" s="42" t="s">
        <v>103</v>
      </c>
      <c r="S55" s="42" t="s">
        <v>169</v>
      </c>
      <c r="T55" s="42" t="s">
        <v>86</v>
      </c>
      <c r="U55" s="42" t="s">
        <v>121</v>
      </c>
      <c r="V55" s="42" t="s">
        <v>118</v>
      </c>
      <c r="W55" s="42" t="s">
        <v>77</v>
      </c>
      <c r="X55" s="42" t="s">
        <v>176</v>
      </c>
      <c r="Y55" s="42" t="s">
        <v>186</v>
      </c>
      <c r="Z55" s="42" t="s">
        <v>77</v>
      </c>
      <c r="AA55" s="42" t="s">
        <v>73</v>
      </c>
      <c r="AB55" s="42" t="s">
        <v>77</v>
      </c>
      <c r="AC55" s="42" t="s">
        <v>77</v>
      </c>
      <c r="AD55" s="42" t="s">
        <v>77</v>
      </c>
      <c r="AE55" s="42" t="s">
        <v>81</v>
      </c>
      <c r="AF55" s="42" t="s">
        <v>82</v>
      </c>
      <c r="AG55" s="42" t="s">
        <v>77</v>
      </c>
      <c r="AH55" s="42" t="s">
        <v>77</v>
      </c>
      <c r="AI55" s="42" t="s">
        <v>77</v>
      </c>
      <c r="AJ55" s="42" t="s">
        <v>77</v>
      </c>
      <c r="AK55" s="42" t="s">
        <v>77</v>
      </c>
      <c r="AL55" t="str">
        <f>VLOOKUP($Q55,武学奇术!$A:$ZZ,25,FALSE)</f>
        <v>陌刀</v>
      </c>
      <c r="AM55" s="27">
        <f>VLOOKUP($Q55,武学奇术!$A:$ZZ,26,FALSE)</f>
        <v>0.9</v>
      </c>
      <c r="AN55" s="28">
        <f>VLOOKUP($Q55,武学奇术!$A:$ZZ,27,FALSE)*(1+IF(OR($AL55=$F$4,$AL55=$F$5),$B$22,0))</f>
        <v>0</v>
      </c>
      <c r="AO55" s="27">
        <f>VLOOKUP($Q55,武学奇术!$A:$ZZ,28,FALSE)</f>
        <v>1.35</v>
      </c>
      <c r="AP55" s="28">
        <f>VLOOKUP($Q55,武学奇术!$A:$ZZ,29,FALSE)*(1+IF(OR($AL55=$F$4,$AL55=$F$5),$B$22,0))</f>
        <v>0</v>
      </c>
      <c r="AQ55" s="27" cm="1">
        <f t="array" ref="AQ55">$G$3+IFERROR(VLOOKUP($AL55,$F$4:$G$7,2,FALSE),0)+VLOOKUP($Q55,武学奇术!$A:$ZZ,2,FALSE)+SUM(_xlfn.XLOOKUP($R55:$AK55,增益!$A:$A,增益!$B:$B,0))</f>
        <v>0.7341</v>
      </c>
      <c r="AR55" s="27" cm="1">
        <f t="array" ref="AR55">VLOOKUP($Q55,武学奇术!$A:$ZZ,5,FALSE)+SUM(_xlfn.XLOOKUP($R55:$AK55,增益!$A:$A,增益!$E:$E,0))</f>
        <v>0</v>
      </c>
      <c r="AS55" cm="1">
        <f t="array" ref="AS55">$D$10*(1+$AR55)+VLOOKUP($Q55,武学奇术!$A:$ZZ,3,FALSE)+SUM(_xlfn.XLOOKUP($R55:$AK55,增益!$A:$A,增益!$C:$C,0))-$I$2</f>
        <v>3586.7</v>
      </c>
      <c r="AT55" cm="1">
        <f t="array" ref="AT55">$E$10*(1+$AR55)+VLOOKUP($Q55,武学奇术!$A:$ZZ,4,FALSE)+SUM(_xlfn.XLOOKUP($R55:$AK55,增益!$A:$A,增益!$D:$D,0))-$I$2</f>
        <v>3586.7</v>
      </c>
      <c r="AU55" s="34" cm="1">
        <f t="array" ref="AU55">IF($F$10-$I$3+VLOOKUP($Q55,武学奇术!$A:$ZZ,6,FALSE)+SUM(_xlfn.XLOOKUP($R55:$AK55,增益!$A:$A,增益!$F:$F,0))&gt;0,($F$10-$I$3+VLOOKUP($Q55,武学奇术!$A:$ZZ,6,FALSE)+SUM(_xlfn.XLOOKUP($R55:$AK55,增益!$A:$A,增益!$F:$F,0)))/200,($F$10-$I$3+VLOOKUP($Q55,武学奇术!$A:$ZZ,6,FALSE)+SUM(_xlfn.XLOOKUP($R55:$AK55,增益!$A:$A,增益!$F:$F,0)))/100)</f>
        <v>0.352</v>
      </c>
      <c r="AV55" s="34" cm="1">
        <f t="array" ref="AV55">$G$10+VLOOKUP($Q55,武学奇术!$A:$ZZ,7,FALSE)+SUM(_xlfn.XLOOKUP($R55:$AK55,增益!$A:$A,增益!$G:$G,0))</f>
        <v>0</v>
      </c>
      <c r="AW55" s="27" cm="1">
        <f t="array" ref="AW55">VLOOKUP($Q55,武学奇术!$A:$ZZ,8,FALSE)+SUM(_xlfn.XLOOKUP($R55:$AK55,增益!$A:$A,增益!$H:$H,0))</f>
        <v>0</v>
      </c>
      <c r="AX55">
        <f t="shared" si="1"/>
        <v>0</v>
      </c>
      <c r="AY55">
        <f t="shared" si="2"/>
        <v>0</v>
      </c>
      <c r="AZ55" s="34" cm="1">
        <f t="array" ref="AZ55">IF($F$11-$I$4+VLOOKUP($Q55,武学奇术!$A:$ZZ,9,FALSE)+SUM(_xlfn.XLOOKUP($R55:$AK55,增益!$A:$A,增益!$I:$I,0))&gt;0,($F$11-$I$4+VLOOKUP($Q55,武学奇术!$A:$ZZ,9,FALSE)+SUM(_xlfn.XLOOKUP($R55:$AK55,增益!$A:$A,增益!$I:$I,0)))/200,($F$11-$I$4+VLOOKUP($Q55,武学奇术!$A:$ZZ,9,FALSE)+SUM(_xlfn.XLOOKUP($R55:$AK55,增益!$A:$A,增益!$I:$I,0)))/100)</f>
        <v>-0.14</v>
      </c>
      <c r="BA55" s="34" cm="1">
        <f t="array" ref="BA55">$G$11+VLOOKUP($Q55,武学奇术!$A:$ZZ,10,FALSE)+SUM(_xlfn.XLOOKUP($R55:$AK55,增益!$A:$A,增益!$J:$J,0))</f>
        <v>0</v>
      </c>
      <c r="BB55">
        <f t="shared" si="3"/>
        <v>594.1</v>
      </c>
      <c r="BC55">
        <f t="shared" si="4"/>
        <v>1604.9</v>
      </c>
      <c r="BD55" s="34" cm="1">
        <f t="array" ref="BD55">IF($F$12-$I$4+VLOOKUP($Q55,武学奇术!$A:$ZZ,11,FALSE)+SUM(_xlfn.XLOOKUP($R55:$AK55,增益!$A:$A,增益!$K:$K,0))&gt;0,($F$12-$I$4+VLOOKUP($Q55,武学奇术!$A:$ZZ,11,FALSE)+SUM(_xlfn.XLOOKUP($R55:$AK55,增益!$A:$A,增益!$K:$K,0)))/200,($F$12-$I$4+VLOOKUP($Q55,武学奇术!$A:$ZZ,11,FALSE)+SUM(_xlfn.XLOOKUP($R55:$AK55,增益!$A:$A,增益!$K:$K,0)))/100)</f>
        <v>0.17</v>
      </c>
      <c r="BE55" s="34" cm="1">
        <f t="array" ref="BE55">$G$12+VLOOKUP($Q55,武学奇术!$A:$ZZ,12,FALSE)+SUM(_xlfn.XLOOKUP($R55:$AK55,增益!$A:$A,增益!$L:$L,0))</f>
        <v>0.15</v>
      </c>
      <c r="BF55">
        <f t="shared" si="5"/>
        <v>0</v>
      </c>
      <c r="BG55">
        <f t="shared" si="6"/>
        <v>0</v>
      </c>
      <c r="BH55" s="34" cm="1">
        <f t="array" ref="BH55">IF($F$13-$I$4+VLOOKUP($Q55,武学奇术!$A:$ZZ,13,FALSE)+SUM(_xlfn.XLOOKUP($R55:$AK55,增益!$A:$A,增益!$M:$M,0))&gt;0,($F$13-$I$4+VLOOKUP($Q55,武学奇术!$A:$ZZ,13,FALSE)+SUM(_xlfn.XLOOKUP($R55:$AK55,增益!$A:$A,增益!$K:$K,0)))/200,($F$13-$I$4+VLOOKUP($Q55,武学奇术!$A:$ZZ,13,FALSE)+SUM(_xlfn.XLOOKUP($R55:$AK55,增益!$A:$A,增益!$M:$M,0)))/100)</f>
        <v>-0.14</v>
      </c>
      <c r="BI55" s="34" cm="1">
        <f t="array" ref="BI55">$G$13+VLOOKUP($Q55,武学奇术!$A:$ZZ,14,FALSE)+SUM(_xlfn.XLOOKUP($R55:$AK55,增益!$A:$A,增益!$N:$N,0))</f>
        <v>0</v>
      </c>
      <c r="BJ55">
        <f t="shared" si="7"/>
        <v>0</v>
      </c>
      <c r="BK55">
        <f t="shared" si="8"/>
        <v>0</v>
      </c>
      <c r="BL55" s="34" cm="1">
        <f t="array" ref="BL55">IF($F$14-$I$4+VLOOKUP($Q55,武学奇术!$A:$ZZ,15,FALSE)+SUM(_xlfn.XLOOKUP($R55:$AK55,增益!$A:$A,增益!$O:$O,0))&gt;0,($F$14-$I$4+VLOOKUP($Q55,武学奇术!$A:$ZZ,15,FALSE)+SUM(_xlfn.XLOOKUP($R55:$AK55,增益!$A:$A,增益!$O:$O,0)))/200,($F$14-$I$4+VLOOKUP($Q55,武学奇术!$A:$ZZ,15,FALSE)+SUM(_xlfn.XLOOKUP($R55:$AK55,增益!$A:$A,增益!$O:$O,0)))/100)</f>
        <v>-0.14</v>
      </c>
      <c r="BM55" s="34" cm="1">
        <f t="array" ref="BM55">$G$14+VLOOKUP($Q55,武学奇术!$A:$ZZ,16,FALSE)+SUM(_xlfn.XLOOKUP($R55:$AK55,增益!$A:$A,增益!$P:$P,0))</f>
        <v>0</v>
      </c>
      <c r="BN55" s="27">
        <f>MIN(IF(VLOOKUP($Q55,武学奇术!$A:$ZZ,23,FALSE)=1,100%,$B$8),100%)</f>
        <v>1</v>
      </c>
      <c r="BO55" s="27" cm="1">
        <f t="array" ref="BO55">IF(VLOOKUP($Q55,武学奇术!$A:$ZZ,23,FALSE)=1,100%,MIN(80%,$B$9+VLOOKUP($Q55,武学奇术!$A:$ZZ,17,FALSE)+SUM(_xlfn.XLOOKUP($R55:$AK55,增益!$A:$A,增益!$Q:$Q,0)))+$B$11+SUM(_xlfn.XLOOKUP($R55:$AK55,增益!$A:$A,增益!$U:$U,0)))*IF(VLOOKUP($Q55,武学奇术!$A:$ZZ,24,FALSE)=1,0,1)</f>
        <v>1</v>
      </c>
      <c r="BP55" s="27" cm="1">
        <f t="array" ref="BP55">1+$B$13+VLOOKUP($Q55,武学奇术!$A:$ZZ,18,FALSE)+SUM(_xlfn.XLOOKUP($R55:$AK55,增益!$A:$A,增益!$R:$R,0))</f>
        <v>2.1</v>
      </c>
      <c r="BQ55" s="27" cm="1">
        <f t="array" ref="BQ55">IF(VLOOKUP($Q55,武学奇术!$A:$ZZ,24,FALSE)=1,100%,MIN(40%,$B$10+VLOOKUP($Q55,武学奇术!$A:$ZZ,19,FALSE)+SUM(_xlfn.XLOOKUP($R55:$AK55,增益!$A:$A,增益!$S:$S,0)))+$B$12+SUM(_xlfn.XLOOKUP($R55:$AK55,增益!$A:$A,增益!$V:$V,0)))*IF(VLOOKUP($Q55,武学奇术!$A:$ZZ,23,FALSE)=1,0,1)</f>
        <v>0</v>
      </c>
      <c r="BR55" s="27" cm="1">
        <f t="array" ref="BR55">1+$B$14+VLOOKUP($Q55,武学奇术!$A:$ZZ,20,FALSE)+SUM(_xlfn.XLOOKUP($R55:$AK55,增益!$A:$A,增益!$T:$T,0))</f>
        <v>1.35</v>
      </c>
      <c r="BS55" s="27">
        <f t="shared" si="9"/>
        <v>1</v>
      </c>
      <c r="BT55" s="27">
        <f t="shared" si="10"/>
        <v>0</v>
      </c>
      <c r="BU55" s="27">
        <f>IF(VLOOKUP($Q55,武学奇术!$A:$ZZ,22,FALSE)=1,0,(1-$BN55))*(1-$BQ55)</f>
        <v>0</v>
      </c>
      <c r="BV55" s="27" cm="1">
        <f t="array" ref="BV55">SUM(_xlfn.XLOOKUP($R55:$AK55,增益!$A:$A,增益!$W:$W,0))+$I$5</f>
        <v>0.21</v>
      </c>
    </row>
    <row r="56" spans="4:74">
      <c r="K56" s="40">
        <f t="shared" si="0"/>
        <v>1067616.70595339</v>
      </c>
      <c r="L56" s="40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BP56*$P56*(1+IF(VLOOKUP($Q56,武学奇术!$A:$ZZ,30,FALSE)="蓄力技",$B$21,0))*(1+$BV56)</f>
        <v>1067616.70595339</v>
      </c>
      <c r="M56" s="40">
        <f>(($AT56*$AM56+$AN56)*(1+$AU56)*(1+$AV56)+($AY56*IF($G$1="鸣金",$AO56,$AM56)+IF($G$1="鸣金",$AP56*1.5,0))*(1+$AZ56)*(1+$BA56)+($BC56*IF($G$1="裂石",$AO56,$AM56)+IF($G$1="裂石",$AP56*1.5,0))*(1+$BD56)*(1+$BE56)+($BG56*IF($G$1="牵丝",$AO56,$AM56)+IF($G$1="牵丝",$AP56*1.5,0))*(1+$BH56)*(1+$BI56)+($BK56*IF($G$1="破竹",$AO56,$AM56)+IF($G$1="破竹",$AP56*1.5,0))*(1+$BL56)*(1+$BM56))*(1+$AQ56)*$BR56*$P56*(1+IF(VLOOKUP($Q56,武学奇术!$A:$ZZ,30,FALSE)="蓄力技",$B$21,0))*(1+$BV56)</f>
        <v>772911.324569655</v>
      </c>
      <c r="N56" s="40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P56*(1+IF(VLOOKUP($Q56,武学奇术!$A:$ZZ,30,FALSE)="蓄力技",$B$21,0))*(1+$BV56)</f>
        <v>508388.907596854</v>
      </c>
      <c r="O56" s="40">
        <f>((($AS56*$AM56+$AN56)*(1+$AU56)*(1+$AV56)+($AX56*IF($G$1="鸣金",$AO56,$AM56)+IF($G$1="鸣金",$AP56*1.5,0))*(1+$AZ56)*(1+$BA56)+($BB56*IF($G$1="裂石",$AO56,$AM56)+IF($G$1="裂石",$AP56*1.5,0))*(1+$BD56)*(1+$BE56)+($BF56*IF($G$1="牵丝",$AO56,$AM56)+IF($G$1="牵丝",$AP56*1.5,0))*(1+$BH56)*(1+$BI56)+($BJ56*IF($G$1="破竹",$AO56,$AM56)+IF($G$1="破竹",$AP56*1.5,0))*(1+$BL56)*(1+$BM56))*(1+$AQ56))*$P56*(1+IF(VLOOKUP($Q56,武学奇术!$A:$ZZ,30,FALSE)="蓄力技",$B$21,0))*(1+$BV56)</f>
        <v>444250.908105075</v>
      </c>
      <c r="P56" s="41">
        <v>3</v>
      </c>
      <c r="Q56" s="42" t="s">
        <v>120</v>
      </c>
      <c r="R56" s="42" t="s">
        <v>103</v>
      </c>
      <c r="S56" s="42" t="s">
        <v>169</v>
      </c>
      <c r="T56" s="42" t="s">
        <v>86</v>
      </c>
      <c r="U56" s="42" t="s">
        <v>121</v>
      </c>
      <c r="V56" s="42" t="s">
        <v>118</v>
      </c>
      <c r="W56" s="42" t="s">
        <v>77</v>
      </c>
      <c r="X56" s="42" t="s">
        <v>176</v>
      </c>
      <c r="Y56" s="42" t="s">
        <v>186</v>
      </c>
      <c r="Z56" s="42" t="s">
        <v>77</v>
      </c>
      <c r="AA56" s="42" t="s">
        <v>73</v>
      </c>
      <c r="AB56" s="42" t="s">
        <v>77</v>
      </c>
      <c r="AC56" s="42" t="s">
        <v>77</v>
      </c>
      <c r="AD56" s="42" t="s">
        <v>77</v>
      </c>
      <c r="AE56" s="42" t="s">
        <v>81</v>
      </c>
      <c r="AF56" s="42" t="s">
        <v>82</v>
      </c>
      <c r="AG56" s="42" t="s">
        <v>77</v>
      </c>
      <c r="AH56" s="42" t="s">
        <v>77</v>
      </c>
      <c r="AI56" s="42" t="s">
        <v>77</v>
      </c>
      <c r="AJ56" s="42" t="s">
        <v>77</v>
      </c>
      <c r="AK56" s="42" t="s">
        <v>77</v>
      </c>
      <c r="AL56" t="str">
        <f>VLOOKUP($Q56,武学奇术!$A:$ZZ,25,FALSE)</f>
        <v>陌刀</v>
      </c>
      <c r="AM56" s="27">
        <f>VLOOKUP($Q56,武学奇术!$A:$ZZ,26,FALSE)</f>
        <v>7.5674</v>
      </c>
      <c r="AN56" s="28">
        <f>VLOOKUP($Q56,武学奇术!$A:$ZZ,27,FALSE)*(1+IF(OR($AL56=$F$4,$AL56=$F$5),$B$22,0))</f>
        <v>3139.5</v>
      </c>
      <c r="AO56" s="27">
        <f>VLOOKUP($Q56,武学奇术!$A:$ZZ,28,FALSE)</f>
        <v>11.3512</v>
      </c>
      <c r="AP56" s="28">
        <f>VLOOKUP($Q56,武学奇术!$A:$ZZ,29,FALSE)*(1+IF(OR($AL56=$F$4,$AL56=$F$5),$B$22,0))</f>
        <v>1710</v>
      </c>
      <c r="AQ56" s="27" cm="1">
        <f t="array" ref="AQ56">$G$3+IFERROR(VLOOKUP($AL56,$F$4:$G$7,2,FALSE),0)+VLOOKUP($Q56,武学奇术!$A:$ZZ,2,FALSE)+SUM(_xlfn.XLOOKUP($R56:$AK56,增益!$A:$A,增益!$B:$B,0))</f>
        <v>0.7341</v>
      </c>
      <c r="AR56" s="27" cm="1">
        <f t="array" ref="AR56">VLOOKUP($Q56,武学奇术!$A:$ZZ,5,FALSE)+SUM(_xlfn.XLOOKUP($R56:$AK56,增益!$A:$A,增益!$E:$E,0))</f>
        <v>0</v>
      </c>
      <c r="AS56" cm="1">
        <f t="array" ref="AS56">$D$10*(1+$AR56)+VLOOKUP($Q56,武学奇术!$A:$ZZ,3,FALSE)+SUM(_xlfn.XLOOKUP($R56:$AK56,增益!$A:$A,增益!$C:$C,0))-$I$2</f>
        <v>3586.7</v>
      </c>
      <c r="AT56" cm="1">
        <f t="array" ref="AT56">$E$10*(1+$AR56)+VLOOKUP($Q56,武学奇术!$A:$ZZ,4,FALSE)+SUM(_xlfn.XLOOKUP($R56:$AK56,增益!$A:$A,增益!$D:$D,0))-$I$2</f>
        <v>3586.7</v>
      </c>
      <c r="AU56" s="34" cm="1">
        <f t="array" ref="AU56">IF($F$10-$I$3+VLOOKUP($Q56,武学奇术!$A:$ZZ,6,FALSE)+SUM(_xlfn.XLOOKUP($R56:$AK56,增益!$A:$A,增益!$F:$F,0))&gt;0,($F$10-$I$3+VLOOKUP($Q56,武学奇术!$A:$ZZ,6,FALSE)+SUM(_xlfn.XLOOKUP($R56:$AK56,增益!$A:$A,增益!$F:$F,0)))/200,($F$10-$I$3+VLOOKUP($Q56,武学奇术!$A:$ZZ,6,FALSE)+SUM(_xlfn.XLOOKUP($R56:$AK56,增益!$A:$A,增益!$F:$F,0)))/100)</f>
        <v>0.352</v>
      </c>
      <c r="AV56" s="34" cm="1">
        <f t="array" ref="AV56">$G$10+VLOOKUP($Q56,武学奇术!$A:$ZZ,7,FALSE)+SUM(_xlfn.XLOOKUP($R56:$AK56,增益!$A:$A,增益!$G:$G,0))</f>
        <v>0</v>
      </c>
      <c r="AW56" s="27" cm="1">
        <f t="array" ref="AW56">VLOOKUP($Q56,武学奇术!$A:$ZZ,8,FALSE)+SUM(_xlfn.XLOOKUP($R56:$AK56,增益!$A:$A,增益!$H:$H,0))</f>
        <v>0</v>
      </c>
      <c r="AX56">
        <f t="shared" si="1"/>
        <v>0</v>
      </c>
      <c r="AY56">
        <f t="shared" si="2"/>
        <v>0</v>
      </c>
      <c r="AZ56" s="34" cm="1">
        <f t="array" ref="AZ56">IF($F$11-$I$4+VLOOKUP($Q56,武学奇术!$A:$ZZ,9,FALSE)+SUM(_xlfn.XLOOKUP($R56:$AK56,增益!$A:$A,增益!$I:$I,0))&gt;0,($F$11-$I$4+VLOOKUP($Q56,武学奇术!$A:$ZZ,9,FALSE)+SUM(_xlfn.XLOOKUP($R56:$AK56,增益!$A:$A,增益!$I:$I,0)))/200,($F$11-$I$4+VLOOKUP($Q56,武学奇术!$A:$ZZ,9,FALSE)+SUM(_xlfn.XLOOKUP($R56:$AK56,增益!$A:$A,增益!$I:$I,0)))/100)</f>
        <v>-0.14</v>
      </c>
      <c r="BA56" s="34" cm="1">
        <f t="array" ref="BA56">$G$11+VLOOKUP($Q56,武学奇术!$A:$ZZ,10,FALSE)+SUM(_xlfn.XLOOKUP($R56:$AK56,增益!$A:$A,增益!$J:$J,0))</f>
        <v>0</v>
      </c>
      <c r="BB56">
        <f t="shared" si="3"/>
        <v>594.1</v>
      </c>
      <c r="BC56">
        <f t="shared" si="4"/>
        <v>1604.9</v>
      </c>
      <c r="BD56" s="34" cm="1">
        <f t="array" ref="BD56">IF($F$12-$I$4+VLOOKUP($Q56,武学奇术!$A:$ZZ,11,FALSE)+SUM(_xlfn.XLOOKUP($R56:$AK56,增益!$A:$A,增益!$K:$K,0))&gt;0,($F$12-$I$4+VLOOKUP($Q56,武学奇术!$A:$ZZ,11,FALSE)+SUM(_xlfn.XLOOKUP($R56:$AK56,增益!$A:$A,增益!$K:$K,0)))/200,($F$12-$I$4+VLOOKUP($Q56,武学奇术!$A:$ZZ,11,FALSE)+SUM(_xlfn.XLOOKUP($R56:$AK56,增益!$A:$A,增益!$K:$K,0)))/100)</f>
        <v>0.17</v>
      </c>
      <c r="BE56" s="34" cm="1">
        <f t="array" ref="BE56">$G$12+VLOOKUP($Q56,武学奇术!$A:$ZZ,12,FALSE)+SUM(_xlfn.XLOOKUP($R56:$AK56,增益!$A:$A,增益!$L:$L,0))</f>
        <v>0.15</v>
      </c>
      <c r="BF56">
        <f t="shared" si="5"/>
        <v>0</v>
      </c>
      <c r="BG56">
        <f t="shared" si="6"/>
        <v>0</v>
      </c>
      <c r="BH56" s="34" cm="1">
        <f t="array" ref="BH56">IF($F$13-$I$4+VLOOKUP($Q56,武学奇术!$A:$ZZ,13,FALSE)+SUM(_xlfn.XLOOKUP($R56:$AK56,增益!$A:$A,增益!$M:$M,0))&gt;0,($F$13-$I$4+VLOOKUP($Q56,武学奇术!$A:$ZZ,13,FALSE)+SUM(_xlfn.XLOOKUP($R56:$AK56,增益!$A:$A,增益!$K:$K,0)))/200,($F$13-$I$4+VLOOKUP($Q56,武学奇术!$A:$ZZ,13,FALSE)+SUM(_xlfn.XLOOKUP($R56:$AK56,增益!$A:$A,增益!$M:$M,0)))/100)</f>
        <v>-0.14</v>
      </c>
      <c r="BI56" s="34" cm="1">
        <f t="array" ref="BI56">$G$13+VLOOKUP($Q56,武学奇术!$A:$ZZ,14,FALSE)+SUM(_xlfn.XLOOKUP($R56:$AK56,增益!$A:$A,增益!$N:$N,0))</f>
        <v>0</v>
      </c>
      <c r="BJ56">
        <f t="shared" si="7"/>
        <v>0</v>
      </c>
      <c r="BK56">
        <f t="shared" si="8"/>
        <v>0</v>
      </c>
      <c r="BL56" s="34" cm="1">
        <f t="array" ref="BL56">IF($F$14-$I$4+VLOOKUP($Q56,武学奇术!$A:$ZZ,15,FALSE)+SUM(_xlfn.XLOOKUP($R56:$AK56,增益!$A:$A,增益!$O:$O,0))&gt;0,($F$14-$I$4+VLOOKUP($Q56,武学奇术!$A:$ZZ,15,FALSE)+SUM(_xlfn.XLOOKUP($R56:$AK56,增益!$A:$A,增益!$O:$O,0)))/200,($F$14-$I$4+VLOOKUP($Q56,武学奇术!$A:$ZZ,15,FALSE)+SUM(_xlfn.XLOOKUP($R56:$AK56,增益!$A:$A,增益!$O:$O,0)))/100)</f>
        <v>-0.14</v>
      </c>
      <c r="BM56" s="34" cm="1">
        <f t="array" ref="BM56">$G$14+VLOOKUP($Q56,武学奇术!$A:$ZZ,16,FALSE)+SUM(_xlfn.XLOOKUP($R56:$AK56,增益!$A:$A,增益!$P:$P,0))</f>
        <v>0</v>
      </c>
      <c r="BN56" s="27">
        <f>MIN(IF(VLOOKUP($Q56,武学奇术!$A:$ZZ,23,FALSE)=1,100%,$B$8),100%)</f>
        <v>1</v>
      </c>
      <c r="BO56" s="27" cm="1">
        <f t="array" ref="BO56">IF(VLOOKUP($Q56,武学奇术!$A:$ZZ,23,FALSE)=1,100%,MIN(80%,$B$9+VLOOKUP($Q56,武学奇术!$A:$ZZ,17,FALSE)+SUM(_xlfn.XLOOKUP($R56:$AK56,增益!$A:$A,增益!$Q:$Q,0)))+$B$11+SUM(_xlfn.XLOOKUP($R56:$AK56,增益!$A:$A,增益!$U:$U,0)))*IF(VLOOKUP($Q56,武学奇术!$A:$ZZ,24,FALSE)=1,0,1)</f>
        <v>1</v>
      </c>
      <c r="BP56" s="27" cm="1">
        <f t="array" ref="BP56">1+$B$13+VLOOKUP($Q56,武学奇术!$A:$ZZ,18,FALSE)+SUM(_xlfn.XLOOKUP($R56:$AK56,增益!$A:$A,增益!$R:$R,0))</f>
        <v>2.1</v>
      </c>
      <c r="BQ56" s="27" cm="1">
        <f t="array" ref="BQ56">IF(VLOOKUP($Q56,武学奇术!$A:$ZZ,24,FALSE)=1,100%,MIN(40%,$B$10+VLOOKUP($Q56,武学奇术!$A:$ZZ,19,FALSE)+SUM(_xlfn.XLOOKUP($R56:$AK56,增益!$A:$A,增益!$S:$S,0)))+$B$12+SUM(_xlfn.XLOOKUP($R56:$AK56,增益!$A:$A,增益!$V:$V,0)))*IF(VLOOKUP($Q56,武学奇术!$A:$ZZ,23,FALSE)=1,0,1)</f>
        <v>0</v>
      </c>
      <c r="BR56" s="27" cm="1">
        <f t="array" ref="BR56">1+$B$14+VLOOKUP($Q56,武学奇术!$A:$ZZ,20,FALSE)+SUM(_xlfn.XLOOKUP($R56:$AK56,增益!$A:$A,增益!$T:$T,0))</f>
        <v>1.35</v>
      </c>
      <c r="BS56" s="27">
        <f t="shared" si="9"/>
        <v>1</v>
      </c>
      <c r="BT56" s="27">
        <f t="shared" si="10"/>
        <v>0</v>
      </c>
      <c r="BU56" s="27">
        <f>IF(VLOOKUP($Q56,武学奇术!$A:$ZZ,22,FALSE)=1,0,(1-$BN56))*(1-$BQ56)</f>
        <v>0</v>
      </c>
      <c r="BV56" s="27" cm="1">
        <f t="array" ref="BV56">SUM(_xlfn.XLOOKUP($R56:$AK56,增益!$A:$A,增益!$W:$W,0))+$I$5</f>
        <v>0.21</v>
      </c>
    </row>
    <row r="57" spans="4:74">
      <c r="D57" s="4"/>
      <c r="E57" s="4"/>
      <c r="K57" s="40">
        <f t="shared" si="0"/>
        <v>61905.4033303225</v>
      </c>
      <c r="L57" s="40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BP57*$P57*(1+IF(VLOOKUP($Q57,武学奇术!$A:$ZZ,30,FALSE)="蓄力技",$B$21,0))*(1+$BV57)</f>
        <v>64305.4648532185</v>
      </c>
      <c r="M57" s="40">
        <f>(($AT57*$AM57+$AN57)*(1+$AU57)*(1+$AV57)+($AY57*IF($G$1="鸣金",$AO57,$AM57)+IF($G$1="鸣金",$AP57*1.5,0))*(1+$AZ57)*(1+$BA57)+($BC57*IF($G$1="裂石",$AO57,$AM57)+IF($G$1="裂石",$AP57*1.5,0))*(1+$BD57)*(1+$BE57)+($BG57*IF($G$1="牵丝",$AO57,$AM57)+IF($G$1="牵丝",$AP57*1.5,0))*(1+$BH57)*(1+$BI57)+($BK57*IF($G$1="破竹",$AO57,$AM57)+IF($G$1="破竹",$AP57*1.5,0))*(1+$BL57)*(1+$BM57))*(1+$AQ57)*$BR57*$P57*(1+IF(VLOOKUP($Q57,武学奇术!$A:$ZZ,30,FALSE)="蓄力技",$B$21,0))*(1+$BV57)</f>
        <v>48880.9710423009</v>
      </c>
      <c r="N57" s="40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P57*(1+IF(VLOOKUP($Q57,武学奇术!$A:$ZZ,30,FALSE)="蓄力技",$B$21,0))*(1+$BV57)</f>
        <v>32152.7324266093</v>
      </c>
      <c r="O57" s="40">
        <f>((($AS57*$AM57+$AN57)*(1+$AU57)*(1+$AV57)+($AX57*IF($G$1="鸣金",$AO57,$AM57)+IF($G$1="鸣金",$AP57*1.5,0))*(1+$AZ57)*(1+$BA57)+($BB57*IF($G$1="裂石",$AO57,$AM57)+IF($G$1="裂石",$AP57*1.5,0))*(1+$BD57)*(1+$BE57)+($BF57*IF($G$1="牵丝",$AO57,$AM57)+IF($G$1="牵丝",$AP57*1.5,0))*(1+$BH57)*(1+$BI57)+($BJ57*IF($G$1="破竹",$AO57,$AM57)+IF($G$1="破竹",$AP57*1.5,0))*(1+$BL57)*(1+$BM57))*(1+$AQ57))*$P57*(1+IF(VLOOKUP($Q57,武学奇术!$A:$ZZ,30,FALSE)="蓄力技",$B$21,0))*(1+$BV57)</f>
        <v>28097.3381552179</v>
      </c>
      <c r="P57" s="41">
        <v>1</v>
      </c>
      <c r="Q57" s="42" t="s">
        <v>157</v>
      </c>
      <c r="R57" s="42" t="s">
        <v>103</v>
      </c>
      <c r="S57" s="42" t="s">
        <v>169</v>
      </c>
      <c r="T57" s="42" t="s">
        <v>86</v>
      </c>
      <c r="U57" s="42" t="s">
        <v>121</v>
      </c>
      <c r="V57" s="42" t="s">
        <v>77</v>
      </c>
      <c r="W57" s="42" t="s">
        <v>77</v>
      </c>
      <c r="X57" s="42" t="s">
        <v>176</v>
      </c>
      <c r="Y57" s="42" t="s">
        <v>186</v>
      </c>
      <c r="Z57" s="42" t="s">
        <v>77</v>
      </c>
      <c r="AA57" s="42" t="s">
        <v>73</v>
      </c>
      <c r="AB57" s="42" t="s">
        <v>77</v>
      </c>
      <c r="AC57" s="42" t="s">
        <v>77</v>
      </c>
      <c r="AD57" s="42" t="s">
        <v>77</v>
      </c>
      <c r="AE57" s="42" t="s">
        <v>81</v>
      </c>
      <c r="AF57" s="42" t="s">
        <v>82</v>
      </c>
      <c r="AG57" s="42" t="s">
        <v>77</v>
      </c>
      <c r="AH57" s="42" t="s">
        <v>77</v>
      </c>
      <c r="AI57" s="42" t="s">
        <v>77</v>
      </c>
      <c r="AJ57" s="42" t="s">
        <v>77</v>
      </c>
      <c r="AK57" s="42" t="s">
        <v>77</v>
      </c>
      <c r="AL57" t="str">
        <f>VLOOKUP($Q57,武学奇术!$A:$ZZ,25,FALSE)</f>
        <v>陌刀</v>
      </c>
      <c r="AM57" s="27">
        <f>VLOOKUP($Q57,武学奇术!$A:$ZZ,26,FALSE)</f>
        <v>1.8948</v>
      </c>
      <c r="AN57" s="28">
        <f>VLOOKUP($Q57,武学奇术!$A:$ZZ,27,FALSE)*(1+IF(OR($AL57=$F$4,$AL57=$F$5),$B$22,0))</f>
        <v>787.5</v>
      </c>
      <c r="AO57" s="27">
        <f>VLOOKUP($Q57,武学奇术!$A:$ZZ,28,FALSE)</f>
        <v>2.8422</v>
      </c>
      <c r="AP57" s="28">
        <f>VLOOKUP($Q57,武学奇术!$A:$ZZ,29,FALSE)*(1+IF(OR($AL57=$F$4,$AL57=$F$5),$B$22,0))</f>
        <v>429</v>
      </c>
      <c r="AQ57" s="27" cm="1">
        <f t="array" ref="AQ57">$G$3+IFERROR(VLOOKUP($AL57,$F$4:$G$7,2,FALSE),0)+VLOOKUP($Q57,武学奇术!$A:$ZZ,2,FALSE)+SUM(_xlfn.XLOOKUP($R57:$AK57,增益!$A:$A,增益!$B:$B,0))</f>
        <v>0.7341</v>
      </c>
      <c r="AR57" s="27" cm="1">
        <f t="array" ref="AR57">VLOOKUP($Q57,武学奇术!$A:$ZZ,5,FALSE)+SUM(_xlfn.XLOOKUP($R57:$AK57,增益!$A:$A,增益!$E:$E,0))</f>
        <v>0</v>
      </c>
      <c r="AS57" cm="1">
        <f t="array" ref="AS57">$D$10*(1+$AR57)+VLOOKUP($Q57,武学奇术!$A:$ZZ,3,FALSE)+SUM(_xlfn.XLOOKUP($R57:$AK57,增益!$A:$A,增益!$C:$C,0))-$I$2</f>
        <v>3586.7</v>
      </c>
      <c r="AT57" cm="1">
        <f t="array" ref="AT57">$E$10*(1+$AR57)+VLOOKUP($Q57,武学奇术!$A:$ZZ,4,FALSE)+SUM(_xlfn.XLOOKUP($R57:$AK57,增益!$A:$A,增益!$D:$D,0))-$I$2</f>
        <v>3586.7</v>
      </c>
      <c r="AU57" s="34" cm="1">
        <f t="array" ref="AU57">IF($F$10-$I$3+VLOOKUP($Q57,武学奇术!$A:$ZZ,6,FALSE)+SUM(_xlfn.XLOOKUP($R57:$AK57,增益!$A:$A,增益!$F:$F,0))&gt;0,($F$10-$I$3+VLOOKUP($Q57,武学奇术!$A:$ZZ,6,FALSE)+SUM(_xlfn.XLOOKUP($R57:$AK57,增益!$A:$A,增益!$F:$F,0)))/200,($F$10-$I$3+VLOOKUP($Q57,武学奇术!$A:$ZZ,6,FALSE)+SUM(_xlfn.XLOOKUP($R57:$AK57,增益!$A:$A,增益!$F:$F,0)))/100)</f>
        <v>0.352</v>
      </c>
      <c r="AV57" s="34" cm="1">
        <f t="array" ref="AV57">$G$10+VLOOKUP($Q57,武学奇术!$A:$ZZ,7,FALSE)+SUM(_xlfn.XLOOKUP($R57:$AK57,增益!$A:$A,增益!$G:$G,0))</f>
        <v>0</v>
      </c>
      <c r="AW57" s="27" cm="1">
        <f t="array" ref="AW57">VLOOKUP($Q57,武学奇术!$A:$ZZ,8,FALSE)+SUM(_xlfn.XLOOKUP($R57:$AK57,增益!$A:$A,增益!$H:$H,0))</f>
        <v>0</v>
      </c>
      <c r="AX57">
        <f t="shared" si="1"/>
        <v>0</v>
      </c>
      <c r="AY57">
        <f t="shared" si="2"/>
        <v>0</v>
      </c>
      <c r="AZ57" s="34" cm="1">
        <f t="array" ref="AZ57">IF($F$11-$I$4+VLOOKUP($Q57,武学奇术!$A:$ZZ,9,FALSE)+SUM(_xlfn.XLOOKUP($R57:$AK57,增益!$A:$A,增益!$I:$I,0))&gt;0,($F$11-$I$4+VLOOKUP($Q57,武学奇术!$A:$ZZ,9,FALSE)+SUM(_xlfn.XLOOKUP($R57:$AK57,增益!$A:$A,增益!$I:$I,0)))/200,($F$11-$I$4+VLOOKUP($Q57,武学奇术!$A:$ZZ,9,FALSE)+SUM(_xlfn.XLOOKUP($R57:$AK57,增益!$A:$A,增益!$I:$I,0)))/100)</f>
        <v>-0.14</v>
      </c>
      <c r="BA57" s="34" cm="1">
        <f t="array" ref="BA57">$G$11+VLOOKUP($Q57,武学奇术!$A:$ZZ,10,FALSE)+SUM(_xlfn.XLOOKUP($R57:$AK57,增益!$A:$A,增益!$J:$J,0))</f>
        <v>0</v>
      </c>
      <c r="BB57">
        <f t="shared" si="3"/>
        <v>594.1</v>
      </c>
      <c r="BC57">
        <f t="shared" si="4"/>
        <v>1604.9</v>
      </c>
      <c r="BD57" s="34" cm="1">
        <f t="array" ref="BD57">IF($F$12-$I$4+VLOOKUP($Q57,武学奇术!$A:$ZZ,11,FALSE)+SUM(_xlfn.XLOOKUP($R57:$AK57,增益!$A:$A,增益!$K:$K,0))&gt;0,($F$12-$I$4+VLOOKUP($Q57,武学奇术!$A:$ZZ,11,FALSE)+SUM(_xlfn.XLOOKUP($R57:$AK57,增益!$A:$A,增益!$K:$K,0)))/200,($F$12-$I$4+VLOOKUP($Q57,武学奇术!$A:$ZZ,11,FALSE)+SUM(_xlfn.XLOOKUP($R57:$AK57,增益!$A:$A,增益!$K:$K,0)))/100)</f>
        <v>0.17</v>
      </c>
      <c r="BE57" s="34" cm="1">
        <f t="array" ref="BE57">$G$12+VLOOKUP($Q57,武学奇术!$A:$ZZ,12,FALSE)+SUM(_xlfn.XLOOKUP($R57:$AK57,增益!$A:$A,增益!$L:$L,0))</f>
        <v>0.15</v>
      </c>
      <c r="BF57">
        <f t="shared" si="5"/>
        <v>0</v>
      </c>
      <c r="BG57">
        <f t="shared" si="6"/>
        <v>0</v>
      </c>
      <c r="BH57" s="34" cm="1">
        <f t="array" ref="BH57">IF($F$13-$I$4+VLOOKUP($Q57,武学奇术!$A:$ZZ,13,FALSE)+SUM(_xlfn.XLOOKUP($R57:$AK57,增益!$A:$A,增益!$M:$M,0))&gt;0,($F$13-$I$4+VLOOKUP($Q57,武学奇术!$A:$ZZ,13,FALSE)+SUM(_xlfn.XLOOKUP($R57:$AK57,增益!$A:$A,增益!$K:$K,0)))/200,($F$13-$I$4+VLOOKUP($Q57,武学奇术!$A:$ZZ,13,FALSE)+SUM(_xlfn.XLOOKUP($R57:$AK57,增益!$A:$A,增益!$M:$M,0)))/100)</f>
        <v>-0.14</v>
      </c>
      <c r="BI57" s="34" cm="1">
        <f t="array" ref="BI57">$G$13+VLOOKUP($Q57,武学奇术!$A:$ZZ,14,FALSE)+SUM(_xlfn.XLOOKUP($R57:$AK57,增益!$A:$A,增益!$N:$N,0))</f>
        <v>0</v>
      </c>
      <c r="BJ57">
        <f t="shared" si="7"/>
        <v>0</v>
      </c>
      <c r="BK57">
        <f t="shared" si="8"/>
        <v>0</v>
      </c>
      <c r="BL57" s="34" cm="1">
        <f t="array" ref="BL57">IF($F$14-$I$4+VLOOKUP($Q57,武学奇术!$A:$ZZ,15,FALSE)+SUM(_xlfn.XLOOKUP($R57:$AK57,增益!$A:$A,增益!$O:$O,0))&gt;0,($F$14-$I$4+VLOOKUP($Q57,武学奇术!$A:$ZZ,15,FALSE)+SUM(_xlfn.XLOOKUP($R57:$AK57,增益!$A:$A,增益!$O:$O,0)))/200,($F$14-$I$4+VLOOKUP($Q57,武学奇术!$A:$ZZ,15,FALSE)+SUM(_xlfn.XLOOKUP($R57:$AK57,增益!$A:$A,增益!$O:$O,0)))/100)</f>
        <v>-0.14</v>
      </c>
      <c r="BM57" s="34" cm="1">
        <f t="array" ref="BM57">$G$14+VLOOKUP($Q57,武学奇术!$A:$ZZ,16,FALSE)+SUM(_xlfn.XLOOKUP($R57:$AK57,增益!$A:$A,增益!$P:$P,0))</f>
        <v>0</v>
      </c>
      <c r="BN57" s="27">
        <f>MIN(IF(VLOOKUP($Q57,武学奇术!$A:$ZZ,23,FALSE)=1,100%,$B$8),100%)</f>
        <v>0.9859</v>
      </c>
      <c r="BO57" s="27" cm="1">
        <f t="array" ref="BO57">IF(VLOOKUP($Q57,武学奇术!$A:$ZZ,23,FALSE)=1,100%,MIN(80%,$B$9+VLOOKUP($Q57,武学奇术!$A:$ZZ,17,FALSE)+SUM(_xlfn.XLOOKUP($R57:$AK57,增益!$A:$A,增益!$Q:$Q,0)))+$B$11+SUM(_xlfn.XLOOKUP($R57:$AK57,增益!$A:$A,增益!$U:$U,0)))*IF(VLOOKUP($Q57,武学奇术!$A:$ZZ,24,FALSE)=1,0,1)</f>
        <v>0.8912</v>
      </c>
      <c r="BP57" s="27" cm="1">
        <f t="array" ref="BP57">1+$B$13+VLOOKUP($Q57,武学奇术!$A:$ZZ,18,FALSE)+SUM(_xlfn.XLOOKUP($R57:$AK57,增益!$A:$A,增益!$R:$R,0))</f>
        <v>2</v>
      </c>
      <c r="BQ57" s="27" cm="1">
        <f t="array" ref="BQ57">IF(VLOOKUP($Q57,武学奇术!$A:$ZZ,24,FALSE)=1,100%,MIN(40%,$B$10+VLOOKUP($Q57,武学奇术!$A:$ZZ,19,FALSE)+SUM(_xlfn.XLOOKUP($R57:$AK57,增益!$A:$A,增益!$S:$S,0)))+$B$12+SUM(_xlfn.XLOOKUP($R57:$AK57,增益!$A:$A,增益!$V:$V,0)))*IF(VLOOKUP($Q57,武学奇术!$A:$ZZ,23,FALSE)=1,0,1)</f>
        <v>0.0929</v>
      </c>
      <c r="BR57" s="27" cm="1">
        <f t="array" ref="BR57">1+$B$14+VLOOKUP($Q57,武学奇术!$A:$ZZ,20,FALSE)+SUM(_xlfn.XLOOKUP($R57:$AK57,增益!$A:$A,增益!$T:$T,0))</f>
        <v>1.35</v>
      </c>
      <c r="BS57" s="27">
        <f t="shared" si="9"/>
        <v>0.87863408</v>
      </c>
      <c r="BT57" s="27">
        <f t="shared" si="10"/>
        <v>0.01567581</v>
      </c>
      <c r="BU57" s="27">
        <f>IF(VLOOKUP($Q57,武学奇术!$A:$ZZ,22,FALSE)=1,0,(1-$BN57))*(1-$BQ57)</f>
        <v>0.01279011</v>
      </c>
      <c r="BV57" s="27" cm="1">
        <f t="array" ref="BV57">SUM(_xlfn.XLOOKUP($R57:$AK57,增益!$A:$A,增益!$W:$W,0))+$I$5</f>
        <v>0.21</v>
      </c>
    </row>
    <row r="58" spans="4:74">
      <c r="K58" s="40">
        <f t="shared" si="0"/>
        <v>27418.4795802396</v>
      </c>
      <c r="L58" s="40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BP58*$P58*(1+IF(VLOOKUP($Q58,武学奇术!$A:$ZZ,30,FALSE)="蓄力技",$B$21,0))*(1+$BV58)</f>
        <v>28571.3275155378</v>
      </c>
      <c r="M58" s="40">
        <f>(($AT58*$AM58+$AN58)*(1+$AU58)*(1+$AV58)+($AY58*IF($G$1="鸣金",$AO58,$AM58)+IF($G$1="鸣金",$AP58*1.5,0))*(1+$AZ58)*(1+$BA58)+($BC58*IF($G$1="裂石",$AO58,$AM58)+IF($G$1="裂石",$AP58*1.5,0))*(1+$BD58)*(1+$BE58)+($BG58*IF($G$1="牵丝",$AO58,$AM58)+IF($G$1="牵丝",$AP58*1.5,0))*(1+$BH58)*(1+$BI58)+($BK58*IF($G$1="破竹",$AO58,$AM58)+IF($G$1="破竹",$AP58*1.5,0))*(1+$BL58)*(1+$BM58))*(1+$AQ58)*$BR58*$P58*(1+IF(VLOOKUP($Q58,武学奇术!$A:$ZZ,30,FALSE)="蓄力技",$B$21,0))*(1+$BV58)</f>
        <v>21017.8629970998</v>
      </c>
      <c r="N58" s="40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P58*(1+IF(VLOOKUP($Q58,武学奇术!$A:$ZZ,30,FALSE)="蓄力技",$B$21,0))*(1+$BV58)</f>
        <v>13605.394055018</v>
      </c>
      <c r="O58" s="40">
        <f>((($AS58*$AM58+$AN58)*(1+$AU58)*(1+$AV58)+($AX58*IF($G$1="鸣金",$AO58,$AM58)+IF($G$1="鸣金",$AP58*1.5,0))*(1+$AZ58)*(1+$BA58)+($BB58*IF($G$1="裂石",$AO58,$AM58)+IF($G$1="裂石",$AP58*1.5,0))*(1+$BD58)*(1+$BE58)+($BF58*IF($G$1="牵丝",$AO58,$AM58)+IF($G$1="牵丝",$AP58*1.5,0))*(1+$BH58)*(1+$BI58)+($BJ58*IF($G$1="破竹",$AO58,$AM58)+IF($G$1="破竹",$AP58*1.5,0))*(1+$BL58)*(1+$BM58))*(1+$AQ58))*$P58*(1+IF(VLOOKUP($Q58,武学奇术!$A:$ZZ,30,FALSE)="蓄力技",$B$21,0))*(1+$BV58)</f>
        <v>11642.000704777</v>
      </c>
      <c r="P58" s="41">
        <v>1</v>
      </c>
      <c r="Q58" s="42" t="s">
        <v>159</v>
      </c>
      <c r="R58" s="42" t="s">
        <v>103</v>
      </c>
      <c r="S58" s="42" t="s">
        <v>169</v>
      </c>
      <c r="T58" s="42" t="s">
        <v>86</v>
      </c>
      <c r="U58" s="42" t="s">
        <v>121</v>
      </c>
      <c r="V58" s="42" t="s">
        <v>118</v>
      </c>
      <c r="W58" s="42" t="s">
        <v>77</v>
      </c>
      <c r="X58" s="42" t="s">
        <v>176</v>
      </c>
      <c r="Y58" s="42" t="s">
        <v>77</v>
      </c>
      <c r="Z58" s="42" t="s">
        <v>77</v>
      </c>
      <c r="AA58" s="42" t="s">
        <v>73</v>
      </c>
      <c r="AB58" s="42" t="s">
        <v>77</v>
      </c>
      <c r="AC58" s="42" t="s">
        <v>77</v>
      </c>
      <c r="AD58" s="42" t="s">
        <v>77</v>
      </c>
      <c r="AE58" s="42" t="s">
        <v>81</v>
      </c>
      <c r="AF58" s="42" t="s">
        <v>82</v>
      </c>
      <c r="AG58" s="42" t="s">
        <v>77</v>
      </c>
      <c r="AH58" s="42" t="s">
        <v>77</v>
      </c>
      <c r="AI58" s="42" t="s">
        <v>77</v>
      </c>
      <c r="AJ58" s="42" t="s">
        <v>77</v>
      </c>
      <c r="AK58" s="42" t="s">
        <v>77</v>
      </c>
      <c r="AL58" t="str">
        <f>VLOOKUP($Q58,武学奇术!$A:$ZZ,25,FALSE)</f>
        <v>陌刀</v>
      </c>
      <c r="AM58" s="27">
        <f>VLOOKUP($Q58,武学奇术!$A:$ZZ,26,FALSE)</f>
        <v>1</v>
      </c>
      <c r="AN58" s="28">
        <f>VLOOKUP($Q58,武学奇术!$A:$ZZ,27,FALSE)*(1+IF(OR($AL58=$F$4,$AL58=$F$5),$B$22,0))</f>
        <v>0</v>
      </c>
      <c r="AO58" s="27">
        <f>VLOOKUP($Q58,武学奇术!$A:$ZZ,28,FALSE)</f>
        <v>1.5</v>
      </c>
      <c r="AP58" s="28">
        <f>VLOOKUP($Q58,武学奇术!$A:$ZZ,29,FALSE)*(1+IF(OR($AL58=$F$4,$AL58=$F$5),$B$22,0))</f>
        <v>0</v>
      </c>
      <c r="AQ58" s="27" cm="1">
        <f t="array" ref="AQ58">$G$3+IFERROR(VLOOKUP($AL58,$F$4:$G$7,2,FALSE),0)+VLOOKUP($Q58,武学奇术!$A:$ZZ,2,FALSE)+SUM(_xlfn.XLOOKUP($R58:$AK58,增益!$A:$A,增益!$B:$B,0))</f>
        <v>0.7341</v>
      </c>
      <c r="AR58" s="27" cm="1">
        <f t="array" ref="AR58">VLOOKUP($Q58,武学奇术!$A:$ZZ,5,FALSE)+SUM(_xlfn.XLOOKUP($R58:$AK58,增益!$A:$A,增益!$E:$E,0))</f>
        <v>0</v>
      </c>
      <c r="AS58" cm="1">
        <f t="array" ref="AS58">$D$10*(1+$AR58)+VLOOKUP($Q58,武学奇术!$A:$ZZ,3,FALSE)+SUM(_xlfn.XLOOKUP($R58:$AK58,增益!$A:$A,增益!$C:$C,0))-$I$2</f>
        <v>3586.7</v>
      </c>
      <c r="AT58" cm="1">
        <f t="array" ref="AT58">$E$10*(1+$AR58)+VLOOKUP($Q58,武学奇术!$A:$ZZ,4,FALSE)+SUM(_xlfn.XLOOKUP($R58:$AK58,增益!$A:$A,增益!$D:$D,0))-$I$2</f>
        <v>3586.7</v>
      </c>
      <c r="AU58" s="34" cm="1">
        <f t="array" ref="AU58">IF($F$10-$I$3+VLOOKUP($Q58,武学奇术!$A:$ZZ,6,FALSE)+SUM(_xlfn.XLOOKUP($R58:$AK58,增益!$A:$A,增益!$F:$F,0))&gt;0,($F$10-$I$3+VLOOKUP($Q58,武学奇术!$A:$ZZ,6,FALSE)+SUM(_xlfn.XLOOKUP($R58:$AK58,增益!$A:$A,增益!$F:$F,0)))/200,($F$10-$I$3+VLOOKUP($Q58,武学奇术!$A:$ZZ,6,FALSE)+SUM(_xlfn.XLOOKUP($R58:$AK58,增益!$A:$A,增益!$F:$F,0)))/100)</f>
        <v>0.352</v>
      </c>
      <c r="AV58" s="34" cm="1">
        <f t="array" ref="AV58">$G$10+VLOOKUP($Q58,武学奇术!$A:$ZZ,7,FALSE)+SUM(_xlfn.XLOOKUP($R58:$AK58,增益!$A:$A,增益!$G:$G,0))</f>
        <v>0</v>
      </c>
      <c r="AW58" s="27" cm="1">
        <f t="array" ref="AW58">VLOOKUP($Q58,武学奇术!$A:$ZZ,8,FALSE)+SUM(_xlfn.XLOOKUP($R58:$AK58,增益!$A:$A,增益!$H:$H,0))</f>
        <v>0</v>
      </c>
      <c r="AX58">
        <f t="shared" si="1"/>
        <v>0</v>
      </c>
      <c r="AY58">
        <f t="shared" si="2"/>
        <v>0</v>
      </c>
      <c r="AZ58" s="34" cm="1">
        <f t="array" ref="AZ58">IF($F$11-$I$4+VLOOKUP($Q58,武学奇术!$A:$ZZ,9,FALSE)+SUM(_xlfn.XLOOKUP($R58:$AK58,增益!$A:$A,增益!$I:$I,0))&gt;0,($F$11-$I$4+VLOOKUP($Q58,武学奇术!$A:$ZZ,9,FALSE)+SUM(_xlfn.XLOOKUP($R58:$AK58,增益!$A:$A,增益!$I:$I,0)))/200,($F$11-$I$4+VLOOKUP($Q58,武学奇术!$A:$ZZ,9,FALSE)+SUM(_xlfn.XLOOKUP($R58:$AK58,增益!$A:$A,增益!$I:$I,0)))/100)</f>
        <v>-0.14</v>
      </c>
      <c r="BA58" s="34" cm="1">
        <f t="array" ref="BA58">$G$11+VLOOKUP($Q58,武学奇术!$A:$ZZ,10,FALSE)+SUM(_xlfn.XLOOKUP($R58:$AK58,增益!$A:$A,增益!$J:$J,0))</f>
        <v>0</v>
      </c>
      <c r="BB58">
        <f t="shared" si="3"/>
        <v>594.1</v>
      </c>
      <c r="BC58">
        <f t="shared" si="4"/>
        <v>1604.9</v>
      </c>
      <c r="BD58" s="34" cm="1">
        <f t="array" ref="BD58">IF($F$12-$I$4+VLOOKUP($Q58,武学奇术!$A:$ZZ,11,FALSE)+SUM(_xlfn.XLOOKUP($R58:$AK58,增益!$A:$A,增益!$K:$K,0))&gt;0,($F$12-$I$4+VLOOKUP($Q58,武学奇术!$A:$ZZ,11,FALSE)+SUM(_xlfn.XLOOKUP($R58:$AK58,增益!$A:$A,增益!$K:$K,0)))/200,($F$12-$I$4+VLOOKUP($Q58,武学奇术!$A:$ZZ,11,FALSE)+SUM(_xlfn.XLOOKUP($R58:$AK58,增益!$A:$A,增益!$K:$K,0)))/100)</f>
        <v>0.17</v>
      </c>
      <c r="BE58" s="34" cm="1">
        <f t="array" ref="BE58">$G$12+VLOOKUP($Q58,武学奇术!$A:$ZZ,12,FALSE)+SUM(_xlfn.XLOOKUP($R58:$AK58,增益!$A:$A,增益!$L:$L,0))</f>
        <v>0.15</v>
      </c>
      <c r="BF58">
        <f t="shared" si="5"/>
        <v>0</v>
      </c>
      <c r="BG58">
        <f t="shared" si="6"/>
        <v>0</v>
      </c>
      <c r="BH58" s="34" cm="1">
        <f t="array" ref="BH58">IF($F$13-$I$4+VLOOKUP($Q58,武学奇术!$A:$ZZ,13,FALSE)+SUM(_xlfn.XLOOKUP($R58:$AK58,增益!$A:$A,增益!$M:$M,0))&gt;0,($F$13-$I$4+VLOOKUP($Q58,武学奇术!$A:$ZZ,13,FALSE)+SUM(_xlfn.XLOOKUP($R58:$AK58,增益!$A:$A,增益!$K:$K,0)))/200,($F$13-$I$4+VLOOKUP($Q58,武学奇术!$A:$ZZ,13,FALSE)+SUM(_xlfn.XLOOKUP($R58:$AK58,增益!$A:$A,增益!$M:$M,0)))/100)</f>
        <v>-0.14</v>
      </c>
      <c r="BI58" s="34" cm="1">
        <f t="array" ref="BI58">$G$13+VLOOKUP($Q58,武学奇术!$A:$ZZ,14,FALSE)+SUM(_xlfn.XLOOKUP($R58:$AK58,增益!$A:$A,增益!$N:$N,0))</f>
        <v>0</v>
      </c>
      <c r="BJ58">
        <f t="shared" si="7"/>
        <v>0</v>
      </c>
      <c r="BK58">
        <f t="shared" si="8"/>
        <v>0</v>
      </c>
      <c r="BL58" s="34" cm="1">
        <f t="array" ref="BL58">IF($F$14-$I$4+VLOOKUP($Q58,武学奇术!$A:$ZZ,15,FALSE)+SUM(_xlfn.XLOOKUP($R58:$AK58,增益!$A:$A,增益!$O:$O,0))&gt;0,($F$14-$I$4+VLOOKUP($Q58,武学奇术!$A:$ZZ,15,FALSE)+SUM(_xlfn.XLOOKUP($R58:$AK58,增益!$A:$A,增益!$O:$O,0)))/200,($F$14-$I$4+VLOOKUP($Q58,武学奇术!$A:$ZZ,15,FALSE)+SUM(_xlfn.XLOOKUP($R58:$AK58,增益!$A:$A,增益!$O:$O,0)))/100)</f>
        <v>-0.14</v>
      </c>
      <c r="BM58" s="34" cm="1">
        <f t="array" ref="BM58">$G$14+VLOOKUP($Q58,武学奇术!$A:$ZZ,16,FALSE)+SUM(_xlfn.XLOOKUP($R58:$AK58,增益!$A:$A,增益!$P:$P,0))</f>
        <v>0</v>
      </c>
      <c r="BN58" s="27">
        <f>MIN(IF(VLOOKUP($Q58,武学奇术!$A:$ZZ,23,FALSE)=1,100%,$B$8),100%)</f>
        <v>0.9859</v>
      </c>
      <c r="BO58" s="27" cm="1">
        <f t="array" ref="BO58">IF(VLOOKUP($Q58,武学奇术!$A:$ZZ,23,FALSE)=1,100%,MIN(80%,$B$9+VLOOKUP($Q58,武学奇术!$A:$ZZ,17,FALSE)+SUM(_xlfn.XLOOKUP($R58:$AK58,增益!$A:$A,增益!$Q:$Q,0)))+$B$11+SUM(_xlfn.XLOOKUP($R58:$AK58,增益!$A:$A,增益!$U:$U,0)))*IF(VLOOKUP($Q58,武学奇术!$A:$ZZ,24,FALSE)=1,0,1)</f>
        <v>0.8912</v>
      </c>
      <c r="BP58" s="27" cm="1">
        <f t="array" ref="BP58">1+$B$13+VLOOKUP($Q58,武学奇术!$A:$ZZ,18,FALSE)+SUM(_xlfn.XLOOKUP($R58:$AK58,增益!$A:$A,增益!$R:$R,0))</f>
        <v>2.1</v>
      </c>
      <c r="BQ58" s="27" cm="1">
        <f t="array" ref="BQ58">IF(VLOOKUP($Q58,武学奇术!$A:$ZZ,24,FALSE)=1,100%,MIN(40%,$B$10+VLOOKUP($Q58,武学奇术!$A:$ZZ,19,FALSE)+SUM(_xlfn.XLOOKUP($R58:$AK58,增益!$A:$A,增益!$S:$S,0)))+$B$12+SUM(_xlfn.XLOOKUP($R58:$AK58,增益!$A:$A,增益!$V:$V,0)))*IF(VLOOKUP($Q58,武学奇术!$A:$ZZ,23,FALSE)=1,0,1)</f>
        <v>0.0929</v>
      </c>
      <c r="BR58" s="27" cm="1">
        <f t="array" ref="BR58">1+$B$14+VLOOKUP($Q58,武学奇术!$A:$ZZ,20,FALSE)+SUM(_xlfn.XLOOKUP($R58:$AK58,增益!$A:$A,增益!$T:$T,0))</f>
        <v>1.35</v>
      </c>
      <c r="BS58" s="27">
        <f t="shared" si="9"/>
        <v>0.87863408</v>
      </c>
      <c r="BT58" s="27">
        <f t="shared" si="10"/>
        <v>0.01567581</v>
      </c>
      <c r="BU58" s="27">
        <f>IF(VLOOKUP($Q58,武学奇术!$A:$ZZ,22,FALSE)=1,0,(1-$BN58))*(1-$BQ58)</f>
        <v>0.01279011</v>
      </c>
      <c r="BV58" s="27" cm="1">
        <f t="array" ref="BV58">SUM(_xlfn.XLOOKUP($R58:$AK58,增益!$A:$A,增益!$W:$W,0))+$I$5</f>
        <v>0.11</v>
      </c>
    </row>
    <row r="59" spans="4:74">
      <c r="K59" s="40">
        <f t="shared" si="0"/>
        <v>0</v>
      </c>
      <c r="L59" s="40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BP59*$P59*(1+IF(VLOOKUP($Q59,武学奇术!$A:$ZZ,30,FALSE)="蓄力技",$B$21,0))*(1+$BV59)</f>
        <v>0</v>
      </c>
      <c r="M59" s="40">
        <f>(($AT59*$AM59+$AN59)*(1+$AU59)*(1+$AV59)+($AY59*IF($G$1="鸣金",$AO59,$AM59)+IF($G$1="鸣金",$AP59*1.5,0))*(1+$AZ59)*(1+$BA59)+($BC59*IF($G$1="裂石",$AO59,$AM59)+IF($G$1="裂石",$AP59*1.5,0))*(1+$BD59)*(1+$BE59)+($BG59*IF($G$1="牵丝",$AO59,$AM59)+IF($G$1="牵丝",$AP59*1.5,0))*(1+$BH59)*(1+$BI59)+($BK59*IF($G$1="破竹",$AO59,$AM59)+IF($G$1="破竹",$AP59*1.5,0))*(1+$BL59)*(1+$BM59))*(1+$AQ59)*$BR59*$P59*(1+IF(VLOOKUP($Q59,武学奇术!$A:$ZZ,30,FALSE)="蓄力技",$B$21,0))*(1+$BV59)</f>
        <v>0</v>
      </c>
      <c r="N59" s="40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P59*(1+IF(VLOOKUP($Q59,武学奇术!$A:$ZZ,30,FALSE)="蓄力技",$B$21,0))*(1+$BV59)</f>
        <v>0</v>
      </c>
      <c r="O59" s="40">
        <f>((($AS59*$AM59+$AN59)*(1+$AU59)*(1+$AV59)+($AX59*IF($G$1="鸣金",$AO59,$AM59)+IF($G$1="鸣金",$AP59*1.5,0))*(1+$AZ59)*(1+$BA59)+($BB59*IF($G$1="裂石",$AO59,$AM59)+IF($G$1="裂石",$AP59*1.5,0))*(1+$BD59)*(1+$BE59)+($BF59*IF($G$1="牵丝",$AO59,$AM59)+IF($G$1="牵丝",$AP59*1.5,0))*(1+$BH59)*(1+$BI59)+($BJ59*IF($G$1="破竹",$AO59,$AM59)+IF($G$1="破竹",$AP59*1.5,0))*(1+$BL59)*(1+$BM59))*(1+$AQ59))*$P59*(1+IF(VLOOKUP($Q59,武学奇术!$A:$ZZ,30,FALSE)="蓄力技",$B$21,0))*(1+$BV59)</f>
        <v>0</v>
      </c>
      <c r="P59" s="41">
        <v>1</v>
      </c>
      <c r="Q59" s="42" t="s">
        <v>77</v>
      </c>
      <c r="R59" s="42" t="s">
        <v>77</v>
      </c>
      <c r="S59" s="42" t="s">
        <v>77</v>
      </c>
      <c r="T59" s="42" t="s">
        <v>77</v>
      </c>
      <c r="U59" s="42" t="s">
        <v>77</v>
      </c>
      <c r="V59" s="42" t="s">
        <v>77</v>
      </c>
      <c r="W59" s="42" t="s">
        <v>77</v>
      </c>
      <c r="X59" s="42" t="s">
        <v>77</v>
      </c>
      <c r="Y59" s="42" t="s">
        <v>77</v>
      </c>
      <c r="Z59" s="42" t="s">
        <v>77</v>
      </c>
      <c r="AA59" s="42" t="s">
        <v>77</v>
      </c>
      <c r="AB59" s="42" t="s">
        <v>77</v>
      </c>
      <c r="AC59" s="42" t="s">
        <v>77</v>
      </c>
      <c r="AD59" s="42" t="s">
        <v>77</v>
      </c>
      <c r="AE59" s="42" t="s">
        <v>81</v>
      </c>
      <c r="AF59" s="42" t="s">
        <v>82</v>
      </c>
      <c r="AG59" s="42" t="s">
        <v>77</v>
      </c>
      <c r="AH59" s="42" t="s">
        <v>77</v>
      </c>
      <c r="AI59" s="42" t="s">
        <v>77</v>
      </c>
      <c r="AJ59" s="42" t="s">
        <v>77</v>
      </c>
      <c r="AK59" s="42" t="s">
        <v>77</v>
      </c>
      <c r="AL59" t="str">
        <f>VLOOKUP($Q59,武学奇术!$A:$ZZ,25,FALSE)</f>
        <v>心法</v>
      </c>
      <c r="AM59" s="27">
        <f>VLOOKUP($Q59,武学奇术!$A:$ZZ,26,FALSE)</f>
        <v>0</v>
      </c>
      <c r="AN59" s="28">
        <f>VLOOKUP($Q59,武学奇术!$A:$ZZ,27,FALSE)*(1+IF(OR($AL59=$F$4,$AL59=$F$5),$B$22,0))</f>
        <v>0</v>
      </c>
      <c r="AO59" s="27">
        <f>VLOOKUP($Q59,武学奇术!$A:$ZZ,28,FALSE)</f>
        <v>0</v>
      </c>
      <c r="AP59" s="28">
        <f>VLOOKUP($Q59,武学奇术!$A:$ZZ,29,FALSE)*(1+IF(OR($AL59=$F$4,$AL59=$F$5),$B$22,0))</f>
        <v>0</v>
      </c>
      <c r="AQ59" s="27" cm="1">
        <f t="array" ref="AQ59">$G$3+IFERROR(VLOOKUP($AL59,$F$4:$G$7,2,FALSE),0)+VLOOKUP($Q59,武学奇术!$A:$ZZ,2,FALSE)+SUM(_xlfn.XLOOKUP($R59:$AK59,增益!$A:$A,增益!$B:$B,0))</f>
        <v>0.2337</v>
      </c>
      <c r="AR59" s="27" cm="1">
        <f t="array" ref="AR59">VLOOKUP($Q59,武学奇术!$A:$ZZ,5,FALSE)+SUM(_xlfn.XLOOKUP($R59:$AK59,增益!$A:$A,增益!$E:$E,0))</f>
        <v>0</v>
      </c>
      <c r="AS59" cm="1">
        <f t="array" ref="AS59">$D$10*(1+$AR59)+VLOOKUP($Q59,武学奇术!$A:$ZZ,3,FALSE)+SUM(_xlfn.XLOOKUP($R59:$AK59,增益!$A:$A,增益!$C:$C,0))-$I$2</f>
        <v>3586.7</v>
      </c>
      <c r="AT59" cm="1">
        <f t="array" ref="AT59">$E$10*(1+$AR59)+VLOOKUP($Q59,武学奇术!$A:$ZZ,4,FALSE)+SUM(_xlfn.XLOOKUP($R59:$AK59,增益!$A:$A,增益!$D:$D,0))-$I$2</f>
        <v>3586.7</v>
      </c>
      <c r="AU59" s="34" cm="1">
        <f t="array" ref="AU59">IF($F$10-$I$3+VLOOKUP($Q59,武学奇术!$A:$ZZ,6,FALSE)+SUM(_xlfn.XLOOKUP($R59:$AK59,增益!$A:$A,增益!$F:$F,0))&gt;0,($F$10-$I$3+VLOOKUP($Q59,武学奇术!$A:$ZZ,6,FALSE)+SUM(_xlfn.XLOOKUP($R59:$AK59,增益!$A:$A,增益!$F:$F,0)))/200,($F$10-$I$3+VLOOKUP($Q59,武学奇术!$A:$ZZ,6,FALSE)+SUM(_xlfn.XLOOKUP($R59:$AK59,增益!$A:$A,增益!$F:$F,0)))/100)</f>
        <v>0.227</v>
      </c>
      <c r="AV59" s="34" cm="1">
        <f t="array" ref="AV59">$G$10+VLOOKUP($Q59,武学奇术!$A:$ZZ,7,FALSE)+SUM(_xlfn.XLOOKUP($R59:$AK59,增益!$A:$A,增益!$G:$G,0))</f>
        <v>0</v>
      </c>
      <c r="AW59" s="27" cm="1">
        <f t="array" ref="AW59">VLOOKUP($Q59,武学奇术!$A:$ZZ,8,FALSE)+SUM(_xlfn.XLOOKUP($R59:$AK59,增益!$A:$A,增益!$H:$H,0))</f>
        <v>0</v>
      </c>
      <c r="AX59">
        <f t="shared" si="1"/>
        <v>0</v>
      </c>
      <c r="AY59">
        <f t="shared" si="2"/>
        <v>0</v>
      </c>
      <c r="AZ59" s="34" cm="1">
        <f t="array" ref="AZ59">IF($F$11-$I$4+VLOOKUP($Q59,武学奇术!$A:$ZZ,9,FALSE)+SUM(_xlfn.XLOOKUP($R59:$AK59,增益!$A:$A,增益!$I:$I,0))&gt;0,($F$11-$I$4+VLOOKUP($Q59,武学奇术!$A:$ZZ,9,FALSE)+SUM(_xlfn.XLOOKUP($R59:$AK59,增益!$A:$A,增益!$I:$I,0)))/200,($F$11-$I$4+VLOOKUP($Q59,武学奇术!$A:$ZZ,9,FALSE)+SUM(_xlfn.XLOOKUP($R59:$AK59,增益!$A:$A,增益!$I:$I,0)))/100)</f>
        <v>-0.3</v>
      </c>
      <c r="BA59" s="34" cm="1">
        <f t="array" ref="BA59">$G$11+VLOOKUP($Q59,武学奇术!$A:$ZZ,10,FALSE)+SUM(_xlfn.XLOOKUP($R59:$AK59,增益!$A:$A,增益!$J:$J,0))</f>
        <v>0</v>
      </c>
      <c r="BB59">
        <f t="shared" si="3"/>
        <v>594.1</v>
      </c>
      <c r="BC59">
        <f t="shared" si="4"/>
        <v>1604.9</v>
      </c>
      <c r="BD59" s="34" cm="1">
        <f t="array" ref="BD59">IF($F$12-$I$4+VLOOKUP($Q59,武学奇术!$A:$ZZ,11,FALSE)+SUM(_xlfn.XLOOKUP($R59:$AK59,增益!$A:$A,增益!$K:$K,0))&gt;0,($F$12-$I$4+VLOOKUP($Q59,武学奇术!$A:$ZZ,11,FALSE)+SUM(_xlfn.XLOOKUP($R59:$AK59,增益!$A:$A,增益!$K:$K,0)))/200,($F$12-$I$4+VLOOKUP($Q59,武学奇术!$A:$ZZ,11,FALSE)+SUM(_xlfn.XLOOKUP($R59:$AK59,增益!$A:$A,增益!$K:$K,0)))/100)</f>
        <v>0.09</v>
      </c>
      <c r="BE59" s="34" cm="1">
        <f t="array" ref="BE59">$G$12+VLOOKUP($Q59,武学奇术!$A:$ZZ,12,FALSE)+SUM(_xlfn.XLOOKUP($R59:$AK59,增益!$A:$A,增益!$L:$L,0))</f>
        <v>0.15</v>
      </c>
      <c r="BF59">
        <f t="shared" si="5"/>
        <v>0</v>
      </c>
      <c r="BG59">
        <f t="shared" si="6"/>
        <v>0</v>
      </c>
      <c r="BH59" s="34" cm="1">
        <f t="array" ref="BH59">IF($F$13-$I$4+VLOOKUP($Q59,武学奇术!$A:$ZZ,13,FALSE)+SUM(_xlfn.XLOOKUP($R59:$AK59,增益!$A:$A,增益!$M:$M,0))&gt;0,($F$13-$I$4+VLOOKUP($Q59,武学奇术!$A:$ZZ,13,FALSE)+SUM(_xlfn.XLOOKUP($R59:$AK59,增益!$A:$A,增益!$K:$K,0)))/200,($F$13-$I$4+VLOOKUP($Q59,武学奇术!$A:$ZZ,13,FALSE)+SUM(_xlfn.XLOOKUP($R59:$AK59,增益!$A:$A,增益!$M:$M,0)))/100)</f>
        <v>-0.3</v>
      </c>
      <c r="BI59" s="34" cm="1">
        <f t="array" ref="BI59">$G$13+VLOOKUP($Q59,武学奇术!$A:$ZZ,14,FALSE)+SUM(_xlfn.XLOOKUP($R59:$AK59,增益!$A:$A,增益!$N:$N,0))</f>
        <v>0</v>
      </c>
      <c r="BJ59">
        <f t="shared" si="7"/>
        <v>0</v>
      </c>
      <c r="BK59">
        <f t="shared" si="8"/>
        <v>0</v>
      </c>
      <c r="BL59" s="34" cm="1">
        <f t="array" ref="BL59">IF($F$14-$I$4+VLOOKUP($Q59,武学奇术!$A:$ZZ,15,FALSE)+SUM(_xlfn.XLOOKUP($R59:$AK59,增益!$A:$A,增益!$O:$O,0))&gt;0,($F$14-$I$4+VLOOKUP($Q59,武学奇术!$A:$ZZ,15,FALSE)+SUM(_xlfn.XLOOKUP($R59:$AK59,增益!$A:$A,增益!$O:$O,0)))/200,($F$14-$I$4+VLOOKUP($Q59,武学奇术!$A:$ZZ,15,FALSE)+SUM(_xlfn.XLOOKUP($R59:$AK59,增益!$A:$A,增益!$O:$O,0)))/100)</f>
        <v>-0.3</v>
      </c>
      <c r="BM59" s="34" cm="1">
        <f t="array" ref="BM59">$G$14+VLOOKUP($Q59,武学奇术!$A:$ZZ,16,FALSE)+SUM(_xlfn.XLOOKUP($R59:$AK59,增益!$A:$A,增益!$P:$P,0))</f>
        <v>0</v>
      </c>
      <c r="BN59" s="27">
        <f>MIN(IF(VLOOKUP($Q59,武学奇术!$A:$ZZ,23,FALSE)=1,100%,$B$8),100%)</f>
        <v>0.9859</v>
      </c>
      <c r="BO59" s="27" cm="1">
        <f t="array" ref="BO59">IF(VLOOKUP($Q59,武学奇术!$A:$ZZ,23,FALSE)=1,100%,MIN(80%,$B$9+VLOOKUP($Q59,武学奇术!$A:$ZZ,17,FALSE)+SUM(_xlfn.XLOOKUP($R59:$AK59,增益!$A:$A,增益!$Q:$Q,0)))+$B$11+SUM(_xlfn.XLOOKUP($R59:$AK59,增益!$A:$A,增益!$U:$U,0)))*IF(VLOOKUP($Q59,武学奇术!$A:$ZZ,24,FALSE)=1,0,1)</f>
        <v>0.8912</v>
      </c>
      <c r="BP59" s="27" cm="1">
        <f t="array" ref="BP59">1+$B$13+VLOOKUP($Q59,武学奇术!$A:$ZZ,18,FALSE)+SUM(_xlfn.XLOOKUP($R59:$AK59,增益!$A:$A,增益!$R:$R,0))</f>
        <v>1.54</v>
      </c>
      <c r="BQ59" s="27" cm="1">
        <f t="array" ref="BQ59">IF(VLOOKUP($Q59,武学奇术!$A:$ZZ,24,FALSE)=1,100%,MIN(40%,$B$10+VLOOKUP($Q59,武学奇术!$A:$ZZ,19,FALSE)+SUM(_xlfn.XLOOKUP($R59:$AK59,增益!$A:$A,增益!$S:$S,0)))+$B$12+SUM(_xlfn.XLOOKUP($R59:$AK59,增益!$A:$A,增益!$V:$V,0)))*IF(VLOOKUP($Q59,武学奇术!$A:$ZZ,23,FALSE)=1,0,1)</f>
        <v>0.0929</v>
      </c>
      <c r="BR59" s="27" cm="1">
        <f t="array" ref="BR59">1+$B$14+VLOOKUP($Q59,武学奇术!$A:$ZZ,20,FALSE)+SUM(_xlfn.XLOOKUP($R59:$AK59,增益!$A:$A,增益!$T:$T,0))</f>
        <v>1.35</v>
      </c>
      <c r="BS59" s="27">
        <f t="shared" si="9"/>
        <v>0.87863408</v>
      </c>
      <c r="BT59" s="27">
        <f t="shared" si="10"/>
        <v>0.01567581</v>
      </c>
      <c r="BU59" s="27">
        <f>IF(VLOOKUP($Q59,武学奇术!$A:$ZZ,22,FALSE)=1,0,(1-$BN59))*(1-$BQ59)</f>
        <v>0.01279011</v>
      </c>
      <c r="BV59" s="27" cm="1">
        <f t="array" ref="BV59">SUM(_xlfn.XLOOKUP($R59:$AK59,增益!$A:$A,增益!$W:$W,0))+$I$5</f>
        <v>0.11</v>
      </c>
    </row>
    <row r="60" spans="4:74">
      <c r="K60" s="40">
        <f t="shared" si="0"/>
        <v>56489.8268558238</v>
      </c>
      <c r="L60" s="40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BP60*$P60*(1+IF(VLOOKUP($Q60,武学奇术!$A:$ZZ,30,FALSE)="蓄力技",$B$21,0))*(1+$BV60)</f>
        <v>58700.1683267876</v>
      </c>
      <c r="M60" s="40">
        <f>(($AT60*$AM60+$AN60)*(1+$AU60)*(1+$AV60)+($AY60*IF($G$1="鸣金",$AO60,$AM60)+IF($G$1="鸣金",$AP60*1.5,0))*(1+$AZ60)*(1+$BA60)+($BC60*IF($G$1="裂石",$AO60,$AM60)+IF($G$1="裂石",$AP60*1.5,0))*(1+$BD60)*(1+$BE60)+($BG60*IF($G$1="牵丝",$AO60,$AM60)+IF($G$1="牵丝",$AP60*1.5,0))*(1+$BH60)*(1+$BI60)+($BK60*IF($G$1="破竹",$AO60,$AM60)+IF($G$1="破竹",$AP60*1.5,0))*(1+$BL60)*(1+$BM60))*(1+$AQ60)*$BR60*$P60*(1+IF(VLOOKUP($Q60,武学奇术!$A:$ZZ,30,FALSE)="蓄力技",$B$21,0))*(1+$BV60)</f>
        <v>44386.6110566028</v>
      </c>
      <c r="N60" s="40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P60*(1+IF(VLOOKUP($Q60,武学奇术!$A:$ZZ,30,FALSE)="蓄力技",$B$21,0))*(1+$BV60)</f>
        <v>29350.0841633938</v>
      </c>
      <c r="O60" s="40">
        <f>((($AS60*$AM60+$AN60)*(1+$AU60)*(1+$AV60)+($AX60*IF($G$1="鸣金",$AO60,$AM60)+IF($G$1="鸣金",$AP60*1.5,0))*(1+$AZ60)*(1+$BA60)+($BB60*IF($G$1="裂石",$AO60,$AM60)+IF($G$1="裂石",$AP60*1.5,0))*(1+$BD60)*(1+$BE60)+($BF60*IF($G$1="牵丝",$AO60,$AM60)+IF($G$1="牵丝",$AP60*1.5,0))*(1+$BH60)*(1+$BI60)+($BJ60*IF($G$1="破竹",$AO60,$AM60)+IF($G$1="破竹",$AP60*1.5,0))*(1+$BL60)*(1+$BM60))*(1+$AQ60))*$P60*(1+IF(VLOOKUP($Q60,武学奇术!$A:$ZZ,30,FALSE)="蓄力技",$B$21,0))*(1+$BV60)</f>
        <v>25821.1971737485</v>
      </c>
      <c r="P60" s="41">
        <v>1</v>
      </c>
      <c r="Q60" s="42" t="s">
        <v>106</v>
      </c>
      <c r="R60" s="42" t="s">
        <v>103</v>
      </c>
      <c r="S60" s="42" t="s">
        <v>169</v>
      </c>
      <c r="T60" s="42" t="s">
        <v>77</v>
      </c>
      <c r="U60" s="42" t="s">
        <v>121</v>
      </c>
      <c r="V60" s="42" t="s">
        <v>77</v>
      </c>
      <c r="W60" s="42" t="s">
        <v>77</v>
      </c>
      <c r="X60" s="42" t="s">
        <v>176</v>
      </c>
      <c r="Y60" s="42" t="s">
        <v>77</v>
      </c>
      <c r="Z60" s="42" t="s">
        <v>77</v>
      </c>
      <c r="AA60" s="42" t="s">
        <v>73</v>
      </c>
      <c r="AB60" s="42" t="s">
        <v>77</v>
      </c>
      <c r="AC60" s="42" t="s">
        <v>77</v>
      </c>
      <c r="AD60" s="42" t="s">
        <v>77</v>
      </c>
      <c r="AE60" s="42" t="s">
        <v>81</v>
      </c>
      <c r="AF60" s="42" t="s">
        <v>82</v>
      </c>
      <c r="AG60" s="42" t="s">
        <v>77</v>
      </c>
      <c r="AH60" s="42" t="s">
        <v>77</v>
      </c>
      <c r="AI60" s="42" t="s">
        <v>77</v>
      </c>
      <c r="AJ60" s="42" t="s">
        <v>77</v>
      </c>
      <c r="AK60" s="42" t="s">
        <v>77</v>
      </c>
      <c r="AL60" t="str">
        <f>VLOOKUP($Q60,武学奇术!$A:$ZZ,25,FALSE)</f>
        <v>横刀</v>
      </c>
      <c r="AM60" s="27">
        <f>VLOOKUP($Q60,武学奇术!$A:$ZZ,26,FALSE)</f>
        <v>2.1324</v>
      </c>
      <c r="AN60" s="28">
        <f>VLOOKUP($Q60,武学奇术!$A:$ZZ,27,FALSE)*(1+IF(OR($AL60=$F$4,$AL60=$F$5),$B$22,0))</f>
        <v>885</v>
      </c>
      <c r="AO60" s="27">
        <f>VLOOKUP($Q60,武学奇术!$A:$ZZ,28,FALSE)</f>
        <v>3.1986</v>
      </c>
      <c r="AP60" s="28">
        <f>VLOOKUP($Q60,武学奇术!$A:$ZZ,29,FALSE)*(1+IF(OR($AL60=$F$4,$AL60=$F$5),$B$22,0))</f>
        <v>483</v>
      </c>
      <c r="AQ60" s="27" cm="1">
        <f t="array" ref="AQ60">$G$3+IFERROR(VLOOKUP($AL60,$F$4:$G$7,2,FALSE),0)+VLOOKUP($Q60,武学奇术!$A:$ZZ,2,FALSE)+SUM(_xlfn.XLOOKUP($R60:$AK60,增益!$A:$A,增益!$B:$B,0))</f>
        <v>0.5689</v>
      </c>
      <c r="AR60" s="27" cm="1">
        <f t="array" ref="AR60">VLOOKUP($Q60,武学奇术!$A:$ZZ,5,FALSE)+SUM(_xlfn.XLOOKUP($R60:$AK60,增益!$A:$A,增益!$E:$E,0))</f>
        <v>0</v>
      </c>
      <c r="AS60" cm="1">
        <f t="array" ref="AS60">$D$10*(1+$AR60)+VLOOKUP($Q60,武学奇术!$A:$ZZ,3,FALSE)+SUM(_xlfn.XLOOKUP($R60:$AK60,增益!$A:$A,增益!$C:$C,0))-$I$2</f>
        <v>3586.7</v>
      </c>
      <c r="AT60" cm="1">
        <f t="array" ref="AT60">$E$10*(1+$AR60)+VLOOKUP($Q60,武学奇术!$A:$ZZ,4,FALSE)+SUM(_xlfn.XLOOKUP($R60:$AK60,增益!$A:$A,增益!$D:$D,0))-$I$2</f>
        <v>3586.7</v>
      </c>
      <c r="AU60" s="34" cm="1">
        <f t="array" ref="AU60">IF($F$10-$I$3+VLOOKUP($Q60,武学奇术!$A:$ZZ,6,FALSE)+SUM(_xlfn.XLOOKUP($R60:$AK60,增益!$A:$A,增益!$F:$F,0))&gt;0,($F$10-$I$3+VLOOKUP($Q60,武学奇术!$A:$ZZ,6,FALSE)+SUM(_xlfn.XLOOKUP($R60:$AK60,增益!$A:$A,增益!$F:$F,0)))/200,($F$10-$I$3+VLOOKUP($Q60,武学奇术!$A:$ZZ,6,FALSE)+SUM(_xlfn.XLOOKUP($R60:$AK60,增益!$A:$A,增益!$F:$F,0)))/100)</f>
        <v>0.352</v>
      </c>
      <c r="AV60" s="34" cm="1">
        <f t="array" ref="AV60">$G$10+VLOOKUP($Q60,武学奇术!$A:$ZZ,7,FALSE)+SUM(_xlfn.XLOOKUP($R60:$AK60,增益!$A:$A,增益!$G:$G,0))</f>
        <v>0</v>
      </c>
      <c r="AW60" s="27" cm="1">
        <f t="array" ref="AW60">VLOOKUP($Q60,武学奇术!$A:$ZZ,8,FALSE)+SUM(_xlfn.XLOOKUP($R60:$AK60,增益!$A:$A,增益!$H:$H,0))</f>
        <v>0</v>
      </c>
      <c r="AX60">
        <f t="shared" si="1"/>
        <v>0</v>
      </c>
      <c r="AY60">
        <f t="shared" si="2"/>
        <v>0</v>
      </c>
      <c r="AZ60" s="34" cm="1">
        <f t="array" ref="AZ60">IF($F$11-$I$4+VLOOKUP($Q60,武学奇术!$A:$ZZ,9,FALSE)+SUM(_xlfn.XLOOKUP($R60:$AK60,增益!$A:$A,增益!$I:$I,0))&gt;0,($F$11-$I$4+VLOOKUP($Q60,武学奇术!$A:$ZZ,9,FALSE)+SUM(_xlfn.XLOOKUP($R60:$AK60,增益!$A:$A,增益!$I:$I,0)))/200,($F$11-$I$4+VLOOKUP($Q60,武学奇术!$A:$ZZ,9,FALSE)+SUM(_xlfn.XLOOKUP($R60:$AK60,增益!$A:$A,增益!$I:$I,0)))/100)</f>
        <v>-0.3</v>
      </c>
      <c r="BA60" s="34" cm="1">
        <f t="array" ref="BA60">$G$11+VLOOKUP($Q60,武学奇术!$A:$ZZ,10,FALSE)+SUM(_xlfn.XLOOKUP($R60:$AK60,增益!$A:$A,增益!$J:$J,0))</f>
        <v>0</v>
      </c>
      <c r="BB60">
        <f t="shared" si="3"/>
        <v>594.1</v>
      </c>
      <c r="BC60">
        <f t="shared" si="4"/>
        <v>1604.9</v>
      </c>
      <c r="BD60" s="34" cm="1">
        <f t="array" ref="BD60">IF($F$12-$I$4+VLOOKUP($Q60,武学奇术!$A:$ZZ,11,FALSE)+SUM(_xlfn.XLOOKUP($R60:$AK60,增益!$A:$A,增益!$K:$K,0))&gt;0,($F$12-$I$4+VLOOKUP($Q60,武学奇术!$A:$ZZ,11,FALSE)+SUM(_xlfn.XLOOKUP($R60:$AK60,增益!$A:$A,增益!$K:$K,0)))/200,($F$12-$I$4+VLOOKUP($Q60,武学奇术!$A:$ZZ,11,FALSE)+SUM(_xlfn.XLOOKUP($R60:$AK60,增益!$A:$A,增益!$K:$K,0)))/100)</f>
        <v>0.09</v>
      </c>
      <c r="BE60" s="34" cm="1">
        <f t="array" ref="BE60">$G$12+VLOOKUP($Q60,武学奇术!$A:$ZZ,12,FALSE)+SUM(_xlfn.XLOOKUP($R60:$AK60,增益!$A:$A,增益!$L:$L,0))</f>
        <v>0.15</v>
      </c>
      <c r="BF60">
        <f t="shared" si="5"/>
        <v>0</v>
      </c>
      <c r="BG60">
        <f t="shared" si="6"/>
        <v>0</v>
      </c>
      <c r="BH60" s="34" cm="1">
        <f t="array" ref="BH60">IF($F$13-$I$4+VLOOKUP($Q60,武学奇术!$A:$ZZ,13,FALSE)+SUM(_xlfn.XLOOKUP($R60:$AK60,增益!$A:$A,增益!$M:$M,0))&gt;0,($F$13-$I$4+VLOOKUP($Q60,武学奇术!$A:$ZZ,13,FALSE)+SUM(_xlfn.XLOOKUP($R60:$AK60,增益!$A:$A,增益!$K:$K,0)))/200,($F$13-$I$4+VLOOKUP($Q60,武学奇术!$A:$ZZ,13,FALSE)+SUM(_xlfn.XLOOKUP($R60:$AK60,增益!$A:$A,增益!$M:$M,0)))/100)</f>
        <v>-0.3</v>
      </c>
      <c r="BI60" s="34" cm="1">
        <f t="array" ref="BI60">$G$13+VLOOKUP($Q60,武学奇术!$A:$ZZ,14,FALSE)+SUM(_xlfn.XLOOKUP($R60:$AK60,增益!$A:$A,增益!$N:$N,0))</f>
        <v>0</v>
      </c>
      <c r="BJ60">
        <f t="shared" si="7"/>
        <v>0</v>
      </c>
      <c r="BK60">
        <f t="shared" si="8"/>
        <v>0</v>
      </c>
      <c r="BL60" s="34" cm="1">
        <f t="array" ref="BL60">IF($F$14-$I$4+VLOOKUP($Q60,武学奇术!$A:$ZZ,15,FALSE)+SUM(_xlfn.XLOOKUP($R60:$AK60,增益!$A:$A,增益!$O:$O,0))&gt;0,($F$14-$I$4+VLOOKUP($Q60,武学奇术!$A:$ZZ,15,FALSE)+SUM(_xlfn.XLOOKUP($R60:$AK60,增益!$A:$A,增益!$O:$O,0)))/200,($F$14-$I$4+VLOOKUP($Q60,武学奇术!$A:$ZZ,15,FALSE)+SUM(_xlfn.XLOOKUP($R60:$AK60,增益!$A:$A,增益!$O:$O,0)))/100)</f>
        <v>-0.3</v>
      </c>
      <c r="BM60" s="34" cm="1">
        <f t="array" ref="BM60">$G$14+VLOOKUP($Q60,武学奇术!$A:$ZZ,16,FALSE)+SUM(_xlfn.XLOOKUP($R60:$AK60,增益!$A:$A,增益!$P:$P,0))</f>
        <v>0</v>
      </c>
      <c r="BN60" s="27">
        <f>MIN(IF(VLOOKUP($Q60,武学奇术!$A:$ZZ,23,FALSE)=1,100%,$B$8),100%)</f>
        <v>0.9859</v>
      </c>
      <c r="BO60" s="27" cm="1">
        <f t="array" ref="BO60">IF(VLOOKUP($Q60,武学奇术!$A:$ZZ,23,FALSE)=1,100%,MIN(80%,$B$9+VLOOKUP($Q60,武学奇术!$A:$ZZ,17,FALSE)+SUM(_xlfn.XLOOKUP($R60:$AK60,增益!$A:$A,增益!$Q:$Q,0)))+$B$11+SUM(_xlfn.XLOOKUP($R60:$AK60,增益!$A:$A,增益!$U:$U,0)))*IF(VLOOKUP($Q60,武学奇术!$A:$ZZ,24,FALSE)=1,0,1)</f>
        <v>0.8912</v>
      </c>
      <c r="BP60" s="27" cm="1">
        <f t="array" ref="BP60">1+$B$13+VLOOKUP($Q60,武学奇术!$A:$ZZ,18,FALSE)+SUM(_xlfn.XLOOKUP($R60:$AK60,增益!$A:$A,增益!$R:$R,0))</f>
        <v>2</v>
      </c>
      <c r="BQ60" s="27" cm="1">
        <f t="array" ref="BQ60">IF(VLOOKUP($Q60,武学奇术!$A:$ZZ,24,FALSE)=1,100%,MIN(40%,$B$10+VLOOKUP($Q60,武学奇术!$A:$ZZ,19,FALSE)+SUM(_xlfn.XLOOKUP($R60:$AK60,增益!$A:$A,增益!$S:$S,0)))+$B$12+SUM(_xlfn.XLOOKUP($R60:$AK60,增益!$A:$A,增益!$V:$V,0)))*IF(VLOOKUP($Q60,武学奇术!$A:$ZZ,23,FALSE)=1,0,1)</f>
        <v>0.0929</v>
      </c>
      <c r="BR60" s="27" cm="1">
        <f t="array" ref="BR60">1+$B$14+VLOOKUP($Q60,武学奇术!$A:$ZZ,20,FALSE)+SUM(_xlfn.XLOOKUP($R60:$AK60,增益!$A:$A,增益!$T:$T,0))</f>
        <v>1.35</v>
      </c>
      <c r="BS60" s="27">
        <f t="shared" si="9"/>
        <v>0.87863408</v>
      </c>
      <c r="BT60" s="27">
        <f t="shared" si="10"/>
        <v>0.01567581</v>
      </c>
      <c r="BU60" s="27">
        <f>IF(VLOOKUP($Q60,武学奇术!$A:$ZZ,22,FALSE)=1,0,(1-$BN60))*(1-$BQ60)</f>
        <v>0.01279011</v>
      </c>
      <c r="BV60" s="27" cm="1">
        <f t="array" ref="BV60">SUM(_xlfn.XLOOKUP($R60:$AK60,增益!$A:$A,增益!$W:$W,0))+$I$5</f>
        <v>0.11</v>
      </c>
    </row>
    <row r="61" spans="4:74">
      <c r="K61" s="40">
        <f t="shared" si="0"/>
        <v>34908.5362352953</v>
      </c>
      <c r="L61" s="40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BP61*$P61*(1+IF(VLOOKUP($Q61,武学奇术!$A:$ZZ,30,FALSE)="蓄力技",$B$21,0))*(1+$BV61)</f>
        <v>36223.4103687756</v>
      </c>
      <c r="M61" s="40">
        <f>(($AT61*$AM61+$AN61)*(1+$AU61)*(1+$AV61)+($AY61*IF($G$1="鸣金",$AO61,$AM61)+IF($G$1="鸣金",$AP61*1.5,0))*(1+$AZ61)*(1+$BA61)+($BC61*IF($G$1="裂石",$AO61,$AM61)+IF($G$1="裂石",$AP61*1.5,0))*(1+$BD61)*(1+$BE61)+($BG61*IF($G$1="牵丝",$AO61,$AM61)+IF($G$1="牵丝",$AP61*1.5,0))*(1+$BH61)*(1+$BI61)+($BK61*IF($G$1="破竹",$AO61,$AM61)+IF($G$1="破竹",$AP61*1.5,0))*(1+$BL61)*(1+$BM61))*(1+$AQ61)*$BR61*$P61*(1+IF(VLOOKUP($Q61,武学奇术!$A:$ZZ,30,FALSE)="蓄力技",$B$21,0))*(1+$BV61)</f>
        <v>27979.2953199267</v>
      </c>
      <c r="N61" s="40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P61*(1+IF(VLOOKUP($Q61,武学奇术!$A:$ZZ,30,FALSE)="蓄力技",$B$21,0))*(1+$BV61)</f>
        <v>18111.7051843878</v>
      </c>
      <c r="O61" s="40">
        <f>((($AS61*$AM61+$AN61)*(1+$AU61)*(1+$AV61)+($AX61*IF($G$1="鸣金",$AO61,$AM61)+IF($G$1="鸣金",$AP61*1.5,0))*(1+$AZ61)*(1+$BA61)+($BB61*IF($G$1="裂石",$AO61,$AM61)+IF($G$1="裂石",$AP61*1.5,0))*(1+$BD61)*(1+$BE61)+($BF61*IF($G$1="牵丝",$AO61,$AM61)+IF($G$1="牵丝",$AP61*1.5,0))*(1+$BH61)*(1+$BI61)+($BJ61*IF($G$1="破竹",$AO61,$AM61)+IF($G$1="破竹",$AP61*1.5,0))*(1+$BL61)*(1+$BM61))*(1+$AQ61))*$P61*(1+IF(VLOOKUP($Q61,武学奇术!$A:$ZZ,30,FALSE)="蓄力技",$B$21,0))*(1+$BV61)</f>
        <v>15498.0064280892</v>
      </c>
      <c r="P61" s="41">
        <v>1</v>
      </c>
      <c r="Q61" s="42" t="s">
        <v>110</v>
      </c>
      <c r="R61" s="42" t="s">
        <v>103</v>
      </c>
      <c r="S61" s="42" t="s">
        <v>169</v>
      </c>
      <c r="T61" s="42" t="s">
        <v>86</v>
      </c>
      <c r="U61" s="42" t="s">
        <v>121</v>
      </c>
      <c r="V61" s="42" t="s">
        <v>77</v>
      </c>
      <c r="W61" s="42" t="s">
        <v>77</v>
      </c>
      <c r="X61" s="42" t="s">
        <v>176</v>
      </c>
      <c r="Y61" s="42" t="s">
        <v>77</v>
      </c>
      <c r="Z61" s="42" t="s">
        <v>77</v>
      </c>
      <c r="AA61" s="42" t="s">
        <v>73</v>
      </c>
      <c r="AB61" s="42" t="s">
        <v>77</v>
      </c>
      <c r="AC61" s="42" t="s">
        <v>77</v>
      </c>
      <c r="AD61" s="42" t="s">
        <v>77</v>
      </c>
      <c r="AE61" s="42" t="s">
        <v>81</v>
      </c>
      <c r="AF61" s="42" t="s">
        <v>82</v>
      </c>
      <c r="AG61" s="42" t="s">
        <v>77</v>
      </c>
      <c r="AH61" s="42" t="s">
        <v>77</v>
      </c>
      <c r="AI61" s="42" t="s">
        <v>77</v>
      </c>
      <c r="AJ61" s="42" t="s">
        <v>77</v>
      </c>
      <c r="AK61" s="42" t="s">
        <v>77</v>
      </c>
      <c r="AL61" t="str">
        <f>VLOOKUP($Q61,武学奇术!$A:$ZZ,25,FALSE)</f>
        <v>横刀</v>
      </c>
      <c r="AM61" s="27">
        <f>VLOOKUP($Q61,武学奇术!$A:$ZZ,26,FALSE)</f>
        <v>1.4</v>
      </c>
      <c r="AN61" s="28">
        <f>VLOOKUP($Q61,武学奇术!$A:$ZZ,27,FALSE)*(1+IF(OR($AL61=$F$4,$AL61=$F$5),$B$22,0))</f>
        <v>0</v>
      </c>
      <c r="AO61" s="27">
        <f>VLOOKUP($Q61,武学奇术!$A:$ZZ,28,FALSE)</f>
        <v>2.1</v>
      </c>
      <c r="AP61" s="28">
        <f>VLOOKUP($Q61,武学奇术!$A:$ZZ,29,FALSE)*(1+IF(OR($AL61=$F$4,$AL61=$F$5),$B$22,0))</f>
        <v>0</v>
      </c>
      <c r="AQ61" s="27" cm="1">
        <f t="array" ref="AQ61">$G$3+IFERROR(VLOOKUP($AL61,$F$4:$G$7,2,FALSE),0)+VLOOKUP($Q61,武学奇术!$A:$ZZ,2,FALSE)+SUM(_xlfn.XLOOKUP($R61:$AK61,增益!$A:$A,增益!$B:$B,0))</f>
        <v>0.6489</v>
      </c>
      <c r="AR61" s="27" cm="1">
        <f t="array" ref="AR61">VLOOKUP($Q61,武学奇术!$A:$ZZ,5,FALSE)+SUM(_xlfn.XLOOKUP($R61:$AK61,增益!$A:$A,增益!$E:$E,0))</f>
        <v>0</v>
      </c>
      <c r="AS61" cm="1">
        <f t="array" ref="AS61">$D$10*(1+$AR61)+VLOOKUP($Q61,武学奇术!$A:$ZZ,3,FALSE)+SUM(_xlfn.XLOOKUP($R61:$AK61,增益!$A:$A,增益!$C:$C,0))-$I$2</f>
        <v>3586.7</v>
      </c>
      <c r="AT61" cm="1">
        <f t="array" ref="AT61">$E$10*(1+$AR61)+VLOOKUP($Q61,武学奇术!$A:$ZZ,4,FALSE)+SUM(_xlfn.XLOOKUP($R61:$AK61,增益!$A:$A,增益!$D:$D,0))-$I$2</f>
        <v>3586.7</v>
      </c>
      <c r="AU61" s="34" cm="1">
        <f t="array" ref="AU61">IF($F$10-$I$3+VLOOKUP($Q61,武学奇术!$A:$ZZ,6,FALSE)+SUM(_xlfn.XLOOKUP($R61:$AK61,增益!$A:$A,增益!$F:$F,0))&gt;0,($F$10-$I$3+VLOOKUP($Q61,武学奇术!$A:$ZZ,6,FALSE)+SUM(_xlfn.XLOOKUP($R61:$AK61,增益!$A:$A,增益!$F:$F,0)))/200,($F$10-$I$3+VLOOKUP($Q61,武学奇术!$A:$ZZ,6,FALSE)+SUM(_xlfn.XLOOKUP($R61:$AK61,增益!$A:$A,增益!$F:$F,0)))/100)</f>
        <v>0.352</v>
      </c>
      <c r="AV61" s="34" cm="1">
        <f t="array" ref="AV61">$G$10+VLOOKUP($Q61,武学奇术!$A:$ZZ,7,FALSE)+SUM(_xlfn.XLOOKUP($R61:$AK61,增益!$A:$A,增益!$G:$G,0))</f>
        <v>0</v>
      </c>
      <c r="AW61" s="27" cm="1">
        <f t="array" ref="AW61">VLOOKUP($Q61,武学奇术!$A:$ZZ,8,FALSE)+SUM(_xlfn.XLOOKUP($R61:$AK61,增益!$A:$A,增益!$H:$H,0))</f>
        <v>0</v>
      </c>
      <c r="AX61">
        <f t="shared" si="1"/>
        <v>0</v>
      </c>
      <c r="AY61">
        <f t="shared" si="2"/>
        <v>0</v>
      </c>
      <c r="AZ61" s="34" cm="1">
        <f t="array" ref="AZ61">IF($F$11-$I$4+VLOOKUP($Q61,武学奇术!$A:$ZZ,9,FALSE)+SUM(_xlfn.XLOOKUP($R61:$AK61,增益!$A:$A,增益!$I:$I,0))&gt;0,($F$11-$I$4+VLOOKUP($Q61,武学奇术!$A:$ZZ,9,FALSE)+SUM(_xlfn.XLOOKUP($R61:$AK61,增益!$A:$A,增益!$I:$I,0)))/200,($F$11-$I$4+VLOOKUP($Q61,武学奇术!$A:$ZZ,9,FALSE)+SUM(_xlfn.XLOOKUP($R61:$AK61,增益!$A:$A,增益!$I:$I,0)))/100)</f>
        <v>-0.14</v>
      </c>
      <c r="BA61" s="34" cm="1">
        <f t="array" ref="BA61">$G$11+VLOOKUP($Q61,武学奇术!$A:$ZZ,10,FALSE)+SUM(_xlfn.XLOOKUP($R61:$AK61,增益!$A:$A,增益!$J:$J,0))</f>
        <v>0</v>
      </c>
      <c r="BB61">
        <f t="shared" si="3"/>
        <v>594.1</v>
      </c>
      <c r="BC61">
        <f t="shared" si="4"/>
        <v>1604.9</v>
      </c>
      <c r="BD61" s="34" cm="1">
        <f t="array" ref="BD61">IF($F$12-$I$4+VLOOKUP($Q61,武学奇术!$A:$ZZ,11,FALSE)+SUM(_xlfn.XLOOKUP($R61:$AK61,增益!$A:$A,增益!$K:$K,0))&gt;0,($F$12-$I$4+VLOOKUP($Q61,武学奇术!$A:$ZZ,11,FALSE)+SUM(_xlfn.XLOOKUP($R61:$AK61,增益!$A:$A,增益!$K:$K,0)))/200,($F$12-$I$4+VLOOKUP($Q61,武学奇术!$A:$ZZ,11,FALSE)+SUM(_xlfn.XLOOKUP($R61:$AK61,增益!$A:$A,增益!$K:$K,0)))/100)</f>
        <v>0.17</v>
      </c>
      <c r="BE61" s="34" cm="1">
        <f t="array" ref="BE61">$G$12+VLOOKUP($Q61,武学奇术!$A:$ZZ,12,FALSE)+SUM(_xlfn.XLOOKUP($R61:$AK61,增益!$A:$A,增益!$L:$L,0))</f>
        <v>0.15</v>
      </c>
      <c r="BF61">
        <f t="shared" si="5"/>
        <v>0</v>
      </c>
      <c r="BG61">
        <f t="shared" si="6"/>
        <v>0</v>
      </c>
      <c r="BH61" s="34" cm="1">
        <f t="array" ref="BH61">IF($F$13-$I$4+VLOOKUP($Q61,武学奇术!$A:$ZZ,13,FALSE)+SUM(_xlfn.XLOOKUP($R61:$AK61,增益!$A:$A,增益!$M:$M,0))&gt;0,($F$13-$I$4+VLOOKUP($Q61,武学奇术!$A:$ZZ,13,FALSE)+SUM(_xlfn.XLOOKUP($R61:$AK61,增益!$A:$A,增益!$K:$K,0)))/200,($F$13-$I$4+VLOOKUP($Q61,武学奇术!$A:$ZZ,13,FALSE)+SUM(_xlfn.XLOOKUP($R61:$AK61,增益!$A:$A,增益!$M:$M,0)))/100)</f>
        <v>-0.14</v>
      </c>
      <c r="BI61" s="34" cm="1">
        <f t="array" ref="BI61">$G$13+VLOOKUP($Q61,武学奇术!$A:$ZZ,14,FALSE)+SUM(_xlfn.XLOOKUP($R61:$AK61,增益!$A:$A,增益!$N:$N,0))</f>
        <v>0</v>
      </c>
      <c r="BJ61">
        <f t="shared" si="7"/>
        <v>0</v>
      </c>
      <c r="BK61">
        <f t="shared" si="8"/>
        <v>0</v>
      </c>
      <c r="BL61" s="34" cm="1">
        <f t="array" ref="BL61">IF($F$14-$I$4+VLOOKUP($Q61,武学奇术!$A:$ZZ,15,FALSE)+SUM(_xlfn.XLOOKUP($R61:$AK61,增益!$A:$A,增益!$O:$O,0))&gt;0,($F$14-$I$4+VLOOKUP($Q61,武学奇术!$A:$ZZ,15,FALSE)+SUM(_xlfn.XLOOKUP($R61:$AK61,增益!$A:$A,增益!$O:$O,0)))/200,($F$14-$I$4+VLOOKUP($Q61,武学奇术!$A:$ZZ,15,FALSE)+SUM(_xlfn.XLOOKUP($R61:$AK61,增益!$A:$A,增益!$O:$O,0)))/100)</f>
        <v>-0.14</v>
      </c>
      <c r="BM61" s="34" cm="1">
        <f t="array" ref="BM61">$G$14+VLOOKUP($Q61,武学奇术!$A:$ZZ,16,FALSE)+SUM(_xlfn.XLOOKUP($R61:$AK61,增益!$A:$A,增益!$P:$P,0))</f>
        <v>0</v>
      </c>
      <c r="BN61" s="27">
        <f>MIN(IF(VLOOKUP($Q61,武学奇术!$A:$ZZ,23,FALSE)=1,100%,$B$8),100%)</f>
        <v>0.9859</v>
      </c>
      <c r="BO61" s="27" cm="1">
        <f t="array" ref="BO61">IF(VLOOKUP($Q61,武学奇术!$A:$ZZ,23,FALSE)=1,100%,MIN(80%,$B$9+VLOOKUP($Q61,武学奇术!$A:$ZZ,17,FALSE)+SUM(_xlfn.XLOOKUP($R61:$AK61,增益!$A:$A,增益!$Q:$Q,0)))+$B$11+SUM(_xlfn.XLOOKUP($R61:$AK61,增益!$A:$A,增益!$U:$U,0)))*IF(VLOOKUP($Q61,武学奇术!$A:$ZZ,24,FALSE)=1,0,1)</f>
        <v>0.8912</v>
      </c>
      <c r="BP61" s="27" cm="1">
        <f t="array" ref="BP61">1+$B$13+VLOOKUP($Q61,武学奇术!$A:$ZZ,18,FALSE)+SUM(_xlfn.XLOOKUP($R61:$AK61,增益!$A:$A,增益!$R:$R,0))</f>
        <v>2</v>
      </c>
      <c r="BQ61" s="27" cm="1">
        <f t="array" ref="BQ61">IF(VLOOKUP($Q61,武学奇术!$A:$ZZ,24,FALSE)=1,100%,MIN(40%,$B$10+VLOOKUP($Q61,武学奇术!$A:$ZZ,19,FALSE)+SUM(_xlfn.XLOOKUP($R61:$AK61,增益!$A:$A,增益!$S:$S,0)))+$B$12+SUM(_xlfn.XLOOKUP($R61:$AK61,增益!$A:$A,增益!$V:$V,0)))*IF(VLOOKUP($Q61,武学奇术!$A:$ZZ,23,FALSE)=1,0,1)</f>
        <v>0.0929</v>
      </c>
      <c r="BR61" s="27" cm="1">
        <f t="array" ref="BR61">1+$B$14+VLOOKUP($Q61,武学奇术!$A:$ZZ,20,FALSE)+SUM(_xlfn.XLOOKUP($R61:$AK61,增益!$A:$A,增益!$T:$T,0))</f>
        <v>1.35</v>
      </c>
      <c r="BS61" s="27">
        <f t="shared" si="9"/>
        <v>0.87863408</v>
      </c>
      <c r="BT61" s="27">
        <f t="shared" si="10"/>
        <v>0.01567581</v>
      </c>
      <c r="BU61" s="27">
        <f>IF(VLOOKUP($Q61,武学奇术!$A:$ZZ,22,FALSE)=1,0,(1-$BN61))*(1-$BQ61)</f>
        <v>0.01279011</v>
      </c>
      <c r="BV61" s="27" cm="1">
        <f t="array" ref="BV61">SUM(_xlfn.XLOOKUP($R61:$AK61,增益!$A:$A,增益!$W:$W,0))+$I$5</f>
        <v>0.11</v>
      </c>
    </row>
    <row r="62" spans="4:74">
      <c r="K62" s="40">
        <f t="shared" si="0"/>
        <v>17307.2217723126</v>
      </c>
      <c r="L62" s="40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BP62*$P62*(1+IF(VLOOKUP($Q62,武学奇术!$A:$ZZ,30,FALSE)="蓄力技",$B$21,0))*(1+$BV62)</f>
        <v>17959.1201526238</v>
      </c>
      <c r="M62" s="40">
        <f>(($AT62*$AM62+$AN62)*(1+$AU62)*(1+$AV62)+($AY62*IF($G$1="鸣金",$AO62,$AM62)+IF($G$1="鸣金",$AP62*1.5,0))*(1+$AZ62)*(1+$BA62)+($BC62*IF($G$1="裂石",$AO62,$AM62)+IF($G$1="裂石",$AP62*1.5,0))*(1+$BD62)*(1+$BE62)+($BG62*IF($G$1="牵丝",$AO62,$AM62)+IF($G$1="牵丝",$AP62*1.5,0))*(1+$BH62)*(1+$BI62)+($BK62*IF($G$1="破竹",$AO62,$AM62)+IF($G$1="破竹",$AP62*1.5,0))*(1+$BL62)*(1+$BM62))*(1+$AQ62)*$BR62*$P62*(1+IF(VLOOKUP($Q62,武学奇术!$A:$ZZ,30,FALSE)="蓄力技",$B$21,0))*(1+$BV62)</f>
        <v>13871.7895780858</v>
      </c>
      <c r="N62" s="40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P62*(1+IF(VLOOKUP($Q62,武学奇术!$A:$ZZ,30,FALSE)="蓄力技",$B$21,0))*(1+$BV62)</f>
        <v>8979.56007631189</v>
      </c>
      <c r="O62" s="40">
        <f>((($AS62*$AM62+$AN62)*(1+$AU62)*(1+$AV62)+($AX62*IF($G$1="鸣金",$AO62,$AM62)+IF($G$1="鸣金",$AP62*1.5,0))*(1+$AZ62)*(1+$BA62)+($BB62*IF($G$1="裂石",$AO62,$AM62)+IF($G$1="裂石",$AP62*1.5,0))*(1+$BD62)*(1+$BE62)+($BF62*IF($G$1="牵丝",$AO62,$AM62)+IF($G$1="牵丝",$AP62*1.5,0))*(1+$BH62)*(1+$BI62)+($BJ62*IF($G$1="破竹",$AO62,$AM62)+IF($G$1="破竹",$AP62*1.5,0))*(1+$BL62)*(1+$BM62))*(1+$AQ62))*$P62*(1+IF(VLOOKUP($Q62,武学奇术!$A:$ZZ,30,FALSE)="蓄力技",$B$21,0))*(1+$BV62)</f>
        <v>7683.7204651528</v>
      </c>
      <c r="P62" s="41">
        <v>1</v>
      </c>
      <c r="Q62" s="42" t="s">
        <v>112</v>
      </c>
      <c r="R62" s="42" t="s">
        <v>103</v>
      </c>
      <c r="S62" s="42" t="s">
        <v>169</v>
      </c>
      <c r="T62" s="42" t="s">
        <v>86</v>
      </c>
      <c r="U62" s="42" t="s">
        <v>121</v>
      </c>
      <c r="V62" s="42" t="s">
        <v>77</v>
      </c>
      <c r="W62" s="42" t="s">
        <v>77</v>
      </c>
      <c r="X62" s="42" t="s">
        <v>176</v>
      </c>
      <c r="Y62" s="42" t="s">
        <v>77</v>
      </c>
      <c r="Z62" s="42" t="s">
        <v>77</v>
      </c>
      <c r="AA62" s="42" t="s">
        <v>73</v>
      </c>
      <c r="AB62" s="42" t="s">
        <v>77</v>
      </c>
      <c r="AC62" s="42" t="s">
        <v>77</v>
      </c>
      <c r="AD62" s="42" t="s">
        <v>77</v>
      </c>
      <c r="AE62" s="42" t="s">
        <v>81</v>
      </c>
      <c r="AF62" s="42" t="s">
        <v>82</v>
      </c>
      <c r="AG62" s="42" t="s">
        <v>77</v>
      </c>
      <c r="AH62" s="42" t="s">
        <v>77</v>
      </c>
      <c r="AI62" s="42" t="s">
        <v>77</v>
      </c>
      <c r="AJ62" s="42" t="s">
        <v>77</v>
      </c>
      <c r="AK62" s="42" t="s">
        <v>77</v>
      </c>
      <c r="AL62" t="str">
        <f>VLOOKUP($Q62,武学奇术!$A:$ZZ,25,FALSE)</f>
        <v>陌刀</v>
      </c>
      <c r="AM62" s="27">
        <f>VLOOKUP($Q62,武学奇术!$A:$ZZ,26,FALSE)</f>
        <v>0.5</v>
      </c>
      <c r="AN62" s="28">
        <f>VLOOKUP($Q62,武学奇术!$A:$ZZ,27,FALSE)*(1+IF(OR($AL62=$F$4,$AL62=$F$5),$B$22,0))</f>
        <v>0</v>
      </c>
      <c r="AO62" s="27">
        <f>VLOOKUP($Q62,武学奇术!$A:$ZZ,28,FALSE)</f>
        <v>0.75</v>
      </c>
      <c r="AP62" s="28">
        <f>VLOOKUP($Q62,武学奇术!$A:$ZZ,29,FALSE)*(1+IF(OR($AL62=$F$4,$AL62=$F$5),$B$22,0))</f>
        <v>0</v>
      </c>
      <c r="AQ62" s="27" cm="1">
        <f t="array" ref="AQ62">$G$3+IFERROR(VLOOKUP($AL62,$F$4:$G$7,2,FALSE),0)+VLOOKUP($Q62,武学奇术!$A:$ZZ,2,FALSE)+SUM(_xlfn.XLOOKUP($R62:$AK62,增益!$A:$A,增益!$B:$B,0))</f>
        <v>0.7341</v>
      </c>
      <c r="AR62" s="27" cm="1">
        <f t="array" ref="AR62">VLOOKUP($Q62,武学奇术!$A:$ZZ,5,FALSE)+SUM(_xlfn.XLOOKUP($R62:$AK62,增益!$A:$A,增益!$E:$E,0))</f>
        <v>0</v>
      </c>
      <c r="AS62" cm="1">
        <f t="array" ref="AS62">$D$10*(1+$AR62)+VLOOKUP($Q62,武学奇术!$A:$ZZ,3,FALSE)+SUM(_xlfn.XLOOKUP($R62:$AK62,增益!$A:$A,增益!$C:$C,0))-$I$2</f>
        <v>3586.7</v>
      </c>
      <c r="AT62" cm="1">
        <f t="array" ref="AT62">$E$10*(1+$AR62)+VLOOKUP($Q62,武学奇术!$A:$ZZ,4,FALSE)+SUM(_xlfn.XLOOKUP($R62:$AK62,增益!$A:$A,增益!$D:$D,0))-$I$2</f>
        <v>3586.7</v>
      </c>
      <c r="AU62" s="34" cm="1">
        <f t="array" ref="AU62">IF($F$10-$I$3+VLOOKUP($Q62,武学奇术!$A:$ZZ,6,FALSE)+SUM(_xlfn.XLOOKUP($R62:$AK62,增益!$A:$A,增益!$F:$F,0))&gt;0,($F$10-$I$3+VLOOKUP($Q62,武学奇术!$A:$ZZ,6,FALSE)+SUM(_xlfn.XLOOKUP($R62:$AK62,增益!$A:$A,增益!$F:$F,0)))/200,($F$10-$I$3+VLOOKUP($Q62,武学奇术!$A:$ZZ,6,FALSE)+SUM(_xlfn.XLOOKUP($R62:$AK62,增益!$A:$A,增益!$F:$F,0)))/100)</f>
        <v>0.352</v>
      </c>
      <c r="AV62" s="34" cm="1">
        <f t="array" ref="AV62">$G$10+VLOOKUP($Q62,武学奇术!$A:$ZZ,7,FALSE)+SUM(_xlfn.XLOOKUP($R62:$AK62,增益!$A:$A,增益!$G:$G,0))</f>
        <v>0</v>
      </c>
      <c r="AW62" s="27" cm="1">
        <f t="array" ref="AW62">VLOOKUP($Q62,武学奇术!$A:$ZZ,8,FALSE)+SUM(_xlfn.XLOOKUP($R62:$AK62,增益!$A:$A,增益!$H:$H,0))</f>
        <v>0</v>
      </c>
      <c r="AX62">
        <f t="shared" si="1"/>
        <v>0</v>
      </c>
      <c r="AY62">
        <f t="shared" si="2"/>
        <v>0</v>
      </c>
      <c r="AZ62" s="34" cm="1">
        <f t="array" ref="AZ62">IF($F$11-$I$4+VLOOKUP($Q62,武学奇术!$A:$ZZ,9,FALSE)+SUM(_xlfn.XLOOKUP($R62:$AK62,增益!$A:$A,增益!$I:$I,0))&gt;0,($F$11-$I$4+VLOOKUP($Q62,武学奇术!$A:$ZZ,9,FALSE)+SUM(_xlfn.XLOOKUP($R62:$AK62,增益!$A:$A,增益!$I:$I,0)))/200,($F$11-$I$4+VLOOKUP($Q62,武学奇术!$A:$ZZ,9,FALSE)+SUM(_xlfn.XLOOKUP($R62:$AK62,增益!$A:$A,增益!$I:$I,0)))/100)</f>
        <v>-0.14</v>
      </c>
      <c r="BA62" s="34" cm="1">
        <f t="array" ref="BA62">$G$11+VLOOKUP($Q62,武学奇术!$A:$ZZ,10,FALSE)+SUM(_xlfn.XLOOKUP($R62:$AK62,增益!$A:$A,增益!$J:$J,0))</f>
        <v>0</v>
      </c>
      <c r="BB62">
        <f t="shared" si="3"/>
        <v>594.1</v>
      </c>
      <c r="BC62">
        <f t="shared" si="4"/>
        <v>1604.9</v>
      </c>
      <c r="BD62" s="34" cm="1">
        <f t="array" ref="BD62">IF($F$12-$I$4+VLOOKUP($Q62,武学奇术!$A:$ZZ,11,FALSE)+SUM(_xlfn.XLOOKUP($R62:$AK62,增益!$A:$A,增益!$K:$K,0))&gt;0,($F$12-$I$4+VLOOKUP($Q62,武学奇术!$A:$ZZ,11,FALSE)+SUM(_xlfn.XLOOKUP($R62:$AK62,增益!$A:$A,增益!$K:$K,0)))/200,($F$12-$I$4+VLOOKUP($Q62,武学奇术!$A:$ZZ,11,FALSE)+SUM(_xlfn.XLOOKUP($R62:$AK62,增益!$A:$A,增益!$K:$K,0)))/100)</f>
        <v>0.17</v>
      </c>
      <c r="BE62" s="34" cm="1">
        <f t="array" ref="BE62">$G$12+VLOOKUP($Q62,武学奇术!$A:$ZZ,12,FALSE)+SUM(_xlfn.XLOOKUP($R62:$AK62,增益!$A:$A,增益!$L:$L,0))</f>
        <v>0.15</v>
      </c>
      <c r="BF62">
        <f t="shared" si="5"/>
        <v>0</v>
      </c>
      <c r="BG62">
        <f t="shared" si="6"/>
        <v>0</v>
      </c>
      <c r="BH62" s="34" cm="1">
        <f t="array" ref="BH62">IF($F$13-$I$4+VLOOKUP($Q62,武学奇术!$A:$ZZ,13,FALSE)+SUM(_xlfn.XLOOKUP($R62:$AK62,增益!$A:$A,增益!$M:$M,0))&gt;0,($F$13-$I$4+VLOOKUP($Q62,武学奇术!$A:$ZZ,13,FALSE)+SUM(_xlfn.XLOOKUP($R62:$AK62,增益!$A:$A,增益!$K:$K,0)))/200,($F$13-$I$4+VLOOKUP($Q62,武学奇术!$A:$ZZ,13,FALSE)+SUM(_xlfn.XLOOKUP($R62:$AK62,增益!$A:$A,增益!$M:$M,0)))/100)</f>
        <v>-0.14</v>
      </c>
      <c r="BI62" s="34" cm="1">
        <f t="array" ref="BI62">$G$13+VLOOKUP($Q62,武学奇术!$A:$ZZ,14,FALSE)+SUM(_xlfn.XLOOKUP($R62:$AK62,增益!$A:$A,增益!$N:$N,0))</f>
        <v>0</v>
      </c>
      <c r="BJ62">
        <f t="shared" si="7"/>
        <v>0</v>
      </c>
      <c r="BK62">
        <f t="shared" si="8"/>
        <v>0</v>
      </c>
      <c r="BL62" s="34" cm="1">
        <f t="array" ref="BL62">IF($F$14-$I$4+VLOOKUP($Q62,武学奇术!$A:$ZZ,15,FALSE)+SUM(_xlfn.XLOOKUP($R62:$AK62,增益!$A:$A,增益!$O:$O,0))&gt;0,($F$14-$I$4+VLOOKUP($Q62,武学奇术!$A:$ZZ,15,FALSE)+SUM(_xlfn.XLOOKUP($R62:$AK62,增益!$A:$A,增益!$O:$O,0)))/200,($F$14-$I$4+VLOOKUP($Q62,武学奇术!$A:$ZZ,15,FALSE)+SUM(_xlfn.XLOOKUP($R62:$AK62,增益!$A:$A,增益!$O:$O,0)))/100)</f>
        <v>-0.14</v>
      </c>
      <c r="BM62" s="34" cm="1">
        <f t="array" ref="BM62">$G$14+VLOOKUP($Q62,武学奇术!$A:$ZZ,16,FALSE)+SUM(_xlfn.XLOOKUP($R62:$AK62,增益!$A:$A,增益!$P:$P,0))</f>
        <v>0</v>
      </c>
      <c r="BN62" s="27">
        <f>MIN(IF(VLOOKUP($Q62,武学奇术!$A:$ZZ,23,FALSE)=1,100%,$B$8),100%)</f>
        <v>0.9859</v>
      </c>
      <c r="BO62" s="27" cm="1">
        <f t="array" ref="BO62">IF(VLOOKUP($Q62,武学奇术!$A:$ZZ,23,FALSE)=1,100%,MIN(80%,$B$9+VLOOKUP($Q62,武学奇术!$A:$ZZ,17,FALSE)+SUM(_xlfn.XLOOKUP($R62:$AK62,增益!$A:$A,增益!$Q:$Q,0)))+$B$11+SUM(_xlfn.XLOOKUP($R62:$AK62,增益!$A:$A,增益!$U:$U,0)))*IF(VLOOKUP($Q62,武学奇术!$A:$ZZ,24,FALSE)=1,0,1)</f>
        <v>0.8912</v>
      </c>
      <c r="BP62" s="27" cm="1">
        <f t="array" ref="BP62">1+$B$13+VLOOKUP($Q62,武学奇术!$A:$ZZ,18,FALSE)+SUM(_xlfn.XLOOKUP($R62:$AK62,增益!$A:$A,增益!$R:$R,0))</f>
        <v>2</v>
      </c>
      <c r="BQ62" s="27" cm="1">
        <f t="array" ref="BQ62">IF(VLOOKUP($Q62,武学奇术!$A:$ZZ,24,FALSE)=1,100%,MIN(40%,$B$10+VLOOKUP($Q62,武学奇术!$A:$ZZ,19,FALSE)+SUM(_xlfn.XLOOKUP($R62:$AK62,增益!$A:$A,增益!$S:$S,0)))+$B$12+SUM(_xlfn.XLOOKUP($R62:$AK62,增益!$A:$A,增益!$V:$V,0)))*IF(VLOOKUP($Q62,武学奇术!$A:$ZZ,23,FALSE)=1,0,1)</f>
        <v>0.0929</v>
      </c>
      <c r="BR62" s="27" cm="1">
        <f t="array" ref="BR62">1+$B$14+VLOOKUP($Q62,武学奇术!$A:$ZZ,20,FALSE)+SUM(_xlfn.XLOOKUP($R62:$AK62,增益!$A:$A,增益!$T:$T,0))</f>
        <v>1.35</v>
      </c>
      <c r="BS62" s="27">
        <f t="shared" si="9"/>
        <v>0.87863408</v>
      </c>
      <c r="BT62" s="27">
        <f t="shared" si="10"/>
        <v>0.01567581</v>
      </c>
      <c r="BU62" s="27">
        <f>IF(VLOOKUP($Q62,武学奇术!$A:$ZZ,22,FALSE)=1,0,(1-$BN62))*(1-$BQ62)</f>
        <v>0.01279011</v>
      </c>
      <c r="BV62" s="27" cm="1">
        <f t="array" ref="BV62">SUM(_xlfn.XLOOKUP($R62:$AK62,增益!$A:$A,增益!$W:$W,0))+$I$5</f>
        <v>0.11</v>
      </c>
    </row>
    <row r="63" spans="4:74">
      <c r="K63" s="40">
        <f t="shared" si="0"/>
        <v>33942.737088459</v>
      </c>
      <c r="L63" s="40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BP63*$P63*(1+IF(VLOOKUP($Q63,武学奇术!$A:$ZZ,30,FALSE)="蓄力技",$B$21,0))*(1+$BV63)</f>
        <v>33942.737088459</v>
      </c>
      <c r="M63" s="40">
        <f>(($AT63*$AM63+$AN63)*(1+$AU63)*(1+$AV63)+($AY63*IF($G$1="鸣金",$AO63,$AM63)+IF($G$1="鸣金",$AP63*1.5,0))*(1+$AZ63)*(1+$BA63)+($BC63*IF($G$1="裂石",$AO63,$AM63)+IF($G$1="裂石",$AP63*1.5,0))*(1+$BD63)*(1+$BE63)+($BG63*IF($G$1="牵丝",$AO63,$AM63)+IF($G$1="牵丝",$AP63*1.5,0))*(1+$BH63)*(1+$BI63)+($BK63*IF($G$1="破竹",$AO63,$AM63)+IF($G$1="破竹",$AP63*1.5,0))*(1+$BL63)*(1+$BM63))*(1+$AQ63)*$BR63*$P63*(1+IF(VLOOKUP($Q63,武学奇术!$A:$ZZ,30,FALSE)="蓄力技",$B$21,0))*(1+$BV63)</f>
        <v>24969.2212405545</v>
      </c>
      <c r="N63" s="40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P63*(1+IF(VLOOKUP($Q63,武学奇术!$A:$ZZ,30,FALSE)="蓄力技",$B$21,0))*(1+$BV63)</f>
        <v>16163.2081373614</v>
      </c>
      <c r="O63" s="40">
        <f>((($AS63*$AM63+$AN63)*(1+$AU63)*(1+$AV63)+($AX63*IF($G$1="鸣金",$AO63,$AM63)+IF($G$1="鸣金",$AP63*1.5,0))*(1+$AZ63)*(1+$BA63)+($BB63*IF($G$1="裂石",$AO63,$AM63)+IF($G$1="裂石",$AP63*1.5,0))*(1+$BD63)*(1+$BE63)+($BF63*IF($G$1="牵丝",$AO63,$AM63)+IF($G$1="牵丝",$AP63*1.5,0))*(1+$BH63)*(1+$BI63)+($BJ63*IF($G$1="破竹",$AO63,$AM63)+IF($G$1="破竹",$AP63*1.5,0))*(1+$BL63)*(1+$BM63))*(1+$AQ63))*$P63*(1+IF(VLOOKUP($Q63,武学奇术!$A:$ZZ,30,FALSE)="蓄力技",$B$21,0))*(1+$BV63)</f>
        <v>13830.696837275</v>
      </c>
      <c r="P63" s="41">
        <v>1</v>
      </c>
      <c r="Q63" s="42" t="s">
        <v>117</v>
      </c>
      <c r="R63" s="42" t="s">
        <v>103</v>
      </c>
      <c r="S63" s="42" t="s">
        <v>169</v>
      </c>
      <c r="T63" s="42" t="s">
        <v>86</v>
      </c>
      <c r="U63" s="42" t="s">
        <v>121</v>
      </c>
      <c r="V63" s="42" t="s">
        <v>118</v>
      </c>
      <c r="W63" s="42" t="s">
        <v>77</v>
      </c>
      <c r="X63" s="42" t="s">
        <v>176</v>
      </c>
      <c r="Y63" s="42" t="s">
        <v>77</v>
      </c>
      <c r="Z63" s="42" t="s">
        <v>77</v>
      </c>
      <c r="AA63" s="42" t="s">
        <v>73</v>
      </c>
      <c r="AB63" s="42" t="s">
        <v>77</v>
      </c>
      <c r="AC63" s="42" t="s">
        <v>77</v>
      </c>
      <c r="AD63" s="42" t="s">
        <v>77</v>
      </c>
      <c r="AE63" s="42" t="s">
        <v>81</v>
      </c>
      <c r="AF63" s="42" t="s">
        <v>82</v>
      </c>
      <c r="AG63" s="42" t="s">
        <v>77</v>
      </c>
      <c r="AH63" s="42" t="s">
        <v>77</v>
      </c>
      <c r="AI63" s="42" t="s">
        <v>77</v>
      </c>
      <c r="AJ63" s="42" t="s">
        <v>77</v>
      </c>
      <c r="AK63" s="42" t="s">
        <v>77</v>
      </c>
      <c r="AL63" t="str">
        <f>VLOOKUP($Q63,武学奇术!$A:$ZZ,25,FALSE)</f>
        <v>陌刀</v>
      </c>
      <c r="AM63" s="27">
        <f>VLOOKUP($Q63,武学奇术!$A:$ZZ,26,FALSE)</f>
        <v>0.9</v>
      </c>
      <c r="AN63" s="28">
        <f>VLOOKUP($Q63,武学奇术!$A:$ZZ,27,FALSE)*(1+IF(OR($AL63=$F$4,$AL63=$F$5),$B$22,0))</f>
        <v>0</v>
      </c>
      <c r="AO63" s="27">
        <f>VLOOKUP($Q63,武学奇术!$A:$ZZ,28,FALSE)</f>
        <v>1.35</v>
      </c>
      <c r="AP63" s="28">
        <f>VLOOKUP($Q63,武学奇术!$A:$ZZ,29,FALSE)*(1+IF(OR($AL63=$F$4,$AL63=$F$5),$B$22,0))</f>
        <v>0</v>
      </c>
      <c r="AQ63" s="27" cm="1">
        <f t="array" ref="AQ63">$G$3+IFERROR(VLOOKUP($AL63,$F$4:$G$7,2,FALSE),0)+VLOOKUP($Q63,武学奇术!$A:$ZZ,2,FALSE)+SUM(_xlfn.XLOOKUP($R63:$AK63,增益!$A:$A,增益!$B:$B,0))</f>
        <v>0.7341</v>
      </c>
      <c r="AR63" s="27" cm="1">
        <f t="array" ref="AR63">VLOOKUP($Q63,武学奇术!$A:$ZZ,5,FALSE)+SUM(_xlfn.XLOOKUP($R63:$AK63,增益!$A:$A,增益!$E:$E,0))</f>
        <v>0</v>
      </c>
      <c r="AS63" cm="1">
        <f t="array" ref="AS63">$D$10*(1+$AR63)+VLOOKUP($Q63,武学奇术!$A:$ZZ,3,FALSE)+SUM(_xlfn.XLOOKUP($R63:$AK63,增益!$A:$A,增益!$C:$C,0))-$I$2</f>
        <v>3586.7</v>
      </c>
      <c r="AT63" cm="1">
        <f t="array" ref="AT63">$E$10*(1+$AR63)+VLOOKUP($Q63,武学奇术!$A:$ZZ,4,FALSE)+SUM(_xlfn.XLOOKUP($R63:$AK63,增益!$A:$A,增益!$D:$D,0))-$I$2</f>
        <v>3586.7</v>
      </c>
      <c r="AU63" s="34" cm="1">
        <f t="array" ref="AU63">IF($F$10-$I$3+VLOOKUP($Q63,武学奇术!$A:$ZZ,6,FALSE)+SUM(_xlfn.XLOOKUP($R63:$AK63,增益!$A:$A,增益!$F:$F,0))&gt;0,($F$10-$I$3+VLOOKUP($Q63,武学奇术!$A:$ZZ,6,FALSE)+SUM(_xlfn.XLOOKUP($R63:$AK63,增益!$A:$A,增益!$F:$F,0)))/200,($F$10-$I$3+VLOOKUP($Q63,武学奇术!$A:$ZZ,6,FALSE)+SUM(_xlfn.XLOOKUP($R63:$AK63,增益!$A:$A,增益!$F:$F,0)))/100)</f>
        <v>0.352</v>
      </c>
      <c r="AV63" s="34" cm="1">
        <f t="array" ref="AV63">$G$10+VLOOKUP($Q63,武学奇术!$A:$ZZ,7,FALSE)+SUM(_xlfn.XLOOKUP($R63:$AK63,增益!$A:$A,增益!$G:$G,0))</f>
        <v>0</v>
      </c>
      <c r="AW63" s="27" cm="1">
        <f t="array" ref="AW63">VLOOKUP($Q63,武学奇术!$A:$ZZ,8,FALSE)+SUM(_xlfn.XLOOKUP($R63:$AK63,增益!$A:$A,增益!$H:$H,0))</f>
        <v>0</v>
      </c>
      <c r="AX63">
        <f t="shared" si="1"/>
        <v>0</v>
      </c>
      <c r="AY63">
        <f t="shared" si="2"/>
        <v>0</v>
      </c>
      <c r="AZ63" s="34" cm="1">
        <f t="array" ref="AZ63">IF($F$11-$I$4+VLOOKUP($Q63,武学奇术!$A:$ZZ,9,FALSE)+SUM(_xlfn.XLOOKUP($R63:$AK63,增益!$A:$A,增益!$I:$I,0))&gt;0,($F$11-$I$4+VLOOKUP($Q63,武学奇术!$A:$ZZ,9,FALSE)+SUM(_xlfn.XLOOKUP($R63:$AK63,增益!$A:$A,增益!$I:$I,0)))/200,($F$11-$I$4+VLOOKUP($Q63,武学奇术!$A:$ZZ,9,FALSE)+SUM(_xlfn.XLOOKUP($R63:$AK63,增益!$A:$A,增益!$I:$I,0)))/100)</f>
        <v>-0.14</v>
      </c>
      <c r="BA63" s="34" cm="1">
        <f t="array" ref="BA63">$G$11+VLOOKUP($Q63,武学奇术!$A:$ZZ,10,FALSE)+SUM(_xlfn.XLOOKUP($R63:$AK63,增益!$A:$A,增益!$J:$J,0))</f>
        <v>0</v>
      </c>
      <c r="BB63">
        <f t="shared" si="3"/>
        <v>594.1</v>
      </c>
      <c r="BC63">
        <f t="shared" si="4"/>
        <v>1604.9</v>
      </c>
      <c r="BD63" s="34" cm="1">
        <f t="array" ref="BD63">IF($F$12-$I$4+VLOOKUP($Q63,武学奇术!$A:$ZZ,11,FALSE)+SUM(_xlfn.XLOOKUP($R63:$AK63,增益!$A:$A,增益!$K:$K,0))&gt;0,($F$12-$I$4+VLOOKUP($Q63,武学奇术!$A:$ZZ,11,FALSE)+SUM(_xlfn.XLOOKUP($R63:$AK63,增益!$A:$A,增益!$K:$K,0)))/200,($F$12-$I$4+VLOOKUP($Q63,武学奇术!$A:$ZZ,11,FALSE)+SUM(_xlfn.XLOOKUP($R63:$AK63,增益!$A:$A,增益!$K:$K,0)))/100)</f>
        <v>0.17</v>
      </c>
      <c r="BE63" s="34" cm="1">
        <f t="array" ref="BE63">$G$12+VLOOKUP($Q63,武学奇术!$A:$ZZ,12,FALSE)+SUM(_xlfn.XLOOKUP($R63:$AK63,增益!$A:$A,增益!$L:$L,0))</f>
        <v>0.15</v>
      </c>
      <c r="BF63">
        <f t="shared" si="5"/>
        <v>0</v>
      </c>
      <c r="BG63">
        <f t="shared" si="6"/>
        <v>0</v>
      </c>
      <c r="BH63" s="34" cm="1">
        <f t="array" ref="BH63">IF($F$13-$I$4+VLOOKUP($Q63,武学奇术!$A:$ZZ,13,FALSE)+SUM(_xlfn.XLOOKUP($R63:$AK63,增益!$A:$A,增益!$M:$M,0))&gt;0,($F$13-$I$4+VLOOKUP($Q63,武学奇术!$A:$ZZ,13,FALSE)+SUM(_xlfn.XLOOKUP($R63:$AK63,增益!$A:$A,增益!$K:$K,0)))/200,($F$13-$I$4+VLOOKUP($Q63,武学奇术!$A:$ZZ,13,FALSE)+SUM(_xlfn.XLOOKUP($R63:$AK63,增益!$A:$A,增益!$M:$M,0)))/100)</f>
        <v>-0.14</v>
      </c>
      <c r="BI63" s="34" cm="1">
        <f t="array" ref="BI63">$G$13+VLOOKUP($Q63,武学奇术!$A:$ZZ,14,FALSE)+SUM(_xlfn.XLOOKUP($R63:$AK63,增益!$A:$A,增益!$N:$N,0))</f>
        <v>0</v>
      </c>
      <c r="BJ63">
        <f t="shared" si="7"/>
        <v>0</v>
      </c>
      <c r="BK63">
        <f t="shared" si="8"/>
        <v>0</v>
      </c>
      <c r="BL63" s="34" cm="1">
        <f t="array" ref="BL63">IF($F$14-$I$4+VLOOKUP($Q63,武学奇术!$A:$ZZ,15,FALSE)+SUM(_xlfn.XLOOKUP($R63:$AK63,增益!$A:$A,增益!$O:$O,0))&gt;0,($F$14-$I$4+VLOOKUP($Q63,武学奇术!$A:$ZZ,15,FALSE)+SUM(_xlfn.XLOOKUP($R63:$AK63,增益!$A:$A,增益!$O:$O,0)))/200,($F$14-$I$4+VLOOKUP($Q63,武学奇术!$A:$ZZ,15,FALSE)+SUM(_xlfn.XLOOKUP($R63:$AK63,增益!$A:$A,增益!$O:$O,0)))/100)</f>
        <v>-0.14</v>
      </c>
      <c r="BM63" s="34" cm="1">
        <f t="array" ref="BM63">$G$14+VLOOKUP($Q63,武学奇术!$A:$ZZ,16,FALSE)+SUM(_xlfn.XLOOKUP($R63:$AK63,增益!$A:$A,增益!$P:$P,0))</f>
        <v>0</v>
      </c>
      <c r="BN63" s="27">
        <f>MIN(IF(VLOOKUP($Q63,武学奇术!$A:$ZZ,23,FALSE)=1,100%,$B$8),100%)</f>
        <v>1</v>
      </c>
      <c r="BO63" s="27" cm="1">
        <f t="array" ref="BO63">IF(VLOOKUP($Q63,武学奇术!$A:$ZZ,23,FALSE)=1,100%,MIN(80%,$B$9+VLOOKUP($Q63,武学奇术!$A:$ZZ,17,FALSE)+SUM(_xlfn.XLOOKUP($R63:$AK63,增益!$A:$A,增益!$Q:$Q,0)))+$B$11+SUM(_xlfn.XLOOKUP($R63:$AK63,增益!$A:$A,增益!$U:$U,0)))*IF(VLOOKUP($Q63,武学奇术!$A:$ZZ,24,FALSE)=1,0,1)</f>
        <v>1</v>
      </c>
      <c r="BP63" s="27" cm="1">
        <f t="array" ref="BP63">1+$B$13+VLOOKUP($Q63,武学奇术!$A:$ZZ,18,FALSE)+SUM(_xlfn.XLOOKUP($R63:$AK63,增益!$A:$A,增益!$R:$R,0))</f>
        <v>2.1</v>
      </c>
      <c r="BQ63" s="27" cm="1">
        <f t="array" ref="BQ63">IF(VLOOKUP($Q63,武学奇术!$A:$ZZ,24,FALSE)=1,100%,MIN(40%,$B$10+VLOOKUP($Q63,武学奇术!$A:$ZZ,19,FALSE)+SUM(_xlfn.XLOOKUP($R63:$AK63,增益!$A:$A,增益!$S:$S,0)))+$B$12+SUM(_xlfn.XLOOKUP($R63:$AK63,增益!$A:$A,增益!$V:$V,0)))*IF(VLOOKUP($Q63,武学奇术!$A:$ZZ,23,FALSE)=1,0,1)</f>
        <v>0</v>
      </c>
      <c r="BR63" s="27" cm="1">
        <f t="array" ref="BR63">1+$B$14+VLOOKUP($Q63,武学奇术!$A:$ZZ,20,FALSE)+SUM(_xlfn.XLOOKUP($R63:$AK63,增益!$A:$A,增益!$T:$T,0))</f>
        <v>1.35</v>
      </c>
      <c r="BS63" s="27">
        <f t="shared" si="9"/>
        <v>1</v>
      </c>
      <c r="BT63" s="27">
        <f t="shared" si="10"/>
        <v>0</v>
      </c>
      <c r="BU63" s="27">
        <f>IF(VLOOKUP($Q63,武学奇术!$A:$ZZ,22,FALSE)=1,0,(1-$BN63))*(1-$BQ63)</f>
        <v>0</v>
      </c>
      <c r="BV63" s="27" cm="1">
        <f t="array" ref="BV63">SUM(_xlfn.XLOOKUP($R63:$AK63,增益!$A:$A,增益!$W:$W,0))+$I$5</f>
        <v>0.11</v>
      </c>
    </row>
    <row r="64" spans="4:74">
      <c r="K64" s="40">
        <f t="shared" si="0"/>
        <v>326461.306779137</v>
      </c>
      <c r="L64" s="40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BP64*$P64*(1+IF(VLOOKUP($Q64,武学奇术!$A:$ZZ,30,FALSE)="蓄力技",$B$21,0))*(1+$BV64)</f>
        <v>326461.306779137</v>
      </c>
      <c r="M64" s="40">
        <f>(($AT64*$AM64+$AN64)*(1+$AU64)*(1+$AV64)+($AY64*IF($G$1="鸣金",$AO64,$AM64)+IF($G$1="鸣金",$AP64*1.5,0))*(1+$AZ64)*(1+$BA64)+($BC64*IF($G$1="裂石",$AO64,$AM64)+IF($G$1="裂石",$AP64*1.5,0))*(1+$BD64)*(1+$BE64)+($BG64*IF($G$1="牵丝",$AO64,$AM64)+IF($G$1="牵丝",$AP64*1.5,0))*(1+$BH64)*(1+$BI64)+($BK64*IF($G$1="破竹",$AO64,$AM64)+IF($G$1="破竹",$AP64*1.5,0))*(1+$BL64)*(1+$BM64))*(1+$AQ64)*$BR64*$P64*(1+IF(VLOOKUP($Q64,武学奇术!$A:$ZZ,30,FALSE)="蓄力技",$B$21,0))*(1+$BV64)</f>
        <v>236344.785198985</v>
      </c>
      <c r="N64" s="40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P64*(1+IF(VLOOKUP($Q64,武学奇术!$A:$ZZ,30,FALSE)="蓄力技",$B$21,0))*(1+$BV64)</f>
        <v>155457.765132922</v>
      </c>
      <c r="O64" s="40">
        <f>((($AS64*$AM64+$AN64)*(1+$AU64)*(1+$AV64)+($AX64*IF($G$1="鸣金",$AO64,$AM64)+IF($G$1="鸣金",$AP64*1.5,0))*(1+$AZ64)*(1+$BA64)+($BB64*IF($G$1="裂石",$AO64,$AM64)+IF($G$1="裂石",$AP64*1.5,0))*(1+$BD64)*(1+$BE64)+($BF64*IF($G$1="牵丝",$AO64,$AM64)+IF($G$1="牵丝",$AP64*1.5,0))*(1+$BH64)*(1+$BI64)+($BJ64*IF($G$1="破竹",$AO64,$AM64)+IF($G$1="破竹",$AP64*1.5,0))*(1+$BL64)*(1+$BM64))*(1+$AQ64))*$P64*(1+IF(VLOOKUP($Q64,武学奇术!$A:$ZZ,30,FALSE)="蓄力技",$B$21,0))*(1+$BV64)</f>
        <v>135845.319007337</v>
      </c>
      <c r="P64" s="41">
        <v>1</v>
      </c>
      <c r="Q64" s="42" t="s">
        <v>120</v>
      </c>
      <c r="R64" s="42" t="s">
        <v>103</v>
      </c>
      <c r="S64" s="42" t="s">
        <v>169</v>
      </c>
      <c r="T64" s="42" t="s">
        <v>86</v>
      </c>
      <c r="U64" s="42" t="s">
        <v>121</v>
      </c>
      <c r="V64" s="42" t="s">
        <v>118</v>
      </c>
      <c r="W64" s="42" t="s">
        <v>77</v>
      </c>
      <c r="X64" s="42" t="s">
        <v>176</v>
      </c>
      <c r="Y64" s="42" t="s">
        <v>77</v>
      </c>
      <c r="Z64" s="42" t="s">
        <v>77</v>
      </c>
      <c r="AA64" s="42" t="s">
        <v>73</v>
      </c>
      <c r="AB64" s="42" t="s">
        <v>77</v>
      </c>
      <c r="AC64" s="42" t="s">
        <v>77</v>
      </c>
      <c r="AD64" s="42" t="s">
        <v>77</v>
      </c>
      <c r="AE64" s="42" t="s">
        <v>81</v>
      </c>
      <c r="AF64" s="42" t="s">
        <v>82</v>
      </c>
      <c r="AG64" s="42" t="s">
        <v>77</v>
      </c>
      <c r="AH64" s="42" t="s">
        <v>77</v>
      </c>
      <c r="AI64" s="42" t="s">
        <v>77</v>
      </c>
      <c r="AJ64" s="42" t="s">
        <v>77</v>
      </c>
      <c r="AK64" s="42" t="s">
        <v>77</v>
      </c>
      <c r="AL64" t="str">
        <f>VLOOKUP($Q64,武学奇术!$A:$ZZ,25,FALSE)</f>
        <v>陌刀</v>
      </c>
      <c r="AM64" s="27">
        <f>VLOOKUP($Q64,武学奇术!$A:$ZZ,26,FALSE)</f>
        <v>7.5674</v>
      </c>
      <c r="AN64" s="28">
        <f>VLOOKUP($Q64,武学奇术!$A:$ZZ,27,FALSE)*(1+IF(OR($AL64=$F$4,$AL64=$F$5),$B$22,0))</f>
        <v>3139.5</v>
      </c>
      <c r="AO64" s="27">
        <f>VLOOKUP($Q64,武学奇术!$A:$ZZ,28,FALSE)</f>
        <v>11.3512</v>
      </c>
      <c r="AP64" s="28">
        <f>VLOOKUP($Q64,武学奇术!$A:$ZZ,29,FALSE)*(1+IF(OR($AL64=$F$4,$AL64=$F$5),$B$22,0))</f>
        <v>1710</v>
      </c>
      <c r="AQ64" s="27" cm="1">
        <f t="array" ref="AQ64">$G$3+IFERROR(VLOOKUP($AL64,$F$4:$G$7,2,FALSE),0)+VLOOKUP($Q64,武学奇术!$A:$ZZ,2,FALSE)+SUM(_xlfn.XLOOKUP($R64:$AK64,增益!$A:$A,增益!$B:$B,0))</f>
        <v>0.7341</v>
      </c>
      <c r="AR64" s="27" cm="1">
        <f t="array" ref="AR64">VLOOKUP($Q64,武学奇术!$A:$ZZ,5,FALSE)+SUM(_xlfn.XLOOKUP($R64:$AK64,增益!$A:$A,增益!$E:$E,0))</f>
        <v>0</v>
      </c>
      <c r="AS64" cm="1">
        <f t="array" ref="AS64">$D$10*(1+$AR64)+VLOOKUP($Q64,武学奇术!$A:$ZZ,3,FALSE)+SUM(_xlfn.XLOOKUP($R64:$AK64,增益!$A:$A,增益!$C:$C,0))-$I$2</f>
        <v>3586.7</v>
      </c>
      <c r="AT64" cm="1">
        <f t="array" ref="AT64">$E$10*(1+$AR64)+VLOOKUP($Q64,武学奇术!$A:$ZZ,4,FALSE)+SUM(_xlfn.XLOOKUP($R64:$AK64,增益!$A:$A,增益!$D:$D,0))-$I$2</f>
        <v>3586.7</v>
      </c>
      <c r="AU64" s="34" cm="1">
        <f t="array" ref="AU64">IF($F$10-$I$3+VLOOKUP($Q64,武学奇术!$A:$ZZ,6,FALSE)+SUM(_xlfn.XLOOKUP($R64:$AK64,增益!$A:$A,增益!$F:$F,0))&gt;0,($F$10-$I$3+VLOOKUP($Q64,武学奇术!$A:$ZZ,6,FALSE)+SUM(_xlfn.XLOOKUP($R64:$AK64,增益!$A:$A,增益!$F:$F,0)))/200,($F$10-$I$3+VLOOKUP($Q64,武学奇术!$A:$ZZ,6,FALSE)+SUM(_xlfn.XLOOKUP($R64:$AK64,增益!$A:$A,增益!$F:$F,0)))/100)</f>
        <v>0.352</v>
      </c>
      <c r="AV64" s="34" cm="1">
        <f t="array" ref="AV64">$G$10+VLOOKUP($Q64,武学奇术!$A:$ZZ,7,FALSE)+SUM(_xlfn.XLOOKUP($R64:$AK64,增益!$A:$A,增益!$G:$G,0))</f>
        <v>0</v>
      </c>
      <c r="AW64" s="27" cm="1">
        <f t="array" ref="AW64">VLOOKUP($Q64,武学奇术!$A:$ZZ,8,FALSE)+SUM(_xlfn.XLOOKUP($R64:$AK64,增益!$A:$A,增益!$H:$H,0))</f>
        <v>0</v>
      </c>
      <c r="AX64">
        <f t="shared" si="1"/>
        <v>0</v>
      </c>
      <c r="AY64">
        <f t="shared" si="2"/>
        <v>0</v>
      </c>
      <c r="AZ64" s="34" cm="1">
        <f t="array" ref="AZ64">IF($F$11-$I$4+VLOOKUP($Q64,武学奇术!$A:$ZZ,9,FALSE)+SUM(_xlfn.XLOOKUP($R64:$AK64,增益!$A:$A,增益!$I:$I,0))&gt;0,($F$11-$I$4+VLOOKUP($Q64,武学奇术!$A:$ZZ,9,FALSE)+SUM(_xlfn.XLOOKUP($R64:$AK64,增益!$A:$A,增益!$I:$I,0)))/200,($F$11-$I$4+VLOOKUP($Q64,武学奇术!$A:$ZZ,9,FALSE)+SUM(_xlfn.XLOOKUP($R64:$AK64,增益!$A:$A,增益!$I:$I,0)))/100)</f>
        <v>-0.14</v>
      </c>
      <c r="BA64" s="34" cm="1">
        <f t="array" ref="BA64">$G$11+VLOOKUP($Q64,武学奇术!$A:$ZZ,10,FALSE)+SUM(_xlfn.XLOOKUP($R64:$AK64,增益!$A:$A,增益!$J:$J,0))</f>
        <v>0</v>
      </c>
      <c r="BB64">
        <f t="shared" si="3"/>
        <v>594.1</v>
      </c>
      <c r="BC64">
        <f t="shared" si="4"/>
        <v>1604.9</v>
      </c>
      <c r="BD64" s="34" cm="1">
        <f t="array" ref="BD64">IF($F$12-$I$4+VLOOKUP($Q64,武学奇术!$A:$ZZ,11,FALSE)+SUM(_xlfn.XLOOKUP($R64:$AK64,增益!$A:$A,增益!$K:$K,0))&gt;0,($F$12-$I$4+VLOOKUP($Q64,武学奇术!$A:$ZZ,11,FALSE)+SUM(_xlfn.XLOOKUP($R64:$AK64,增益!$A:$A,增益!$K:$K,0)))/200,($F$12-$I$4+VLOOKUP($Q64,武学奇术!$A:$ZZ,11,FALSE)+SUM(_xlfn.XLOOKUP($R64:$AK64,增益!$A:$A,增益!$K:$K,0)))/100)</f>
        <v>0.17</v>
      </c>
      <c r="BE64" s="34" cm="1">
        <f t="array" ref="BE64">$G$12+VLOOKUP($Q64,武学奇术!$A:$ZZ,12,FALSE)+SUM(_xlfn.XLOOKUP($R64:$AK64,增益!$A:$A,增益!$L:$L,0))</f>
        <v>0.15</v>
      </c>
      <c r="BF64">
        <f t="shared" si="5"/>
        <v>0</v>
      </c>
      <c r="BG64">
        <f t="shared" si="6"/>
        <v>0</v>
      </c>
      <c r="BH64" s="34" cm="1">
        <f t="array" ref="BH64">IF($F$13-$I$4+VLOOKUP($Q64,武学奇术!$A:$ZZ,13,FALSE)+SUM(_xlfn.XLOOKUP($R64:$AK64,增益!$A:$A,增益!$M:$M,0))&gt;0,($F$13-$I$4+VLOOKUP($Q64,武学奇术!$A:$ZZ,13,FALSE)+SUM(_xlfn.XLOOKUP($R64:$AK64,增益!$A:$A,增益!$K:$K,0)))/200,($F$13-$I$4+VLOOKUP($Q64,武学奇术!$A:$ZZ,13,FALSE)+SUM(_xlfn.XLOOKUP($R64:$AK64,增益!$A:$A,增益!$M:$M,0)))/100)</f>
        <v>-0.14</v>
      </c>
      <c r="BI64" s="34" cm="1">
        <f t="array" ref="BI64">$G$13+VLOOKUP($Q64,武学奇术!$A:$ZZ,14,FALSE)+SUM(_xlfn.XLOOKUP($R64:$AK64,增益!$A:$A,增益!$N:$N,0))</f>
        <v>0</v>
      </c>
      <c r="BJ64">
        <f t="shared" si="7"/>
        <v>0</v>
      </c>
      <c r="BK64">
        <f t="shared" si="8"/>
        <v>0</v>
      </c>
      <c r="BL64" s="34" cm="1">
        <f t="array" ref="BL64">IF($F$14-$I$4+VLOOKUP($Q64,武学奇术!$A:$ZZ,15,FALSE)+SUM(_xlfn.XLOOKUP($R64:$AK64,增益!$A:$A,增益!$O:$O,0))&gt;0,($F$14-$I$4+VLOOKUP($Q64,武学奇术!$A:$ZZ,15,FALSE)+SUM(_xlfn.XLOOKUP($R64:$AK64,增益!$A:$A,增益!$O:$O,0)))/200,($F$14-$I$4+VLOOKUP($Q64,武学奇术!$A:$ZZ,15,FALSE)+SUM(_xlfn.XLOOKUP($R64:$AK64,增益!$A:$A,增益!$O:$O,0)))/100)</f>
        <v>-0.14</v>
      </c>
      <c r="BM64" s="34" cm="1">
        <f t="array" ref="BM64">$G$14+VLOOKUP($Q64,武学奇术!$A:$ZZ,16,FALSE)+SUM(_xlfn.XLOOKUP($R64:$AK64,增益!$A:$A,增益!$P:$P,0))</f>
        <v>0</v>
      </c>
      <c r="BN64" s="27">
        <f>MIN(IF(VLOOKUP($Q64,武学奇术!$A:$ZZ,23,FALSE)=1,100%,$B$8),100%)</f>
        <v>1</v>
      </c>
      <c r="BO64" s="27" cm="1">
        <f t="array" ref="BO64">IF(VLOOKUP($Q64,武学奇术!$A:$ZZ,23,FALSE)=1,100%,MIN(80%,$B$9+VLOOKUP($Q64,武学奇术!$A:$ZZ,17,FALSE)+SUM(_xlfn.XLOOKUP($R64:$AK64,增益!$A:$A,增益!$Q:$Q,0)))+$B$11+SUM(_xlfn.XLOOKUP($R64:$AK64,增益!$A:$A,增益!$U:$U,0)))*IF(VLOOKUP($Q64,武学奇术!$A:$ZZ,24,FALSE)=1,0,1)</f>
        <v>1</v>
      </c>
      <c r="BP64" s="27" cm="1">
        <f t="array" ref="BP64">1+$B$13+VLOOKUP($Q64,武学奇术!$A:$ZZ,18,FALSE)+SUM(_xlfn.XLOOKUP($R64:$AK64,增益!$A:$A,增益!$R:$R,0))</f>
        <v>2.1</v>
      </c>
      <c r="BQ64" s="27" cm="1">
        <f t="array" ref="BQ64">IF(VLOOKUP($Q64,武学奇术!$A:$ZZ,24,FALSE)=1,100%,MIN(40%,$B$10+VLOOKUP($Q64,武学奇术!$A:$ZZ,19,FALSE)+SUM(_xlfn.XLOOKUP($R64:$AK64,增益!$A:$A,增益!$S:$S,0)))+$B$12+SUM(_xlfn.XLOOKUP($R64:$AK64,增益!$A:$A,增益!$V:$V,0)))*IF(VLOOKUP($Q64,武学奇术!$A:$ZZ,23,FALSE)=1,0,1)</f>
        <v>0</v>
      </c>
      <c r="BR64" s="27" cm="1">
        <f t="array" ref="BR64">1+$B$14+VLOOKUP($Q64,武学奇术!$A:$ZZ,20,FALSE)+SUM(_xlfn.XLOOKUP($R64:$AK64,增益!$A:$A,增益!$T:$T,0))</f>
        <v>1.35</v>
      </c>
      <c r="BS64" s="27">
        <f t="shared" si="9"/>
        <v>1</v>
      </c>
      <c r="BT64" s="27">
        <f t="shared" si="10"/>
        <v>0</v>
      </c>
      <c r="BU64" s="27">
        <f>IF(VLOOKUP($Q64,武学奇术!$A:$ZZ,22,FALSE)=1,0,(1-$BN64))*(1-$BQ64)</f>
        <v>0</v>
      </c>
      <c r="BV64" s="27" cm="1">
        <f t="array" ref="BV64">SUM(_xlfn.XLOOKUP($R64:$AK64,增益!$A:$A,增益!$W:$W,0))+$I$5</f>
        <v>0.11</v>
      </c>
    </row>
    <row r="65" spans="1:74">
      <c r="K65" s="40">
        <f t="shared" si="0"/>
        <v>37714.15232051</v>
      </c>
      <c r="L65" s="40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BP65*$P65*(1+IF(VLOOKUP($Q65,武学奇术!$A:$ZZ,30,FALSE)="蓄力技",$B$21,0))*(1+$BV65)</f>
        <v>37714.15232051</v>
      </c>
      <c r="M65" s="40">
        <f>(($AT65*$AM65+$AN65)*(1+$AU65)*(1+$AV65)+($AY65*IF($G$1="鸣金",$AO65,$AM65)+IF($G$1="鸣金",$AP65*1.5,0))*(1+$AZ65)*(1+$BA65)+($BC65*IF($G$1="裂石",$AO65,$AM65)+IF($G$1="裂石",$AP65*1.5,0))*(1+$BD65)*(1+$BE65)+($BG65*IF($G$1="牵丝",$AO65,$AM65)+IF($G$1="牵丝",$AP65*1.5,0))*(1+$BH65)*(1+$BI65)+($BK65*IF($G$1="破竹",$AO65,$AM65)+IF($G$1="破竹",$AP65*1.5,0))*(1+$BL65)*(1+$BM65))*(1+$AQ65)*$BR65*$P65*(1+IF(VLOOKUP($Q65,武学奇术!$A:$ZZ,30,FALSE)="蓄力技",$B$21,0))*(1+$BV65)</f>
        <v>27743.5791561717</v>
      </c>
      <c r="N65" s="40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P65*(1+IF(VLOOKUP($Q65,武学奇术!$A:$ZZ,30,FALSE)="蓄力技",$B$21,0))*(1+$BV65)</f>
        <v>17959.1201526238</v>
      </c>
      <c r="O65" s="40">
        <f>((($AS65*$AM65+$AN65)*(1+$AU65)*(1+$AV65)+($AX65*IF($G$1="鸣金",$AO65,$AM65)+IF($G$1="鸣金",$AP65*1.5,0))*(1+$AZ65)*(1+$BA65)+($BB65*IF($G$1="裂石",$AO65,$AM65)+IF($G$1="裂石",$AP65*1.5,0))*(1+$BD65)*(1+$BE65)+($BF65*IF($G$1="牵丝",$AO65,$AM65)+IF($G$1="牵丝",$AP65*1.5,0))*(1+$BH65)*(1+$BI65)+($BJ65*IF($G$1="破竹",$AO65,$AM65)+IF($G$1="破竹",$AP65*1.5,0))*(1+$BL65)*(1+$BM65))*(1+$AQ65))*$P65*(1+IF(VLOOKUP($Q65,武学奇术!$A:$ZZ,30,FALSE)="蓄力技",$B$21,0))*(1+$BV65)</f>
        <v>15367.4409303056</v>
      </c>
      <c r="P65" s="41">
        <v>2</v>
      </c>
      <c r="Q65" s="42" t="s">
        <v>125</v>
      </c>
      <c r="R65" s="42" t="s">
        <v>103</v>
      </c>
      <c r="S65" s="42" t="s">
        <v>169</v>
      </c>
      <c r="T65" s="42" t="s">
        <v>86</v>
      </c>
      <c r="U65" s="42" t="s">
        <v>121</v>
      </c>
      <c r="V65" s="42" t="s">
        <v>118</v>
      </c>
      <c r="W65" s="42" t="s">
        <v>77</v>
      </c>
      <c r="X65" s="42" t="s">
        <v>176</v>
      </c>
      <c r="Y65" s="42" t="s">
        <v>77</v>
      </c>
      <c r="Z65" s="42" t="s">
        <v>77</v>
      </c>
      <c r="AA65" s="42" t="s">
        <v>73</v>
      </c>
      <c r="AB65" s="42" t="s">
        <v>77</v>
      </c>
      <c r="AC65" s="42" t="s">
        <v>77</v>
      </c>
      <c r="AD65" s="42" t="s">
        <v>77</v>
      </c>
      <c r="AE65" s="42" t="s">
        <v>81</v>
      </c>
      <c r="AF65" s="42" t="s">
        <v>82</v>
      </c>
      <c r="AG65" s="42" t="s">
        <v>77</v>
      </c>
      <c r="AH65" s="42" t="s">
        <v>77</v>
      </c>
      <c r="AI65" s="42" t="s">
        <v>77</v>
      </c>
      <c r="AJ65" s="42" t="s">
        <v>77</v>
      </c>
      <c r="AK65" s="42" t="s">
        <v>77</v>
      </c>
      <c r="AL65" t="str">
        <f>VLOOKUP($Q65,武学奇术!$A:$ZZ,25,FALSE)</f>
        <v>陌刀</v>
      </c>
      <c r="AM65" s="27">
        <f>VLOOKUP($Q65,武学奇术!$A:$ZZ,26,FALSE)</f>
        <v>0.5</v>
      </c>
      <c r="AN65" s="28">
        <f>VLOOKUP($Q65,武学奇术!$A:$ZZ,27,FALSE)*(1+IF(OR($AL65=$F$4,$AL65=$F$5),$B$22,0))</f>
        <v>0</v>
      </c>
      <c r="AO65" s="27">
        <f>VLOOKUP($Q65,武学奇术!$A:$ZZ,28,FALSE)</f>
        <v>0.75</v>
      </c>
      <c r="AP65" s="28">
        <f>VLOOKUP($Q65,武学奇术!$A:$ZZ,29,FALSE)*(1+IF(OR($AL65=$F$4,$AL65=$F$5),$B$22,0))</f>
        <v>0</v>
      </c>
      <c r="AQ65" s="27" cm="1">
        <f t="array" ref="AQ65">$G$3+IFERROR(VLOOKUP($AL65,$F$4:$G$7,2,FALSE),0)+VLOOKUP($Q65,武学奇术!$A:$ZZ,2,FALSE)+SUM(_xlfn.XLOOKUP($R65:$AK65,增益!$A:$A,增益!$B:$B,0))</f>
        <v>0.7341</v>
      </c>
      <c r="AR65" s="27" cm="1">
        <f t="array" ref="AR65">VLOOKUP($Q65,武学奇术!$A:$ZZ,5,FALSE)+SUM(_xlfn.XLOOKUP($R65:$AK65,增益!$A:$A,增益!$E:$E,0))</f>
        <v>0</v>
      </c>
      <c r="AS65" cm="1">
        <f t="array" ref="AS65">$D$10*(1+$AR65)+VLOOKUP($Q65,武学奇术!$A:$ZZ,3,FALSE)+SUM(_xlfn.XLOOKUP($R65:$AK65,增益!$A:$A,增益!$C:$C,0))-$I$2</f>
        <v>3586.7</v>
      </c>
      <c r="AT65" cm="1">
        <f t="array" ref="AT65">$E$10*(1+$AR65)+VLOOKUP($Q65,武学奇术!$A:$ZZ,4,FALSE)+SUM(_xlfn.XLOOKUP($R65:$AK65,增益!$A:$A,增益!$D:$D,0))-$I$2</f>
        <v>3586.7</v>
      </c>
      <c r="AU65" s="34" cm="1">
        <f t="array" ref="AU65">IF($F$10-$I$3+VLOOKUP($Q65,武学奇术!$A:$ZZ,6,FALSE)+SUM(_xlfn.XLOOKUP($R65:$AK65,增益!$A:$A,增益!$F:$F,0))&gt;0,($F$10-$I$3+VLOOKUP($Q65,武学奇术!$A:$ZZ,6,FALSE)+SUM(_xlfn.XLOOKUP($R65:$AK65,增益!$A:$A,增益!$F:$F,0)))/200,($F$10-$I$3+VLOOKUP($Q65,武学奇术!$A:$ZZ,6,FALSE)+SUM(_xlfn.XLOOKUP($R65:$AK65,增益!$A:$A,增益!$F:$F,0)))/100)</f>
        <v>0.352</v>
      </c>
      <c r="AV65" s="34" cm="1">
        <f t="array" ref="AV65">$G$10+VLOOKUP($Q65,武学奇术!$A:$ZZ,7,FALSE)+SUM(_xlfn.XLOOKUP($R65:$AK65,增益!$A:$A,增益!$G:$G,0))</f>
        <v>0</v>
      </c>
      <c r="AW65" s="27" cm="1">
        <f t="array" ref="AW65">VLOOKUP($Q65,武学奇术!$A:$ZZ,8,FALSE)+SUM(_xlfn.XLOOKUP($R65:$AK65,增益!$A:$A,增益!$H:$H,0))</f>
        <v>0</v>
      </c>
      <c r="AX65">
        <f t="shared" si="1"/>
        <v>0</v>
      </c>
      <c r="AY65">
        <f t="shared" si="2"/>
        <v>0</v>
      </c>
      <c r="AZ65" s="34" cm="1">
        <f t="array" ref="AZ65">IF($F$11-$I$4+VLOOKUP($Q65,武学奇术!$A:$ZZ,9,FALSE)+SUM(_xlfn.XLOOKUP($R65:$AK65,增益!$A:$A,增益!$I:$I,0))&gt;0,($F$11-$I$4+VLOOKUP($Q65,武学奇术!$A:$ZZ,9,FALSE)+SUM(_xlfn.XLOOKUP($R65:$AK65,增益!$A:$A,增益!$I:$I,0)))/200,($F$11-$I$4+VLOOKUP($Q65,武学奇术!$A:$ZZ,9,FALSE)+SUM(_xlfn.XLOOKUP($R65:$AK65,增益!$A:$A,增益!$I:$I,0)))/100)</f>
        <v>-0.14</v>
      </c>
      <c r="BA65" s="34" cm="1">
        <f t="array" ref="BA65">$G$11+VLOOKUP($Q65,武学奇术!$A:$ZZ,10,FALSE)+SUM(_xlfn.XLOOKUP($R65:$AK65,增益!$A:$A,增益!$J:$J,0))</f>
        <v>0</v>
      </c>
      <c r="BB65">
        <f t="shared" si="3"/>
        <v>594.1</v>
      </c>
      <c r="BC65">
        <f t="shared" si="4"/>
        <v>1604.9</v>
      </c>
      <c r="BD65" s="34" cm="1">
        <f t="array" ref="BD65">IF($F$12-$I$4+VLOOKUP($Q65,武学奇术!$A:$ZZ,11,FALSE)+SUM(_xlfn.XLOOKUP($R65:$AK65,增益!$A:$A,增益!$K:$K,0))&gt;0,($F$12-$I$4+VLOOKUP($Q65,武学奇术!$A:$ZZ,11,FALSE)+SUM(_xlfn.XLOOKUP($R65:$AK65,增益!$A:$A,增益!$K:$K,0)))/200,($F$12-$I$4+VLOOKUP($Q65,武学奇术!$A:$ZZ,11,FALSE)+SUM(_xlfn.XLOOKUP($R65:$AK65,增益!$A:$A,增益!$K:$K,0)))/100)</f>
        <v>0.17</v>
      </c>
      <c r="BE65" s="34" cm="1">
        <f t="array" ref="BE65">$G$12+VLOOKUP($Q65,武学奇术!$A:$ZZ,12,FALSE)+SUM(_xlfn.XLOOKUP($R65:$AK65,增益!$A:$A,增益!$L:$L,0))</f>
        <v>0.15</v>
      </c>
      <c r="BF65">
        <f t="shared" si="5"/>
        <v>0</v>
      </c>
      <c r="BG65">
        <f t="shared" si="6"/>
        <v>0</v>
      </c>
      <c r="BH65" s="34" cm="1">
        <f t="array" ref="BH65">IF($F$13-$I$4+VLOOKUP($Q65,武学奇术!$A:$ZZ,13,FALSE)+SUM(_xlfn.XLOOKUP($R65:$AK65,增益!$A:$A,增益!$M:$M,0))&gt;0,($F$13-$I$4+VLOOKUP($Q65,武学奇术!$A:$ZZ,13,FALSE)+SUM(_xlfn.XLOOKUP($R65:$AK65,增益!$A:$A,增益!$K:$K,0)))/200,($F$13-$I$4+VLOOKUP($Q65,武学奇术!$A:$ZZ,13,FALSE)+SUM(_xlfn.XLOOKUP($R65:$AK65,增益!$A:$A,增益!$M:$M,0)))/100)</f>
        <v>-0.14</v>
      </c>
      <c r="BI65" s="34" cm="1">
        <f t="array" ref="BI65">$G$13+VLOOKUP($Q65,武学奇术!$A:$ZZ,14,FALSE)+SUM(_xlfn.XLOOKUP($R65:$AK65,增益!$A:$A,增益!$N:$N,0))</f>
        <v>0</v>
      </c>
      <c r="BJ65">
        <f t="shared" si="7"/>
        <v>0</v>
      </c>
      <c r="BK65">
        <f t="shared" si="8"/>
        <v>0</v>
      </c>
      <c r="BL65" s="34" cm="1">
        <f t="array" ref="BL65">IF($F$14-$I$4+VLOOKUP($Q65,武学奇术!$A:$ZZ,15,FALSE)+SUM(_xlfn.XLOOKUP($R65:$AK65,增益!$A:$A,增益!$O:$O,0))&gt;0,($F$14-$I$4+VLOOKUP($Q65,武学奇术!$A:$ZZ,15,FALSE)+SUM(_xlfn.XLOOKUP($R65:$AK65,增益!$A:$A,增益!$O:$O,0)))/200,($F$14-$I$4+VLOOKUP($Q65,武学奇术!$A:$ZZ,15,FALSE)+SUM(_xlfn.XLOOKUP($R65:$AK65,增益!$A:$A,增益!$O:$O,0)))/100)</f>
        <v>-0.14</v>
      </c>
      <c r="BM65" s="34" cm="1">
        <f t="array" ref="BM65">$G$14+VLOOKUP($Q65,武学奇术!$A:$ZZ,16,FALSE)+SUM(_xlfn.XLOOKUP($R65:$AK65,增益!$A:$A,增益!$P:$P,0))</f>
        <v>0</v>
      </c>
      <c r="BN65" s="27">
        <f>MIN(IF(VLOOKUP($Q65,武学奇术!$A:$ZZ,23,FALSE)=1,100%,$B$8),100%)</f>
        <v>1</v>
      </c>
      <c r="BO65" s="27" cm="1">
        <f t="array" ref="BO65">IF(VLOOKUP($Q65,武学奇术!$A:$ZZ,23,FALSE)=1,100%,MIN(80%,$B$9+VLOOKUP($Q65,武学奇术!$A:$ZZ,17,FALSE)+SUM(_xlfn.XLOOKUP($R65:$AK65,增益!$A:$A,增益!$Q:$Q,0)))+$B$11+SUM(_xlfn.XLOOKUP($R65:$AK65,增益!$A:$A,增益!$U:$U,0)))*IF(VLOOKUP($Q65,武学奇术!$A:$ZZ,24,FALSE)=1,0,1)</f>
        <v>1</v>
      </c>
      <c r="BP65" s="27" cm="1">
        <f t="array" ref="BP65">1+$B$13+VLOOKUP($Q65,武学奇术!$A:$ZZ,18,FALSE)+SUM(_xlfn.XLOOKUP($R65:$AK65,增益!$A:$A,增益!$R:$R,0))</f>
        <v>2.1</v>
      </c>
      <c r="BQ65" s="27" cm="1">
        <f t="array" ref="BQ65">IF(VLOOKUP($Q65,武学奇术!$A:$ZZ,24,FALSE)=1,100%,MIN(40%,$B$10+VLOOKUP($Q65,武学奇术!$A:$ZZ,19,FALSE)+SUM(_xlfn.XLOOKUP($R65:$AK65,增益!$A:$A,增益!$S:$S,0)))+$B$12+SUM(_xlfn.XLOOKUP($R65:$AK65,增益!$A:$A,增益!$V:$V,0)))*IF(VLOOKUP($Q65,武学奇术!$A:$ZZ,23,FALSE)=1,0,1)</f>
        <v>0</v>
      </c>
      <c r="BR65" s="27" cm="1">
        <f t="array" ref="BR65">1+$B$14+VLOOKUP($Q65,武学奇术!$A:$ZZ,20,FALSE)+SUM(_xlfn.XLOOKUP($R65:$AK65,增益!$A:$A,增益!$T:$T,0))</f>
        <v>1.35</v>
      </c>
      <c r="BS65" s="27">
        <f t="shared" si="9"/>
        <v>1</v>
      </c>
      <c r="BT65" s="27">
        <f t="shared" si="10"/>
        <v>0</v>
      </c>
      <c r="BU65" s="27">
        <f>IF(VLOOKUP($Q65,武学奇术!$A:$ZZ,22,FALSE)=1,0,(1-$BN65))*(1-$BQ65)</f>
        <v>0</v>
      </c>
      <c r="BV65" s="27" cm="1">
        <f t="array" ref="BV65">SUM(_xlfn.XLOOKUP($R65:$AK65,增益!$A:$A,增益!$W:$W,0))+$I$5</f>
        <v>0.11</v>
      </c>
    </row>
    <row r="66" spans="1:74">
      <c r="K66" s="40">
        <f t="shared" ref="K66:K127" si="11">($L66*$BS66+$M66*$BQ66+$N66*$BT66+$O66*$BU66)</f>
        <v>67885.4741769179</v>
      </c>
      <c r="L66" s="40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BP66*$P66*(1+IF(VLOOKUP($Q66,武学奇术!$A:$ZZ,30,FALSE)="蓄力技",$B$21,0))*(1+$BV66)</f>
        <v>67885.4741769179</v>
      </c>
      <c r="M66" s="40">
        <f>(($AT66*$AM66+$AN66)*(1+$AU66)*(1+$AV66)+($AY66*IF($G$1="鸣金",$AO66,$AM66)+IF($G$1="鸣金",$AP66*1.5,0))*(1+$AZ66)*(1+$BA66)+($BC66*IF($G$1="裂石",$AO66,$AM66)+IF($G$1="裂石",$AP66*1.5,0))*(1+$BD66)*(1+$BE66)+($BG66*IF($G$1="牵丝",$AO66,$AM66)+IF($G$1="牵丝",$AP66*1.5,0))*(1+$BH66)*(1+$BI66)+($BK66*IF($G$1="破竹",$AO66,$AM66)+IF($G$1="破竹",$AP66*1.5,0))*(1+$BL66)*(1+$BM66))*(1+$AQ66)*$BR66*$P66*(1+IF(VLOOKUP($Q66,武学奇术!$A:$ZZ,30,FALSE)="蓄力技",$B$21,0))*(1+$BV66)</f>
        <v>49938.442481109</v>
      </c>
      <c r="N66" s="40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P66*(1+IF(VLOOKUP($Q66,武学奇术!$A:$ZZ,30,FALSE)="蓄力技",$B$21,0))*(1+$BV66)</f>
        <v>32326.4162747228</v>
      </c>
      <c r="O66" s="40">
        <f>((($AS66*$AM66+$AN66)*(1+$AU66)*(1+$AV66)+($AX66*IF($G$1="鸣金",$AO66,$AM66)+IF($G$1="鸣金",$AP66*1.5,0))*(1+$AZ66)*(1+$BA66)+($BB66*IF($G$1="裂石",$AO66,$AM66)+IF($G$1="裂石",$AP66*1.5,0))*(1+$BD66)*(1+$BE66)+($BF66*IF($G$1="牵丝",$AO66,$AM66)+IF($G$1="牵丝",$AP66*1.5,0))*(1+$BH66)*(1+$BI66)+($BJ66*IF($G$1="破竹",$AO66,$AM66)+IF($G$1="破竹",$AP66*1.5,0))*(1+$BL66)*(1+$BM66))*(1+$AQ66))*$P66*(1+IF(VLOOKUP($Q66,武学奇术!$A:$ZZ,30,FALSE)="蓄力技",$B$21,0))*(1+$BV66)</f>
        <v>27661.3936745501</v>
      </c>
      <c r="P66" s="41">
        <v>2</v>
      </c>
      <c r="Q66" s="42" t="s">
        <v>117</v>
      </c>
      <c r="R66" s="42" t="s">
        <v>103</v>
      </c>
      <c r="S66" s="42" t="s">
        <v>169</v>
      </c>
      <c r="T66" s="42" t="s">
        <v>86</v>
      </c>
      <c r="U66" s="42" t="s">
        <v>121</v>
      </c>
      <c r="V66" s="42" t="s">
        <v>118</v>
      </c>
      <c r="W66" s="42" t="s">
        <v>77</v>
      </c>
      <c r="X66" s="42" t="s">
        <v>176</v>
      </c>
      <c r="Y66" s="42" t="s">
        <v>77</v>
      </c>
      <c r="Z66" s="42" t="s">
        <v>77</v>
      </c>
      <c r="AA66" s="42" t="s">
        <v>73</v>
      </c>
      <c r="AB66" s="42" t="s">
        <v>77</v>
      </c>
      <c r="AC66" s="42" t="s">
        <v>77</v>
      </c>
      <c r="AD66" s="42" t="s">
        <v>77</v>
      </c>
      <c r="AE66" s="42" t="s">
        <v>81</v>
      </c>
      <c r="AF66" s="42" t="s">
        <v>82</v>
      </c>
      <c r="AG66" s="42" t="s">
        <v>77</v>
      </c>
      <c r="AH66" s="42" t="s">
        <v>77</v>
      </c>
      <c r="AI66" s="42" t="s">
        <v>77</v>
      </c>
      <c r="AJ66" s="42" t="s">
        <v>77</v>
      </c>
      <c r="AK66" s="42" t="s">
        <v>77</v>
      </c>
      <c r="AL66" t="str">
        <f>VLOOKUP($Q66,武学奇术!$A:$ZZ,25,FALSE)</f>
        <v>陌刀</v>
      </c>
      <c r="AM66" s="27">
        <f>VLOOKUP($Q66,武学奇术!$A:$ZZ,26,FALSE)</f>
        <v>0.9</v>
      </c>
      <c r="AN66" s="28">
        <f>VLOOKUP($Q66,武学奇术!$A:$ZZ,27,FALSE)*(1+IF(OR($AL66=$F$4,$AL66=$F$5),$B$22,0))</f>
        <v>0</v>
      </c>
      <c r="AO66" s="27">
        <f>VLOOKUP($Q66,武学奇术!$A:$ZZ,28,FALSE)</f>
        <v>1.35</v>
      </c>
      <c r="AP66" s="28">
        <f>VLOOKUP($Q66,武学奇术!$A:$ZZ,29,FALSE)*(1+IF(OR($AL66=$F$4,$AL66=$F$5),$B$22,0))</f>
        <v>0</v>
      </c>
      <c r="AQ66" s="27" cm="1">
        <f t="array" ref="AQ66">$G$3+IFERROR(VLOOKUP($AL66,$F$4:$G$7,2,FALSE),0)+VLOOKUP($Q66,武学奇术!$A:$ZZ,2,FALSE)+SUM(_xlfn.XLOOKUP($R66:$AK66,增益!$A:$A,增益!$B:$B,0))</f>
        <v>0.7341</v>
      </c>
      <c r="AR66" s="27" cm="1">
        <f t="array" ref="AR66">VLOOKUP($Q66,武学奇术!$A:$ZZ,5,FALSE)+SUM(_xlfn.XLOOKUP($R66:$AK66,增益!$A:$A,增益!$E:$E,0))</f>
        <v>0</v>
      </c>
      <c r="AS66" cm="1">
        <f t="array" ref="AS66">$D$10*(1+$AR66)+VLOOKUP($Q66,武学奇术!$A:$ZZ,3,FALSE)+SUM(_xlfn.XLOOKUP($R66:$AK66,增益!$A:$A,增益!$C:$C,0))-$I$2</f>
        <v>3586.7</v>
      </c>
      <c r="AT66" cm="1">
        <f t="array" ref="AT66">$E$10*(1+$AR66)+VLOOKUP($Q66,武学奇术!$A:$ZZ,4,FALSE)+SUM(_xlfn.XLOOKUP($R66:$AK66,增益!$A:$A,增益!$D:$D,0))-$I$2</f>
        <v>3586.7</v>
      </c>
      <c r="AU66" s="34" cm="1">
        <f t="array" ref="AU66">IF($F$10-$I$3+VLOOKUP($Q66,武学奇术!$A:$ZZ,6,FALSE)+SUM(_xlfn.XLOOKUP($R66:$AK66,增益!$A:$A,增益!$F:$F,0))&gt;0,($F$10-$I$3+VLOOKUP($Q66,武学奇术!$A:$ZZ,6,FALSE)+SUM(_xlfn.XLOOKUP($R66:$AK66,增益!$A:$A,增益!$F:$F,0)))/200,($F$10-$I$3+VLOOKUP($Q66,武学奇术!$A:$ZZ,6,FALSE)+SUM(_xlfn.XLOOKUP($R66:$AK66,增益!$A:$A,增益!$F:$F,0)))/100)</f>
        <v>0.352</v>
      </c>
      <c r="AV66" s="34" cm="1">
        <f t="array" ref="AV66">$G$10+VLOOKUP($Q66,武学奇术!$A:$ZZ,7,FALSE)+SUM(_xlfn.XLOOKUP($R66:$AK66,增益!$A:$A,增益!$G:$G,0))</f>
        <v>0</v>
      </c>
      <c r="AW66" s="27" cm="1">
        <f t="array" ref="AW66">VLOOKUP($Q66,武学奇术!$A:$ZZ,8,FALSE)+SUM(_xlfn.XLOOKUP($R66:$AK66,增益!$A:$A,增益!$H:$H,0))</f>
        <v>0</v>
      </c>
      <c r="AX66">
        <f t="shared" ref="AX66:AX127" si="12">$D$11*(1+$AW66)</f>
        <v>0</v>
      </c>
      <c r="AY66">
        <f t="shared" ref="AY66:AY127" si="13">$E$11*(1+$AW66)</f>
        <v>0</v>
      </c>
      <c r="AZ66" s="34" cm="1">
        <f t="array" ref="AZ66">IF($F$11-$I$4+VLOOKUP($Q66,武学奇术!$A:$ZZ,9,FALSE)+SUM(_xlfn.XLOOKUP($R66:$AK66,增益!$A:$A,增益!$I:$I,0))&gt;0,($F$11-$I$4+VLOOKUP($Q66,武学奇术!$A:$ZZ,9,FALSE)+SUM(_xlfn.XLOOKUP($R66:$AK66,增益!$A:$A,增益!$I:$I,0)))/200,($F$11-$I$4+VLOOKUP($Q66,武学奇术!$A:$ZZ,9,FALSE)+SUM(_xlfn.XLOOKUP($R66:$AK66,增益!$A:$A,增益!$I:$I,0)))/100)</f>
        <v>-0.14</v>
      </c>
      <c r="BA66" s="34" cm="1">
        <f t="array" ref="BA66">$G$11+VLOOKUP($Q66,武学奇术!$A:$ZZ,10,FALSE)+SUM(_xlfn.XLOOKUP($R66:$AK66,增益!$A:$A,增益!$J:$J,0))</f>
        <v>0</v>
      </c>
      <c r="BB66">
        <f t="shared" ref="BB66:BB127" si="14">$D$12*(1+$AW66)</f>
        <v>594.1</v>
      </c>
      <c r="BC66">
        <f t="shared" ref="BC66:BC127" si="15">$E$12*(1+$AW66)</f>
        <v>1604.9</v>
      </c>
      <c r="BD66" s="34" cm="1">
        <f t="array" ref="BD66">IF($F$12-$I$4+VLOOKUP($Q66,武学奇术!$A:$ZZ,11,FALSE)+SUM(_xlfn.XLOOKUP($R66:$AK66,增益!$A:$A,增益!$K:$K,0))&gt;0,($F$12-$I$4+VLOOKUP($Q66,武学奇术!$A:$ZZ,11,FALSE)+SUM(_xlfn.XLOOKUP($R66:$AK66,增益!$A:$A,增益!$K:$K,0)))/200,($F$12-$I$4+VLOOKUP($Q66,武学奇术!$A:$ZZ,11,FALSE)+SUM(_xlfn.XLOOKUP($R66:$AK66,增益!$A:$A,增益!$K:$K,0)))/100)</f>
        <v>0.17</v>
      </c>
      <c r="BE66" s="34" cm="1">
        <f t="array" ref="BE66">$G$12+VLOOKUP($Q66,武学奇术!$A:$ZZ,12,FALSE)+SUM(_xlfn.XLOOKUP($R66:$AK66,增益!$A:$A,增益!$L:$L,0))</f>
        <v>0.15</v>
      </c>
      <c r="BF66">
        <f t="shared" ref="BF66:BF127" si="16">$D$13*(1+$AW66)</f>
        <v>0</v>
      </c>
      <c r="BG66">
        <f t="shared" ref="BG66:BG127" si="17">$E$13*(1+$AW66)</f>
        <v>0</v>
      </c>
      <c r="BH66" s="34" cm="1">
        <f t="array" ref="BH66">IF($F$13-$I$4+VLOOKUP($Q66,武学奇术!$A:$ZZ,13,FALSE)+SUM(_xlfn.XLOOKUP($R66:$AK66,增益!$A:$A,增益!$M:$M,0))&gt;0,($F$13-$I$4+VLOOKUP($Q66,武学奇术!$A:$ZZ,13,FALSE)+SUM(_xlfn.XLOOKUP($R66:$AK66,增益!$A:$A,增益!$K:$K,0)))/200,($F$13-$I$4+VLOOKUP($Q66,武学奇术!$A:$ZZ,13,FALSE)+SUM(_xlfn.XLOOKUP($R66:$AK66,增益!$A:$A,增益!$M:$M,0)))/100)</f>
        <v>-0.14</v>
      </c>
      <c r="BI66" s="34" cm="1">
        <f t="array" ref="BI66">$G$13+VLOOKUP($Q66,武学奇术!$A:$ZZ,14,FALSE)+SUM(_xlfn.XLOOKUP($R66:$AK66,增益!$A:$A,增益!$N:$N,0))</f>
        <v>0</v>
      </c>
      <c r="BJ66">
        <f t="shared" ref="BJ66:BJ127" si="18">$D$14*(1+$AW66)</f>
        <v>0</v>
      </c>
      <c r="BK66">
        <f t="shared" ref="BK66:BK127" si="19">$E$14*(1+$AW66)</f>
        <v>0</v>
      </c>
      <c r="BL66" s="34" cm="1">
        <f t="array" ref="BL66">IF($F$14-$I$4+VLOOKUP($Q66,武学奇术!$A:$ZZ,15,FALSE)+SUM(_xlfn.XLOOKUP($R66:$AK66,增益!$A:$A,增益!$O:$O,0))&gt;0,($F$14-$I$4+VLOOKUP($Q66,武学奇术!$A:$ZZ,15,FALSE)+SUM(_xlfn.XLOOKUP($R66:$AK66,增益!$A:$A,增益!$O:$O,0)))/200,($F$14-$I$4+VLOOKUP($Q66,武学奇术!$A:$ZZ,15,FALSE)+SUM(_xlfn.XLOOKUP($R66:$AK66,增益!$A:$A,增益!$O:$O,0)))/100)</f>
        <v>-0.14</v>
      </c>
      <c r="BM66" s="34" cm="1">
        <f t="array" ref="BM66">$G$14+VLOOKUP($Q66,武学奇术!$A:$ZZ,16,FALSE)+SUM(_xlfn.XLOOKUP($R66:$AK66,增益!$A:$A,增益!$P:$P,0))</f>
        <v>0</v>
      </c>
      <c r="BN66" s="27">
        <f>MIN(IF(VLOOKUP($Q66,武学奇术!$A:$ZZ,23,FALSE)=1,100%,$B$8),100%)</f>
        <v>1</v>
      </c>
      <c r="BO66" s="27" cm="1">
        <f t="array" ref="BO66">IF(VLOOKUP($Q66,武学奇术!$A:$ZZ,23,FALSE)=1,100%,MIN(80%,$B$9+VLOOKUP($Q66,武学奇术!$A:$ZZ,17,FALSE)+SUM(_xlfn.XLOOKUP($R66:$AK66,增益!$A:$A,增益!$Q:$Q,0)))+$B$11+SUM(_xlfn.XLOOKUP($R66:$AK66,增益!$A:$A,增益!$U:$U,0)))*IF(VLOOKUP($Q66,武学奇术!$A:$ZZ,24,FALSE)=1,0,1)</f>
        <v>1</v>
      </c>
      <c r="BP66" s="27" cm="1">
        <f t="array" ref="BP66">1+$B$13+VLOOKUP($Q66,武学奇术!$A:$ZZ,18,FALSE)+SUM(_xlfn.XLOOKUP($R66:$AK66,增益!$A:$A,增益!$R:$R,0))</f>
        <v>2.1</v>
      </c>
      <c r="BQ66" s="27" cm="1">
        <f t="array" ref="BQ66">IF(VLOOKUP($Q66,武学奇术!$A:$ZZ,24,FALSE)=1,100%,MIN(40%,$B$10+VLOOKUP($Q66,武学奇术!$A:$ZZ,19,FALSE)+SUM(_xlfn.XLOOKUP($R66:$AK66,增益!$A:$A,增益!$S:$S,0)))+$B$12+SUM(_xlfn.XLOOKUP($R66:$AK66,增益!$A:$A,增益!$V:$V,0)))*IF(VLOOKUP($Q66,武学奇术!$A:$ZZ,23,FALSE)=1,0,1)</f>
        <v>0</v>
      </c>
      <c r="BR66" s="27" cm="1">
        <f t="array" ref="BR66">1+$B$14+VLOOKUP($Q66,武学奇术!$A:$ZZ,20,FALSE)+SUM(_xlfn.XLOOKUP($R66:$AK66,增益!$A:$A,增益!$T:$T,0))</f>
        <v>1.35</v>
      </c>
      <c r="BS66" s="27">
        <f t="shared" ref="BS66:BS127" si="20">MIN((1-BQ66)*BN66,BN66*BO66)</f>
        <v>1</v>
      </c>
      <c r="BT66" s="27">
        <f t="shared" ref="BT66:BT127" si="21">1-BQ66-BS66-BU66</f>
        <v>0</v>
      </c>
      <c r="BU66" s="27">
        <f>IF(VLOOKUP($Q66,武学奇术!$A:$ZZ,22,FALSE)=1,0,(1-$BN66))*(1-$BQ66)</f>
        <v>0</v>
      </c>
      <c r="BV66" s="27" cm="1">
        <f t="array" ref="BV66">SUM(_xlfn.XLOOKUP($R66:$AK66,增益!$A:$A,增益!$W:$W,0))+$I$5</f>
        <v>0.11</v>
      </c>
    </row>
    <row r="67" spans="1:74">
      <c r="K67" s="40">
        <f t="shared" si="11"/>
        <v>652922.613558274</v>
      </c>
      <c r="L67" s="40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BP67*$P67*(1+IF(VLOOKUP($Q67,武学奇术!$A:$ZZ,30,FALSE)="蓄力技",$B$21,0))*(1+$BV67)</f>
        <v>652922.613558274</v>
      </c>
      <c r="M67" s="40">
        <f>(($AT67*$AM67+$AN67)*(1+$AU67)*(1+$AV67)+($AY67*IF($G$1="鸣金",$AO67,$AM67)+IF($G$1="鸣金",$AP67*1.5,0))*(1+$AZ67)*(1+$BA67)+($BC67*IF($G$1="裂石",$AO67,$AM67)+IF($G$1="裂石",$AP67*1.5,0))*(1+$BD67)*(1+$BE67)+($BG67*IF($G$1="牵丝",$AO67,$AM67)+IF($G$1="牵丝",$AP67*1.5,0))*(1+$BH67)*(1+$BI67)+($BK67*IF($G$1="破竹",$AO67,$AM67)+IF($G$1="破竹",$AP67*1.5,0))*(1+$BL67)*(1+$BM67))*(1+$AQ67)*$BR67*$P67*(1+IF(VLOOKUP($Q67,武学奇术!$A:$ZZ,30,FALSE)="蓄力技",$B$21,0))*(1+$BV67)</f>
        <v>472689.570397971</v>
      </c>
      <c r="N67" s="40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P67*(1+IF(VLOOKUP($Q67,武学奇术!$A:$ZZ,30,FALSE)="蓄力技",$B$21,0))*(1+$BV67)</f>
        <v>310915.530265845</v>
      </c>
      <c r="O67" s="40">
        <f>((($AS67*$AM67+$AN67)*(1+$AU67)*(1+$AV67)+($AX67*IF($G$1="鸣金",$AO67,$AM67)+IF($G$1="鸣金",$AP67*1.5,0))*(1+$AZ67)*(1+$BA67)+($BB67*IF($G$1="裂石",$AO67,$AM67)+IF($G$1="裂石",$AP67*1.5,0))*(1+$BD67)*(1+$BE67)+($BF67*IF($G$1="牵丝",$AO67,$AM67)+IF($G$1="牵丝",$AP67*1.5,0))*(1+$BH67)*(1+$BI67)+($BJ67*IF($G$1="破竹",$AO67,$AM67)+IF($G$1="破竹",$AP67*1.5,0))*(1+$BL67)*(1+$BM67))*(1+$AQ67))*$P67*(1+IF(VLOOKUP($Q67,武学奇术!$A:$ZZ,30,FALSE)="蓄力技",$B$21,0))*(1+$BV67)</f>
        <v>271690.638014674</v>
      </c>
      <c r="P67" s="41">
        <v>2</v>
      </c>
      <c r="Q67" s="42" t="s">
        <v>120</v>
      </c>
      <c r="R67" s="42" t="s">
        <v>103</v>
      </c>
      <c r="S67" s="42" t="s">
        <v>169</v>
      </c>
      <c r="T67" s="42" t="s">
        <v>86</v>
      </c>
      <c r="U67" s="42" t="s">
        <v>121</v>
      </c>
      <c r="V67" s="42" t="s">
        <v>118</v>
      </c>
      <c r="W67" s="42" t="s">
        <v>77</v>
      </c>
      <c r="X67" s="42" t="s">
        <v>176</v>
      </c>
      <c r="Y67" s="42" t="s">
        <v>77</v>
      </c>
      <c r="Z67" s="42" t="s">
        <v>77</v>
      </c>
      <c r="AA67" s="42" t="s">
        <v>73</v>
      </c>
      <c r="AB67" s="42" t="s">
        <v>77</v>
      </c>
      <c r="AC67" s="42" t="s">
        <v>77</v>
      </c>
      <c r="AD67" s="42" t="s">
        <v>77</v>
      </c>
      <c r="AE67" s="42" t="s">
        <v>81</v>
      </c>
      <c r="AF67" s="42" t="s">
        <v>82</v>
      </c>
      <c r="AG67" s="42" t="s">
        <v>77</v>
      </c>
      <c r="AH67" s="42" t="s">
        <v>77</v>
      </c>
      <c r="AI67" s="42" t="s">
        <v>77</v>
      </c>
      <c r="AJ67" s="42" t="s">
        <v>77</v>
      </c>
      <c r="AK67" s="42" t="s">
        <v>77</v>
      </c>
      <c r="AL67" t="str">
        <f>VLOOKUP($Q67,武学奇术!$A:$ZZ,25,FALSE)</f>
        <v>陌刀</v>
      </c>
      <c r="AM67" s="27">
        <f>VLOOKUP($Q67,武学奇术!$A:$ZZ,26,FALSE)</f>
        <v>7.5674</v>
      </c>
      <c r="AN67" s="28">
        <f>VLOOKUP($Q67,武学奇术!$A:$ZZ,27,FALSE)*(1+IF(OR($AL67=$F$4,$AL67=$F$5),$B$22,0))</f>
        <v>3139.5</v>
      </c>
      <c r="AO67" s="27">
        <f>VLOOKUP($Q67,武学奇术!$A:$ZZ,28,FALSE)</f>
        <v>11.3512</v>
      </c>
      <c r="AP67" s="28">
        <f>VLOOKUP($Q67,武学奇术!$A:$ZZ,29,FALSE)*(1+IF(OR($AL67=$F$4,$AL67=$F$5),$B$22,0))</f>
        <v>1710</v>
      </c>
      <c r="AQ67" s="27" cm="1">
        <f t="array" ref="AQ67">$G$3+IFERROR(VLOOKUP($AL67,$F$4:$G$7,2,FALSE),0)+VLOOKUP($Q67,武学奇术!$A:$ZZ,2,FALSE)+SUM(_xlfn.XLOOKUP($R67:$AK67,增益!$A:$A,增益!$B:$B,0))</f>
        <v>0.7341</v>
      </c>
      <c r="AR67" s="27" cm="1">
        <f t="array" ref="AR67">VLOOKUP($Q67,武学奇术!$A:$ZZ,5,FALSE)+SUM(_xlfn.XLOOKUP($R67:$AK67,增益!$A:$A,增益!$E:$E,0))</f>
        <v>0</v>
      </c>
      <c r="AS67" cm="1">
        <f t="array" ref="AS67">$D$10*(1+$AR67)+VLOOKUP($Q67,武学奇术!$A:$ZZ,3,FALSE)+SUM(_xlfn.XLOOKUP($R67:$AK67,增益!$A:$A,增益!$C:$C,0))-$I$2</f>
        <v>3586.7</v>
      </c>
      <c r="AT67" cm="1">
        <f t="array" ref="AT67">$E$10*(1+$AR67)+VLOOKUP($Q67,武学奇术!$A:$ZZ,4,FALSE)+SUM(_xlfn.XLOOKUP($R67:$AK67,增益!$A:$A,增益!$D:$D,0))-$I$2</f>
        <v>3586.7</v>
      </c>
      <c r="AU67" s="34" cm="1">
        <f t="array" ref="AU67">IF($F$10-$I$3+VLOOKUP($Q67,武学奇术!$A:$ZZ,6,FALSE)+SUM(_xlfn.XLOOKUP($R67:$AK67,增益!$A:$A,增益!$F:$F,0))&gt;0,($F$10-$I$3+VLOOKUP($Q67,武学奇术!$A:$ZZ,6,FALSE)+SUM(_xlfn.XLOOKUP($R67:$AK67,增益!$A:$A,增益!$F:$F,0)))/200,($F$10-$I$3+VLOOKUP($Q67,武学奇术!$A:$ZZ,6,FALSE)+SUM(_xlfn.XLOOKUP($R67:$AK67,增益!$A:$A,增益!$F:$F,0)))/100)</f>
        <v>0.352</v>
      </c>
      <c r="AV67" s="34" cm="1">
        <f t="array" ref="AV67">$G$10+VLOOKUP($Q67,武学奇术!$A:$ZZ,7,FALSE)+SUM(_xlfn.XLOOKUP($R67:$AK67,增益!$A:$A,增益!$G:$G,0))</f>
        <v>0</v>
      </c>
      <c r="AW67" s="27" cm="1">
        <f t="array" ref="AW67">VLOOKUP($Q67,武学奇术!$A:$ZZ,8,FALSE)+SUM(_xlfn.XLOOKUP($R67:$AK67,增益!$A:$A,增益!$H:$H,0))</f>
        <v>0</v>
      </c>
      <c r="AX67">
        <f t="shared" si="12"/>
        <v>0</v>
      </c>
      <c r="AY67">
        <f t="shared" si="13"/>
        <v>0</v>
      </c>
      <c r="AZ67" s="34" cm="1">
        <f t="array" ref="AZ67">IF($F$11-$I$4+VLOOKUP($Q67,武学奇术!$A:$ZZ,9,FALSE)+SUM(_xlfn.XLOOKUP($R67:$AK67,增益!$A:$A,增益!$I:$I,0))&gt;0,($F$11-$I$4+VLOOKUP($Q67,武学奇术!$A:$ZZ,9,FALSE)+SUM(_xlfn.XLOOKUP($R67:$AK67,增益!$A:$A,增益!$I:$I,0)))/200,($F$11-$I$4+VLOOKUP($Q67,武学奇术!$A:$ZZ,9,FALSE)+SUM(_xlfn.XLOOKUP($R67:$AK67,增益!$A:$A,增益!$I:$I,0)))/100)</f>
        <v>-0.14</v>
      </c>
      <c r="BA67" s="34" cm="1">
        <f t="array" ref="BA67">$G$11+VLOOKUP($Q67,武学奇术!$A:$ZZ,10,FALSE)+SUM(_xlfn.XLOOKUP($R67:$AK67,增益!$A:$A,增益!$J:$J,0))</f>
        <v>0</v>
      </c>
      <c r="BB67">
        <f t="shared" si="14"/>
        <v>594.1</v>
      </c>
      <c r="BC67">
        <f t="shared" si="15"/>
        <v>1604.9</v>
      </c>
      <c r="BD67" s="34" cm="1">
        <f t="array" ref="BD67">IF($F$12-$I$4+VLOOKUP($Q67,武学奇术!$A:$ZZ,11,FALSE)+SUM(_xlfn.XLOOKUP($R67:$AK67,增益!$A:$A,增益!$K:$K,0))&gt;0,($F$12-$I$4+VLOOKUP($Q67,武学奇术!$A:$ZZ,11,FALSE)+SUM(_xlfn.XLOOKUP($R67:$AK67,增益!$A:$A,增益!$K:$K,0)))/200,($F$12-$I$4+VLOOKUP($Q67,武学奇术!$A:$ZZ,11,FALSE)+SUM(_xlfn.XLOOKUP($R67:$AK67,增益!$A:$A,增益!$K:$K,0)))/100)</f>
        <v>0.17</v>
      </c>
      <c r="BE67" s="34" cm="1">
        <f t="array" ref="BE67">$G$12+VLOOKUP($Q67,武学奇术!$A:$ZZ,12,FALSE)+SUM(_xlfn.XLOOKUP($R67:$AK67,增益!$A:$A,增益!$L:$L,0))</f>
        <v>0.15</v>
      </c>
      <c r="BF67">
        <f t="shared" si="16"/>
        <v>0</v>
      </c>
      <c r="BG67">
        <f t="shared" si="17"/>
        <v>0</v>
      </c>
      <c r="BH67" s="34" cm="1">
        <f t="array" ref="BH67">IF($F$13-$I$4+VLOOKUP($Q67,武学奇术!$A:$ZZ,13,FALSE)+SUM(_xlfn.XLOOKUP($R67:$AK67,增益!$A:$A,增益!$M:$M,0))&gt;0,($F$13-$I$4+VLOOKUP($Q67,武学奇术!$A:$ZZ,13,FALSE)+SUM(_xlfn.XLOOKUP($R67:$AK67,增益!$A:$A,增益!$K:$K,0)))/200,($F$13-$I$4+VLOOKUP($Q67,武学奇术!$A:$ZZ,13,FALSE)+SUM(_xlfn.XLOOKUP($R67:$AK67,增益!$A:$A,增益!$M:$M,0)))/100)</f>
        <v>-0.14</v>
      </c>
      <c r="BI67" s="34" cm="1">
        <f t="array" ref="BI67">$G$13+VLOOKUP($Q67,武学奇术!$A:$ZZ,14,FALSE)+SUM(_xlfn.XLOOKUP($R67:$AK67,增益!$A:$A,增益!$N:$N,0))</f>
        <v>0</v>
      </c>
      <c r="BJ67">
        <f t="shared" si="18"/>
        <v>0</v>
      </c>
      <c r="BK67">
        <f t="shared" si="19"/>
        <v>0</v>
      </c>
      <c r="BL67" s="34" cm="1">
        <f t="array" ref="BL67">IF($F$14-$I$4+VLOOKUP($Q67,武学奇术!$A:$ZZ,15,FALSE)+SUM(_xlfn.XLOOKUP($R67:$AK67,增益!$A:$A,增益!$O:$O,0))&gt;0,($F$14-$I$4+VLOOKUP($Q67,武学奇术!$A:$ZZ,15,FALSE)+SUM(_xlfn.XLOOKUP($R67:$AK67,增益!$A:$A,增益!$O:$O,0)))/200,($F$14-$I$4+VLOOKUP($Q67,武学奇术!$A:$ZZ,15,FALSE)+SUM(_xlfn.XLOOKUP($R67:$AK67,增益!$A:$A,增益!$O:$O,0)))/100)</f>
        <v>-0.14</v>
      </c>
      <c r="BM67" s="34" cm="1">
        <f t="array" ref="BM67">$G$14+VLOOKUP($Q67,武学奇术!$A:$ZZ,16,FALSE)+SUM(_xlfn.XLOOKUP($R67:$AK67,增益!$A:$A,增益!$P:$P,0))</f>
        <v>0</v>
      </c>
      <c r="BN67" s="27">
        <f>MIN(IF(VLOOKUP($Q67,武学奇术!$A:$ZZ,23,FALSE)=1,100%,$B$8),100%)</f>
        <v>1</v>
      </c>
      <c r="BO67" s="27" cm="1">
        <f t="array" ref="BO67">IF(VLOOKUP($Q67,武学奇术!$A:$ZZ,23,FALSE)=1,100%,MIN(80%,$B$9+VLOOKUP($Q67,武学奇术!$A:$ZZ,17,FALSE)+SUM(_xlfn.XLOOKUP($R67:$AK67,增益!$A:$A,增益!$Q:$Q,0)))+$B$11+SUM(_xlfn.XLOOKUP($R67:$AK67,增益!$A:$A,增益!$U:$U,0)))*IF(VLOOKUP($Q67,武学奇术!$A:$ZZ,24,FALSE)=1,0,1)</f>
        <v>1</v>
      </c>
      <c r="BP67" s="27" cm="1">
        <f t="array" ref="BP67">1+$B$13+VLOOKUP($Q67,武学奇术!$A:$ZZ,18,FALSE)+SUM(_xlfn.XLOOKUP($R67:$AK67,增益!$A:$A,增益!$R:$R,0))</f>
        <v>2.1</v>
      </c>
      <c r="BQ67" s="27" cm="1">
        <f t="array" ref="BQ67">IF(VLOOKUP($Q67,武学奇术!$A:$ZZ,24,FALSE)=1,100%,MIN(40%,$B$10+VLOOKUP($Q67,武学奇术!$A:$ZZ,19,FALSE)+SUM(_xlfn.XLOOKUP($R67:$AK67,增益!$A:$A,增益!$S:$S,0)))+$B$12+SUM(_xlfn.XLOOKUP($R67:$AK67,增益!$A:$A,增益!$V:$V,0)))*IF(VLOOKUP($Q67,武学奇术!$A:$ZZ,23,FALSE)=1,0,1)</f>
        <v>0</v>
      </c>
      <c r="BR67" s="27" cm="1">
        <f t="array" ref="BR67">1+$B$14+VLOOKUP($Q67,武学奇术!$A:$ZZ,20,FALSE)+SUM(_xlfn.XLOOKUP($R67:$AK67,增益!$A:$A,增益!$T:$T,0))</f>
        <v>1.35</v>
      </c>
      <c r="BS67" s="27">
        <f t="shared" si="20"/>
        <v>1</v>
      </c>
      <c r="BT67" s="27">
        <f t="shared" si="21"/>
        <v>0</v>
      </c>
      <c r="BU67" s="27">
        <f>IF(VLOOKUP($Q67,武学奇术!$A:$ZZ,22,FALSE)=1,0,(1-$BN67))*(1-$BQ67)</f>
        <v>0</v>
      </c>
      <c r="BV67" s="27" cm="1">
        <f t="array" ref="BV67">SUM(_xlfn.XLOOKUP($R67:$AK67,增益!$A:$A,增益!$W:$W,0))+$I$5</f>
        <v>0.11</v>
      </c>
    </row>
    <row r="68" spans="1:74">
      <c r="K68" s="40">
        <f t="shared" si="11"/>
        <v>18857.076160255</v>
      </c>
      <c r="L68" s="40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BP68*$P68*(1+IF(VLOOKUP($Q68,武学奇术!$A:$ZZ,30,FALSE)="蓄力技",$B$21,0))*(1+$BV68)</f>
        <v>18857.076160255</v>
      </c>
      <c r="M68" s="40">
        <f>(($AT68*$AM68+$AN68)*(1+$AU68)*(1+$AV68)+($AY68*IF($G$1="鸣金",$AO68,$AM68)+IF($G$1="鸣金",$AP68*1.5,0))*(1+$AZ68)*(1+$BA68)+($BC68*IF($G$1="裂石",$AO68,$AM68)+IF($G$1="裂石",$AP68*1.5,0))*(1+$BD68)*(1+$BE68)+($BG68*IF($G$1="牵丝",$AO68,$AM68)+IF($G$1="牵丝",$AP68*1.5,0))*(1+$BH68)*(1+$BI68)+($BK68*IF($G$1="破竹",$AO68,$AM68)+IF($G$1="破竹",$AP68*1.5,0))*(1+$BL68)*(1+$BM68))*(1+$AQ68)*$BR68*$P68*(1+IF(VLOOKUP($Q68,武学奇术!$A:$ZZ,30,FALSE)="蓄力技",$B$21,0))*(1+$BV68)</f>
        <v>13871.7895780858</v>
      </c>
      <c r="N68" s="40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P68*(1+IF(VLOOKUP($Q68,武学奇术!$A:$ZZ,30,FALSE)="蓄力技",$B$21,0))*(1+$BV68)</f>
        <v>8979.56007631189</v>
      </c>
      <c r="O68" s="40">
        <f>((($AS68*$AM68+$AN68)*(1+$AU68)*(1+$AV68)+($AX68*IF($G$1="鸣金",$AO68,$AM68)+IF($G$1="鸣金",$AP68*1.5,0))*(1+$AZ68)*(1+$BA68)+($BB68*IF($G$1="裂石",$AO68,$AM68)+IF($G$1="裂石",$AP68*1.5,0))*(1+$BD68)*(1+$BE68)+($BF68*IF($G$1="牵丝",$AO68,$AM68)+IF($G$1="牵丝",$AP68*1.5,0))*(1+$BH68)*(1+$BI68)+($BJ68*IF($G$1="破竹",$AO68,$AM68)+IF($G$1="破竹",$AP68*1.5,0))*(1+$BL68)*(1+$BM68))*(1+$AQ68))*$P68*(1+IF(VLOOKUP($Q68,武学奇术!$A:$ZZ,30,FALSE)="蓄力技",$B$21,0))*(1+$BV68)</f>
        <v>7683.7204651528</v>
      </c>
      <c r="P68" s="41">
        <v>1</v>
      </c>
      <c r="Q68" s="42" t="s">
        <v>125</v>
      </c>
      <c r="R68" s="42" t="s">
        <v>103</v>
      </c>
      <c r="S68" s="42" t="s">
        <v>169</v>
      </c>
      <c r="T68" s="42" t="s">
        <v>86</v>
      </c>
      <c r="U68" s="42" t="s">
        <v>121</v>
      </c>
      <c r="V68" s="42" t="s">
        <v>118</v>
      </c>
      <c r="W68" s="42" t="s">
        <v>77</v>
      </c>
      <c r="X68" s="42" t="s">
        <v>176</v>
      </c>
      <c r="Y68" s="42" t="s">
        <v>77</v>
      </c>
      <c r="Z68" s="42" t="s">
        <v>77</v>
      </c>
      <c r="AA68" s="42" t="s">
        <v>73</v>
      </c>
      <c r="AB68" s="42" t="s">
        <v>77</v>
      </c>
      <c r="AC68" s="42" t="s">
        <v>77</v>
      </c>
      <c r="AD68" s="42" t="s">
        <v>77</v>
      </c>
      <c r="AE68" s="42" t="s">
        <v>81</v>
      </c>
      <c r="AF68" s="42" t="s">
        <v>82</v>
      </c>
      <c r="AG68" s="42" t="s">
        <v>77</v>
      </c>
      <c r="AH68" s="42" t="s">
        <v>77</v>
      </c>
      <c r="AI68" s="42" t="s">
        <v>77</v>
      </c>
      <c r="AJ68" s="42" t="s">
        <v>77</v>
      </c>
      <c r="AK68" s="42" t="s">
        <v>77</v>
      </c>
      <c r="AL68" t="str">
        <f>VLOOKUP($Q68,武学奇术!$A:$ZZ,25,FALSE)</f>
        <v>陌刀</v>
      </c>
      <c r="AM68" s="27">
        <f>VLOOKUP($Q68,武学奇术!$A:$ZZ,26,FALSE)</f>
        <v>0.5</v>
      </c>
      <c r="AN68" s="28">
        <f>VLOOKUP($Q68,武学奇术!$A:$ZZ,27,FALSE)*(1+IF(OR($AL68=$F$4,$AL68=$F$5),$B$22,0))</f>
        <v>0</v>
      </c>
      <c r="AO68" s="27">
        <f>VLOOKUP($Q68,武学奇术!$A:$ZZ,28,FALSE)</f>
        <v>0.75</v>
      </c>
      <c r="AP68" s="28">
        <f>VLOOKUP($Q68,武学奇术!$A:$ZZ,29,FALSE)*(1+IF(OR($AL68=$F$4,$AL68=$F$5),$B$22,0))</f>
        <v>0</v>
      </c>
      <c r="AQ68" s="27" cm="1">
        <f t="array" ref="AQ68">$G$3+IFERROR(VLOOKUP($AL68,$F$4:$G$7,2,FALSE),0)+VLOOKUP($Q68,武学奇术!$A:$ZZ,2,FALSE)+SUM(_xlfn.XLOOKUP($R68:$AK68,增益!$A:$A,增益!$B:$B,0))</f>
        <v>0.7341</v>
      </c>
      <c r="AR68" s="27" cm="1">
        <f t="array" ref="AR68">VLOOKUP($Q68,武学奇术!$A:$ZZ,5,FALSE)+SUM(_xlfn.XLOOKUP($R68:$AK68,增益!$A:$A,增益!$E:$E,0))</f>
        <v>0</v>
      </c>
      <c r="AS68" cm="1">
        <f t="array" ref="AS68">$D$10*(1+$AR68)+VLOOKUP($Q68,武学奇术!$A:$ZZ,3,FALSE)+SUM(_xlfn.XLOOKUP($R68:$AK68,增益!$A:$A,增益!$C:$C,0))-$I$2</f>
        <v>3586.7</v>
      </c>
      <c r="AT68" cm="1">
        <f t="array" ref="AT68">$E$10*(1+$AR68)+VLOOKUP($Q68,武学奇术!$A:$ZZ,4,FALSE)+SUM(_xlfn.XLOOKUP($R68:$AK68,增益!$A:$A,增益!$D:$D,0))-$I$2</f>
        <v>3586.7</v>
      </c>
      <c r="AU68" s="34" cm="1">
        <f t="array" ref="AU68">IF($F$10-$I$3+VLOOKUP($Q68,武学奇术!$A:$ZZ,6,FALSE)+SUM(_xlfn.XLOOKUP($R68:$AK68,增益!$A:$A,增益!$F:$F,0))&gt;0,($F$10-$I$3+VLOOKUP($Q68,武学奇术!$A:$ZZ,6,FALSE)+SUM(_xlfn.XLOOKUP($R68:$AK68,增益!$A:$A,增益!$F:$F,0)))/200,($F$10-$I$3+VLOOKUP($Q68,武学奇术!$A:$ZZ,6,FALSE)+SUM(_xlfn.XLOOKUP($R68:$AK68,增益!$A:$A,增益!$F:$F,0)))/100)</f>
        <v>0.352</v>
      </c>
      <c r="AV68" s="34" cm="1">
        <f t="array" ref="AV68">$G$10+VLOOKUP($Q68,武学奇术!$A:$ZZ,7,FALSE)+SUM(_xlfn.XLOOKUP($R68:$AK68,增益!$A:$A,增益!$G:$G,0))</f>
        <v>0</v>
      </c>
      <c r="AW68" s="27" cm="1">
        <f t="array" ref="AW68">VLOOKUP($Q68,武学奇术!$A:$ZZ,8,FALSE)+SUM(_xlfn.XLOOKUP($R68:$AK68,增益!$A:$A,增益!$H:$H,0))</f>
        <v>0</v>
      </c>
      <c r="AX68">
        <f t="shared" si="12"/>
        <v>0</v>
      </c>
      <c r="AY68">
        <f t="shared" si="13"/>
        <v>0</v>
      </c>
      <c r="AZ68" s="34" cm="1">
        <f t="array" ref="AZ68">IF($F$11-$I$4+VLOOKUP($Q68,武学奇术!$A:$ZZ,9,FALSE)+SUM(_xlfn.XLOOKUP($R68:$AK68,增益!$A:$A,增益!$I:$I,0))&gt;0,($F$11-$I$4+VLOOKUP($Q68,武学奇术!$A:$ZZ,9,FALSE)+SUM(_xlfn.XLOOKUP($R68:$AK68,增益!$A:$A,增益!$I:$I,0)))/200,($F$11-$I$4+VLOOKUP($Q68,武学奇术!$A:$ZZ,9,FALSE)+SUM(_xlfn.XLOOKUP($R68:$AK68,增益!$A:$A,增益!$I:$I,0)))/100)</f>
        <v>-0.14</v>
      </c>
      <c r="BA68" s="34" cm="1">
        <f t="array" ref="BA68">$G$11+VLOOKUP($Q68,武学奇术!$A:$ZZ,10,FALSE)+SUM(_xlfn.XLOOKUP($R68:$AK68,增益!$A:$A,增益!$J:$J,0))</f>
        <v>0</v>
      </c>
      <c r="BB68">
        <f t="shared" si="14"/>
        <v>594.1</v>
      </c>
      <c r="BC68">
        <f t="shared" si="15"/>
        <v>1604.9</v>
      </c>
      <c r="BD68" s="34" cm="1">
        <f t="array" ref="BD68">IF($F$12-$I$4+VLOOKUP($Q68,武学奇术!$A:$ZZ,11,FALSE)+SUM(_xlfn.XLOOKUP($R68:$AK68,增益!$A:$A,增益!$K:$K,0))&gt;0,($F$12-$I$4+VLOOKUP($Q68,武学奇术!$A:$ZZ,11,FALSE)+SUM(_xlfn.XLOOKUP($R68:$AK68,增益!$A:$A,增益!$K:$K,0)))/200,($F$12-$I$4+VLOOKUP($Q68,武学奇术!$A:$ZZ,11,FALSE)+SUM(_xlfn.XLOOKUP($R68:$AK68,增益!$A:$A,增益!$K:$K,0)))/100)</f>
        <v>0.17</v>
      </c>
      <c r="BE68" s="34" cm="1">
        <f t="array" ref="BE68">$G$12+VLOOKUP($Q68,武学奇术!$A:$ZZ,12,FALSE)+SUM(_xlfn.XLOOKUP($R68:$AK68,增益!$A:$A,增益!$L:$L,0))</f>
        <v>0.15</v>
      </c>
      <c r="BF68">
        <f t="shared" si="16"/>
        <v>0</v>
      </c>
      <c r="BG68">
        <f t="shared" si="17"/>
        <v>0</v>
      </c>
      <c r="BH68" s="34" cm="1">
        <f t="array" ref="BH68">IF($F$13-$I$4+VLOOKUP($Q68,武学奇术!$A:$ZZ,13,FALSE)+SUM(_xlfn.XLOOKUP($R68:$AK68,增益!$A:$A,增益!$M:$M,0))&gt;0,($F$13-$I$4+VLOOKUP($Q68,武学奇术!$A:$ZZ,13,FALSE)+SUM(_xlfn.XLOOKUP($R68:$AK68,增益!$A:$A,增益!$K:$K,0)))/200,($F$13-$I$4+VLOOKUP($Q68,武学奇术!$A:$ZZ,13,FALSE)+SUM(_xlfn.XLOOKUP($R68:$AK68,增益!$A:$A,增益!$M:$M,0)))/100)</f>
        <v>-0.14</v>
      </c>
      <c r="BI68" s="34" cm="1">
        <f t="array" ref="BI68">$G$13+VLOOKUP($Q68,武学奇术!$A:$ZZ,14,FALSE)+SUM(_xlfn.XLOOKUP($R68:$AK68,增益!$A:$A,增益!$N:$N,0))</f>
        <v>0</v>
      </c>
      <c r="BJ68">
        <f t="shared" si="18"/>
        <v>0</v>
      </c>
      <c r="BK68">
        <f t="shared" si="19"/>
        <v>0</v>
      </c>
      <c r="BL68" s="34" cm="1">
        <f t="array" ref="BL68">IF($F$14-$I$4+VLOOKUP($Q68,武学奇术!$A:$ZZ,15,FALSE)+SUM(_xlfn.XLOOKUP($R68:$AK68,增益!$A:$A,增益!$O:$O,0))&gt;0,($F$14-$I$4+VLOOKUP($Q68,武学奇术!$A:$ZZ,15,FALSE)+SUM(_xlfn.XLOOKUP($R68:$AK68,增益!$A:$A,增益!$O:$O,0)))/200,($F$14-$I$4+VLOOKUP($Q68,武学奇术!$A:$ZZ,15,FALSE)+SUM(_xlfn.XLOOKUP($R68:$AK68,增益!$A:$A,增益!$O:$O,0)))/100)</f>
        <v>-0.14</v>
      </c>
      <c r="BM68" s="34" cm="1">
        <f t="array" ref="BM68">$G$14+VLOOKUP($Q68,武学奇术!$A:$ZZ,16,FALSE)+SUM(_xlfn.XLOOKUP($R68:$AK68,增益!$A:$A,增益!$P:$P,0))</f>
        <v>0</v>
      </c>
      <c r="BN68" s="27">
        <f>MIN(IF(VLOOKUP($Q68,武学奇术!$A:$ZZ,23,FALSE)=1,100%,$B$8),100%)</f>
        <v>1</v>
      </c>
      <c r="BO68" s="27" cm="1">
        <f t="array" ref="BO68">IF(VLOOKUP($Q68,武学奇术!$A:$ZZ,23,FALSE)=1,100%,MIN(80%,$B$9+VLOOKUP($Q68,武学奇术!$A:$ZZ,17,FALSE)+SUM(_xlfn.XLOOKUP($R68:$AK68,增益!$A:$A,增益!$Q:$Q,0)))+$B$11+SUM(_xlfn.XLOOKUP($R68:$AK68,增益!$A:$A,增益!$U:$U,0)))*IF(VLOOKUP($Q68,武学奇术!$A:$ZZ,24,FALSE)=1,0,1)</f>
        <v>1</v>
      </c>
      <c r="BP68" s="27" cm="1">
        <f t="array" ref="BP68">1+$B$13+VLOOKUP($Q68,武学奇术!$A:$ZZ,18,FALSE)+SUM(_xlfn.XLOOKUP($R68:$AK68,增益!$A:$A,增益!$R:$R,0))</f>
        <v>2.1</v>
      </c>
      <c r="BQ68" s="27" cm="1">
        <f t="array" ref="BQ68">IF(VLOOKUP($Q68,武学奇术!$A:$ZZ,24,FALSE)=1,100%,MIN(40%,$B$10+VLOOKUP($Q68,武学奇术!$A:$ZZ,19,FALSE)+SUM(_xlfn.XLOOKUP($R68:$AK68,增益!$A:$A,增益!$S:$S,0)))+$B$12+SUM(_xlfn.XLOOKUP($R68:$AK68,增益!$A:$A,增益!$V:$V,0)))*IF(VLOOKUP($Q68,武学奇术!$A:$ZZ,23,FALSE)=1,0,1)</f>
        <v>0</v>
      </c>
      <c r="BR68" s="27" cm="1">
        <f t="array" ref="BR68">1+$B$14+VLOOKUP($Q68,武学奇术!$A:$ZZ,20,FALSE)+SUM(_xlfn.XLOOKUP($R68:$AK68,增益!$A:$A,增益!$T:$T,0))</f>
        <v>1.35</v>
      </c>
      <c r="BS68" s="27">
        <f t="shared" si="20"/>
        <v>1</v>
      </c>
      <c r="BT68" s="27">
        <f t="shared" si="21"/>
        <v>0</v>
      </c>
      <c r="BU68" s="27">
        <f>IF(VLOOKUP($Q68,武学奇术!$A:$ZZ,22,FALSE)=1,0,(1-$BN68))*(1-$BQ68)</f>
        <v>0</v>
      </c>
      <c r="BV68" s="27" cm="1">
        <f t="array" ref="BV68">SUM(_xlfn.XLOOKUP($R68:$AK68,增益!$A:$A,增益!$W:$W,0))+$I$5</f>
        <v>0.11</v>
      </c>
    </row>
    <row r="69" spans="1:74">
      <c r="K69" s="40">
        <f t="shared" si="11"/>
        <v>33942.737088459</v>
      </c>
      <c r="L69" s="40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BP69*$P69*(1+IF(VLOOKUP($Q69,武学奇术!$A:$ZZ,30,FALSE)="蓄力技",$B$21,0))*(1+$BV69)</f>
        <v>33942.737088459</v>
      </c>
      <c r="M69" s="40">
        <f>(($AT69*$AM69+$AN69)*(1+$AU69)*(1+$AV69)+($AY69*IF($G$1="鸣金",$AO69,$AM69)+IF($G$1="鸣金",$AP69*1.5,0))*(1+$AZ69)*(1+$BA69)+($BC69*IF($G$1="裂石",$AO69,$AM69)+IF($G$1="裂石",$AP69*1.5,0))*(1+$BD69)*(1+$BE69)+($BG69*IF($G$1="牵丝",$AO69,$AM69)+IF($G$1="牵丝",$AP69*1.5,0))*(1+$BH69)*(1+$BI69)+($BK69*IF($G$1="破竹",$AO69,$AM69)+IF($G$1="破竹",$AP69*1.5,0))*(1+$BL69)*(1+$BM69))*(1+$AQ69)*$BR69*$P69*(1+IF(VLOOKUP($Q69,武学奇术!$A:$ZZ,30,FALSE)="蓄力技",$B$21,0))*(1+$BV69)</f>
        <v>24969.2212405545</v>
      </c>
      <c r="N69" s="40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P69*(1+IF(VLOOKUP($Q69,武学奇术!$A:$ZZ,30,FALSE)="蓄力技",$B$21,0))*(1+$BV69)</f>
        <v>16163.2081373614</v>
      </c>
      <c r="O69" s="40">
        <f>((($AS69*$AM69+$AN69)*(1+$AU69)*(1+$AV69)+($AX69*IF($G$1="鸣金",$AO69,$AM69)+IF($G$1="鸣金",$AP69*1.5,0))*(1+$AZ69)*(1+$BA69)+($BB69*IF($G$1="裂石",$AO69,$AM69)+IF($G$1="裂石",$AP69*1.5,0))*(1+$BD69)*(1+$BE69)+($BF69*IF($G$1="牵丝",$AO69,$AM69)+IF($G$1="牵丝",$AP69*1.5,0))*(1+$BH69)*(1+$BI69)+($BJ69*IF($G$1="破竹",$AO69,$AM69)+IF($G$1="破竹",$AP69*1.5,0))*(1+$BL69)*(1+$BM69))*(1+$AQ69))*$P69*(1+IF(VLOOKUP($Q69,武学奇术!$A:$ZZ,30,FALSE)="蓄力技",$B$21,0))*(1+$BV69)</f>
        <v>13830.696837275</v>
      </c>
      <c r="P69" s="41">
        <v>1</v>
      </c>
      <c r="Q69" s="42" t="s">
        <v>117</v>
      </c>
      <c r="R69" s="42" t="s">
        <v>103</v>
      </c>
      <c r="S69" s="42" t="s">
        <v>169</v>
      </c>
      <c r="T69" s="42" t="s">
        <v>86</v>
      </c>
      <c r="U69" s="42" t="s">
        <v>121</v>
      </c>
      <c r="V69" s="42" t="s">
        <v>118</v>
      </c>
      <c r="W69" s="42" t="s">
        <v>77</v>
      </c>
      <c r="X69" s="42" t="s">
        <v>176</v>
      </c>
      <c r="Y69" s="42" t="s">
        <v>77</v>
      </c>
      <c r="Z69" s="42" t="s">
        <v>77</v>
      </c>
      <c r="AA69" s="42" t="s">
        <v>73</v>
      </c>
      <c r="AB69" s="42" t="s">
        <v>77</v>
      </c>
      <c r="AC69" s="42" t="s">
        <v>77</v>
      </c>
      <c r="AD69" s="42" t="s">
        <v>77</v>
      </c>
      <c r="AE69" s="42" t="s">
        <v>81</v>
      </c>
      <c r="AF69" s="42" t="s">
        <v>82</v>
      </c>
      <c r="AG69" s="42" t="s">
        <v>77</v>
      </c>
      <c r="AH69" s="42" t="s">
        <v>77</v>
      </c>
      <c r="AI69" s="42" t="s">
        <v>77</v>
      </c>
      <c r="AJ69" s="42" t="s">
        <v>77</v>
      </c>
      <c r="AK69" s="42" t="s">
        <v>77</v>
      </c>
      <c r="AL69" t="str">
        <f>VLOOKUP($Q69,武学奇术!$A:$ZZ,25,FALSE)</f>
        <v>陌刀</v>
      </c>
      <c r="AM69" s="27">
        <f>VLOOKUP($Q69,武学奇术!$A:$ZZ,26,FALSE)</f>
        <v>0.9</v>
      </c>
      <c r="AN69" s="28">
        <f>VLOOKUP($Q69,武学奇术!$A:$ZZ,27,FALSE)*(1+IF(OR($AL69=$F$4,$AL69=$F$5),$B$22,0))</f>
        <v>0</v>
      </c>
      <c r="AO69" s="27">
        <f>VLOOKUP($Q69,武学奇术!$A:$ZZ,28,FALSE)</f>
        <v>1.35</v>
      </c>
      <c r="AP69" s="28">
        <f>VLOOKUP($Q69,武学奇术!$A:$ZZ,29,FALSE)*(1+IF(OR($AL69=$F$4,$AL69=$F$5),$B$22,0))</f>
        <v>0</v>
      </c>
      <c r="AQ69" s="27" cm="1">
        <f t="array" ref="AQ69">$G$3+IFERROR(VLOOKUP($AL69,$F$4:$G$7,2,FALSE),0)+VLOOKUP($Q69,武学奇术!$A:$ZZ,2,FALSE)+SUM(_xlfn.XLOOKUP($R69:$AK69,增益!$A:$A,增益!$B:$B,0))</f>
        <v>0.7341</v>
      </c>
      <c r="AR69" s="27" cm="1">
        <f t="array" ref="AR69">VLOOKUP($Q69,武学奇术!$A:$ZZ,5,FALSE)+SUM(_xlfn.XLOOKUP($R69:$AK69,增益!$A:$A,增益!$E:$E,0))</f>
        <v>0</v>
      </c>
      <c r="AS69" cm="1">
        <f t="array" ref="AS69">$D$10*(1+$AR69)+VLOOKUP($Q69,武学奇术!$A:$ZZ,3,FALSE)+SUM(_xlfn.XLOOKUP($R69:$AK69,增益!$A:$A,增益!$C:$C,0))-$I$2</f>
        <v>3586.7</v>
      </c>
      <c r="AT69" cm="1">
        <f t="array" ref="AT69">$E$10*(1+$AR69)+VLOOKUP($Q69,武学奇术!$A:$ZZ,4,FALSE)+SUM(_xlfn.XLOOKUP($R69:$AK69,增益!$A:$A,增益!$D:$D,0))-$I$2</f>
        <v>3586.7</v>
      </c>
      <c r="AU69" s="34" cm="1">
        <f t="array" ref="AU69">IF($F$10-$I$3+VLOOKUP($Q69,武学奇术!$A:$ZZ,6,FALSE)+SUM(_xlfn.XLOOKUP($R69:$AK69,增益!$A:$A,增益!$F:$F,0))&gt;0,($F$10-$I$3+VLOOKUP($Q69,武学奇术!$A:$ZZ,6,FALSE)+SUM(_xlfn.XLOOKUP($R69:$AK69,增益!$A:$A,增益!$F:$F,0)))/200,($F$10-$I$3+VLOOKUP($Q69,武学奇术!$A:$ZZ,6,FALSE)+SUM(_xlfn.XLOOKUP($R69:$AK69,增益!$A:$A,增益!$F:$F,0)))/100)</f>
        <v>0.352</v>
      </c>
      <c r="AV69" s="34" cm="1">
        <f t="array" ref="AV69">$G$10+VLOOKUP($Q69,武学奇术!$A:$ZZ,7,FALSE)+SUM(_xlfn.XLOOKUP($R69:$AK69,增益!$A:$A,增益!$G:$G,0))</f>
        <v>0</v>
      </c>
      <c r="AW69" s="27" cm="1">
        <f t="array" ref="AW69">VLOOKUP($Q69,武学奇术!$A:$ZZ,8,FALSE)+SUM(_xlfn.XLOOKUP($R69:$AK69,增益!$A:$A,增益!$H:$H,0))</f>
        <v>0</v>
      </c>
      <c r="AX69">
        <f t="shared" si="12"/>
        <v>0</v>
      </c>
      <c r="AY69">
        <f t="shared" si="13"/>
        <v>0</v>
      </c>
      <c r="AZ69" s="34" cm="1">
        <f t="array" ref="AZ69">IF($F$11-$I$4+VLOOKUP($Q69,武学奇术!$A:$ZZ,9,FALSE)+SUM(_xlfn.XLOOKUP($R69:$AK69,增益!$A:$A,增益!$I:$I,0))&gt;0,($F$11-$I$4+VLOOKUP($Q69,武学奇术!$A:$ZZ,9,FALSE)+SUM(_xlfn.XLOOKUP($R69:$AK69,增益!$A:$A,增益!$I:$I,0)))/200,($F$11-$I$4+VLOOKUP($Q69,武学奇术!$A:$ZZ,9,FALSE)+SUM(_xlfn.XLOOKUP($R69:$AK69,增益!$A:$A,增益!$I:$I,0)))/100)</f>
        <v>-0.14</v>
      </c>
      <c r="BA69" s="34" cm="1">
        <f t="array" ref="BA69">$G$11+VLOOKUP($Q69,武学奇术!$A:$ZZ,10,FALSE)+SUM(_xlfn.XLOOKUP($R69:$AK69,增益!$A:$A,增益!$J:$J,0))</f>
        <v>0</v>
      </c>
      <c r="BB69">
        <f t="shared" si="14"/>
        <v>594.1</v>
      </c>
      <c r="BC69">
        <f t="shared" si="15"/>
        <v>1604.9</v>
      </c>
      <c r="BD69" s="34" cm="1">
        <f t="array" ref="BD69">IF($F$12-$I$4+VLOOKUP($Q69,武学奇术!$A:$ZZ,11,FALSE)+SUM(_xlfn.XLOOKUP($R69:$AK69,增益!$A:$A,增益!$K:$K,0))&gt;0,($F$12-$I$4+VLOOKUP($Q69,武学奇术!$A:$ZZ,11,FALSE)+SUM(_xlfn.XLOOKUP($R69:$AK69,增益!$A:$A,增益!$K:$K,0)))/200,($F$12-$I$4+VLOOKUP($Q69,武学奇术!$A:$ZZ,11,FALSE)+SUM(_xlfn.XLOOKUP($R69:$AK69,增益!$A:$A,增益!$K:$K,0)))/100)</f>
        <v>0.17</v>
      </c>
      <c r="BE69" s="34" cm="1">
        <f t="array" ref="BE69">$G$12+VLOOKUP($Q69,武学奇术!$A:$ZZ,12,FALSE)+SUM(_xlfn.XLOOKUP($R69:$AK69,增益!$A:$A,增益!$L:$L,0))</f>
        <v>0.15</v>
      </c>
      <c r="BF69">
        <f t="shared" si="16"/>
        <v>0</v>
      </c>
      <c r="BG69">
        <f t="shared" si="17"/>
        <v>0</v>
      </c>
      <c r="BH69" s="34" cm="1">
        <f t="array" ref="BH69">IF($F$13-$I$4+VLOOKUP($Q69,武学奇术!$A:$ZZ,13,FALSE)+SUM(_xlfn.XLOOKUP($R69:$AK69,增益!$A:$A,增益!$M:$M,0))&gt;0,($F$13-$I$4+VLOOKUP($Q69,武学奇术!$A:$ZZ,13,FALSE)+SUM(_xlfn.XLOOKUP($R69:$AK69,增益!$A:$A,增益!$K:$K,0)))/200,($F$13-$I$4+VLOOKUP($Q69,武学奇术!$A:$ZZ,13,FALSE)+SUM(_xlfn.XLOOKUP($R69:$AK69,增益!$A:$A,增益!$M:$M,0)))/100)</f>
        <v>-0.14</v>
      </c>
      <c r="BI69" s="34" cm="1">
        <f t="array" ref="BI69">$G$13+VLOOKUP($Q69,武学奇术!$A:$ZZ,14,FALSE)+SUM(_xlfn.XLOOKUP($R69:$AK69,增益!$A:$A,增益!$N:$N,0))</f>
        <v>0</v>
      </c>
      <c r="BJ69">
        <f t="shared" si="18"/>
        <v>0</v>
      </c>
      <c r="BK69">
        <f t="shared" si="19"/>
        <v>0</v>
      </c>
      <c r="BL69" s="34" cm="1">
        <f t="array" ref="BL69">IF($F$14-$I$4+VLOOKUP($Q69,武学奇术!$A:$ZZ,15,FALSE)+SUM(_xlfn.XLOOKUP($R69:$AK69,增益!$A:$A,增益!$O:$O,0))&gt;0,($F$14-$I$4+VLOOKUP($Q69,武学奇术!$A:$ZZ,15,FALSE)+SUM(_xlfn.XLOOKUP($R69:$AK69,增益!$A:$A,增益!$O:$O,0)))/200,($F$14-$I$4+VLOOKUP($Q69,武学奇术!$A:$ZZ,15,FALSE)+SUM(_xlfn.XLOOKUP($R69:$AK69,增益!$A:$A,增益!$O:$O,0)))/100)</f>
        <v>-0.14</v>
      </c>
      <c r="BM69" s="34" cm="1">
        <f t="array" ref="BM69">$G$14+VLOOKUP($Q69,武学奇术!$A:$ZZ,16,FALSE)+SUM(_xlfn.XLOOKUP($R69:$AK69,增益!$A:$A,增益!$P:$P,0))</f>
        <v>0</v>
      </c>
      <c r="BN69" s="27">
        <f>MIN(IF(VLOOKUP($Q69,武学奇术!$A:$ZZ,23,FALSE)=1,100%,$B$8),100%)</f>
        <v>1</v>
      </c>
      <c r="BO69" s="27" cm="1">
        <f t="array" ref="BO69">IF(VLOOKUP($Q69,武学奇术!$A:$ZZ,23,FALSE)=1,100%,MIN(80%,$B$9+VLOOKUP($Q69,武学奇术!$A:$ZZ,17,FALSE)+SUM(_xlfn.XLOOKUP($R69:$AK69,增益!$A:$A,增益!$Q:$Q,0)))+$B$11+SUM(_xlfn.XLOOKUP($R69:$AK69,增益!$A:$A,增益!$U:$U,0)))*IF(VLOOKUP($Q69,武学奇术!$A:$ZZ,24,FALSE)=1,0,1)</f>
        <v>1</v>
      </c>
      <c r="BP69" s="27" cm="1">
        <f t="array" ref="BP69">1+$B$13+VLOOKUP($Q69,武学奇术!$A:$ZZ,18,FALSE)+SUM(_xlfn.XLOOKUP($R69:$AK69,增益!$A:$A,增益!$R:$R,0))</f>
        <v>2.1</v>
      </c>
      <c r="BQ69" s="27" cm="1">
        <f t="array" ref="BQ69">IF(VLOOKUP($Q69,武学奇术!$A:$ZZ,24,FALSE)=1,100%,MIN(40%,$B$10+VLOOKUP($Q69,武学奇术!$A:$ZZ,19,FALSE)+SUM(_xlfn.XLOOKUP($R69:$AK69,增益!$A:$A,增益!$S:$S,0)))+$B$12+SUM(_xlfn.XLOOKUP($R69:$AK69,增益!$A:$A,增益!$V:$V,0)))*IF(VLOOKUP($Q69,武学奇术!$A:$ZZ,23,FALSE)=1,0,1)</f>
        <v>0</v>
      </c>
      <c r="BR69" s="27" cm="1">
        <f t="array" ref="BR69">1+$B$14+VLOOKUP($Q69,武学奇术!$A:$ZZ,20,FALSE)+SUM(_xlfn.XLOOKUP($R69:$AK69,增益!$A:$A,增益!$T:$T,0))</f>
        <v>1.35</v>
      </c>
      <c r="BS69" s="27">
        <f t="shared" si="20"/>
        <v>1</v>
      </c>
      <c r="BT69" s="27">
        <f t="shared" si="21"/>
        <v>0</v>
      </c>
      <c r="BU69" s="27">
        <f>IF(VLOOKUP($Q69,武学奇术!$A:$ZZ,22,FALSE)=1,0,(1-$BN69))*(1-$BQ69)</f>
        <v>0</v>
      </c>
      <c r="BV69" s="27" cm="1">
        <f t="array" ref="BV69">SUM(_xlfn.XLOOKUP($R69:$AK69,增益!$A:$A,增益!$W:$W,0))+$I$5</f>
        <v>0.11</v>
      </c>
    </row>
    <row r="70" spans="1:74">
      <c r="K70" s="40">
        <f t="shared" si="11"/>
        <v>326461.306779137</v>
      </c>
      <c r="L70" s="40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BP70*$P70*(1+IF(VLOOKUP($Q70,武学奇术!$A:$ZZ,30,FALSE)="蓄力技",$B$21,0))*(1+$BV70)</f>
        <v>326461.306779137</v>
      </c>
      <c r="M70" s="40">
        <f>(($AT70*$AM70+$AN70)*(1+$AU70)*(1+$AV70)+($AY70*IF($G$1="鸣金",$AO70,$AM70)+IF($G$1="鸣金",$AP70*1.5,0))*(1+$AZ70)*(1+$BA70)+($BC70*IF($G$1="裂石",$AO70,$AM70)+IF($G$1="裂石",$AP70*1.5,0))*(1+$BD70)*(1+$BE70)+($BG70*IF($G$1="牵丝",$AO70,$AM70)+IF($G$1="牵丝",$AP70*1.5,0))*(1+$BH70)*(1+$BI70)+($BK70*IF($G$1="破竹",$AO70,$AM70)+IF($G$1="破竹",$AP70*1.5,0))*(1+$BL70)*(1+$BM70))*(1+$AQ70)*$BR70*$P70*(1+IF(VLOOKUP($Q70,武学奇术!$A:$ZZ,30,FALSE)="蓄力技",$B$21,0))*(1+$BV70)</f>
        <v>236344.785198985</v>
      </c>
      <c r="N70" s="40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P70*(1+IF(VLOOKUP($Q70,武学奇术!$A:$ZZ,30,FALSE)="蓄力技",$B$21,0))*(1+$BV70)</f>
        <v>155457.765132922</v>
      </c>
      <c r="O70" s="40">
        <f>((($AS70*$AM70+$AN70)*(1+$AU70)*(1+$AV70)+($AX70*IF($G$1="鸣金",$AO70,$AM70)+IF($G$1="鸣金",$AP70*1.5,0))*(1+$AZ70)*(1+$BA70)+($BB70*IF($G$1="裂石",$AO70,$AM70)+IF($G$1="裂石",$AP70*1.5,0))*(1+$BD70)*(1+$BE70)+($BF70*IF($G$1="牵丝",$AO70,$AM70)+IF($G$1="牵丝",$AP70*1.5,0))*(1+$BH70)*(1+$BI70)+($BJ70*IF($G$1="破竹",$AO70,$AM70)+IF($G$1="破竹",$AP70*1.5,0))*(1+$BL70)*(1+$BM70))*(1+$AQ70))*$P70*(1+IF(VLOOKUP($Q70,武学奇术!$A:$ZZ,30,FALSE)="蓄力技",$B$21,0))*(1+$BV70)</f>
        <v>135845.319007337</v>
      </c>
      <c r="P70" s="41">
        <v>1</v>
      </c>
      <c r="Q70" s="42" t="s">
        <v>120</v>
      </c>
      <c r="R70" s="42" t="s">
        <v>103</v>
      </c>
      <c r="S70" s="42" t="s">
        <v>169</v>
      </c>
      <c r="T70" s="42" t="s">
        <v>86</v>
      </c>
      <c r="U70" s="42" t="s">
        <v>121</v>
      </c>
      <c r="V70" s="42" t="s">
        <v>118</v>
      </c>
      <c r="W70" s="42" t="s">
        <v>77</v>
      </c>
      <c r="X70" s="42" t="s">
        <v>176</v>
      </c>
      <c r="Y70" s="42" t="s">
        <v>77</v>
      </c>
      <c r="Z70" s="42" t="s">
        <v>77</v>
      </c>
      <c r="AA70" s="42" t="s">
        <v>73</v>
      </c>
      <c r="AB70" s="42" t="s">
        <v>77</v>
      </c>
      <c r="AC70" s="42" t="s">
        <v>77</v>
      </c>
      <c r="AD70" s="42" t="s">
        <v>77</v>
      </c>
      <c r="AE70" s="42" t="s">
        <v>81</v>
      </c>
      <c r="AF70" s="42" t="s">
        <v>82</v>
      </c>
      <c r="AG70" s="42" t="s">
        <v>77</v>
      </c>
      <c r="AH70" s="42" t="s">
        <v>77</v>
      </c>
      <c r="AI70" s="42" t="s">
        <v>77</v>
      </c>
      <c r="AJ70" s="42" t="s">
        <v>77</v>
      </c>
      <c r="AK70" s="42" t="s">
        <v>77</v>
      </c>
      <c r="AL70" t="str">
        <f>VLOOKUP($Q70,武学奇术!$A:$ZZ,25,FALSE)</f>
        <v>陌刀</v>
      </c>
      <c r="AM70" s="27">
        <f>VLOOKUP($Q70,武学奇术!$A:$ZZ,26,FALSE)</f>
        <v>7.5674</v>
      </c>
      <c r="AN70" s="28">
        <f>VLOOKUP($Q70,武学奇术!$A:$ZZ,27,FALSE)*(1+IF(OR($AL70=$F$4,$AL70=$F$5),$B$22,0))</f>
        <v>3139.5</v>
      </c>
      <c r="AO70" s="27">
        <f>VLOOKUP($Q70,武学奇术!$A:$ZZ,28,FALSE)</f>
        <v>11.3512</v>
      </c>
      <c r="AP70" s="28">
        <f>VLOOKUP($Q70,武学奇术!$A:$ZZ,29,FALSE)*(1+IF(OR($AL70=$F$4,$AL70=$F$5),$B$22,0))</f>
        <v>1710</v>
      </c>
      <c r="AQ70" s="27" cm="1">
        <f t="array" ref="AQ70">$G$3+IFERROR(VLOOKUP($AL70,$F$4:$G$7,2,FALSE),0)+VLOOKUP($Q70,武学奇术!$A:$ZZ,2,FALSE)+SUM(_xlfn.XLOOKUP($R70:$AK70,增益!$A:$A,增益!$B:$B,0))</f>
        <v>0.7341</v>
      </c>
      <c r="AR70" s="27" cm="1">
        <f t="array" ref="AR70">VLOOKUP($Q70,武学奇术!$A:$ZZ,5,FALSE)+SUM(_xlfn.XLOOKUP($R70:$AK70,增益!$A:$A,增益!$E:$E,0))</f>
        <v>0</v>
      </c>
      <c r="AS70" cm="1">
        <f t="array" ref="AS70">$D$10*(1+$AR70)+VLOOKUP($Q70,武学奇术!$A:$ZZ,3,FALSE)+SUM(_xlfn.XLOOKUP($R70:$AK70,增益!$A:$A,增益!$C:$C,0))-$I$2</f>
        <v>3586.7</v>
      </c>
      <c r="AT70" cm="1">
        <f t="array" ref="AT70">$E$10*(1+$AR70)+VLOOKUP($Q70,武学奇术!$A:$ZZ,4,FALSE)+SUM(_xlfn.XLOOKUP($R70:$AK70,增益!$A:$A,增益!$D:$D,0))-$I$2</f>
        <v>3586.7</v>
      </c>
      <c r="AU70" s="34" cm="1">
        <f t="array" ref="AU70">IF($F$10-$I$3+VLOOKUP($Q70,武学奇术!$A:$ZZ,6,FALSE)+SUM(_xlfn.XLOOKUP($R70:$AK70,增益!$A:$A,增益!$F:$F,0))&gt;0,($F$10-$I$3+VLOOKUP($Q70,武学奇术!$A:$ZZ,6,FALSE)+SUM(_xlfn.XLOOKUP($R70:$AK70,增益!$A:$A,增益!$F:$F,0)))/200,($F$10-$I$3+VLOOKUP($Q70,武学奇术!$A:$ZZ,6,FALSE)+SUM(_xlfn.XLOOKUP($R70:$AK70,增益!$A:$A,增益!$F:$F,0)))/100)</f>
        <v>0.352</v>
      </c>
      <c r="AV70" s="34" cm="1">
        <f t="array" ref="AV70">$G$10+VLOOKUP($Q70,武学奇术!$A:$ZZ,7,FALSE)+SUM(_xlfn.XLOOKUP($R70:$AK70,增益!$A:$A,增益!$G:$G,0))</f>
        <v>0</v>
      </c>
      <c r="AW70" s="27" cm="1">
        <f t="array" ref="AW70">VLOOKUP($Q70,武学奇术!$A:$ZZ,8,FALSE)+SUM(_xlfn.XLOOKUP($R70:$AK70,增益!$A:$A,增益!$H:$H,0))</f>
        <v>0</v>
      </c>
      <c r="AX70">
        <f t="shared" si="12"/>
        <v>0</v>
      </c>
      <c r="AY70">
        <f t="shared" si="13"/>
        <v>0</v>
      </c>
      <c r="AZ70" s="34" cm="1">
        <f t="array" ref="AZ70">IF($F$11-$I$4+VLOOKUP($Q70,武学奇术!$A:$ZZ,9,FALSE)+SUM(_xlfn.XLOOKUP($R70:$AK70,增益!$A:$A,增益!$I:$I,0))&gt;0,($F$11-$I$4+VLOOKUP($Q70,武学奇术!$A:$ZZ,9,FALSE)+SUM(_xlfn.XLOOKUP($R70:$AK70,增益!$A:$A,增益!$I:$I,0)))/200,($F$11-$I$4+VLOOKUP($Q70,武学奇术!$A:$ZZ,9,FALSE)+SUM(_xlfn.XLOOKUP($R70:$AK70,增益!$A:$A,增益!$I:$I,0)))/100)</f>
        <v>-0.14</v>
      </c>
      <c r="BA70" s="34" cm="1">
        <f t="array" ref="BA70">$G$11+VLOOKUP($Q70,武学奇术!$A:$ZZ,10,FALSE)+SUM(_xlfn.XLOOKUP($R70:$AK70,增益!$A:$A,增益!$J:$J,0))</f>
        <v>0</v>
      </c>
      <c r="BB70">
        <f t="shared" si="14"/>
        <v>594.1</v>
      </c>
      <c r="BC70">
        <f t="shared" si="15"/>
        <v>1604.9</v>
      </c>
      <c r="BD70" s="34" cm="1">
        <f t="array" ref="BD70">IF($F$12-$I$4+VLOOKUP($Q70,武学奇术!$A:$ZZ,11,FALSE)+SUM(_xlfn.XLOOKUP($R70:$AK70,增益!$A:$A,增益!$K:$K,0))&gt;0,($F$12-$I$4+VLOOKUP($Q70,武学奇术!$A:$ZZ,11,FALSE)+SUM(_xlfn.XLOOKUP($R70:$AK70,增益!$A:$A,增益!$K:$K,0)))/200,($F$12-$I$4+VLOOKUP($Q70,武学奇术!$A:$ZZ,11,FALSE)+SUM(_xlfn.XLOOKUP($R70:$AK70,增益!$A:$A,增益!$K:$K,0)))/100)</f>
        <v>0.17</v>
      </c>
      <c r="BE70" s="34" cm="1">
        <f t="array" ref="BE70">$G$12+VLOOKUP($Q70,武学奇术!$A:$ZZ,12,FALSE)+SUM(_xlfn.XLOOKUP($R70:$AK70,增益!$A:$A,增益!$L:$L,0))</f>
        <v>0.15</v>
      </c>
      <c r="BF70">
        <f t="shared" si="16"/>
        <v>0</v>
      </c>
      <c r="BG70">
        <f t="shared" si="17"/>
        <v>0</v>
      </c>
      <c r="BH70" s="34" cm="1">
        <f t="array" ref="BH70">IF($F$13-$I$4+VLOOKUP($Q70,武学奇术!$A:$ZZ,13,FALSE)+SUM(_xlfn.XLOOKUP($R70:$AK70,增益!$A:$A,增益!$M:$M,0))&gt;0,($F$13-$I$4+VLOOKUP($Q70,武学奇术!$A:$ZZ,13,FALSE)+SUM(_xlfn.XLOOKUP($R70:$AK70,增益!$A:$A,增益!$K:$K,0)))/200,($F$13-$I$4+VLOOKUP($Q70,武学奇术!$A:$ZZ,13,FALSE)+SUM(_xlfn.XLOOKUP($R70:$AK70,增益!$A:$A,增益!$M:$M,0)))/100)</f>
        <v>-0.14</v>
      </c>
      <c r="BI70" s="34" cm="1">
        <f t="array" ref="BI70">$G$13+VLOOKUP($Q70,武学奇术!$A:$ZZ,14,FALSE)+SUM(_xlfn.XLOOKUP($R70:$AK70,增益!$A:$A,增益!$N:$N,0))</f>
        <v>0</v>
      </c>
      <c r="BJ70">
        <f t="shared" si="18"/>
        <v>0</v>
      </c>
      <c r="BK70">
        <f t="shared" si="19"/>
        <v>0</v>
      </c>
      <c r="BL70" s="34" cm="1">
        <f t="array" ref="BL70">IF($F$14-$I$4+VLOOKUP($Q70,武学奇术!$A:$ZZ,15,FALSE)+SUM(_xlfn.XLOOKUP($R70:$AK70,增益!$A:$A,增益!$O:$O,0))&gt;0,($F$14-$I$4+VLOOKUP($Q70,武学奇术!$A:$ZZ,15,FALSE)+SUM(_xlfn.XLOOKUP($R70:$AK70,增益!$A:$A,增益!$O:$O,0)))/200,($F$14-$I$4+VLOOKUP($Q70,武学奇术!$A:$ZZ,15,FALSE)+SUM(_xlfn.XLOOKUP($R70:$AK70,增益!$A:$A,增益!$O:$O,0)))/100)</f>
        <v>-0.14</v>
      </c>
      <c r="BM70" s="34" cm="1">
        <f t="array" ref="BM70">$G$14+VLOOKUP($Q70,武学奇术!$A:$ZZ,16,FALSE)+SUM(_xlfn.XLOOKUP($R70:$AK70,增益!$A:$A,增益!$P:$P,0))</f>
        <v>0</v>
      </c>
      <c r="BN70" s="27">
        <f>MIN(IF(VLOOKUP($Q70,武学奇术!$A:$ZZ,23,FALSE)=1,100%,$B$8),100%)</f>
        <v>1</v>
      </c>
      <c r="BO70" s="27" cm="1">
        <f t="array" ref="BO70">IF(VLOOKUP($Q70,武学奇术!$A:$ZZ,23,FALSE)=1,100%,MIN(80%,$B$9+VLOOKUP($Q70,武学奇术!$A:$ZZ,17,FALSE)+SUM(_xlfn.XLOOKUP($R70:$AK70,增益!$A:$A,增益!$Q:$Q,0)))+$B$11+SUM(_xlfn.XLOOKUP($R70:$AK70,增益!$A:$A,增益!$U:$U,0)))*IF(VLOOKUP($Q70,武学奇术!$A:$ZZ,24,FALSE)=1,0,1)</f>
        <v>1</v>
      </c>
      <c r="BP70" s="27" cm="1">
        <f t="array" ref="BP70">1+$B$13+VLOOKUP($Q70,武学奇术!$A:$ZZ,18,FALSE)+SUM(_xlfn.XLOOKUP($R70:$AK70,增益!$A:$A,增益!$R:$R,0))</f>
        <v>2.1</v>
      </c>
      <c r="BQ70" s="27" cm="1">
        <f t="array" ref="BQ70">IF(VLOOKUP($Q70,武学奇术!$A:$ZZ,24,FALSE)=1,100%,MIN(40%,$B$10+VLOOKUP($Q70,武学奇术!$A:$ZZ,19,FALSE)+SUM(_xlfn.XLOOKUP($R70:$AK70,增益!$A:$A,增益!$S:$S,0)))+$B$12+SUM(_xlfn.XLOOKUP($R70:$AK70,增益!$A:$A,增益!$V:$V,0)))*IF(VLOOKUP($Q70,武学奇术!$A:$ZZ,23,FALSE)=1,0,1)</f>
        <v>0</v>
      </c>
      <c r="BR70" s="27" cm="1">
        <f t="array" ref="BR70">1+$B$14+VLOOKUP($Q70,武学奇术!$A:$ZZ,20,FALSE)+SUM(_xlfn.XLOOKUP($R70:$AK70,增益!$A:$A,增益!$T:$T,0))</f>
        <v>1.35</v>
      </c>
      <c r="BS70" s="27">
        <f t="shared" si="20"/>
        <v>1</v>
      </c>
      <c r="BT70" s="27">
        <f t="shared" si="21"/>
        <v>0</v>
      </c>
      <c r="BU70" s="27">
        <f>IF(VLOOKUP($Q70,武学奇术!$A:$ZZ,22,FALSE)=1,0,(1-$BN70))*(1-$BQ70)</f>
        <v>0</v>
      </c>
      <c r="BV70" s="27" cm="1">
        <f t="array" ref="BV70">SUM(_xlfn.XLOOKUP($R70:$AK70,增益!$A:$A,增益!$W:$W,0))+$I$5</f>
        <v>0.11</v>
      </c>
    </row>
    <row r="71" spans="1:74">
      <c r="K71" s="40">
        <f t="shared" si="11"/>
        <v>143852.534879269</v>
      </c>
      <c r="L71" s="40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BP71*$P71*(1+IF(VLOOKUP($Q71,武学奇术!$A:$ZZ,30,FALSE)="蓄力技",$B$21,0))*(1+$BV71)</f>
        <v>147360.008971008</v>
      </c>
      <c r="M71" s="40">
        <f>(($AT71*$AM71+$AN71)*(1+$AU71)*(1+$AV71)+($AY71*IF($G$1="鸣金",$AO71,$AM71)+IF($G$1="鸣金",$AP71*1.5,0))*(1+$AZ71)*(1+$BA71)+($BC71*IF($G$1="裂石",$AO71,$AM71)+IF($G$1="裂石",$AP71*1.5,0))*(1+$BD71)*(1+$BE71)+($BG71*IF($G$1="牵丝",$AO71,$AM71)+IF($G$1="牵丝",$AP71*1.5,0))*(1+$BH71)*(1+$BI71)+($BK71*IF($G$1="破竹",$AO71,$AM71)+IF($G$1="破竹",$AP71*1.5,0))*(1+$BL71)*(1+$BM71))*(1+$AQ71)*$BR71*$P71*(1+IF(VLOOKUP($Q71,武学奇术!$A:$ZZ,30,FALSE)="蓄力技",$B$21,0))*(1+$BV71)</f>
        <v>130451.778744593</v>
      </c>
      <c r="N71" s="40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P71*(1+IF(VLOOKUP($Q71,武学奇术!$A:$ZZ,30,FALSE)="蓄力技",$B$21,0))*(1+$BV71)</f>
        <v>84689.6603281653</v>
      </c>
      <c r="O71" s="40">
        <f>((($AS71*$AM71+$AN71)*(1+$AU71)*(1+$AV71)+($AX71*IF($G$1="鸣金",$AO71,$AM71)+IF($G$1="鸣金",$AP71*1.5,0))*(1+$AZ71)*(1+$BA71)+($BB71*IF($G$1="裂石",$AO71,$AM71)+IF($G$1="裂石",$AP71*1.5,0))*(1+$BD71)*(1+$BE71)+($BF71*IF($G$1="牵丝",$AO71,$AM71)+IF($G$1="牵丝",$AP71*1.5,0))*(1+$BH71)*(1+$BI71)+($BJ71*IF($G$1="破竹",$AO71,$AM71)+IF($G$1="破竹",$AP71*1.5,0))*(1+$BL71)*(1+$BM71))*(1+$AQ71))*$P71*(1+IF(VLOOKUP($Q71,武学奇术!$A:$ZZ,30,FALSE)="蓄力技",$B$21,0))*(1+$BV71)</f>
        <v>72748.3734381132</v>
      </c>
      <c r="P71" s="41">
        <v>1</v>
      </c>
      <c r="Q71" s="42" t="s">
        <v>149</v>
      </c>
      <c r="R71" s="42" t="s">
        <v>103</v>
      </c>
      <c r="S71" s="42" t="s">
        <v>169</v>
      </c>
      <c r="T71" s="42" t="s">
        <v>86</v>
      </c>
      <c r="U71" s="42" t="s">
        <v>87</v>
      </c>
      <c r="V71" s="42" t="s">
        <v>77</v>
      </c>
      <c r="W71" s="42" t="s">
        <v>77</v>
      </c>
      <c r="X71" s="42" t="s">
        <v>176</v>
      </c>
      <c r="Y71" s="42" t="s">
        <v>77</v>
      </c>
      <c r="Z71" s="42" t="s">
        <v>77</v>
      </c>
      <c r="AA71" s="42" t="s">
        <v>77</v>
      </c>
      <c r="AB71" s="42" t="s">
        <v>77</v>
      </c>
      <c r="AC71" s="42" t="s">
        <v>77</v>
      </c>
      <c r="AD71" s="42" t="s">
        <v>77</v>
      </c>
      <c r="AE71" s="42" t="s">
        <v>81</v>
      </c>
      <c r="AF71" s="42" t="s">
        <v>82</v>
      </c>
      <c r="AG71" s="42" t="s">
        <v>77</v>
      </c>
      <c r="AH71" s="42" t="s">
        <v>77</v>
      </c>
      <c r="AI71" s="42" t="s">
        <v>77</v>
      </c>
      <c r="AJ71" s="42" t="s">
        <v>77</v>
      </c>
      <c r="AK71" s="42" t="s">
        <v>77</v>
      </c>
      <c r="AL71" t="str">
        <f>VLOOKUP($Q71,武学奇术!$A:$ZZ,25,FALSE)</f>
        <v>单体奇术</v>
      </c>
      <c r="AM71" s="27">
        <f>VLOOKUP($Q71,武学奇术!$A:$ZZ,26,FALSE)</f>
        <v>7.1084</v>
      </c>
      <c r="AN71" s="28">
        <f>VLOOKUP($Q71,武学奇术!$A:$ZZ,27,FALSE)*(1+IF(OR($AL71=$F$4,$AL71=$F$5),$B$22,0))</f>
        <v>1369</v>
      </c>
      <c r="AO71" s="27">
        <f>VLOOKUP($Q71,武学奇术!$A:$ZZ,28,FALSE)</f>
        <v>10.6626</v>
      </c>
      <c r="AP71" s="28">
        <f>VLOOKUP($Q71,武学奇术!$A:$ZZ,29,FALSE)*(1+IF(OR($AL71=$F$4,$AL71=$F$5),$B$22,0))</f>
        <v>0</v>
      </c>
      <c r="AQ71" s="27" cm="1">
        <f t="array" ref="AQ71">$G$3+IFERROR(VLOOKUP($AL71,$F$4:$G$7,2,FALSE),0)+VLOOKUP($Q71,武学奇术!$A:$ZZ,2,FALSE)+SUM(_xlfn.XLOOKUP($R71:$AK71,增益!$A:$A,增益!$B:$B,0))</f>
        <v>0.4837</v>
      </c>
      <c r="AR71" s="27" cm="1">
        <f t="array" ref="AR71">VLOOKUP($Q71,武学奇术!$A:$ZZ,5,FALSE)+SUM(_xlfn.XLOOKUP($R71:$AK71,增益!$A:$A,增益!$E:$E,0))</f>
        <v>0</v>
      </c>
      <c r="AS71" cm="1">
        <f t="array" ref="AS71">$D$10*(1+$AR71)+VLOOKUP($Q71,武学奇术!$A:$ZZ,3,FALSE)+SUM(_xlfn.XLOOKUP($R71:$AK71,增益!$A:$A,增益!$C:$C,0))-$I$2</f>
        <v>3586.7</v>
      </c>
      <c r="AT71" cm="1">
        <f t="array" ref="AT71">$E$10*(1+$AR71)+VLOOKUP($Q71,武学奇术!$A:$ZZ,4,FALSE)+SUM(_xlfn.XLOOKUP($R71:$AK71,增益!$A:$A,增益!$D:$D,0))-$I$2</f>
        <v>3586.7</v>
      </c>
      <c r="AU71" s="34" cm="1">
        <f t="array" ref="AU71">IF($F$10-$I$3+VLOOKUP($Q71,武学奇术!$A:$ZZ,6,FALSE)+SUM(_xlfn.XLOOKUP($R71:$AK71,增益!$A:$A,增益!$F:$F,0))&gt;0,($F$10-$I$3+VLOOKUP($Q71,武学奇术!$A:$ZZ,6,FALSE)+SUM(_xlfn.XLOOKUP($R71:$AK71,增益!$A:$A,增益!$F:$F,0)))/200,($F$10-$I$3+VLOOKUP($Q71,武学奇术!$A:$ZZ,6,FALSE)+SUM(_xlfn.XLOOKUP($R71:$AK71,增益!$A:$A,增益!$F:$F,0)))/100)</f>
        <v>0.327</v>
      </c>
      <c r="AV71" s="34" cm="1">
        <f t="array" ref="AV71">$G$10+VLOOKUP($Q71,武学奇术!$A:$ZZ,7,FALSE)+SUM(_xlfn.XLOOKUP($R71:$AK71,增益!$A:$A,增益!$G:$G,0))</f>
        <v>0</v>
      </c>
      <c r="AW71" s="27" cm="1">
        <f t="array" ref="AW71">VLOOKUP($Q71,武学奇术!$A:$ZZ,8,FALSE)+SUM(_xlfn.XLOOKUP($R71:$AK71,增益!$A:$A,增益!$H:$H,0))</f>
        <v>0</v>
      </c>
      <c r="AX71">
        <f t="shared" si="12"/>
        <v>0</v>
      </c>
      <c r="AY71">
        <f t="shared" si="13"/>
        <v>0</v>
      </c>
      <c r="AZ71" s="34" cm="1">
        <f t="array" ref="AZ71">IF($F$11-$I$4+VLOOKUP($Q71,武学奇术!$A:$ZZ,9,FALSE)+SUM(_xlfn.XLOOKUP($R71:$AK71,增益!$A:$A,增益!$I:$I,0))&gt;0,($F$11-$I$4+VLOOKUP($Q71,武学奇术!$A:$ZZ,9,FALSE)+SUM(_xlfn.XLOOKUP($R71:$AK71,增益!$A:$A,增益!$I:$I,0)))/200,($F$11-$I$4+VLOOKUP($Q71,武学奇术!$A:$ZZ,9,FALSE)+SUM(_xlfn.XLOOKUP($R71:$AK71,增益!$A:$A,增益!$I:$I,0)))/100)</f>
        <v>-0.14</v>
      </c>
      <c r="BA71" s="34" cm="1">
        <f t="array" ref="BA71">$G$11+VLOOKUP($Q71,武学奇术!$A:$ZZ,10,FALSE)+SUM(_xlfn.XLOOKUP($R71:$AK71,增益!$A:$A,增益!$J:$J,0))</f>
        <v>0</v>
      </c>
      <c r="BB71">
        <f t="shared" si="14"/>
        <v>594.1</v>
      </c>
      <c r="BC71">
        <f t="shared" si="15"/>
        <v>1604.9</v>
      </c>
      <c r="BD71" s="34" cm="1">
        <f t="array" ref="BD71">IF($F$12-$I$4+VLOOKUP($Q71,武学奇术!$A:$ZZ,11,FALSE)+SUM(_xlfn.XLOOKUP($R71:$AK71,增益!$A:$A,增益!$K:$K,0))&gt;0,($F$12-$I$4+VLOOKUP($Q71,武学奇术!$A:$ZZ,11,FALSE)+SUM(_xlfn.XLOOKUP($R71:$AK71,增益!$A:$A,增益!$K:$K,0)))/200,($F$12-$I$4+VLOOKUP($Q71,武学奇术!$A:$ZZ,11,FALSE)+SUM(_xlfn.XLOOKUP($R71:$AK71,增益!$A:$A,增益!$K:$K,0)))/100)</f>
        <v>0.17</v>
      </c>
      <c r="BE71" s="34" cm="1">
        <f t="array" ref="BE71">$G$12+VLOOKUP($Q71,武学奇术!$A:$ZZ,12,FALSE)+SUM(_xlfn.XLOOKUP($R71:$AK71,增益!$A:$A,增益!$L:$L,0))</f>
        <v>0.15</v>
      </c>
      <c r="BF71">
        <f t="shared" si="16"/>
        <v>0</v>
      </c>
      <c r="BG71">
        <f t="shared" si="17"/>
        <v>0</v>
      </c>
      <c r="BH71" s="34" cm="1">
        <f t="array" ref="BH71">IF($F$13-$I$4+VLOOKUP($Q71,武学奇术!$A:$ZZ,13,FALSE)+SUM(_xlfn.XLOOKUP($R71:$AK71,增益!$A:$A,增益!$M:$M,0))&gt;0,($F$13-$I$4+VLOOKUP($Q71,武学奇术!$A:$ZZ,13,FALSE)+SUM(_xlfn.XLOOKUP($R71:$AK71,增益!$A:$A,增益!$K:$K,0)))/200,($F$13-$I$4+VLOOKUP($Q71,武学奇术!$A:$ZZ,13,FALSE)+SUM(_xlfn.XLOOKUP($R71:$AK71,增益!$A:$A,增益!$M:$M,0)))/100)</f>
        <v>-0.14</v>
      </c>
      <c r="BI71" s="34" cm="1">
        <f t="array" ref="BI71">$G$13+VLOOKUP($Q71,武学奇术!$A:$ZZ,14,FALSE)+SUM(_xlfn.XLOOKUP($R71:$AK71,增益!$A:$A,增益!$N:$N,0))</f>
        <v>0</v>
      </c>
      <c r="BJ71">
        <f t="shared" si="18"/>
        <v>0</v>
      </c>
      <c r="BK71">
        <f t="shared" si="19"/>
        <v>0</v>
      </c>
      <c r="BL71" s="34" cm="1">
        <f t="array" ref="BL71">IF($F$14-$I$4+VLOOKUP($Q71,武学奇术!$A:$ZZ,15,FALSE)+SUM(_xlfn.XLOOKUP($R71:$AK71,增益!$A:$A,增益!$O:$O,0))&gt;0,($F$14-$I$4+VLOOKUP($Q71,武学奇术!$A:$ZZ,15,FALSE)+SUM(_xlfn.XLOOKUP($R71:$AK71,增益!$A:$A,增益!$O:$O,0)))/200,($F$14-$I$4+VLOOKUP($Q71,武学奇术!$A:$ZZ,15,FALSE)+SUM(_xlfn.XLOOKUP($R71:$AK71,增益!$A:$A,增益!$O:$O,0)))/100)</f>
        <v>-0.14</v>
      </c>
      <c r="BM71" s="34" cm="1">
        <f t="array" ref="BM71">$G$14+VLOOKUP($Q71,武学奇术!$A:$ZZ,16,FALSE)+SUM(_xlfn.XLOOKUP($R71:$AK71,增益!$A:$A,增益!$P:$P,0))</f>
        <v>0</v>
      </c>
      <c r="BN71" s="27">
        <f>MIN(IF(VLOOKUP($Q71,武学奇术!$A:$ZZ,23,FALSE)=1,100%,$B$8),100%)</f>
        <v>0.9859</v>
      </c>
      <c r="BO71" s="27" cm="1">
        <f t="array" ref="BO71">IF(VLOOKUP($Q71,武学奇术!$A:$ZZ,23,FALSE)=1,100%,MIN(80%,$B$9+VLOOKUP($Q71,武学奇术!$A:$ZZ,17,FALSE)+SUM(_xlfn.XLOOKUP($R71:$AK71,增益!$A:$A,增益!$Q:$Q,0)))+$B$11+SUM(_xlfn.XLOOKUP($R71:$AK71,增益!$A:$A,增益!$U:$U,0)))*IF(VLOOKUP($Q71,武学奇术!$A:$ZZ,24,FALSE)=1,0,1)</f>
        <v>0.8912</v>
      </c>
      <c r="BP71" s="27" cm="1">
        <f t="array" ref="BP71">1+$B$13+VLOOKUP($Q71,武学奇术!$A:$ZZ,18,FALSE)+SUM(_xlfn.XLOOKUP($R71:$AK71,增益!$A:$A,增益!$R:$R,0))</f>
        <v>1.74</v>
      </c>
      <c r="BQ71" s="27" cm="1">
        <f t="array" ref="BQ71">IF(VLOOKUP($Q71,武学奇术!$A:$ZZ,24,FALSE)=1,100%,MIN(40%,$B$10+VLOOKUP($Q71,武学奇术!$A:$ZZ,19,FALSE)+SUM(_xlfn.XLOOKUP($R71:$AK71,增益!$A:$A,增益!$S:$S,0)))+$B$12+SUM(_xlfn.XLOOKUP($R71:$AK71,增益!$A:$A,增益!$V:$V,0)))*IF(VLOOKUP($Q71,武学奇术!$A:$ZZ,23,FALSE)=1,0,1)</f>
        <v>0.0929</v>
      </c>
      <c r="BR71" s="27" cm="1">
        <f t="array" ref="BR71">1+$B$14+VLOOKUP($Q71,武学奇术!$A:$ZZ,20,FALSE)+SUM(_xlfn.XLOOKUP($R71:$AK71,增益!$A:$A,增益!$T:$T,0))</f>
        <v>1.35</v>
      </c>
      <c r="BS71" s="27">
        <f t="shared" si="20"/>
        <v>0.87863408</v>
      </c>
      <c r="BT71" s="27">
        <f t="shared" si="21"/>
        <v>0.01567581</v>
      </c>
      <c r="BU71" s="27">
        <f>IF(VLOOKUP($Q71,武学奇术!$A:$ZZ,22,FALSE)=1,0,(1-$BN71))*(1-$BQ71)</f>
        <v>0.01279011</v>
      </c>
      <c r="BV71" s="27" cm="1">
        <f t="array" ref="BV71">SUM(_xlfn.XLOOKUP($R71:$AK71,增益!$A:$A,增益!$W:$W,0))+$I$5</f>
        <v>0.11</v>
      </c>
    </row>
    <row r="72" spans="1:74">
      <c r="K72" s="40">
        <f t="shared" si="11"/>
        <v>52859.4287279684</v>
      </c>
      <c r="L72" s="40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BP72*$P72*(1+IF(VLOOKUP($Q72,武学奇术!$A:$ZZ,30,FALSE)="蓄力技",$B$21,0))*(1+$BV72)</f>
        <v>54908.7794176863</v>
      </c>
      <c r="M72" s="40">
        <f>(($AT72*$AM72+$AN72)*(1+$AU72)*(1+$AV72)+($AY72*IF($G$1="鸣金",$AO72,$AM72)+IF($G$1="鸣金",$AP72*1.5,0))*(1+$AZ72)*(1+$BA72)+($BC72*IF($G$1="裂石",$AO72,$AM72)+IF($G$1="裂石",$AP72*1.5,0))*(1+$BD72)*(1+$BE72)+($BG72*IF($G$1="牵丝",$AO72,$AM72)+IF($G$1="牵丝",$AP72*1.5,0))*(1+$BH72)*(1+$BI72)+($BK72*IF($G$1="破竹",$AO72,$AM72)+IF($G$1="破竹",$AP72*1.5,0))*(1+$BL72)*(1+$BM72))*(1+$AQ72)*$BR72*$P72*(1+IF(VLOOKUP($Q72,武学奇术!$A:$ZZ,30,FALSE)="蓄力技",$B$21,0))*(1+$BV72)</f>
        <v>41738.2016102427</v>
      </c>
      <c r="N72" s="40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P72*(1+IF(VLOOKUP($Q72,武学奇术!$A:$ZZ,30,FALSE)="蓄力技",$B$21,0))*(1+$BV72)</f>
        <v>27454.3897088431</v>
      </c>
      <c r="O72" s="40">
        <f>((($AS72*$AM72+$AN72)*(1+$AU72)*(1+$AV72)+($AX72*IF($G$1="鸣金",$AO72,$AM72)+IF($G$1="鸣金",$AP72*1.5,0))*(1+$AZ72)*(1+$BA72)+($BB72*IF($G$1="裂石",$AO72,$AM72)+IF($G$1="裂石",$AP72*1.5,0))*(1+$BD72)*(1+$BE72)+($BF72*IF($G$1="牵丝",$AO72,$AM72)+IF($G$1="牵丝",$AP72*1.5,0))*(1+$BH72)*(1+$BI72)+($BJ72*IF($G$1="破竹",$AO72,$AM72)+IF($G$1="破竹",$AP72*1.5,0))*(1+$BL72)*(1+$BM72))*(1+$AQ72))*$P72*(1+IF(VLOOKUP($Q72,武学奇术!$A:$ZZ,30,FALSE)="蓄力技",$B$21,0))*(1+$BV72)</f>
        <v>23991.5930397287</v>
      </c>
      <c r="P72" s="41">
        <v>1</v>
      </c>
      <c r="Q72" s="42" t="s">
        <v>157</v>
      </c>
      <c r="R72" s="42" t="s">
        <v>103</v>
      </c>
      <c r="S72" s="42" t="s">
        <v>77</v>
      </c>
      <c r="T72" s="42" t="s">
        <v>86</v>
      </c>
      <c r="U72" s="42" t="s">
        <v>121</v>
      </c>
      <c r="V72" s="42" t="s">
        <v>77</v>
      </c>
      <c r="W72" s="42" t="s">
        <v>77</v>
      </c>
      <c r="X72" s="42" t="s">
        <v>176</v>
      </c>
      <c r="Y72" s="42" t="s">
        <v>77</v>
      </c>
      <c r="Z72" s="42" t="s">
        <v>77</v>
      </c>
      <c r="AA72" s="42" t="s">
        <v>73</v>
      </c>
      <c r="AB72" s="42" t="s">
        <v>77</v>
      </c>
      <c r="AC72" s="42" t="s">
        <v>77</v>
      </c>
      <c r="AD72" s="42" t="s">
        <v>77</v>
      </c>
      <c r="AE72" s="42" t="s">
        <v>81</v>
      </c>
      <c r="AF72" s="42" t="s">
        <v>82</v>
      </c>
      <c r="AG72" s="42" t="s">
        <v>77</v>
      </c>
      <c r="AH72" s="42" t="s">
        <v>77</v>
      </c>
      <c r="AI72" s="42" t="s">
        <v>77</v>
      </c>
      <c r="AJ72" s="42" t="s">
        <v>77</v>
      </c>
      <c r="AK72" s="42" t="s">
        <v>77</v>
      </c>
      <c r="AL72" t="str">
        <f>VLOOKUP($Q72,武学奇术!$A:$ZZ,25,FALSE)</f>
        <v>陌刀</v>
      </c>
      <c r="AM72" s="27">
        <f>VLOOKUP($Q72,武学奇术!$A:$ZZ,26,FALSE)</f>
        <v>1.8948</v>
      </c>
      <c r="AN72" s="28">
        <f>VLOOKUP($Q72,武学奇术!$A:$ZZ,27,FALSE)*(1+IF(OR($AL72=$F$4,$AL72=$F$5),$B$22,0))</f>
        <v>787.5</v>
      </c>
      <c r="AO72" s="27">
        <f>VLOOKUP($Q72,武学奇术!$A:$ZZ,28,FALSE)</f>
        <v>2.8422</v>
      </c>
      <c r="AP72" s="28">
        <f>VLOOKUP($Q72,武学奇术!$A:$ZZ,29,FALSE)*(1+IF(OR($AL72=$F$4,$AL72=$F$5),$B$22,0))</f>
        <v>429</v>
      </c>
      <c r="AQ72" s="27" cm="1">
        <f t="array" ref="AQ72">$G$3+IFERROR(VLOOKUP($AL72,$F$4:$G$7,2,FALSE),0)+VLOOKUP($Q72,武学奇术!$A:$ZZ,2,FALSE)+SUM(_xlfn.XLOOKUP($R72:$AK72,增益!$A:$A,增益!$B:$B,0))</f>
        <v>0.6141</v>
      </c>
      <c r="AR72" s="27" cm="1">
        <f t="array" ref="AR72">VLOOKUP($Q72,武学奇术!$A:$ZZ,5,FALSE)+SUM(_xlfn.XLOOKUP($R72:$AK72,增益!$A:$A,增益!$E:$E,0))</f>
        <v>0</v>
      </c>
      <c r="AS72" cm="1">
        <f t="array" ref="AS72">$D$10*(1+$AR72)+VLOOKUP($Q72,武学奇术!$A:$ZZ,3,FALSE)+SUM(_xlfn.XLOOKUP($R72:$AK72,增益!$A:$A,增益!$C:$C,0))-$I$2</f>
        <v>3586.7</v>
      </c>
      <c r="AT72" cm="1">
        <f t="array" ref="AT72">$E$10*(1+$AR72)+VLOOKUP($Q72,武学奇术!$A:$ZZ,4,FALSE)+SUM(_xlfn.XLOOKUP($R72:$AK72,增益!$A:$A,增益!$D:$D,0))-$I$2</f>
        <v>3586.7</v>
      </c>
      <c r="AU72" s="34" cm="1">
        <f t="array" ref="AU72">IF($F$10-$I$3+VLOOKUP($Q72,武学奇术!$A:$ZZ,6,FALSE)+SUM(_xlfn.XLOOKUP($R72:$AK72,增益!$A:$A,增益!$F:$F,0))&gt;0,($F$10-$I$3+VLOOKUP($Q72,武学奇术!$A:$ZZ,6,FALSE)+SUM(_xlfn.XLOOKUP($R72:$AK72,增益!$A:$A,增益!$F:$F,0)))/200,($F$10-$I$3+VLOOKUP($Q72,武学奇术!$A:$ZZ,6,FALSE)+SUM(_xlfn.XLOOKUP($R72:$AK72,增益!$A:$A,增益!$F:$F,0)))/100)</f>
        <v>0.352</v>
      </c>
      <c r="AV72" s="34" cm="1">
        <f t="array" ref="AV72">$G$10+VLOOKUP($Q72,武学奇术!$A:$ZZ,7,FALSE)+SUM(_xlfn.XLOOKUP($R72:$AK72,增益!$A:$A,增益!$G:$G,0))</f>
        <v>0</v>
      </c>
      <c r="AW72" s="27" cm="1">
        <f t="array" ref="AW72">VLOOKUP($Q72,武学奇术!$A:$ZZ,8,FALSE)+SUM(_xlfn.XLOOKUP($R72:$AK72,增益!$A:$A,增益!$H:$H,0))</f>
        <v>0</v>
      </c>
      <c r="AX72">
        <f t="shared" si="12"/>
        <v>0</v>
      </c>
      <c r="AY72">
        <f t="shared" si="13"/>
        <v>0</v>
      </c>
      <c r="AZ72" s="34" cm="1">
        <f t="array" ref="AZ72">IF($F$11-$I$4+VLOOKUP($Q72,武学奇术!$A:$ZZ,9,FALSE)+SUM(_xlfn.XLOOKUP($R72:$AK72,增益!$A:$A,增益!$I:$I,0))&gt;0,($F$11-$I$4+VLOOKUP($Q72,武学奇术!$A:$ZZ,9,FALSE)+SUM(_xlfn.XLOOKUP($R72:$AK72,增益!$A:$A,增益!$I:$I,0)))/200,($F$11-$I$4+VLOOKUP($Q72,武学奇术!$A:$ZZ,9,FALSE)+SUM(_xlfn.XLOOKUP($R72:$AK72,增益!$A:$A,增益!$I:$I,0)))/100)</f>
        <v>-0.14</v>
      </c>
      <c r="BA72" s="34" cm="1">
        <f t="array" ref="BA72">$G$11+VLOOKUP($Q72,武学奇术!$A:$ZZ,10,FALSE)+SUM(_xlfn.XLOOKUP($R72:$AK72,增益!$A:$A,增益!$J:$J,0))</f>
        <v>0</v>
      </c>
      <c r="BB72">
        <f t="shared" si="14"/>
        <v>594.1</v>
      </c>
      <c r="BC72">
        <f t="shared" si="15"/>
        <v>1604.9</v>
      </c>
      <c r="BD72" s="34" cm="1">
        <f t="array" ref="BD72">IF($F$12-$I$4+VLOOKUP($Q72,武学奇术!$A:$ZZ,11,FALSE)+SUM(_xlfn.XLOOKUP($R72:$AK72,增益!$A:$A,增益!$K:$K,0))&gt;0,($F$12-$I$4+VLOOKUP($Q72,武学奇术!$A:$ZZ,11,FALSE)+SUM(_xlfn.XLOOKUP($R72:$AK72,增益!$A:$A,增益!$K:$K,0)))/200,($F$12-$I$4+VLOOKUP($Q72,武学奇术!$A:$ZZ,11,FALSE)+SUM(_xlfn.XLOOKUP($R72:$AK72,增益!$A:$A,增益!$K:$K,0)))/100)</f>
        <v>0.17</v>
      </c>
      <c r="BE72" s="34" cm="1">
        <f t="array" ref="BE72">$G$12+VLOOKUP($Q72,武学奇术!$A:$ZZ,12,FALSE)+SUM(_xlfn.XLOOKUP($R72:$AK72,增益!$A:$A,增益!$L:$L,0))</f>
        <v>0.15</v>
      </c>
      <c r="BF72">
        <f t="shared" si="16"/>
        <v>0</v>
      </c>
      <c r="BG72">
        <f t="shared" si="17"/>
        <v>0</v>
      </c>
      <c r="BH72" s="34" cm="1">
        <f t="array" ref="BH72">IF($F$13-$I$4+VLOOKUP($Q72,武学奇术!$A:$ZZ,13,FALSE)+SUM(_xlfn.XLOOKUP($R72:$AK72,增益!$A:$A,增益!$M:$M,0))&gt;0,($F$13-$I$4+VLOOKUP($Q72,武学奇术!$A:$ZZ,13,FALSE)+SUM(_xlfn.XLOOKUP($R72:$AK72,增益!$A:$A,增益!$K:$K,0)))/200,($F$13-$I$4+VLOOKUP($Q72,武学奇术!$A:$ZZ,13,FALSE)+SUM(_xlfn.XLOOKUP($R72:$AK72,增益!$A:$A,增益!$M:$M,0)))/100)</f>
        <v>-0.14</v>
      </c>
      <c r="BI72" s="34" cm="1">
        <f t="array" ref="BI72">$G$13+VLOOKUP($Q72,武学奇术!$A:$ZZ,14,FALSE)+SUM(_xlfn.XLOOKUP($R72:$AK72,增益!$A:$A,增益!$N:$N,0))</f>
        <v>0</v>
      </c>
      <c r="BJ72">
        <f t="shared" si="18"/>
        <v>0</v>
      </c>
      <c r="BK72">
        <f t="shared" si="19"/>
        <v>0</v>
      </c>
      <c r="BL72" s="34" cm="1">
        <f t="array" ref="BL72">IF($F$14-$I$4+VLOOKUP($Q72,武学奇术!$A:$ZZ,15,FALSE)+SUM(_xlfn.XLOOKUP($R72:$AK72,增益!$A:$A,增益!$O:$O,0))&gt;0,($F$14-$I$4+VLOOKUP($Q72,武学奇术!$A:$ZZ,15,FALSE)+SUM(_xlfn.XLOOKUP($R72:$AK72,增益!$A:$A,增益!$O:$O,0)))/200,($F$14-$I$4+VLOOKUP($Q72,武学奇术!$A:$ZZ,15,FALSE)+SUM(_xlfn.XLOOKUP($R72:$AK72,增益!$A:$A,增益!$O:$O,0)))/100)</f>
        <v>-0.14</v>
      </c>
      <c r="BM72" s="34" cm="1">
        <f t="array" ref="BM72">$G$14+VLOOKUP($Q72,武学奇术!$A:$ZZ,16,FALSE)+SUM(_xlfn.XLOOKUP($R72:$AK72,增益!$A:$A,增益!$P:$P,0))</f>
        <v>0</v>
      </c>
      <c r="BN72" s="27">
        <f>MIN(IF(VLOOKUP($Q72,武学奇术!$A:$ZZ,23,FALSE)=1,100%,$B$8),100%)</f>
        <v>0.9859</v>
      </c>
      <c r="BO72" s="27" cm="1">
        <f t="array" ref="BO72">IF(VLOOKUP($Q72,武学奇术!$A:$ZZ,23,FALSE)=1,100%,MIN(80%,$B$9+VLOOKUP($Q72,武学奇术!$A:$ZZ,17,FALSE)+SUM(_xlfn.XLOOKUP($R72:$AK72,增益!$A:$A,增益!$Q:$Q,0)))+$B$11+SUM(_xlfn.XLOOKUP($R72:$AK72,增益!$A:$A,增益!$U:$U,0)))*IF(VLOOKUP($Q72,武学奇术!$A:$ZZ,24,FALSE)=1,0,1)</f>
        <v>0.8912</v>
      </c>
      <c r="BP72" s="27" cm="1">
        <f t="array" ref="BP72">1+$B$13+VLOOKUP($Q72,武学奇术!$A:$ZZ,18,FALSE)+SUM(_xlfn.XLOOKUP($R72:$AK72,增益!$A:$A,增益!$R:$R,0))</f>
        <v>2</v>
      </c>
      <c r="BQ72" s="27" cm="1">
        <f t="array" ref="BQ72">IF(VLOOKUP($Q72,武学奇术!$A:$ZZ,24,FALSE)=1,100%,MIN(40%,$B$10+VLOOKUP($Q72,武学奇术!$A:$ZZ,19,FALSE)+SUM(_xlfn.XLOOKUP($R72:$AK72,增益!$A:$A,增益!$S:$S,0)))+$B$12+SUM(_xlfn.XLOOKUP($R72:$AK72,增益!$A:$A,增益!$V:$V,0)))*IF(VLOOKUP($Q72,武学奇术!$A:$ZZ,23,FALSE)=1,0,1)</f>
        <v>0.0929</v>
      </c>
      <c r="BR72" s="27" cm="1">
        <f t="array" ref="BR72">1+$B$14+VLOOKUP($Q72,武学奇术!$A:$ZZ,20,FALSE)+SUM(_xlfn.XLOOKUP($R72:$AK72,增益!$A:$A,增益!$T:$T,0))</f>
        <v>1.35</v>
      </c>
      <c r="BS72" s="27">
        <f t="shared" si="20"/>
        <v>0.87863408</v>
      </c>
      <c r="BT72" s="27">
        <f t="shared" si="21"/>
        <v>0.01567581</v>
      </c>
      <c r="BU72" s="27">
        <f>IF(VLOOKUP($Q72,武学奇术!$A:$ZZ,22,FALSE)=1,0,(1-$BN72))*(1-$BQ72)</f>
        <v>0.01279011</v>
      </c>
      <c r="BV72" s="27" cm="1">
        <f t="array" ref="BV72">SUM(_xlfn.XLOOKUP($R72:$AK72,增益!$A:$A,增益!$W:$W,0))+$I$5</f>
        <v>0.11</v>
      </c>
    </row>
    <row r="73" spans="1:74">
      <c r="K73" s="40">
        <f t="shared" si="11"/>
        <v>24408.4230774586</v>
      </c>
      <c r="L73" s="40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BP73*$P73*(1+IF(VLOOKUP($Q73,武学奇术!$A:$ZZ,30,FALSE)="蓄力技",$B$21,0))*(1+$BV73)</f>
        <v>25327.7971791761</v>
      </c>
      <c r="M73" s="40">
        <f>(($AT73*$AM73+$AN73)*(1+$AU73)*(1+$AV73)+($AY73*IF($G$1="鸣金",$AO73,$AM73)+IF($G$1="鸣金",$AP73*1.5,0))*(1+$AZ73)*(1+$BA73)+($BC73*IF($G$1="裂石",$AO73,$AM73)+IF($G$1="裂石",$AP73*1.5,0))*(1+$BD73)*(1+$BE73)+($BG73*IF($G$1="牵丝",$AO73,$AM73)+IF($G$1="牵丝",$AP73*1.5,0))*(1+$BH73)*(1+$BI73)+($BK73*IF($G$1="破竹",$AO73,$AM73)+IF($G$1="破竹",$AP73*1.5,0))*(1+$BL73)*(1+$BM73))*(1+$AQ73)*$BR73*$P73*(1+IF(VLOOKUP($Q73,武学奇术!$A:$ZZ,30,FALSE)="蓄力技",$B$21,0))*(1+$BV73)</f>
        <v>19563.4234840083</v>
      </c>
      <c r="N73" s="40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P73*(1+IF(VLOOKUP($Q73,武学奇术!$A:$ZZ,30,FALSE)="蓄力技",$B$21,0))*(1+$BV73)</f>
        <v>12663.898589588</v>
      </c>
      <c r="O73" s="40">
        <f>((($AS73*$AM73+$AN73)*(1+$AU73)*(1+$AV73)+($AX73*IF($G$1="鸣金",$AO73,$AM73)+IF($G$1="鸣金",$AP73*1.5,0))*(1+$AZ73)*(1+$BA73)+($BB73*IF($G$1="裂石",$AO73,$AM73)+IF($G$1="裂石",$AP73*1.5,0))*(1+$BD73)*(1+$BE73)+($BF73*IF($G$1="牵丝",$AO73,$AM73)+IF($G$1="牵丝",$AP73*1.5,0))*(1+$BH73)*(1+$BI73)+($BJ73*IF($G$1="破竹",$AO73,$AM73)+IF($G$1="破竹",$AP73*1.5,0))*(1+$BL73)*(1+$BM73))*(1+$AQ73))*$P73*(1+IF(VLOOKUP($Q73,武学奇术!$A:$ZZ,30,FALSE)="蓄力技",$B$21,0))*(1+$BV73)</f>
        <v>10836.372376207</v>
      </c>
      <c r="P73" s="41">
        <v>1</v>
      </c>
      <c r="Q73" s="42" t="s">
        <v>159</v>
      </c>
      <c r="R73" s="42" t="s">
        <v>103</v>
      </c>
      <c r="S73" s="42" t="s">
        <v>77</v>
      </c>
      <c r="T73" s="42" t="s">
        <v>86</v>
      </c>
      <c r="U73" s="42" t="s">
        <v>121</v>
      </c>
      <c r="V73" s="42" t="s">
        <v>77</v>
      </c>
      <c r="W73" s="42" t="s">
        <v>77</v>
      </c>
      <c r="X73" s="42" t="s">
        <v>176</v>
      </c>
      <c r="Y73" s="42" t="s">
        <v>77</v>
      </c>
      <c r="Z73" s="42" t="s">
        <v>77</v>
      </c>
      <c r="AA73" s="42" t="s">
        <v>73</v>
      </c>
      <c r="AB73" s="42" t="s">
        <v>77</v>
      </c>
      <c r="AC73" s="42" t="s">
        <v>77</v>
      </c>
      <c r="AD73" s="42" t="s">
        <v>77</v>
      </c>
      <c r="AE73" s="42" t="s">
        <v>81</v>
      </c>
      <c r="AF73" s="42" t="s">
        <v>82</v>
      </c>
      <c r="AG73" s="42" t="s">
        <v>77</v>
      </c>
      <c r="AH73" s="42" t="s">
        <v>77</v>
      </c>
      <c r="AI73" s="42" t="s">
        <v>77</v>
      </c>
      <c r="AJ73" s="42" t="s">
        <v>77</v>
      </c>
      <c r="AK73" s="42" t="s">
        <v>77</v>
      </c>
      <c r="AL73" t="str">
        <f>VLOOKUP($Q73,武学奇术!$A:$ZZ,25,FALSE)</f>
        <v>陌刀</v>
      </c>
      <c r="AM73" s="27">
        <f>VLOOKUP($Q73,武学奇术!$A:$ZZ,26,FALSE)</f>
        <v>1</v>
      </c>
      <c r="AN73" s="28">
        <f>VLOOKUP($Q73,武学奇术!$A:$ZZ,27,FALSE)*(1+IF(OR($AL73=$F$4,$AL73=$F$5),$B$22,0))</f>
        <v>0</v>
      </c>
      <c r="AO73" s="27">
        <f>VLOOKUP($Q73,武学奇术!$A:$ZZ,28,FALSE)</f>
        <v>1.5</v>
      </c>
      <c r="AP73" s="28">
        <f>VLOOKUP($Q73,武学奇术!$A:$ZZ,29,FALSE)*(1+IF(OR($AL73=$F$4,$AL73=$F$5),$B$22,0))</f>
        <v>0</v>
      </c>
      <c r="AQ73" s="27" cm="1">
        <f t="array" ref="AQ73">$G$3+IFERROR(VLOOKUP($AL73,$F$4:$G$7,2,FALSE),0)+VLOOKUP($Q73,武学奇术!$A:$ZZ,2,FALSE)+SUM(_xlfn.XLOOKUP($R73:$AK73,增益!$A:$A,增益!$B:$B,0))</f>
        <v>0.6141</v>
      </c>
      <c r="AR73" s="27" cm="1">
        <f t="array" ref="AR73">VLOOKUP($Q73,武学奇术!$A:$ZZ,5,FALSE)+SUM(_xlfn.XLOOKUP($R73:$AK73,增益!$A:$A,增益!$E:$E,0))</f>
        <v>0</v>
      </c>
      <c r="AS73" cm="1">
        <f t="array" ref="AS73">$D$10*(1+$AR73)+VLOOKUP($Q73,武学奇术!$A:$ZZ,3,FALSE)+SUM(_xlfn.XLOOKUP($R73:$AK73,增益!$A:$A,增益!$C:$C,0))-$I$2</f>
        <v>3586.7</v>
      </c>
      <c r="AT73" cm="1">
        <f t="array" ref="AT73">$E$10*(1+$AR73)+VLOOKUP($Q73,武学奇术!$A:$ZZ,4,FALSE)+SUM(_xlfn.XLOOKUP($R73:$AK73,增益!$A:$A,增益!$D:$D,0))-$I$2</f>
        <v>3586.7</v>
      </c>
      <c r="AU73" s="34" cm="1">
        <f t="array" ref="AU73">IF($F$10-$I$3+VLOOKUP($Q73,武学奇术!$A:$ZZ,6,FALSE)+SUM(_xlfn.XLOOKUP($R73:$AK73,增益!$A:$A,增益!$F:$F,0))&gt;0,($F$10-$I$3+VLOOKUP($Q73,武学奇术!$A:$ZZ,6,FALSE)+SUM(_xlfn.XLOOKUP($R73:$AK73,增益!$A:$A,增益!$F:$F,0)))/200,($F$10-$I$3+VLOOKUP($Q73,武学奇术!$A:$ZZ,6,FALSE)+SUM(_xlfn.XLOOKUP($R73:$AK73,增益!$A:$A,增益!$F:$F,0)))/100)</f>
        <v>0.352</v>
      </c>
      <c r="AV73" s="34" cm="1">
        <f t="array" ref="AV73">$G$10+VLOOKUP($Q73,武学奇术!$A:$ZZ,7,FALSE)+SUM(_xlfn.XLOOKUP($R73:$AK73,增益!$A:$A,增益!$G:$G,0))</f>
        <v>0</v>
      </c>
      <c r="AW73" s="27" cm="1">
        <f t="array" ref="AW73">VLOOKUP($Q73,武学奇术!$A:$ZZ,8,FALSE)+SUM(_xlfn.XLOOKUP($R73:$AK73,增益!$A:$A,增益!$H:$H,0))</f>
        <v>0</v>
      </c>
      <c r="AX73">
        <f t="shared" si="12"/>
        <v>0</v>
      </c>
      <c r="AY73">
        <f t="shared" si="13"/>
        <v>0</v>
      </c>
      <c r="AZ73" s="34" cm="1">
        <f t="array" ref="AZ73">IF($F$11-$I$4+VLOOKUP($Q73,武学奇术!$A:$ZZ,9,FALSE)+SUM(_xlfn.XLOOKUP($R73:$AK73,增益!$A:$A,增益!$I:$I,0))&gt;0,($F$11-$I$4+VLOOKUP($Q73,武学奇术!$A:$ZZ,9,FALSE)+SUM(_xlfn.XLOOKUP($R73:$AK73,增益!$A:$A,增益!$I:$I,0)))/200,($F$11-$I$4+VLOOKUP($Q73,武学奇术!$A:$ZZ,9,FALSE)+SUM(_xlfn.XLOOKUP($R73:$AK73,增益!$A:$A,增益!$I:$I,0)))/100)</f>
        <v>-0.14</v>
      </c>
      <c r="BA73" s="34" cm="1">
        <f t="array" ref="BA73">$G$11+VLOOKUP($Q73,武学奇术!$A:$ZZ,10,FALSE)+SUM(_xlfn.XLOOKUP($R73:$AK73,增益!$A:$A,增益!$J:$J,0))</f>
        <v>0</v>
      </c>
      <c r="BB73">
        <f t="shared" si="14"/>
        <v>594.1</v>
      </c>
      <c r="BC73">
        <f t="shared" si="15"/>
        <v>1604.9</v>
      </c>
      <c r="BD73" s="34" cm="1">
        <f t="array" ref="BD73">IF($F$12-$I$4+VLOOKUP($Q73,武学奇术!$A:$ZZ,11,FALSE)+SUM(_xlfn.XLOOKUP($R73:$AK73,增益!$A:$A,增益!$K:$K,0))&gt;0,($F$12-$I$4+VLOOKUP($Q73,武学奇术!$A:$ZZ,11,FALSE)+SUM(_xlfn.XLOOKUP($R73:$AK73,增益!$A:$A,增益!$K:$K,0)))/200,($F$12-$I$4+VLOOKUP($Q73,武学奇术!$A:$ZZ,11,FALSE)+SUM(_xlfn.XLOOKUP($R73:$AK73,增益!$A:$A,增益!$K:$K,0)))/100)</f>
        <v>0.17</v>
      </c>
      <c r="BE73" s="34" cm="1">
        <f t="array" ref="BE73">$G$12+VLOOKUP($Q73,武学奇术!$A:$ZZ,12,FALSE)+SUM(_xlfn.XLOOKUP($R73:$AK73,增益!$A:$A,增益!$L:$L,0))</f>
        <v>0.15</v>
      </c>
      <c r="BF73">
        <f t="shared" si="16"/>
        <v>0</v>
      </c>
      <c r="BG73">
        <f t="shared" si="17"/>
        <v>0</v>
      </c>
      <c r="BH73" s="34" cm="1">
        <f t="array" ref="BH73">IF($F$13-$I$4+VLOOKUP($Q73,武学奇术!$A:$ZZ,13,FALSE)+SUM(_xlfn.XLOOKUP($R73:$AK73,增益!$A:$A,增益!$M:$M,0))&gt;0,($F$13-$I$4+VLOOKUP($Q73,武学奇术!$A:$ZZ,13,FALSE)+SUM(_xlfn.XLOOKUP($R73:$AK73,增益!$A:$A,增益!$K:$K,0)))/200,($F$13-$I$4+VLOOKUP($Q73,武学奇术!$A:$ZZ,13,FALSE)+SUM(_xlfn.XLOOKUP($R73:$AK73,增益!$A:$A,增益!$M:$M,0)))/100)</f>
        <v>-0.14</v>
      </c>
      <c r="BI73" s="34" cm="1">
        <f t="array" ref="BI73">$G$13+VLOOKUP($Q73,武学奇术!$A:$ZZ,14,FALSE)+SUM(_xlfn.XLOOKUP($R73:$AK73,增益!$A:$A,增益!$N:$N,0))</f>
        <v>0</v>
      </c>
      <c r="BJ73">
        <f t="shared" si="18"/>
        <v>0</v>
      </c>
      <c r="BK73">
        <f t="shared" si="19"/>
        <v>0</v>
      </c>
      <c r="BL73" s="34" cm="1">
        <f t="array" ref="BL73">IF($F$14-$I$4+VLOOKUP($Q73,武学奇术!$A:$ZZ,15,FALSE)+SUM(_xlfn.XLOOKUP($R73:$AK73,增益!$A:$A,增益!$O:$O,0))&gt;0,($F$14-$I$4+VLOOKUP($Q73,武学奇术!$A:$ZZ,15,FALSE)+SUM(_xlfn.XLOOKUP($R73:$AK73,增益!$A:$A,增益!$O:$O,0)))/200,($F$14-$I$4+VLOOKUP($Q73,武学奇术!$A:$ZZ,15,FALSE)+SUM(_xlfn.XLOOKUP($R73:$AK73,增益!$A:$A,增益!$O:$O,0)))/100)</f>
        <v>-0.14</v>
      </c>
      <c r="BM73" s="34" cm="1">
        <f t="array" ref="BM73">$G$14+VLOOKUP($Q73,武学奇术!$A:$ZZ,16,FALSE)+SUM(_xlfn.XLOOKUP($R73:$AK73,增益!$A:$A,增益!$P:$P,0))</f>
        <v>0</v>
      </c>
      <c r="BN73" s="27">
        <f>MIN(IF(VLOOKUP($Q73,武学奇术!$A:$ZZ,23,FALSE)=1,100%,$B$8),100%)</f>
        <v>0.9859</v>
      </c>
      <c r="BO73" s="27" cm="1">
        <f t="array" ref="BO73">IF(VLOOKUP($Q73,武学奇术!$A:$ZZ,23,FALSE)=1,100%,MIN(80%,$B$9+VLOOKUP($Q73,武学奇术!$A:$ZZ,17,FALSE)+SUM(_xlfn.XLOOKUP($R73:$AK73,增益!$A:$A,增益!$Q:$Q,0)))+$B$11+SUM(_xlfn.XLOOKUP($R73:$AK73,增益!$A:$A,增益!$U:$U,0)))*IF(VLOOKUP($Q73,武学奇术!$A:$ZZ,24,FALSE)=1,0,1)</f>
        <v>0.8912</v>
      </c>
      <c r="BP73" s="27" cm="1">
        <f t="array" ref="BP73">1+$B$13+VLOOKUP($Q73,武学奇术!$A:$ZZ,18,FALSE)+SUM(_xlfn.XLOOKUP($R73:$AK73,增益!$A:$A,增益!$R:$R,0))</f>
        <v>2</v>
      </c>
      <c r="BQ73" s="27" cm="1">
        <f t="array" ref="BQ73">IF(VLOOKUP($Q73,武学奇术!$A:$ZZ,24,FALSE)=1,100%,MIN(40%,$B$10+VLOOKUP($Q73,武学奇术!$A:$ZZ,19,FALSE)+SUM(_xlfn.XLOOKUP($R73:$AK73,增益!$A:$A,增益!$S:$S,0)))+$B$12+SUM(_xlfn.XLOOKUP($R73:$AK73,增益!$A:$A,增益!$V:$V,0)))*IF(VLOOKUP($Q73,武学奇术!$A:$ZZ,23,FALSE)=1,0,1)</f>
        <v>0.0929</v>
      </c>
      <c r="BR73" s="27" cm="1">
        <f t="array" ref="BR73">1+$B$14+VLOOKUP($Q73,武学奇术!$A:$ZZ,20,FALSE)+SUM(_xlfn.XLOOKUP($R73:$AK73,增益!$A:$A,增益!$T:$T,0))</f>
        <v>1.35</v>
      </c>
      <c r="BS73" s="27">
        <f t="shared" si="20"/>
        <v>0.87863408</v>
      </c>
      <c r="BT73" s="27">
        <f t="shared" si="21"/>
        <v>0.01567581</v>
      </c>
      <c r="BU73" s="27">
        <f>IF(VLOOKUP($Q73,武学奇术!$A:$ZZ,22,FALSE)=1,0,(1-$BN73))*(1-$BQ73)</f>
        <v>0.01279011</v>
      </c>
      <c r="BV73" s="27" cm="1">
        <f t="array" ref="BV73">SUM(_xlfn.XLOOKUP($R73:$AK73,增益!$A:$A,增益!$W:$W,0))+$I$5</f>
        <v>0.11</v>
      </c>
    </row>
    <row r="74" spans="1:74">
      <c r="K74" s="40">
        <f t="shared" si="11"/>
        <v>191895.392779741</v>
      </c>
      <c r="L74" s="40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BP74*$P74*(1+IF(VLOOKUP($Q74,武学奇术!$A:$ZZ,30,FALSE)="蓄力技",$B$21,0))*(1+$BV74)</f>
        <v>196574.461142442</v>
      </c>
      <c r="M74" s="40">
        <f>(($AT74*$AM74+$AN74)*(1+$AU74)*(1+$AV74)+($AY74*IF($G$1="鸣金",$AO74,$AM74)+IF($G$1="鸣金",$AP74*1.5,0))*(1+$AZ74)*(1+$BA74)+($BC74*IF($G$1="裂石",$AO74,$AM74)+IF($G$1="裂石",$AP74*1.5,0))*(1+$BD74)*(1+$BE74)+($BG74*IF($G$1="牵丝",$AO74,$AM74)+IF($G$1="牵丝",$AP74*1.5,0))*(1+$BH74)*(1+$BI74)+($BK74*IF($G$1="破竹",$AO74,$AM74)+IF($G$1="破竹",$AP74*1.5,0))*(1+$BL74)*(1+$BM74))*(1+$AQ74)*$BR74*$P74*(1+IF(VLOOKUP($Q74,武学奇术!$A:$ZZ,30,FALSE)="蓄力技",$B$21,0))*(1+$BV74)</f>
        <v>174017.061641178</v>
      </c>
      <c r="N74" s="40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P74*(1+IF(VLOOKUP($Q74,武学奇术!$A:$ZZ,30,FALSE)="蓄力技",$B$21,0))*(1+$BV74)</f>
        <v>112973.828242783</v>
      </c>
      <c r="O74" s="40">
        <f>((($AS74*$AM74+$AN74)*(1+$AU74)*(1+$AV74)+($AX74*IF($G$1="鸣金",$AO74,$AM74)+IF($G$1="鸣金",$AP74*1.5,0))*(1+$AZ74)*(1+$BA74)+($BB74*IF($G$1="裂石",$AO74,$AM74)+IF($G$1="裂石",$AP74*1.5,0))*(1+$BD74)*(1+$BE74)+($BF74*IF($G$1="牵丝",$AO74,$AM74)+IF($G$1="牵丝",$AP74*1.5,0))*(1+$BH74)*(1+$BI74)+($BJ74*IF($G$1="破竹",$AO74,$AM74)+IF($G$1="破竹",$AP74*1.5,0))*(1+$BL74)*(1+$BM74))*(1+$AQ74))*$P74*(1+IF(VLOOKUP($Q74,武学奇术!$A:$ZZ,30,FALSE)="蓄力技",$B$21,0))*(1+$BV74)</f>
        <v>97046.1293439527</v>
      </c>
      <c r="P74" s="41">
        <v>1</v>
      </c>
      <c r="Q74" s="42" t="s">
        <v>193</v>
      </c>
      <c r="R74" s="42" t="s">
        <v>103</v>
      </c>
      <c r="S74" s="42" t="s">
        <v>77</v>
      </c>
      <c r="T74" s="42" t="s">
        <v>86</v>
      </c>
      <c r="U74" s="42" t="s">
        <v>87</v>
      </c>
      <c r="V74" s="42" t="s">
        <v>77</v>
      </c>
      <c r="W74" s="42" t="s">
        <v>77</v>
      </c>
      <c r="X74" s="42" t="s">
        <v>176</v>
      </c>
      <c r="Y74" s="42" t="s">
        <v>77</v>
      </c>
      <c r="Z74" s="42" t="s">
        <v>77</v>
      </c>
      <c r="AA74" s="42" t="s">
        <v>77</v>
      </c>
      <c r="AB74" s="42" t="s">
        <v>77</v>
      </c>
      <c r="AC74" s="42" t="s">
        <v>77</v>
      </c>
      <c r="AD74" s="42" t="s">
        <v>77</v>
      </c>
      <c r="AE74" s="42" t="s">
        <v>81</v>
      </c>
      <c r="AF74" s="42" t="s">
        <v>82</v>
      </c>
      <c r="AG74" s="42" t="s">
        <v>77</v>
      </c>
      <c r="AH74" s="42" t="s">
        <v>77</v>
      </c>
      <c r="AI74" s="42" t="s">
        <v>77</v>
      </c>
      <c r="AJ74" s="42" t="s">
        <v>77</v>
      </c>
      <c r="AK74" s="42" t="s">
        <v>77</v>
      </c>
      <c r="AL74" t="str">
        <f>VLOOKUP($Q74,武学奇术!$A:$ZZ,25,FALSE)</f>
        <v>群体奇术</v>
      </c>
      <c r="AM74" s="27">
        <f>VLOOKUP($Q74,武学奇术!$A:$ZZ,26,FALSE)</f>
        <v>10.315755</v>
      </c>
      <c r="AN74" s="28">
        <f>VLOOKUP($Q74,武学奇术!$A:$ZZ,27,FALSE)*(1+IF(OR($AL74=$F$4,$AL74=$F$5),$B$22,0))</f>
        <v>1992.6</v>
      </c>
      <c r="AO74" s="27">
        <f>VLOOKUP($Q74,武学奇术!$A:$ZZ,28,FALSE)</f>
        <v>15.4736325</v>
      </c>
      <c r="AP74" s="28">
        <f>VLOOKUP($Q74,武学奇术!$A:$ZZ,29,FALSE)*(1+IF(OR($AL74=$F$4,$AL74=$F$5),$B$22,0))</f>
        <v>0</v>
      </c>
      <c r="AQ74" s="27" cm="1">
        <f t="array" ref="AQ74">$G$3+IFERROR(VLOOKUP($AL74,$F$4:$G$7,2,FALSE),0)+VLOOKUP($Q74,武学奇术!$A:$ZZ,2,FALSE)+SUM(_xlfn.XLOOKUP($R74:$AK74,增益!$A:$A,增益!$B:$B,0))</f>
        <v>0.3637</v>
      </c>
      <c r="AR74" s="27" cm="1">
        <f t="array" ref="AR74">VLOOKUP($Q74,武学奇术!$A:$ZZ,5,FALSE)+SUM(_xlfn.XLOOKUP($R74:$AK74,增益!$A:$A,增益!$E:$E,0))</f>
        <v>0</v>
      </c>
      <c r="AS74" cm="1">
        <f t="array" ref="AS74">$D$10*(1+$AR74)+VLOOKUP($Q74,武学奇术!$A:$ZZ,3,FALSE)+SUM(_xlfn.XLOOKUP($R74:$AK74,增益!$A:$A,增益!$C:$C,0))-$I$2</f>
        <v>3586.7</v>
      </c>
      <c r="AT74" cm="1">
        <f t="array" ref="AT74">$E$10*(1+$AR74)+VLOOKUP($Q74,武学奇术!$A:$ZZ,4,FALSE)+SUM(_xlfn.XLOOKUP($R74:$AK74,增益!$A:$A,增益!$D:$D,0))-$I$2</f>
        <v>3586.7</v>
      </c>
      <c r="AU74" s="34" cm="1">
        <f t="array" ref="AU74">IF($F$10-$I$3+VLOOKUP($Q74,武学奇术!$A:$ZZ,6,FALSE)+SUM(_xlfn.XLOOKUP($R74:$AK74,增益!$A:$A,增益!$F:$F,0))&gt;0,($F$10-$I$3+VLOOKUP($Q74,武学奇术!$A:$ZZ,6,FALSE)+SUM(_xlfn.XLOOKUP($R74:$AK74,增益!$A:$A,增益!$F:$F,0)))/200,($F$10-$I$3+VLOOKUP($Q74,武学奇术!$A:$ZZ,6,FALSE)+SUM(_xlfn.XLOOKUP($R74:$AK74,增益!$A:$A,增益!$F:$F,0)))/100)</f>
        <v>0.327</v>
      </c>
      <c r="AV74" s="34" cm="1">
        <f t="array" ref="AV74">$G$10+VLOOKUP($Q74,武学奇术!$A:$ZZ,7,FALSE)+SUM(_xlfn.XLOOKUP($R74:$AK74,增益!$A:$A,增益!$G:$G,0))</f>
        <v>0</v>
      </c>
      <c r="AW74" s="27" cm="1">
        <f t="array" ref="AW74">VLOOKUP($Q74,武学奇术!$A:$ZZ,8,FALSE)+SUM(_xlfn.XLOOKUP($R74:$AK74,增益!$A:$A,增益!$H:$H,0))</f>
        <v>0</v>
      </c>
      <c r="AX74">
        <f t="shared" si="12"/>
        <v>0</v>
      </c>
      <c r="AY74">
        <f t="shared" si="13"/>
        <v>0</v>
      </c>
      <c r="AZ74" s="34" cm="1">
        <f t="array" ref="AZ74">IF($F$11-$I$4+VLOOKUP($Q74,武学奇术!$A:$ZZ,9,FALSE)+SUM(_xlfn.XLOOKUP($R74:$AK74,增益!$A:$A,增益!$I:$I,0))&gt;0,($F$11-$I$4+VLOOKUP($Q74,武学奇术!$A:$ZZ,9,FALSE)+SUM(_xlfn.XLOOKUP($R74:$AK74,增益!$A:$A,增益!$I:$I,0)))/200,($F$11-$I$4+VLOOKUP($Q74,武学奇术!$A:$ZZ,9,FALSE)+SUM(_xlfn.XLOOKUP($R74:$AK74,增益!$A:$A,增益!$I:$I,0)))/100)</f>
        <v>-0.14</v>
      </c>
      <c r="BA74" s="34" cm="1">
        <f t="array" ref="BA74">$G$11+VLOOKUP($Q74,武学奇术!$A:$ZZ,10,FALSE)+SUM(_xlfn.XLOOKUP($R74:$AK74,增益!$A:$A,增益!$J:$J,0))</f>
        <v>0</v>
      </c>
      <c r="BB74">
        <f t="shared" si="14"/>
        <v>594.1</v>
      </c>
      <c r="BC74">
        <f t="shared" si="15"/>
        <v>1604.9</v>
      </c>
      <c r="BD74" s="34" cm="1">
        <f t="array" ref="BD74">IF($F$12-$I$4+VLOOKUP($Q74,武学奇术!$A:$ZZ,11,FALSE)+SUM(_xlfn.XLOOKUP($R74:$AK74,增益!$A:$A,增益!$K:$K,0))&gt;0,($F$12-$I$4+VLOOKUP($Q74,武学奇术!$A:$ZZ,11,FALSE)+SUM(_xlfn.XLOOKUP($R74:$AK74,增益!$A:$A,增益!$K:$K,0)))/200,($F$12-$I$4+VLOOKUP($Q74,武学奇术!$A:$ZZ,11,FALSE)+SUM(_xlfn.XLOOKUP($R74:$AK74,增益!$A:$A,增益!$K:$K,0)))/100)</f>
        <v>0.17</v>
      </c>
      <c r="BE74" s="34" cm="1">
        <f t="array" ref="BE74">$G$12+VLOOKUP($Q74,武学奇术!$A:$ZZ,12,FALSE)+SUM(_xlfn.XLOOKUP($R74:$AK74,增益!$A:$A,增益!$L:$L,0))</f>
        <v>0.15</v>
      </c>
      <c r="BF74">
        <f t="shared" si="16"/>
        <v>0</v>
      </c>
      <c r="BG74">
        <f t="shared" si="17"/>
        <v>0</v>
      </c>
      <c r="BH74" s="34" cm="1">
        <f t="array" ref="BH74">IF($F$13-$I$4+VLOOKUP($Q74,武学奇术!$A:$ZZ,13,FALSE)+SUM(_xlfn.XLOOKUP($R74:$AK74,增益!$A:$A,增益!$M:$M,0))&gt;0,($F$13-$I$4+VLOOKUP($Q74,武学奇术!$A:$ZZ,13,FALSE)+SUM(_xlfn.XLOOKUP($R74:$AK74,增益!$A:$A,增益!$K:$K,0)))/200,($F$13-$I$4+VLOOKUP($Q74,武学奇术!$A:$ZZ,13,FALSE)+SUM(_xlfn.XLOOKUP($R74:$AK74,增益!$A:$A,增益!$M:$M,0)))/100)</f>
        <v>-0.14</v>
      </c>
      <c r="BI74" s="34" cm="1">
        <f t="array" ref="BI74">$G$13+VLOOKUP($Q74,武学奇术!$A:$ZZ,14,FALSE)+SUM(_xlfn.XLOOKUP($R74:$AK74,增益!$A:$A,增益!$N:$N,0))</f>
        <v>0</v>
      </c>
      <c r="BJ74">
        <f t="shared" si="18"/>
        <v>0</v>
      </c>
      <c r="BK74">
        <f t="shared" si="19"/>
        <v>0</v>
      </c>
      <c r="BL74" s="34" cm="1">
        <f t="array" ref="BL74">IF($F$14-$I$4+VLOOKUP($Q74,武学奇术!$A:$ZZ,15,FALSE)+SUM(_xlfn.XLOOKUP($R74:$AK74,增益!$A:$A,增益!$O:$O,0))&gt;0,($F$14-$I$4+VLOOKUP($Q74,武学奇术!$A:$ZZ,15,FALSE)+SUM(_xlfn.XLOOKUP($R74:$AK74,增益!$A:$A,增益!$O:$O,0)))/200,($F$14-$I$4+VLOOKUP($Q74,武学奇术!$A:$ZZ,15,FALSE)+SUM(_xlfn.XLOOKUP($R74:$AK74,增益!$A:$A,增益!$O:$O,0)))/100)</f>
        <v>-0.14</v>
      </c>
      <c r="BM74" s="34" cm="1">
        <f t="array" ref="BM74">$G$14+VLOOKUP($Q74,武学奇术!$A:$ZZ,16,FALSE)+SUM(_xlfn.XLOOKUP($R74:$AK74,增益!$A:$A,增益!$P:$P,0))</f>
        <v>0</v>
      </c>
      <c r="BN74" s="27">
        <f>MIN(IF(VLOOKUP($Q74,武学奇术!$A:$ZZ,23,FALSE)=1,100%,$B$8),100%)</f>
        <v>0.9859</v>
      </c>
      <c r="BO74" s="27" cm="1">
        <f t="array" ref="BO74">IF(VLOOKUP($Q74,武学奇术!$A:$ZZ,23,FALSE)=1,100%,MIN(80%,$B$9+VLOOKUP($Q74,武学奇术!$A:$ZZ,17,FALSE)+SUM(_xlfn.XLOOKUP($R74:$AK74,增益!$A:$A,增益!$Q:$Q,0)))+$B$11+SUM(_xlfn.XLOOKUP($R74:$AK74,增益!$A:$A,增益!$U:$U,0)))*IF(VLOOKUP($Q74,武学奇术!$A:$ZZ,24,FALSE)=1,0,1)</f>
        <v>0.8912</v>
      </c>
      <c r="BP74" s="27" cm="1">
        <f t="array" ref="BP74">1+$B$13+VLOOKUP($Q74,武学奇术!$A:$ZZ,18,FALSE)+SUM(_xlfn.XLOOKUP($R74:$AK74,增益!$A:$A,增益!$R:$R,0))</f>
        <v>1.74</v>
      </c>
      <c r="BQ74" s="27" cm="1">
        <f t="array" ref="BQ74">IF(VLOOKUP($Q74,武学奇术!$A:$ZZ,24,FALSE)=1,100%,MIN(40%,$B$10+VLOOKUP($Q74,武学奇术!$A:$ZZ,19,FALSE)+SUM(_xlfn.XLOOKUP($R74:$AK74,增益!$A:$A,增益!$S:$S,0)))+$B$12+SUM(_xlfn.XLOOKUP($R74:$AK74,增益!$A:$A,增益!$V:$V,0)))*IF(VLOOKUP($Q74,武学奇术!$A:$ZZ,23,FALSE)=1,0,1)</f>
        <v>0.0929</v>
      </c>
      <c r="BR74" s="27" cm="1">
        <f t="array" ref="BR74">1+$B$14+VLOOKUP($Q74,武学奇术!$A:$ZZ,20,FALSE)+SUM(_xlfn.XLOOKUP($R74:$AK74,增益!$A:$A,增益!$T:$T,0))</f>
        <v>1.35</v>
      </c>
      <c r="BS74" s="27">
        <f t="shared" si="20"/>
        <v>0.87863408</v>
      </c>
      <c r="BT74" s="27">
        <f t="shared" si="21"/>
        <v>0.01567581</v>
      </c>
      <c r="BU74" s="27">
        <f>IF(VLOOKUP($Q74,武学奇术!$A:$ZZ,22,FALSE)=1,0,(1-$BN74))*(1-$BQ74)</f>
        <v>0.01279011</v>
      </c>
      <c r="BV74" s="27" cm="1">
        <f t="array" ref="BV74">SUM(_xlfn.XLOOKUP($R74:$AK74,增益!$A:$A,增益!$W:$W,0))+$I$5</f>
        <v>0.11</v>
      </c>
    </row>
    <row r="75" spans="1:74">
      <c r="K75" s="40">
        <f t="shared" si="11"/>
        <v>14469.0871042909</v>
      </c>
      <c r="L75" s="40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BP75*$P75*(1+IF(VLOOKUP($Q75,武学奇术!$A:$ZZ,30,FALSE)="蓄力技",$B$21,0))*(1+$BV75)</f>
        <v>15000.4174624918</v>
      </c>
      <c r="M75" s="40">
        <f>(($AT75*$AM75+$AN75)*(1+$AU75)*(1+$AV75)+($AY75*IF($G$1="鸣金",$AO75,$AM75)+IF($G$1="鸣金",$AP75*1.5,0))*(1+$AZ75)*(1+$BA75)+($BC75*IF($G$1="裂石",$AO75,$AM75)+IF($G$1="裂石",$AP75*1.5,0))*(1+$BD75)*(1+$BE75)+($BG75*IF($G$1="牵丝",$AO75,$AM75)+IF($G$1="牵丝",$AP75*1.5,0))*(1+$BH75)*(1+$BI75)+($BK75*IF($G$1="破竹",$AO75,$AM75)+IF($G$1="破竹",$AP75*1.5,0))*(1+$BL75)*(1+$BM75))*(1+$AQ75)*$BR75*$P75*(1+IF(VLOOKUP($Q75,武学奇术!$A:$ZZ,30,FALSE)="蓄力技",$B$21,0))*(1+$BV75)</f>
        <v>11649.2221905451</v>
      </c>
      <c r="N75" s="40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P75*(1+IF(VLOOKUP($Q75,武学奇术!$A:$ZZ,30,FALSE)="蓄力技",$B$21,0))*(1+$BV75)</f>
        <v>7692.52177563683</v>
      </c>
      <c r="O75" s="40">
        <f>((($AS75*$AM75+$AN75)*(1+$AU75)*(1+$AV75)+($AX75*IF($G$1="鸣金",$AO75,$AM75)+IF($G$1="鸣金",$AP75*1.5,0))*(1+$AZ75)*(1+$BA75)+($BB75*IF($G$1="裂石",$AO75,$AM75)+IF($G$1="裂石",$AP75*1.5,0))*(1+$BD75)*(1+$BE75)+($BF75*IF($G$1="牵丝",$AO75,$AM75)+IF($G$1="牵丝",$AP75*1.5,0))*(1+$BH75)*(1+$BI75)+($BJ75*IF($G$1="破竹",$AO75,$AM75)+IF($G$1="破竹",$AP75*1.5,0))*(1+$BL75)*(1+$BM75))*(1+$AQ75))*$P75*(1+IF(VLOOKUP($Q75,武学奇术!$A:$ZZ,30,FALSE)="蓄力技",$B$21,0))*(1+$BV75)</f>
        <v>6755.99007679583</v>
      </c>
      <c r="P75" s="41">
        <v>1</v>
      </c>
      <c r="Q75" s="42" t="s">
        <v>179</v>
      </c>
      <c r="R75" s="42" t="s">
        <v>103</v>
      </c>
      <c r="S75" s="42" t="s">
        <v>77</v>
      </c>
      <c r="T75" s="42" t="s">
        <v>77</v>
      </c>
      <c r="U75" s="42" t="s">
        <v>87</v>
      </c>
      <c r="V75" s="42" t="s">
        <v>77</v>
      </c>
      <c r="W75" s="42" t="s">
        <v>77</v>
      </c>
      <c r="X75" s="42" t="s">
        <v>176</v>
      </c>
      <c r="Y75" s="42" t="s">
        <v>77</v>
      </c>
      <c r="Z75" s="42" t="s">
        <v>77</v>
      </c>
      <c r="AA75" s="42" t="s">
        <v>77</v>
      </c>
      <c r="AB75" s="42" t="s">
        <v>77</v>
      </c>
      <c r="AC75" s="42" t="s">
        <v>77</v>
      </c>
      <c r="AD75" s="42" t="s">
        <v>77</v>
      </c>
      <c r="AE75" s="42" t="s">
        <v>81</v>
      </c>
      <c r="AF75" s="42" t="s">
        <v>82</v>
      </c>
      <c r="AG75" s="42" t="s">
        <v>77</v>
      </c>
      <c r="AH75" s="42" t="s">
        <v>77</v>
      </c>
      <c r="AI75" s="42" t="s">
        <v>77</v>
      </c>
      <c r="AJ75" s="42" t="s">
        <v>77</v>
      </c>
      <c r="AK75" s="42" t="s">
        <v>77</v>
      </c>
      <c r="AL75" t="str">
        <f>VLOOKUP($Q75,武学奇术!$A:$ZZ,25,FALSE)</f>
        <v>横刀</v>
      </c>
      <c r="AM75" s="27">
        <f>VLOOKUP($Q75,武学奇术!$A:$ZZ,26,FALSE)</f>
        <v>0.6486</v>
      </c>
      <c r="AN75" s="28">
        <f>VLOOKUP($Q75,武学奇术!$A:$ZZ,27,FALSE)*(1+IF(OR($AL75=$F$4,$AL75=$F$5),$B$22,0))</f>
        <v>270</v>
      </c>
      <c r="AO75" s="27">
        <f>VLOOKUP($Q75,武学奇术!$A:$ZZ,28,FALSE)</f>
        <v>0.9729</v>
      </c>
      <c r="AP75" s="28">
        <f>VLOOKUP($Q75,武学奇术!$A:$ZZ,29,FALSE)*(1+IF(OR($AL75=$F$4,$AL75=$F$5),$B$22,0))</f>
        <v>147</v>
      </c>
      <c r="AQ75" s="27" cm="1">
        <f t="array" ref="AQ75">$G$3+IFERROR(VLOOKUP($AL75,$F$4:$G$7,2,FALSE),0)+VLOOKUP($Q75,武学奇术!$A:$ZZ,2,FALSE)+SUM(_xlfn.XLOOKUP($R75:$AK75,增益!$A:$A,增益!$B:$B,0))</f>
        <v>0.3689</v>
      </c>
      <c r="AR75" s="27" cm="1">
        <f t="array" ref="AR75">VLOOKUP($Q75,武学奇术!$A:$ZZ,5,FALSE)+SUM(_xlfn.XLOOKUP($R75:$AK75,增益!$A:$A,增益!$E:$E,0))</f>
        <v>0</v>
      </c>
      <c r="AS75" cm="1">
        <f t="array" ref="AS75">$D$10*(1+$AR75)+VLOOKUP($Q75,武学奇术!$A:$ZZ,3,FALSE)+SUM(_xlfn.XLOOKUP($R75:$AK75,增益!$A:$A,增益!$C:$C,0))-$I$2</f>
        <v>3586.7</v>
      </c>
      <c r="AT75" cm="1">
        <f t="array" ref="AT75">$E$10*(1+$AR75)+VLOOKUP($Q75,武学奇术!$A:$ZZ,4,FALSE)+SUM(_xlfn.XLOOKUP($R75:$AK75,增益!$A:$A,增益!$D:$D,0))-$I$2</f>
        <v>3586.7</v>
      </c>
      <c r="AU75" s="34" cm="1">
        <f t="array" ref="AU75">IF($F$10-$I$3+VLOOKUP($Q75,武学奇术!$A:$ZZ,6,FALSE)+SUM(_xlfn.XLOOKUP($R75:$AK75,增益!$A:$A,增益!$F:$F,0))&gt;0,($F$10-$I$3+VLOOKUP($Q75,武学奇术!$A:$ZZ,6,FALSE)+SUM(_xlfn.XLOOKUP($R75:$AK75,增益!$A:$A,增益!$F:$F,0)))/200,($F$10-$I$3+VLOOKUP($Q75,武学奇术!$A:$ZZ,6,FALSE)+SUM(_xlfn.XLOOKUP($R75:$AK75,增益!$A:$A,增益!$F:$F,0)))/100)</f>
        <v>0.327</v>
      </c>
      <c r="AV75" s="34" cm="1">
        <f t="array" ref="AV75">$G$10+VLOOKUP($Q75,武学奇术!$A:$ZZ,7,FALSE)+SUM(_xlfn.XLOOKUP($R75:$AK75,增益!$A:$A,增益!$G:$G,0))</f>
        <v>0</v>
      </c>
      <c r="AW75" s="27" cm="1">
        <f t="array" ref="AW75">VLOOKUP($Q75,武学奇术!$A:$ZZ,8,FALSE)+SUM(_xlfn.XLOOKUP($R75:$AK75,增益!$A:$A,增益!$H:$H,0))</f>
        <v>0</v>
      </c>
      <c r="AX75">
        <f t="shared" si="12"/>
        <v>0</v>
      </c>
      <c r="AY75">
        <f t="shared" si="13"/>
        <v>0</v>
      </c>
      <c r="AZ75" s="34" cm="1">
        <f t="array" ref="AZ75">IF($F$11-$I$4+VLOOKUP($Q75,武学奇术!$A:$ZZ,9,FALSE)+SUM(_xlfn.XLOOKUP($R75:$AK75,增益!$A:$A,增益!$I:$I,0))&gt;0,($F$11-$I$4+VLOOKUP($Q75,武学奇术!$A:$ZZ,9,FALSE)+SUM(_xlfn.XLOOKUP($R75:$AK75,增益!$A:$A,增益!$I:$I,0)))/200,($F$11-$I$4+VLOOKUP($Q75,武学奇术!$A:$ZZ,9,FALSE)+SUM(_xlfn.XLOOKUP($R75:$AK75,增益!$A:$A,增益!$I:$I,0)))/100)</f>
        <v>-0.3</v>
      </c>
      <c r="BA75" s="34" cm="1">
        <f t="array" ref="BA75">$G$11+VLOOKUP($Q75,武学奇术!$A:$ZZ,10,FALSE)+SUM(_xlfn.XLOOKUP($R75:$AK75,增益!$A:$A,增益!$J:$J,0))</f>
        <v>0</v>
      </c>
      <c r="BB75">
        <f t="shared" si="14"/>
        <v>594.1</v>
      </c>
      <c r="BC75">
        <f t="shared" si="15"/>
        <v>1604.9</v>
      </c>
      <c r="BD75" s="34" cm="1">
        <f t="array" ref="BD75">IF($F$12-$I$4+VLOOKUP($Q75,武学奇术!$A:$ZZ,11,FALSE)+SUM(_xlfn.XLOOKUP($R75:$AK75,增益!$A:$A,增益!$K:$K,0))&gt;0,($F$12-$I$4+VLOOKUP($Q75,武学奇术!$A:$ZZ,11,FALSE)+SUM(_xlfn.XLOOKUP($R75:$AK75,增益!$A:$A,增益!$K:$K,0)))/200,($F$12-$I$4+VLOOKUP($Q75,武学奇术!$A:$ZZ,11,FALSE)+SUM(_xlfn.XLOOKUP($R75:$AK75,增益!$A:$A,增益!$K:$K,0)))/100)</f>
        <v>0.09</v>
      </c>
      <c r="BE75" s="34" cm="1">
        <f t="array" ref="BE75">$G$12+VLOOKUP($Q75,武学奇术!$A:$ZZ,12,FALSE)+SUM(_xlfn.XLOOKUP($R75:$AK75,增益!$A:$A,增益!$L:$L,0))</f>
        <v>0.15</v>
      </c>
      <c r="BF75">
        <f t="shared" si="16"/>
        <v>0</v>
      </c>
      <c r="BG75">
        <f t="shared" si="17"/>
        <v>0</v>
      </c>
      <c r="BH75" s="34" cm="1">
        <f t="array" ref="BH75">IF($F$13-$I$4+VLOOKUP($Q75,武学奇术!$A:$ZZ,13,FALSE)+SUM(_xlfn.XLOOKUP($R75:$AK75,增益!$A:$A,增益!$M:$M,0))&gt;0,($F$13-$I$4+VLOOKUP($Q75,武学奇术!$A:$ZZ,13,FALSE)+SUM(_xlfn.XLOOKUP($R75:$AK75,增益!$A:$A,增益!$K:$K,0)))/200,($F$13-$I$4+VLOOKUP($Q75,武学奇术!$A:$ZZ,13,FALSE)+SUM(_xlfn.XLOOKUP($R75:$AK75,增益!$A:$A,增益!$M:$M,0)))/100)</f>
        <v>-0.3</v>
      </c>
      <c r="BI75" s="34" cm="1">
        <f t="array" ref="BI75">$G$13+VLOOKUP($Q75,武学奇术!$A:$ZZ,14,FALSE)+SUM(_xlfn.XLOOKUP($R75:$AK75,增益!$A:$A,增益!$N:$N,0))</f>
        <v>0</v>
      </c>
      <c r="BJ75">
        <f t="shared" si="18"/>
        <v>0</v>
      </c>
      <c r="BK75">
        <f t="shared" si="19"/>
        <v>0</v>
      </c>
      <c r="BL75" s="34" cm="1">
        <f t="array" ref="BL75">IF($F$14-$I$4+VLOOKUP($Q75,武学奇术!$A:$ZZ,15,FALSE)+SUM(_xlfn.XLOOKUP($R75:$AK75,增益!$A:$A,增益!$O:$O,0))&gt;0,($F$14-$I$4+VLOOKUP($Q75,武学奇术!$A:$ZZ,15,FALSE)+SUM(_xlfn.XLOOKUP($R75:$AK75,增益!$A:$A,增益!$O:$O,0)))/200,($F$14-$I$4+VLOOKUP($Q75,武学奇术!$A:$ZZ,15,FALSE)+SUM(_xlfn.XLOOKUP($R75:$AK75,增益!$A:$A,增益!$O:$O,0)))/100)</f>
        <v>-0.3</v>
      </c>
      <c r="BM75" s="34" cm="1">
        <f t="array" ref="BM75">$G$14+VLOOKUP($Q75,武学奇术!$A:$ZZ,16,FALSE)+SUM(_xlfn.XLOOKUP($R75:$AK75,增益!$A:$A,增益!$P:$P,0))</f>
        <v>0</v>
      </c>
      <c r="BN75" s="27">
        <f>MIN(IF(VLOOKUP($Q75,武学奇术!$A:$ZZ,23,FALSE)=1,100%,$B$8),100%)</f>
        <v>0.9859</v>
      </c>
      <c r="BO75" s="27" cm="1">
        <f t="array" ref="BO75">IF(VLOOKUP($Q75,武学奇术!$A:$ZZ,23,FALSE)=1,100%,MIN(80%,$B$9+VLOOKUP($Q75,武学奇术!$A:$ZZ,17,FALSE)+SUM(_xlfn.XLOOKUP($R75:$AK75,增益!$A:$A,增益!$Q:$Q,0)))+$B$11+SUM(_xlfn.XLOOKUP($R75:$AK75,增益!$A:$A,增益!$U:$U,0)))*IF(VLOOKUP($Q75,武学奇术!$A:$ZZ,24,FALSE)=1,0,1)</f>
        <v>0.8912</v>
      </c>
      <c r="BP75" s="27" cm="1">
        <f t="array" ref="BP75">1+$B$13+VLOOKUP($Q75,武学奇术!$A:$ZZ,18,FALSE)+SUM(_xlfn.XLOOKUP($R75:$AK75,增益!$A:$A,增益!$R:$R,0))</f>
        <v>1.95</v>
      </c>
      <c r="BQ75" s="27" cm="1">
        <f t="array" ref="BQ75">IF(VLOOKUP($Q75,武学奇术!$A:$ZZ,24,FALSE)=1,100%,MIN(40%,$B$10+VLOOKUP($Q75,武学奇术!$A:$ZZ,19,FALSE)+SUM(_xlfn.XLOOKUP($R75:$AK75,增益!$A:$A,增益!$S:$S,0)))+$B$12+SUM(_xlfn.XLOOKUP($R75:$AK75,增益!$A:$A,增益!$V:$V,0)))*IF(VLOOKUP($Q75,武学奇术!$A:$ZZ,23,FALSE)=1,0,1)</f>
        <v>0.0929</v>
      </c>
      <c r="BR75" s="27" cm="1">
        <f t="array" ref="BR75">1+$B$14+VLOOKUP($Q75,武学奇术!$A:$ZZ,20,FALSE)+SUM(_xlfn.XLOOKUP($R75:$AK75,增益!$A:$A,增益!$T:$T,0))</f>
        <v>1.35</v>
      </c>
      <c r="BS75" s="27">
        <f t="shared" si="20"/>
        <v>0.87863408</v>
      </c>
      <c r="BT75" s="27">
        <f t="shared" si="21"/>
        <v>0.01567581</v>
      </c>
      <c r="BU75" s="27">
        <f>IF(VLOOKUP($Q75,武学奇术!$A:$ZZ,22,FALSE)=1,0,(1-$BN75))*(1-$BQ75)</f>
        <v>0.01279011</v>
      </c>
      <c r="BV75" s="27" cm="1">
        <f t="array" ref="BV75">SUM(_xlfn.XLOOKUP($R75:$AK75,增益!$A:$A,增益!$W:$W,0))+$I$5</f>
        <v>0.11</v>
      </c>
    </row>
    <row r="76" spans="1:74">
      <c r="K76" s="40">
        <f t="shared" si="11"/>
        <v>73860.1994970668</v>
      </c>
      <c r="L76" s="40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BP76*$P76*(1+IF(VLOOKUP($Q76,武学奇术!$A:$ZZ,30,FALSE)="蓄力技",$B$21,0))*(1+$BV76)</f>
        <v>76750.1276533862</v>
      </c>
      <c r="M76" s="40">
        <f>(($AT76*$AM76+$AN76)*(1+$AU76)*(1+$AV76)+($AY76*IF($G$1="鸣金",$AO76,$AM76)+IF($G$1="鸣金",$AP76*1.5,0))*(1+$AZ76)*(1+$BA76)+($BC76*IF($G$1="裂石",$AO76,$AM76)+IF($G$1="裂石",$AP76*1.5,0))*(1+$BD76)*(1+$BE76)+($BG76*IF($G$1="牵丝",$AO76,$AM76)+IF($G$1="牵丝",$AP76*1.5,0))*(1+$BH76)*(1+$BI76)+($BK76*IF($G$1="破竹",$AO76,$AM76)+IF($G$1="破竹",$AP76*1.5,0))*(1+$BL76)*(1+$BM76))*(1+$AQ76)*$BR76*$P76*(1+IF(VLOOKUP($Q76,武学奇术!$A:$ZZ,30,FALSE)="蓄力技",$B$21,0))*(1+$BV76)</f>
        <v>58036.1990245068</v>
      </c>
      <c r="N76" s="40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P76*(1+IF(VLOOKUP($Q76,武学奇术!$A:$ZZ,30,FALSE)="蓄力技",$B$21,0))*(1+$BV76)</f>
        <v>38375.0638266931</v>
      </c>
      <c r="O76" s="40">
        <f>((($AS76*$AM76+$AN76)*(1+$AU76)*(1+$AV76)+($AX76*IF($G$1="鸣金",$AO76,$AM76)+IF($G$1="鸣金",$AP76*1.5,0))*(1+$AZ76)*(1+$BA76)+($BB76*IF($G$1="裂石",$AO76,$AM76)+IF($G$1="裂石",$AP76*1.5,0))*(1+$BD76)*(1+$BE76)+($BF76*IF($G$1="牵丝",$AO76,$AM76)+IF($G$1="牵丝",$AP76*1.5,0))*(1+$BH76)*(1+$BI76)+($BJ76*IF($G$1="破竹",$AO76,$AM76)+IF($G$1="破竹",$AP76*1.5,0))*(1+$BL76)*(1+$BM76))*(1+$AQ76))*$P76*(1+IF(VLOOKUP($Q76,武学奇术!$A:$ZZ,30,FALSE)="蓄力技",$B$21,0))*(1+$BV76)</f>
        <v>33760.350598196</v>
      </c>
      <c r="P76" s="41">
        <v>1</v>
      </c>
      <c r="Q76" s="42" t="s">
        <v>180</v>
      </c>
      <c r="R76" s="42" t="s">
        <v>103</v>
      </c>
      <c r="S76" s="42" t="s">
        <v>77</v>
      </c>
      <c r="T76" s="42" t="s">
        <v>77</v>
      </c>
      <c r="U76" s="42" t="s">
        <v>121</v>
      </c>
      <c r="V76" s="42" t="s">
        <v>77</v>
      </c>
      <c r="W76" s="42" t="s">
        <v>77</v>
      </c>
      <c r="X76" s="42" t="s">
        <v>176</v>
      </c>
      <c r="Y76" s="42" t="s">
        <v>77</v>
      </c>
      <c r="Z76" s="42" t="s">
        <v>77</v>
      </c>
      <c r="AA76" s="42" t="s">
        <v>73</v>
      </c>
      <c r="AB76" s="42" t="s">
        <v>77</v>
      </c>
      <c r="AC76" s="42" t="s">
        <v>77</v>
      </c>
      <c r="AD76" s="42" t="s">
        <v>77</v>
      </c>
      <c r="AE76" s="42" t="s">
        <v>81</v>
      </c>
      <c r="AF76" s="42" t="s">
        <v>82</v>
      </c>
      <c r="AG76" s="42" t="s">
        <v>77</v>
      </c>
      <c r="AH76" s="42" t="s">
        <v>77</v>
      </c>
      <c r="AI76" s="42" t="s">
        <v>77</v>
      </c>
      <c r="AJ76" s="42" t="s">
        <v>77</v>
      </c>
      <c r="AK76" s="42" t="s">
        <v>77</v>
      </c>
      <c r="AL76" t="str">
        <f>VLOOKUP($Q76,武学奇术!$A:$ZZ,25,FALSE)</f>
        <v>横刀</v>
      </c>
      <c r="AM76" s="27">
        <f>VLOOKUP($Q76,武学奇术!$A:$ZZ,26,FALSE)</f>
        <v>2.8245</v>
      </c>
      <c r="AN76" s="28">
        <f>VLOOKUP($Q76,武学奇术!$A:$ZZ,27,FALSE)*(1+IF(OR($AL76=$F$4,$AL76=$F$5),$B$22,0))</f>
        <v>1173</v>
      </c>
      <c r="AO76" s="27">
        <f>VLOOKUP($Q76,武学奇术!$A:$ZZ,28,FALSE)</f>
        <v>4.236808</v>
      </c>
      <c r="AP76" s="28">
        <f>VLOOKUP($Q76,武学奇术!$A:$ZZ,29,FALSE)*(1+IF(OR($AL76=$F$4,$AL76=$F$5),$B$22,0))</f>
        <v>637.5</v>
      </c>
      <c r="AQ76" s="27" cm="1">
        <f t="array" ref="AQ76">$G$3+IFERROR(VLOOKUP($AL76,$F$4:$G$7,2,FALSE),0)+VLOOKUP($Q76,武学奇术!$A:$ZZ,2,FALSE)+SUM(_xlfn.XLOOKUP($R76:$AK76,增益!$A:$A,增益!$B:$B,0))</f>
        <v>0.5489</v>
      </c>
      <c r="AR76" s="27" cm="1">
        <f t="array" ref="AR76">VLOOKUP($Q76,武学奇术!$A:$ZZ,5,FALSE)+SUM(_xlfn.XLOOKUP($R76:$AK76,增益!$A:$A,增益!$E:$E,0))</f>
        <v>0</v>
      </c>
      <c r="AS76" cm="1">
        <f t="array" ref="AS76">$D$10*(1+$AR76)+VLOOKUP($Q76,武学奇术!$A:$ZZ,3,FALSE)+SUM(_xlfn.XLOOKUP($R76:$AK76,增益!$A:$A,增益!$C:$C,0))-$I$2</f>
        <v>3586.7</v>
      </c>
      <c r="AT76" cm="1">
        <f t="array" ref="AT76">$E$10*(1+$AR76)+VLOOKUP($Q76,武学奇术!$A:$ZZ,4,FALSE)+SUM(_xlfn.XLOOKUP($R76:$AK76,增益!$A:$A,增益!$D:$D,0))-$I$2</f>
        <v>3586.7</v>
      </c>
      <c r="AU76" s="34" cm="1">
        <f t="array" ref="AU76">IF($F$10-$I$3+VLOOKUP($Q76,武学奇术!$A:$ZZ,6,FALSE)+SUM(_xlfn.XLOOKUP($R76:$AK76,增益!$A:$A,增益!$F:$F,0))&gt;0,($F$10-$I$3+VLOOKUP($Q76,武学奇术!$A:$ZZ,6,FALSE)+SUM(_xlfn.XLOOKUP($R76:$AK76,增益!$A:$A,增益!$F:$F,0)))/200,($F$10-$I$3+VLOOKUP($Q76,武学奇术!$A:$ZZ,6,FALSE)+SUM(_xlfn.XLOOKUP($R76:$AK76,增益!$A:$A,增益!$F:$F,0)))/100)</f>
        <v>0.352</v>
      </c>
      <c r="AV76" s="34" cm="1">
        <f t="array" ref="AV76">$G$10+VLOOKUP($Q76,武学奇术!$A:$ZZ,7,FALSE)+SUM(_xlfn.XLOOKUP($R76:$AK76,增益!$A:$A,增益!$G:$G,0))</f>
        <v>0</v>
      </c>
      <c r="AW76" s="27" cm="1">
        <f t="array" ref="AW76">VLOOKUP($Q76,武学奇术!$A:$ZZ,8,FALSE)+SUM(_xlfn.XLOOKUP($R76:$AK76,增益!$A:$A,增益!$H:$H,0))</f>
        <v>0</v>
      </c>
      <c r="AX76">
        <f t="shared" si="12"/>
        <v>0</v>
      </c>
      <c r="AY76">
        <f t="shared" si="13"/>
        <v>0</v>
      </c>
      <c r="AZ76" s="34" cm="1">
        <f t="array" ref="AZ76">IF($F$11-$I$4+VLOOKUP($Q76,武学奇术!$A:$ZZ,9,FALSE)+SUM(_xlfn.XLOOKUP($R76:$AK76,增益!$A:$A,增益!$I:$I,0))&gt;0,($F$11-$I$4+VLOOKUP($Q76,武学奇术!$A:$ZZ,9,FALSE)+SUM(_xlfn.XLOOKUP($R76:$AK76,增益!$A:$A,增益!$I:$I,0)))/200,($F$11-$I$4+VLOOKUP($Q76,武学奇术!$A:$ZZ,9,FALSE)+SUM(_xlfn.XLOOKUP($R76:$AK76,增益!$A:$A,增益!$I:$I,0)))/100)</f>
        <v>-0.3</v>
      </c>
      <c r="BA76" s="34" cm="1">
        <f t="array" ref="BA76">$G$11+VLOOKUP($Q76,武学奇术!$A:$ZZ,10,FALSE)+SUM(_xlfn.XLOOKUP($R76:$AK76,增益!$A:$A,增益!$J:$J,0))</f>
        <v>0</v>
      </c>
      <c r="BB76">
        <f t="shared" si="14"/>
        <v>594.1</v>
      </c>
      <c r="BC76">
        <f t="shared" si="15"/>
        <v>1604.9</v>
      </c>
      <c r="BD76" s="34" cm="1">
        <f t="array" ref="BD76">IF($F$12-$I$4+VLOOKUP($Q76,武学奇术!$A:$ZZ,11,FALSE)+SUM(_xlfn.XLOOKUP($R76:$AK76,增益!$A:$A,增益!$K:$K,0))&gt;0,($F$12-$I$4+VLOOKUP($Q76,武学奇术!$A:$ZZ,11,FALSE)+SUM(_xlfn.XLOOKUP($R76:$AK76,增益!$A:$A,增益!$K:$K,0)))/200,($F$12-$I$4+VLOOKUP($Q76,武学奇术!$A:$ZZ,11,FALSE)+SUM(_xlfn.XLOOKUP($R76:$AK76,增益!$A:$A,增益!$K:$K,0)))/100)</f>
        <v>0.09</v>
      </c>
      <c r="BE76" s="34" cm="1">
        <f t="array" ref="BE76">$G$12+VLOOKUP($Q76,武学奇术!$A:$ZZ,12,FALSE)+SUM(_xlfn.XLOOKUP($R76:$AK76,增益!$A:$A,增益!$L:$L,0))</f>
        <v>0.15</v>
      </c>
      <c r="BF76">
        <f t="shared" si="16"/>
        <v>0</v>
      </c>
      <c r="BG76">
        <f t="shared" si="17"/>
        <v>0</v>
      </c>
      <c r="BH76" s="34" cm="1">
        <f t="array" ref="BH76">IF($F$13-$I$4+VLOOKUP($Q76,武学奇术!$A:$ZZ,13,FALSE)+SUM(_xlfn.XLOOKUP($R76:$AK76,增益!$A:$A,增益!$M:$M,0))&gt;0,($F$13-$I$4+VLOOKUP($Q76,武学奇术!$A:$ZZ,13,FALSE)+SUM(_xlfn.XLOOKUP($R76:$AK76,增益!$A:$A,增益!$K:$K,0)))/200,($F$13-$I$4+VLOOKUP($Q76,武学奇术!$A:$ZZ,13,FALSE)+SUM(_xlfn.XLOOKUP($R76:$AK76,增益!$A:$A,增益!$M:$M,0)))/100)</f>
        <v>-0.3</v>
      </c>
      <c r="BI76" s="34" cm="1">
        <f t="array" ref="BI76">$G$13+VLOOKUP($Q76,武学奇术!$A:$ZZ,14,FALSE)+SUM(_xlfn.XLOOKUP($R76:$AK76,增益!$A:$A,增益!$N:$N,0))</f>
        <v>0</v>
      </c>
      <c r="BJ76">
        <f t="shared" si="18"/>
        <v>0</v>
      </c>
      <c r="BK76">
        <f t="shared" si="19"/>
        <v>0</v>
      </c>
      <c r="BL76" s="34" cm="1">
        <f t="array" ref="BL76">IF($F$14-$I$4+VLOOKUP($Q76,武学奇术!$A:$ZZ,15,FALSE)+SUM(_xlfn.XLOOKUP($R76:$AK76,增益!$A:$A,增益!$O:$O,0))&gt;0,($F$14-$I$4+VLOOKUP($Q76,武学奇术!$A:$ZZ,15,FALSE)+SUM(_xlfn.XLOOKUP($R76:$AK76,增益!$A:$A,增益!$O:$O,0)))/200,($F$14-$I$4+VLOOKUP($Q76,武学奇术!$A:$ZZ,15,FALSE)+SUM(_xlfn.XLOOKUP($R76:$AK76,增益!$A:$A,增益!$O:$O,0)))/100)</f>
        <v>-0.3</v>
      </c>
      <c r="BM76" s="34" cm="1">
        <f t="array" ref="BM76">$G$14+VLOOKUP($Q76,武学奇术!$A:$ZZ,16,FALSE)+SUM(_xlfn.XLOOKUP($R76:$AK76,增益!$A:$A,增益!$P:$P,0))</f>
        <v>0</v>
      </c>
      <c r="BN76" s="27">
        <f>MIN(IF(VLOOKUP($Q76,武学奇术!$A:$ZZ,23,FALSE)=1,100%,$B$8),100%)</f>
        <v>0.9859</v>
      </c>
      <c r="BO76" s="27" cm="1">
        <f t="array" ref="BO76">IF(VLOOKUP($Q76,武学奇术!$A:$ZZ,23,FALSE)=1,100%,MIN(80%,$B$9+VLOOKUP($Q76,武学奇术!$A:$ZZ,17,FALSE)+SUM(_xlfn.XLOOKUP($R76:$AK76,增益!$A:$A,增益!$Q:$Q,0)))+$B$11+SUM(_xlfn.XLOOKUP($R76:$AK76,增益!$A:$A,增益!$U:$U,0)))*IF(VLOOKUP($Q76,武学奇术!$A:$ZZ,24,FALSE)=1,0,1)</f>
        <v>0.8912</v>
      </c>
      <c r="BP76" s="27" cm="1">
        <f t="array" ref="BP76">1+$B$13+VLOOKUP($Q76,武学奇术!$A:$ZZ,18,FALSE)+SUM(_xlfn.XLOOKUP($R76:$AK76,增益!$A:$A,增益!$R:$R,0))</f>
        <v>2</v>
      </c>
      <c r="BQ76" s="27" cm="1">
        <f t="array" ref="BQ76">IF(VLOOKUP($Q76,武学奇术!$A:$ZZ,24,FALSE)=1,100%,MIN(40%,$B$10+VLOOKUP($Q76,武学奇术!$A:$ZZ,19,FALSE)+SUM(_xlfn.XLOOKUP($R76:$AK76,增益!$A:$A,增益!$S:$S,0)))+$B$12+SUM(_xlfn.XLOOKUP($R76:$AK76,增益!$A:$A,增益!$V:$V,0)))*IF(VLOOKUP($Q76,武学奇术!$A:$ZZ,23,FALSE)=1,0,1)</f>
        <v>0.0929</v>
      </c>
      <c r="BR76" s="27" cm="1">
        <f t="array" ref="BR76">1+$B$14+VLOOKUP($Q76,武学奇术!$A:$ZZ,20,FALSE)+SUM(_xlfn.XLOOKUP($R76:$AK76,增益!$A:$A,增益!$T:$T,0))</f>
        <v>1.35</v>
      </c>
      <c r="BS76" s="27">
        <f t="shared" si="20"/>
        <v>0.87863408</v>
      </c>
      <c r="BT76" s="27">
        <f t="shared" si="21"/>
        <v>0.01567581</v>
      </c>
      <c r="BU76" s="27">
        <f>IF(VLOOKUP($Q76,武学奇术!$A:$ZZ,22,FALSE)=1,0,(1-$BN76))*(1-$BQ76)</f>
        <v>0.01279011</v>
      </c>
      <c r="BV76" s="27" cm="1">
        <f t="array" ref="BV76">SUM(_xlfn.XLOOKUP($R76:$AK76,增益!$A:$A,增益!$W:$W,0))+$I$5</f>
        <v>0.11</v>
      </c>
    </row>
    <row r="77" spans="1:74">
      <c r="K77" s="40">
        <f t="shared" si="11"/>
        <v>30003.7718841182</v>
      </c>
      <c r="L77" s="40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BP77*$P77*(1+IF(VLOOKUP($Q77,武学奇术!$A:$ZZ,30,FALSE)="蓄力技",$B$21,0))*(1+$BV77)</f>
        <v>31146.4926767784</v>
      </c>
      <c r="M77" s="40">
        <f>(($AT77*$AM77+$AN77)*(1+$AU77)*(1+$AV77)+($AY77*IF($G$1="鸣金",$AO77,$AM77)+IF($G$1="鸣金",$AP77*1.5,0))*(1+$AZ77)*(1+$BA77)+($BC77*IF($G$1="裂石",$AO77,$AM77)+IF($G$1="裂石",$AP77*1.5,0))*(1+$BD77)*(1+$BE77)+($BG77*IF($G$1="牵丝",$AO77,$AM77)+IF($G$1="牵丝",$AP77*1.5,0))*(1+$BH77)*(1+$BI77)+($BK77*IF($G$1="破竹",$AO77,$AM77)+IF($G$1="破竹",$AP77*1.5,0))*(1+$BL77)*(1+$BM77))*(1+$AQ77)*$BR77*$P77*(1+IF(VLOOKUP($Q77,武学奇术!$A:$ZZ,30,FALSE)="蓄力技",$B$21,0))*(1+$BV77)</f>
        <v>23912.3935871542</v>
      </c>
      <c r="N77" s="40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P77*(1+IF(VLOOKUP($Q77,武学奇术!$A:$ZZ,30,FALSE)="蓄力技",$B$21,0))*(1+$BV77)</f>
        <v>15573.2463383892</v>
      </c>
      <c r="O77" s="40">
        <f>((($AS77*$AM77+$AN77)*(1+$AU77)*(1+$AV77)+($AX77*IF($G$1="鸣金",$AO77,$AM77)+IF($G$1="鸣金",$AP77*1.5,0))*(1+$AZ77)*(1+$BA77)+($BB77*IF($G$1="裂石",$AO77,$AM77)+IF($G$1="裂石",$AP77*1.5,0))*(1+$BD77)*(1+$BE77)+($BF77*IF($G$1="牵丝",$AO77,$AM77)+IF($G$1="牵丝",$AP77*1.5,0))*(1+$BH77)*(1+$BI77)+($BJ77*IF($G$1="破竹",$AO77,$AM77)+IF($G$1="破竹",$AP77*1.5,0))*(1+$BL77)*(1+$BM77))*(1+$AQ77))*$P77*(1+IF(VLOOKUP($Q77,武学奇术!$A:$ZZ,30,FALSE)="蓄力技",$B$21,0))*(1+$BV77)</f>
        <v>13433.6085381457</v>
      </c>
      <c r="P77" s="41">
        <v>1</v>
      </c>
      <c r="Q77" s="42" t="s">
        <v>110</v>
      </c>
      <c r="R77" s="42" t="s">
        <v>103</v>
      </c>
      <c r="S77" s="42" t="s">
        <v>77</v>
      </c>
      <c r="T77" s="42" t="s">
        <v>77</v>
      </c>
      <c r="U77" s="42" t="s">
        <v>121</v>
      </c>
      <c r="V77" s="42" t="s">
        <v>77</v>
      </c>
      <c r="W77" s="42" t="s">
        <v>77</v>
      </c>
      <c r="X77" s="42" t="s">
        <v>176</v>
      </c>
      <c r="Y77" s="42" t="s">
        <v>77</v>
      </c>
      <c r="Z77" s="42" t="s">
        <v>77</v>
      </c>
      <c r="AA77" s="42" t="s">
        <v>73</v>
      </c>
      <c r="AB77" s="42" t="s">
        <v>77</v>
      </c>
      <c r="AC77" s="42" t="s">
        <v>77</v>
      </c>
      <c r="AD77" s="42" t="s">
        <v>77</v>
      </c>
      <c r="AE77" s="42" t="s">
        <v>81</v>
      </c>
      <c r="AF77" s="42" t="s">
        <v>82</v>
      </c>
      <c r="AG77" s="42" t="s">
        <v>77</v>
      </c>
      <c r="AH77" s="42" t="s">
        <v>77</v>
      </c>
      <c r="AI77" s="42" t="s">
        <v>77</v>
      </c>
      <c r="AJ77" s="42" t="s">
        <v>77</v>
      </c>
      <c r="AK77" s="42" t="s">
        <v>77</v>
      </c>
      <c r="AL77" t="str">
        <f>VLOOKUP($Q77,武学奇术!$A:$ZZ,25,FALSE)</f>
        <v>横刀</v>
      </c>
      <c r="AM77" s="27">
        <f>VLOOKUP($Q77,武学奇术!$A:$ZZ,26,FALSE)</f>
        <v>1.4</v>
      </c>
      <c r="AN77" s="28">
        <f>VLOOKUP($Q77,武学奇术!$A:$ZZ,27,FALSE)*(1+IF(OR($AL77=$F$4,$AL77=$F$5),$B$22,0))</f>
        <v>0</v>
      </c>
      <c r="AO77" s="27">
        <f>VLOOKUP($Q77,武学奇术!$A:$ZZ,28,FALSE)</f>
        <v>2.1</v>
      </c>
      <c r="AP77" s="28">
        <f>VLOOKUP($Q77,武学奇术!$A:$ZZ,29,FALSE)*(1+IF(OR($AL77=$F$4,$AL77=$F$5),$B$22,0))</f>
        <v>0</v>
      </c>
      <c r="AQ77" s="27" cm="1">
        <f t="array" ref="AQ77">$G$3+IFERROR(VLOOKUP($AL77,$F$4:$G$7,2,FALSE),0)+VLOOKUP($Q77,武学奇术!$A:$ZZ,2,FALSE)+SUM(_xlfn.XLOOKUP($R77:$AK77,增益!$A:$A,增益!$B:$B,0))</f>
        <v>0.4489</v>
      </c>
      <c r="AR77" s="27" cm="1">
        <f t="array" ref="AR77">VLOOKUP($Q77,武学奇术!$A:$ZZ,5,FALSE)+SUM(_xlfn.XLOOKUP($R77:$AK77,增益!$A:$A,增益!$E:$E,0))</f>
        <v>0</v>
      </c>
      <c r="AS77" cm="1">
        <f t="array" ref="AS77">$D$10*(1+$AR77)+VLOOKUP($Q77,武学奇术!$A:$ZZ,3,FALSE)+SUM(_xlfn.XLOOKUP($R77:$AK77,增益!$A:$A,增益!$C:$C,0))-$I$2</f>
        <v>3586.7</v>
      </c>
      <c r="AT77" cm="1">
        <f t="array" ref="AT77">$E$10*(1+$AR77)+VLOOKUP($Q77,武学奇术!$A:$ZZ,4,FALSE)+SUM(_xlfn.XLOOKUP($R77:$AK77,增益!$A:$A,增益!$D:$D,0))-$I$2</f>
        <v>3586.7</v>
      </c>
      <c r="AU77" s="34" cm="1">
        <f t="array" ref="AU77">IF($F$10-$I$3+VLOOKUP($Q77,武学奇术!$A:$ZZ,6,FALSE)+SUM(_xlfn.XLOOKUP($R77:$AK77,增益!$A:$A,增益!$F:$F,0))&gt;0,($F$10-$I$3+VLOOKUP($Q77,武学奇术!$A:$ZZ,6,FALSE)+SUM(_xlfn.XLOOKUP($R77:$AK77,增益!$A:$A,增益!$F:$F,0)))/200,($F$10-$I$3+VLOOKUP($Q77,武学奇术!$A:$ZZ,6,FALSE)+SUM(_xlfn.XLOOKUP($R77:$AK77,增益!$A:$A,增益!$F:$F,0)))/100)</f>
        <v>0.352</v>
      </c>
      <c r="AV77" s="34" cm="1">
        <f t="array" ref="AV77">$G$10+VLOOKUP($Q77,武学奇术!$A:$ZZ,7,FALSE)+SUM(_xlfn.XLOOKUP($R77:$AK77,增益!$A:$A,增益!$G:$G,0))</f>
        <v>0</v>
      </c>
      <c r="AW77" s="27" cm="1">
        <f t="array" ref="AW77">VLOOKUP($Q77,武学奇术!$A:$ZZ,8,FALSE)+SUM(_xlfn.XLOOKUP($R77:$AK77,增益!$A:$A,增益!$H:$H,0))</f>
        <v>0</v>
      </c>
      <c r="AX77">
        <f t="shared" si="12"/>
        <v>0</v>
      </c>
      <c r="AY77">
        <f t="shared" si="13"/>
        <v>0</v>
      </c>
      <c r="AZ77" s="34" cm="1">
        <f t="array" ref="AZ77">IF($F$11-$I$4+VLOOKUP($Q77,武学奇术!$A:$ZZ,9,FALSE)+SUM(_xlfn.XLOOKUP($R77:$AK77,增益!$A:$A,增益!$I:$I,0))&gt;0,($F$11-$I$4+VLOOKUP($Q77,武学奇术!$A:$ZZ,9,FALSE)+SUM(_xlfn.XLOOKUP($R77:$AK77,增益!$A:$A,增益!$I:$I,0)))/200,($F$11-$I$4+VLOOKUP($Q77,武学奇术!$A:$ZZ,9,FALSE)+SUM(_xlfn.XLOOKUP($R77:$AK77,增益!$A:$A,增益!$I:$I,0)))/100)</f>
        <v>-0.3</v>
      </c>
      <c r="BA77" s="34" cm="1">
        <f t="array" ref="BA77">$G$11+VLOOKUP($Q77,武学奇术!$A:$ZZ,10,FALSE)+SUM(_xlfn.XLOOKUP($R77:$AK77,增益!$A:$A,增益!$J:$J,0))</f>
        <v>0</v>
      </c>
      <c r="BB77">
        <f t="shared" si="14"/>
        <v>594.1</v>
      </c>
      <c r="BC77">
        <f t="shared" si="15"/>
        <v>1604.9</v>
      </c>
      <c r="BD77" s="34" cm="1">
        <f t="array" ref="BD77">IF($F$12-$I$4+VLOOKUP($Q77,武学奇术!$A:$ZZ,11,FALSE)+SUM(_xlfn.XLOOKUP($R77:$AK77,增益!$A:$A,增益!$K:$K,0))&gt;0,($F$12-$I$4+VLOOKUP($Q77,武学奇术!$A:$ZZ,11,FALSE)+SUM(_xlfn.XLOOKUP($R77:$AK77,增益!$A:$A,增益!$K:$K,0)))/200,($F$12-$I$4+VLOOKUP($Q77,武学奇术!$A:$ZZ,11,FALSE)+SUM(_xlfn.XLOOKUP($R77:$AK77,增益!$A:$A,增益!$K:$K,0)))/100)</f>
        <v>0.09</v>
      </c>
      <c r="BE77" s="34" cm="1">
        <f t="array" ref="BE77">$G$12+VLOOKUP($Q77,武学奇术!$A:$ZZ,12,FALSE)+SUM(_xlfn.XLOOKUP($R77:$AK77,增益!$A:$A,增益!$L:$L,0))</f>
        <v>0.15</v>
      </c>
      <c r="BF77">
        <f t="shared" si="16"/>
        <v>0</v>
      </c>
      <c r="BG77">
        <f t="shared" si="17"/>
        <v>0</v>
      </c>
      <c r="BH77" s="34" cm="1">
        <f t="array" ref="BH77">IF($F$13-$I$4+VLOOKUP($Q77,武学奇术!$A:$ZZ,13,FALSE)+SUM(_xlfn.XLOOKUP($R77:$AK77,增益!$A:$A,增益!$M:$M,0))&gt;0,($F$13-$I$4+VLOOKUP($Q77,武学奇术!$A:$ZZ,13,FALSE)+SUM(_xlfn.XLOOKUP($R77:$AK77,增益!$A:$A,增益!$K:$K,0)))/200,($F$13-$I$4+VLOOKUP($Q77,武学奇术!$A:$ZZ,13,FALSE)+SUM(_xlfn.XLOOKUP($R77:$AK77,增益!$A:$A,增益!$M:$M,0)))/100)</f>
        <v>-0.3</v>
      </c>
      <c r="BI77" s="34" cm="1">
        <f t="array" ref="BI77">$G$13+VLOOKUP($Q77,武学奇术!$A:$ZZ,14,FALSE)+SUM(_xlfn.XLOOKUP($R77:$AK77,增益!$A:$A,增益!$N:$N,0))</f>
        <v>0</v>
      </c>
      <c r="BJ77">
        <f t="shared" si="18"/>
        <v>0</v>
      </c>
      <c r="BK77">
        <f t="shared" si="19"/>
        <v>0</v>
      </c>
      <c r="BL77" s="34" cm="1">
        <f t="array" ref="BL77">IF($F$14-$I$4+VLOOKUP($Q77,武学奇术!$A:$ZZ,15,FALSE)+SUM(_xlfn.XLOOKUP($R77:$AK77,增益!$A:$A,增益!$O:$O,0))&gt;0,($F$14-$I$4+VLOOKUP($Q77,武学奇术!$A:$ZZ,15,FALSE)+SUM(_xlfn.XLOOKUP($R77:$AK77,增益!$A:$A,增益!$O:$O,0)))/200,($F$14-$I$4+VLOOKUP($Q77,武学奇术!$A:$ZZ,15,FALSE)+SUM(_xlfn.XLOOKUP($R77:$AK77,增益!$A:$A,增益!$O:$O,0)))/100)</f>
        <v>-0.3</v>
      </c>
      <c r="BM77" s="34" cm="1">
        <f t="array" ref="BM77">$G$14+VLOOKUP($Q77,武学奇术!$A:$ZZ,16,FALSE)+SUM(_xlfn.XLOOKUP($R77:$AK77,增益!$A:$A,增益!$P:$P,0))</f>
        <v>0</v>
      </c>
      <c r="BN77" s="27">
        <f>MIN(IF(VLOOKUP($Q77,武学奇术!$A:$ZZ,23,FALSE)=1,100%,$B$8),100%)</f>
        <v>0.9859</v>
      </c>
      <c r="BO77" s="27" cm="1">
        <f t="array" ref="BO77">IF(VLOOKUP($Q77,武学奇术!$A:$ZZ,23,FALSE)=1,100%,MIN(80%,$B$9+VLOOKUP($Q77,武学奇术!$A:$ZZ,17,FALSE)+SUM(_xlfn.XLOOKUP($R77:$AK77,增益!$A:$A,增益!$Q:$Q,0)))+$B$11+SUM(_xlfn.XLOOKUP($R77:$AK77,增益!$A:$A,增益!$U:$U,0)))*IF(VLOOKUP($Q77,武学奇术!$A:$ZZ,24,FALSE)=1,0,1)</f>
        <v>0.8912</v>
      </c>
      <c r="BP77" s="27" cm="1">
        <f t="array" ref="BP77">1+$B$13+VLOOKUP($Q77,武学奇术!$A:$ZZ,18,FALSE)+SUM(_xlfn.XLOOKUP($R77:$AK77,增益!$A:$A,增益!$R:$R,0))</f>
        <v>2</v>
      </c>
      <c r="BQ77" s="27" cm="1">
        <f t="array" ref="BQ77">IF(VLOOKUP($Q77,武学奇术!$A:$ZZ,24,FALSE)=1,100%,MIN(40%,$B$10+VLOOKUP($Q77,武学奇术!$A:$ZZ,19,FALSE)+SUM(_xlfn.XLOOKUP($R77:$AK77,增益!$A:$A,增益!$S:$S,0)))+$B$12+SUM(_xlfn.XLOOKUP($R77:$AK77,增益!$A:$A,增益!$V:$V,0)))*IF(VLOOKUP($Q77,武学奇术!$A:$ZZ,23,FALSE)=1,0,1)</f>
        <v>0.0929</v>
      </c>
      <c r="BR77" s="27" cm="1">
        <f t="array" ref="BR77">1+$B$14+VLOOKUP($Q77,武学奇术!$A:$ZZ,20,FALSE)+SUM(_xlfn.XLOOKUP($R77:$AK77,增益!$A:$A,增益!$T:$T,0))</f>
        <v>1.35</v>
      </c>
      <c r="BS77" s="27">
        <f t="shared" si="20"/>
        <v>0.87863408</v>
      </c>
      <c r="BT77" s="27">
        <f t="shared" si="21"/>
        <v>0.01567581</v>
      </c>
      <c r="BU77" s="27">
        <f>IF(VLOOKUP($Q77,武学奇术!$A:$ZZ,22,FALSE)=1,0,(1-$BN77))*(1-$BQ77)</f>
        <v>0.01279011</v>
      </c>
      <c r="BV77" s="27" cm="1">
        <f t="array" ref="BV77">SUM(_xlfn.XLOOKUP($R77:$AK77,增益!$A:$A,增益!$W:$W,0))+$I$5</f>
        <v>0.11</v>
      </c>
    </row>
    <row r="78" spans="1:74">
      <c r="A78" s="4"/>
      <c r="B78" s="4"/>
      <c r="K78" s="40">
        <f t="shared" si="11"/>
        <v>0</v>
      </c>
      <c r="L78" s="40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BP78*$P78*(1+IF(VLOOKUP($Q78,武学奇术!$A:$ZZ,30,FALSE)="蓄力技",$B$21,0))*(1+$BV78)</f>
        <v>0</v>
      </c>
      <c r="M78" s="40">
        <f>(($AT78*$AM78+$AN78)*(1+$AU78)*(1+$AV78)+($AY78*IF($G$1="鸣金",$AO78,$AM78)+IF($G$1="鸣金",$AP78*1.5,0))*(1+$AZ78)*(1+$BA78)+($BC78*IF($G$1="裂石",$AO78,$AM78)+IF($G$1="裂石",$AP78*1.5,0))*(1+$BD78)*(1+$BE78)+($BG78*IF($G$1="牵丝",$AO78,$AM78)+IF($G$1="牵丝",$AP78*1.5,0))*(1+$BH78)*(1+$BI78)+($BK78*IF($G$1="破竹",$AO78,$AM78)+IF($G$1="破竹",$AP78*1.5,0))*(1+$BL78)*(1+$BM78))*(1+$AQ78)*$BR78*$P78*(1+IF(VLOOKUP($Q78,武学奇术!$A:$ZZ,30,FALSE)="蓄力技",$B$21,0))*(1+$BV78)</f>
        <v>0</v>
      </c>
      <c r="N78" s="40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P78*(1+IF(VLOOKUP($Q78,武学奇术!$A:$ZZ,30,FALSE)="蓄力技",$B$21,0))*(1+$BV78)</f>
        <v>0</v>
      </c>
      <c r="O78" s="40">
        <f>((($AS78*$AM78+$AN78)*(1+$AU78)*(1+$AV78)+($AX78*IF($G$1="鸣金",$AO78,$AM78)+IF($G$1="鸣金",$AP78*1.5,0))*(1+$AZ78)*(1+$BA78)+($BB78*IF($G$1="裂石",$AO78,$AM78)+IF($G$1="裂石",$AP78*1.5,0))*(1+$BD78)*(1+$BE78)+($BF78*IF($G$1="牵丝",$AO78,$AM78)+IF($G$1="牵丝",$AP78*1.5,0))*(1+$BH78)*(1+$BI78)+($BJ78*IF($G$1="破竹",$AO78,$AM78)+IF($G$1="破竹",$AP78*1.5,0))*(1+$BL78)*(1+$BM78))*(1+$AQ78))*$P78*(1+IF(VLOOKUP($Q78,武学奇术!$A:$ZZ,30,FALSE)="蓄力技",$B$21,0))*(1+$BV78)</f>
        <v>0</v>
      </c>
      <c r="P78" s="41">
        <v>1</v>
      </c>
      <c r="Q78" s="42" t="s">
        <v>77</v>
      </c>
      <c r="R78" s="42" t="s">
        <v>77</v>
      </c>
      <c r="S78" s="42" t="s">
        <v>77</v>
      </c>
      <c r="T78" s="42" t="s">
        <v>77</v>
      </c>
      <c r="U78" s="42" t="s">
        <v>77</v>
      </c>
      <c r="V78" s="42" t="s">
        <v>77</v>
      </c>
      <c r="W78" s="42" t="s">
        <v>77</v>
      </c>
      <c r="X78" s="42" t="s">
        <v>77</v>
      </c>
      <c r="Y78" s="42" t="s">
        <v>77</v>
      </c>
      <c r="Z78" s="42" t="s">
        <v>77</v>
      </c>
      <c r="AA78" s="42" t="s">
        <v>77</v>
      </c>
      <c r="AB78" s="42" t="s">
        <v>77</v>
      </c>
      <c r="AC78" s="42" t="s">
        <v>77</v>
      </c>
      <c r="AD78" s="42" t="s">
        <v>77</v>
      </c>
      <c r="AE78" s="42" t="s">
        <v>81</v>
      </c>
      <c r="AF78" s="42" t="s">
        <v>82</v>
      </c>
      <c r="AG78" s="42" t="s">
        <v>77</v>
      </c>
      <c r="AH78" s="42" t="s">
        <v>77</v>
      </c>
      <c r="AI78" s="42" t="s">
        <v>77</v>
      </c>
      <c r="AJ78" s="42" t="s">
        <v>77</v>
      </c>
      <c r="AK78" s="42" t="s">
        <v>77</v>
      </c>
      <c r="AL78" t="str">
        <f>VLOOKUP($Q78,武学奇术!$A:$ZZ,25,FALSE)</f>
        <v>心法</v>
      </c>
      <c r="AM78" s="27">
        <f>VLOOKUP($Q78,武学奇术!$A:$ZZ,26,FALSE)</f>
        <v>0</v>
      </c>
      <c r="AN78" s="28">
        <f>VLOOKUP($Q78,武学奇术!$A:$ZZ,27,FALSE)*(1+IF(OR($AL78=$F$4,$AL78=$F$5),$B$22,0))</f>
        <v>0</v>
      </c>
      <c r="AO78" s="27">
        <f>VLOOKUP($Q78,武学奇术!$A:$ZZ,28,FALSE)</f>
        <v>0</v>
      </c>
      <c r="AP78" s="28">
        <f>VLOOKUP($Q78,武学奇术!$A:$ZZ,29,FALSE)*(1+IF(OR($AL78=$F$4,$AL78=$F$5),$B$22,0))</f>
        <v>0</v>
      </c>
      <c r="AQ78" s="27" cm="1">
        <f t="array" ref="AQ78">$G$3+IFERROR(VLOOKUP($AL78,$F$4:$G$7,2,FALSE),0)+VLOOKUP($Q78,武学奇术!$A:$ZZ,2,FALSE)+SUM(_xlfn.XLOOKUP($R78:$AK78,增益!$A:$A,增益!$B:$B,0))</f>
        <v>0.2337</v>
      </c>
      <c r="AR78" s="27" cm="1">
        <f t="array" ref="AR78">VLOOKUP($Q78,武学奇术!$A:$ZZ,5,FALSE)+SUM(_xlfn.XLOOKUP($R78:$AK78,增益!$A:$A,增益!$E:$E,0))</f>
        <v>0</v>
      </c>
      <c r="AS78" cm="1">
        <f t="array" ref="AS78">$D$10*(1+$AR78)+VLOOKUP($Q78,武学奇术!$A:$ZZ,3,FALSE)+SUM(_xlfn.XLOOKUP($R78:$AK78,增益!$A:$A,增益!$C:$C,0))-$I$2</f>
        <v>3586.7</v>
      </c>
      <c r="AT78" cm="1">
        <f t="array" ref="AT78">$E$10*(1+$AR78)+VLOOKUP($Q78,武学奇术!$A:$ZZ,4,FALSE)+SUM(_xlfn.XLOOKUP($R78:$AK78,增益!$A:$A,增益!$D:$D,0))-$I$2</f>
        <v>3586.7</v>
      </c>
      <c r="AU78" s="34" cm="1">
        <f t="array" ref="AU78">IF($F$10-$I$3+VLOOKUP($Q78,武学奇术!$A:$ZZ,6,FALSE)+SUM(_xlfn.XLOOKUP($R78:$AK78,增益!$A:$A,增益!$F:$F,0))&gt;0,($F$10-$I$3+VLOOKUP($Q78,武学奇术!$A:$ZZ,6,FALSE)+SUM(_xlfn.XLOOKUP($R78:$AK78,增益!$A:$A,增益!$F:$F,0)))/200,($F$10-$I$3+VLOOKUP($Q78,武学奇术!$A:$ZZ,6,FALSE)+SUM(_xlfn.XLOOKUP($R78:$AK78,增益!$A:$A,增益!$F:$F,0)))/100)</f>
        <v>0.227</v>
      </c>
      <c r="AV78" s="34" cm="1">
        <f t="array" ref="AV78">$G$10+VLOOKUP($Q78,武学奇术!$A:$ZZ,7,FALSE)+SUM(_xlfn.XLOOKUP($R78:$AK78,增益!$A:$A,增益!$G:$G,0))</f>
        <v>0</v>
      </c>
      <c r="AW78" s="27" cm="1">
        <f t="array" ref="AW78">VLOOKUP($Q78,武学奇术!$A:$ZZ,8,FALSE)+SUM(_xlfn.XLOOKUP($R78:$AK78,增益!$A:$A,增益!$H:$H,0))</f>
        <v>0</v>
      </c>
      <c r="AX78">
        <f t="shared" si="12"/>
        <v>0</v>
      </c>
      <c r="AY78">
        <f t="shared" si="13"/>
        <v>0</v>
      </c>
      <c r="AZ78" s="34" cm="1">
        <f t="array" ref="AZ78">IF($F$11-$I$4+VLOOKUP($Q78,武学奇术!$A:$ZZ,9,FALSE)+SUM(_xlfn.XLOOKUP($R78:$AK78,增益!$A:$A,增益!$I:$I,0))&gt;0,($F$11-$I$4+VLOOKUP($Q78,武学奇术!$A:$ZZ,9,FALSE)+SUM(_xlfn.XLOOKUP($R78:$AK78,增益!$A:$A,增益!$I:$I,0)))/200,($F$11-$I$4+VLOOKUP($Q78,武学奇术!$A:$ZZ,9,FALSE)+SUM(_xlfn.XLOOKUP($R78:$AK78,增益!$A:$A,增益!$I:$I,0)))/100)</f>
        <v>-0.3</v>
      </c>
      <c r="BA78" s="34" cm="1">
        <f t="array" ref="BA78">$G$11+VLOOKUP($Q78,武学奇术!$A:$ZZ,10,FALSE)+SUM(_xlfn.XLOOKUP($R78:$AK78,增益!$A:$A,增益!$J:$J,0))</f>
        <v>0</v>
      </c>
      <c r="BB78">
        <f t="shared" si="14"/>
        <v>594.1</v>
      </c>
      <c r="BC78">
        <f t="shared" si="15"/>
        <v>1604.9</v>
      </c>
      <c r="BD78" s="34" cm="1">
        <f t="array" ref="BD78">IF($F$12-$I$4+VLOOKUP($Q78,武学奇术!$A:$ZZ,11,FALSE)+SUM(_xlfn.XLOOKUP($R78:$AK78,增益!$A:$A,增益!$K:$K,0))&gt;0,($F$12-$I$4+VLOOKUP($Q78,武学奇术!$A:$ZZ,11,FALSE)+SUM(_xlfn.XLOOKUP($R78:$AK78,增益!$A:$A,增益!$K:$K,0)))/200,($F$12-$I$4+VLOOKUP($Q78,武学奇术!$A:$ZZ,11,FALSE)+SUM(_xlfn.XLOOKUP($R78:$AK78,增益!$A:$A,增益!$K:$K,0)))/100)</f>
        <v>0.09</v>
      </c>
      <c r="BE78" s="34" cm="1">
        <f t="array" ref="BE78">$G$12+VLOOKUP($Q78,武学奇术!$A:$ZZ,12,FALSE)+SUM(_xlfn.XLOOKUP($R78:$AK78,增益!$A:$A,增益!$L:$L,0))</f>
        <v>0.15</v>
      </c>
      <c r="BF78">
        <f t="shared" si="16"/>
        <v>0</v>
      </c>
      <c r="BG78">
        <f t="shared" si="17"/>
        <v>0</v>
      </c>
      <c r="BH78" s="34" cm="1">
        <f t="array" ref="BH78">IF($F$13-$I$4+VLOOKUP($Q78,武学奇术!$A:$ZZ,13,FALSE)+SUM(_xlfn.XLOOKUP($R78:$AK78,增益!$A:$A,增益!$M:$M,0))&gt;0,($F$13-$I$4+VLOOKUP($Q78,武学奇术!$A:$ZZ,13,FALSE)+SUM(_xlfn.XLOOKUP($R78:$AK78,增益!$A:$A,增益!$K:$K,0)))/200,($F$13-$I$4+VLOOKUP($Q78,武学奇术!$A:$ZZ,13,FALSE)+SUM(_xlfn.XLOOKUP($R78:$AK78,增益!$A:$A,增益!$M:$M,0)))/100)</f>
        <v>-0.3</v>
      </c>
      <c r="BI78" s="34" cm="1">
        <f t="array" ref="BI78">$G$13+VLOOKUP($Q78,武学奇术!$A:$ZZ,14,FALSE)+SUM(_xlfn.XLOOKUP($R78:$AK78,增益!$A:$A,增益!$N:$N,0))</f>
        <v>0</v>
      </c>
      <c r="BJ78">
        <f t="shared" si="18"/>
        <v>0</v>
      </c>
      <c r="BK78">
        <f t="shared" si="19"/>
        <v>0</v>
      </c>
      <c r="BL78" s="34" cm="1">
        <f t="array" ref="BL78">IF($F$14-$I$4+VLOOKUP($Q78,武学奇术!$A:$ZZ,15,FALSE)+SUM(_xlfn.XLOOKUP($R78:$AK78,增益!$A:$A,增益!$O:$O,0))&gt;0,($F$14-$I$4+VLOOKUP($Q78,武学奇术!$A:$ZZ,15,FALSE)+SUM(_xlfn.XLOOKUP($R78:$AK78,增益!$A:$A,增益!$O:$O,0)))/200,($F$14-$I$4+VLOOKUP($Q78,武学奇术!$A:$ZZ,15,FALSE)+SUM(_xlfn.XLOOKUP($R78:$AK78,增益!$A:$A,增益!$O:$O,0)))/100)</f>
        <v>-0.3</v>
      </c>
      <c r="BM78" s="34" cm="1">
        <f t="array" ref="BM78">$G$14+VLOOKUP($Q78,武学奇术!$A:$ZZ,16,FALSE)+SUM(_xlfn.XLOOKUP($R78:$AK78,增益!$A:$A,增益!$P:$P,0))</f>
        <v>0</v>
      </c>
      <c r="BN78" s="27">
        <f>MIN(IF(VLOOKUP($Q78,武学奇术!$A:$ZZ,23,FALSE)=1,100%,$B$8),100%)</f>
        <v>0.9859</v>
      </c>
      <c r="BO78" s="27" cm="1">
        <f t="array" ref="BO78">IF(VLOOKUP($Q78,武学奇术!$A:$ZZ,23,FALSE)=1,100%,MIN(80%,$B$9+VLOOKUP($Q78,武学奇术!$A:$ZZ,17,FALSE)+SUM(_xlfn.XLOOKUP($R78:$AK78,增益!$A:$A,增益!$Q:$Q,0)))+$B$11+SUM(_xlfn.XLOOKUP($R78:$AK78,增益!$A:$A,增益!$U:$U,0)))*IF(VLOOKUP($Q78,武学奇术!$A:$ZZ,24,FALSE)=1,0,1)</f>
        <v>0.8912</v>
      </c>
      <c r="BP78" s="27" cm="1">
        <f t="array" ref="BP78">1+$B$13+VLOOKUP($Q78,武学奇术!$A:$ZZ,18,FALSE)+SUM(_xlfn.XLOOKUP($R78:$AK78,增益!$A:$A,增益!$R:$R,0))</f>
        <v>1.54</v>
      </c>
      <c r="BQ78" s="27" cm="1">
        <f t="array" ref="BQ78">IF(VLOOKUP($Q78,武学奇术!$A:$ZZ,24,FALSE)=1,100%,MIN(40%,$B$10+VLOOKUP($Q78,武学奇术!$A:$ZZ,19,FALSE)+SUM(_xlfn.XLOOKUP($R78:$AK78,增益!$A:$A,增益!$S:$S,0)))+$B$12+SUM(_xlfn.XLOOKUP($R78:$AK78,增益!$A:$A,增益!$V:$V,0)))*IF(VLOOKUP($Q78,武学奇术!$A:$ZZ,23,FALSE)=1,0,1)</f>
        <v>0.0929</v>
      </c>
      <c r="BR78" s="27" cm="1">
        <f t="array" ref="BR78">1+$B$14+VLOOKUP($Q78,武学奇术!$A:$ZZ,20,FALSE)+SUM(_xlfn.XLOOKUP($R78:$AK78,增益!$A:$A,增益!$T:$T,0))</f>
        <v>1.35</v>
      </c>
      <c r="BS78" s="27">
        <f t="shared" si="20"/>
        <v>0.87863408</v>
      </c>
      <c r="BT78" s="27">
        <f t="shared" si="21"/>
        <v>0.01567581</v>
      </c>
      <c r="BU78" s="27">
        <f>IF(VLOOKUP($Q78,武学奇术!$A:$ZZ,22,FALSE)=1,0,(1-$BN78))*(1-$BQ78)</f>
        <v>0.01279011</v>
      </c>
      <c r="BV78" s="27" cm="1">
        <f t="array" ref="BV78">SUM(_xlfn.XLOOKUP($R78:$AK78,增益!$A:$A,增益!$W:$W,0))+$I$5</f>
        <v>0.11</v>
      </c>
    </row>
    <row r="79" spans="1:74">
      <c r="A79" s="4"/>
      <c r="B79" s="4"/>
      <c r="K79" s="40">
        <f t="shared" si="11"/>
        <v>80158.2365843533</v>
      </c>
      <c r="L79" s="40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BP79*$P79*(1+IF(VLOOKUP($Q79,武学奇术!$A:$ZZ,30,FALSE)="蓄力技",$B$21,0))*(1+$BV79)</f>
        <v>83088.869717175</v>
      </c>
      <c r="M79" s="40">
        <f>(($AT79*$AM79+$AN79)*(1+$AU79)*(1+$AV79)+($AY79*IF($G$1="鸣金",$AO79,$AM79)+IF($G$1="鸣金",$AP79*1.5,0))*(1+$AZ79)*(1+$BA79)+($BC79*IF($G$1="裂石",$AO79,$AM79)+IF($G$1="裂石",$AP79*1.5,0))*(1+$BD79)*(1+$BE79)+($BG79*IF($G$1="牵丝",$AO79,$AM79)+IF($G$1="牵丝",$AP79*1.5,0))*(1+$BH79)*(1+$BI79)+($BK79*IF($G$1="破竹",$AO79,$AM79)+IF($G$1="破竹",$AP79*1.5,0))*(1+$BL79)*(1+$BM79))*(1+$AQ79)*$BR79*$P79*(1+IF(VLOOKUP($Q79,武学奇术!$A:$ZZ,30,FALSE)="蓄力技",$B$21,0))*(1+$BV79)</f>
        <v>64675.6159874591</v>
      </c>
      <c r="N79" s="40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P79*(1+IF(VLOOKUP($Q79,武学奇术!$A:$ZZ,30,FALSE)="蓄力技",$B$21,0))*(1+$BV79)</f>
        <v>42609.6767780385</v>
      </c>
      <c r="O79" s="40">
        <f>((($AS79*$AM79+$AN79)*(1+$AU79)*(1+$AV79)+($AX79*IF($G$1="鸣金",$AO79,$AM79)+IF($G$1="鸣金",$AP79*1.5,0))*(1+$AZ79)*(1+$BA79)+($BB79*IF($G$1="裂石",$AO79,$AM79)+IF($G$1="裂石",$AP79*1.5,0))*(1+$BD79)*(1+$BE79)+($BF79*IF($G$1="牵丝",$AO79,$AM79)+IF($G$1="牵丝",$AP79*1.5,0))*(1+$BH79)*(1+$BI79)+($BJ79*IF($G$1="破竹",$AO79,$AM79)+IF($G$1="破竹",$AP79*1.5,0))*(1+$BL79)*(1+$BM79))*(1+$AQ79))*$P79*(1+IF(VLOOKUP($Q79,武学奇术!$A:$ZZ,30,FALSE)="蓄力技",$B$21,0))*(1+$BV79)</f>
        <v>37311.4898616628</v>
      </c>
      <c r="P79" s="41">
        <v>1</v>
      </c>
      <c r="Q79" s="42" t="s">
        <v>164</v>
      </c>
      <c r="R79" s="42" t="s">
        <v>76</v>
      </c>
      <c r="S79" s="42" t="s">
        <v>77</v>
      </c>
      <c r="T79" s="42" t="s">
        <v>77</v>
      </c>
      <c r="U79" s="42" t="s">
        <v>87</v>
      </c>
      <c r="V79" s="42" t="s">
        <v>77</v>
      </c>
      <c r="W79" s="42" t="s">
        <v>77</v>
      </c>
      <c r="X79" s="42" t="s">
        <v>176</v>
      </c>
      <c r="Y79" s="42" t="s">
        <v>77</v>
      </c>
      <c r="Z79" s="42" t="s">
        <v>77</v>
      </c>
      <c r="AA79" s="42" t="s">
        <v>77</v>
      </c>
      <c r="AB79" s="42" t="s">
        <v>77</v>
      </c>
      <c r="AC79" s="42" t="s">
        <v>77</v>
      </c>
      <c r="AD79" s="42" t="s">
        <v>77</v>
      </c>
      <c r="AE79" s="42" t="s">
        <v>81</v>
      </c>
      <c r="AF79" s="42" t="s">
        <v>82</v>
      </c>
      <c r="AG79" s="42" t="s">
        <v>77</v>
      </c>
      <c r="AH79" s="42" t="s">
        <v>77</v>
      </c>
      <c r="AI79" s="42" t="s">
        <v>77</v>
      </c>
      <c r="AJ79" s="42" t="s">
        <v>77</v>
      </c>
      <c r="AK79" s="42" t="s">
        <v>77</v>
      </c>
      <c r="AL79" t="str">
        <f>VLOOKUP($Q79,武学奇术!$A:$ZZ,25,FALSE)</f>
        <v>横刀</v>
      </c>
      <c r="AM79" s="27">
        <f>VLOOKUP($Q79,武学奇术!$A:$ZZ,26,FALSE)</f>
        <v>3.7797</v>
      </c>
      <c r="AN79" s="28">
        <f>VLOOKUP($Q79,武学奇术!$A:$ZZ,27,FALSE)*(1+IF(OR($AL79=$F$4,$AL79=$F$5),$B$22,0))</f>
        <v>1567.5</v>
      </c>
      <c r="AO79" s="27">
        <f>VLOOKUP($Q79,武学奇术!$A:$ZZ,28,FALSE)</f>
        <v>5.6696</v>
      </c>
      <c r="AP79" s="28">
        <f>VLOOKUP($Q79,武学奇术!$A:$ZZ,29,FALSE)*(1+IF(OR($AL79=$F$4,$AL79=$F$5),$B$22,0))</f>
        <v>855</v>
      </c>
      <c r="AQ79" s="27" cm="1">
        <f t="array" ref="AQ79">$G$3+IFERROR(VLOOKUP($AL79,$F$4:$G$7,2,FALSE),0)+VLOOKUP($Q79,武学奇术!$A:$ZZ,2,FALSE)+SUM(_xlfn.XLOOKUP($R79:$AK79,增益!$A:$A,增益!$B:$B,0))</f>
        <v>0.3289</v>
      </c>
      <c r="AR79" s="27" cm="1">
        <f t="array" ref="AR79">VLOOKUP($Q79,武学奇术!$A:$ZZ,5,FALSE)+SUM(_xlfn.XLOOKUP($R79:$AK79,增益!$A:$A,增益!$E:$E,0))</f>
        <v>0</v>
      </c>
      <c r="AS79" cm="1">
        <f t="array" ref="AS79">$D$10*(1+$AR79)+VLOOKUP($Q79,武学奇术!$A:$ZZ,3,FALSE)+SUM(_xlfn.XLOOKUP($R79:$AK79,增益!$A:$A,增益!$C:$C,0))-$I$2</f>
        <v>3586.7</v>
      </c>
      <c r="AT79" cm="1">
        <f t="array" ref="AT79">$E$10*(1+$AR79)+VLOOKUP($Q79,武学奇术!$A:$ZZ,4,FALSE)+SUM(_xlfn.XLOOKUP($R79:$AK79,增益!$A:$A,增益!$D:$D,0))-$I$2</f>
        <v>3586.7</v>
      </c>
      <c r="AU79" s="34" cm="1">
        <f t="array" ref="AU79">IF($F$10-$I$3+VLOOKUP($Q79,武学奇术!$A:$ZZ,6,FALSE)+SUM(_xlfn.XLOOKUP($R79:$AK79,增益!$A:$A,增益!$F:$F,0))&gt;0,($F$10-$I$3+VLOOKUP($Q79,武学奇术!$A:$ZZ,6,FALSE)+SUM(_xlfn.XLOOKUP($R79:$AK79,增益!$A:$A,增益!$F:$F,0)))/200,($F$10-$I$3+VLOOKUP($Q79,武学奇术!$A:$ZZ,6,FALSE)+SUM(_xlfn.XLOOKUP($R79:$AK79,增益!$A:$A,增益!$F:$F,0)))/100)</f>
        <v>0.287</v>
      </c>
      <c r="AV79" s="34" cm="1">
        <f t="array" ref="AV79">$G$10+VLOOKUP($Q79,武学奇术!$A:$ZZ,7,FALSE)+SUM(_xlfn.XLOOKUP($R79:$AK79,增益!$A:$A,增益!$G:$G,0))</f>
        <v>0</v>
      </c>
      <c r="AW79" s="27" cm="1">
        <f t="array" ref="AW79">VLOOKUP($Q79,武学奇术!$A:$ZZ,8,FALSE)+SUM(_xlfn.XLOOKUP($R79:$AK79,增益!$A:$A,增益!$H:$H,0))</f>
        <v>0</v>
      </c>
      <c r="AX79">
        <f t="shared" si="12"/>
        <v>0</v>
      </c>
      <c r="AY79">
        <f t="shared" si="13"/>
        <v>0</v>
      </c>
      <c r="AZ79" s="34" cm="1">
        <f t="array" ref="AZ79">IF($F$11-$I$4+VLOOKUP($Q79,武学奇术!$A:$ZZ,9,FALSE)+SUM(_xlfn.XLOOKUP($R79:$AK79,增益!$A:$A,增益!$I:$I,0))&gt;0,($F$11-$I$4+VLOOKUP($Q79,武学奇术!$A:$ZZ,9,FALSE)+SUM(_xlfn.XLOOKUP($R79:$AK79,增益!$A:$A,增益!$I:$I,0)))/200,($F$11-$I$4+VLOOKUP($Q79,武学奇术!$A:$ZZ,9,FALSE)+SUM(_xlfn.XLOOKUP($R79:$AK79,增益!$A:$A,增益!$I:$I,0)))/100)</f>
        <v>-0.3</v>
      </c>
      <c r="BA79" s="34" cm="1">
        <f t="array" ref="BA79">$G$11+VLOOKUP($Q79,武学奇术!$A:$ZZ,10,FALSE)+SUM(_xlfn.XLOOKUP($R79:$AK79,增益!$A:$A,增益!$J:$J,0))</f>
        <v>0</v>
      </c>
      <c r="BB79">
        <f t="shared" si="14"/>
        <v>594.1</v>
      </c>
      <c r="BC79">
        <f t="shared" si="15"/>
        <v>1604.9</v>
      </c>
      <c r="BD79" s="34" cm="1">
        <f t="array" ref="BD79">IF($F$12-$I$4+VLOOKUP($Q79,武学奇术!$A:$ZZ,11,FALSE)+SUM(_xlfn.XLOOKUP($R79:$AK79,增益!$A:$A,增益!$K:$K,0))&gt;0,($F$12-$I$4+VLOOKUP($Q79,武学奇术!$A:$ZZ,11,FALSE)+SUM(_xlfn.XLOOKUP($R79:$AK79,增益!$A:$A,增益!$K:$K,0)))/200,($F$12-$I$4+VLOOKUP($Q79,武学奇术!$A:$ZZ,11,FALSE)+SUM(_xlfn.XLOOKUP($R79:$AK79,增益!$A:$A,增益!$K:$K,0)))/100)</f>
        <v>0.09</v>
      </c>
      <c r="BE79" s="34" cm="1">
        <f t="array" ref="BE79">$G$12+VLOOKUP($Q79,武学奇术!$A:$ZZ,12,FALSE)+SUM(_xlfn.XLOOKUP($R79:$AK79,增益!$A:$A,增益!$L:$L,0))</f>
        <v>0.15</v>
      </c>
      <c r="BF79">
        <f t="shared" si="16"/>
        <v>0</v>
      </c>
      <c r="BG79">
        <f t="shared" si="17"/>
        <v>0</v>
      </c>
      <c r="BH79" s="34" cm="1">
        <f t="array" ref="BH79">IF($F$13-$I$4+VLOOKUP($Q79,武学奇术!$A:$ZZ,13,FALSE)+SUM(_xlfn.XLOOKUP($R79:$AK79,增益!$A:$A,增益!$M:$M,0))&gt;0,($F$13-$I$4+VLOOKUP($Q79,武学奇术!$A:$ZZ,13,FALSE)+SUM(_xlfn.XLOOKUP($R79:$AK79,增益!$A:$A,增益!$K:$K,0)))/200,($F$13-$I$4+VLOOKUP($Q79,武学奇术!$A:$ZZ,13,FALSE)+SUM(_xlfn.XLOOKUP($R79:$AK79,增益!$A:$A,增益!$M:$M,0)))/100)</f>
        <v>-0.3</v>
      </c>
      <c r="BI79" s="34" cm="1">
        <f t="array" ref="BI79">$G$13+VLOOKUP($Q79,武学奇术!$A:$ZZ,14,FALSE)+SUM(_xlfn.XLOOKUP($R79:$AK79,增益!$A:$A,增益!$N:$N,0))</f>
        <v>0</v>
      </c>
      <c r="BJ79">
        <f t="shared" si="18"/>
        <v>0</v>
      </c>
      <c r="BK79">
        <f t="shared" si="19"/>
        <v>0</v>
      </c>
      <c r="BL79" s="34" cm="1">
        <f t="array" ref="BL79">IF($F$14-$I$4+VLOOKUP($Q79,武学奇术!$A:$ZZ,15,FALSE)+SUM(_xlfn.XLOOKUP($R79:$AK79,增益!$A:$A,增益!$O:$O,0))&gt;0,($F$14-$I$4+VLOOKUP($Q79,武学奇术!$A:$ZZ,15,FALSE)+SUM(_xlfn.XLOOKUP($R79:$AK79,增益!$A:$A,增益!$O:$O,0)))/200,($F$14-$I$4+VLOOKUP($Q79,武学奇术!$A:$ZZ,15,FALSE)+SUM(_xlfn.XLOOKUP($R79:$AK79,增益!$A:$A,增益!$O:$O,0)))/100)</f>
        <v>-0.3</v>
      </c>
      <c r="BM79" s="34" cm="1">
        <f t="array" ref="BM79">$G$14+VLOOKUP($Q79,武学奇术!$A:$ZZ,16,FALSE)+SUM(_xlfn.XLOOKUP($R79:$AK79,增益!$A:$A,增益!$P:$P,0))</f>
        <v>0</v>
      </c>
      <c r="BN79" s="27">
        <f>MIN(IF(VLOOKUP($Q79,武学奇术!$A:$ZZ,23,FALSE)=1,100%,$B$8),100%)</f>
        <v>0.9859</v>
      </c>
      <c r="BO79" s="27" cm="1">
        <f t="array" ref="BO79">IF(VLOOKUP($Q79,武学奇术!$A:$ZZ,23,FALSE)=1,100%,MIN(80%,$B$9+VLOOKUP($Q79,武学奇术!$A:$ZZ,17,FALSE)+SUM(_xlfn.XLOOKUP($R79:$AK79,增益!$A:$A,增益!$Q:$Q,0)))+$B$11+SUM(_xlfn.XLOOKUP($R79:$AK79,增益!$A:$A,增益!$U:$U,0)))*IF(VLOOKUP($Q79,武学奇术!$A:$ZZ,24,FALSE)=1,0,1)</f>
        <v>0.8912</v>
      </c>
      <c r="BP79" s="27" cm="1">
        <f t="array" ref="BP79">1+$B$13+VLOOKUP($Q79,武学奇术!$A:$ZZ,18,FALSE)+SUM(_xlfn.XLOOKUP($R79:$AK79,增益!$A:$A,增益!$R:$R,0))</f>
        <v>1.95</v>
      </c>
      <c r="BQ79" s="27" cm="1">
        <f t="array" ref="BQ79">IF(VLOOKUP($Q79,武学奇术!$A:$ZZ,24,FALSE)=1,100%,MIN(40%,$B$10+VLOOKUP($Q79,武学奇术!$A:$ZZ,19,FALSE)+SUM(_xlfn.XLOOKUP($R79:$AK79,增益!$A:$A,增益!$S:$S,0)))+$B$12+SUM(_xlfn.XLOOKUP($R79:$AK79,增益!$A:$A,增益!$V:$V,0)))*IF(VLOOKUP($Q79,武学奇术!$A:$ZZ,23,FALSE)=1,0,1)</f>
        <v>0.0929</v>
      </c>
      <c r="BR79" s="27" cm="1">
        <f t="array" ref="BR79">1+$B$14+VLOOKUP($Q79,武学奇术!$A:$ZZ,20,FALSE)+SUM(_xlfn.XLOOKUP($R79:$AK79,增益!$A:$A,增益!$T:$T,0))</f>
        <v>1.35</v>
      </c>
      <c r="BS79" s="27">
        <f t="shared" si="20"/>
        <v>0.87863408</v>
      </c>
      <c r="BT79" s="27">
        <f t="shared" si="21"/>
        <v>0.01567581</v>
      </c>
      <c r="BU79" s="27">
        <f>IF(VLOOKUP($Q79,武学奇术!$A:$ZZ,22,FALSE)=1,0,(1-$BN79))*(1-$BQ79)</f>
        <v>0.01279011</v>
      </c>
      <c r="BV79" s="27" cm="1">
        <f t="array" ref="BV79">SUM(_xlfn.XLOOKUP($R79:$AK79,增益!$A:$A,增益!$W:$W,0))+$I$5</f>
        <v>0.11</v>
      </c>
    </row>
    <row r="80" spans="1:74">
      <c r="A80" s="4"/>
      <c r="B80" s="4"/>
      <c r="C80" s="41"/>
      <c r="K80" s="40">
        <f t="shared" si="11"/>
        <v>54573.9182225367</v>
      </c>
      <c r="L80" s="40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BP80*$P80*(1+IF(VLOOKUP($Q80,武学奇术!$A:$ZZ,30,FALSE)="蓄力技",$B$21,0))*(1+$BV80)</f>
        <v>56703.1405449414</v>
      </c>
      <c r="M80" s="40">
        <f>(($AT80*$AM80+$AN80)*(1+$AU80)*(1+$AV80)+($AY80*IF($G$1="鸣金",$AO80,$AM80)+IF($G$1="鸣金",$AP80*1.5,0))*(1+$AZ80)*(1+$BA80)+($BC80*IF($G$1="裂石",$AO80,$AM80)+IF($G$1="裂石",$AP80*1.5,0))*(1+$BD80)*(1+$BE80)+($BG80*IF($G$1="牵丝",$AO80,$AM80)+IF($G$1="牵丝",$AP80*1.5,0))*(1+$BH80)*(1+$BI80)+($BK80*IF($G$1="破竹",$AO80,$AM80)+IF($G$1="破竹",$AP80*1.5,0))*(1+$BL80)*(1+$BM80))*(1+$AQ80)*$BR80*$P80*(1+IF(VLOOKUP($Q80,武学奇术!$A:$ZZ,30,FALSE)="蓄力技",$B$21,0))*(1+$BV80)</f>
        <v>42947.5216807572</v>
      </c>
      <c r="N80" s="40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P80*(1+IF(VLOOKUP($Q80,武学奇术!$A:$ZZ,30,FALSE)="蓄力技",$B$21,0))*(1+$BV80)</f>
        <v>28351.5702724707</v>
      </c>
      <c r="O80" s="40">
        <f>((($AS80*$AM80+$AN80)*(1+$AU80)*(1+$AV80)+($AX80*IF($G$1="鸣金",$AO80,$AM80)+IF($G$1="鸣金",$AP80*1.5,0))*(1+$AZ80)*(1+$BA80)+($BB80*IF($G$1="裂石",$AO80,$AM80)+IF($G$1="裂石",$AP80*1.5,0))*(1+$BD80)*(1+$BE80)+($BF80*IF($G$1="牵丝",$AO80,$AM80)+IF($G$1="牵丝",$AP80*1.5,0))*(1+$BH80)*(1+$BI80)+($BJ80*IF($G$1="破竹",$AO80,$AM80)+IF($G$1="破竹",$AP80*1.5,0))*(1+$BL80)*(1+$BM80))*(1+$AQ80))*$P80*(1+IF(VLOOKUP($Q80,武学奇术!$A:$ZZ,30,FALSE)="蓄力技",$B$21,0))*(1+$BV80)</f>
        <v>24890.1615221583</v>
      </c>
      <c r="P80" s="41">
        <v>1</v>
      </c>
      <c r="Q80" s="42" t="s">
        <v>106</v>
      </c>
      <c r="R80" s="42" t="s">
        <v>85</v>
      </c>
      <c r="S80" s="42" t="s">
        <v>169</v>
      </c>
      <c r="T80" s="42" t="s">
        <v>77</v>
      </c>
      <c r="U80" s="42" t="s">
        <v>121</v>
      </c>
      <c r="V80" s="42" t="s">
        <v>77</v>
      </c>
      <c r="W80" s="42" t="s">
        <v>77</v>
      </c>
      <c r="X80" s="42" t="s">
        <v>176</v>
      </c>
      <c r="Y80" s="42" t="s">
        <v>77</v>
      </c>
      <c r="Z80" s="42" t="s">
        <v>77</v>
      </c>
      <c r="AA80" s="42" t="s">
        <v>73</v>
      </c>
      <c r="AB80" s="42" t="s">
        <v>77</v>
      </c>
      <c r="AC80" s="42" t="s">
        <v>77</v>
      </c>
      <c r="AD80" s="42" t="s">
        <v>77</v>
      </c>
      <c r="AE80" s="42" t="s">
        <v>81</v>
      </c>
      <c r="AF80" s="42" t="s">
        <v>82</v>
      </c>
      <c r="AG80" s="42" t="s">
        <v>77</v>
      </c>
      <c r="AH80" s="42" t="s">
        <v>77</v>
      </c>
      <c r="AI80" s="42" t="s">
        <v>77</v>
      </c>
      <c r="AJ80" s="42" t="s">
        <v>77</v>
      </c>
      <c r="AK80" s="42" t="s">
        <v>77</v>
      </c>
      <c r="AL80" t="str">
        <f>VLOOKUP($Q80,武学奇术!$A:$ZZ,25,FALSE)</f>
        <v>横刀</v>
      </c>
      <c r="AM80" s="27">
        <f>VLOOKUP($Q80,武学奇术!$A:$ZZ,26,FALSE)</f>
        <v>2.1324</v>
      </c>
      <c r="AN80" s="28">
        <f>VLOOKUP($Q80,武学奇术!$A:$ZZ,27,FALSE)*(1+IF(OR($AL80=$F$4,$AL80=$F$5),$B$22,0))</f>
        <v>885</v>
      </c>
      <c r="AO80" s="27">
        <f>VLOOKUP($Q80,武学奇术!$A:$ZZ,28,FALSE)</f>
        <v>3.1986</v>
      </c>
      <c r="AP80" s="28">
        <f>VLOOKUP($Q80,武学奇术!$A:$ZZ,29,FALSE)*(1+IF(OR($AL80=$F$4,$AL80=$F$5),$B$22,0))</f>
        <v>483</v>
      </c>
      <c r="AQ80" s="27" cm="1">
        <f t="array" ref="AQ80">$G$3+IFERROR(VLOOKUP($AL80,$F$4:$G$7,2,FALSE),0)+VLOOKUP($Q80,武学奇术!$A:$ZZ,2,FALSE)+SUM(_xlfn.XLOOKUP($R80:$AK80,增益!$A:$A,增益!$B:$B,0))</f>
        <v>0.5389</v>
      </c>
      <c r="AR80" s="27" cm="1">
        <f t="array" ref="AR80">VLOOKUP($Q80,武学奇术!$A:$ZZ,5,FALSE)+SUM(_xlfn.XLOOKUP($R80:$AK80,增益!$A:$A,增益!$E:$E,0))</f>
        <v>0</v>
      </c>
      <c r="AS80" cm="1">
        <f t="array" ref="AS80">$D$10*(1+$AR80)+VLOOKUP($Q80,武学奇术!$A:$ZZ,3,FALSE)+SUM(_xlfn.XLOOKUP($R80:$AK80,增益!$A:$A,增益!$C:$C,0))-$I$2</f>
        <v>3586.7</v>
      </c>
      <c r="AT80" cm="1">
        <f t="array" ref="AT80">$E$10*(1+$AR80)+VLOOKUP($Q80,武学奇术!$A:$ZZ,4,FALSE)+SUM(_xlfn.XLOOKUP($R80:$AK80,增益!$A:$A,增益!$D:$D,0))-$I$2</f>
        <v>3586.7</v>
      </c>
      <c r="AU80" s="34" cm="1">
        <f t="array" ref="AU80">IF($F$10-$I$3+VLOOKUP($Q80,武学奇术!$A:$ZZ,6,FALSE)+SUM(_xlfn.XLOOKUP($R80:$AK80,增益!$A:$A,增益!$F:$F,0))&gt;0,($F$10-$I$3+VLOOKUP($Q80,武学奇术!$A:$ZZ,6,FALSE)+SUM(_xlfn.XLOOKUP($R80:$AK80,增益!$A:$A,增益!$F:$F,0)))/200,($F$10-$I$3+VLOOKUP($Q80,武学奇术!$A:$ZZ,6,FALSE)+SUM(_xlfn.XLOOKUP($R80:$AK80,增益!$A:$A,增益!$F:$F,0)))/100)</f>
        <v>0.322</v>
      </c>
      <c r="AV80" s="34" cm="1">
        <f t="array" ref="AV80">$G$10+VLOOKUP($Q80,武学奇术!$A:$ZZ,7,FALSE)+SUM(_xlfn.XLOOKUP($R80:$AK80,增益!$A:$A,增益!$G:$G,0))</f>
        <v>0</v>
      </c>
      <c r="AW80" s="27" cm="1">
        <f t="array" ref="AW80">VLOOKUP($Q80,武学奇术!$A:$ZZ,8,FALSE)+SUM(_xlfn.XLOOKUP($R80:$AK80,增益!$A:$A,增益!$H:$H,0))</f>
        <v>0</v>
      </c>
      <c r="AX80">
        <f t="shared" si="12"/>
        <v>0</v>
      </c>
      <c r="AY80">
        <f t="shared" si="13"/>
        <v>0</v>
      </c>
      <c r="AZ80" s="34" cm="1">
        <f t="array" ref="AZ80">IF($F$11-$I$4+VLOOKUP($Q80,武学奇术!$A:$ZZ,9,FALSE)+SUM(_xlfn.XLOOKUP($R80:$AK80,增益!$A:$A,增益!$I:$I,0))&gt;0,($F$11-$I$4+VLOOKUP($Q80,武学奇术!$A:$ZZ,9,FALSE)+SUM(_xlfn.XLOOKUP($R80:$AK80,增益!$A:$A,增益!$I:$I,0)))/200,($F$11-$I$4+VLOOKUP($Q80,武学奇术!$A:$ZZ,9,FALSE)+SUM(_xlfn.XLOOKUP($R80:$AK80,增益!$A:$A,增益!$I:$I,0)))/100)</f>
        <v>-0.3</v>
      </c>
      <c r="BA80" s="34" cm="1">
        <f t="array" ref="BA80">$G$11+VLOOKUP($Q80,武学奇术!$A:$ZZ,10,FALSE)+SUM(_xlfn.XLOOKUP($R80:$AK80,增益!$A:$A,增益!$J:$J,0))</f>
        <v>0</v>
      </c>
      <c r="BB80">
        <f t="shared" si="14"/>
        <v>594.1</v>
      </c>
      <c r="BC80">
        <f t="shared" si="15"/>
        <v>1604.9</v>
      </c>
      <c r="BD80" s="34" cm="1">
        <f t="array" ref="BD80">IF($F$12-$I$4+VLOOKUP($Q80,武学奇术!$A:$ZZ,11,FALSE)+SUM(_xlfn.XLOOKUP($R80:$AK80,增益!$A:$A,增益!$K:$K,0))&gt;0,($F$12-$I$4+VLOOKUP($Q80,武学奇术!$A:$ZZ,11,FALSE)+SUM(_xlfn.XLOOKUP($R80:$AK80,增益!$A:$A,增益!$K:$K,0)))/200,($F$12-$I$4+VLOOKUP($Q80,武学奇术!$A:$ZZ,11,FALSE)+SUM(_xlfn.XLOOKUP($R80:$AK80,增益!$A:$A,增益!$K:$K,0)))/100)</f>
        <v>0.09</v>
      </c>
      <c r="BE80" s="34" cm="1">
        <f t="array" ref="BE80">$G$12+VLOOKUP($Q80,武学奇术!$A:$ZZ,12,FALSE)+SUM(_xlfn.XLOOKUP($R80:$AK80,增益!$A:$A,增益!$L:$L,0))</f>
        <v>0.15</v>
      </c>
      <c r="BF80">
        <f t="shared" si="16"/>
        <v>0</v>
      </c>
      <c r="BG80">
        <f t="shared" si="17"/>
        <v>0</v>
      </c>
      <c r="BH80" s="34" cm="1">
        <f t="array" ref="BH80">IF($F$13-$I$4+VLOOKUP($Q80,武学奇术!$A:$ZZ,13,FALSE)+SUM(_xlfn.XLOOKUP($R80:$AK80,增益!$A:$A,增益!$M:$M,0))&gt;0,($F$13-$I$4+VLOOKUP($Q80,武学奇术!$A:$ZZ,13,FALSE)+SUM(_xlfn.XLOOKUP($R80:$AK80,增益!$A:$A,增益!$K:$K,0)))/200,($F$13-$I$4+VLOOKUP($Q80,武学奇术!$A:$ZZ,13,FALSE)+SUM(_xlfn.XLOOKUP($R80:$AK80,增益!$A:$A,增益!$M:$M,0)))/100)</f>
        <v>-0.3</v>
      </c>
      <c r="BI80" s="34" cm="1">
        <f t="array" ref="BI80">$G$13+VLOOKUP($Q80,武学奇术!$A:$ZZ,14,FALSE)+SUM(_xlfn.XLOOKUP($R80:$AK80,增益!$A:$A,增益!$N:$N,0))</f>
        <v>0</v>
      </c>
      <c r="BJ80">
        <f t="shared" si="18"/>
        <v>0</v>
      </c>
      <c r="BK80">
        <f t="shared" si="19"/>
        <v>0</v>
      </c>
      <c r="BL80" s="34" cm="1">
        <f t="array" ref="BL80">IF($F$14-$I$4+VLOOKUP($Q80,武学奇术!$A:$ZZ,15,FALSE)+SUM(_xlfn.XLOOKUP($R80:$AK80,增益!$A:$A,增益!$O:$O,0))&gt;0,($F$14-$I$4+VLOOKUP($Q80,武学奇术!$A:$ZZ,15,FALSE)+SUM(_xlfn.XLOOKUP($R80:$AK80,增益!$A:$A,增益!$O:$O,0)))/200,($F$14-$I$4+VLOOKUP($Q80,武学奇术!$A:$ZZ,15,FALSE)+SUM(_xlfn.XLOOKUP($R80:$AK80,增益!$A:$A,增益!$O:$O,0)))/100)</f>
        <v>-0.3</v>
      </c>
      <c r="BM80" s="34" cm="1">
        <f t="array" ref="BM80">$G$14+VLOOKUP($Q80,武学奇术!$A:$ZZ,16,FALSE)+SUM(_xlfn.XLOOKUP($R80:$AK80,增益!$A:$A,增益!$P:$P,0))</f>
        <v>0</v>
      </c>
      <c r="BN80" s="27">
        <f>MIN(IF(VLOOKUP($Q80,武学奇术!$A:$ZZ,23,FALSE)=1,100%,$B$8),100%)</f>
        <v>0.9859</v>
      </c>
      <c r="BO80" s="27" cm="1">
        <f t="array" ref="BO80">IF(VLOOKUP($Q80,武学奇术!$A:$ZZ,23,FALSE)=1,100%,MIN(80%,$B$9+VLOOKUP($Q80,武学奇术!$A:$ZZ,17,FALSE)+SUM(_xlfn.XLOOKUP($R80:$AK80,增益!$A:$A,增益!$Q:$Q,0)))+$B$11+SUM(_xlfn.XLOOKUP($R80:$AK80,增益!$A:$A,增益!$U:$U,0)))*IF(VLOOKUP($Q80,武学奇术!$A:$ZZ,24,FALSE)=1,0,1)</f>
        <v>0.8912</v>
      </c>
      <c r="BP80" s="27" cm="1">
        <f t="array" ref="BP80">1+$B$13+VLOOKUP($Q80,武学奇术!$A:$ZZ,18,FALSE)+SUM(_xlfn.XLOOKUP($R80:$AK80,增益!$A:$A,增益!$R:$R,0))</f>
        <v>2</v>
      </c>
      <c r="BQ80" s="27" cm="1">
        <f t="array" ref="BQ80">IF(VLOOKUP($Q80,武学奇术!$A:$ZZ,24,FALSE)=1,100%,MIN(40%,$B$10+VLOOKUP($Q80,武学奇术!$A:$ZZ,19,FALSE)+SUM(_xlfn.XLOOKUP($R80:$AK80,增益!$A:$A,增益!$S:$S,0)))+$B$12+SUM(_xlfn.XLOOKUP($R80:$AK80,增益!$A:$A,增益!$V:$V,0)))*IF(VLOOKUP($Q80,武学奇术!$A:$ZZ,23,FALSE)=1,0,1)</f>
        <v>0.0929</v>
      </c>
      <c r="BR80" s="27" cm="1">
        <f t="array" ref="BR80">1+$B$14+VLOOKUP($Q80,武学奇术!$A:$ZZ,20,FALSE)+SUM(_xlfn.XLOOKUP($R80:$AK80,增益!$A:$A,增益!$T:$T,0))</f>
        <v>1.35</v>
      </c>
      <c r="BS80" s="27">
        <f t="shared" si="20"/>
        <v>0.87863408</v>
      </c>
      <c r="BT80" s="27">
        <f t="shared" si="21"/>
        <v>0.01567581</v>
      </c>
      <c r="BU80" s="27">
        <f>IF(VLOOKUP($Q80,武学奇术!$A:$ZZ,22,FALSE)=1,0,(1-$BN80))*(1-$BQ80)</f>
        <v>0.01279011</v>
      </c>
      <c r="BV80" s="27" cm="1">
        <f t="array" ref="BV80">SUM(_xlfn.XLOOKUP($R80:$AK80,增益!$A:$A,增益!$W:$W,0))+$I$5</f>
        <v>0.11</v>
      </c>
    </row>
    <row r="81" spans="1:74">
      <c r="K81" s="40">
        <f t="shared" si="11"/>
        <v>33756.0651893667</v>
      </c>
      <c r="L81" s="40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BP81*$P81*(1+IF(VLOOKUP($Q81,武学奇术!$A:$ZZ,30,FALSE)="蓄力技",$B$21,0))*(1+$BV81)</f>
        <v>35022.9646783134</v>
      </c>
      <c r="M81" s="40">
        <f>(($AT81*$AM81+$AN81)*(1+$AU81)*(1+$AV81)+($AY81*IF($G$1="鸣金",$AO81,$AM81)+IF($G$1="鸣金",$AP81*1.5,0))*(1+$AZ81)*(1+$BA81)+($BC81*IF($G$1="裂石",$AO81,$AM81)+IF($G$1="裂石",$AP81*1.5,0))*(1+$BD81)*(1+$BE81)+($BG81*IF($G$1="牵丝",$AO81,$AM81)+IF($G$1="牵丝",$AP81*1.5,0))*(1+$BH81)*(1+$BI81)+($BK81*IF($G$1="破竹",$AO81,$AM81)+IF($G$1="破竹",$AP81*1.5,0))*(1+$BL81)*(1+$BM81))*(1+$AQ81)*$BR81*$P81*(1+IF(VLOOKUP($Q81,武学奇术!$A:$ZZ,30,FALSE)="蓄力技",$B$21,0))*(1+$BV81)</f>
        <v>27104.7972566984</v>
      </c>
      <c r="N81" s="40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P81*(1+IF(VLOOKUP($Q81,武学奇术!$A:$ZZ,30,FALSE)="蓄力技",$B$21,0))*(1+$BV81)</f>
        <v>17511.4823391567</v>
      </c>
      <c r="O81" s="40">
        <f>((($AS81*$AM81+$AN81)*(1+$AU81)*(1+$AV81)+($AX81*IF($G$1="鸣金",$AO81,$AM81)+IF($G$1="鸣金",$AP81*1.5,0))*(1+$AZ81)*(1+$BA81)+($BB81*IF($G$1="裂石",$AO81,$AM81)+IF($G$1="裂石",$AP81*1.5,0))*(1+$BD81)*(1+$BE81)+($BF81*IF($G$1="牵丝",$AO81,$AM81)+IF($G$1="牵丝",$AP81*1.5,0))*(1+$BH81)*(1+$BI81)+($BJ81*IF($G$1="破竹",$AO81,$AM81)+IF($G$1="破竹",$AP81*1.5,0))*(1+$BL81)*(1+$BM81))*(1+$AQ81))*$P81*(1+IF(VLOOKUP($Q81,武学奇术!$A:$ZZ,30,FALSE)="蓄力技",$B$21,0))*(1+$BV81)</f>
        <v>14945.3370807591</v>
      </c>
      <c r="P81" s="41">
        <v>1</v>
      </c>
      <c r="Q81" s="42" t="s">
        <v>110</v>
      </c>
      <c r="R81" s="42" t="s">
        <v>85</v>
      </c>
      <c r="S81" s="42" t="s">
        <v>169</v>
      </c>
      <c r="T81" s="42" t="s">
        <v>86</v>
      </c>
      <c r="U81" s="42" t="s">
        <v>121</v>
      </c>
      <c r="V81" s="42" t="s">
        <v>77</v>
      </c>
      <c r="W81" s="42" t="s">
        <v>77</v>
      </c>
      <c r="X81" s="42" t="s">
        <v>176</v>
      </c>
      <c r="Y81" s="42" t="s">
        <v>77</v>
      </c>
      <c r="Z81" s="42" t="s">
        <v>77</v>
      </c>
      <c r="AA81" s="42" t="s">
        <v>73</v>
      </c>
      <c r="AB81" s="42" t="s">
        <v>77</v>
      </c>
      <c r="AC81" s="42" t="s">
        <v>77</v>
      </c>
      <c r="AD81" s="42" t="s">
        <v>77</v>
      </c>
      <c r="AE81" s="42" t="s">
        <v>81</v>
      </c>
      <c r="AF81" s="42" t="s">
        <v>82</v>
      </c>
      <c r="AG81" s="42" t="s">
        <v>77</v>
      </c>
      <c r="AH81" s="42" t="s">
        <v>77</v>
      </c>
      <c r="AI81" s="42" t="s">
        <v>77</v>
      </c>
      <c r="AJ81" s="42" t="s">
        <v>77</v>
      </c>
      <c r="AK81" s="42" t="s">
        <v>77</v>
      </c>
      <c r="AL81" t="str">
        <f>VLOOKUP($Q81,武学奇术!$A:$ZZ,25,FALSE)</f>
        <v>横刀</v>
      </c>
      <c r="AM81" s="27">
        <f>VLOOKUP($Q81,武学奇术!$A:$ZZ,26,FALSE)</f>
        <v>1.4</v>
      </c>
      <c r="AN81" s="28">
        <f>VLOOKUP($Q81,武学奇术!$A:$ZZ,27,FALSE)*(1+IF(OR($AL81=$F$4,$AL81=$F$5),$B$22,0))</f>
        <v>0</v>
      </c>
      <c r="AO81" s="27">
        <f>VLOOKUP($Q81,武学奇术!$A:$ZZ,28,FALSE)</f>
        <v>2.1</v>
      </c>
      <c r="AP81" s="28">
        <f>VLOOKUP($Q81,武学奇术!$A:$ZZ,29,FALSE)*(1+IF(OR($AL81=$F$4,$AL81=$F$5),$B$22,0))</f>
        <v>0</v>
      </c>
      <c r="AQ81" s="27" cm="1">
        <f t="array" ref="AQ81">$G$3+IFERROR(VLOOKUP($AL81,$F$4:$G$7,2,FALSE),0)+VLOOKUP($Q81,武学奇术!$A:$ZZ,2,FALSE)+SUM(_xlfn.XLOOKUP($R81:$AK81,增益!$A:$A,增益!$B:$B,0))</f>
        <v>0.6189</v>
      </c>
      <c r="AR81" s="27" cm="1">
        <f t="array" ref="AR81">VLOOKUP($Q81,武学奇术!$A:$ZZ,5,FALSE)+SUM(_xlfn.XLOOKUP($R81:$AK81,增益!$A:$A,增益!$E:$E,0))</f>
        <v>0</v>
      </c>
      <c r="AS81" cm="1">
        <f t="array" ref="AS81">$D$10*(1+$AR81)+VLOOKUP($Q81,武学奇术!$A:$ZZ,3,FALSE)+SUM(_xlfn.XLOOKUP($R81:$AK81,增益!$A:$A,增益!$C:$C,0))-$I$2</f>
        <v>3586.7</v>
      </c>
      <c r="AT81" cm="1">
        <f t="array" ref="AT81">$E$10*(1+$AR81)+VLOOKUP($Q81,武学奇术!$A:$ZZ,4,FALSE)+SUM(_xlfn.XLOOKUP($R81:$AK81,增益!$A:$A,增益!$D:$D,0))-$I$2</f>
        <v>3586.7</v>
      </c>
      <c r="AU81" s="34" cm="1">
        <f t="array" ref="AU81">IF($F$10-$I$3+VLOOKUP($Q81,武学奇术!$A:$ZZ,6,FALSE)+SUM(_xlfn.XLOOKUP($R81:$AK81,增益!$A:$A,增益!$F:$F,0))&gt;0,($F$10-$I$3+VLOOKUP($Q81,武学奇术!$A:$ZZ,6,FALSE)+SUM(_xlfn.XLOOKUP($R81:$AK81,增益!$A:$A,增益!$F:$F,0)))/200,($F$10-$I$3+VLOOKUP($Q81,武学奇术!$A:$ZZ,6,FALSE)+SUM(_xlfn.XLOOKUP($R81:$AK81,增益!$A:$A,增益!$F:$F,0)))/100)</f>
        <v>0.322</v>
      </c>
      <c r="AV81" s="34" cm="1">
        <f t="array" ref="AV81">$G$10+VLOOKUP($Q81,武学奇术!$A:$ZZ,7,FALSE)+SUM(_xlfn.XLOOKUP($R81:$AK81,增益!$A:$A,增益!$G:$G,0))</f>
        <v>0</v>
      </c>
      <c r="AW81" s="27" cm="1">
        <f t="array" ref="AW81">VLOOKUP($Q81,武学奇术!$A:$ZZ,8,FALSE)+SUM(_xlfn.XLOOKUP($R81:$AK81,增益!$A:$A,增益!$H:$H,0))</f>
        <v>0</v>
      </c>
      <c r="AX81">
        <f t="shared" si="12"/>
        <v>0</v>
      </c>
      <c r="AY81">
        <f t="shared" si="13"/>
        <v>0</v>
      </c>
      <c r="AZ81" s="34" cm="1">
        <f t="array" ref="AZ81">IF($F$11-$I$4+VLOOKUP($Q81,武学奇术!$A:$ZZ,9,FALSE)+SUM(_xlfn.XLOOKUP($R81:$AK81,增益!$A:$A,增益!$I:$I,0))&gt;0,($F$11-$I$4+VLOOKUP($Q81,武学奇术!$A:$ZZ,9,FALSE)+SUM(_xlfn.XLOOKUP($R81:$AK81,增益!$A:$A,增益!$I:$I,0)))/200,($F$11-$I$4+VLOOKUP($Q81,武学奇术!$A:$ZZ,9,FALSE)+SUM(_xlfn.XLOOKUP($R81:$AK81,增益!$A:$A,增益!$I:$I,0)))/100)</f>
        <v>-0.14</v>
      </c>
      <c r="BA81" s="34" cm="1">
        <f t="array" ref="BA81">$G$11+VLOOKUP($Q81,武学奇术!$A:$ZZ,10,FALSE)+SUM(_xlfn.XLOOKUP($R81:$AK81,增益!$A:$A,增益!$J:$J,0))</f>
        <v>0</v>
      </c>
      <c r="BB81">
        <f t="shared" si="14"/>
        <v>594.1</v>
      </c>
      <c r="BC81">
        <f t="shared" si="15"/>
        <v>1604.9</v>
      </c>
      <c r="BD81" s="34" cm="1">
        <f t="array" ref="BD81">IF($F$12-$I$4+VLOOKUP($Q81,武学奇术!$A:$ZZ,11,FALSE)+SUM(_xlfn.XLOOKUP($R81:$AK81,增益!$A:$A,增益!$K:$K,0))&gt;0,($F$12-$I$4+VLOOKUP($Q81,武学奇术!$A:$ZZ,11,FALSE)+SUM(_xlfn.XLOOKUP($R81:$AK81,增益!$A:$A,增益!$K:$K,0)))/200,($F$12-$I$4+VLOOKUP($Q81,武学奇术!$A:$ZZ,11,FALSE)+SUM(_xlfn.XLOOKUP($R81:$AK81,增益!$A:$A,增益!$K:$K,0)))/100)</f>
        <v>0.17</v>
      </c>
      <c r="BE81" s="34" cm="1">
        <f t="array" ref="BE81">$G$12+VLOOKUP($Q81,武学奇术!$A:$ZZ,12,FALSE)+SUM(_xlfn.XLOOKUP($R81:$AK81,增益!$A:$A,增益!$L:$L,0))</f>
        <v>0.15</v>
      </c>
      <c r="BF81">
        <f t="shared" si="16"/>
        <v>0</v>
      </c>
      <c r="BG81">
        <f t="shared" si="17"/>
        <v>0</v>
      </c>
      <c r="BH81" s="34" cm="1">
        <f t="array" ref="BH81">IF($F$13-$I$4+VLOOKUP($Q81,武学奇术!$A:$ZZ,13,FALSE)+SUM(_xlfn.XLOOKUP($R81:$AK81,增益!$A:$A,增益!$M:$M,0))&gt;0,($F$13-$I$4+VLOOKUP($Q81,武学奇术!$A:$ZZ,13,FALSE)+SUM(_xlfn.XLOOKUP($R81:$AK81,增益!$A:$A,增益!$K:$K,0)))/200,($F$13-$I$4+VLOOKUP($Q81,武学奇术!$A:$ZZ,13,FALSE)+SUM(_xlfn.XLOOKUP($R81:$AK81,增益!$A:$A,增益!$M:$M,0)))/100)</f>
        <v>-0.14</v>
      </c>
      <c r="BI81" s="34" cm="1">
        <f t="array" ref="BI81">$G$13+VLOOKUP($Q81,武学奇术!$A:$ZZ,14,FALSE)+SUM(_xlfn.XLOOKUP($R81:$AK81,增益!$A:$A,增益!$N:$N,0))</f>
        <v>0</v>
      </c>
      <c r="BJ81">
        <f t="shared" si="18"/>
        <v>0</v>
      </c>
      <c r="BK81">
        <f t="shared" si="19"/>
        <v>0</v>
      </c>
      <c r="BL81" s="34" cm="1">
        <f t="array" ref="BL81">IF($F$14-$I$4+VLOOKUP($Q81,武学奇术!$A:$ZZ,15,FALSE)+SUM(_xlfn.XLOOKUP($R81:$AK81,增益!$A:$A,增益!$O:$O,0))&gt;0,($F$14-$I$4+VLOOKUP($Q81,武学奇术!$A:$ZZ,15,FALSE)+SUM(_xlfn.XLOOKUP($R81:$AK81,增益!$A:$A,增益!$O:$O,0)))/200,($F$14-$I$4+VLOOKUP($Q81,武学奇术!$A:$ZZ,15,FALSE)+SUM(_xlfn.XLOOKUP($R81:$AK81,增益!$A:$A,增益!$O:$O,0)))/100)</f>
        <v>-0.14</v>
      </c>
      <c r="BM81" s="34" cm="1">
        <f t="array" ref="BM81">$G$14+VLOOKUP($Q81,武学奇术!$A:$ZZ,16,FALSE)+SUM(_xlfn.XLOOKUP($R81:$AK81,增益!$A:$A,增益!$P:$P,0))</f>
        <v>0</v>
      </c>
      <c r="BN81" s="27">
        <f>MIN(IF(VLOOKUP($Q81,武学奇术!$A:$ZZ,23,FALSE)=1,100%,$B$8),100%)</f>
        <v>0.9859</v>
      </c>
      <c r="BO81" s="27" cm="1">
        <f t="array" ref="BO81">IF(VLOOKUP($Q81,武学奇术!$A:$ZZ,23,FALSE)=1,100%,MIN(80%,$B$9+VLOOKUP($Q81,武学奇术!$A:$ZZ,17,FALSE)+SUM(_xlfn.XLOOKUP($R81:$AK81,增益!$A:$A,增益!$Q:$Q,0)))+$B$11+SUM(_xlfn.XLOOKUP($R81:$AK81,增益!$A:$A,增益!$U:$U,0)))*IF(VLOOKUP($Q81,武学奇术!$A:$ZZ,24,FALSE)=1,0,1)</f>
        <v>0.8912</v>
      </c>
      <c r="BP81" s="27" cm="1">
        <f t="array" ref="BP81">1+$B$13+VLOOKUP($Q81,武学奇术!$A:$ZZ,18,FALSE)+SUM(_xlfn.XLOOKUP($R81:$AK81,增益!$A:$A,增益!$R:$R,0))</f>
        <v>2</v>
      </c>
      <c r="BQ81" s="27" cm="1">
        <f t="array" ref="BQ81">IF(VLOOKUP($Q81,武学奇术!$A:$ZZ,24,FALSE)=1,100%,MIN(40%,$B$10+VLOOKUP($Q81,武学奇术!$A:$ZZ,19,FALSE)+SUM(_xlfn.XLOOKUP($R81:$AK81,增益!$A:$A,增益!$S:$S,0)))+$B$12+SUM(_xlfn.XLOOKUP($R81:$AK81,增益!$A:$A,增益!$V:$V,0)))*IF(VLOOKUP($Q81,武学奇术!$A:$ZZ,23,FALSE)=1,0,1)</f>
        <v>0.0929</v>
      </c>
      <c r="BR81" s="27" cm="1">
        <f t="array" ref="BR81">1+$B$14+VLOOKUP($Q81,武学奇术!$A:$ZZ,20,FALSE)+SUM(_xlfn.XLOOKUP($R81:$AK81,增益!$A:$A,增益!$T:$T,0))</f>
        <v>1.35</v>
      </c>
      <c r="BS81" s="27">
        <f t="shared" si="20"/>
        <v>0.87863408</v>
      </c>
      <c r="BT81" s="27">
        <f t="shared" si="21"/>
        <v>0.01567581</v>
      </c>
      <c r="BU81" s="27">
        <f>IF(VLOOKUP($Q81,武学奇术!$A:$ZZ,22,FALSE)=1,0,(1-$BN81))*(1-$BQ81)</f>
        <v>0.01279011</v>
      </c>
      <c r="BV81" s="27" cm="1">
        <f t="array" ref="BV81">SUM(_xlfn.XLOOKUP($R81:$AK81,增益!$A:$A,增益!$W:$W,0))+$I$5</f>
        <v>0.11</v>
      </c>
    </row>
    <row r="82" spans="1:74">
      <c r="A82" s="4"/>
      <c r="B82" s="4"/>
      <c r="K82" s="40">
        <f t="shared" si="11"/>
        <v>16935.4551426456</v>
      </c>
      <c r="L82" s="40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BP82*$P82*(1+IF(VLOOKUP($Q82,武学奇术!$A:$ZZ,30,FALSE)="蓄力技",$B$21,0))*(1+$BV82)</f>
        <v>17571.8312580083</v>
      </c>
      <c r="M82" s="40">
        <f>(($AT82*$AM82+$AN82)*(1+$AU82)*(1+$AV82)+($AY82*IF($G$1="鸣金",$AO82,$AM82)+IF($G$1="鸣金",$AP82*1.5,0))*(1+$AZ82)*(1+$BA82)+($BC82*IF($G$1="裂石",$AO82,$AM82)+IF($G$1="裂石",$AP82*1.5,0))*(1+$BD82)*(1+$BE82)+($BG82*IF($G$1="牵丝",$AO82,$AM82)+IF($G$1="牵丝",$AP82*1.5,0))*(1+$BH82)*(1+$BI82)+($BK82*IF($G$1="破竹",$AO82,$AM82)+IF($G$1="破竹",$AP82*1.5,0))*(1+$BL82)*(1+$BM82))*(1+$AQ82)*$BR82*$P82*(1+IF(VLOOKUP($Q82,武学奇术!$A:$ZZ,30,FALSE)="蓄力技",$B$21,0))*(1+$BV82)</f>
        <v>13590.1933043967</v>
      </c>
      <c r="N82" s="40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P82*(1+IF(VLOOKUP($Q82,武学奇术!$A:$ZZ,30,FALSE)="蓄力技",$B$21,0))*(1+$BV82)</f>
        <v>8785.91562900416</v>
      </c>
      <c r="O82" s="40">
        <f>((($AS82*$AM82+$AN82)*(1+$AU82)*(1+$AV82)+($AX82*IF($G$1="鸣金",$AO82,$AM82)+IF($G$1="鸣金",$AP82*1.5,0))*(1+$AZ82)*(1+$BA82)+($BB82*IF($G$1="裂石",$AO82,$AM82)+IF($G$1="裂石",$AP82*1.5,0))*(1+$BD82)*(1+$BE82)+($BF82*IF($G$1="牵丝",$AO82,$AM82)+IF($G$1="牵丝",$AP82*1.5,0))*(1+$BH82)*(1+$BI82)+($BJ82*IF($G$1="破竹",$AO82,$AM82)+IF($G$1="破竹",$AP82*1.5,0))*(1+$BL82)*(1+$BM82))*(1+$AQ82))*$P82*(1+IF(VLOOKUP($Q82,武学奇术!$A:$ZZ,30,FALSE)="蓄力技",$B$21,0))*(1+$BV82)</f>
        <v>7505.02140289966</v>
      </c>
      <c r="P82" s="41">
        <v>1</v>
      </c>
      <c r="Q82" s="42" t="s">
        <v>112</v>
      </c>
      <c r="R82" s="42" t="s">
        <v>93</v>
      </c>
      <c r="S82" s="42" t="s">
        <v>169</v>
      </c>
      <c r="T82" s="42" t="s">
        <v>86</v>
      </c>
      <c r="U82" s="42" t="s">
        <v>121</v>
      </c>
      <c r="V82" s="42" t="s">
        <v>77</v>
      </c>
      <c r="W82" s="42" t="s">
        <v>77</v>
      </c>
      <c r="X82" s="42" t="s">
        <v>176</v>
      </c>
      <c r="Y82" s="42" t="s">
        <v>77</v>
      </c>
      <c r="Z82" s="42" t="s">
        <v>77</v>
      </c>
      <c r="AA82" s="42" t="s">
        <v>73</v>
      </c>
      <c r="AB82" s="42" t="s">
        <v>77</v>
      </c>
      <c r="AC82" s="42" t="s">
        <v>77</v>
      </c>
      <c r="AD82" s="42" t="s">
        <v>77</v>
      </c>
      <c r="AE82" s="42" t="s">
        <v>81</v>
      </c>
      <c r="AF82" s="42" t="s">
        <v>82</v>
      </c>
      <c r="AG82" s="42" t="s">
        <v>77</v>
      </c>
      <c r="AH82" s="42" t="s">
        <v>77</v>
      </c>
      <c r="AI82" s="42" t="s">
        <v>77</v>
      </c>
      <c r="AJ82" s="42" t="s">
        <v>77</v>
      </c>
      <c r="AK82" s="42" t="s">
        <v>77</v>
      </c>
      <c r="AL82" t="str">
        <f>VLOOKUP($Q82,武学奇术!$A:$ZZ,25,FALSE)</f>
        <v>陌刀</v>
      </c>
      <c r="AM82" s="27">
        <f>VLOOKUP($Q82,武学奇术!$A:$ZZ,26,FALSE)</f>
        <v>0.5</v>
      </c>
      <c r="AN82" s="28">
        <f>VLOOKUP($Q82,武学奇术!$A:$ZZ,27,FALSE)*(1+IF(OR($AL82=$F$4,$AL82=$F$5),$B$22,0))</f>
        <v>0</v>
      </c>
      <c r="AO82" s="27">
        <f>VLOOKUP($Q82,武学奇术!$A:$ZZ,28,FALSE)</f>
        <v>0.75</v>
      </c>
      <c r="AP82" s="28">
        <f>VLOOKUP($Q82,武学奇术!$A:$ZZ,29,FALSE)*(1+IF(OR($AL82=$F$4,$AL82=$F$5),$B$22,0))</f>
        <v>0</v>
      </c>
      <c r="AQ82" s="27" cm="1">
        <f t="array" ref="AQ82">$G$3+IFERROR(VLOOKUP($AL82,$F$4:$G$7,2,FALSE),0)+VLOOKUP($Q82,武学奇术!$A:$ZZ,2,FALSE)+SUM(_xlfn.XLOOKUP($R82:$AK82,增益!$A:$A,增益!$B:$B,0))</f>
        <v>0.7141</v>
      </c>
      <c r="AR82" s="27" cm="1">
        <f t="array" ref="AR82">VLOOKUP($Q82,武学奇术!$A:$ZZ,5,FALSE)+SUM(_xlfn.XLOOKUP($R82:$AK82,增益!$A:$A,增益!$E:$E,0))</f>
        <v>0</v>
      </c>
      <c r="AS82" cm="1">
        <f t="array" ref="AS82">$D$10*(1+$AR82)+VLOOKUP($Q82,武学奇术!$A:$ZZ,3,FALSE)+SUM(_xlfn.XLOOKUP($R82:$AK82,增益!$A:$A,增益!$C:$C,0))-$I$2</f>
        <v>3586.7</v>
      </c>
      <c r="AT82" cm="1">
        <f t="array" ref="AT82">$E$10*(1+$AR82)+VLOOKUP($Q82,武学奇术!$A:$ZZ,4,FALSE)+SUM(_xlfn.XLOOKUP($R82:$AK82,增益!$A:$A,增益!$D:$D,0))-$I$2</f>
        <v>3586.7</v>
      </c>
      <c r="AU82" s="34" cm="1">
        <f t="array" ref="AU82">IF($F$10-$I$3+VLOOKUP($Q82,武学奇术!$A:$ZZ,6,FALSE)+SUM(_xlfn.XLOOKUP($R82:$AK82,增益!$A:$A,增益!$F:$F,0))&gt;0,($F$10-$I$3+VLOOKUP($Q82,武学奇术!$A:$ZZ,6,FALSE)+SUM(_xlfn.XLOOKUP($R82:$AK82,增益!$A:$A,增益!$F:$F,0)))/200,($F$10-$I$3+VLOOKUP($Q82,武学奇术!$A:$ZZ,6,FALSE)+SUM(_xlfn.XLOOKUP($R82:$AK82,增益!$A:$A,增益!$F:$F,0)))/100)</f>
        <v>0.332</v>
      </c>
      <c r="AV82" s="34" cm="1">
        <f t="array" ref="AV82">$G$10+VLOOKUP($Q82,武学奇术!$A:$ZZ,7,FALSE)+SUM(_xlfn.XLOOKUP($R82:$AK82,增益!$A:$A,增益!$G:$G,0))</f>
        <v>0</v>
      </c>
      <c r="AW82" s="27" cm="1">
        <f t="array" ref="AW82">VLOOKUP($Q82,武学奇术!$A:$ZZ,8,FALSE)+SUM(_xlfn.XLOOKUP($R82:$AK82,增益!$A:$A,增益!$H:$H,0))</f>
        <v>0</v>
      </c>
      <c r="AX82">
        <f t="shared" si="12"/>
        <v>0</v>
      </c>
      <c r="AY82">
        <f t="shared" si="13"/>
        <v>0</v>
      </c>
      <c r="AZ82" s="34" cm="1">
        <f t="array" ref="AZ82">IF($F$11-$I$4+VLOOKUP($Q82,武学奇术!$A:$ZZ,9,FALSE)+SUM(_xlfn.XLOOKUP($R82:$AK82,增益!$A:$A,增益!$I:$I,0))&gt;0,($F$11-$I$4+VLOOKUP($Q82,武学奇术!$A:$ZZ,9,FALSE)+SUM(_xlfn.XLOOKUP($R82:$AK82,增益!$A:$A,增益!$I:$I,0)))/200,($F$11-$I$4+VLOOKUP($Q82,武学奇术!$A:$ZZ,9,FALSE)+SUM(_xlfn.XLOOKUP($R82:$AK82,增益!$A:$A,增益!$I:$I,0)))/100)</f>
        <v>-0.14</v>
      </c>
      <c r="BA82" s="34" cm="1">
        <f t="array" ref="BA82">$G$11+VLOOKUP($Q82,武学奇术!$A:$ZZ,10,FALSE)+SUM(_xlfn.XLOOKUP($R82:$AK82,增益!$A:$A,增益!$J:$J,0))</f>
        <v>0</v>
      </c>
      <c r="BB82">
        <f t="shared" si="14"/>
        <v>594.1</v>
      </c>
      <c r="BC82">
        <f t="shared" si="15"/>
        <v>1604.9</v>
      </c>
      <c r="BD82" s="34" cm="1">
        <f t="array" ref="BD82">IF($F$12-$I$4+VLOOKUP($Q82,武学奇术!$A:$ZZ,11,FALSE)+SUM(_xlfn.XLOOKUP($R82:$AK82,增益!$A:$A,增益!$K:$K,0))&gt;0,($F$12-$I$4+VLOOKUP($Q82,武学奇术!$A:$ZZ,11,FALSE)+SUM(_xlfn.XLOOKUP($R82:$AK82,增益!$A:$A,增益!$K:$K,0)))/200,($F$12-$I$4+VLOOKUP($Q82,武学奇术!$A:$ZZ,11,FALSE)+SUM(_xlfn.XLOOKUP($R82:$AK82,增益!$A:$A,增益!$K:$K,0)))/100)</f>
        <v>0.17</v>
      </c>
      <c r="BE82" s="34" cm="1">
        <f t="array" ref="BE82">$G$12+VLOOKUP($Q82,武学奇术!$A:$ZZ,12,FALSE)+SUM(_xlfn.XLOOKUP($R82:$AK82,增益!$A:$A,增益!$L:$L,0))</f>
        <v>0.15</v>
      </c>
      <c r="BF82">
        <f t="shared" si="16"/>
        <v>0</v>
      </c>
      <c r="BG82">
        <f t="shared" si="17"/>
        <v>0</v>
      </c>
      <c r="BH82" s="34" cm="1">
        <f t="array" ref="BH82">IF($F$13-$I$4+VLOOKUP($Q82,武学奇术!$A:$ZZ,13,FALSE)+SUM(_xlfn.XLOOKUP($R82:$AK82,增益!$A:$A,增益!$M:$M,0))&gt;0,($F$13-$I$4+VLOOKUP($Q82,武学奇术!$A:$ZZ,13,FALSE)+SUM(_xlfn.XLOOKUP($R82:$AK82,增益!$A:$A,增益!$K:$K,0)))/200,($F$13-$I$4+VLOOKUP($Q82,武学奇术!$A:$ZZ,13,FALSE)+SUM(_xlfn.XLOOKUP($R82:$AK82,增益!$A:$A,增益!$M:$M,0)))/100)</f>
        <v>-0.14</v>
      </c>
      <c r="BI82" s="34" cm="1">
        <f t="array" ref="BI82">$G$13+VLOOKUP($Q82,武学奇术!$A:$ZZ,14,FALSE)+SUM(_xlfn.XLOOKUP($R82:$AK82,增益!$A:$A,增益!$N:$N,0))</f>
        <v>0</v>
      </c>
      <c r="BJ82">
        <f t="shared" si="18"/>
        <v>0</v>
      </c>
      <c r="BK82">
        <f t="shared" si="19"/>
        <v>0</v>
      </c>
      <c r="BL82" s="34" cm="1">
        <f t="array" ref="BL82">IF($F$14-$I$4+VLOOKUP($Q82,武学奇术!$A:$ZZ,15,FALSE)+SUM(_xlfn.XLOOKUP($R82:$AK82,增益!$A:$A,增益!$O:$O,0))&gt;0,($F$14-$I$4+VLOOKUP($Q82,武学奇术!$A:$ZZ,15,FALSE)+SUM(_xlfn.XLOOKUP($R82:$AK82,增益!$A:$A,增益!$O:$O,0)))/200,($F$14-$I$4+VLOOKUP($Q82,武学奇术!$A:$ZZ,15,FALSE)+SUM(_xlfn.XLOOKUP($R82:$AK82,增益!$A:$A,增益!$O:$O,0)))/100)</f>
        <v>-0.14</v>
      </c>
      <c r="BM82" s="34" cm="1">
        <f t="array" ref="BM82">$G$14+VLOOKUP($Q82,武学奇术!$A:$ZZ,16,FALSE)+SUM(_xlfn.XLOOKUP($R82:$AK82,增益!$A:$A,增益!$P:$P,0))</f>
        <v>0</v>
      </c>
      <c r="BN82" s="27">
        <f>MIN(IF(VLOOKUP($Q82,武学奇术!$A:$ZZ,23,FALSE)=1,100%,$B$8),100%)</f>
        <v>0.9859</v>
      </c>
      <c r="BO82" s="27" cm="1">
        <f t="array" ref="BO82">IF(VLOOKUP($Q82,武学奇术!$A:$ZZ,23,FALSE)=1,100%,MIN(80%,$B$9+VLOOKUP($Q82,武学奇术!$A:$ZZ,17,FALSE)+SUM(_xlfn.XLOOKUP($R82:$AK82,增益!$A:$A,增益!$Q:$Q,0)))+$B$11+SUM(_xlfn.XLOOKUP($R82:$AK82,增益!$A:$A,增益!$U:$U,0)))*IF(VLOOKUP($Q82,武学奇术!$A:$ZZ,24,FALSE)=1,0,1)</f>
        <v>0.8912</v>
      </c>
      <c r="BP82" s="27" cm="1">
        <f t="array" ref="BP82">1+$B$13+VLOOKUP($Q82,武学奇术!$A:$ZZ,18,FALSE)+SUM(_xlfn.XLOOKUP($R82:$AK82,增益!$A:$A,增益!$R:$R,0))</f>
        <v>2</v>
      </c>
      <c r="BQ82" s="27" cm="1">
        <f t="array" ref="BQ82">IF(VLOOKUP($Q82,武学奇术!$A:$ZZ,24,FALSE)=1,100%,MIN(40%,$B$10+VLOOKUP($Q82,武学奇术!$A:$ZZ,19,FALSE)+SUM(_xlfn.XLOOKUP($R82:$AK82,增益!$A:$A,增益!$S:$S,0)))+$B$12+SUM(_xlfn.XLOOKUP($R82:$AK82,增益!$A:$A,增益!$V:$V,0)))*IF(VLOOKUP($Q82,武学奇术!$A:$ZZ,23,FALSE)=1,0,1)</f>
        <v>0.0929</v>
      </c>
      <c r="BR82" s="27" cm="1">
        <f t="array" ref="BR82">1+$B$14+VLOOKUP($Q82,武学奇术!$A:$ZZ,20,FALSE)+SUM(_xlfn.XLOOKUP($R82:$AK82,增益!$A:$A,增益!$T:$T,0))</f>
        <v>1.35</v>
      </c>
      <c r="BS82" s="27">
        <f t="shared" si="20"/>
        <v>0.87863408</v>
      </c>
      <c r="BT82" s="27">
        <f t="shared" si="21"/>
        <v>0.01567581</v>
      </c>
      <c r="BU82" s="27">
        <f>IF(VLOOKUP($Q82,武学奇术!$A:$ZZ,22,FALSE)=1,0,(1-$BN82))*(1-$BQ82)</f>
        <v>0.01279011</v>
      </c>
      <c r="BV82" s="27" cm="1">
        <f t="array" ref="BV82">SUM(_xlfn.XLOOKUP($R82:$AK82,增益!$A:$A,增益!$W:$W,0))+$I$5</f>
        <v>0.11</v>
      </c>
    </row>
    <row r="83" spans="1:74">
      <c r="A83" s="4"/>
      <c r="B83" s="4"/>
      <c r="K83" s="40">
        <f t="shared" si="11"/>
        <v>33210.7610776357</v>
      </c>
      <c r="L83" s="40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BP83*$P83*(1+IF(VLOOKUP($Q83,武学奇术!$A:$ZZ,30,FALSE)="蓄力技",$B$21,0))*(1+$BV83)</f>
        <v>33210.7610776357</v>
      </c>
      <c r="M83" s="40">
        <f>(($AT83*$AM83+$AN83)*(1+$AU83)*(1+$AV83)+($AY83*IF($G$1="鸣金",$AO83,$AM83)+IF($G$1="鸣金",$AP83*1.5,0))*(1+$AZ83)*(1+$BA83)+($BC83*IF($G$1="裂石",$AO83,$AM83)+IF($G$1="裂石",$AP83*1.5,0))*(1+$BD83)*(1+$BE83)+($BG83*IF($G$1="牵丝",$AO83,$AM83)+IF($G$1="牵丝",$AP83*1.5,0))*(1+$BH83)*(1+$BI83)+($BK83*IF($G$1="破竹",$AO83,$AM83)+IF($G$1="破竹",$AP83*1.5,0))*(1+$BL83)*(1+$BM83))*(1+$AQ83)*$BR83*$P83*(1+IF(VLOOKUP($Q83,武学奇术!$A:$ZZ,30,FALSE)="蓄力技",$B$21,0))*(1+$BV83)</f>
        <v>24462.347947914</v>
      </c>
      <c r="N83" s="40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P83*(1+IF(VLOOKUP($Q83,武学奇术!$A:$ZZ,30,FALSE)="蓄力技",$B$21,0))*(1+$BV83)</f>
        <v>15814.6481322075</v>
      </c>
      <c r="O83" s="40">
        <f>((($AS83*$AM83+$AN83)*(1+$AU83)*(1+$AV83)+($AX83*IF($G$1="鸣金",$AO83,$AM83)+IF($G$1="鸣金",$AP83*1.5,0))*(1+$AZ83)*(1+$BA83)+($BB83*IF($G$1="裂石",$AO83,$AM83)+IF($G$1="裂石",$AP83*1.5,0))*(1+$BD83)*(1+$BE83)+($BF83*IF($G$1="牵丝",$AO83,$AM83)+IF($G$1="牵丝",$AP83*1.5,0))*(1+$BH83)*(1+$BI83)+($BJ83*IF($G$1="破竹",$AO83,$AM83)+IF($G$1="破竹",$AP83*1.5,0))*(1+$BL83)*(1+$BM83))*(1+$AQ83))*$P83*(1+IF(VLOOKUP($Q83,武学奇术!$A:$ZZ,30,FALSE)="蓄力技",$B$21,0))*(1+$BV83)</f>
        <v>13509.0385252194</v>
      </c>
      <c r="P83" s="41">
        <v>1</v>
      </c>
      <c r="Q83" s="42" t="s">
        <v>117</v>
      </c>
      <c r="R83" s="42" t="s">
        <v>93</v>
      </c>
      <c r="S83" s="42" t="s">
        <v>169</v>
      </c>
      <c r="T83" s="42" t="s">
        <v>86</v>
      </c>
      <c r="U83" s="42" t="s">
        <v>121</v>
      </c>
      <c r="V83" s="42" t="s">
        <v>118</v>
      </c>
      <c r="W83" s="42" t="s">
        <v>77</v>
      </c>
      <c r="X83" s="42" t="s">
        <v>176</v>
      </c>
      <c r="Y83" s="42" t="s">
        <v>77</v>
      </c>
      <c r="Z83" s="42" t="s">
        <v>77</v>
      </c>
      <c r="AA83" s="42" t="s">
        <v>73</v>
      </c>
      <c r="AB83" s="42" t="s">
        <v>77</v>
      </c>
      <c r="AC83" s="42" t="s">
        <v>77</v>
      </c>
      <c r="AD83" s="42" t="s">
        <v>77</v>
      </c>
      <c r="AE83" s="42" t="s">
        <v>81</v>
      </c>
      <c r="AF83" s="42" t="s">
        <v>82</v>
      </c>
      <c r="AG83" s="42" t="s">
        <v>77</v>
      </c>
      <c r="AH83" s="42" t="s">
        <v>77</v>
      </c>
      <c r="AI83" s="42" t="s">
        <v>77</v>
      </c>
      <c r="AJ83" s="42" t="s">
        <v>77</v>
      </c>
      <c r="AK83" s="42" t="s">
        <v>77</v>
      </c>
      <c r="AL83" t="str">
        <f>VLOOKUP($Q83,武学奇术!$A:$ZZ,25,FALSE)</f>
        <v>陌刀</v>
      </c>
      <c r="AM83" s="27">
        <f>VLOOKUP($Q83,武学奇术!$A:$ZZ,26,FALSE)</f>
        <v>0.9</v>
      </c>
      <c r="AN83" s="28">
        <f>VLOOKUP($Q83,武学奇术!$A:$ZZ,27,FALSE)*(1+IF(OR($AL83=$F$4,$AL83=$F$5),$B$22,0))</f>
        <v>0</v>
      </c>
      <c r="AO83" s="27">
        <f>VLOOKUP($Q83,武学奇术!$A:$ZZ,28,FALSE)</f>
        <v>1.35</v>
      </c>
      <c r="AP83" s="28">
        <f>VLOOKUP($Q83,武学奇术!$A:$ZZ,29,FALSE)*(1+IF(OR($AL83=$F$4,$AL83=$F$5),$B$22,0))</f>
        <v>0</v>
      </c>
      <c r="AQ83" s="27" cm="1">
        <f t="array" ref="AQ83">$G$3+IFERROR(VLOOKUP($AL83,$F$4:$G$7,2,FALSE),0)+VLOOKUP($Q83,武学奇术!$A:$ZZ,2,FALSE)+SUM(_xlfn.XLOOKUP($R83:$AK83,增益!$A:$A,增益!$B:$B,0))</f>
        <v>0.7141</v>
      </c>
      <c r="AR83" s="27" cm="1">
        <f t="array" ref="AR83">VLOOKUP($Q83,武学奇术!$A:$ZZ,5,FALSE)+SUM(_xlfn.XLOOKUP($R83:$AK83,增益!$A:$A,增益!$E:$E,0))</f>
        <v>0</v>
      </c>
      <c r="AS83" cm="1">
        <f t="array" ref="AS83">$D$10*(1+$AR83)+VLOOKUP($Q83,武学奇术!$A:$ZZ,3,FALSE)+SUM(_xlfn.XLOOKUP($R83:$AK83,增益!$A:$A,增益!$C:$C,0))-$I$2</f>
        <v>3586.7</v>
      </c>
      <c r="AT83" cm="1">
        <f t="array" ref="AT83">$E$10*(1+$AR83)+VLOOKUP($Q83,武学奇术!$A:$ZZ,4,FALSE)+SUM(_xlfn.XLOOKUP($R83:$AK83,增益!$A:$A,增益!$D:$D,0))-$I$2</f>
        <v>3586.7</v>
      </c>
      <c r="AU83" s="34" cm="1">
        <f t="array" ref="AU83">IF($F$10-$I$3+VLOOKUP($Q83,武学奇术!$A:$ZZ,6,FALSE)+SUM(_xlfn.XLOOKUP($R83:$AK83,增益!$A:$A,增益!$F:$F,0))&gt;0,($F$10-$I$3+VLOOKUP($Q83,武学奇术!$A:$ZZ,6,FALSE)+SUM(_xlfn.XLOOKUP($R83:$AK83,增益!$A:$A,增益!$F:$F,0)))/200,($F$10-$I$3+VLOOKUP($Q83,武学奇术!$A:$ZZ,6,FALSE)+SUM(_xlfn.XLOOKUP($R83:$AK83,增益!$A:$A,增益!$F:$F,0)))/100)</f>
        <v>0.332</v>
      </c>
      <c r="AV83" s="34" cm="1">
        <f t="array" ref="AV83">$G$10+VLOOKUP($Q83,武学奇术!$A:$ZZ,7,FALSE)+SUM(_xlfn.XLOOKUP($R83:$AK83,增益!$A:$A,增益!$G:$G,0))</f>
        <v>0</v>
      </c>
      <c r="AW83" s="27" cm="1">
        <f t="array" ref="AW83">VLOOKUP($Q83,武学奇术!$A:$ZZ,8,FALSE)+SUM(_xlfn.XLOOKUP($R83:$AK83,增益!$A:$A,增益!$H:$H,0))</f>
        <v>0</v>
      </c>
      <c r="AX83">
        <f t="shared" si="12"/>
        <v>0</v>
      </c>
      <c r="AY83">
        <f t="shared" si="13"/>
        <v>0</v>
      </c>
      <c r="AZ83" s="34" cm="1">
        <f t="array" ref="AZ83">IF($F$11-$I$4+VLOOKUP($Q83,武学奇术!$A:$ZZ,9,FALSE)+SUM(_xlfn.XLOOKUP($R83:$AK83,增益!$A:$A,增益!$I:$I,0))&gt;0,($F$11-$I$4+VLOOKUP($Q83,武学奇术!$A:$ZZ,9,FALSE)+SUM(_xlfn.XLOOKUP($R83:$AK83,增益!$A:$A,增益!$I:$I,0)))/200,($F$11-$I$4+VLOOKUP($Q83,武学奇术!$A:$ZZ,9,FALSE)+SUM(_xlfn.XLOOKUP($R83:$AK83,增益!$A:$A,增益!$I:$I,0)))/100)</f>
        <v>-0.14</v>
      </c>
      <c r="BA83" s="34" cm="1">
        <f t="array" ref="BA83">$G$11+VLOOKUP($Q83,武学奇术!$A:$ZZ,10,FALSE)+SUM(_xlfn.XLOOKUP($R83:$AK83,增益!$A:$A,增益!$J:$J,0))</f>
        <v>0</v>
      </c>
      <c r="BB83">
        <f t="shared" si="14"/>
        <v>594.1</v>
      </c>
      <c r="BC83">
        <f t="shared" si="15"/>
        <v>1604.9</v>
      </c>
      <c r="BD83" s="34" cm="1">
        <f t="array" ref="BD83">IF($F$12-$I$4+VLOOKUP($Q83,武学奇术!$A:$ZZ,11,FALSE)+SUM(_xlfn.XLOOKUP($R83:$AK83,增益!$A:$A,增益!$K:$K,0))&gt;0,($F$12-$I$4+VLOOKUP($Q83,武学奇术!$A:$ZZ,11,FALSE)+SUM(_xlfn.XLOOKUP($R83:$AK83,增益!$A:$A,增益!$K:$K,0)))/200,($F$12-$I$4+VLOOKUP($Q83,武学奇术!$A:$ZZ,11,FALSE)+SUM(_xlfn.XLOOKUP($R83:$AK83,增益!$A:$A,增益!$K:$K,0)))/100)</f>
        <v>0.17</v>
      </c>
      <c r="BE83" s="34" cm="1">
        <f t="array" ref="BE83">$G$12+VLOOKUP($Q83,武学奇术!$A:$ZZ,12,FALSE)+SUM(_xlfn.XLOOKUP($R83:$AK83,增益!$A:$A,增益!$L:$L,0))</f>
        <v>0.15</v>
      </c>
      <c r="BF83">
        <f t="shared" si="16"/>
        <v>0</v>
      </c>
      <c r="BG83">
        <f t="shared" si="17"/>
        <v>0</v>
      </c>
      <c r="BH83" s="34" cm="1">
        <f t="array" ref="BH83">IF($F$13-$I$4+VLOOKUP($Q83,武学奇术!$A:$ZZ,13,FALSE)+SUM(_xlfn.XLOOKUP($R83:$AK83,增益!$A:$A,增益!$M:$M,0))&gt;0,($F$13-$I$4+VLOOKUP($Q83,武学奇术!$A:$ZZ,13,FALSE)+SUM(_xlfn.XLOOKUP($R83:$AK83,增益!$A:$A,增益!$K:$K,0)))/200,($F$13-$I$4+VLOOKUP($Q83,武学奇术!$A:$ZZ,13,FALSE)+SUM(_xlfn.XLOOKUP($R83:$AK83,增益!$A:$A,增益!$M:$M,0)))/100)</f>
        <v>-0.14</v>
      </c>
      <c r="BI83" s="34" cm="1">
        <f t="array" ref="BI83">$G$13+VLOOKUP($Q83,武学奇术!$A:$ZZ,14,FALSE)+SUM(_xlfn.XLOOKUP($R83:$AK83,增益!$A:$A,增益!$N:$N,0))</f>
        <v>0</v>
      </c>
      <c r="BJ83">
        <f t="shared" si="18"/>
        <v>0</v>
      </c>
      <c r="BK83">
        <f t="shared" si="19"/>
        <v>0</v>
      </c>
      <c r="BL83" s="34" cm="1">
        <f t="array" ref="BL83">IF($F$14-$I$4+VLOOKUP($Q83,武学奇术!$A:$ZZ,15,FALSE)+SUM(_xlfn.XLOOKUP($R83:$AK83,增益!$A:$A,增益!$O:$O,0))&gt;0,($F$14-$I$4+VLOOKUP($Q83,武学奇术!$A:$ZZ,15,FALSE)+SUM(_xlfn.XLOOKUP($R83:$AK83,增益!$A:$A,增益!$O:$O,0)))/200,($F$14-$I$4+VLOOKUP($Q83,武学奇术!$A:$ZZ,15,FALSE)+SUM(_xlfn.XLOOKUP($R83:$AK83,增益!$A:$A,增益!$O:$O,0)))/100)</f>
        <v>-0.14</v>
      </c>
      <c r="BM83" s="34" cm="1">
        <f t="array" ref="BM83">$G$14+VLOOKUP($Q83,武学奇术!$A:$ZZ,16,FALSE)+SUM(_xlfn.XLOOKUP($R83:$AK83,增益!$A:$A,增益!$P:$P,0))</f>
        <v>0</v>
      </c>
      <c r="BN83" s="27">
        <f>MIN(IF(VLOOKUP($Q83,武学奇术!$A:$ZZ,23,FALSE)=1,100%,$B$8),100%)</f>
        <v>1</v>
      </c>
      <c r="BO83" s="27" cm="1">
        <f t="array" ref="BO83">IF(VLOOKUP($Q83,武学奇术!$A:$ZZ,23,FALSE)=1,100%,MIN(80%,$B$9+VLOOKUP($Q83,武学奇术!$A:$ZZ,17,FALSE)+SUM(_xlfn.XLOOKUP($R83:$AK83,增益!$A:$A,增益!$Q:$Q,0)))+$B$11+SUM(_xlfn.XLOOKUP($R83:$AK83,增益!$A:$A,增益!$U:$U,0)))*IF(VLOOKUP($Q83,武学奇术!$A:$ZZ,24,FALSE)=1,0,1)</f>
        <v>1</v>
      </c>
      <c r="BP83" s="27" cm="1">
        <f t="array" ref="BP83">1+$B$13+VLOOKUP($Q83,武学奇术!$A:$ZZ,18,FALSE)+SUM(_xlfn.XLOOKUP($R83:$AK83,增益!$A:$A,增益!$R:$R,0))</f>
        <v>2.1</v>
      </c>
      <c r="BQ83" s="27" cm="1">
        <f t="array" ref="BQ83">IF(VLOOKUP($Q83,武学奇术!$A:$ZZ,24,FALSE)=1,100%,MIN(40%,$B$10+VLOOKUP($Q83,武学奇术!$A:$ZZ,19,FALSE)+SUM(_xlfn.XLOOKUP($R83:$AK83,增益!$A:$A,增益!$S:$S,0)))+$B$12+SUM(_xlfn.XLOOKUP($R83:$AK83,增益!$A:$A,增益!$V:$V,0)))*IF(VLOOKUP($Q83,武学奇术!$A:$ZZ,23,FALSE)=1,0,1)</f>
        <v>0</v>
      </c>
      <c r="BR83" s="27" cm="1">
        <f t="array" ref="BR83">1+$B$14+VLOOKUP($Q83,武学奇术!$A:$ZZ,20,FALSE)+SUM(_xlfn.XLOOKUP($R83:$AK83,增益!$A:$A,增益!$T:$T,0))</f>
        <v>1.35</v>
      </c>
      <c r="BS83" s="27">
        <f t="shared" si="20"/>
        <v>1</v>
      </c>
      <c r="BT83" s="27">
        <f t="shared" si="21"/>
        <v>0</v>
      </c>
      <c r="BU83" s="27">
        <f>IF(VLOOKUP($Q83,武学奇术!$A:$ZZ,22,FALSE)=1,0,(1-$BN83))*(1-$BQ83)</f>
        <v>0</v>
      </c>
      <c r="BV83" s="27" cm="1">
        <f t="array" ref="BV83">SUM(_xlfn.XLOOKUP($R83:$AK83,增益!$A:$A,增益!$W:$W,0))+$I$5</f>
        <v>0.11</v>
      </c>
    </row>
    <row r="84" spans="1:74">
      <c r="A84" s="4"/>
      <c r="B84" s="4"/>
      <c r="K84" s="40">
        <f t="shared" si="11"/>
        <v>319501.928999701</v>
      </c>
      <c r="L84" s="40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BP84*$P84*(1+IF(VLOOKUP($Q84,武学奇术!$A:$ZZ,30,FALSE)="蓄力技",$B$21,0))*(1+$BV84)</f>
        <v>319501.928999701</v>
      </c>
      <c r="M84" s="40">
        <f>(($AT84*$AM84+$AN84)*(1+$AU84)*(1+$AV84)+($AY84*IF($G$1="鸣金",$AO84,$AM84)+IF($G$1="鸣金",$AP84*1.5,0))*(1+$AZ84)*(1+$BA84)+($BC84*IF($G$1="裂石",$AO84,$AM84)+IF($G$1="裂石",$AP84*1.5,0))*(1+$BD84)*(1+$BE84)+($BG84*IF($G$1="牵丝",$AO84,$AM84)+IF($G$1="牵丝",$AP84*1.5,0))*(1+$BH84)*(1+$BI84)+($BK84*IF($G$1="破竹",$AO84,$AM84)+IF($G$1="破竹",$AP84*1.5,0))*(1+$BL84)*(1+$BM84))*(1+$AQ84)*$BR84*$P84*(1+IF(VLOOKUP($Q84,武学奇术!$A:$ZZ,30,FALSE)="蓄力技",$B$21,0))*(1+$BV84)</f>
        <v>231565.532984937</v>
      </c>
      <c r="N84" s="40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P84*(1+IF(VLOOKUP($Q84,武学奇术!$A:$ZZ,30,FALSE)="蓄力技",$B$21,0))*(1+$BV84)</f>
        <v>152143.775714143</v>
      </c>
      <c r="O84" s="40">
        <f>((($AS84*$AM84+$AN84)*(1+$AU84)*(1+$AV84)+($AX84*IF($G$1="鸣金",$AO84,$AM84)+IF($G$1="鸣金",$AP84*1.5,0))*(1+$AZ84)*(1+$BA84)+($BB84*IF($G$1="裂石",$AO84,$AM84)+IF($G$1="裂石",$AP84*1.5,0))*(1+$BD84)*(1+$BE84)+($BF84*IF($G$1="牵丝",$AO84,$AM84)+IF($G$1="牵丝",$AP84*1.5,0))*(1+$BH84)*(1+$BI84)+($BJ84*IF($G$1="破竹",$AO84,$AM84)+IF($G$1="破竹",$AP84*1.5,0))*(1+$BL84)*(1+$BM84))*(1+$AQ84))*$P84*(1+IF(VLOOKUP($Q84,武学奇术!$A:$ZZ,30,FALSE)="蓄力技",$B$21,0))*(1+$BV84)</f>
        <v>132757.526995</v>
      </c>
      <c r="P84" s="41">
        <v>1</v>
      </c>
      <c r="Q84" s="42" t="s">
        <v>120</v>
      </c>
      <c r="R84" s="42" t="s">
        <v>93</v>
      </c>
      <c r="S84" s="42" t="s">
        <v>169</v>
      </c>
      <c r="T84" s="42" t="s">
        <v>86</v>
      </c>
      <c r="U84" s="42" t="s">
        <v>121</v>
      </c>
      <c r="V84" s="42" t="s">
        <v>118</v>
      </c>
      <c r="W84" s="42" t="s">
        <v>77</v>
      </c>
      <c r="X84" s="42" t="s">
        <v>176</v>
      </c>
      <c r="Y84" s="42" t="s">
        <v>77</v>
      </c>
      <c r="Z84" s="42" t="s">
        <v>77</v>
      </c>
      <c r="AA84" s="42" t="s">
        <v>73</v>
      </c>
      <c r="AB84" s="42" t="s">
        <v>77</v>
      </c>
      <c r="AC84" s="42" t="s">
        <v>77</v>
      </c>
      <c r="AD84" s="42" t="s">
        <v>77</v>
      </c>
      <c r="AE84" s="42" t="s">
        <v>81</v>
      </c>
      <c r="AF84" s="42" t="s">
        <v>82</v>
      </c>
      <c r="AG84" s="42" t="s">
        <v>77</v>
      </c>
      <c r="AH84" s="42" t="s">
        <v>77</v>
      </c>
      <c r="AI84" s="42" t="s">
        <v>77</v>
      </c>
      <c r="AJ84" s="42" t="s">
        <v>77</v>
      </c>
      <c r="AK84" s="42" t="s">
        <v>77</v>
      </c>
      <c r="AL84" t="str">
        <f>VLOOKUP($Q84,武学奇术!$A:$ZZ,25,FALSE)</f>
        <v>陌刀</v>
      </c>
      <c r="AM84" s="27">
        <f>VLOOKUP($Q84,武学奇术!$A:$ZZ,26,FALSE)</f>
        <v>7.5674</v>
      </c>
      <c r="AN84" s="28">
        <f>VLOOKUP($Q84,武学奇术!$A:$ZZ,27,FALSE)*(1+IF(OR($AL84=$F$4,$AL84=$F$5),$B$22,0))</f>
        <v>3139.5</v>
      </c>
      <c r="AO84" s="27">
        <f>VLOOKUP($Q84,武学奇术!$A:$ZZ,28,FALSE)</f>
        <v>11.3512</v>
      </c>
      <c r="AP84" s="28">
        <f>VLOOKUP($Q84,武学奇术!$A:$ZZ,29,FALSE)*(1+IF(OR($AL84=$F$4,$AL84=$F$5),$B$22,0))</f>
        <v>1710</v>
      </c>
      <c r="AQ84" s="27" cm="1">
        <f t="array" ref="AQ84">$G$3+IFERROR(VLOOKUP($AL84,$F$4:$G$7,2,FALSE),0)+VLOOKUP($Q84,武学奇术!$A:$ZZ,2,FALSE)+SUM(_xlfn.XLOOKUP($R84:$AK84,增益!$A:$A,增益!$B:$B,0))</f>
        <v>0.7141</v>
      </c>
      <c r="AR84" s="27" cm="1">
        <f t="array" ref="AR84">VLOOKUP($Q84,武学奇术!$A:$ZZ,5,FALSE)+SUM(_xlfn.XLOOKUP($R84:$AK84,增益!$A:$A,增益!$E:$E,0))</f>
        <v>0</v>
      </c>
      <c r="AS84" cm="1">
        <f t="array" ref="AS84">$D$10*(1+$AR84)+VLOOKUP($Q84,武学奇术!$A:$ZZ,3,FALSE)+SUM(_xlfn.XLOOKUP($R84:$AK84,增益!$A:$A,增益!$C:$C,0))-$I$2</f>
        <v>3586.7</v>
      </c>
      <c r="AT84" cm="1">
        <f t="array" ref="AT84">$E$10*(1+$AR84)+VLOOKUP($Q84,武学奇术!$A:$ZZ,4,FALSE)+SUM(_xlfn.XLOOKUP($R84:$AK84,增益!$A:$A,增益!$D:$D,0))-$I$2</f>
        <v>3586.7</v>
      </c>
      <c r="AU84" s="34" cm="1">
        <f t="array" ref="AU84">IF($F$10-$I$3+VLOOKUP($Q84,武学奇术!$A:$ZZ,6,FALSE)+SUM(_xlfn.XLOOKUP($R84:$AK84,增益!$A:$A,增益!$F:$F,0))&gt;0,($F$10-$I$3+VLOOKUP($Q84,武学奇术!$A:$ZZ,6,FALSE)+SUM(_xlfn.XLOOKUP($R84:$AK84,增益!$A:$A,增益!$F:$F,0)))/200,($F$10-$I$3+VLOOKUP($Q84,武学奇术!$A:$ZZ,6,FALSE)+SUM(_xlfn.XLOOKUP($R84:$AK84,增益!$A:$A,增益!$F:$F,0)))/100)</f>
        <v>0.332</v>
      </c>
      <c r="AV84" s="34" cm="1">
        <f t="array" ref="AV84">$G$10+VLOOKUP($Q84,武学奇术!$A:$ZZ,7,FALSE)+SUM(_xlfn.XLOOKUP($R84:$AK84,增益!$A:$A,增益!$G:$G,0))</f>
        <v>0</v>
      </c>
      <c r="AW84" s="27" cm="1">
        <f t="array" ref="AW84">VLOOKUP($Q84,武学奇术!$A:$ZZ,8,FALSE)+SUM(_xlfn.XLOOKUP($R84:$AK84,增益!$A:$A,增益!$H:$H,0))</f>
        <v>0</v>
      </c>
      <c r="AX84">
        <f t="shared" si="12"/>
        <v>0</v>
      </c>
      <c r="AY84">
        <f t="shared" si="13"/>
        <v>0</v>
      </c>
      <c r="AZ84" s="34" cm="1">
        <f t="array" ref="AZ84">IF($F$11-$I$4+VLOOKUP($Q84,武学奇术!$A:$ZZ,9,FALSE)+SUM(_xlfn.XLOOKUP($R84:$AK84,增益!$A:$A,增益!$I:$I,0))&gt;0,($F$11-$I$4+VLOOKUP($Q84,武学奇术!$A:$ZZ,9,FALSE)+SUM(_xlfn.XLOOKUP($R84:$AK84,增益!$A:$A,增益!$I:$I,0)))/200,($F$11-$I$4+VLOOKUP($Q84,武学奇术!$A:$ZZ,9,FALSE)+SUM(_xlfn.XLOOKUP($R84:$AK84,增益!$A:$A,增益!$I:$I,0)))/100)</f>
        <v>-0.14</v>
      </c>
      <c r="BA84" s="34" cm="1">
        <f t="array" ref="BA84">$G$11+VLOOKUP($Q84,武学奇术!$A:$ZZ,10,FALSE)+SUM(_xlfn.XLOOKUP($R84:$AK84,增益!$A:$A,增益!$J:$J,0))</f>
        <v>0</v>
      </c>
      <c r="BB84">
        <f t="shared" si="14"/>
        <v>594.1</v>
      </c>
      <c r="BC84">
        <f t="shared" si="15"/>
        <v>1604.9</v>
      </c>
      <c r="BD84" s="34" cm="1">
        <f t="array" ref="BD84">IF($F$12-$I$4+VLOOKUP($Q84,武学奇术!$A:$ZZ,11,FALSE)+SUM(_xlfn.XLOOKUP($R84:$AK84,增益!$A:$A,增益!$K:$K,0))&gt;0,($F$12-$I$4+VLOOKUP($Q84,武学奇术!$A:$ZZ,11,FALSE)+SUM(_xlfn.XLOOKUP($R84:$AK84,增益!$A:$A,增益!$K:$K,0)))/200,($F$12-$I$4+VLOOKUP($Q84,武学奇术!$A:$ZZ,11,FALSE)+SUM(_xlfn.XLOOKUP($R84:$AK84,增益!$A:$A,增益!$K:$K,0)))/100)</f>
        <v>0.17</v>
      </c>
      <c r="BE84" s="34" cm="1">
        <f t="array" ref="BE84">$G$12+VLOOKUP($Q84,武学奇术!$A:$ZZ,12,FALSE)+SUM(_xlfn.XLOOKUP($R84:$AK84,增益!$A:$A,增益!$L:$L,0))</f>
        <v>0.15</v>
      </c>
      <c r="BF84">
        <f t="shared" si="16"/>
        <v>0</v>
      </c>
      <c r="BG84">
        <f t="shared" si="17"/>
        <v>0</v>
      </c>
      <c r="BH84" s="34" cm="1">
        <f t="array" ref="BH84">IF($F$13-$I$4+VLOOKUP($Q84,武学奇术!$A:$ZZ,13,FALSE)+SUM(_xlfn.XLOOKUP($R84:$AK84,增益!$A:$A,增益!$M:$M,0))&gt;0,($F$13-$I$4+VLOOKUP($Q84,武学奇术!$A:$ZZ,13,FALSE)+SUM(_xlfn.XLOOKUP($R84:$AK84,增益!$A:$A,增益!$K:$K,0)))/200,($F$13-$I$4+VLOOKUP($Q84,武学奇术!$A:$ZZ,13,FALSE)+SUM(_xlfn.XLOOKUP($R84:$AK84,增益!$A:$A,增益!$M:$M,0)))/100)</f>
        <v>-0.14</v>
      </c>
      <c r="BI84" s="34" cm="1">
        <f t="array" ref="BI84">$G$13+VLOOKUP($Q84,武学奇术!$A:$ZZ,14,FALSE)+SUM(_xlfn.XLOOKUP($R84:$AK84,增益!$A:$A,增益!$N:$N,0))</f>
        <v>0</v>
      </c>
      <c r="BJ84">
        <f t="shared" si="18"/>
        <v>0</v>
      </c>
      <c r="BK84">
        <f t="shared" si="19"/>
        <v>0</v>
      </c>
      <c r="BL84" s="34" cm="1">
        <f t="array" ref="BL84">IF($F$14-$I$4+VLOOKUP($Q84,武学奇术!$A:$ZZ,15,FALSE)+SUM(_xlfn.XLOOKUP($R84:$AK84,增益!$A:$A,增益!$O:$O,0))&gt;0,($F$14-$I$4+VLOOKUP($Q84,武学奇术!$A:$ZZ,15,FALSE)+SUM(_xlfn.XLOOKUP($R84:$AK84,增益!$A:$A,增益!$O:$O,0)))/200,($F$14-$I$4+VLOOKUP($Q84,武学奇术!$A:$ZZ,15,FALSE)+SUM(_xlfn.XLOOKUP($R84:$AK84,增益!$A:$A,增益!$O:$O,0)))/100)</f>
        <v>-0.14</v>
      </c>
      <c r="BM84" s="34" cm="1">
        <f t="array" ref="BM84">$G$14+VLOOKUP($Q84,武学奇术!$A:$ZZ,16,FALSE)+SUM(_xlfn.XLOOKUP($R84:$AK84,增益!$A:$A,增益!$P:$P,0))</f>
        <v>0</v>
      </c>
      <c r="BN84" s="27">
        <f>MIN(IF(VLOOKUP($Q84,武学奇术!$A:$ZZ,23,FALSE)=1,100%,$B$8),100%)</f>
        <v>1</v>
      </c>
      <c r="BO84" s="27" cm="1">
        <f t="array" ref="BO84">IF(VLOOKUP($Q84,武学奇术!$A:$ZZ,23,FALSE)=1,100%,MIN(80%,$B$9+VLOOKUP($Q84,武学奇术!$A:$ZZ,17,FALSE)+SUM(_xlfn.XLOOKUP($R84:$AK84,增益!$A:$A,增益!$Q:$Q,0)))+$B$11+SUM(_xlfn.XLOOKUP($R84:$AK84,增益!$A:$A,增益!$U:$U,0)))*IF(VLOOKUP($Q84,武学奇术!$A:$ZZ,24,FALSE)=1,0,1)</f>
        <v>1</v>
      </c>
      <c r="BP84" s="27" cm="1">
        <f t="array" ref="BP84">1+$B$13+VLOOKUP($Q84,武学奇术!$A:$ZZ,18,FALSE)+SUM(_xlfn.XLOOKUP($R84:$AK84,增益!$A:$A,增益!$R:$R,0))</f>
        <v>2.1</v>
      </c>
      <c r="BQ84" s="27" cm="1">
        <f t="array" ref="BQ84">IF(VLOOKUP($Q84,武学奇术!$A:$ZZ,24,FALSE)=1,100%,MIN(40%,$B$10+VLOOKUP($Q84,武学奇术!$A:$ZZ,19,FALSE)+SUM(_xlfn.XLOOKUP($R84:$AK84,增益!$A:$A,增益!$S:$S,0)))+$B$12+SUM(_xlfn.XLOOKUP($R84:$AK84,增益!$A:$A,增益!$V:$V,0)))*IF(VLOOKUP($Q84,武学奇术!$A:$ZZ,23,FALSE)=1,0,1)</f>
        <v>0</v>
      </c>
      <c r="BR84" s="27" cm="1">
        <f t="array" ref="BR84">1+$B$14+VLOOKUP($Q84,武学奇术!$A:$ZZ,20,FALSE)+SUM(_xlfn.XLOOKUP($R84:$AK84,增益!$A:$A,增益!$T:$T,0))</f>
        <v>1.35</v>
      </c>
      <c r="BS84" s="27">
        <f t="shared" si="20"/>
        <v>1</v>
      </c>
      <c r="BT84" s="27">
        <f t="shared" si="21"/>
        <v>0</v>
      </c>
      <c r="BU84" s="27">
        <f>IF(VLOOKUP($Q84,武学奇术!$A:$ZZ,22,FALSE)=1,0,(1-$BN84))*(1-$BQ84)</f>
        <v>0</v>
      </c>
      <c r="BV84" s="27" cm="1">
        <f t="array" ref="BV84">SUM(_xlfn.XLOOKUP($R84:$AK84,增益!$A:$A,增益!$W:$W,0))+$I$5</f>
        <v>0.11</v>
      </c>
    </row>
    <row r="85" spans="1:74">
      <c r="A85" s="4"/>
      <c r="B85" s="4"/>
      <c r="K85" s="40">
        <f t="shared" si="11"/>
        <v>18653.1976911337</v>
      </c>
      <c r="L85" s="40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BP85*$P85*(1+IF(VLOOKUP($Q85,武学奇术!$A:$ZZ,30,FALSE)="蓄力技",$B$21,0))*(1+$BV85)</f>
        <v>18653.1976911337</v>
      </c>
      <c r="M85" s="40">
        <f>(($AT85*$AM85+$AN85)*(1+$AU85)*(1+$AV85)+($AY85*IF($G$1="鸣金",$AO85,$AM85)+IF($G$1="鸣金",$AP85*1.5,0))*(1+$AZ85)*(1+$BA85)+($BC85*IF($G$1="裂石",$AO85,$AM85)+IF($G$1="裂石",$AP85*1.5,0))*(1+$BD85)*(1+$BE85)+($BG85*IF($G$1="牵丝",$AO85,$AM85)+IF($G$1="牵丝",$AP85*1.5,0))*(1+$BH85)*(1+$BI85)+($BK85*IF($G$1="破竹",$AO85,$AM85)+IF($G$1="破竹",$AP85*1.5,0))*(1+$BL85)*(1+$BM85))*(1+$AQ85)*$BR85*$P85*(1+IF(VLOOKUP($Q85,武学奇术!$A:$ZZ,30,FALSE)="蓄力技",$B$21,0))*(1+$BV85)</f>
        <v>13730.6367130246</v>
      </c>
      <c r="N85" s="40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P85*(1+IF(VLOOKUP($Q85,武学奇术!$A:$ZZ,30,FALSE)="蓄力技",$B$21,0))*(1+$BV85)</f>
        <v>8882.47509101603</v>
      </c>
      <c r="O85" s="40">
        <f>((($AS85*$AM85+$AN85)*(1+$AU85)*(1+$AV85)+($AX85*IF($G$1="鸣金",$AO85,$AM85)+IF($G$1="鸣金",$AP85*1.5,0))*(1+$AZ85)*(1+$BA85)+($BB85*IF($G$1="裂石",$AO85,$AM85)+IF($G$1="裂石",$AP85*1.5,0))*(1+$BD85)*(1+$BE85)+($BF85*IF($G$1="牵丝",$AO85,$AM85)+IF($G$1="牵丝",$AP85*1.5,0))*(1+$BH85)*(1+$BI85)+($BJ85*IF($G$1="破竹",$AO85,$AM85)+IF($G$1="破竹",$AP85*1.5,0))*(1+$BL85)*(1+$BM85))*(1+$AQ85))*$P85*(1+IF(VLOOKUP($Q85,武学奇术!$A:$ZZ,30,FALSE)="蓄力技",$B$21,0))*(1+$BV85)</f>
        <v>7594.10817238423</v>
      </c>
      <c r="P85" s="41">
        <v>1</v>
      </c>
      <c r="Q85" s="42" t="s">
        <v>125</v>
      </c>
      <c r="R85" s="42" t="s">
        <v>99</v>
      </c>
      <c r="S85" s="42" t="s">
        <v>169</v>
      </c>
      <c r="T85" s="42" t="s">
        <v>86</v>
      </c>
      <c r="U85" s="42" t="s">
        <v>121</v>
      </c>
      <c r="V85" s="42" t="s">
        <v>118</v>
      </c>
      <c r="W85" s="42" t="s">
        <v>77</v>
      </c>
      <c r="X85" s="42" t="s">
        <v>176</v>
      </c>
      <c r="Y85" s="42" t="s">
        <v>77</v>
      </c>
      <c r="Z85" s="42" t="s">
        <v>77</v>
      </c>
      <c r="AA85" s="42" t="s">
        <v>73</v>
      </c>
      <c r="AB85" s="42" t="s">
        <v>77</v>
      </c>
      <c r="AC85" s="42" t="s">
        <v>77</v>
      </c>
      <c r="AD85" s="42" t="s">
        <v>77</v>
      </c>
      <c r="AE85" s="42" t="s">
        <v>81</v>
      </c>
      <c r="AF85" s="42" t="s">
        <v>82</v>
      </c>
      <c r="AG85" s="42" t="s">
        <v>77</v>
      </c>
      <c r="AH85" s="42" t="s">
        <v>77</v>
      </c>
      <c r="AI85" s="42" t="s">
        <v>77</v>
      </c>
      <c r="AJ85" s="42" t="s">
        <v>77</v>
      </c>
      <c r="AK85" s="42" t="s">
        <v>77</v>
      </c>
      <c r="AL85" t="str">
        <f>VLOOKUP($Q85,武学奇术!$A:$ZZ,25,FALSE)</f>
        <v>陌刀</v>
      </c>
      <c r="AM85" s="27">
        <f>VLOOKUP($Q85,武学奇术!$A:$ZZ,26,FALSE)</f>
        <v>0.5</v>
      </c>
      <c r="AN85" s="28">
        <f>VLOOKUP($Q85,武学奇术!$A:$ZZ,27,FALSE)*(1+IF(OR($AL85=$F$4,$AL85=$F$5),$B$22,0))</f>
        <v>0</v>
      </c>
      <c r="AO85" s="27">
        <f>VLOOKUP($Q85,武学奇术!$A:$ZZ,28,FALSE)</f>
        <v>0.75</v>
      </c>
      <c r="AP85" s="28">
        <f>VLOOKUP($Q85,武学奇术!$A:$ZZ,29,FALSE)*(1+IF(OR($AL85=$F$4,$AL85=$F$5),$B$22,0))</f>
        <v>0</v>
      </c>
      <c r="AQ85" s="27" cm="1">
        <f t="array" ref="AQ85">$G$3+IFERROR(VLOOKUP($AL85,$F$4:$G$7,2,FALSE),0)+VLOOKUP($Q85,武学奇术!$A:$ZZ,2,FALSE)+SUM(_xlfn.XLOOKUP($R85:$AK85,增益!$A:$A,增益!$B:$B,0))</f>
        <v>0.7241</v>
      </c>
      <c r="AR85" s="27" cm="1">
        <f t="array" ref="AR85">VLOOKUP($Q85,武学奇术!$A:$ZZ,5,FALSE)+SUM(_xlfn.XLOOKUP($R85:$AK85,增益!$A:$A,增益!$E:$E,0))</f>
        <v>0</v>
      </c>
      <c r="AS85" cm="1">
        <f t="array" ref="AS85">$D$10*(1+$AR85)+VLOOKUP($Q85,武学奇术!$A:$ZZ,3,FALSE)+SUM(_xlfn.XLOOKUP($R85:$AK85,增益!$A:$A,增益!$C:$C,0))-$I$2</f>
        <v>3586.7</v>
      </c>
      <c r="AT85" cm="1">
        <f t="array" ref="AT85">$E$10*(1+$AR85)+VLOOKUP($Q85,武学奇术!$A:$ZZ,4,FALSE)+SUM(_xlfn.XLOOKUP($R85:$AK85,增益!$A:$A,增益!$D:$D,0))-$I$2</f>
        <v>3586.7</v>
      </c>
      <c r="AU85" s="34" cm="1">
        <f t="array" ref="AU85">IF($F$10-$I$3+VLOOKUP($Q85,武学奇术!$A:$ZZ,6,FALSE)+SUM(_xlfn.XLOOKUP($R85:$AK85,增益!$A:$A,增益!$F:$F,0))&gt;0,($F$10-$I$3+VLOOKUP($Q85,武学奇术!$A:$ZZ,6,FALSE)+SUM(_xlfn.XLOOKUP($R85:$AK85,增益!$A:$A,增益!$F:$F,0)))/200,($F$10-$I$3+VLOOKUP($Q85,武学奇术!$A:$ZZ,6,FALSE)+SUM(_xlfn.XLOOKUP($R85:$AK85,增益!$A:$A,增益!$F:$F,0)))/100)</f>
        <v>0.342</v>
      </c>
      <c r="AV85" s="34" cm="1">
        <f t="array" ref="AV85">$G$10+VLOOKUP($Q85,武学奇术!$A:$ZZ,7,FALSE)+SUM(_xlfn.XLOOKUP($R85:$AK85,增益!$A:$A,增益!$G:$G,0))</f>
        <v>0</v>
      </c>
      <c r="AW85" s="27" cm="1">
        <f t="array" ref="AW85">VLOOKUP($Q85,武学奇术!$A:$ZZ,8,FALSE)+SUM(_xlfn.XLOOKUP($R85:$AK85,增益!$A:$A,增益!$H:$H,0))</f>
        <v>0</v>
      </c>
      <c r="AX85">
        <f t="shared" si="12"/>
        <v>0</v>
      </c>
      <c r="AY85">
        <f t="shared" si="13"/>
        <v>0</v>
      </c>
      <c r="AZ85" s="34" cm="1">
        <f t="array" ref="AZ85">IF($F$11-$I$4+VLOOKUP($Q85,武学奇术!$A:$ZZ,9,FALSE)+SUM(_xlfn.XLOOKUP($R85:$AK85,增益!$A:$A,增益!$I:$I,0))&gt;0,($F$11-$I$4+VLOOKUP($Q85,武学奇术!$A:$ZZ,9,FALSE)+SUM(_xlfn.XLOOKUP($R85:$AK85,增益!$A:$A,增益!$I:$I,0)))/200,($F$11-$I$4+VLOOKUP($Q85,武学奇术!$A:$ZZ,9,FALSE)+SUM(_xlfn.XLOOKUP($R85:$AK85,增益!$A:$A,增益!$I:$I,0)))/100)</f>
        <v>-0.14</v>
      </c>
      <c r="BA85" s="34" cm="1">
        <f t="array" ref="BA85">$G$11+VLOOKUP($Q85,武学奇术!$A:$ZZ,10,FALSE)+SUM(_xlfn.XLOOKUP($R85:$AK85,增益!$A:$A,增益!$J:$J,0))</f>
        <v>0</v>
      </c>
      <c r="BB85">
        <f t="shared" si="14"/>
        <v>594.1</v>
      </c>
      <c r="BC85">
        <f t="shared" si="15"/>
        <v>1604.9</v>
      </c>
      <c r="BD85" s="34" cm="1">
        <f t="array" ref="BD85">IF($F$12-$I$4+VLOOKUP($Q85,武学奇术!$A:$ZZ,11,FALSE)+SUM(_xlfn.XLOOKUP($R85:$AK85,增益!$A:$A,增益!$K:$K,0))&gt;0,($F$12-$I$4+VLOOKUP($Q85,武学奇术!$A:$ZZ,11,FALSE)+SUM(_xlfn.XLOOKUP($R85:$AK85,增益!$A:$A,增益!$K:$K,0)))/200,($F$12-$I$4+VLOOKUP($Q85,武学奇术!$A:$ZZ,11,FALSE)+SUM(_xlfn.XLOOKUP($R85:$AK85,增益!$A:$A,增益!$K:$K,0)))/100)</f>
        <v>0.17</v>
      </c>
      <c r="BE85" s="34" cm="1">
        <f t="array" ref="BE85">$G$12+VLOOKUP($Q85,武学奇术!$A:$ZZ,12,FALSE)+SUM(_xlfn.XLOOKUP($R85:$AK85,增益!$A:$A,增益!$L:$L,0))</f>
        <v>0.15</v>
      </c>
      <c r="BF85">
        <f t="shared" si="16"/>
        <v>0</v>
      </c>
      <c r="BG85">
        <f t="shared" si="17"/>
        <v>0</v>
      </c>
      <c r="BH85" s="34" cm="1">
        <f t="array" ref="BH85">IF($F$13-$I$4+VLOOKUP($Q85,武学奇术!$A:$ZZ,13,FALSE)+SUM(_xlfn.XLOOKUP($R85:$AK85,增益!$A:$A,增益!$M:$M,0))&gt;0,($F$13-$I$4+VLOOKUP($Q85,武学奇术!$A:$ZZ,13,FALSE)+SUM(_xlfn.XLOOKUP($R85:$AK85,增益!$A:$A,增益!$K:$K,0)))/200,($F$13-$I$4+VLOOKUP($Q85,武学奇术!$A:$ZZ,13,FALSE)+SUM(_xlfn.XLOOKUP($R85:$AK85,增益!$A:$A,增益!$M:$M,0)))/100)</f>
        <v>-0.14</v>
      </c>
      <c r="BI85" s="34" cm="1">
        <f t="array" ref="BI85">$G$13+VLOOKUP($Q85,武学奇术!$A:$ZZ,14,FALSE)+SUM(_xlfn.XLOOKUP($R85:$AK85,增益!$A:$A,增益!$N:$N,0))</f>
        <v>0</v>
      </c>
      <c r="BJ85">
        <f t="shared" si="18"/>
        <v>0</v>
      </c>
      <c r="BK85">
        <f t="shared" si="19"/>
        <v>0</v>
      </c>
      <c r="BL85" s="34" cm="1">
        <f t="array" ref="BL85">IF($F$14-$I$4+VLOOKUP($Q85,武学奇术!$A:$ZZ,15,FALSE)+SUM(_xlfn.XLOOKUP($R85:$AK85,增益!$A:$A,增益!$O:$O,0))&gt;0,($F$14-$I$4+VLOOKUP($Q85,武学奇术!$A:$ZZ,15,FALSE)+SUM(_xlfn.XLOOKUP($R85:$AK85,增益!$A:$A,增益!$O:$O,0)))/200,($F$14-$I$4+VLOOKUP($Q85,武学奇术!$A:$ZZ,15,FALSE)+SUM(_xlfn.XLOOKUP($R85:$AK85,增益!$A:$A,增益!$O:$O,0)))/100)</f>
        <v>-0.14</v>
      </c>
      <c r="BM85" s="34" cm="1">
        <f t="array" ref="BM85">$G$14+VLOOKUP($Q85,武学奇术!$A:$ZZ,16,FALSE)+SUM(_xlfn.XLOOKUP($R85:$AK85,增益!$A:$A,增益!$P:$P,0))</f>
        <v>0</v>
      </c>
      <c r="BN85" s="27">
        <f>MIN(IF(VLOOKUP($Q85,武学奇术!$A:$ZZ,23,FALSE)=1,100%,$B$8),100%)</f>
        <v>1</v>
      </c>
      <c r="BO85" s="27" cm="1">
        <f t="array" ref="BO85">IF(VLOOKUP($Q85,武学奇术!$A:$ZZ,23,FALSE)=1,100%,MIN(80%,$B$9+VLOOKUP($Q85,武学奇术!$A:$ZZ,17,FALSE)+SUM(_xlfn.XLOOKUP($R85:$AK85,增益!$A:$A,增益!$Q:$Q,0)))+$B$11+SUM(_xlfn.XLOOKUP($R85:$AK85,增益!$A:$A,增益!$U:$U,0)))*IF(VLOOKUP($Q85,武学奇术!$A:$ZZ,24,FALSE)=1,0,1)</f>
        <v>1</v>
      </c>
      <c r="BP85" s="27" cm="1">
        <f t="array" ref="BP85">1+$B$13+VLOOKUP($Q85,武学奇术!$A:$ZZ,18,FALSE)+SUM(_xlfn.XLOOKUP($R85:$AK85,增益!$A:$A,增益!$R:$R,0))</f>
        <v>2.1</v>
      </c>
      <c r="BQ85" s="27" cm="1">
        <f t="array" ref="BQ85">IF(VLOOKUP($Q85,武学奇术!$A:$ZZ,24,FALSE)=1,100%,MIN(40%,$B$10+VLOOKUP($Q85,武学奇术!$A:$ZZ,19,FALSE)+SUM(_xlfn.XLOOKUP($R85:$AK85,增益!$A:$A,增益!$S:$S,0)))+$B$12+SUM(_xlfn.XLOOKUP($R85:$AK85,增益!$A:$A,增益!$V:$V,0)))*IF(VLOOKUP($Q85,武学奇术!$A:$ZZ,23,FALSE)=1,0,1)</f>
        <v>0</v>
      </c>
      <c r="BR85" s="27" cm="1">
        <f t="array" ref="BR85">1+$B$14+VLOOKUP($Q85,武学奇术!$A:$ZZ,20,FALSE)+SUM(_xlfn.XLOOKUP($R85:$AK85,增益!$A:$A,增益!$T:$T,0))</f>
        <v>1.35</v>
      </c>
      <c r="BS85" s="27">
        <f t="shared" si="20"/>
        <v>1</v>
      </c>
      <c r="BT85" s="27">
        <f t="shared" si="21"/>
        <v>0</v>
      </c>
      <c r="BU85" s="27">
        <f>IF(VLOOKUP($Q85,武学奇术!$A:$ZZ,22,FALSE)=1,0,(1-$BN85))*(1-$BQ85)</f>
        <v>0</v>
      </c>
      <c r="BV85" s="27" cm="1">
        <f t="array" ref="BV85">SUM(_xlfn.XLOOKUP($R85:$AK85,增益!$A:$A,增益!$W:$W,0))+$I$5</f>
        <v>0.11</v>
      </c>
    </row>
    <row r="86" spans="1:74">
      <c r="A86" s="4"/>
      <c r="B86" s="4"/>
      <c r="K86" s="40">
        <f t="shared" si="11"/>
        <v>33575.7558440406</v>
      </c>
      <c r="L86" s="40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BP86*$P86*(1+IF(VLOOKUP($Q86,武学奇术!$A:$ZZ,30,FALSE)="蓄力技",$B$21,0))*(1+$BV86)</f>
        <v>33575.7558440406</v>
      </c>
      <c r="M86" s="40">
        <f>(($AT86*$AM86+$AN86)*(1+$AU86)*(1+$AV86)+($AY86*IF($G$1="鸣金",$AO86,$AM86)+IF($G$1="鸣金",$AP86*1.5,0))*(1+$AZ86)*(1+$BA86)+($BC86*IF($G$1="裂石",$AO86,$AM86)+IF($G$1="裂石",$AP86*1.5,0))*(1+$BD86)*(1+$BE86)+($BG86*IF($G$1="牵丝",$AO86,$AM86)+IF($G$1="牵丝",$AP86*1.5,0))*(1+$BH86)*(1+$BI86)+($BK86*IF($G$1="破竹",$AO86,$AM86)+IF($G$1="破竹",$AP86*1.5,0))*(1+$BL86)*(1+$BM86))*(1+$AQ86)*$BR86*$P86*(1+IF(VLOOKUP($Q86,武学奇术!$A:$ZZ,30,FALSE)="蓄力技",$B$21,0))*(1+$BV86)</f>
        <v>24715.1460834442</v>
      </c>
      <c r="N86" s="40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P86*(1+IF(VLOOKUP($Q86,武学奇术!$A:$ZZ,30,FALSE)="蓄力技",$B$21,0))*(1+$BV86)</f>
        <v>15988.4551638288</v>
      </c>
      <c r="O86" s="40">
        <f>((($AS86*$AM86+$AN86)*(1+$AU86)*(1+$AV86)+($AX86*IF($G$1="鸣金",$AO86,$AM86)+IF($G$1="鸣金",$AP86*1.5,0))*(1+$AZ86)*(1+$BA86)+($BB86*IF($G$1="裂石",$AO86,$AM86)+IF($G$1="裂石",$AP86*1.5,0))*(1+$BD86)*(1+$BE86)+($BF86*IF($G$1="牵丝",$AO86,$AM86)+IF($G$1="牵丝",$AP86*1.5,0))*(1+$BH86)*(1+$BI86)+($BJ86*IF($G$1="破竹",$AO86,$AM86)+IF($G$1="破竹",$AP86*1.5,0))*(1+$BL86)*(1+$BM86))*(1+$AQ86))*$P86*(1+IF(VLOOKUP($Q86,武学奇术!$A:$ZZ,30,FALSE)="蓄力技",$B$21,0))*(1+$BV86)</f>
        <v>13669.3947102916</v>
      </c>
      <c r="P86" s="41">
        <v>1</v>
      </c>
      <c r="Q86" s="42" t="s">
        <v>117</v>
      </c>
      <c r="R86" s="42" t="s">
        <v>99</v>
      </c>
      <c r="S86" s="42" t="s">
        <v>169</v>
      </c>
      <c r="T86" s="42" t="s">
        <v>86</v>
      </c>
      <c r="U86" s="42" t="s">
        <v>121</v>
      </c>
      <c r="V86" s="42" t="s">
        <v>118</v>
      </c>
      <c r="W86" s="42" t="s">
        <v>77</v>
      </c>
      <c r="X86" s="42" t="s">
        <v>176</v>
      </c>
      <c r="Y86" s="42" t="s">
        <v>77</v>
      </c>
      <c r="Z86" s="42" t="s">
        <v>77</v>
      </c>
      <c r="AA86" s="42" t="s">
        <v>73</v>
      </c>
      <c r="AB86" s="42" t="s">
        <v>77</v>
      </c>
      <c r="AC86" s="42" t="s">
        <v>77</v>
      </c>
      <c r="AD86" s="42" t="s">
        <v>77</v>
      </c>
      <c r="AE86" s="42" t="s">
        <v>81</v>
      </c>
      <c r="AF86" s="42" t="s">
        <v>82</v>
      </c>
      <c r="AG86" s="42" t="s">
        <v>77</v>
      </c>
      <c r="AH86" s="42" t="s">
        <v>77</v>
      </c>
      <c r="AI86" s="42" t="s">
        <v>77</v>
      </c>
      <c r="AJ86" s="42" t="s">
        <v>77</v>
      </c>
      <c r="AK86" s="42" t="s">
        <v>77</v>
      </c>
      <c r="AL86" t="str">
        <f>VLOOKUP($Q86,武学奇术!$A:$ZZ,25,FALSE)</f>
        <v>陌刀</v>
      </c>
      <c r="AM86" s="27">
        <f>VLOOKUP($Q86,武学奇术!$A:$ZZ,26,FALSE)</f>
        <v>0.9</v>
      </c>
      <c r="AN86" s="28">
        <f>VLOOKUP($Q86,武学奇术!$A:$ZZ,27,FALSE)*(1+IF(OR($AL86=$F$4,$AL86=$F$5),$B$22,0))</f>
        <v>0</v>
      </c>
      <c r="AO86" s="27">
        <f>VLOOKUP($Q86,武学奇术!$A:$ZZ,28,FALSE)</f>
        <v>1.35</v>
      </c>
      <c r="AP86" s="28">
        <f>VLOOKUP($Q86,武学奇术!$A:$ZZ,29,FALSE)*(1+IF(OR($AL86=$F$4,$AL86=$F$5),$B$22,0))</f>
        <v>0</v>
      </c>
      <c r="AQ86" s="27" cm="1">
        <f t="array" ref="AQ86">$G$3+IFERROR(VLOOKUP($AL86,$F$4:$G$7,2,FALSE),0)+VLOOKUP($Q86,武学奇术!$A:$ZZ,2,FALSE)+SUM(_xlfn.XLOOKUP($R86:$AK86,增益!$A:$A,增益!$B:$B,0))</f>
        <v>0.7241</v>
      </c>
      <c r="AR86" s="27" cm="1">
        <f t="array" ref="AR86">VLOOKUP($Q86,武学奇术!$A:$ZZ,5,FALSE)+SUM(_xlfn.XLOOKUP($R86:$AK86,增益!$A:$A,增益!$E:$E,0))</f>
        <v>0</v>
      </c>
      <c r="AS86" cm="1">
        <f t="array" ref="AS86">$D$10*(1+$AR86)+VLOOKUP($Q86,武学奇术!$A:$ZZ,3,FALSE)+SUM(_xlfn.XLOOKUP($R86:$AK86,增益!$A:$A,增益!$C:$C,0))-$I$2</f>
        <v>3586.7</v>
      </c>
      <c r="AT86" cm="1">
        <f t="array" ref="AT86">$E$10*(1+$AR86)+VLOOKUP($Q86,武学奇术!$A:$ZZ,4,FALSE)+SUM(_xlfn.XLOOKUP($R86:$AK86,增益!$A:$A,增益!$D:$D,0))-$I$2</f>
        <v>3586.7</v>
      </c>
      <c r="AU86" s="34" cm="1">
        <f t="array" ref="AU86">IF($F$10-$I$3+VLOOKUP($Q86,武学奇术!$A:$ZZ,6,FALSE)+SUM(_xlfn.XLOOKUP($R86:$AK86,增益!$A:$A,增益!$F:$F,0))&gt;0,($F$10-$I$3+VLOOKUP($Q86,武学奇术!$A:$ZZ,6,FALSE)+SUM(_xlfn.XLOOKUP($R86:$AK86,增益!$A:$A,增益!$F:$F,0)))/200,($F$10-$I$3+VLOOKUP($Q86,武学奇术!$A:$ZZ,6,FALSE)+SUM(_xlfn.XLOOKUP($R86:$AK86,增益!$A:$A,增益!$F:$F,0)))/100)</f>
        <v>0.342</v>
      </c>
      <c r="AV86" s="34" cm="1">
        <f t="array" ref="AV86">$G$10+VLOOKUP($Q86,武学奇术!$A:$ZZ,7,FALSE)+SUM(_xlfn.XLOOKUP($R86:$AK86,增益!$A:$A,增益!$G:$G,0))</f>
        <v>0</v>
      </c>
      <c r="AW86" s="27" cm="1">
        <f t="array" ref="AW86">VLOOKUP($Q86,武学奇术!$A:$ZZ,8,FALSE)+SUM(_xlfn.XLOOKUP($R86:$AK86,增益!$A:$A,增益!$H:$H,0))</f>
        <v>0</v>
      </c>
      <c r="AX86">
        <f t="shared" si="12"/>
        <v>0</v>
      </c>
      <c r="AY86">
        <f t="shared" si="13"/>
        <v>0</v>
      </c>
      <c r="AZ86" s="34" cm="1">
        <f t="array" ref="AZ86">IF($F$11-$I$4+VLOOKUP($Q86,武学奇术!$A:$ZZ,9,FALSE)+SUM(_xlfn.XLOOKUP($R86:$AK86,增益!$A:$A,增益!$I:$I,0))&gt;0,($F$11-$I$4+VLOOKUP($Q86,武学奇术!$A:$ZZ,9,FALSE)+SUM(_xlfn.XLOOKUP($R86:$AK86,增益!$A:$A,增益!$I:$I,0)))/200,($F$11-$I$4+VLOOKUP($Q86,武学奇术!$A:$ZZ,9,FALSE)+SUM(_xlfn.XLOOKUP($R86:$AK86,增益!$A:$A,增益!$I:$I,0)))/100)</f>
        <v>-0.14</v>
      </c>
      <c r="BA86" s="34" cm="1">
        <f t="array" ref="BA86">$G$11+VLOOKUP($Q86,武学奇术!$A:$ZZ,10,FALSE)+SUM(_xlfn.XLOOKUP($R86:$AK86,增益!$A:$A,增益!$J:$J,0))</f>
        <v>0</v>
      </c>
      <c r="BB86">
        <f t="shared" si="14"/>
        <v>594.1</v>
      </c>
      <c r="BC86">
        <f t="shared" si="15"/>
        <v>1604.9</v>
      </c>
      <c r="BD86" s="34" cm="1">
        <f t="array" ref="BD86">IF($F$12-$I$4+VLOOKUP($Q86,武学奇术!$A:$ZZ,11,FALSE)+SUM(_xlfn.XLOOKUP($R86:$AK86,增益!$A:$A,增益!$K:$K,0))&gt;0,($F$12-$I$4+VLOOKUP($Q86,武学奇术!$A:$ZZ,11,FALSE)+SUM(_xlfn.XLOOKUP($R86:$AK86,增益!$A:$A,增益!$K:$K,0)))/200,($F$12-$I$4+VLOOKUP($Q86,武学奇术!$A:$ZZ,11,FALSE)+SUM(_xlfn.XLOOKUP($R86:$AK86,增益!$A:$A,增益!$K:$K,0)))/100)</f>
        <v>0.17</v>
      </c>
      <c r="BE86" s="34" cm="1">
        <f t="array" ref="BE86">$G$12+VLOOKUP($Q86,武学奇术!$A:$ZZ,12,FALSE)+SUM(_xlfn.XLOOKUP($R86:$AK86,增益!$A:$A,增益!$L:$L,0))</f>
        <v>0.15</v>
      </c>
      <c r="BF86">
        <f t="shared" si="16"/>
        <v>0</v>
      </c>
      <c r="BG86">
        <f t="shared" si="17"/>
        <v>0</v>
      </c>
      <c r="BH86" s="34" cm="1">
        <f t="array" ref="BH86">IF($F$13-$I$4+VLOOKUP($Q86,武学奇术!$A:$ZZ,13,FALSE)+SUM(_xlfn.XLOOKUP($R86:$AK86,增益!$A:$A,增益!$M:$M,0))&gt;0,($F$13-$I$4+VLOOKUP($Q86,武学奇术!$A:$ZZ,13,FALSE)+SUM(_xlfn.XLOOKUP($R86:$AK86,增益!$A:$A,增益!$K:$K,0)))/200,($F$13-$I$4+VLOOKUP($Q86,武学奇术!$A:$ZZ,13,FALSE)+SUM(_xlfn.XLOOKUP($R86:$AK86,增益!$A:$A,增益!$M:$M,0)))/100)</f>
        <v>-0.14</v>
      </c>
      <c r="BI86" s="34" cm="1">
        <f t="array" ref="BI86">$G$13+VLOOKUP($Q86,武学奇术!$A:$ZZ,14,FALSE)+SUM(_xlfn.XLOOKUP($R86:$AK86,增益!$A:$A,增益!$N:$N,0))</f>
        <v>0</v>
      </c>
      <c r="BJ86">
        <f t="shared" si="18"/>
        <v>0</v>
      </c>
      <c r="BK86">
        <f t="shared" si="19"/>
        <v>0</v>
      </c>
      <c r="BL86" s="34" cm="1">
        <f t="array" ref="BL86">IF($F$14-$I$4+VLOOKUP($Q86,武学奇术!$A:$ZZ,15,FALSE)+SUM(_xlfn.XLOOKUP($R86:$AK86,增益!$A:$A,增益!$O:$O,0))&gt;0,($F$14-$I$4+VLOOKUP($Q86,武学奇术!$A:$ZZ,15,FALSE)+SUM(_xlfn.XLOOKUP($R86:$AK86,增益!$A:$A,增益!$O:$O,0)))/200,($F$14-$I$4+VLOOKUP($Q86,武学奇术!$A:$ZZ,15,FALSE)+SUM(_xlfn.XLOOKUP($R86:$AK86,增益!$A:$A,增益!$O:$O,0)))/100)</f>
        <v>-0.14</v>
      </c>
      <c r="BM86" s="34" cm="1">
        <f t="array" ref="BM86">$G$14+VLOOKUP($Q86,武学奇术!$A:$ZZ,16,FALSE)+SUM(_xlfn.XLOOKUP($R86:$AK86,增益!$A:$A,增益!$P:$P,0))</f>
        <v>0</v>
      </c>
      <c r="BN86" s="27">
        <f>MIN(IF(VLOOKUP($Q86,武学奇术!$A:$ZZ,23,FALSE)=1,100%,$B$8),100%)</f>
        <v>1</v>
      </c>
      <c r="BO86" s="27" cm="1">
        <f t="array" ref="BO86">IF(VLOOKUP($Q86,武学奇术!$A:$ZZ,23,FALSE)=1,100%,MIN(80%,$B$9+VLOOKUP($Q86,武学奇术!$A:$ZZ,17,FALSE)+SUM(_xlfn.XLOOKUP($R86:$AK86,增益!$A:$A,增益!$Q:$Q,0)))+$B$11+SUM(_xlfn.XLOOKUP($R86:$AK86,增益!$A:$A,增益!$U:$U,0)))*IF(VLOOKUP($Q86,武学奇术!$A:$ZZ,24,FALSE)=1,0,1)</f>
        <v>1</v>
      </c>
      <c r="BP86" s="27" cm="1">
        <f t="array" ref="BP86">1+$B$13+VLOOKUP($Q86,武学奇术!$A:$ZZ,18,FALSE)+SUM(_xlfn.XLOOKUP($R86:$AK86,增益!$A:$A,增益!$R:$R,0))</f>
        <v>2.1</v>
      </c>
      <c r="BQ86" s="27" cm="1">
        <f t="array" ref="BQ86">IF(VLOOKUP($Q86,武学奇术!$A:$ZZ,24,FALSE)=1,100%,MIN(40%,$B$10+VLOOKUP($Q86,武学奇术!$A:$ZZ,19,FALSE)+SUM(_xlfn.XLOOKUP($R86:$AK86,增益!$A:$A,增益!$S:$S,0)))+$B$12+SUM(_xlfn.XLOOKUP($R86:$AK86,增益!$A:$A,增益!$V:$V,0)))*IF(VLOOKUP($Q86,武学奇术!$A:$ZZ,23,FALSE)=1,0,1)</f>
        <v>0</v>
      </c>
      <c r="BR86" s="27" cm="1">
        <f t="array" ref="BR86">1+$B$14+VLOOKUP($Q86,武学奇术!$A:$ZZ,20,FALSE)+SUM(_xlfn.XLOOKUP($R86:$AK86,增益!$A:$A,增益!$T:$T,0))</f>
        <v>1.35</v>
      </c>
      <c r="BS86" s="27">
        <f t="shared" si="20"/>
        <v>1</v>
      </c>
      <c r="BT86" s="27">
        <f t="shared" si="21"/>
        <v>0</v>
      </c>
      <c r="BU86" s="27">
        <f>IF(VLOOKUP($Q86,武学奇术!$A:$ZZ,22,FALSE)=1,0,(1-$BN86))*(1-$BQ86)</f>
        <v>0</v>
      </c>
      <c r="BV86" s="27" cm="1">
        <f t="array" ref="BV86">SUM(_xlfn.XLOOKUP($R86:$AK86,增益!$A:$A,增益!$W:$W,0))+$I$5</f>
        <v>0.11</v>
      </c>
    </row>
    <row r="87" spans="1:74">
      <c r="K87" s="40">
        <f t="shared" si="11"/>
        <v>322972.300516096</v>
      </c>
      <c r="L87" s="40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BP87*$P87*(1+IF(VLOOKUP($Q87,武学奇术!$A:$ZZ,30,FALSE)="蓄力技",$B$21,0))*(1+$BV87)</f>
        <v>322972.300516096</v>
      </c>
      <c r="M87" s="40">
        <f>(($AT87*$AM87+$AN87)*(1+$AU87)*(1+$AV87)+($AY87*IF($G$1="鸣金",$AO87,$AM87)+IF($G$1="鸣金",$AP87*1.5,0))*(1+$AZ87)*(1+$BA87)+($BC87*IF($G$1="裂石",$AO87,$AM87)+IF($G$1="裂石",$AP87*1.5,0))*(1+$BD87)*(1+$BE87)+($BG87*IF($G$1="牵丝",$AO87,$AM87)+IF($G$1="牵丝",$AP87*1.5,0))*(1+$BH87)*(1+$BI87)+($BK87*IF($G$1="破竹",$AO87,$AM87)+IF($G$1="破竹",$AP87*1.5,0))*(1+$BL87)*(1+$BM87))*(1+$AQ87)*$BR87*$P87*(1+IF(VLOOKUP($Q87,武学奇术!$A:$ZZ,30,FALSE)="蓄力技",$B$21,0))*(1+$BV87)</f>
        <v>233949.169351968</v>
      </c>
      <c r="N87" s="40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P87*(1+IF(VLOOKUP($Q87,武学奇术!$A:$ZZ,30,FALSE)="蓄力技",$B$21,0))*(1+$BV87)</f>
        <v>153796.333579093</v>
      </c>
      <c r="O87" s="40">
        <f>((($AS87*$AM87+$AN87)*(1+$AU87)*(1+$AV87)+($AX87*IF($G$1="鸣金",$AO87,$AM87)+IF($G$1="鸣金",$AP87*1.5,0))*(1+$AZ87)*(1+$BA87)+($BB87*IF($G$1="裂石",$AO87,$AM87)+IF($G$1="裂石",$AP87*1.5,0))*(1+$BD87)*(1+$BE87)+($BF87*IF($G$1="牵丝",$AO87,$AM87)+IF($G$1="牵丝",$AP87*1.5,0))*(1+$BH87)*(1+$BI87)+($BJ87*IF($G$1="破竹",$AO87,$AM87)+IF($G$1="破竹",$AP87*1.5,0))*(1+$BL87)*(1+$BM87))*(1+$AQ87))*$P87*(1+IF(VLOOKUP($Q87,武学奇术!$A:$ZZ,30,FALSE)="蓄力技",$B$21,0))*(1+$BV87)</f>
        <v>134296.986156729</v>
      </c>
      <c r="P87" s="41">
        <v>1</v>
      </c>
      <c r="Q87" s="42" t="s">
        <v>120</v>
      </c>
      <c r="R87" s="42" t="s">
        <v>99</v>
      </c>
      <c r="S87" s="42" t="s">
        <v>169</v>
      </c>
      <c r="T87" s="42" t="s">
        <v>86</v>
      </c>
      <c r="U87" s="42" t="s">
        <v>121</v>
      </c>
      <c r="V87" s="42" t="s">
        <v>118</v>
      </c>
      <c r="W87" s="42" t="s">
        <v>77</v>
      </c>
      <c r="X87" s="42" t="s">
        <v>176</v>
      </c>
      <c r="Y87" s="42" t="s">
        <v>77</v>
      </c>
      <c r="Z87" s="42" t="s">
        <v>77</v>
      </c>
      <c r="AA87" s="42" t="s">
        <v>73</v>
      </c>
      <c r="AB87" s="42" t="s">
        <v>77</v>
      </c>
      <c r="AC87" s="42" t="s">
        <v>77</v>
      </c>
      <c r="AD87" s="42" t="s">
        <v>77</v>
      </c>
      <c r="AE87" s="42" t="s">
        <v>81</v>
      </c>
      <c r="AF87" s="42" t="s">
        <v>82</v>
      </c>
      <c r="AG87" s="42" t="s">
        <v>77</v>
      </c>
      <c r="AH87" s="42" t="s">
        <v>77</v>
      </c>
      <c r="AI87" s="42" t="s">
        <v>77</v>
      </c>
      <c r="AJ87" s="42" t="s">
        <v>77</v>
      </c>
      <c r="AK87" s="42" t="s">
        <v>77</v>
      </c>
      <c r="AL87" t="str">
        <f>VLOOKUP($Q87,武学奇术!$A:$ZZ,25,FALSE)</f>
        <v>陌刀</v>
      </c>
      <c r="AM87" s="27">
        <f>VLOOKUP($Q87,武学奇术!$A:$ZZ,26,FALSE)</f>
        <v>7.5674</v>
      </c>
      <c r="AN87" s="28">
        <f>VLOOKUP($Q87,武学奇术!$A:$ZZ,27,FALSE)*(1+IF(OR($AL87=$F$4,$AL87=$F$5),$B$22,0))</f>
        <v>3139.5</v>
      </c>
      <c r="AO87" s="27">
        <f>VLOOKUP($Q87,武学奇术!$A:$ZZ,28,FALSE)</f>
        <v>11.3512</v>
      </c>
      <c r="AP87" s="28">
        <f>VLOOKUP($Q87,武学奇术!$A:$ZZ,29,FALSE)*(1+IF(OR($AL87=$F$4,$AL87=$F$5),$B$22,0))</f>
        <v>1710</v>
      </c>
      <c r="AQ87" s="27" cm="1">
        <f t="array" ref="AQ87">$G$3+IFERROR(VLOOKUP($AL87,$F$4:$G$7,2,FALSE),0)+VLOOKUP($Q87,武学奇术!$A:$ZZ,2,FALSE)+SUM(_xlfn.XLOOKUP($R87:$AK87,增益!$A:$A,增益!$B:$B,0))</f>
        <v>0.7241</v>
      </c>
      <c r="AR87" s="27" cm="1">
        <f t="array" ref="AR87">VLOOKUP($Q87,武学奇术!$A:$ZZ,5,FALSE)+SUM(_xlfn.XLOOKUP($R87:$AK87,增益!$A:$A,增益!$E:$E,0))</f>
        <v>0</v>
      </c>
      <c r="AS87" cm="1">
        <f t="array" ref="AS87">$D$10*(1+$AR87)+VLOOKUP($Q87,武学奇术!$A:$ZZ,3,FALSE)+SUM(_xlfn.XLOOKUP($R87:$AK87,增益!$A:$A,增益!$C:$C,0))-$I$2</f>
        <v>3586.7</v>
      </c>
      <c r="AT87" cm="1">
        <f t="array" ref="AT87">$E$10*(1+$AR87)+VLOOKUP($Q87,武学奇术!$A:$ZZ,4,FALSE)+SUM(_xlfn.XLOOKUP($R87:$AK87,增益!$A:$A,增益!$D:$D,0))-$I$2</f>
        <v>3586.7</v>
      </c>
      <c r="AU87" s="34" cm="1">
        <f t="array" ref="AU87">IF($F$10-$I$3+VLOOKUP($Q87,武学奇术!$A:$ZZ,6,FALSE)+SUM(_xlfn.XLOOKUP($R87:$AK87,增益!$A:$A,增益!$F:$F,0))&gt;0,($F$10-$I$3+VLOOKUP($Q87,武学奇术!$A:$ZZ,6,FALSE)+SUM(_xlfn.XLOOKUP($R87:$AK87,增益!$A:$A,增益!$F:$F,0)))/200,($F$10-$I$3+VLOOKUP($Q87,武学奇术!$A:$ZZ,6,FALSE)+SUM(_xlfn.XLOOKUP($R87:$AK87,增益!$A:$A,增益!$F:$F,0)))/100)</f>
        <v>0.342</v>
      </c>
      <c r="AV87" s="34" cm="1">
        <f t="array" ref="AV87">$G$10+VLOOKUP($Q87,武学奇术!$A:$ZZ,7,FALSE)+SUM(_xlfn.XLOOKUP($R87:$AK87,增益!$A:$A,增益!$G:$G,0))</f>
        <v>0</v>
      </c>
      <c r="AW87" s="27" cm="1">
        <f t="array" ref="AW87">VLOOKUP($Q87,武学奇术!$A:$ZZ,8,FALSE)+SUM(_xlfn.XLOOKUP($R87:$AK87,增益!$A:$A,增益!$H:$H,0))</f>
        <v>0</v>
      </c>
      <c r="AX87">
        <f t="shared" si="12"/>
        <v>0</v>
      </c>
      <c r="AY87">
        <f t="shared" si="13"/>
        <v>0</v>
      </c>
      <c r="AZ87" s="34" cm="1">
        <f t="array" ref="AZ87">IF($F$11-$I$4+VLOOKUP($Q87,武学奇术!$A:$ZZ,9,FALSE)+SUM(_xlfn.XLOOKUP($R87:$AK87,增益!$A:$A,增益!$I:$I,0))&gt;0,($F$11-$I$4+VLOOKUP($Q87,武学奇术!$A:$ZZ,9,FALSE)+SUM(_xlfn.XLOOKUP($R87:$AK87,增益!$A:$A,增益!$I:$I,0)))/200,($F$11-$I$4+VLOOKUP($Q87,武学奇术!$A:$ZZ,9,FALSE)+SUM(_xlfn.XLOOKUP($R87:$AK87,增益!$A:$A,增益!$I:$I,0)))/100)</f>
        <v>-0.14</v>
      </c>
      <c r="BA87" s="34" cm="1">
        <f t="array" ref="BA87">$G$11+VLOOKUP($Q87,武学奇术!$A:$ZZ,10,FALSE)+SUM(_xlfn.XLOOKUP($R87:$AK87,增益!$A:$A,增益!$J:$J,0))</f>
        <v>0</v>
      </c>
      <c r="BB87">
        <f t="shared" si="14"/>
        <v>594.1</v>
      </c>
      <c r="BC87">
        <f t="shared" si="15"/>
        <v>1604.9</v>
      </c>
      <c r="BD87" s="34" cm="1">
        <f t="array" ref="BD87">IF($F$12-$I$4+VLOOKUP($Q87,武学奇术!$A:$ZZ,11,FALSE)+SUM(_xlfn.XLOOKUP($R87:$AK87,增益!$A:$A,增益!$K:$K,0))&gt;0,($F$12-$I$4+VLOOKUP($Q87,武学奇术!$A:$ZZ,11,FALSE)+SUM(_xlfn.XLOOKUP($R87:$AK87,增益!$A:$A,增益!$K:$K,0)))/200,($F$12-$I$4+VLOOKUP($Q87,武学奇术!$A:$ZZ,11,FALSE)+SUM(_xlfn.XLOOKUP($R87:$AK87,增益!$A:$A,增益!$K:$K,0)))/100)</f>
        <v>0.17</v>
      </c>
      <c r="BE87" s="34" cm="1">
        <f t="array" ref="BE87">$G$12+VLOOKUP($Q87,武学奇术!$A:$ZZ,12,FALSE)+SUM(_xlfn.XLOOKUP($R87:$AK87,增益!$A:$A,增益!$L:$L,0))</f>
        <v>0.15</v>
      </c>
      <c r="BF87">
        <f t="shared" si="16"/>
        <v>0</v>
      </c>
      <c r="BG87">
        <f t="shared" si="17"/>
        <v>0</v>
      </c>
      <c r="BH87" s="34" cm="1">
        <f t="array" ref="BH87">IF($F$13-$I$4+VLOOKUP($Q87,武学奇术!$A:$ZZ,13,FALSE)+SUM(_xlfn.XLOOKUP($R87:$AK87,增益!$A:$A,增益!$M:$M,0))&gt;0,($F$13-$I$4+VLOOKUP($Q87,武学奇术!$A:$ZZ,13,FALSE)+SUM(_xlfn.XLOOKUP($R87:$AK87,增益!$A:$A,增益!$K:$K,0)))/200,($F$13-$I$4+VLOOKUP($Q87,武学奇术!$A:$ZZ,13,FALSE)+SUM(_xlfn.XLOOKUP($R87:$AK87,增益!$A:$A,增益!$M:$M,0)))/100)</f>
        <v>-0.14</v>
      </c>
      <c r="BI87" s="34" cm="1">
        <f t="array" ref="BI87">$G$13+VLOOKUP($Q87,武学奇术!$A:$ZZ,14,FALSE)+SUM(_xlfn.XLOOKUP($R87:$AK87,增益!$A:$A,增益!$N:$N,0))</f>
        <v>0</v>
      </c>
      <c r="BJ87">
        <f t="shared" si="18"/>
        <v>0</v>
      </c>
      <c r="BK87">
        <f t="shared" si="19"/>
        <v>0</v>
      </c>
      <c r="BL87" s="34" cm="1">
        <f t="array" ref="BL87">IF($F$14-$I$4+VLOOKUP($Q87,武学奇术!$A:$ZZ,15,FALSE)+SUM(_xlfn.XLOOKUP($R87:$AK87,增益!$A:$A,增益!$O:$O,0))&gt;0,($F$14-$I$4+VLOOKUP($Q87,武学奇术!$A:$ZZ,15,FALSE)+SUM(_xlfn.XLOOKUP($R87:$AK87,增益!$A:$A,增益!$O:$O,0)))/200,($F$14-$I$4+VLOOKUP($Q87,武学奇术!$A:$ZZ,15,FALSE)+SUM(_xlfn.XLOOKUP($R87:$AK87,增益!$A:$A,增益!$O:$O,0)))/100)</f>
        <v>-0.14</v>
      </c>
      <c r="BM87" s="34" cm="1">
        <f t="array" ref="BM87">$G$14+VLOOKUP($Q87,武学奇术!$A:$ZZ,16,FALSE)+SUM(_xlfn.XLOOKUP($R87:$AK87,增益!$A:$A,增益!$P:$P,0))</f>
        <v>0</v>
      </c>
      <c r="BN87" s="27">
        <f>MIN(IF(VLOOKUP($Q87,武学奇术!$A:$ZZ,23,FALSE)=1,100%,$B$8),100%)</f>
        <v>1</v>
      </c>
      <c r="BO87" s="27" cm="1">
        <f t="array" ref="BO87">IF(VLOOKUP($Q87,武学奇术!$A:$ZZ,23,FALSE)=1,100%,MIN(80%,$B$9+VLOOKUP($Q87,武学奇术!$A:$ZZ,17,FALSE)+SUM(_xlfn.XLOOKUP($R87:$AK87,增益!$A:$A,增益!$Q:$Q,0)))+$B$11+SUM(_xlfn.XLOOKUP($R87:$AK87,增益!$A:$A,增益!$U:$U,0)))*IF(VLOOKUP($Q87,武学奇术!$A:$ZZ,24,FALSE)=1,0,1)</f>
        <v>1</v>
      </c>
      <c r="BP87" s="27" cm="1">
        <f t="array" ref="BP87">1+$B$13+VLOOKUP($Q87,武学奇术!$A:$ZZ,18,FALSE)+SUM(_xlfn.XLOOKUP($R87:$AK87,增益!$A:$A,增益!$R:$R,0))</f>
        <v>2.1</v>
      </c>
      <c r="BQ87" s="27" cm="1">
        <f t="array" ref="BQ87">IF(VLOOKUP($Q87,武学奇术!$A:$ZZ,24,FALSE)=1,100%,MIN(40%,$B$10+VLOOKUP($Q87,武学奇术!$A:$ZZ,19,FALSE)+SUM(_xlfn.XLOOKUP($R87:$AK87,增益!$A:$A,增益!$S:$S,0)))+$B$12+SUM(_xlfn.XLOOKUP($R87:$AK87,增益!$A:$A,增益!$V:$V,0)))*IF(VLOOKUP($Q87,武学奇术!$A:$ZZ,23,FALSE)=1,0,1)</f>
        <v>0</v>
      </c>
      <c r="BR87" s="27" cm="1">
        <f t="array" ref="BR87">1+$B$14+VLOOKUP($Q87,武学奇术!$A:$ZZ,20,FALSE)+SUM(_xlfn.XLOOKUP($R87:$AK87,增益!$A:$A,增益!$T:$T,0))</f>
        <v>1.35</v>
      </c>
      <c r="BS87" s="27">
        <f t="shared" si="20"/>
        <v>1</v>
      </c>
      <c r="BT87" s="27">
        <f t="shared" si="21"/>
        <v>0</v>
      </c>
      <c r="BU87" s="27">
        <f>IF(VLOOKUP($Q87,武学奇术!$A:$ZZ,22,FALSE)=1,0,(1-$BN87))*(1-$BQ87)</f>
        <v>0</v>
      </c>
      <c r="BV87" s="27" cm="1">
        <f t="array" ref="BV87">SUM(_xlfn.XLOOKUP($R87:$AK87,增益!$A:$A,增益!$W:$W,0))+$I$5</f>
        <v>0.11</v>
      </c>
    </row>
    <row r="88" spans="1:74">
      <c r="K88" s="40">
        <f t="shared" si="11"/>
        <v>37714.15232051</v>
      </c>
      <c r="L88" s="40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BP88*$P88*(1+IF(VLOOKUP($Q88,武学奇术!$A:$ZZ,30,FALSE)="蓄力技",$B$21,0))*(1+$BV88)</f>
        <v>37714.15232051</v>
      </c>
      <c r="M88" s="40">
        <f>(($AT88*$AM88+$AN88)*(1+$AU88)*(1+$AV88)+($AY88*IF($G$1="鸣金",$AO88,$AM88)+IF($G$1="鸣金",$AP88*1.5,0))*(1+$AZ88)*(1+$BA88)+($BC88*IF($G$1="裂石",$AO88,$AM88)+IF($G$1="裂石",$AP88*1.5,0))*(1+$BD88)*(1+$BE88)+($BG88*IF($G$1="牵丝",$AO88,$AM88)+IF($G$1="牵丝",$AP88*1.5,0))*(1+$BH88)*(1+$BI88)+($BK88*IF($G$1="破竹",$AO88,$AM88)+IF($G$1="破竹",$AP88*1.5,0))*(1+$BL88)*(1+$BM88))*(1+$AQ88)*$BR88*$P88*(1+IF(VLOOKUP($Q88,武学奇术!$A:$ZZ,30,FALSE)="蓄力技",$B$21,0))*(1+$BV88)</f>
        <v>27743.5791561717</v>
      </c>
      <c r="N88" s="40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P88*(1+IF(VLOOKUP($Q88,武学奇术!$A:$ZZ,30,FALSE)="蓄力技",$B$21,0))*(1+$BV88)</f>
        <v>17959.1201526238</v>
      </c>
      <c r="O88" s="40">
        <f>((($AS88*$AM88+$AN88)*(1+$AU88)*(1+$AV88)+($AX88*IF($G$1="鸣金",$AO88,$AM88)+IF($G$1="鸣金",$AP88*1.5,0))*(1+$AZ88)*(1+$BA88)+($BB88*IF($G$1="裂石",$AO88,$AM88)+IF($G$1="裂石",$AP88*1.5,0))*(1+$BD88)*(1+$BE88)+($BF88*IF($G$1="牵丝",$AO88,$AM88)+IF($G$1="牵丝",$AP88*1.5,0))*(1+$BH88)*(1+$BI88)+($BJ88*IF($G$1="破竹",$AO88,$AM88)+IF($G$1="破竹",$AP88*1.5,0))*(1+$BL88)*(1+$BM88))*(1+$AQ88))*$P88*(1+IF(VLOOKUP($Q88,武学奇术!$A:$ZZ,30,FALSE)="蓄力技",$B$21,0))*(1+$BV88)</f>
        <v>15367.4409303056</v>
      </c>
      <c r="P88" s="41">
        <v>2</v>
      </c>
      <c r="Q88" s="42" t="s">
        <v>125</v>
      </c>
      <c r="R88" s="42" t="s">
        <v>103</v>
      </c>
      <c r="S88" s="42" t="s">
        <v>169</v>
      </c>
      <c r="T88" s="42" t="s">
        <v>86</v>
      </c>
      <c r="U88" s="42" t="s">
        <v>121</v>
      </c>
      <c r="V88" s="42" t="s">
        <v>118</v>
      </c>
      <c r="W88" s="42" t="s">
        <v>77</v>
      </c>
      <c r="X88" s="42" t="s">
        <v>176</v>
      </c>
      <c r="Y88" s="42" t="s">
        <v>77</v>
      </c>
      <c r="Z88" s="42" t="s">
        <v>77</v>
      </c>
      <c r="AA88" s="42" t="s">
        <v>73</v>
      </c>
      <c r="AB88" s="42" t="s">
        <v>77</v>
      </c>
      <c r="AC88" s="42" t="s">
        <v>77</v>
      </c>
      <c r="AD88" s="42" t="s">
        <v>77</v>
      </c>
      <c r="AE88" s="42" t="s">
        <v>81</v>
      </c>
      <c r="AF88" s="42" t="s">
        <v>82</v>
      </c>
      <c r="AG88" s="42" t="s">
        <v>77</v>
      </c>
      <c r="AH88" s="42" t="s">
        <v>77</v>
      </c>
      <c r="AI88" s="42" t="s">
        <v>77</v>
      </c>
      <c r="AJ88" s="42" t="s">
        <v>77</v>
      </c>
      <c r="AK88" s="42" t="s">
        <v>77</v>
      </c>
      <c r="AL88" t="str">
        <f>VLOOKUP($Q88,武学奇术!$A:$ZZ,25,FALSE)</f>
        <v>陌刀</v>
      </c>
      <c r="AM88" s="27">
        <f>VLOOKUP($Q88,武学奇术!$A:$ZZ,26,FALSE)</f>
        <v>0.5</v>
      </c>
      <c r="AN88" s="28">
        <f>VLOOKUP($Q88,武学奇术!$A:$ZZ,27,FALSE)*(1+IF(OR($AL88=$F$4,$AL88=$F$5),$B$22,0))</f>
        <v>0</v>
      </c>
      <c r="AO88" s="27">
        <f>VLOOKUP($Q88,武学奇术!$A:$ZZ,28,FALSE)</f>
        <v>0.75</v>
      </c>
      <c r="AP88" s="28">
        <f>VLOOKUP($Q88,武学奇术!$A:$ZZ,29,FALSE)*(1+IF(OR($AL88=$F$4,$AL88=$F$5),$B$22,0))</f>
        <v>0</v>
      </c>
      <c r="AQ88" s="27" cm="1">
        <f t="array" ref="AQ88">$G$3+IFERROR(VLOOKUP($AL88,$F$4:$G$7,2,FALSE),0)+VLOOKUP($Q88,武学奇术!$A:$ZZ,2,FALSE)+SUM(_xlfn.XLOOKUP($R88:$AK88,增益!$A:$A,增益!$B:$B,0))</f>
        <v>0.7341</v>
      </c>
      <c r="AR88" s="27" cm="1">
        <f t="array" ref="AR88">VLOOKUP($Q88,武学奇术!$A:$ZZ,5,FALSE)+SUM(_xlfn.XLOOKUP($R88:$AK88,增益!$A:$A,增益!$E:$E,0))</f>
        <v>0</v>
      </c>
      <c r="AS88" cm="1">
        <f t="array" ref="AS88">$D$10*(1+$AR88)+VLOOKUP($Q88,武学奇术!$A:$ZZ,3,FALSE)+SUM(_xlfn.XLOOKUP($R88:$AK88,增益!$A:$A,增益!$C:$C,0))-$I$2</f>
        <v>3586.7</v>
      </c>
      <c r="AT88" cm="1">
        <f t="array" ref="AT88">$E$10*(1+$AR88)+VLOOKUP($Q88,武学奇术!$A:$ZZ,4,FALSE)+SUM(_xlfn.XLOOKUP($R88:$AK88,增益!$A:$A,增益!$D:$D,0))-$I$2</f>
        <v>3586.7</v>
      </c>
      <c r="AU88" s="34" cm="1">
        <f t="array" ref="AU88">IF($F$10-$I$3+VLOOKUP($Q88,武学奇术!$A:$ZZ,6,FALSE)+SUM(_xlfn.XLOOKUP($R88:$AK88,增益!$A:$A,增益!$F:$F,0))&gt;0,($F$10-$I$3+VLOOKUP($Q88,武学奇术!$A:$ZZ,6,FALSE)+SUM(_xlfn.XLOOKUP($R88:$AK88,增益!$A:$A,增益!$F:$F,0)))/200,($F$10-$I$3+VLOOKUP($Q88,武学奇术!$A:$ZZ,6,FALSE)+SUM(_xlfn.XLOOKUP($R88:$AK88,增益!$A:$A,增益!$F:$F,0)))/100)</f>
        <v>0.352</v>
      </c>
      <c r="AV88" s="34" cm="1">
        <f t="array" ref="AV88">$G$10+VLOOKUP($Q88,武学奇术!$A:$ZZ,7,FALSE)+SUM(_xlfn.XLOOKUP($R88:$AK88,增益!$A:$A,增益!$G:$G,0))</f>
        <v>0</v>
      </c>
      <c r="AW88" s="27" cm="1">
        <f t="array" ref="AW88">VLOOKUP($Q88,武学奇术!$A:$ZZ,8,FALSE)+SUM(_xlfn.XLOOKUP($R88:$AK88,增益!$A:$A,增益!$H:$H,0))</f>
        <v>0</v>
      </c>
      <c r="AX88">
        <f t="shared" si="12"/>
        <v>0</v>
      </c>
      <c r="AY88">
        <f t="shared" si="13"/>
        <v>0</v>
      </c>
      <c r="AZ88" s="34" cm="1">
        <f t="array" ref="AZ88">IF($F$11-$I$4+VLOOKUP($Q88,武学奇术!$A:$ZZ,9,FALSE)+SUM(_xlfn.XLOOKUP($R88:$AK88,增益!$A:$A,增益!$I:$I,0))&gt;0,($F$11-$I$4+VLOOKUP($Q88,武学奇术!$A:$ZZ,9,FALSE)+SUM(_xlfn.XLOOKUP($R88:$AK88,增益!$A:$A,增益!$I:$I,0)))/200,($F$11-$I$4+VLOOKUP($Q88,武学奇术!$A:$ZZ,9,FALSE)+SUM(_xlfn.XLOOKUP($R88:$AK88,增益!$A:$A,增益!$I:$I,0)))/100)</f>
        <v>-0.14</v>
      </c>
      <c r="BA88" s="34" cm="1">
        <f t="array" ref="BA88">$G$11+VLOOKUP($Q88,武学奇术!$A:$ZZ,10,FALSE)+SUM(_xlfn.XLOOKUP($R88:$AK88,增益!$A:$A,增益!$J:$J,0))</f>
        <v>0</v>
      </c>
      <c r="BB88">
        <f t="shared" si="14"/>
        <v>594.1</v>
      </c>
      <c r="BC88">
        <f t="shared" si="15"/>
        <v>1604.9</v>
      </c>
      <c r="BD88" s="34" cm="1">
        <f t="array" ref="BD88">IF($F$12-$I$4+VLOOKUP($Q88,武学奇术!$A:$ZZ,11,FALSE)+SUM(_xlfn.XLOOKUP($R88:$AK88,增益!$A:$A,增益!$K:$K,0))&gt;0,($F$12-$I$4+VLOOKUP($Q88,武学奇术!$A:$ZZ,11,FALSE)+SUM(_xlfn.XLOOKUP($R88:$AK88,增益!$A:$A,增益!$K:$K,0)))/200,($F$12-$I$4+VLOOKUP($Q88,武学奇术!$A:$ZZ,11,FALSE)+SUM(_xlfn.XLOOKUP($R88:$AK88,增益!$A:$A,增益!$K:$K,0)))/100)</f>
        <v>0.17</v>
      </c>
      <c r="BE88" s="34" cm="1">
        <f t="array" ref="BE88">$G$12+VLOOKUP($Q88,武学奇术!$A:$ZZ,12,FALSE)+SUM(_xlfn.XLOOKUP($R88:$AK88,增益!$A:$A,增益!$L:$L,0))</f>
        <v>0.15</v>
      </c>
      <c r="BF88">
        <f t="shared" si="16"/>
        <v>0</v>
      </c>
      <c r="BG88">
        <f t="shared" si="17"/>
        <v>0</v>
      </c>
      <c r="BH88" s="34" cm="1">
        <f t="array" ref="BH88">IF($F$13-$I$4+VLOOKUP($Q88,武学奇术!$A:$ZZ,13,FALSE)+SUM(_xlfn.XLOOKUP($R88:$AK88,增益!$A:$A,增益!$M:$M,0))&gt;0,($F$13-$I$4+VLOOKUP($Q88,武学奇术!$A:$ZZ,13,FALSE)+SUM(_xlfn.XLOOKUP($R88:$AK88,增益!$A:$A,增益!$K:$K,0)))/200,($F$13-$I$4+VLOOKUP($Q88,武学奇术!$A:$ZZ,13,FALSE)+SUM(_xlfn.XLOOKUP($R88:$AK88,增益!$A:$A,增益!$M:$M,0)))/100)</f>
        <v>-0.14</v>
      </c>
      <c r="BI88" s="34" cm="1">
        <f t="array" ref="BI88">$G$13+VLOOKUP($Q88,武学奇术!$A:$ZZ,14,FALSE)+SUM(_xlfn.XLOOKUP($R88:$AK88,增益!$A:$A,增益!$N:$N,0))</f>
        <v>0</v>
      </c>
      <c r="BJ88">
        <f t="shared" si="18"/>
        <v>0</v>
      </c>
      <c r="BK88">
        <f t="shared" si="19"/>
        <v>0</v>
      </c>
      <c r="BL88" s="34" cm="1">
        <f t="array" ref="BL88">IF($F$14-$I$4+VLOOKUP($Q88,武学奇术!$A:$ZZ,15,FALSE)+SUM(_xlfn.XLOOKUP($R88:$AK88,增益!$A:$A,增益!$O:$O,0))&gt;0,($F$14-$I$4+VLOOKUP($Q88,武学奇术!$A:$ZZ,15,FALSE)+SUM(_xlfn.XLOOKUP($R88:$AK88,增益!$A:$A,增益!$O:$O,0)))/200,($F$14-$I$4+VLOOKUP($Q88,武学奇术!$A:$ZZ,15,FALSE)+SUM(_xlfn.XLOOKUP($R88:$AK88,增益!$A:$A,增益!$O:$O,0)))/100)</f>
        <v>-0.14</v>
      </c>
      <c r="BM88" s="34" cm="1">
        <f t="array" ref="BM88">$G$14+VLOOKUP($Q88,武学奇术!$A:$ZZ,16,FALSE)+SUM(_xlfn.XLOOKUP($R88:$AK88,增益!$A:$A,增益!$P:$P,0))</f>
        <v>0</v>
      </c>
      <c r="BN88" s="27">
        <f>MIN(IF(VLOOKUP($Q88,武学奇术!$A:$ZZ,23,FALSE)=1,100%,$B$8),100%)</f>
        <v>1</v>
      </c>
      <c r="BO88" s="27" cm="1">
        <f t="array" ref="BO88">IF(VLOOKUP($Q88,武学奇术!$A:$ZZ,23,FALSE)=1,100%,MIN(80%,$B$9+VLOOKUP($Q88,武学奇术!$A:$ZZ,17,FALSE)+SUM(_xlfn.XLOOKUP($R88:$AK88,增益!$A:$A,增益!$Q:$Q,0)))+$B$11+SUM(_xlfn.XLOOKUP($R88:$AK88,增益!$A:$A,增益!$U:$U,0)))*IF(VLOOKUP($Q88,武学奇术!$A:$ZZ,24,FALSE)=1,0,1)</f>
        <v>1</v>
      </c>
      <c r="BP88" s="27" cm="1">
        <f t="array" ref="BP88">1+$B$13+VLOOKUP($Q88,武学奇术!$A:$ZZ,18,FALSE)+SUM(_xlfn.XLOOKUP($R88:$AK88,增益!$A:$A,增益!$R:$R,0))</f>
        <v>2.1</v>
      </c>
      <c r="BQ88" s="27" cm="1">
        <f t="array" ref="BQ88">IF(VLOOKUP($Q88,武学奇术!$A:$ZZ,24,FALSE)=1,100%,MIN(40%,$B$10+VLOOKUP($Q88,武学奇术!$A:$ZZ,19,FALSE)+SUM(_xlfn.XLOOKUP($R88:$AK88,增益!$A:$A,增益!$S:$S,0)))+$B$12+SUM(_xlfn.XLOOKUP($R88:$AK88,增益!$A:$A,增益!$V:$V,0)))*IF(VLOOKUP($Q88,武学奇术!$A:$ZZ,23,FALSE)=1,0,1)</f>
        <v>0</v>
      </c>
      <c r="BR88" s="27" cm="1">
        <f t="array" ref="BR88">1+$B$14+VLOOKUP($Q88,武学奇术!$A:$ZZ,20,FALSE)+SUM(_xlfn.XLOOKUP($R88:$AK88,增益!$A:$A,增益!$T:$T,0))</f>
        <v>1.35</v>
      </c>
      <c r="BS88" s="27">
        <f t="shared" si="20"/>
        <v>1</v>
      </c>
      <c r="BT88" s="27">
        <f t="shared" si="21"/>
        <v>0</v>
      </c>
      <c r="BU88" s="27">
        <f>IF(VLOOKUP($Q88,武学奇术!$A:$ZZ,22,FALSE)=1,0,(1-$BN88))*(1-$BQ88)</f>
        <v>0</v>
      </c>
      <c r="BV88" s="27" cm="1">
        <f t="array" ref="BV88">SUM(_xlfn.XLOOKUP($R88:$AK88,增益!$A:$A,增益!$W:$W,0))+$I$5</f>
        <v>0.11</v>
      </c>
    </row>
    <row r="89" spans="1:74">
      <c r="K89" s="40">
        <f t="shared" si="11"/>
        <v>67885.4741769179</v>
      </c>
      <c r="L89" s="40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BP89*$P89*(1+IF(VLOOKUP($Q89,武学奇术!$A:$ZZ,30,FALSE)="蓄力技",$B$21,0))*(1+$BV89)</f>
        <v>67885.4741769179</v>
      </c>
      <c r="M89" s="40">
        <f>(($AT89*$AM89+$AN89)*(1+$AU89)*(1+$AV89)+($AY89*IF($G$1="鸣金",$AO89,$AM89)+IF($G$1="鸣金",$AP89*1.5,0))*(1+$AZ89)*(1+$BA89)+($BC89*IF($G$1="裂石",$AO89,$AM89)+IF($G$1="裂石",$AP89*1.5,0))*(1+$BD89)*(1+$BE89)+($BG89*IF($G$1="牵丝",$AO89,$AM89)+IF($G$1="牵丝",$AP89*1.5,0))*(1+$BH89)*(1+$BI89)+($BK89*IF($G$1="破竹",$AO89,$AM89)+IF($G$1="破竹",$AP89*1.5,0))*(1+$BL89)*(1+$BM89))*(1+$AQ89)*$BR89*$P89*(1+IF(VLOOKUP($Q89,武学奇术!$A:$ZZ,30,FALSE)="蓄力技",$B$21,0))*(1+$BV89)</f>
        <v>49938.442481109</v>
      </c>
      <c r="N89" s="40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P89*(1+IF(VLOOKUP($Q89,武学奇术!$A:$ZZ,30,FALSE)="蓄力技",$B$21,0))*(1+$BV89)</f>
        <v>32326.4162747228</v>
      </c>
      <c r="O89" s="40">
        <f>((($AS89*$AM89+$AN89)*(1+$AU89)*(1+$AV89)+($AX89*IF($G$1="鸣金",$AO89,$AM89)+IF($G$1="鸣金",$AP89*1.5,0))*(1+$AZ89)*(1+$BA89)+($BB89*IF($G$1="裂石",$AO89,$AM89)+IF($G$1="裂石",$AP89*1.5,0))*(1+$BD89)*(1+$BE89)+($BF89*IF($G$1="牵丝",$AO89,$AM89)+IF($G$1="牵丝",$AP89*1.5,0))*(1+$BH89)*(1+$BI89)+($BJ89*IF($G$1="破竹",$AO89,$AM89)+IF($G$1="破竹",$AP89*1.5,0))*(1+$BL89)*(1+$BM89))*(1+$AQ89))*$P89*(1+IF(VLOOKUP($Q89,武学奇术!$A:$ZZ,30,FALSE)="蓄力技",$B$21,0))*(1+$BV89)</f>
        <v>27661.3936745501</v>
      </c>
      <c r="P89" s="41">
        <v>2</v>
      </c>
      <c r="Q89" s="42" t="s">
        <v>117</v>
      </c>
      <c r="R89" s="42" t="s">
        <v>103</v>
      </c>
      <c r="S89" s="42" t="s">
        <v>169</v>
      </c>
      <c r="T89" s="42" t="s">
        <v>86</v>
      </c>
      <c r="U89" s="42" t="s">
        <v>121</v>
      </c>
      <c r="V89" s="42" t="s">
        <v>118</v>
      </c>
      <c r="W89" s="42" t="s">
        <v>77</v>
      </c>
      <c r="X89" s="42" t="s">
        <v>176</v>
      </c>
      <c r="Y89" s="42" t="s">
        <v>77</v>
      </c>
      <c r="Z89" s="42" t="s">
        <v>77</v>
      </c>
      <c r="AA89" s="42" t="s">
        <v>73</v>
      </c>
      <c r="AB89" s="42" t="s">
        <v>77</v>
      </c>
      <c r="AC89" s="42" t="s">
        <v>77</v>
      </c>
      <c r="AD89" s="42" t="s">
        <v>77</v>
      </c>
      <c r="AE89" s="42" t="s">
        <v>81</v>
      </c>
      <c r="AF89" s="42" t="s">
        <v>82</v>
      </c>
      <c r="AG89" s="42" t="s">
        <v>77</v>
      </c>
      <c r="AH89" s="42" t="s">
        <v>77</v>
      </c>
      <c r="AI89" s="42" t="s">
        <v>77</v>
      </c>
      <c r="AJ89" s="42" t="s">
        <v>77</v>
      </c>
      <c r="AK89" s="42" t="s">
        <v>77</v>
      </c>
      <c r="AL89" t="str">
        <f>VLOOKUP($Q89,武学奇术!$A:$ZZ,25,FALSE)</f>
        <v>陌刀</v>
      </c>
      <c r="AM89" s="27">
        <f>VLOOKUP($Q89,武学奇术!$A:$ZZ,26,FALSE)</f>
        <v>0.9</v>
      </c>
      <c r="AN89" s="28">
        <f>VLOOKUP($Q89,武学奇术!$A:$ZZ,27,FALSE)*(1+IF(OR($AL89=$F$4,$AL89=$F$5),$B$22,0))</f>
        <v>0</v>
      </c>
      <c r="AO89" s="27">
        <f>VLOOKUP($Q89,武学奇术!$A:$ZZ,28,FALSE)</f>
        <v>1.35</v>
      </c>
      <c r="AP89" s="28">
        <f>VLOOKUP($Q89,武学奇术!$A:$ZZ,29,FALSE)*(1+IF(OR($AL89=$F$4,$AL89=$F$5),$B$22,0))</f>
        <v>0</v>
      </c>
      <c r="AQ89" s="27" cm="1">
        <f t="array" ref="AQ89">$G$3+IFERROR(VLOOKUP($AL89,$F$4:$G$7,2,FALSE),0)+VLOOKUP($Q89,武学奇术!$A:$ZZ,2,FALSE)+SUM(_xlfn.XLOOKUP($R89:$AK89,增益!$A:$A,增益!$B:$B,0))</f>
        <v>0.7341</v>
      </c>
      <c r="AR89" s="27" cm="1">
        <f t="array" ref="AR89">VLOOKUP($Q89,武学奇术!$A:$ZZ,5,FALSE)+SUM(_xlfn.XLOOKUP($R89:$AK89,增益!$A:$A,增益!$E:$E,0))</f>
        <v>0</v>
      </c>
      <c r="AS89" cm="1">
        <f t="array" ref="AS89">$D$10*(1+$AR89)+VLOOKUP($Q89,武学奇术!$A:$ZZ,3,FALSE)+SUM(_xlfn.XLOOKUP($R89:$AK89,增益!$A:$A,增益!$C:$C,0))-$I$2</f>
        <v>3586.7</v>
      </c>
      <c r="AT89" cm="1">
        <f t="array" ref="AT89">$E$10*(1+$AR89)+VLOOKUP($Q89,武学奇术!$A:$ZZ,4,FALSE)+SUM(_xlfn.XLOOKUP($R89:$AK89,增益!$A:$A,增益!$D:$D,0))-$I$2</f>
        <v>3586.7</v>
      </c>
      <c r="AU89" s="34" cm="1">
        <f t="array" ref="AU89">IF($F$10-$I$3+VLOOKUP($Q89,武学奇术!$A:$ZZ,6,FALSE)+SUM(_xlfn.XLOOKUP($R89:$AK89,增益!$A:$A,增益!$F:$F,0))&gt;0,($F$10-$I$3+VLOOKUP($Q89,武学奇术!$A:$ZZ,6,FALSE)+SUM(_xlfn.XLOOKUP($R89:$AK89,增益!$A:$A,增益!$F:$F,0)))/200,($F$10-$I$3+VLOOKUP($Q89,武学奇术!$A:$ZZ,6,FALSE)+SUM(_xlfn.XLOOKUP($R89:$AK89,增益!$A:$A,增益!$F:$F,0)))/100)</f>
        <v>0.352</v>
      </c>
      <c r="AV89" s="34" cm="1">
        <f t="array" ref="AV89">$G$10+VLOOKUP($Q89,武学奇术!$A:$ZZ,7,FALSE)+SUM(_xlfn.XLOOKUP($R89:$AK89,增益!$A:$A,增益!$G:$G,0))</f>
        <v>0</v>
      </c>
      <c r="AW89" s="27" cm="1">
        <f t="array" ref="AW89">VLOOKUP($Q89,武学奇术!$A:$ZZ,8,FALSE)+SUM(_xlfn.XLOOKUP($R89:$AK89,增益!$A:$A,增益!$H:$H,0))</f>
        <v>0</v>
      </c>
      <c r="AX89">
        <f t="shared" si="12"/>
        <v>0</v>
      </c>
      <c r="AY89">
        <f t="shared" si="13"/>
        <v>0</v>
      </c>
      <c r="AZ89" s="34" cm="1">
        <f t="array" ref="AZ89">IF($F$11-$I$4+VLOOKUP($Q89,武学奇术!$A:$ZZ,9,FALSE)+SUM(_xlfn.XLOOKUP($R89:$AK89,增益!$A:$A,增益!$I:$I,0))&gt;0,($F$11-$I$4+VLOOKUP($Q89,武学奇术!$A:$ZZ,9,FALSE)+SUM(_xlfn.XLOOKUP($R89:$AK89,增益!$A:$A,增益!$I:$I,0)))/200,($F$11-$I$4+VLOOKUP($Q89,武学奇术!$A:$ZZ,9,FALSE)+SUM(_xlfn.XLOOKUP($R89:$AK89,增益!$A:$A,增益!$I:$I,0)))/100)</f>
        <v>-0.14</v>
      </c>
      <c r="BA89" s="34" cm="1">
        <f t="array" ref="BA89">$G$11+VLOOKUP($Q89,武学奇术!$A:$ZZ,10,FALSE)+SUM(_xlfn.XLOOKUP($R89:$AK89,增益!$A:$A,增益!$J:$J,0))</f>
        <v>0</v>
      </c>
      <c r="BB89">
        <f t="shared" si="14"/>
        <v>594.1</v>
      </c>
      <c r="BC89">
        <f t="shared" si="15"/>
        <v>1604.9</v>
      </c>
      <c r="BD89" s="34" cm="1">
        <f t="array" ref="BD89">IF($F$12-$I$4+VLOOKUP($Q89,武学奇术!$A:$ZZ,11,FALSE)+SUM(_xlfn.XLOOKUP($R89:$AK89,增益!$A:$A,增益!$K:$K,0))&gt;0,($F$12-$I$4+VLOOKUP($Q89,武学奇术!$A:$ZZ,11,FALSE)+SUM(_xlfn.XLOOKUP($R89:$AK89,增益!$A:$A,增益!$K:$K,0)))/200,($F$12-$I$4+VLOOKUP($Q89,武学奇术!$A:$ZZ,11,FALSE)+SUM(_xlfn.XLOOKUP($R89:$AK89,增益!$A:$A,增益!$K:$K,0)))/100)</f>
        <v>0.17</v>
      </c>
      <c r="BE89" s="34" cm="1">
        <f t="array" ref="BE89">$G$12+VLOOKUP($Q89,武学奇术!$A:$ZZ,12,FALSE)+SUM(_xlfn.XLOOKUP($R89:$AK89,增益!$A:$A,增益!$L:$L,0))</f>
        <v>0.15</v>
      </c>
      <c r="BF89">
        <f t="shared" si="16"/>
        <v>0</v>
      </c>
      <c r="BG89">
        <f t="shared" si="17"/>
        <v>0</v>
      </c>
      <c r="BH89" s="34" cm="1">
        <f t="array" ref="BH89">IF($F$13-$I$4+VLOOKUP($Q89,武学奇术!$A:$ZZ,13,FALSE)+SUM(_xlfn.XLOOKUP($R89:$AK89,增益!$A:$A,增益!$M:$M,0))&gt;0,($F$13-$I$4+VLOOKUP($Q89,武学奇术!$A:$ZZ,13,FALSE)+SUM(_xlfn.XLOOKUP($R89:$AK89,增益!$A:$A,增益!$K:$K,0)))/200,($F$13-$I$4+VLOOKUP($Q89,武学奇术!$A:$ZZ,13,FALSE)+SUM(_xlfn.XLOOKUP($R89:$AK89,增益!$A:$A,增益!$M:$M,0)))/100)</f>
        <v>-0.14</v>
      </c>
      <c r="BI89" s="34" cm="1">
        <f t="array" ref="BI89">$G$13+VLOOKUP($Q89,武学奇术!$A:$ZZ,14,FALSE)+SUM(_xlfn.XLOOKUP($R89:$AK89,增益!$A:$A,增益!$N:$N,0))</f>
        <v>0</v>
      </c>
      <c r="BJ89">
        <f t="shared" si="18"/>
        <v>0</v>
      </c>
      <c r="BK89">
        <f t="shared" si="19"/>
        <v>0</v>
      </c>
      <c r="BL89" s="34" cm="1">
        <f t="array" ref="BL89">IF($F$14-$I$4+VLOOKUP($Q89,武学奇术!$A:$ZZ,15,FALSE)+SUM(_xlfn.XLOOKUP($R89:$AK89,增益!$A:$A,增益!$O:$O,0))&gt;0,($F$14-$I$4+VLOOKUP($Q89,武学奇术!$A:$ZZ,15,FALSE)+SUM(_xlfn.XLOOKUP($R89:$AK89,增益!$A:$A,增益!$O:$O,0)))/200,($F$14-$I$4+VLOOKUP($Q89,武学奇术!$A:$ZZ,15,FALSE)+SUM(_xlfn.XLOOKUP($R89:$AK89,增益!$A:$A,增益!$O:$O,0)))/100)</f>
        <v>-0.14</v>
      </c>
      <c r="BM89" s="34" cm="1">
        <f t="array" ref="BM89">$G$14+VLOOKUP($Q89,武学奇术!$A:$ZZ,16,FALSE)+SUM(_xlfn.XLOOKUP($R89:$AK89,增益!$A:$A,增益!$P:$P,0))</f>
        <v>0</v>
      </c>
      <c r="BN89" s="27">
        <f>MIN(IF(VLOOKUP($Q89,武学奇术!$A:$ZZ,23,FALSE)=1,100%,$B$8),100%)</f>
        <v>1</v>
      </c>
      <c r="BO89" s="27" cm="1">
        <f t="array" ref="BO89">IF(VLOOKUP($Q89,武学奇术!$A:$ZZ,23,FALSE)=1,100%,MIN(80%,$B$9+VLOOKUP($Q89,武学奇术!$A:$ZZ,17,FALSE)+SUM(_xlfn.XLOOKUP($R89:$AK89,增益!$A:$A,增益!$Q:$Q,0)))+$B$11+SUM(_xlfn.XLOOKUP($R89:$AK89,增益!$A:$A,增益!$U:$U,0)))*IF(VLOOKUP($Q89,武学奇术!$A:$ZZ,24,FALSE)=1,0,1)</f>
        <v>1</v>
      </c>
      <c r="BP89" s="27" cm="1">
        <f t="array" ref="BP89">1+$B$13+VLOOKUP($Q89,武学奇术!$A:$ZZ,18,FALSE)+SUM(_xlfn.XLOOKUP($R89:$AK89,增益!$A:$A,增益!$R:$R,0))</f>
        <v>2.1</v>
      </c>
      <c r="BQ89" s="27" cm="1">
        <f t="array" ref="BQ89">IF(VLOOKUP($Q89,武学奇术!$A:$ZZ,24,FALSE)=1,100%,MIN(40%,$B$10+VLOOKUP($Q89,武学奇术!$A:$ZZ,19,FALSE)+SUM(_xlfn.XLOOKUP($R89:$AK89,增益!$A:$A,增益!$S:$S,0)))+$B$12+SUM(_xlfn.XLOOKUP($R89:$AK89,增益!$A:$A,增益!$V:$V,0)))*IF(VLOOKUP($Q89,武学奇术!$A:$ZZ,23,FALSE)=1,0,1)</f>
        <v>0</v>
      </c>
      <c r="BR89" s="27" cm="1">
        <f t="array" ref="BR89">1+$B$14+VLOOKUP($Q89,武学奇术!$A:$ZZ,20,FALSE)+SUM(_xlfn.XLOOKUP($R89:$AK89,增益!$A:$A,增益!$T:$T,0))</f>
        <v>1.35</v>
      </c>
      <c r="BS89" s="27">
        <f t="shared" si="20"/>
        <v>1</v>
      </c>
      <c r="BT89" s="27">
        <f t="shared" si="21"/>
        <v>0</v>
      </c>
      <c r="BU89" s="27">
        <f>IF(VLOOKUP($Q89,武学奇术!$A:$ZZ,22,FALSE)=1,0,(1-$BN89))*(1-$BQ89)</f>
        <v>0</v>
      </c>
      <c r="BV89" s="27" cm="1">
        <f t="array" ref="BV89">SUM(_xlfn.XLOOKUP($R89:$AK89,增益!$A:$A,增益!$W:$W,0))+$I$5</f>
        <v>0.11</v>
      </c>
    </row>
    <row r="90" spans="1:74">
      <c r="K90" s="40">
        <f t="shared" si="11"/>
        <v>652922.613558274</v>
      </c>
      <c r="L90" s="40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BP90*$P90*(1+IF(VLOOKUP($Q90,武学奇术!$A:$ZZ,30,FALSE)="蓄力技",$B$21,0))*(1+$BV90)</f>
        <v>652922.613558274</v>
      </c>
      <c r="M90" s="40">
        <f>(($AT90*$AM90+$AN90)*(1+$AU90)*(1+$AV90)+($AY90*IF($G$1="鸣金",$AO90,$AM90)+IF($G$1="鸣金",$AP90*1.5,0))*(1+$AZ90)*(1+$BA90)+($BC90*IF($G$1="裂石",$AO90,$AM90)+IF($G$1="裂石",$AP90*1.5,0))*(1+$BD90)*(1+$BE90)+($BG90*IF($G$1="牵丝",$AO90,$AM90)+IF($G$1="牵丝",$AP90*1.5,0))*(1+$BH90)*(1+$BI90)+($BK90*IF($G$1="破竹",$AO90,$AM90)+IF($G$1="破竹",$AP90*1.5,0))*(1+$BL90)*(1+$BM90))*(1+$AQ90)*$BR90*$P90*(1+IF(VLOOKUP($Q90,武学奇术!$A:$ZZ,30,FALSE)="蓄力技",$B$21,0))*(1+$BV90)</f>
        <v>472689.570397971</v>
      </c>
      <c r="N90" s="40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P90*(1+IF(VLOOKUP($Q90,武学奇术!$A:$ZZ,30,FALSE)="蓄力技",$B$21,0))*(1+$BV90)</f>
        <v>310915.530265845</v>
      </c>
      <c r="O90" s="40">
        <f>((($AS90*$AM90+$AN90)*(1+$AU90)*(1+$AV90)+($AX90*IF($G$1="鸣金",$AO90,$AM90)+IF($G$1="鸣金",$AP90*1.5,0))*(1+$AZ90)*(1+$BA90)+($BB90*IF($G$1="裂石",$AO90,$AM90)+IF($G$1="裂石",$AP90*1.5,0))*(1+$BD90)*(1+$BE90)+($BF90*IF($G$1="牵丝",$AO90,$AM90)+IF($G$1="牵丝",$AP90*1.5,0))*(1+$BH90)*(1+$BI90)+($BJ90*IF($G$1="破竹",$AO90,$AM90)+IF($G$1="破竹",$AP90*1.5,0))*(1+$BL90)*(1+$BM90))*(1+$AQ90))*$P90*(1+IF(VLOOKUP($Q90,武学奇术!$A:$ZZ,30,FALSE)="蓄力技",$B$21,0))*(1+$BV90)</f>
        <v>271690.638014674</v>
      </c>
      <c r="P90" s="41">
        <v>2</v>
      </c>
      <c r="Q90" s="42" t="s">
        <v>120</v>
      </c>
      <c r="R90" s="42" t="s">
        <v>103</v>
      </c>
      <c r="S90" s="42" t="s">
        <v>169</v>
      </c>
      <c r="T90" s="42" t="s">
        <v>86</v>
      </c>
      <c r="U90" s="42" t="s">
        <v>121</v>
      </c>
      <c r="V90" s="42" t="s">
        <v>118</v>
      </c>
      <c r="W90" s="42" t="s">
        <v>77</v>
      </c>
      <c r="X90" s="42" t="s">
        <v>176</v>
      </c>
      <c r="Y90" s="42" t="s">
        <v>77</v>
      </c>
      <c r="Z90" s="42" t="s">
        <v>77</v>
      </c>
      <c r="AA90" s="42" t="s">
        <v>73</v>
      </c>
      <c r="AB90" s="42" t="s">
        <v>77</v>
      </c>
      <c r="AC90" s="42" t="s">
        <v>77</v>
      </c>
      <c r="AD90" s="42" t="s">
        <v>77</v>
      </c>
      <c r="AE90" s="42" t="s">
        <v>81</v>
      </c>
      <c r="AF90" s="42" t="s">
        <v>82</v>
      </c>
      <c r="AG90" s="42" t="s">
        <v>77</v>
      </c>
      <c r="AH90" s="42" t="s">
        <v>77</v>
      </c>
      <c r="AI90" s="42" t="s">
        <v>77</v>
      </c>
      <c r="AJ90" s="42" t="s">
        <v>77</v>
      </c>
      <c r="AK90" s="42" t="s">
        <v>77</v>
      </c>
      <c r="AL90" t="str">
        <f>VLOOKUP($Q90,武学奇术!$A:$ZZ,25,FALSE)</f>
        <v>陌刀</v>
      </c>
      <c r="AM90" s="27">
        <f>VLOOKUP($Q90,武学奇术!$A:$ZZ,26,FALSE)</f>
        <v>7.5674</v>
      </c>
      <c r="AN90" s="28">
        <f>VLOOKUP($Q90,武学奇术!$A:$ZZ,27,FALSE)*(1+IF(OR($AL90=$F$4,$AL90=$F$5),$B$22,0))</f>
        <v>3139.5</v>
      </c>
      <c r="AO90" s="27">
        <f>VLOOKUP($Q90,武学奇术!$A:$ZZ,28,FALSE)</f>
        <v>11.3512</v>
      </c>
      <c r="AP90" s="28">
        <f>VLOOKUP($Q90,武学奇术!$A:$ZZ,29,FALSE)*(1+IF(OR($AL90=$F$4,$AL90=$F$5),$B$22,0))</f>
        <v>1710</v>
      </c>
      <c r="AQ90" s="27" cm="1">
        <f t="array" ref="AQ90">$G$3+IFERROR(VLOOKUP($AL90,$F$4:$G$7,2,FALSE),0)+VLOOKUP($Q90,武学奇术!$A:$ZZ,2,FALSE)+SUM(_xlfn.XLOOKUP($R90:$AK90,增益!$A:$A,增益!$B:$B,0))</f>
        <v>0.7341</v>
      </c>
      <c r="AR90" s="27" cm="1">
        <f t="array" ref="AR90">VLOOKUP($Q90,武学奇术!$A:$ZZ,5,FALSE)+SUM(_xlfn.XLOOKUP($R90:$AK90,增益!$A:$A,增益!$E:$E,0))</f>
        <v>0</v>
      </c>
      <c r="AS90" cm="1">
        <f t="array" ref="AS90">$D$10*(1+$AR90)+VLOOKUP($Q90,武学奇术!$A:$ZZ,3,FALSE)+SUM(_xlfn.XLOOKUP($R90:$AK90,增益!$A:$A,增益!$C:$C,0))-$I$2</f>
        <v>3586.7</v>
      </c>
      <c r="AT90" cm="1">
        <f t="array" ref="AT90">$E$10*(1+$AR90)+VLOOKUP($Q90,武学奇术!$A:$ZZ,4,FALSE)+SUM(_xlfn.XLOOKUP($R90:$AK90,增益!$A:$A,增益!$D:$D,0))-$I$2</f>
        <v>3586.7</v>
      </c>
      <c r="AU90" s="34" cm="1">
        <f t="array" ref="AU90">IF($F$10-$I$3+VLOOKUP($Q90,武学奇术!$A:$ZZ,6,FALSE)+SUM(_xlfn.XLOOKUP($R90:$AK90,增益!$A:$A,增益!$F:$F,0))&gt;0,($F$10-$I$3+VLOOKUP($Q90,武学奇术!$A:$ZZ,6,FALSE)+SUM(_xlfn.XLOOKUP($R90:$AK90,增益!$A:$A,增益!$F:$F,0)))/200,($F$10-$I$3+VLOOKUP($Q90,武学奇术!$A:$ZZ,6,FALSE)+SUM(_xlfn.XLOOKUP($R90:$AK90,增益!$A:$A,增益!$F:$F,0)))/100)</f>
        <v>0.352</v>
      </c>
      <c r="AV90" s="34" cm="1">
        <f t="array" ref="AV90">$G$10+VLOOKUP($Q90,武学奇术!$A:$ZZ,7,FALSE)+SUM(_xlfn.XLOOKUP($R90:$AK90,增益!$A:$A,增益!$G:$G,0))</f>
        <v>0</v>
      </c>
      <c r="AW90" s="27" cm="1">
        <f t="array" ref="AW90">VLOOKUP($Q90,武学奇术!$A:$ZZ,8,FALSE)+SUM(_xlfn.XLOOKUP($R90:$AK90,增益!$A:$A,增益!$H:$H,0))</f>
        <v>0</v>
      </c>
      <c r="AX90">
        <f t="shared" si="12"/>
        <v>0</v>
      </c>
      <c r="AY90">
        <f t="shared" si="13"/>
        <v>0</v>
      </c>
      <c r="AZ90" s="34" cm="1">
        <f t="array" ref="AZ90">IF($F$11-$I$4+VLOOKUP($Q90,武学奇术!$A:$ZZ,9,FALSE)+SUM(_xlfn.XLOOKUP($R90:$AK90,增益!$A:$A,增益!$I:$I,0))&gt;0,($F$11-$I$4+VLOOKUP($Q90,武学奇术!$A:$ZZ,9,FALSE)+SUM(_xlfn.XLOOKUP($R90:$AK90,增益!$A:$A,增益!$I:$I,0)))/200,($F$11-$I$4+VLOOKUP($Q90,武学奇术!$A:$ZZ,9,FALSE)+SUM(_xlfn.XLOOKUP($R90:$AK90,增益!$A:$A,增益!$I:$I,0)))/100)</f>
        <v>-0.14</v>
      </c>
      <c r="BA90" s="34" cm="1">
        <f t="array" ref="BA90">$G$11+VLOOKUP($Q90,武学奇术!$A:$ZZ,10,FALSE)+SUM(_xlfn.XLOOKUP($R90:$AK90,增益!$A:$A,增益!$J:$J,0))</f>
        <v>0</v>
      </c>
      <c r="BB90">
        <f t="shared" si="14"/>
        <v>594.1</v>
      </c>
      <c r="BC90">
        <f t="shared" si="15"/>
        <v>1604.9</v>
      </c>
      <c r="BD90" s="34" cm="1">
        <f t="array" ref="BD90">IF($F$12-$I$4+VLOOKUP($Q90,武学奇术!$A:$ZZ,11,FALSE)+SUM(_xlfn.XLOOKUP($R90:$AK90,增益!$A:$A,增益!$K:$K,0))&gt;0,($F$12-$I$4+VLOOKUP($Q90,武学奇术!$A:$ZZ,11,FALSE)+SUM(_xlfn.XLOOKUP($R90:$AK90,增益!$A:$A,增益!$K:$K,0)))/200,($F$12-$I$4+VLOOKUP($Q90,武学奇术!$A:$ZZ,11,FALSE)+SUM(_xlfn.XLOOKUP($R90:$AK90,增益!$A:$A,增益!$K:$K,0)))/100)</f>
        <v>0.17</v>
      </c>
      <c r="BE90" s="34" cm="1">
        <f t="array" ref="BE90">$G$12+VLOOKUP($Q90,武学奇术!$A:$ZZ,12,FALSE)+SUM(_xlfn.XLOOKUP($R90:$AK90,增益!$A:$A,增益!$L:$L,0))</f>
        <v>0.15</v>
      </c>
      <c r="BF90">
        <f t="shared" si="16"/>
        <v>0</v>
      </c>
      <c r="BG90">
        <f t="shared" si="17"/>
        <v>0</v>
      </c>
      <c r="BH90" s="34" cm="1">
        <f t="array" ref="BH90">IF($F$13-$I$4+VLOOKUP($Q90,武学奇术!$A:$ZZ,13,FALSE)+SUM(_xlfn.XLOOKUP($R90:$AK90,增益!$A:$A,增益!$M:$M,0))&gt;0,($F$13-$I$4+VLOOKUP($Q90,武学奇术!$A:$ZZ,13,FALSE)+SUM(_xlfn.XLOOKUP($R90:$AK90,增益!$A:$A,增益!$K:$K,0)))/200,($F$13-$I$4+VLOOKUP($Q90,武学奇术!$A:$ZZ,13,FALSE)+SUM(_xlfn.XLOOKUP($R90:$AK90,增益!$A:$A,增益!$M:$M,0)))/100)</f>
        <v>-0.14</v>
      </c>
      <c r="BI90" s="34" cm="1">
        <f t="array" ref="BI90">$G$13+VLOOKUP($Q90,武学奇术!$A:$ZZ,14,FALSE)+SUM(_xlfn.XLOOKUP($R90:$AK90,增益!$A:$A,增益!$N:$N,0))</f>
        <v>0</v>
      </c>
      <c r="BJ90">
        <f t="shared" si="18"/>
        <v>0</v>
      </c>
      <c r="BK90">
        <f t="shared" si="19"/>
        <v>0</v>
      </c>
      <c r="BL90" s="34" cm="1">
        <f t="array" ref="BL90">IF($F$14-$I$4+VLOOKUP($Q90,武学奇术!$A:$ZZ,15,FALSE)+SUM(_xlfn.XLOOKUP($R90:$AK90,增益!$A:$A,增益!$O:$O,0))&gt;0,($F$14-$I$4+VLOOKUP($Q90,武学奇术!$A:$ZZ,15,FALSE)+SUM(_xlfn.XLOOKUP($R90:$AK90,增益!$A:$A,增益!$O:$O,0)))/200,($F$14-$I$4+VLOOKUP($Q90,武学奇术!$A:$ZZ,15,FALSE)+SUM(_xlfn.XLOOKUP($R90:$AK90,增益!$A:$A,增益!$O:$O,0)))/100)</f>
        <v>-0.14</v>
      </c>
      <c r="BM90" s="34" cm="1">
        <f t="array" ref="BM90">$G$14+VLOOKUP($Q90,武学奇术!$A:$ZZ,16,FALSE)+SUM(_xlfn.XLOOKUP($R90:$AK90,增益!$A:$A,增益!$P:$P,0))</f>
        <v>0</v>
      </c>
      <c r="BN90" s="27">
        <f>MIN(IF(VLOOKUP($Q90,武学奇术!$A:$ZZ,23,FALSE)=1,100%,$B$8),100%)</f>
        <v>1</v>
      </c>
      <c r="BO90" s="27" cm="1">
        <f t="array" ref="BO90">IF(VLOOKUP($Q90,武学奇术!$A:$ZZ,23,FALSE)=1,100%,MIN(80%,$B$9+VLOOKUP($Q90,武学奇术!$A:$ZZ,17,FALSE)+SUM(_xlfn.XLOOKUP($R90:$AK90,增益!$A:$A,增益!$Q:$Q,0)))+$B$11+SUM(_xlfn.XLOOKUP($R90:$AK90,增益!$A:$A,增益!$U:$U,0)))*IF(VLOOKUP($Q90,武学奇术!$A:$ZZ,24,FALSE)=1,0,1)</f>
        <v>1</v>
      </c>
      <c r="BP90" s="27" cm="1">
        <f t="array" ref="BP90">1+$B$13+VLOOKUP($Q90,武学奇术!$A:$ZZ,18,FALSE)+SUM(_xlfn.XLOOKUP($R90:$AK90,增益!$A:$A,增益!$R:$R,0))</f>
        <v>2.1</v>
      </c>
      <c r="BQ90" s="27" cm="1">
        <f t="array" ref="BQ90">IF(VLOOKUP($Q90,武学奇术!$A:$ZZ,24,FALSE)=1,100%,MIN(40%,$B$10+VLOOKUP($Q90,武学奇术!$A:$ZZ,19,FALSE)+SUM(_xlfn.XLOOKUP($R90:$AK90,增益!$A:$A,增益!$S:$S,0)))+$B$12+SUM(_xlfn.XLOOKUP($R90:$AK90,增益!$A:$A,增益!$V:$V,0)))*IF(VLOOKUP($Q90,武学奇术!$A:$ZZ,23,FALSE)=1,0,1)</f>
        <v>0</v>
      </c>
      <c r="BR90" s="27" cm="1">
        <f t="array" ref="BR90">1+$B$14+VLOOKUP($Q90,武学奇术!$A:$ZZ,20,FALSE)+SUM(_xlfn.XLOOKUP($R90:$AK90,增益!$A:$A,增益!$T:$T,0))</f>
        <v>1.35</v>
      </c>
      <c r="BS90" s="27">
        <f t="shared" si="20"/>
        <v>1</v>
      </c>
      <c r="BT90" s="27">
        <f t="shared" si="21"/>
        <v>0</v>
      </c>
      <c r="BU90" s="27">
        <f>IF(VLOOKUP($Q90,武学奇术!$A:$ZZ,22,FALSE)=1,0,(1-$BN90))*(1-$BQ90)</f>
        <v>0</v>
      </c>
      <c r="BV90" s="27" cm="1">
        <f t="array" ref="BV90">SUM(_xlfn.XLOOKUP($R90:$AK90,增益!$A:$A,增益!$W:$W,0))+$I$5</f>
        <v>0.11</v>
      </c>
    </row>
    <row r="91" spans="1:74">
      <c r="K91" s="40">
        <f t="shared" si="11"/>
        <v>143852.534879269</v>
      </c>
      <c r="L91" s="40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BP91*$P91*(1+IF(VLOOKUP($Q91,武学奇术!$A:$ZZ,30,FALSE)="蓄力技",$B$21,0))*(1+$BV91)</f>
        <v>147360.008971008</v>
      </c>
      <c r="M91" s="40">
        <f>(($AT91*$AM91+$AN91)*(1+$AU91)*(1+$AV91)+($AY91*IF($G$1="鸣金",$AO91,$AM91)+IF($G$1="鸣金",$AP91*1.5,0))*(1+$AZ91)*(1+$BA91)+($BC91*IF($G$1="裂石",$AO91,$AM91)+IF($G$1="裂石",$AP91*1.5,0))*(1+$BD91)*(1+$BE91)+($BG91*IF($G$1="牵丝",$AO91,$AM91)+IF($G$1="牵丝",$AP91*1.5,0))*(1+$BH91)*(1+$BI91)+($BK91*IF($G$1="破竹",$AO91,$AM91)+IF($G$1="破竹",$AP91*1.5,0))*(1+$BL91)*(1+$BM91))*(1+$AQ91)*$BR91*$P91*(1+IF(VLOOKUP($Q91,武学奇术!$A:$ZZ,30,FALSE)="蓄力技",$B$21,0))*(1+$BV91)</f>
        <v>130451.778744593</v>
      </c>
      <c r="N91" s="40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P91*(1+IF(VLOOKUP($Q91,武学奇术!$A:$ZZ,30,FALSE)="蓄力技",$B$21,0))*(1+$BV91)</f>
        <v>84689.6603281653</v>
      </c>
      <c r="O91" s="40">
        <f>((($AS91*$AM91+$AN91)*(1+$AU91)*(1+$AV91)+($AX91*IF($G$1="鸣金",$AO91,$AM91)+IF($G$1="鸣金",$AP91*1.5,0))*(1+$AZ91)*(1+$BA91)+($BB91*IF($G$1="裂石",$AO91,$AM91)+IF($G$1="裂石",$AP91*1.5,0))*(1+$BD91)*(1+$BE91)+($BF91*IF($G$1="牵丝",$AO91,$AM91)+IF($G$1="牵丝",$AP91*1.5,0))*(1+$BH91)*(1+$BI91)+($BJ91*IF($G$1="破竹",$AO91,$AM91)+IF($G$1="破竹",$AP91*1.5,0))*(1+$BL91)*(1+$BM91))*(1+$AQ91))*$P91*(1+IF(VLOOKUP($Q91,武学奇术!$A:$ZZ,30,FALSE)="蓄力技",$B$21,0))*(1+$BV91)</f>
        <v>72748.3734381132</v>
      </c>
      <c r="P91" s="41">
        <v>1</v>
      </c>
      <c r="Q91" s="42" t="s">
        <v>149</v>
      </c>
      <c r="R91" s="42" t="s">
        <v>103</v>
      </c>
      <c r="S91" s="42" t="s">
        <v>169</v>
      </c>
      <c r="T91" s="42" t="s">
        <v>86</v>
      </c>
      <c r="U91" s="42" t="s">
        <v>87</v>
      </c>
      <c r="V91" s="42" t="s">
        <v>77</v>
      </c>
      <c r="W91" s="42" t="s">
        <v>77</v>
      </c>
      <c r="X91" s="42" t="s">
        <v>176</v>
      </c>
      <c r="Y91" s="42" t="s">
        <v>77</v>
      </c>
      <c r="Z91" s="42" t="s">
        <v>77</v>
      </c>
      <c r="AA91" s="42" t="s">
        <v>77</v>
      </c>
      <c r="AB91" s="42" t="s">
        <v>77</v>
      </c>
      <c r="AC91" s="42" t="s">
        <v>77</v>
      </c>
      <c r="AD91" s="42" t="s">
        <v>77</v>
      </c>
      <c r="AE91" s="42" t="s">
        <v>81</v>
      </c>
      <c r="AF91" s="42" t="s">
        <v>82</v>
      </c>
      <c r="AG91" s="42" t="s">
        <v>77</v>
      </c>
      <c r="AH91" s="42" t="s">
        <v>77</v>
      </c>
      <c r="AI91" s="42" t="s">
        <v>77</v>
      </c>
      <c r="AJ91" s="42" t="s">
        <v>77</v>
      </c>
      <c r="AK91" s="42" t="s">
        <v>77</v>
      </c>
      <c r="AL91" t="str">
        <f>VLOOKUP($Q91,武学奇术!$A:$ZZ,25,FALSE)</f>
        <v>单体奇术</v>
      </c>
      <c r="AM91" s="27">
        <f>VLOOKUP($Q91,武学奇术!$A:$ZZ,26,FALSE)</f>
        <v>7.1084</v>
      </c>
      <c r="AN91" s="28">
        <f>VLOOKUP($Q91,武学奇术!$A:$ZZ,27,FALSE)*(1+IF(OR($AL91=$F$4,$AL91=$F$5),$B$22,0))</f>
        <v>1369</v>
      </c>
      <c r="AO91" s="27">
        <f>VLOOKUP($Q91,武学奇术!$A:$ZZ,28,FALSE)</f>
        <v>10.6626</v>
      </c>
      <c r="AP91" s="28">
        <f>VLOOKUP($Q91,武学奇术!$A:$ZZ,29,FALSE)*(1+IF(OR($AL91=$F$4,$AL91=$F$5),$B$22,0))</f>
        <v>0</v>
      </c>
      <c r="AQ91" s="27" cm="1">
        <f t="array" ref="AQ91">$G$3+IFERROR(VLOOKUP($AL91,$F$4:$G$7,2,FALSE),0)+VLOOKUP($Q91,武学奇术!$A:$ZZ,2,FALSE)+SUM(_xlfn.XLOOKUP($R91:$AK91,增益!$A:$A,增益!$B:$B,0))</f>
        <v>0.4837</v>
      </c>
      <c r="AR91" s="27" cm="1">
        <f t="array" ref="AR91">VLOOKUP($Q91,武学奇术!$A:$ZZ,5,FALSE)+SUM(_xlfn.XLOOKUP($R91:$AK91,增益!$A:$A,增益!$E:$E,0))</f>
        <v>0</v>
      </c>
      <c r="AS91" cm="1">
        <f t="array" ref="AS91">$D$10*(1+$AR91)+VLOOKUP($Q91,武学奇术!$A:$ZZ,3,FALSE)+SUM(_xlfn.XLOOKUP($R91:$AK91,增益!$A:$A,增益!$C:$C,0))-$I$2</f>
        <v>3586.7</v>
      </c>
      <c r="AT91" cm="1">
        <f t="array" ref="AT91">$E$10*(1+$AR91)+VLOOKUP($Q91,武学奇术!$A:$ZZ,4,FALSE)+SUM(_xlfn.XLOOKUP($R91:$AK91,增益!$A:$A,增益!$D:$D,0))-$I$2</f>
        <v>3586.7</v>
      </c>
      <c r="AU91" s="34" cm="1">
        <f t="array" ref="AU91">IF($F$10-$I$3+VLOOKUP($Q91,武学奇术!$A:$ZZ,6,FALSE)+SUM(_xlfn.XLOOKUP($R91:$AK91,增益!$A:$A,增益!$F:$F,0))&gt;0,($F$10-$I$3+VLOOKUP($Q91,武学奇术!$A:$ZZ,6,FALSE)+SUM(_xlfn.XLOOKUP($R91:$AK91,增益!$A:$A,增益!$F:$F,0)))/200,($F$10-$I$3+VLOOKUP($Q91,武学奇术!$A:$ZZ,6,FALSE)+SUM(_xlfn.XLOOKUP($R91:$AK91,增益!$A:$A,增益!$F:$F,0)))/100)</f>
        <v>0.327</v>
      </c>
      <c r="AV91" s="34" cm="1">
        <f t="array" ref="AV91">$G$10+VLOOKUP($Q91,武学奇术!$A:$ZZ,7,FALSE)+SUM(_xlfn.XLOOKUP($R91:$AK91,增益!$A:$A,增益!$G:$G,0))</f>
        <v>0</v>
      </c>
      <c r="AW91" s="27" cm="1">
        <f t="array" ref="AW91">VLOOKUP($Q91,武学奇术!$A:$ZZ,8,FALSE)+SUM(_xlfn.XLOOKUP($R91:$AK91,增益!$A:$A,增益!$H:$H,0))</f>
        <v>0</v>
      </c>
      <c r="AX91">
        <f t="shared" si="12"/>
        <v>0</v>
      </c>
      <c r="AY91">
        <f t="shared" si="13"/>
        <v>0</v>
      </c>
      <c r="AZ91" s="34" cm="1">
        <f t="array" ref="AZ91">IF($F$11-$I$4+VLOOKUP($Q91,武学奇术!$A:$ZZ,9,FALSE)+SUM(_xlfn.XLOOKUP($R91:$AK91,增益!$A:$A,增益!$I:$I,0))&gt;0,($F$11-$I$4+VLOOKUP($Q91,武学奇术!$A:$ZZ,9,FALSE)+SUM(_xlfn.XLOOKUP($R91:$AK91,增益!$A:$A,增益!$I:$I,0)))/200,($F$11-$I$4+VLOOKUP($Q91,武学奇术!$A:$ZZ,9,FALSE)+SUM(_xlfn.XLOOKUP($R91:$AK91,增益!$A:$A,增益!$I:$I,0)))/100)</f>
        <v>-0.14</v>
      </c>
      <c r="BA91" s="34" cm="1">
        <f t="array" ref="BA91">$G$11+VLOOKUP($Q91,武学奇术!$A:$ZZ,10,FALSE)+SUM(_xlfn.XLOOKUP($R91:$AK91,增益!$A:$A,增益!$J:$J,0))</f>
        <v>0</v>
      </c>
      <c r="BB91">
        <f t="shared" si="14"/>
        <v>594.1</v>
      </c>
      <c r="BC91">
        <f t="shared" si="15"/>
        <v>1604.9</v>
      </c>
      <c r="BD91" s="34" cm="1">
        <f t="array" ref="BD91">IF($F$12-$I$4+VLOOKUP($Q91,武学奇术!$A:$ZZ,11,FALSE)+SUM(_xlfn.XLOOKUP($R91:$AK91,增益!$A:$A,增益!$K:$K,0))&gt;0,($F$12-$I$4+VLOOKUP($Q91,武学奇术!$A:$ZZ,11,FALSE)+SUM(_xlfn.XLOOKUP($R91:$AK91,增益!$A:$A,增益!$K:$K,0)))/200,($F$12-$I$4+VLOOKUP($Q91,武学奇术!$A:$ZZ,11,FALSE)+SUM(_xlfn.XLOOKUP($R91:$AK91,增益!$A:$A,增益!$K:$K,0)))/100)</f>
        <v>0.17</v>
      </c>
      <c r="BE91" s="34" cm="1">
        <f t="array" ref="BE91">$G$12+VLOOKUP($Q91,武学奇术!$A:$ZZ,12,FALSE)+SUM(_xlfn.XLOOKUP($R91:$AK91,增益!$A:$A,增益!$L:$L,0))</f>
        <v>0.15</v>
      </c>
      <c r="BF91">
        <f t="shared" si="16"/>
        <v>0</v>
      </c>
      <c r="BG91">
        <f t="shared" si="17"/>
        <v>0</v>
      </c>
      <c r="BH91" s="34" cm="1">
        <f t="array" ref="BH91">IF($F$13-$I$4+VLOOKUP($Q91,武学奇术!$A:$ZZ,13,FALSE)+SUM(_xlfn.XLOOKUP($R91:$AK91,增益!$A:$A,增益!$M:$M,0))&gt;0,($F$13-$I$4+VLOOKUP($Q91,武学奇术!$A:$ZZ,13,FALSE)+SUM(_xlfn.XLOOKUP($R91:$AK91,增益!$A:$A,增益!$K:$K,0)))/200,($F$13-$I$4+VLOOKUP($Q91,武学奇术!$A:$ZZ,13,FALSE)+SUM(_xlfn.XLOOKUP($R91:$AK91,增益!$A:$A,增益!$M:$M,0)))/100)</f>
        <v>-0.14</v>
      </c>
      <c r="BI91" s="34" cm="1">
        <f t="array" ref="BI91">$G$13+VLOOKUP($Q91,武学奇术!$A:$ZZ,14,FALSE)+SUM(_xlfn.XLOOKUP($R91:$AK91,增益!$A:$A,增益!$N:$N,0))</f>
        <v>0</v>
      </c>
      <c r="BJ91">
        <f t="shared" si="18"/>
        <v>0</v>
      </c>
      <c r="BK91">
        <f t="shared" si="19"/>
        <v>0</v>
      </c>
      <c r="BL91" s="34" cm="1">
        <f t="array" ref="BL91">IF($F$14-$I$4+VLOOKUP($Q91,武学奇术!$A:$ZZ,15,FALSE)+SUM(_xlfn.XLOOKUP($R91:$AK91,增益!$A:$A,增益!$O:$O,0))&gt;0,($F$14-$I$4+VLOOKUP($Q91,武学奇术!$A:$ZZ,15,FALSE)+SUM(_xlfn.XLOOKUP($R91:$AK91,增益!$A:$A,增益!$O:$O,0)))/200,($F$14-$I$4+VLOOKUP($Q91,武学奇术!$A:$ZZ,15,FALSE)+SUM(_xlfn.XLOOKUP($R91:$AK91,增益!$A:$A,增益!$O:$O,0)))/100)</f>
        <v>-0.14</v>
      </c>
      <c r="BM91" s="34" cm="1">
        <f t="array" ref="BM91">$G$14+VLOOKUP($Q91,武学奇术!$A:$ZZ,16,FALSE)+SUM(_xlfn.XLOOKUP($R91:$AK91,增益!$A:$A,增益!$P:$P,0))</f>
        <v>0</v>
      </c>
      <c r="BN91" s="27">
        <f>MIN(IF(VLOOKUP($Q91,武学奇术!$A:$ZZ,23,FALSE)=1,100%,$B$8),100%)</f>
        <v>0.9859</v>
      </c>
      <c r="BO91" s="27" cm="1">
        <f t="array" ref="BO91">IF(VLOOKUP($Q91,武学奇术!$A:$ZZ,23,FALSE)=1,100%,MIN(80%,$B$9+VLOOKUP($Q91,武学奇术!$A:$ZZ,17,FALSE)+SUM(_xlfn.XLOOKUP($R91:$AK91,增益!$A:$A,增益!$Q:$Q,0)))+$B$11+SUM(_xlfn.XLOOKUP($R91:$AK91,增益!$A:$A,增益!$U:$U,0)))*IF(VLOOKUP($Q91,武学奇术!$A:$ZZ,24,FALSE)=1,0,1)</f>
        <v>0.8912</v>
      </c>
      <c r="BP91" s="27" cm="1">
        <f t="array" ref="BP91">1+$B$13+VLOOKUP($Q91,武学奇术!$A:$ZZ,18,FALSE)+SUM(_xlfn.XLOOKUP($R91:$AK91,增益!$A:$A,增益!$R:$R,0))</f>
        <v>1.74</v>
      </c>
      <c r="BQ91" s="27" cm="1">
        <f t="array" ref="BQ91">IF(VLOOKUP($Q91,武学奇术!$A:$ZZ,24,FALSE)=1,100%,MIN(40%,$B$10+VLOOKUP($Q91,武学奇术!$A:$ZZ,19,FALSE)+SUM(_xlfn.XLOOKUP($R91:$AK91,增益!$A:$A,增益!$S:$S,0)))+$B$12+SUM(_xlfn.XLOOKUP($R91:$AK91,增益!$A:$A,增益!$V:$V,0)))*IF(VLOOKUP($Q91,武学奇术!$A:$ZZ,23,FALSE)=1,0,1)</f>
        <v>0.0929</v>
      </c>
      <c r="BR91" s="27" cm="1">
        <f t="array" ref="BR91">1+$B$14+VLOOKUP($Q91,武学奇术!$A:$ZZ,20,FALSE)+SUM(_xlfn.XLOOKUP($R91:$AK91,增益!$A:$A,增益!$T:$T,0))</f>
        <v>1.35</v>
      </c>
      <c r="BS91" s="27">
        <f t="shared" si="20"/>
        <v>0.87863408</v>
      </c>
      <c r="BT91" s="27">
        <f t="shared" si="21"/>
        <v>0.01567581</v>
      </c>
      <c r="BU91" s="27">
        <f>IF(VLOOKUP($Q91,武学奇术!$A:$ZZ,22,FALSE)=1,0,(1-$BN91))*(1-$BQ91)</f>
        <v>0.01279011</v>
      </c>
      <c r="BV91" s="27" cm="1">
        <f t="array" ref="BV91">SUM(_xlfn.XLOOKUP($R91:$AK91,增益!$A:$A,增益!$W:$W,0))+$I$5</f>
        <v>0.11</v>
      </c>
    </row>
    <row r="92" spans="1:74">
      <c r="K92" s="40">
        <f t="shared" si="11"/>
        <v>56789.2542947587</v>
      </c>
      <c r="L92" s="40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BP92*$P92*(1+IF(VLOOKUP($Q92,武学奇术!$A:$ZZ,30,FALSE)="蓄力技",$B$21,0))*(1+$BV92)</f>
        <v>58990.9636256798</v>
      </c>
      <c r="M92" s="40">
        <f>(($AT92*$AM92+$AN92)*(1+$AU92)*(1+$AV92)+($AY92*IF($G$1="鸣金",$AO92,$AM92)+IF($G$1="鸣金",$AP92*1.5,0))*(1+$AZ92)*(1+$BA92)+($BC92*IF($G$1="裂石",$AO92,$AM92)+IF($G$1="裂石",$AP92*1.5,0))*(1+$BD92)*(1+$BE92)+($BG92*IF($G$1="牵丝",$AO92,$AM92)+IF($G$1="牵丝",$AP92*1.5,0))*(1+$BH92)*(1+$BI92)+($BK92*IF($G$1="破竹",$AO92,$AM92)+IF($G$1="破竹",$AP92*1.5,0))*(1+$BL92)*(1+$BM92))*(1+$AQ92)*$BR92*$P92*(1+IF(VLOOKUP($Q92,武学奇术!$A:$ZZ,30,FALSE)="蓄力技",$B$21,0))*(1+$BV92)</f>
        <v>44841.2213693835</v>
      </c>
      <c r="N92" s="40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P92*(1+IF(VLOOKUP($Q92,武学奇术!$A:$ZZ,30,FALSE)="蓄力技",$B$21,0))*(1+$BV92)</f>
        <v>29495.4818128399</v>
      </c>
      <c r="O92" s="40">
        <f>((($AS92*$AM92+$AN92)*(1+$AU92)*(1+$AV92)+($AX92*IF($G$1="鸣金",$AO92,$AM92)+IF($G$1="鸣金",$AP92*1.5,0))*(1+$AZ92)*(1+$BA92)+($BB92*IF($G$1="裂石",$AO92,$AM92)+IF($G$1="裂石",$AP92*1.5,0))*(1+$BD92)*(1+$BE92)+($BF92*IF($G$1="牵丝",$AO92,$AM92)+IF($G$1="牵丝",$AP92*1.5,0))*(1+$BH92)*(1+$BI92)+($BJ92*IF($G$1="破竹",$AO92,$AM92)+IF($G$1="破竹",$AP92*1.5,0))*(1+$BL92)*(1+$BM92))*(1+$AQ92))*$P92*(1+IF(VLOOKUP($Q92,武学奇术!$A:$ZZ,30,FALSE)="蓄力技",$B$21,0))*(1+$BV92)</f>
        <v>25775.2440928032</v>
      </c>
      <c r="P92" s="41">
        <v>1</v>
      </c>
      <c r="Q92" s="42" t="s">
        <v>157</v>
      </c>
      <c r="R92" s="42" t="s">
        <v>103</v>
      </c>
      <c r="S92" s="42" t="s">
        <v>169</v>
      </c>
      <c r="T92" s="42" t="s">
        <v>86</v>
      </c>
      <c r="U92" s="42" t="s">
        <v>121</v>
      </c>
      <c r="V92" s="42" t="s">
        <v>77</v>
      </c>
      <c r="W92" s="42" t="s">
        <v>77</v>
      </c>
      <c r="X92" s="42" t="s">
        <v>176</v>
      </c>
      <c r="Y92" s="42" t="s">
        <v>77</v>
      </c>
      <c r="Z92" s="42" t="s">
        <v>77</v>
      </c>
      <c r="AA92" s="42" t="s">
        <v>73</v>
      </c>
      <c r="AB92" s="42" t="s">
        <v>77</v>
      </c>
      <c r="AC92" s="42" t="s">
        <v>77</v>
      </c>
      <c r="AD92" s="42" t="s">
        <v>77</v>
      </c>
      <c r="AE92" s="42" t="s">
        <v>81</v>
      </c>
      <c r="AF92" s="42" t="s">
        <v>82</v>
      </c>
      <c r="AG92" s="42" t="s">
        <v>77</v>
      </c>
      <c r="AH92" s="42" t="s">
        <v>77</v>
      </c>
      <c r="AI92" s="42" t="s">
        <v>77</v>
      </c>
      <c r="AJ92" s="42" t="s">
        <v>77</v>
      </c>
      <c r="AK92" s="42" t="s">
        <v>77</v>
      </c>
      <c r="AL92" t="str">
        <f>VLOOKUP($Q92,武学奇术!$A:$ZZ,25,FALSE)</f>
        <v>陌刀</v>
      </c>
      <c r="AM92" s="27">
        <f>VLOOKUP($Q92,武学奇术!$A:$ZZ,26,FALSE)</f>
        <v>1.8948</v>
      </c>
      <c r="AN92" s="28">
        <f>VLOOKUP($Q92,武学奇术!$A:$ZZ,27,FALSE)*(1+IF(OR($AL92=$F$4,$AL92=$F$5),$B$22,0))</f>
        <v>787.5</v>
      </c>
      <c r="AO92" s="27">
        <f>VLOOKUP($Q92,武学奇术!$A:$ZZ,28,FALSE)</f>
        <v>2.8422</v>
      </c>
      <c r="AP92" s="28">
        <f>VLOOKUP($Q92,武学奇术!$A:$ZZ,29,FALSE)*(1+IF(OR($AL92=$F$4,$AL92=$F$5),$B$22,0))</f>
        <v>429</v>
      </c>
      <c r="AQ92" s="27" cm="1">
        <f t="array" ref="AQ92">$G$3+IFERROR(VLOOKUP($AL92,$F$4:$G$7,2,FALSE),0)+VLOOKUP($Q92,武学奇术!$A:$ZZ,2,FALSE)+SUM(_xlfn.XLOOKUP($R92:$AK92,增益!$A:$A,增益!$B:$B,0))</f>
        <v>0.7341</v>
      </c>
      <c r="AR92" s="27" cm="1">
        <f t="array" ref="AR92">VLOOKUP($Q92,武学奇术!$A:$ZZ,5,FALSE)+SUM(_xlfn.XLOOKUP($R92:$AK92,增益!$A:$A,增益!$E:$E,0))</f>
        <v>0</v>
      </c>
      <c r="AS92" cm="1">
        <f t="array" ref="AS92">$D$10*(1+$AR92)+VLOOKUP($Q92,武学奇术!$A:$ZZ,3,FALSE)+SUM(_xlfn.XLOOKUP($R92:$AK92,增益!$A:$A,增益!$C:$C,0))-$I$2</f>
        <v>3586.7</v>
      </c>
      <c r="AT92" cm="1">
        <f t="array" ref="AT92">$E$10*(1+$AR92)+VLOOKUP($Q92,武学奇术!$A:$ZZ,4,FALSE)+SUM(_xlfn.XLOOKUP($R92:$AK92,增益!$A:$A,增益!$D:$D,0))-$I$2</f>
        <v>3586.7</v>
      </c>
      <c r="AU92" s="34" cm="1">
        <f t="array" ref="AU92">IF($F$10-$I$3+VLOOKUP($Q92,武学奇术!$A:$ZZ,6,FALSE)+SUM(_xlfn.XLOOKUP($R92:$AK92,增益!$A:$A,增益!$F:$F,0))&gt;0,($F$10-$I$3+VLOOKUP($Q92,武学奇术!$A:$ZZ,6,FALSE)+SUM(_xlfn.XLOOKUP($R92:$AK92,增益!$A:$A,增益!$F:$F,0)))/200,($F$10-$I$3+VLOOKUP($Q92,武学奇术!$A:$ZZ,6,FALSE)+SUM(_xlfn.XLOOKUP($R92:$AK92,增益!$A:$A,增益!$F:$F,0)))/100)</f>
        <v>0.352</v>
      </c>
      <c r="AV92" s="34" cm="1">
        <f t="array" ref="AV92">$G$10+VLOOKUP($Q92,武学奇术!$A:$ZZ,7,FALSE)+SUM(_xlfn.XLOOKUP($R92:$AK92,增益!$A:$A,增益!$G:$G,0))</f>
        <v>0</v>
      </c>
      <c r="AW92" s="27" cm="1">
        <f t="array" ref="AW92">VLOOKUP($Q92,武学奇术!$A:$ZZ,8,FALSE)+SUM(_xlfn.XLOOKUP($R92:$AK92,增益!$A:$A,增益!$H:$H,0))</f>
        <v>0</v>
      </c>
      <c r="AX92">
        <f t="shared" si="12"/>
        <v>0</v>
      </c>
      <c r="AY92">
        <f t="shared" si="13"/>
        <v>0</v>
      </c>
      <c r="AZ92" s="34" cm="1">
        <f t="array" ref="AZ92">IF($F$11-$I$4+VLOOKUP($Q92,武学奇术!$A:$ZZ,9,FALSE)+SUM(_xlfn.XLOOKUP($R92:$AK92,增益!$A:$A,增益!$I:$I,0))&gt;0,($F$11-$I$4+VLOOKUP($Q92,武学奇术!$A:$ZZ,9,FALSE)+SUM(_xlfn.XLOOKUP($R92:$AK92,增益!$A:$A,增益!$I:$I,0)))/200,($F$11-$I$4+VLOOKUP($Q92,武学奇术!$A:$ZZ,9,FALSE)+SUM(_xlfn.XLOOKUP($R92:$AK92,增益!$A:$A,增益!$I:$I,0)))/100)</f>
        <v>-0.14</v>
      </c>
      <c r="BA92" s="34" cm="1">
        <f t="array" ref="BA92">$G$11+VLOOKUP($Q92,武学奇术!$A:$ZZ,10,FALSE)+SUM(_xlfn.XLOOKUP($R92:$AK92,增益!$A:$A,增益!$J:$J,0))</f>
        <v>0</v>
      </c>
      <c r="BB92">
        <f t="shared" si="14"/>
        <v>594.1</v>
      </c>
      <c r="BC92">
        <f t="shared" si="15"/>
        <v>1604.9</v>
      </c>
      <c r="BD92" s="34" cm="1">
        <f t="array" ref="BD92">IF($F$12-$I$4+VLOOKUP($Q92,武学奇术!$A:$ZZ,11,FALSE)+SUM(_xlfn.XLOOKUP($R92:$AK92,增益!$A:$A,增益!$K:$K,0))&gt;0,($F$12-$I$4+VLOOKUP($Q92,武学奇术!$A:$ZZ,11,FALSE)+SUM(_xlfn.XLOOKUP($R92:$AK92,增益!$A:$A,增益!$K:$K,0)))/200,($F$12-$I$4+VLOOKUP($Q92,武学奇术!$A:$ZZ,11,FALSE)+SUM(_xlfn.XLOOKUP($R92:$AK92,增益!$A:$A,增益!$K:$K,0)))/100)</f>
        <v>0.17</v>
      </c>
      <c r="BE92" s="34" cm="1">
        <f t="array" ref="BE92">$G$12+VLOOKUP($Q92,武学奇术!$A:$ZZ,12,FALSE)+SUM(_xlfn.XLOOKUP($R92:$AK92,增益!$A:$A,增益!$L:$L,0))</f>
        <v>0.15</v>
      </c>
      <c r="BF92">
        <f t="shared" si="16"/>
        <v>0</v>
      </c>
      <c r="BG92">
        <f t="shared" si="17"/>
        <v>0</v>
      </c>
      <c r="BH92" s="34" cm="1">
        <f t="array" ref="BH92">IF($F$13-$I$4+VLOOKUP($Q92,武学奇术!$A:$ZZ,13,FALSE)+SUM(_xlfn.XLOOKUP($R92:$AK92,增益!$A:$A,增益!$M:$M,0))&gt;0,($F$13-$I$4+VLOOKUP($Q92,武学奇术!$A:$ZZ,13,FALSE)+SUM(_xlfn.XLOOKUP($R92:$AK92,增益!$A:$A,增益!$K:$K,0)))/200,($F$13-$I$4+VLOOKUP($Q92,武学奇术!$A:$ZZ,13,FALSE)+SUM(_xlfn.XLOOKUP($R92:$AK92,增益!$A:$A,增益!$M:$M,0)))/100)</f>
        <v>-0.14</v>
      </c>
      <c r="BI92" s="34" cm="1">
        <f t="array" ref="BI92">$G$13+VLOOKUP($Q92,武学奇术!$A:$ZZ,14,FALSE)+SUM(_xlfn.XLOOKUP($R92:$AK92,增益!$A:$A,增益!$N:$N,0))</f>
        <v>0</v>
      </c>
      <c r="BJ92">
        <f t="shared" si="18"/>
        <v>0</v>
      </c>
      <c r="BK92">
        <f t="shared" si="19"/>
        <v>0</v>
      </c>
      <c r="BL92" s="34" cm="1">
        <f t="array" ref="BL92">IF($F$14-$I$4+VLOOKUP($Q92,武学奇术!$A:$ZZ,15,FALSE)+SUM(_xlfn.XLOOKUP($R92:$AK92,增益!$A:$A,增益!$O:$O,0))&gt;0,($F$14-$I$4+VLOOKUP($Q92,武学奇术!$A:$ZZ,15,FALSE)+SUM(_xlfn.XLOOKUP($R92:$AK92,增益!$A:$A,增益!$O:$O,0)))/200,($F$14-$I$4+VLOOKUP($Q92,武学奇术!$A:$ZZ,15,FALSE)+SUM(_xlfn.XLOOKUP($R92:$AK92,增益!$A:$A,增益!$O:$O,0)))/100)</f>
        <v>-0.14</v>
      </c>
      <c r="BM92" s="34" cm="1">
        <f t="array" ref="BM92">$G$14+VLOOKUP($Q92,武学奇术!$A:$ZZ,16,FALSE)+SUM(_xlfn.XLOOKUP($R92:$AK92,增益!$A:$A,增益!$P:$P,0))</f>
        <v>0</v>
      </c>
      <c r="BN92" s="27">
        <f>MIN(IF(VLOOKUP($Q92,武学奇术!$A:$ZZ,23,FALSE)=1,100%,$B$8),100%)</f>
        <v>0.9859</v>
      </c>
      <c r="BO92" s="27" cm="1">
        <f t="array" ref="BO92">IF(VLOOKUP($Q92,武学奇术!$A:$ZZ,23,FALSE)=1,100%,MIN(80%,$B$9+VLOOKUP($Q92,武学奇术!$A:$ZZ,17,FALSE)+SUM(_xlfn.XLOOKUP($R92:$AK92,增益!$A:$A,增益!$Q:$Q,0)))+$B$11+SUM(_xlfn.XLOOKUP($R92:$AK92,增益!$A:$A,增益!$U:$U,0)))*IF(VLOOKUP($Q92,武学奇术!$A:$ZZ,24,FALSE)=1,0,1)</f>
        <v>0.8912</v>
      </c>
      <c r="BP92" s="27" cm="1">
        <f t="array" ref="BP92">1+$B$13+VLOOKUP($Q92,武学奇术!$A:$ZZ,18,FALSE)+SUM(_xlfn.XLOOKUP($R92:$AK92,增益!$A:$A,增益!$R:$R,0))</f>
        <v>2</v>
      </c>
      <c r="BQ92" s="27" cm="1">
        <f t="array" ref="BQ92">IF(VLOOKUP($Q92,武学奇术!$A:$ZZ,24,FALSE)=1,100%,MIN(40%,$B$10+VLOOKUP($Q92,武学奇术!$A:$ZZ,19,FALSE)+SUM(_xlfn.XLOOKUP($R92:$AK92,增益!$A:$A,增益!$S:$S,0)))+$B$12+SUM(_xlfn.XLOOKUP($R92:$AK92,增益!$A:$A,增益!$V:$V,0)))*IF(VLOOKUP($Q92,武学奇术!$A:$ZZ,23,FALSE)=1,0,1)</f>
        <v>0.0929</v>
      </c>
      <c r="BR92" s="27" cm="1">
        <f t="array" ref="BR92">1+$B$14+VLOOKUP($Q92,武学奇术!$A:$ZZ,20,FALSE)+SUM(_xlfn.XLOOKUP($R92:$AK92,增益!$A:$A,增益!$T:$T,0))</f>
        <v>1.35</v>
      </c>
      <c r="BS92" s="27">
        <f t="shared" si="20"/>
        <v>0.87863408</v>
      </c>
      <c r="BT92" s="27">
        <f t="shared" si="21"/>
        <v>0.01567581</v>
      </c>
      <c r="BU92" s="27">
        <f>IF(VLOOKUP($Q92,武学奇术!$A:$ZZ,22,FALSE)=1,0,(1-$BN92))*(1-$BQ92)</f>
        <v>0.01279011</v>
      </c>
      <c r="BV92" s="27" cm="1">
        <f t="array" ref="BV92">SUM(_xlfn.XLOOKUP($R92:$AK92,增益!$A:$A,增益!$W:$W,0))+$I$5</f>
        <v>0.11</v>
      </c>
    </row>
    <row r="93" spans="1:74">
      <c r="K93" s="40">
        <f t="shared" si="11"/>
        <v>26223.0632913828</v>
      </c>
      <c r="L93" s="40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BP93*$P93*(1+IF(VLOOKUP($Q93,武学奇术!$A:$ZZ,30,FALSE)="蓄力技",$B$21,0))*(1+$BV93)</f>
        <v>27210.788110036</v>
      </c>
      <c r="M93" s="40">
        <f>(($AT93*$AM93+$AN93)*(1+$AU93)*(1+$AV93)+($AY93*IF($G$1="鸣金",$AO93,$AM93)+IF($G$1="鸣金",$AP93*1.5,0))*(1+$AZ93)*(1+$BA93)+($BC93*IF($G$1="裂石",$AO93,$AM93)+IF($G$1="裂石",$AP93*1.5,0))*(1+$BD93)*(1+$BE93)+($BG93*IF($G$1="牵丝",$AO93,$AM93)+IF($G$1="牵丝",$AP93*1.5,0))*(1+$BH93)*(1+$BI93)+($BK93*IF($G$1="破竹",$AO93,$AM93)+IF($G$1="破竹",$AP93*1.5,0))*(1+$BL93)*(1+$BM93))*(1+$AQ93)*$BR93*$P93*(1+IF(VLOOKUP($Q93,武学奇术!$A:$ZZ,30,FALSE)="蓄力技",$B$21,0))*(1+$BV93)</f>
        <v>21017.8629970998</v>
      </c>
      <c r="N93" s="40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P93*(1+IF(VLOOKUP($Q93,武学奇术!$A:$ZZ,30,FALSE)="蓄力技",$B$21,0))*(1+$BV93)</f>
        <v>13605.394055018</v>
      </c>
      <c r="O93" s="40">
        <f>((($AS93*$AM93+$AN93)*(1+$AU93)*(1+$AV93)+($AX93*IF($G$1="鸣金",$AO93,$AM93)+IF($G$1="鸣金",$AP93*1.5,0))*(1+$AZ93)*(1+$BA93)+($BB93*IF($G$1="裂石",$AO93,$AM93)+IF($G$1="裂石",$AP93*1.5,0))*(1+$BD93)*(1+$BE93)+($BF93*IF($G$1="牵丝",$AO93,$AM93)+IF($G$1="牵丝",$AP93*1.5,0))*(1+$BH93)*(1+$BI93)+($BJ93*IF($G$1="破竹",$AO93,$AM93)+IF($G$1="破竹",$AP93*1.5,0))*(1+$BL93)*(1+$BM93))*(1+$AQ93))*$P93*(1+IF(VLOOKUP($Q93,武学奇术!$A:$ZZ,30,FALSE)="蓄力技",$B$21,0))*(1+$BV93)</f>
        <v>11642.000704777</v>
      </c>
      <c r="P93" s="41">
        <v>1</v>
      </c>
      <c r="Q93" s="42" t="s">
        <v>159</v>
      </c>
      <c r="R93" s="42" t="s">
        <v>103</v>
      </c>
      <c r="S93" s="42" t="s">
        <v>169</v>
      </c>
      <c r="T93" s="42" t="s">
        <v>86</v>
      </c>
      <c r="U93" s="42" t="s">
        <v>121</v>
      </c>
      <c r="V93" s="42" t="s">
        <v>77</v>
      </c>
      <c r="W93" s="42" t="s">
        <v>77</v>
      </c>
      <c r="X93" s="42" t="s">
        <v>176</v>
      </c>
      <c r="Y93" s="42" t="s">
        <v>77</v>
      </c>
      <c r="Z93" s="42" t="s">
        <v>77</v>
      </c>
      <c r="AA93" s="42" t="s">
        <v>73</v>
      </c>
      <c r="AB93" s="42" t="s">
        <v>77</v>
      </c>
      <c r="AC93" s="42" t="s">
        <v>77</v>
      </c>
      <c r="AD93" s="42" t="s">
        <v>77</v>
      </c>
      <c r="AE93" s="42" t="s">
        <v>81</v>
      </c>
      <c r="AF93" s="42" t="s">
        <v>82</v>
      </c>
      <c r="AG93" s="42" t="s">
        <v>77</v>
      </c>
      <c r="AH93" s="42" t="s">
        <v>77</v>
      </c>
      <c r="AI93" s="42" t="s">
        <v>77</v>
      </c>
      <c r="AJ93" s="42" t="s">
        <v>77</v>
      </c>
      <c r="AK93" s="42" t="s">
        <v>77</v>
      </c>
      <c r="AL93" t="str">
        <f>VLOOKUP($Q93,武学奇术!$A:$ZZ,25,FALSE)</f>
        <v>陌刀</v>
      </c>
      <c r="AM93" s="27">
        <f>VLOOKUP($Q93,武学奇术!$A:$ZZ,26,FALSE)</f>
        <v>1</v>
      </c>
      <c r="AN93" s="28">
        <f>VLOOKUP($Q93,武学奇术!$A:$ZZ,27,FALSE)*(1+IF(OR($AL93=$F$4,$AL93=$F$5),$B$22,0))</f>
        <v>0</v>
      </c>
      <c r="AO93" s="27">
        <f>VLOOKUP($Q93,武学奇术!$A:$ZZ,28,FALSE)</f>
        <v>1.5</v>
      </c>
      <c r="AP93" s="28">
        <f>VLOOKUP($Q93,武学奇术!$A:$ZZ,29,FALSE)*(1+IF(OR($AL93=$F$4,$AL93=$F$5),$B$22,0))</f>
        <v>0</v>
      </c>
      <c r="AQ93" s="27" cm="1">
        <f t="array" ref="AQ93">$G$3+IFERROR(VLOOKUP($AL93,$F$4:$G$7,2,FALSE),0)+VLOOKUP($Q93,武学奇术!$A:$ZZ,2,FALSE)+SUM(_xlfn.XLOOKUP($R93:$AK93,增益!$A:$A,增益!$B:$B,0))</f>
        <v>0.7341</v>
      </c>
      <c r="AR93" s="27" cm="1">
        <f t="array" ref="AR93">VLOOKUP($Q93,武学奇术!$A:$ZZ,5,FALSE)+SUM(_xlfn.XLOOKUP($R93:$AK93,增益!$A:$A,增益!$E:$E,0))</f>
        <v>0</v>
      </c>
      <c r="AS93" cm="1">
        <f t="array" ref="AS93">$D$10*(1+$AR93)+VLOOKUP($Q93,武学奇术!$A:$ZZ,3,FALSE)+SUM(_xlfn.XLOOKUP($R93:$AK93,增益!$A:$A,增益!$C:$C,0))-$I$2</f>
        <v>3586.7</v>
      </c>
      <c r="AT93" cm="1">
        <f t="array" ref="AT93">$E$10*(1+$AR93)+VLOOKUP($Q93,武学奇术!$A:$ZZ,4,FALSE)+SUM(_xlfn.XLOOKUP($R93:$AK93,增益!$A:$A,增益!$D:$D,0))-$I$2</f>
        <v>3586.7</v>
      </c>
      <c r="AU93" s="34" cm="1">
        <f t="array" ref="AU93">IF($F$10-$I$3+VLOOKUP($Q93,武学奇术!$A:$ZZ,6,FALSE)+SUM(_xlfn.XLOOKUP($R93:$AK93,增益!$A:$A,增益!$F:$F,0))&gt;0,($F$10-$I$3+VLOOKUP($Q93,武学奇术!$A:$ZZ,6,FALSE)+SUM(_xlfn.XLOOKUP($R93:$AK93,增益!$A:$A,增益!$F:$F,0)))/200,($F$10-$I$3+VLOOKUP($Q93,武学奇术!$A:$ZZ,6,FALSE)+SUM(_xlfn.XLOOKUP($R93:$AK93,增益!$A:$A,增益!$F:$F,0)))/100)</f>
        <v>0.352</v>
      </c>
      <c r="AV93" s="34" cm="1">
        <f t="array" ref="AV93">$G$10+VLOOKUP($Q93,武学奇术!$A:$ZZ,7,FALSE)+SUM(_xlfn.XLOOKUP($R93:$AK93,增益!$A:$A,增益!$G:$G,0))</f>
        <v>0</v>
      </c>
      <c r="AW93" s="27" cm="1">
        <f t="array" ref="AW93">VLOOKUP($Q93,武学奇术!$A:$ZZ,8,FALSE)+SUM(_xlfn.XLOOKUP($R93:$AK93,增益!$A:$A,增益!$H:$H,0))</f>
        <v>0</v>
      </c>
      <c r="AX93">
        <f t="shared" si="12"/>
        <v>0</v>
      </c>
      <c r="AY93">
        <f t="shared" si="13"/>
        <v>0</v>
      </c>
      <c r="AZ93" s="34" cm="1">
        <f t="array" ref="AZ93">IF($F$11-$I$4+VLOOKUP($Q93,武学奇术!$A:$ZZ,9,FALSE)+SUM(_xlfn.XLOOKUP($R93:$AK93,增益!$A:$A,增益!$I:$I,0))&gt;0,($F$11-$I$4+VLOOKUP($Q93,武学奇术!$A:$ZZ,9,FALSE)+SUM(_xlfn.XLOOKUP($R93:$AK93,增益!$A:$A,增益!$I:$I,0)))/200,($F$11-$I$4+VLOOKUP($Q93,武学奇术!$A:$ZZ,9,FALSE)+SUM(_xlfn.XLOOKUP($R93:$AK93,增益!$A:$A,增益!$I:$I,0)))/100)</f>
        <v>-0.14</v>
      </c>
      <c r="BA93" s="34" cm="1">
        <f t="array" ref="BA93">$G$11+VLOOKUP($Q93,武学奇术!$A:$ZZ,10,FALSE)+SUM(_xlfn.XLOOKUP($R93:$AK93,增益!$A:$A,增益!$J:$J,0))</f>
        <v>0</v>
      </c>
      <c r="BB93">
        <f t="shared" si="14"/>
        <v>594.1</v>
      </c>
      <c r="BC93">
        <f t="shared" si="15"/>
        <v>1604.9</v>
      </c>
      <c r="BD93" s="34" cm="1">
        <f t="array" ref="BD93">IF($F$12-$I$4+VLOOKUP($Q93,武学奇术!$A:$ZZ,11,FALSE)+SUM(_xlfn.XLOOKUP($R93:$AK93,增益!$A:$A,增益!$K:$K,0))&gt;0,($F$12-$I$4+VLOOKUP($Q93,武学奇术!$A:$ZZ,11,FALSE)+SUM(_xlfn.XLOOKUP($R93:$AK93,增益!$A:$A,增益!$K:$K,0)))/200,($F$12-$I$4+VLOOKUP($Q93,武学奇术!$A:$ZZ,11,FALSE)+SUM(_xlfn.XLOOKUP($R93:$AK93,增益!$A:$A,增益!$K:$K,0)))/100)</f>
        <v>0.17</v>
      </c>
      <c r="BE93" s="34" cm="1">
        <f t="array" ref="BE93">$G$12+VLOOKUP($Q93,武学奇术!$A:$ZZ,12,FALSE)+SUM(_xlfn.XLOOKUP($R93:$AK93,增益!$A:$A,增益!$L:$L,0))</f>
        <v>0.15</v>
      </c>
      <c r="BF93">
        <f t="shared" si="16"/>
        <v>0</v>
      </c>
      <c r="BG93">
        <f t="shared" si="17"/>
        <v>0</v>
      </c>
      <c r="BH93" s="34" cm="1">
        <f t="array" ref="BH93">IF($F$13-$I$4+VLOOKUP($Q93,武学奇术!$A:$ZZ,13,FALSE)+SUM(_xlfn.XLOOKUP($R93:$AK93,增益!$A:$A,增益!$M:$M,0))&gt;0,($F$13-$I$4+VLOOKUP($Q93,武学奇术!$A:$ZZ,13,FALSE)+SUM(_xlfn.XLOOKUP($R93:$AK93,增益!$A:$A,增益!$K:$K,0)))/200,($F$13-$I$4+VLOOKUP($Q93,武学奇术!$A:$ZZ,13,FALSE)+SUM(_xlfn.XLOOKUP($R93:$AK93,增益!$A:$A,增益!$M:$M,0)))/100)</f>
        <v>-0.14</v>
      </c>
      <c r="BI93" s="34" cm="1">
        <f t="array" ref="BI93">$G$13+VLOOKUP($Q93,武学奇术!$A:$ZZ,14,FALSE)+SUM(_xlfn.XLOOKUP($R93:$AK93,增益!$A:$A,增益!$N:$N,0))</f>
        <v>0</v>
      </c>
      <c r="BJ93">
        <f t="shared" si="18"/>
        <v>0</v>
      </c>
      <c r="BK93">
        <f t="shared" si="19"/>
        <v>0</v>
      </c>
      <c r="BL93" s="34" cm="1">
        <f t="array" ref="BL93">IF($F$14-$I$4+VLOOKUP($Q93,武学奇术!$A:$ZZ,15,FALSE)+SUM(_xlfn.XLOOKUP($R93:$AK93,增益!$A:$A,增益!$O:$O,0))&gt;0,($F$14-$I$4+VLOOKUP($Q93,武学奇术!$A:$ZZ,15,FALSE)+SUM(_xlfn.XLOOKUP($R93:$AK93,增益!$A:$A,增益!$O:$O,0)))/200,($F$14-$I$4+VLOOKUP($Q93,武学奇术!$A:$ZZ,15,FALSE)+SUM(_xlfn.XLOOKUP($R93:$AK93,增益!$A:$A,增益!$O:$O,0)))/100)</f>
        <v>-0.14</v>
      </c>
      <c r="BM93" s="34" cm="1">
        <f t="array" ref="BM93">$G$14+VLOOKUP($Q93,武学奇术!$A:$ZZ,16,FALSE)+SUM(_xlfn.XLOOKUP($R93:$AK93,增益!$A:$A,增益!$P:$P,0))</f>
        <v>0</v>
      </c>
      <c r="BN93" s="27">
        <f>MIN(IF(VLOOKUP($Q93,武学奇术!$A:$ZZ,23,FALSE)=1,100%,$B$8),100%)</f>
        <v>0.9859</v>
      </c>
      <c r="BO93" s="27" cm="1">
        <f t="array" ref="BO93">IF(VLOOKUP($Q93,武学奇术!$A:$ZZ,23,FALSE)=1,100%,MIN(80%,$B$9+VLOOKUP($Q93,武学奇术!$A:$ZZ,17,FALSE)+SUM(_xlfn.XLOOKUP($R93:$AK93,增益!$A:$A,增益!$Q:$Q,0)))+$B$11+SUM(_xlfn.XLOOKUP($R93:$AK93,增益!$A:$A,增益!$U:$U,0)))*IF(VLOOKUP($Q93,武学奇术!$A:$ZZ,24,FALSE)=1,0,1)</f>
        <v>0.8912</v>
      </c>
      <c r="BP93" s="27" cm="1">
        <f t="array" ref="BP93">1+$B$13+VLOOKUP($Q93,武学奇术!$A:$ZZ,18,FALSE)+SUM(_xlfn.XLOOKUP($R93:$AK93,增益!$A:$A,增益!$R:$R,0))</f>
        <v>2</v>
      </c>
      <c r="BQ93" s="27" cm="1">
        <f t="array" ref="BQ93">IF(VLOOKUP($Q93,武学奇术!$A:$ZZ,24,FALSE)=1,100%,MIN(40%,$B$10+VLOOKUP($Q93,武学奇术!$A:$ZZ,19,FALSE)+SUM(_xlfn.XLOOKUP($R93:$AK93,增益!$A:$A,增益!$S:$S,0)))+$B$12+SUM(_xlfn.XLOOKUP($R93:$AK93,增益!$A:$A,增益!$V:$V,0)))*IF(VLOOKUP($Q93,武学奇术!$A:$ZZ,23,FALSE)=1,0,1)</f>
        <v>0.0929</v>
      </c>
      <c r="BR93" s="27" cm="1">
        <f t="array" ref="BR93">1+$B$14+VLOOKUP($Q93,武学奇术!$A:$ZZ,20,FALSE)+SUM(_xlfn.XLOOKUP($R93:$AK93,增益!$A:$A,增益!$T:$T,0))</f>
        <v>1.35</v>
      </c>
      <c r="BS93" s="27">
        <f t="shared" si="20"/>
        <v>0.87863408</v>
      </c>
      <c r="BT93" s="27">
        <f t="shared" si="21"/>
        <v>0.01567581</v>
      </c>
      <c r="BU93" s="27">
        <f>IF(VLOOKUP($Q93,武学奇术!$A:$ZZ,22,FALSE)=1,0,(1-$BN93))*(1-$BQ93)</f>
        <v>0.01279011</v>
      </c>
      <c r="BV93" s="27" cm="1">
        <f t="array" ref="BV93">SUM(_xlfn.XLOOKUP($R93:$AK93,增益!$A:$A,增益!$W:$W,0))+$I$5</f>
        <v>0.11</v>
      </c>
    </row>
    <row r="94" spans="1:74">
      <c r="K94" s="40">
        <f t="shared" si="11"/>
        <v>15679.3231188835</v>
      </c>
      <c r="L94" s="40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BP94*$P94*(1+IF(VLOOKUP($Q94,武学奇术!$A:$ZZ,30,FALSE)="蓄力技",$B$21,0))*(1+$BV94)</f>
        <v>16249.3144258532</v>
      </c>
      <c r="M94" s="40">
        <f>(($AT94*$AM94+$AN94)*(1+$AU94)*(1+$AV94)+($AY94*IF($G$1="鸣金",$AO94,$AM94)+IF($G$1="鸣金",$AP94*1.5,0))*(1+$AZ94)*(1+$BA94)+($BC94*IF($G$1="裂石",$AO94,$AM94)+IF($G$1="裂石",$AP94*1.5,0))*(1+$BD94)*(1+$BE94)+($BG94*IF($G$1="牵丝",$AO94,$AM94)+IF($G$1="牵丝",$AP94*1.5,0))*(1+$BH94)*(1+$BI94)+($BK94*IF($G$1="破竹",$AO94,$AM94)+IF($G$1="破竹",$AP94*1.5,0))*(1+$BL94)*(1+$BM94))*(1+$AQ94)*$BR94*$P94*(1+IF(VLOOKUP($Q94,武学奇术!$A:$ZZ,30,FALSE)="蓄力技",$B$21,0))*(1+$BV94)</f>
        <v>12685.9482141412</v>
      </c>
      <c r="N94" s="40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P94*(1+IF(VLOOKUP($Q94,武学奇术!$A:$ZZ,30,FALSE)="蓄力技",$B$21,0))*(1+$BV94)</f>
        <v>8332.9817568478</v>
      </c>
      <c r="O94" s="40">
        <f>((($AS94*$AM94+$AN94)*(1+$AU94)*(1+$AV94)+($AX94*IF($G$1="鸣金",$AO94,$AM94)+IF($G$1="鸣金",$AP94*1.5,0))*(1+$AZ94)*(1+$BA94)+($BB94*IF($G$1="裂石",$AO94,$AM94)+IF($G$1="裂石",$AP94*1.5,0))*(1+$BD94)*(1+$BE94)+($BF94*IF($G$1="牵丝",$AO94,$AM94)+IF($G$1="牵丝",$AP94*1.5,0))*(1+$BH94)*(1+$BI94)+($BJ94*IF($G$1="破竹",$AO94,$AM94)+IF($G$1="破竹",$AP94*1.5,0))*(1+$BL94)*(1+$BM94))*(1+$AQ94))*$P94*(1+IF(VLOOKUP($Q94,武学奇术!$A:$ZZ,30,FALSE)="蓄力技",$B$21,0))*(1+$BV94)</f>
        <v>7268.96483655397</v>
      </c>
      <c r="P94" s="41">
        <v>1</v>
      </c>
      <c r="Q94" s="42" t="s">
        <v>179</v>
      </c>
      <c r="R94" s="42" t="s">
        <v>103</v>
      </c>
      <c r="S94" s="42" t="s">
        <v>77</v>
      </c>
      <c r="T94" s="42" t="s">
        <v>86</v>
      </c>
      <c r="U94" s="42" t="s">
        <v>87</v>
      </c>
      <c r="V94" s="42" t="s">
        <v>77</v>
      </c>
      <c r="W94" s="42" t="s">
        <v>77</v>
      </c>
      <c r="X94" s="42" t="s">
        <v>176</v>
      </c>
      <c r="Y94" s="42" t="s">
        <v>77</v>
      </c>
      <c r="Z94" s="42" t="s">
        <v>77</v>
      </c>
      <c r="AA94" s="42" t="s">
        <v>77</v>
      </c>
      <c r="AB94" s="42" t="s">
        <v>77</v>
      </c>
      <c r="AC94" s="42" t="s">
        <v>77</v>
      </c>
      <c r="AD94" s="42" t="s">
        <v>77</v>
      </c>
      <c r="AE94" s="42" t="s">
        <v>81</v>
      </c>
      <c r="AF94" s="42" t="s">
        <v>82</v>
      </c>
      <c r="AG94" s="42" t="s">
        <v>77</v>
      </c>
      <c r="AH94" s="42" t="s">
        <v>77</v>
      </c>
      <c r="AI94" s="42" t="s">
        <v>77</v>
      </c>
      <c r="AJ94" s="42" t="s">
        <v>77</v>
      </c>
      <c r="AK94" s="42" t="s">
        <v>77</v>
      </c>
      <c r="AL94" t="str">
        <f>VLOOKUP($Q94,武学奇术!$A:$ZZ,25,FALSE)</f>
        <v>横刀</v>
      </c>
      <c r="AM94" s="27">
        <f>VLOOKUP($Q94,武学奇术!$A:$ZZ,26,FALSE)</f>
        <v>0.6486</v>
      </c>
      <c r="AN94" s="28">
        <f>VLOOKUP($Q94,武学奇术!$A:$ZZ,27,FALSE)*(1+IF(OR($AL94=$F$4,$AL94=$F$5),$B$22,0))</f>
        <v>270</v>
      </c>
      <c r="AO94" s="27">
        <f>VLOOKUP($Q94,武学奇术!$A:$ZZ,28,FALSE)</f>
        <v>0.9729</v>
      </c>
      <c r="AP94" s="28">
        <f>VLOOKUP($Q94,武学奇术!$A:$ZZ,29,FALSE)*(1+IF(OR($AL94=$F$4,$AL94=$F$5),$B$22,0))</f>
        <v>147</v>
      </c>
      <c r="AQ94" s="27" cm="1">
        <f t="array" ref="AQ94">$G$3+IFERROR(VLOOKUP($AL94,$F$4:$G$7,2,FALSE),0)+VLOOKUP($Q94,武学奇术!$A:$ZZ,2,FALSE)+SUM(_xlfn.XLOOKUP($R94:$AK94,增益!$A:$A,增益!$B:$B,0))</f>
        <v>0.4489</v>
      </c>
      <c r="AR94" s="27" cm="1">
        <f t="array" ref="AR94">VLOOKUP($Q94,武学奇术!$A:$ZZ,5,FALSE)+SUM(_xlfn.XLOOKUP($R94:$AK94,增益!$A:$A,增益!$E:$E,0))</f>
        <v>0</v>
      </c>
      <c r="AS94" cm="1">
        <f t="array" ref="AS94">$D$10*(1+$AR94)+VLOOKUP($Q94,武学奇术!$A:$ZZ,3,FALSE)+SUM(_xlfn.XLOOKUP($R94:$AK94,增益!$A:$A,增益!$C:$C,0))-$I$2</f>
        <v>3586.7</v>
      </c>
      <c r="AT94" cm="1">
        <f t="array" ref="AT94">$E$10*(1+$AR94)+VLOOKUP($Q94,武学奇术!$A:$ZZ,4,FALSE)+SUM(_xlfn.XLOOKUP($R94:$AK94,增益!$A:$A,增益!$D:$D,0))-$I$2</f>
        <v>3586.7</v>
      </c>
      <c r="AU94" s="34" cm="1">
        <f t="array" ref="AU94">IF($F$10-$I$3+VLOOKUP($Q94,武学奇术!$A:$ZZ,6,FALSE)+SUM(_xlfn.XLOOKUP($R94:$AK94,增益!$A:$A,增益!$F:$F,0))&gt;0,($F$10-$I$3+VLOOKUP($Q94,武学奇术!$A:$ZZ,6,FALSE)+SUM(_xlfn.XLOOKUP($R94:$AK94,增益!$A:$A,增益!$F:$F,0)))/200,($F$10-$I$3+VLOOKUP($Q94,武学奇术!$A:$ZZ,6,FALSE)+SUM(_xlfn.XLOOKUP($R94:$AK94,增益!$A:$A,增益!$F:$F,0)))/100)</f>
        <v>0.327</v>
      </c>
      <c r="AV94" s="34" cm="1">
        <f t="array" ref="AV94">$G$10+VLOOKUP($Q94,武学奇术!$A:$ZZ,7,FALSE)+SUM(_xlfn.XLOOKUP($R94:$AK94,增益!$A:$A,增益!$G:$G,0))</f>
        <v>0</v>
      </c>
      <c r="AW94" s="27" cm="1">
        <f t="array" ref="AW94">VLOOKUP($Q94,武学奇术!$A:$ZZ,8,FALSE)+SUM(_xlfn.XLOOKUP($R94:$AK94,增益!$A:$A,增益!$H:$H,0))</f>
        <v>0</v>
      </c>
      <c r="AX94">
        <f t="shared" si="12"/>
        <v>0</v>
      </c>
      <c r="AY94">
        <f t="shared" si="13"/>
        <v>0</v>
      </c>
      <c r="AZ94" s="34" cm="1">
        <f t="array" ref="AZ94">IF($F$11-$I$4+VLOOKUP($Q94,武学奇术!$A:$ZZ,9,FALSE)+SUM(_xlfn.XLOOKUP($R94:$AK94,增益!$A:$A,增益!$I:$I,0))&gt;0,($F$11-$I$4+VLOOKUP($Q94,武学奇术!$A:$ZZ,9,FALSE)+SUM(_xlfn.XLOOKUP($R94:$AK94,增益!$A:$A,增益!$I:$I,0)))/200,($F$11-$I$4+VLOOKUP($Q94,武学奇术!$A:$ZZ,9,FALSE)+SUM(_xlfn.XLOOKUP($R94:$AK94,增益!$A:$A,增益!$I:$I,0)))/100)</f>
        <v>-0.14</v>
      </c>
      <c r="BA94" s="34" cm="1">
        <f t="array" ref="BA94">$G$11+VLOOKUP($Q94,武学奇术!$A:$ZZ,10,FALSE)+SUM(_xlfn.XLOOKUP($R94:$AK94,增益!$A:$A,增益!$J:$J,0))</f>
        <v>0</v>
      </c>
      <c r="BB94">
        <f t="shared" si="14"/>
        <v>594.1</v>
      </c>
      <c r="BC94">
        <f t="shared" si="15"/>
        <v>1604.9</v>
      </c>
      <c r="BD94" s="34" cm="1">
        <f t="array" ref="BD94">IF($F$12-$I$4+VLOOKUP($Q94,武学奇术!$A:$ZZ,11,FALSE)+SUM(_xlfn.XLOOKUP($R94:$AK94,增益!$A:$A,增益!$K:$K,0))&gt;0,($F$12-$I$4+VLOOKUP($Q94,武学奇术!$A:$ZZ,11,FALSE)+SUM(_xlfn.XLOOKUP($R94:$AK94,增益!$A:$A,增益!$K:$K,0)))/200,($F$12-$I$4+VLOOKUP($Q94,武学奇术!$A:$ZZ,11,FALSE)+SUM(_xlfn.XLOOKUP($R94:$AK94,增益!$A:$A,增益!$K:$K,0)))/100)</f>
        <v>0.17</v>
      </c>
      <c r="BE94" s="34" cm="1">
        <f t="array" ref="BE94">$G$12+VLOOKUP($Q94,武学奇术!$A:$ZZ,12,FALSE)+SUM(_xlfn.XLOOKUP($R94:$AK94,增益!$A:$A,增益!$L:$L,0))</f>
        <v>0.15</v>
      </c>
      <c r="BF94">
        <f t="shared" si="16"/>
        <v>0</v>
      </c>
      <c r="BG94">
        <f t="shared" si="17"/>
        <v>0</v>
      </c>
      <c r="BH94" s="34" cm="1">
        <f t="array" ref="BH94">IF($F$13-$I$4+VLOOKUP($Q94,武学奇术!$A:$ZZ,13,FALSE)+SUM(_xlfn.XLOOKUP($R94:$AK94,增益!$A:$A,增益!$M:$M,0))&gt;0,($F$13-$I$4+VLOOKUP($Q94,武学奇术!$A:$ZZ,13,FALSE)+SUM(_xlfn.XLOOKUP($R94:$AK94,增益!$A:$A,增益!$K:$K,0)))/200,($F$13-$I$4+VLOOKUP($Q94,武学奇术!$A:$ZZ,13,FALSE)+SUM(_xlfn.XLOOKUP($R94:$AK94,增益!$A:$A,增益!$M:$M,0)))/100)</f>
        <v>-0.14</v>
      </c>
      <c r="BI94" s="34" cm="1">
        <f t="array" ref="BI94">$G$13+VLOOKUP($Q94,武学奇术!$A:$ZZ,14,FALSE)+SUM(_xlfn.XLOOKUP($R94:$AK94,增益!$A:$A,增益!$N:$N,0))</f>
        <v>0</v>
      </c>
      <c r="BJ94">
        <f t="shared" si="18"/>
        <v>0</v>
      </c>
      <c r="BK94">
        <f t="shared" si="19"/>
        <v>0</v>
      </c>
      <c r="BL94" s="34" cm="1">
        <f t="array" ref="BL94">IF($F$14-$I$4+VLOOKUP($Q94,武学奇术!$A:$ZZ,15,FALSE)+SUM(_xlfn.XLOOKUP($R94:$AK94,增益!$A:$A,增益!$O:$O,0))&gt;0,($F$14-$I$4+VLOOKUP($Q94,武学奇术!$A:$ZZ,15,FALSE)+SUM(_xlfn.XLOOKUP($R94:$AK94,增益!$A:$A,增益!$O:$O,0)))/200,($F$14-$I$4+VLOOKUP($Q94,武学奇术!$A:$ZZ,15,FALSE)+SUM(_xlfn.XLOOKUP($R94:$AK94,增益!$A:$A,增益!$O:$O,0)))/100)</f>
        <v>-0.14</v>
      </c>
      <c r="BM94" s="34" cm="1">
        <f t="array" ref="BM94">$G$14+VLOOKUP($Q94,武学奇术!$A:$ZZ,16,FALSE)+SUM(_xlfn.XLOOKUP($R94:$AK94,增益!$A:$A,增益!$P:$P,0))</f>
        <v>0</v>
      </c>
      <c r="BN94" s="27">
        <f>MIN(IF(VLOOKUP($Q94,武学奇术!$A:$ZZ,23,FALSE)=1,100%,$B$8),100%)</f>
        <v>0.9859</v>
      </c>
      <c r="BO94" s="27" cm="1">
        <f t="array" ref="BO94">IF(VLOOKUP($Q94,武学奇术!$A:$ZZ,23,FALSE)=1,100%,MIN(80%,$B$9+VLOOKUP($Q94,武学奇术!$A:$ZZ,17,FALSE)+SUM(_xlfn.XLOOKUP($R94:$AK94,增益!$A:$A,增益!$Q:$Q,0)))+$B$11+SUM(_xlfn.XLOOKUP($R94:$AK94,增益!$A:$A,增益!$U:$U,0)))*IF(VLOOKUP($Q94,武学奇术!$A:$ZZ,24,FALSE)=1,0,1)</f>
        <v>0.8912</v>
      </c>
      <c r="BP94" s="27" cm="1">
        <f t="array" ref="BP94">1+$B$13+VLOOKUP($Q94,武学奇术!$A:$ZZ,18,FALSE)+SUM(_xlfn.XLOOKUP($R94:$AK94,增益!$A:$A,增益!$R:$R,0))</f>
        <v>1.95</v>
      </c>
      <c r="BQ94" s="27" cm="1">
        <f t="array" ref="BQ94">IF(VLOOKUP($Q94,武学奇术!$A:$ZZ,24,FALSE)=1,100%,MIN(40%,$B$10+VLOOKUP($Q94,武学奇术!$A:$ZZ,19,FALSE)+SUM(_xlfn.XLOOKUP($R94:$AK94,增益!$A:$A,增益!$S:$S,0)))+$B$12+SUM(_xlfn.XLOOKUP($R94:$AK94,增益!$A:$A,增益!$V:$V,0)))*IF(VLOOKUP($Q94,武学奇术!$A:$ZZ,23,FALSE)=1,0,1)</f>
        <v>0.0929</v>
      </c>
      <c r="BR94" s="27" cm="1">
        <f t="array" ref="BR94">1+$B$14+VLOOKUP($Q94,武学奇术!$A:$ZZ,20,FALSE)+SUM(_xlfn.XLOOKUP($R94:$AK94,增益!$A:$A,增益!$T:$T,0))</f>
        <v>1.35</v>
      </c>
      <c r="BS94" s="27">
        <f t="shared" si="20"/>
        <v>0.87863408</v>
      </c>
      <c r="BT94" s="27">
        <f t="shared" si="21"/>
        <v>0.01567581</v>
      </c>
      <c r="BU94" s="27">
        <f>IF(VLOOKUP($Q94,武学奇术!$A:$ZZ,22,FALSE)=1,0,(1-$BN94))*(1-$BQ94)</f>
        <v>0.01279011</v>
      </c>
      <c r="BV94" s="27" cm="1">
        <f t="array" ref="BV94">SUM(_xlfn.XLOOKUP($R94:$AK94,增益!$A:$A,增益!$W:$W,0))+$I$5</f>
        <v>0.11</v>
      </c>
    </row>
    <row r="95" spans="1:74">
      <c r="K95" s="40">
        <f t="shared" si="11"/>
        <v>73860.1994970668</v>
      </c>
      <c r="L95" s="40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BP95*$P95*(1+IF(VLOOKUP($Q95,武学奇术!$A:$ZZ,30,FALSE)="蓄力技",$B$21,0))*(1+$BV95)</f>
        <v>76750.1276533862</v>
      </c>
      <c r="M95" s="40">
        <f>(($AT95*$AM95+$AN95)*(1+$AU95)*(1+$AV95)+($AY95*IF($G$1="鸣金",$AO95,$AM95)+IF($G$1="鸣金",$AP95*1.5,0))*(1+$AZ95)*(1+$BA95)+($BC95*IF($G$1="裂石",$AO95,$AM95)+IF($G$1="裂石",$AP95*1.5,0))*(1+$BD95)*(1+$BE95)+($BG95*IF($G$1="牵丝",$AO95,$AM95)+IF($G$1="牵丝",$AP95*1.5,0))*(1+$BH95)*(1+$BI95)+($BK95*IF($G$1="破竹",$AO95,$AM95)+IF($G$1="破竹",$AP95*1.5,0))*(1+$BL95)*(1+$BM95))*(1+$AQ95)*$BR95*$P95*(1+IF(VLOOKUP($Q95,武学奇术!$A:$ZZ,30,FALSE)="蓄力技",$B$21,0))*(1+$BV95)</f>
        <v>58036.1990245068</v>
      </c>
      <c r="N95" s="40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P95*(1+IF(VLOOKUP($Q95,武学奇术!$A:$ZZ,30,FALSE)="蓄力技",$B$21,0))*(1+$BV95)</f>
        <v>38375.0638266931</v>
      </c>
      <c r="O95" s="40">
        <f>((($AS95*$AM95+$AN95)*(1+$AU95)*(1+$AV95)+($AX95*IF($G$1="鸣金",$AO95,$AM95)+IF($G$1="鸣金",$AP95*1.5,0))*(1+$AZ95)*(1+$BA95)+($BB95*IF($G$1="裂石",$AO95,$AM95)+IF($G$1="裂石",$AP95*1.5,0))*(1+$BD95)*(1+$BE95)+($BF95*IF($G$1="牵丝",$AO95,$AM95)+IF($G$1="牵丝",$AP95*1.5,0))*(1+$BH95)*(1+$BI95)+($BJ95*IF($G$1="破竹",$AO95,$AM95)+IF($G$1="破竹",$AP95*1.5,0))*(1+$BL95)*(1+$BM95))*(1+$AQ95))*$P95*(1+IF(VLOOKUP($Q95,武学奇术!$A:$ZZ,30,FALSE)="蓄力技",$B$21,0))*(1+$BV95)</f>
        <v>33760.350598196</v>
      </c>
      <c r="P95" s="41">
        <v>1</v>
      </c>
      <c r="Q95" s="42" t="s">
        <v>180</v>
      </c>
      <c r="R95" s="42" t="s">
        <v>103</v>
      </c>
      <c r="S95" s="42" t="s">
        <v>77</v>
      </c>
      <c r="T95" s="42" t="s">
        <v>77</v>
      </c>
      <c r="U95" s="42" t="s">
        <v>121</v>
      </c>
      <c r="V95" s="42" t="s">
        <v>77</v>
      </c>
      <c r="W95" s="42" t="s">
        <v>77</v>
      </c>
      <c r="X95" s="42" t="s">
        <v>176</v>
      </c>
      <c r="Y95" s="42" t="s">
        <v>77</v>
      </c>
      <c r="Z95" s="42" t="s">
        <v>77</v>
      </c>
      <c r="AA95" s="42" t="s">
        <v>73</v>
      </c>
      <c r="AB95" s="42" t="s">
        <v>77</v>
      </c>
      <c r="AC95" s="42" t="s">
        <v>77</v>
      </c>
      <c r="AD95" s="42" t="s">
        <v>77</v>
      </c>
      <c r="AE95" s="42" t="s">
        <v>81</v>
      </c>
      <c r="AF95" s="42" t="s">
        <v>82</v>
      </c>
      <c r="AG95" s="42" t="s">
        <v>77</v>
      </c>
      <c r="AH95" s="42" t="s">
        <v>77</v>
      </c>
      <c r="AI95" s="42" t="s">
        <v>77</v>
      </c>
      <c r="AJ95" s="42" t="s">
        <v>77</v>
      </c>
      <c r="AK95" s="42" t="s">
        <v>77</v>
      </c>
      <c r="AL95" t="str">
        <f>VLOOKUP($Q95,武学奇术!$A:$ZZ,25,FALSE)</f>
        <v>横刀</v>
      </c>
      <c r="AM95" s="27">
        <f>VLOOKUP($Q95,武学奇术!$A:$ZZ,26,FALSE)</f>
        <v>2.8245</v>
      </c>
      <c r="AN95" s="28">
        <f>VLOOKUP($Q95,武学奇术!$A:$ZZ,27,FALSE)*(1+IF(OR($AL95=$F$4,$AL95=$F$5),$B$22,0))</f>
        <v>1173</v>
      </c>
      <c r="AO95" s="27">
        <f>VLOOKUP($Q95,武学奇术!$A:$ZZ,28,FALSE)</f>
        <v>4.236808</v>
      </c>
      <c r="AP95" s="28">
        <f>VLOOKUP($Q95,武学奇术!$A:$ZZ,29,FALSE)*(1+IF(OR($AL95=$F$4,$AL95=$F$5),$B$22,0))</f>
        <v>637.5</v>
      </c>
      <c r="AQ95" s="27" cm="1">
        <f t="array" ref="AQ95">$G$3+IFERROR(VLOOKUP($AL95,$F$4:$G$7,2,FALSE),0)+VLOOKUP($Q95,武学奇术!$A:$ZZ,2,FALSE)+SUM(_xlfn.XLOOKUP($R95:$AK95,增益!$A:$A,增益!$B:$B,0))</f>
        <v>0.5489</v>
      </c>
      <c r="AR95" s="27" cm="1">
        <f t="array" ref="AR95">VLOOKUP($Q95,武学奇术!$A:$ZZ,5,FALSE)+SUM(_xlfn.XLOOKUP($R95:$AK95,增益!$A:$A,增益!$E:$E,0))</f>
        <v>0</v>
      </c>
      <c r="AS95" cm="1">
        <f t="array" ref="AS95">$D$10*(1+$AR95)+VLOOKUP($Q95,武学奇术!$A:$ZZ,3,FALSE)+SUM(_xlfn.XLOOKUP($R95:$AK95,增益!$A:$A,增益!$C:$C,0))-$I$2</f>
        <v>3586.7</v>
      </c>
      <c r="AT95" cm="1">
        <f t="array" ref="AT95">$E$10*(1+$AR95)+VLOOKUP($Q95,武学奇术!$A:$ZZ,4,FALSE)+SUM(_xlfn.XLOOKUP($R95:$AK95,增益!$A:$A,增益!$D:$D,0))-$I$2</f>
        <v>3586.7</v>
      </c>
      <c r="AU95" s="34" cm="1">
        <f t="array" ref="AU95">IF($F$10-$I$3+VLOOKUP($Q95,武学奇术!$A:$ZZ,6,FALSE)+SUM(_xlfn.XLOOKUP($R95:$AK95,增益!$A:$A,增益!$F:$F,0))&gt;0,($F$10-$I$3+VLOOKUP($Q95,武学奇术!$A:$ZZ,6,FALSE)+SUM(_xlfn.XLOOKUP($R95:$AK95,增益!$A:$A,增益!$F:$F,0)))/200,($F$10-$I$3+VLOOKUP($Q95,武学奇术!$A:$ZZ,6,FALSE)+SUM(_xlfn.XLOOKUP($R95:$AK95,增益!$A:$A,增益!$F:$F,0)))/100)</f>
        <v>0.352</v>
      </c>
      <c r="AV95" s="34" cm="1">
        <f t="array" ref="AV95">$G$10+VLOOKUP($Q95,武学奇术!$A:$ZZ,7,FALSE)+SUM(_xlfn.XLOOKUP($R95:$AK95,增益!$A:$A,增益!$G:$G,0))</f>
        <v>0</v>
      </c>
      <c r="AW95" s="27" cm="1">
        <f t="array" ref="AW95">VLOOKUP($Q95,武学奇术!$A:$ZZ,8,FALSE)+SUM(_xlfn.XLOOKUP($R95:$AK95,增益!$A:$A,增益!$H:$H,0))</f>
        <v>0</v>
      </c>
      <c r="AX95">
        <f t="shared" si="12"/>
        <v>0</v>
      </c>
      <c r="AY95">
        <f t="shared" si="13"/>
        <v>0</v>
      </c>
      <c r="AZ95" s="34" cm="1">
        <f t="array" ref="AZ95">IF($F$11-$I$4+VLOOKUP($Q95,武学奇术!$A:$ZZ,9,FALSE)+SUM(_xlfn.XLOOKUP($R95:$AK95,增益!$A:$A,增益!$I:$I,0))&gt;0,($F$11-$I$4+VLOOKUP($Q95,武学奇术!$A:$ZZ,9,FALSE)+SUM(_xlfn.XLOOKUP($R95:$AK95,增益!$A:$A,增益!$I:$I,0)))/200,($F$11-$I$4+VLOOKUP($Q95,武学奇术!$A:$ZZ,9,FALSE)+SUM(_xlfn.XLOOKUP($R95:$AK95,增益!$A:$A,增益!$I:$I,0)))/100)</f>
        <v>-0.3</v>
      </c>
      <c r="BA95" s="34" cm="1">
        <f t="array" ref="BA95">$G$11+VLOOKUP($Q95,武学奇术!$A:$ZZ,10,FALSE)+SUM(_xlfn.XLOOKUP($R95:$AK95,增益!$A:$A,增益!$J:$J,0))</f>
        <v>0</v>
      </c>
      <c r="BB95">
        <f t="shared" si="14"/>
        <v>594.1</v>
      </c>
      <c r="BC95">
        <f t="shared" si="15"/>
        <v>1604.9</v>
      </c>
      <c r="BD95" s="34" cm="1">
        <f t="array" ref="BD95">IF($F$12-$I$4+VLOOKUP($Q95,武学奇术!$A:$ZZ,11,FALSE)+SUM(_xlfn.XLOOKUP($R95:$AK95,增益!$A:$A,增益!$K:$K,0))&gt;0,($F$12-$I$4+VLOOKUP($Q95,武学奇术!$A:$ZZ,11,FALSE)+SUM(_xlfn.XLOOKUP($R95:$AK95,增益!$A:$A,增益!$K:$K,0)))/200,($F$12-$I$4+VLOOKUP($Q95,武学奇术!$A:$ZZ,11,FALSE)+SUM(_xlfn.XLOOKUP($R95:$AK95,增益!$A:$A,增益!$K:$K,0)))/100)</f>
        <v>0.09</v>
      </c>
      <c r="BE95" s="34" cm="1">
        <f t="array" ref="BE95">$G$12+VLOOKUP($Q95,武学奇术!$A:$ZZ,12,FALSE)+SUM(_xlfn.XLOOKUP($R95:$AK95,增益!$A:$A,增益!$L:$L,0))</f>
        <v>0.15</v>
      </c>
      <c r="BF95">
        <f t="shared" si="16"/>
        <v>0</v>
      </c>
      <c r="BG95">
        <f t="shared" si="17"/>
        <v>0</v>
      </c>
      <c r="BH95" s="34" cm="1">
        <f t="array" ref="BH95">IF($F$13-$I$4+VLOOKUP($Q95,武学奇术!$A:$ZZ,13,FALSE)+SUM(_xlfn.XLOOKUP($R95:$AK95,增益!$A:$A,增益!$M:$M,0))&gt;0,($F$13-$I$4+VLOOKUP($Q95,武学奇术!$A:$ZZ,13,FALSE)+SUM(_xlfn.XLOOKUP($R95:$AK95,增益!$A:$A,增益!$K:$K,0)))/200,($F$13-$I$4+VLOOKUP($Q95,武学奇术!$A:$ZZ,13,FALSE)+SUM(_xlfn.XLOOKUP($R95:$AK95,增益!$A:$A,增益!$M:$M,0)))/100)</f>
        <v>-0.3</v>
      </c>
      <c r="BI95" s="34" cm="1">
        <f t="array" ref="BI95">$G$13+VLOOKUP($Q95,武学奇术!$A:$ZZ,14,FALSE)+SUM(_xlfn.XLOOKUP($R95:$AK95,增益!$A:$A,增益!$N:$N,0))</f>
        <v>0</v>
      </c>
      <c r="BJ95">
        <f t="shared" si="18"/>
        <v>0</v>
      </c>
      <c r="BK95">
        <f t="shared" si="19"/>
        <v>0</v>
      </c>
      <c r="BL95" s="34" cm="1">
        <f t="array" ref="BL95">IF($F$14-$I$4+VLOOKUP($Q95,武学奇术!$A:$ZZ,15,FALSE)+SUM(_xlfn.XLOOKUP($R95:$AK95,增益!$A:$A,增益!$O:$O,0))&gt;0,($F$14-$I$4+VLOOKUP($Q95,武学奇术!$A:$ZZ,15,FALSE)+SUM(_xlfn.XLOOKUP($R95:$AK95,增益!$A:$A,增益!$O:$O,0)))/200,($F$14-$I$4+VLOOKUP($Q95,武学奇术!$A:$ZZ,15,FALSE)+SUM(_xlfn.XLOOKUP($R95:$AK95,增益!$A:$A,增益!$O:$O,0)))/100)</f>
        <v>-0.3</v>
      </c>
      <c r="BM95" s="34" cm="1">
        <f t="array" ref="BM95">$G$14+VLOOKUP($Q95,武学奇术!$A:$ZZ,16,FALSE)+SUM(_xlfn.XLOOKUP($R95:$AK95,增益!$A:$A,增益!$P:$P,0))</f>
        <v>0</v>
      </c>
      <c r="BN95" s="27">
        <f>MIN(IF(VLOOKUP($Q95,武学奇术!$A:$ZZ,23,FALSE)=1,100%,$B$8),100%)</f>
        <v>0.9859</v>
      </c>
      <c r="BO95" s="27" cm="1">
        <f t="array" ref="BO95">IF(VLOOKUP($Q95,武学奇术!$A:$ZZ,23,FALSE)=1,100%,MIN(80%,$B$9+VLOOKUP($Q95,武学奇术!$A:$ZZ,17,FALSE)+SUM(_xlfn.XLOOKUP($R95:$AK95,增益!$A:$A,增益!$Q:$Q,0)))+$B$11+SUM(_xlfn.XLOOKUP($R95:$AK95,增益!$A:$A,增益!$U:$U,0)))*IF(VLOOKUP($Q95,武学奇术!$A:$ZZ,24,FALSE)=1,0,1)</f>
        <v>0.8912</v>
      </c>
      <c r="BP95" s="27" cm="1">
        <f t="array" ref="BP95">1+$B$13+VLOOKUP($Q95,武学奇术!$A:$ZZ,18,FALSE)+SUM(_xlfn.XLOOKUP($R95:$AK95,增益!$A:$A,增益!$R:$R,0))</f>
        <v>2</v>
      </c>
      <c r="BQ95" s="27" cm="1">
        <f t="array" ref="BQ95">IF(VLOOKUP($Q95,武学奇术!$A:$ZZ,24,FALSE)=1,100%,MIN(40%,$B$10+VLOOKUP($Q95,武学奇术!$A:$ZZ,19,FALSE)+SUM(_xlfn.XLOOKUP($R95:$AK95,增益!$A:$A,增益!$S:$S,0)))+$B$12+SUM(_xlfn.XLOOKUP($R95:$AK95,增益!$A:$A,增益!$V:$V,0)))*IF(VLOOKUP($Q95,武学奇术!$A:$ZZ,23,FALSE)=1,0,1)</f>
        <v>0.0929</v>
      </c>
      <c r="BR95" s="27" cm="1">
        <f t="array" ref="BR95">1+$B$14+VLOOKUP($Q95,武学奇术!$A:$ZZ,20,FALSE)+SUM(_xlfn.XLOOKUP($R95:$AK95,增益!$A:$A,增益!$T:$T,0))</f>
        <v>1.35</v>
      </c>
      <c r="BS95" s="27">
        <f t="shared" si="20"/>
        <v>0.87863408</v>
      </c>
      <c r="BT95" s="27">
        <f t="shared" si="21"/>
        <v>0.01567581</v>
      </c>
      <c r="BU95" s="27">
        <f>IF(VLOOKUP($Q95,武学奇术!$A:$ZZ,22,FALSE)=1,0,(1-$BN95))*(1-$BQ95)</f>
        <v>0.01279011</v>
      </c>
      <c r="BV95" s="27" cm="1">
        <f t="array" ref="BV95">SUM(_xlfn.XLOOKUP($R95:$AK95,增益!$A:$A,增益!$W:$W,0))+$I$5</f>
        <v>0.11</v>
      </c>
    </row>
    <row r="96" spans="1:74">
      <c r="K96" s="40">
        <f t="shared" si="11"/>
        <v>30003.7718841182</v>
      </c>
      <c r="L96" s="40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BP96*$P96*(1+IF(VLOOKUP($Q96,武学奇术!$A:$ZZ,30,FALSE)="蓄力技",$B$21,0))*(1+$BV96)</f>
        <v>31146.4926767784</v>
      </c>
      <c r="M96" s="40">
        <f>(($AT96*$AM96+$AN96)*(1+$AU96)*(1+$AV96)+($AY96*IF($G$1="鸣金",$AO96,$AM96)+IF($G$1="鸣金",$AP96*1.5,0))*(1+$AZ96)*(1+$BA96)+($BC96*IF($G$1="裂石",$AO96,$AM96)+IF($G$1="裂石",$AP96*1.5,0))*(1+$BD96)*(1+$BE96)+($BG96*IF($G$1="牵丝",$AO96,$AM96)+IF($G$1="牵丝",$AP96*1.5,0))*(1+$BH96)*(1+$BI96)+($BK96*IF($G$1="破竹",$AO96,$AM96)+IF($G$1="破竹",$AP96*1.5,0))*(1+$BL96)*(1+$BM96))*(1+$AQ96)*$BR96*$P96*(1+IF(VLOOKUP($Q96,武学奇术!$A:$ZZ,30,FALSE)="蓄力技",$B$21,0))*(1+$BV96)</f>
        <v>23912.3935871542</v>
      </c>
      <c r="N96" s="40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P96*(1+IF(VLOOKUP($Q96,武学奇术!$A:$ZZ,30,FALSE)="蓄力技",$B$21,0))*(1+$BV96)</f>
        <v>15573.2463383892</v>
      </c>
      <c r="O96" s="40">
        <f>((($AS96*$AM96+$AN96)*(1+$AU96)*(1+$AV96)+($AX96*IF($G$1="鸣金",$AO96,$AM96)+IF($G$1="鸣金",$AP96*1.5,0))*(1+$AZ96)*(1+$BA96)+($BB96*IF($G$1="裂石",$AO96,$AM96)+IF($G$1="裂石",$AP96*1.5,0))*(1+$BD96)*(1+$BE96)+($BF96*IF($G$1="牵丝",$AO96,$AM96)+IF($G$1="牵丝",$AP96*1.5,0))*(1+$BH96)*(1+$BI96)+($BJ96*IF($G$1="破竹",$AO96,$AM96)+IF($G$1="破竹",$AP96*1.5,0))*(1+$BL96)*(1+$BM96))*(1+$AQ96))*$P96*(1+IF(VLOOKUP($Q96,武学奇术!$A:$ZZ,30,FALSE)="蓄力技",$B$21,0))*(1+$BV96)</f>
        <v>13433.6085381457</v>
      </c>
      <c r="P96" s="41">
        <v>1</v>
      </c>
      <c r="Q96" s="42" t="s">
        <v>110</v>
      </c>
      <c r="R96" s="42" t="s">
        <v>103</v>
      </c>
      <c r="S96" s="42" t="s">
        <v>77</v>
      </c>
      <c r="T96" s="42" t="s">
        <v>77</v>
      </c>
      <c r="U96" s="42" t="s">
        <v>121</v>
      </c>
      <c r="V96" s="42" t="s">
        <v>77</v>
      </c>
      <c r="W96" s="42" t="s">
        <v>77</v>
      </c>
      <c r="X96" s="42" t="s">
        <v>176</v>
      </c>
      <c r="Y96" s="42" t="s">
        <v>77</v>
      </c>
      <c r="Z96" s="42" t="s">
        <v>77</v>
      </c>
      <c r="AA96" s="42" t="s">
        <v>73</v>
      </c>
      <c r="AB96" s="42" t="s">
        <v>77</v>
      </c>
      <c r="AC96" s="42" t="s">
        <v>77</v>
      </c>
      <c r="AD96" s="42" t="s">
        <v>77</v>
      </c>
      <c r="AE96" s="42" t="s">
        <v>81</v>
      </c>
      <c r="AF96" s="42" t="s">
        <v>82</v>
      </c>
      <c r="AG96" s="42" t="s">
        <v>77</v>
      </c>
      <c r="AH96" s="42" t="s">
        <v>77</v>
      </c>
      <c r="AI96" s="42" t="s">
        <v>77</v>
      </c>
      <c r="AJ96" s="42" t="s">
        <v>77</v>
      </c>
      <c r="AK96" s="42" t="s">
        <v>77</v>
      </c>
      <c r="AL96" t="str">
        <f>VLOOKUP($Q96,武学奇术!$A:$ZZ,25,FALSE)</f>
        <v>横刀</v>
      </c>
      <c r="AM96" s="27">
        <f>VLOOKUP($Q96,武学奇术!$A:$ZZ,26,FALSE)</f>
        <v>1.4</v>
      </c>
      <c r="AN96" s="28">
        <f>VLOOKUP($Q96,武学奇术!$A:$ZZ,27,FALSE)*(1+IF(OR($AL96=$F$4,$AL96=$F$5),$B$22,0))</f>
        <v>0</v>
      </c>
      <c r="AO96" s="27">
        <f>VLOOKUP($Q96,武学奇术!$A:$ZZ,28,FALSE)</f>
        <v>2.1</v>
      </c>
      <c r="AP96" s="28">
        <f>VLOOKUP($Q96,武学奇术!$A:$ZZ,29,FALSE)*(1+IF(OR($AL96=$F$4,$AL96=$F$5),$B$22,0))</f>
        <v>0</v>
      </c>
      <c r="AQ96" s="27" cm="1">
        <f t="array" ref="AQ96">$G$3+IFERROR(VLOOKUP($AL96,$F$4:$G$7,2,FALSE),0)+VLOOKUP($Q96,武学奇术!$A:$ZZ,2,FALSE)+SUM(_xlfn.XLOOKUP($R96:$AK96,增益!$A:$A,增益!$B:$B,0))</f>
        <v>0.4489</v>
      </c>
      <c r="AR96" s="27" cm="1">
        <f t="array" ref="AR96">VLOOKUP($Q96,武学奇术!$A:$ZZ,5,FALSE)+SUM(_xlfn.XLOOKUP($R96:$AK96,增益!$A:$A,增益!$E:$E,0))</f>
        <v>0</v>
      </c>
      <c r="AS96" cm="1">
        <f t="array" ref="AS96">$D$10*(1+$AR96)+VLOOKUP($Q96,武学奇术!$A:$ZZ,3,FALSE)+SUM(_xlfn.XLOOKUP($R96:$AK96,增益!$A:$A,增益!$C:$C,0))-$I$2</f>
        <v>3586.7</v>
      </c>
      <c r="AT96" cm="1">
        <f t="array" ref="AT96">$E$10*(1+$AR96)+VLOOKUP($Q96,武学奇术!$A:$ZZ,4,FALSE)+SUM(_xlfn.XLOOKUP($R96:$AK96,增益!$A:$A,增益!$D:$D,0))-$I$2</f>
        <v>3586.7</v>
      </c>
      <c r="AU96" s="34" cm="1">
        <f t="array" ref="AU96">IF($F$10-$I$3+VLOOKUP($Q96,武学奇术!$A:$ZZ,6,FALSE)+SUM(_xlfn.XLOOKUP($R96:$AK96,增益!$A:$A,增益!$F:$F,0))&gt;0,($F$10-$I$3+VLOOKUP($Q96,武学奇术!$A:$ZZ,6,FALSE)+SUM(_xlfn.XLOOKUP($R96:$AK96,增益!$A:$A,增益!$F:$F,0)))/200,($F$10-$I$3+VLOOKUP($Q96,武学奇术!$A:$ZZ,6,FALSE)+SUM(_xlfn.XLOOKUP($R96:$AK96,增益!$A:$A,增益!$F:$F,0)))/100)</f>
        <v>0.352</v>
      </c>
      <c r="AV96" s="34" cm="1">
        <f t="array" ref="AV96">$G$10+VLOOKUP($Q96,武学奇术!$A:$ZZ,7,FALSE)+SUM(_xlfn.XLOOKUP($R96:$AK96,增益!$A:$A,增益!$G:$G,0))</f>
        <v>0</v>
      </c>
      <c r="AW96" s="27" cm="1">
        <f t="array" ref="AW96">VLOOKUP($Q96,武学奇术!$A:$ZZ,8,FALSE)+SUM(_xlfn.XLOOKUP($R96:$AK96,增益!$A:$A,增益!$H:$H,0))</f>
        <v>0</v>
      </c>
      <c r="AX96">
        <f t="shared" si="12"/>
        <v>0</v>
      </c>
      <c r="AY96">
        <f t="shared" si="13"/>
        <v>0</v>
      </c>
      <c r="AZ96" s="34" cm="1">
        <f t="array" ref="AZ96">IF($F$11-$I$4+VLOOKUP($Q96,武学奇术!$A:$ZZ,9,FALSE)+SUM(_xlfn.XLOOKUP($R96:$AK96,增益!$A:$A,增益!$I:$I,0))&gt;0,($F$11-$I$4+VLOOKUP($Q96,武学奇术!$A:$ZZ,9,FALSE)+SUM(_xlfn.XLOOKUP($R96:$AK96,增益!$A:$A,增益!$I:$I,0)))/200,($F$11-$I$4+VLOOKUP($Q96,武学奇术!$A:$ZZ,9,FALSE)+SUM(_xlfn.XLOOKUP($R96:$AK96,增益!$A:$A,增益!$I:$I,0)))/100)</f>
        <v>-0.3</v>
      </c>
      <c r="BA96" s="34" cm="1">
        <f t="array" ref="BA96">$G$11+VLOOKUP($Q96,武学奇术!$A:$ZZ,10,FALSE)+SUM(_xlfn.XLOOKUP($R96:$AK96,增益!$A:$A,增益!$J:$J,0))</f>
        <v>0</v>
      </c>
      <c r="BB96">
        <f t="shared" si="14"/>
        <v>594.1</v>
      </c>
      <c r="BC96">
        <f t="shared" si="15"/>
        <v>1604.9</v>
      </c>
      <c r="BD96" s="34" cm="1">
        <f t="array" ref="BD96">IF($F$12-$I$4+VLOOKUP($Q96,武学奇术!$A:$ZZ,11,FALSE)+SUM(_xlfn.XLOOKUP($R96:$AK96,增益!$A:$A,增益!$K:$K,0))&gt;0,($F$12-$I$4+VLOOKUP($Q96,武学奇术!$A:$ZZ,11,FALSE)+SUM(_xlfn.XLOOKUP($R96:$AK96,增益!$A:$A,增益!$K:$K,0)))/200,($F$12-$I$4+VLOOKUP($Q96,武学奇术!$A:$ZZ,11,FALSE)+SUM(_xlfn.XLOOKUP($R96:$AK96,增益!$A:$A,增益!$K:$K,0)))/100)</f>
        <v>0.09</v>
      </c>
      <c r="BE96" s="34" cm="1">
        <f t="array" ref="BE96">$G$12+VLOOKUP($Q96,武学奇术!$A:$ZZ,12,FALSE)+SUM(_xlfn.XLOOKUP($R96:$AK96,增益!$A:$A,增益!$L:$L,0))</f>
        <v>0.15</v>
      </c>
      <c r="BF96">
        <f t="shared" si="16"/>
        <v>0</v>
      </c>
      <c r="BG96">
        <f t="shared" si="17"/>
        <v>0</v>
      </c>
      <c r="BH96" s="34" cm="1">
        <f t="array" ref="BH96">IF($F$13-$I$4+VLOOKUP($Q96,武学奇术!$A:$ZZ,13,FALSE)+SUM(_xlfn.XLOOKUP($R96:$AK96,增益!$A:$A,增益!$M:$M,0))&gt;0,($F$13-$I$4+VLOOKUP($Q96,武学奇术!$A:$ZZ,13,FALSE)+SUM(_xlfn.XLOOKUP($R96:$AK96,增益!$A:$A,增益!$K:$K,0)))/200,($F$13-$I$4+VLOOKUP($Q96,武学奇术!$A:$ZZ,13,FALSE)+SUM(_xlfn.XLOOKUP($R96:$AK96,增益!$A:$A,增益!$M:$M,0)))/100)</f>
        <v>-0.3</v>
      </c>
      <c r="BI96" s="34" cm="1">
        <f t="array" ref="BI96">$G$13+VLOOKUP($Q96,武学奇术!$A:$ZZ,14,FALSE)+SUM(_xlfn.XLOOKUP($R96:$AK96,增益!$A:$A,增益!$N:$N,0))</f>
        <v>0</v>
      </c>
      <c r="BJ96">
        <f t="shared" si="18"/>
        <v>0</v>
      </c>
      <c r="BK96">
        <f t="shared" si="19"/>
        <v>0</v>
      </c>
      <c r="BL96" s="34" cm="1">
        <f t="array" ref="BL96">IF($F$14-$I$4+VLOOKUP($Q96,武学奇术!$A:$ZZ,15,FALSE)+SUM(_xlfn.XLOOKUP($R96:$AK96,增益!$A:$A,增益!$O:$O,0))&gt;0,($F$14-$I$4+VLOOKUP($Q96,武学奇术!$A:$ZZ,15,FALSE)+SUM(_xlfn.XLOOKUP($R96:$AK96,增益!$A:$A,增益!$O:$O,0)))/200,($F$14-$I$4+VLOOKUP($Q96,武学奇术!$A:$ZZ,15,FALSE)+SUM(_xlfn.XLOOKUP($R96:$AK96,增益!$A:$A,增益!$O:$O,0)))/100)</f>
        <v>-0.3</v>
      </c>
      <c r="BM96" s="34" cm="1">
        <f t="array" ref="BM96">$G$14+VLOOKUP($Q96,武学奇术!$A:$ZZ,16,FALSE)+SUM(_xlfn.XLOOKUP($R96:$AK96,增益!$A:$A,增益!$P:$P,0))</f>
        <v>0</v>
      </c>
      <c r="BN96" s="27">
        <f>MIN(IF(VLOOKUP($Q96,武学奇术!$A:$ZZ,23,FALSE)=1,100%,$B$8),100%)</f>
        <v>0.9859</v>
      </c>
      <c r="BO96" s="27" cm="1">
        <f t="array" ref="BO96">IF(VLOOKUP($Q96,武学奇术!$A:$ZZ,23,FALSE)=1,100%,MIN(80%,$B$9+VLOOKUP($Q96,武学奇术!$A:$ZZ,17,FALSE)+SUM(_xlfn.XLOOKUP($R96:$AK96,增益!$A:$A,增益!$Q:$Q,0)))+$B$11+SUM(_xlfn.XLOOKUP($R96:$AK96,增益!$A:$A,增益!$U:$U,0)))*IF(VLOOKUP($Q96,武学奇术!$A:$ZZ,24,FALSE)=1,0,1)</f>
        <v>0.8912</v>
      </c>
      <c r="BP96" s="27" cm="1">
        <f t="array" ref="BP96">1+$B$13+VLOOKUP($Q96,武学奇术!$A:$ZZ,18,FALSE)+SUM(_xlfn.XLOOKUP($R96:$AK96,增益!$A:$A,增益!$R:$R,0))</f>
        <v>2</v>
      </c>
      <c r="BQ96" s="27" cm="1">
        <f t="array" ref="BQ96">IF(VLOOKUP($Q96,武学奇术!$A:$ZZ,24,FALSE)=1,100%,MIN(40%,$B$10+VLOOKUP($Q96,武学奇术!$A:$ZZ,19,FALSE)+SUM(_xlfn.XLOOKUP($R96:$AK96,增益!$A:$A,增益!$S:$S,0)))+$B$12+SUM(_xlfn.XLOOKUP($R96:$AK96,增益!$A:$A,增益!$V:$V,0)))*IF(VLOOKUP($Q96,武学奇术!$A:$ZZ,23,FALSE)=1,0,1)</f>
        <v>0.0929</v>
      </c>
      <c r="BR96" s="27" cm="1">
        <f t="array" ref="BR96">1+$B$14+VLOOKUP($Q96,武学奇术!$A:$ZZ,20,FALSE)+SUM(_xlfn.XLOOKUP($R96:$AK96,增益!$A:$A,增益!$T:$T,0))</f>
        <v>1.35</v>
      </c>
      <c r="BS96" s="27">
        <f t="shared" si="20"/>
        <v>0.87863408</v>
      </c>
      <c r="BT96" s="27">
        <f t="shared" si="21"/>
        <v>0.01567581</v>
      </c>
      <c r="BU96" s="27">
        <f>IF(VLOOKUP($Q96,武学奇术!$A:$ZZ,22,FALSE)=1,0,(1-$BN96))*(1-$BQ96)</f>
        <v>0.01279011</v>
      </c>
      <c r="BV96" s="27" cm="1">
        <f t="array" ref="BV96">SUM(_xlfn.XLOOKUP($R96:$AK96,增益!$A:$A,增益!$W:$W,0))+$I$5</f>
        <v>0.11</v>
      </c>
    </row>
    <row r="97" spans="11:74">
      <c r="K97" s="40">
        <f t="shared" si="11"/>
        <v>27518.1816012399</v>
      </c>
      <c r="L97" s="40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BP97*$P97*(1+IF(VLOOKUP($Q97,武学奇术!$A:$ZZ,30,FALSE)="蓄力技",$B$21,0))*(1+$BV97)</f>
        <v>28528.6546458537</v>
      </c>
      <c r="M97" s="40">
        <f>(($AT97*$AM97+$AN97)*(1+$AU97)*(1+$AV97)+($AY97*IF($G$1="鸣金",$AO97,$AM97)+IF($G$1="鸣金",$AP97*1.5,0))*(1+$AZ97)*(1+$BA97)+($BC97*IF($G$1="裂石",$AO97,$AM97)+IF($G$1="裂石",$AP97*1.5,0))*(1+$BD97)*(1+$BE97)+($BG97*IF($G$1="牵丝",$AO97,$AM97)+IF($G$1="牵丝",$AP97*1.5,0))*(1+$BH97)*(1+$BI97)+($BK97*IF($G$1="破竹",$AO97,$AM97)+IF($G$1="破竹",$AP97*1.5,0))*(1+$BL97)*(1+$BM97))*(1+$AQ97)*$BR97*$P97*(1+IF(VLOOKUP($Q97,武学奇术!$A:$ZZ,30,FALSE)="蓄力技",$B$21,0))*(1+$BV97)</f>
        <v>22155.6568521233</v>
      </c>
      <c r="N97" s="40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P97*(1+IF(VLOOKUP($Q97,武学奇术!$A:$ZZ,30,FALSE)="蓄力技",$B$21,0))*(1+$BV97)</f>
        <v>14630.079305566</v>
      </c>
      <c r="O97" s="40">
        <f>((($AS97*$AM97+$AN97)*(1+$AU97)*(1+$AV97)+($AX97*IF($G$1="鸣金",$AO97,$AM97)+IF($G$1="鸣金",$AP97*1.5,0))*(1+$AZ97)*(1+$BA97)+($BB97*IF($G$1="裂石",$AO97,$AM97)+IF($G$1="裂石",$AP97*1.5,0))*(1+$BD97)*(1+$BE97)+($BF97*IF($G$1="牵丝",$AO97,$AM97)+IF($G$1="牵丝",$AP97*1.5,0))*(1+$BH97)*(1+$BI97)+($BJ97*IF($G$1="破竹",$AO97,$AM97)+IF($G$1="破竹",$AP97*1.5,0))*(1+$BL97)*(1+$BM97))*(1+$AQ97))*$P97*(1+IF(VLOOKUP($Q97,武学奇术!$A:$ZZ,30,FALSE)="蓄力技",$B$21,0))*(1+$BV97)</f>
        <v>12848.5609428925</v>
      </c>
      <c r="P97" s="41">
        <v>1</v>
      </c>
      <c r="Q97" s="42" t="s">
        <v>162</v>
      </c>
      <c r="R97" s="42" t="s">
        <v>103</v>
      </c>
      <c r="S97" s="42" t="s">
        <v>77</v>
      </c>
      <c r="T97" s="42" t="s">
        <v>77</v>
      </c>
      <c r="U97" s="42" t="s">
        <v>87</v>
      </c>
      <c r="V97" s="42" t="s">
        <v>77</v>
      </c>
      <c r="W97" s="42" t="s">
        <v>77</v>
      </c>
      <c r="X97" s="42" t="s">
        <v>176</v>
      </c>
      <c r="Y97" s="42" t="s">
        <v>77</v>
      </c>
      <c r="Z97" s="42" t="s">
        <v>77</v>
      </c>
      <c r="AA97" s="42" t="s">
        <v>77</v>
      </c>
      <c r="AB97" s="42" t="s">
        <v>77</v>
      </c>
      <c r="AC97" s="42" t="s">
        <v>77</v>
      </c>
      <c r="AD97" s="42" t="s">
        <v>77</v>
      </c>
      <c r="AE97" s="42" t="s">
        <v>81</v>
      </c>
      <c r="AF97" s="42" t="s">
        <v>82</v>
      </c>
      <c r="AG97" s="42" t="s">
        <v>77</v>
      </c>
      <c r="AH97" s="42" t="s">
        <v>77</v>
      </c>
      <c r="AI97" s="42" t="s">
        <v>77</v>
      </c>
      <c r="AJ97" s="42" t="s">
        <v>77</v>
      </c>
      <c r="AK97" s="42" t="s">
        <v>77</v>
      </c>
      <c r="AL97" t="str">
        <f>VLOOKUP($Q97,武学奇术!$A:$ZZ,25,FALSE)</f>
        <v>横刀</v>
      </c>
      <c r="AM97" s="27">
        <f>VLOOKUP($Q97,武学奇术!$A:$ZZ,26,FALSE)</f>
        <v>1.2338</v>
      </c>
      <c r="AN97" s="28">
        <f>VLOOKUP($Q97,武学奇术!$A:$ZZ,27,FALSE)*(1+IF(OR($AL97=$F$4,$AL97=$F$5),$B$22,0))</f>
        <v>513</v>
      </c>
      <c r="AO97" s="27">
        <f>VLOOKUP($Q97,武学奇术!$A:$ZZ,28,FALSE)</f>
        <v>1.8507</v>
      </c>
      <c r="AP97" s="28">
        <f>VLOOKUP($Q97,武学奇术!$A:$ZZ,29,FALSE)*(1+IF(OR($AL97=$F$4,$AL97=$F$5),$B$22,0))</f>
        <v>279</v>
      </c>
      <c r="AQ97" s="27" cm="1">
        <f t="array" ref="AQ97">$G$3+IFERROR(VLOOKUP($AL97,$F$4:$G$7,2,FALSE),0)+VLOOKUP($Q97,武学奇术!$A:$ZZ,2,FALSE)+SUM(_xlfn.XLOOKUP($R97:$AK97,增益!$A:$A,增益!$B:$B,0))</f>
        <v>0.3689</v>
      </c>
      <c r="AR97" s="27" cm="1">
        <f t="array" ref="AR97">VLOOKUP($Q97,武学奇术!$A:$ZZ,5,FALSE)+SUM(_xlfn.XLOOKUP($R97:$AK97,增益!$A:$A,增益!$E:$E,0))</f>
        <v>0</v>
      </c>
      <c r="AS97" cm="1">
        <f t="array" ref="AS97">$D$10*(1+$AR97)+VLOOKUP($Q97,武学奇术!$A:$ZZ,3,FALSE)+SUM(_xlfn.XLOOKUP($R97:$AK97,增益!$A:$A,增益!$C:$C,0))-$I$2</f>
        <v>3586.7</v>
      </c>
      <c r="AT97" cm="1">
        <f t="array" ref="AT97">$E$10*(1+$AR97)+VLOOKUP($Q97,武学奇术!$A:$ZZ,4,FALSE)+SUM(_xlfn.XLOOKUP($R97:$AK97,增益!$A:$A,增益!$D:$D,0))-$I$2</f>
        <v>3586.7</v>
      </c>
      <c r="AU97" s="34" cm="1">
        <f t="array" ref="AU97">IF($F$10-$I$3+VLOOKUP($Q97,武学奇术!$A:$ZZ,6,FALSE)+SUM(_xlfn.XLOOKUP($R97:$AK97,增益!$A:$A,增益!$F:$F,0))&gt;0,($F$10-$I$3+VLOOKUP($Q97,武学奇术!$A:$ZZ,6,FALSE)+SUM(_xlfn.XLOOKUP($R97:$AK97,增益!$A:$A,增益!$F:$F,0)))/200,($F$10-$I$3+VLOOKUP($Q97,武学奇术!$A:$ZZ,6,FALSE)+SUM(_xlfn.XLOOKUP($R97:$AK97,增益!$A:$A,增益!$F:$F,0)))/100)</f>
        <v>0.327</v>
      </c>
      <c r="AV97" s="34" cm="1">
        <f t="array" ref="AV97">$G$10+VLOOKUP($Q97,武学奇术!$A:$ZZ,7,FALSE)+SUM(_xlfn.XLOOKUP($R97:$AK97,增益!$A:$A,增益!$G:$G,0))</f>
        <v>0</v>
      </c>
      <c r="AW97" s="27" cm="1">
        <f t="array" ref="AW97">VLOOKUP($Q97,武学奇术!$A:$ZZ,8,FALSE)+SUM(_xlfn.XLOOKUP($R97:$AK97,增益!$A:$A,增益!$H:$H,0))</f>
        <v>0</v>
      </c>
      <c r="AX97">
        <f t="shared" si="12"/>
        <v>0</v>
      </c>
      <c r="AY97">
        <f t="shared" si="13"/>
        <v>0</v>
      </c>
      <c r="AZ97" s="34" cm="1">
        <f t="array" ref="AZ97">IF($F$11-$I$4+VLOOKUP($Q97,武学奇术!$A:$ZZ,9,FALSE)+SUM(_xlfn.XLOOKUP($R97:$AK97,增益!$A:$A,增益!$I:$I,0))&gt;0,($F$11-$I$4+VLOOKUP($Q97,武学奇术!$A:$ZZ,9,FALSE)+SUM(_xlfn.XLOOKUP($R97:$AK97,增益!$A:$A,增益!$I:$I,0)))/200,($F$11-$I$4+VLOOKUP($Q97,武学奇术!$A:$ZZ,9,FALSE)+SUM(_xlfn.XLOOKUP($R97:$AK97,增益!$A:$A,增益!$I:$I,0)))/100)</f>
        <v>-0.3</v>
      </c>
      <c r="BA97" s="34" cm="1">
        <f t="array" ref="BA97">$G$11+VLOOKUP($Q97,武学奇术!$A:$ZZ,10,FALSE)+SUM(_xlfn.XLOOKUP($R97:$AK97,增益!$A:$A,增益!$J:$J,0))</f>
        <v>0</v>
      </c>
      <c r="BB97">
        <f t="shared" si="14"/>
        <v>594.1</v>
      </c>
      <c r="BC97">
        <f t="shared" si="15"/>
        <v>1604.9</v>
      </c>
      <c r="BD97" s="34" cm="1">
        <f t="array" ref="BD97">IF($F$12-$I$4+VLOOKUP($Q97,武学奇术!$A:$ZZ,11,FALSE)+SUM(_xlfn.XLOOKUP($R97:$AK97,增益!$A:$A,增益!$K:$K,0))&gt;0,($F$12-$I$4+VLOOKUP($Q97,武学奇术!$A:$ZZ,11,FALSE)+SUM(_xlfn.XLOOKUP($R97:$AK97,增益!$A:$A,增益!$K:$K,0)))/200,($F$12-$I$4+VLOOKUP($Q97,武学奇术!$A:$ZZ,11,FALSE)+SUM(_xlfn.XLOOKUP($R97:$AK97,增益!$A:$A,增益!$K:$K,0)))/100)</f>
        <v>0.09</v>
      </c>
      <c r="BE97" s="34" cm="1">
        <f t="array" ref="BE97">$G$12+VLOOKUP($Q97,武学奇术!$A:$ZZ,12,FALSE)+SUM(_xlfn.XLOOKUP($R97:$AK97,增益!$A:$A,增益!$L:$L,0))</f>
        <v>0.15</v>
      </c>
      <c r="BF97">
        <f t="shared" si="16"/>
        <v>0</v>
      </c>
      <c r="BG97">
        <f t="shared" si="17"/>
        <v>0</v>
      </c>
      <c r="BH97" s="34" cm="1">
        <f t="array" ref="BH97">IF($F$13-$I$4+VLOOKUP($Q97,武学奇术!$A:$ZZ,13,FALSE)+SUM(_xlfn.XLOOKUP($R97:$AK97,增益!$A:$A,增益!$M:$M,0))&gt;0,($F$13-$I$4+VLOOKUP($Q97,武学奇术!$A:$ZZ,13,FALSE)+SUM(_xlfn.XLOOKUP($R97:$AK97,增益!$A:$A,增益!$K:$K,0)))/200,($F$13-$I$4+VLOOKUP($Q97,武学奇术!$A:$ZZ,13,FALSE)+SUM(_xlfn.XLOOKUP($R97:$AK97,增益!$A:$A,增益!$M:$M,0)))/100)</f>
        <v>-0.3</v>
      </c>
      <c r="BI97" s="34" cm="1">
        <f t="array" ref="BI97">$G$13+VLOOKUP($Q97,武学奇术!$A:$ZZ,14,FALSE)+SUM(_xlfn.XLOOKUP($R97:$AK97,增益!$A:$A,增益!$N:$N,0))</f>
        <v>0</v>
      </c>
      <c r="BJ97">
        <f t="shared" si="18"/>
        <v>0</v>
      </c>
      <c r="BK97">
        <f t="shared" si="19"/>
        <v>0</v>
      </c>
      <c r="BL97" s="34" cm="1">
        <f t="array" ref="BL97">IF($F$14-$I$4+VLOOKUP($Q97,武学奇术!$A:$ZZ,15,FALSE)+SUM(_xlfn.XLOOKUP($R97:$AK97,增益!$A:$A,增益!$O:$O,0))&gt;0,($F$14-$I$4+VLOOKUP($Q97,武学奇术!$A:$ZZ,15,FALSE)+SUM(_xlfn.XLOOKUP($R97:$AK97,增益!$A:$A,增益!$O:$O,0)))/200,($F$14-$I$4+VLOOKUP($Q97,武学奇术!$A:$ZZ,15,FALSE)+SUM(_xlfn.XLOOKUP($R97:$AK97,增益!$A:$A,增益!$O:$O,0)))/100)</f>
        <v>-0.3</v>
      </c>
      <c r="BM97" s="34" cm="1">
        <f t="array" ref="BM97">$G$14+VLOOKUP($Q97,武学奇术!$A:$ZZ,16,FALSE)+SUM(_xlfn.XLOOKUP($R97:$AK97,增益!$A:$A,增益!$P:$P,0))</f>
        <v>0</v>
      </c>
      <c r="BN97" s="27">
        <f>MIN(IF(VLOOKUP($Q97,武学奇术!$A:$ZZ,23,FALSE)=1,100%,$B$8),100%)</f>
        <v>0.9859</v>
      </c>
      <c r="BO97" s="27" cm="1">
        <f t="array" ref="BO97">IF(VLOOKUP($Q97,武学奇术!$A:$ZZ,23,FALSE)=1,100%,MIN(80%,$B$9+VLOOKUP($Q97,武学奇术!$A:$ZZ,17,FALSE)+SUM(_xlfn.XLOOKUP($R97:$AK97,增益!$A:$A,增益!$Q:$Q,0)))+$B$11+SUM(_xlfn.XLOOKUP($R97:$AK97,增益!$A:$A,增益!$U:$U,0)))*IF(VLOOKUP($Q97,武学奇术!$A:$ZZ,24,FALSE)=1,0,1)</f>
        <v>0.8912</v>
      </c>
      <c r="BP97" s="27" cm="1">
        <f t="array" ref="BP97">1+$B$13+VLOOKUP($Q97,武学奇术!$A:$ZZ,18,FALSE)+SUM(_xlfn.XLOOKUP($R97:$AK97,增益!$A:$A,增益!$R:$R,0))</f>
        <v>1.95</v>
      </c>
      <c r="BQ97" s="27" cm="1">
        <f t="array" ref="BQ97">IF(VLOOKUP($Q97,武学奇术!$A:$ZZ,24,FALSE)=1,100%,MIN(40%,$B$10+VLOOKUP($Q97,武学奇术!$A:$ZZ,19,FALSE)+SUM(_xlfn.XLOOKUP($R97:$AK97,增益!$A:$A,增益!$S:$S,0)))+$B$12+SUM(_xlfn.XLOOKUP($R97:$AK97,增益!$A:$A,增益!$V:$V,0)))*IF(VLOOKUP($Q97,武学奇术!$A:$ZZ,23,FALSE)=1,0,1)</f>
        <v>0.0929</v>
      </c>
      <c r="BR97" s="27" cm="1">
        <f t="array" ref="BR97">1+$B$14+VLOOKUP($Q97,武学奇术!$A:$ZZ,20,FALSE)+SUM(_xlfn.XLOOKUP($R97:$AK97,增益!$A:$A,增益!$T:$T,0))</f>
        <v>1.35</v>
      </c>
      <c r="BS97" s="27">
        <f t="shared" si="20"/>
        <v>0.87863408</v>
      </c>
      <c r="BT97" s="27">
        <f t="shared" si="21"/>
        <v>0.01567581</v>
      </c>
      <c r="BU97" s="27">
        <f>IF(VLOOKUP($Q97,武学奇术!$A:$ZZ,22,FALSE)=1,0,(1-$BN97))*(1-$BQ97)</f>
        <v>0.01279011</v>
      </c>
      <c r="BV97" s="27" cm="1">
        <f t="array" ref="BV97">SUM(_xlfn.XLOOKUP($R97:$AK97,增益!$A:$A,增益!$W:$W,0))+$I$5</f>
        <v>0.11</v>
      </c>
    </row>
    <row r="98" spans="11:74">
      <c r="K98" s="40">
        <f t="shared" si="11"/>
        <v>85518.8761828597</v>
      </c>
      <c r="L98" s="40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BP98*$P98*(1+IF(VLOOKUP($Q98,武学奇术!$A:$ZZ,30,FALSE)="蓄力技",$B$21,0))*(1+$BV98)</f>
        <v>88659.0360871854</v>
      </c>
      <c r="M98" s="40">
        <f>(($AT98*$AM98+$AN98)*(1+$AU98)*(1+$AV98)+($AY98*IF($G$1="鸣金",$AO98,$AM98)+IF($G$1="鸣金",$AP98*1.5,0))*(1+$AZ98)*(1+$BA98)+($BC98*IF($G$1="裂石",$AO98,$AM98)+IF($G$1="裂石",$AP98*1.5,0))*(1+$BD98)*(1+$BE98)+($BG98*IF($G$1="牵丝",$AO98,$AM98)+IF($G$1="牵丝",$AP98*1.5,0))*(1+$BH98)*(1+$BI98)+($BK98*IF($G$1="破竹",$AO98,$AM98)+IF($G$1="破竹",$AP98*1.5,0))*(1+$BL98)*(1+$BM98))*(1+$AQ98)*$BR98*$P98*(1+IF(VLOOKUP($Q98,武学奇术!$A:$ZZ,30,FALSE)="蓄力技",$B$21,0))*(1+$BV98)</f>
        <v>68854.8236389525</v>
      </c>
      <c r="N98" s="40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P98*(1+IF(VLOOKUP($Q98,武学奇术!$A:$ZZ,30,FALSE)="蓄力技",$B$21,0))*(1+$BV98)</f>
        <v>45466.1723524028</v>
      </c>
      <c r="O98" s="40">
        <f>((($AS98*$AM98+$AN98)*(1+$AU98)*(1+$AV98)+($AX98*IF($G$1="鸣金",$AO98,$AM98)+IF($G$1="鸣金",$AP98*1.5,0))*(1+$AZ98)*(1+$BA98)+($BB98*IF($G$1="裂石",$AO98,$AM98)+IF($G$1="裂石",$AP98*1.5,0))*(1+$BD98)*(1+$BE98)+($BF98*IF($G$1="牵丝",$AO98,$AM98)+IF($G$1="牵丝",$AP98*1.5,0))*(1+$BH98)*(1+$BI98)+($BJ98*IF($G$1="破竹",$AO98,$AM98)+IF($G$1="破竹",$AP98*1.5,0))*(1+$BL98)*(1+$BM98))*(1+$AQ98))*$P98*(1+IF(VLOOKUP($Q98,武学奇术!$A:$ZZ,30,FALSE)="蓄力技",$B$21,0))*(1+$BV98)</f>
        <v>39928.7716389148</v>
      </c>
      <c r="P98" s="41">
        <v>1</v>
      </c>
      <c r="Q98" s="42" t="s">
        <v>164</v>
      </c>
      <c r="R98" s="42" t="s">
        <v>103</v>
      </c>
      <c r="S98" s="42" t="s">
        <v>77</v>
      </c>
      <c r="T98" s="42" t="s">
        <v>77</v>
      </c>
      <c r="U98" s="42" t="s">
        <v>87</v>
      </c>
      <c r="V98" s="42" t="s">
        <v>77</v>
      </c>
      <c r="W98" s="42" t="s">
        <v>78</v>
      </c>
      <c r="X98" s="42" t="s">
        <v>176</v>
      </c>
      <c r="Y98" s="42" t="s">
        <v>77</v>
      </c>
      <c r="Z98" s="42" t="s">
        <v>77</v>
      </c>
      <c r="AA98" s="42" t="s">
        <v>77</v>
      </c>
      <c r="AB98" s="42" t="s">
        <v>77</v>
      </c>
      <c r="AC98" s="42" t="s">
        <v>77</v>
      </c>
      <c r="AD98" s="42" t="s">
        <v>77</v>
      </c>
      <c r="AE98" s="42" t="s">
        <v>81</v>
      </c>
      <c r="AF98" s="42" t="s">
        <v>82</v>
      </c>
      <c r="AG98" s="42" t="s">
        <v>77</v>
      </c>
      <c r="AH98" s="42" t="s">
        <v>77</v>
      </c>
      <c r="AI98" s="42" t="s">
        <v>77</v>
      </c>
      <c r="AJ98" s="42" t="s">
        <v>77</v>
      </c>
      <c r="AK98" s="42" t="s">
        <v>77</v>
      </c>
      <c r="AL98" t="str">
        <f>VLOOKUP($Q98,武学奇术!$A:$ZZ,25,FALSE)</f>
        <v>横刀</v>
      </c>
      <c r="AM98" s="27">
        <f>VLOOKUP($Q98,武学奇术!$A:$ZZ,26,FALSE)</f>
        <v>3.7797</v>
      </c>
      <c r="AN98" s="28">
        <f>VLOOKUP($Q98,武学奇术!$A:$ZZ,27,FALSE)*(1+IF(OR($AL98=$F$4,$AL98=$F$5),$B$22,0))</f>
        <v>1567.5</v>
      </c>
      <c r="AO98" s="27">
        <f>VLOOKUP($Q98,武学奇术!$A:$ZZ,28,FALSE)</f>
        <v>5.6696</v>
      </c>
      <c r="AP98" s="28">
        <f>VLOOKUP($Q98,武学奇术!$A:$ZZ,29,FALSE)*(1+IF(OR($AL98=$F$4,$AL98=$F$5),$B$22,0))</f>
        <v>855</v>
      </c>
      <c r="AQ98" s="27" cm="1">
        <f t="array" ref="AQ98">$G$3+IFERROR(VLOOKUP($AL98,$F$4:$G$7,2,FALSE),0)+VLOOKUP($Q98,武学奇术!$A:$ZZ,2,FALSE)+SUM(_xlfn.XLOOKUP($R98:$AK98,增益!$A:$A,增益!$B:$B,0))</f>
        <v>0.3889</v>
      </c>
      <c r="AR98" s="27" cm="1">
        <f t="array" ref="AR98">VLOOKUP($Q98,武学奇术!$A:$ZZ,5,FALSE)+SUM(_xlfn.XLOOKUP($R98:$AK98,增益!$A:$A,增益!$E:$E,0))</f>
        <v>0</v>
      </c>
      <c r="AS98" cm="1">
        <f t="array" ref="AS98">$D$10*(1+$AR98)+VLOOKUP($Q98,武学奇术!$A:$ZZ,3,FALSE)+SUM(_xlfn.XLOOKUP($R98:$AK98,增益!$A:$A,增益!$C:$C,0))-$I$2</f>
        <v>3586.7</v>
      </c>
      <c r="AT98" cm="1">
        <f t="array" ref="AT98">$E$10*(1+$AR98)+VLOOKUP($Q98,武学奇术!$A:$ZZ,4,FALSE)+SUM(_xlfn.XLOOKUP($R98:$AK98,增益!$A:$A,增益!$D:$D,0))-$I$2</f>
        <v>3586.7</v>
      </c>
      <c r="AU98" s="34" cm="1">
        <f t="array" ref="AU98">IF($F$10-$I$3+VLOOKUP($Q98,武学奇术!$A:$ZZ,6,FALSE)+SUM(_xlfn.XLOOKUP($R98:$AK98,增益!$A:$A,增益!$F:$F,0))&gt;0,($F$10-$I$3+VLOOKUP($Q98,武学奇术!$A:$ZZ,6,FALSE)+SUM(_xlfn.XLOOKUP($R98:$AK98,增益!$A:$A,增益!$F:$F,0)))/200,($F$10-$I$3+VLOOKUP($Q98,武学奇术!$A:$ZZ,6,FALSE)+SUM(_xlfn.XLOOKUP($R98:$AK98,增益!$A:$A,增益!$F:$F,0)))/100)</f>
        <v>0.327</v>
      </c>
      <c r="AV98" s="34" cm="1">
        <f t="array" ref="AV98">$G$10+VLOOKUP($Q98,武学奇术!$A:$ZZ,7,FALSE)+SUM(_xlfn.XLOOKUP($R98:$AK98,增益!$A:$A,增益!$G:$G,0))</f>
        <v>0</v>
      </c>
      <c r="AW98" s="27" cm="1">
        <f t="array" ref="AW98">VLOOKUP($Q98,武学奇术!$A:$ZZ,8,FALSE)+SUM(_xlfn.XLOOKUP($R98:$AK98,增益!$A:$A,增益!$H:$H,0))</f>
        <v>0</v>
      </c>
      <c r="AX98">
        <f t="shared" si="12"/>
        <v>0</v>
      </c>
      <c r="AY98">
        <f t="shared" si="13"/>
        <v>0</v>
      </c>
      <c r="AZ98" s="34" cm="1">
        <f t="array" ref="AZ98">IF($F$11-$I$4+VLOOKUP($Q98,武学奇术!$A:$ZZ,9,FALSE)+SUM(_xlfn.XLOOKUP($R98:$AK98,增益!$A:$A,增益!$I:$I,0))&gt;0,($F$11-$I$4+VLOOKUP($Q98,武学奇术!$A:$ZZ,9,FALSE)+SUM(_xlfn.XLOOKUP($R98:$AK98,增益!$A:$A,增益!$I:$I,0)))/200,($F$11-$I$4+VLOOKUP($Q98,武学奇术!$A:$ZZ,9,FALSE)+SUM(_xlfn.XLOOKUP($R98:$AK98,增益!$A:$A,增益!$I:$I,0)))/100)</f>
        <v>-0.3</v>
      </c>
      <c r="BA98" s="34" cm="1">
        <f t="array" ref="BA98">$G$11+VLOOKUP($Q98,武学奇术!$A:$ZZ,10,FALSE)+SUM(_xlfn.XLOOKUP($R98:$AK98,增益!$A:$A,增益!$J:$J,0))</f>
        <v>0</v>
      </c>
      <c r="BB98">
        <f t="shared" si="14"/>
        <v>594.1</v>
      </c>
      <c r="BC98">
        <f t="shared" si="15"/>
        <v>1604.9</v>
      </c>
      <c r="BD98" s="34" cm="1">
        <f t="array" ref="BD98">IF($F$12-$I$4+VLOOKUP($Q98,武学奇术!$A:$ZZ,11,FALSE)+SUM(_xlfn.XLOOKUP($R98:$AK98,增益!$A:$A,增益!$K:$K,0))&gt;0,($F$12-$I$4+VLOOKUP($Q98,武学奇术!$A:$ZZ,11,FALSE)+SUM(_xlfn.XLOOKUP($R98:$AK98,增益!$A:$A,增益!$K:$K,0)))/200,($F$12-$I$4+VLOOKUP($Q98,武学奇术!$A:$ZZ,11,FALSE)+SUM(_xlfn.XLOOKUP($R98:$AK98,增益!$A:$A,增益!$K:$K,0)))/100)</f>
        <v>0.09</v>
      </c>
      <c r="BE98" s="34" cm="1">
        <f t="array" ref="BE98">$G$12+VLOOKUP($Q98,武学奇术!$A:$ZZ,12,FALSE)+SUM(_xlfn.XLOOKUP($R98:$AK98,增益!$A:$A,增益!$L:$L,0))</f>
        <v>0.15</v>
      </c>
      <c r="BF98">
        <f t="shared" si="16"/>
        <v>0</v>
      </c>
      <c r="BG98">
        <f t="shared" si="17"/>
        <v>0</v>
      </c>
      <c r="BH98" s="34" cm="1">
        <f t="array" ref="BH98">IF($F$13-$I$4+VLOOKUP($Q98,武学奇术!$A:$ZZ,13,FALSE)+SUM(_xlfn.XLOOKUP($R98:$AK98,增益!$A:$A,增益!$M:$M,0))&gt;0,($F$13-$I$4+VLOOKUP($Q98,武学奇术!$A:$ZZ,13,FALSE)+SUM(_xlfn.XLOOKUP($R98:$AK98,增益!$A:$A,增益!$K:$K,0)))/200,($F$13-$I$4+VLOOKUP($Q98,武学奇术!$A:$ZZ,13,FALSE)+SUM(_xlfn.XLOOKUP($R98:$AK98,增益!$A:$A,增益!$M:$M,0)))/100)</f>
        <v>-0.3</v>
      </c>
      <c r="BI98" s="34" cm="1">
        <f t="array" ref="BI98">$G$13+VLOOKUP($Q98,武学奇术!$A:$ZZ,14,FALSE)+SUM(_xlfn.XLOOKUP($R98:$AK98,增益!$A:$A,增益!$N:$N,0))</f>
        <v>0</v>
      </c>
      <c r="BJ98">
        <f t="shared" si="18"/>
        <v>0</v>
      </c>
      <c r="BK98">
        <f t="shared" si="19"/>
        <v>0</v>
      </c>
      <c r="BL98" s="34" cm="1">
        <f t="array" ref="BL98">IF($F$14-$I$4+VLOOKUP($Q98,武学奇术!$A:$ZZ,15,FALSE)+SUM(_xlfn.XLOOKUP($R98:$AK98,增益!$A:$A,增益!$O:$O,0))&gt;0,($F$14-$I$4+VLOOKUP($Q98,武学奇术!$A:$ZZ,15,FALSE)+SUM(_xlfn.XLOOKUP($R98:$AK98,增益!$A:$A,增益!$O:$O,0)))/200,($F$14-$I$4+VLOOKUP($Q98,武学奇术!$A:$ZZ,15,FALSE)+SUM(_xlfn.XLOOKUP($R98:$AK98,增益!$A:$A,增益!$O:$O,0)))/100)</f>
        <v>-0.3</v>
      </c>
      <c r="BM98" s="34" cm="1">
        <f t="array" ref="BM98">$G$14+VLOOKUP($Q98,武学奇术!$A:$ZZ,16,FALSE)+SUM(_xlfn.XLOOKUP($R98:$AK98,增益!$A:$A,增益!$P:$P,0))</f>
        <v>0</v>
      </c>
      <c r="BN98" s="27">
        <f>MIN(IF(VLOOKUP($Q98,武学奇术!$A:$ZZ,23,FALSE)=1,100%,$B$8),100%)</f>
        <v>0.9859</v>
      </c>
      <c r="BO98" s="27" cm="1">
        <f t="array" ref="BO98">IF(VLOOKUP($Q98,武学奇术!$A:$ZZ,23,FALSE)=1,100%,MIN(80%,$B$9+VLOOKUP($Q98,武学奇术!$A:$ZZ,17,FALSE)+SUM(_xlfn.XLOOKUP($R98:$AK98,增益!$A:$A,增益!$Q:$Q,0)))+$B$11+SUM(_xlfn.XLOOKUP($R98:$AK98,增益!$A:$A,增益!$U:$U,0)))*IF(VLOOKUP($Q98,武学奇术!$A:$ZZ,24,FALSE)=1,0,1)</f>
        <v>0.8912</v>
      </c>
      <c r="BP98" s="27" cm="1">
        <f t="array" ref="BP98">1+$B$13+VLOOKUP($Q98,武学奇术!$A:$ZZ,18,FALSE)+SUM(_xlfn.XLOOKUP($R98:$AK98,增益!$A:$A,增益!$R:$R,0))</f>
        <v>1.95</v>
      </c>
      <c r="BQ98" s="27" cm="1">
        <f t="array" ref="BQ98">IF(VLOOKUP($Q98,武学奇术!$A:$ZZ,24,FALSE)=1,100%,MIN(40%,$B$10+VLOOKUP($Q98,武学奇术!$A:$ZZ,19,FALSE)+SUM(_xlfn.XLOOKUP($R98:$AK98,增益!$A:$A,增益!$S:$S,0)))+$B$12+SUM(_xlfn.XLOOKUP($R98:$AK98,增益!$A:$A,增益!$V:$V,0)))*IF(VLOOKUP($Q98,武学奇术!$A:$ZZ,23,FALSE)=1,0,1)</f>
        <v>0.0929</v>
      </c>
      <c r="BR98" s="27" cm="1">
        <f t="array" ref="BR98">1+$B$14+VLOOKUP($Q98,武学奇术!$A:$ZZ,20,FALSE)+SUM(_xlfn.XLOOKUP($R98:$AK98,增益!$A:$A,增益!$T:$T,0))</f>
        <v>1.35</v>
      </c>
      <c r="BS98" s="27">
        <f t="shared" si="20"/>
        <v>0.87863408</v>
      </c>
      <c r="BT98" s="27">
        <f t="shared" si="21"/>
        <v>0.01567581</v>
      </c>
      <c r="BU98" s="27">
        <f>IF(VLOOKUP($Q98,武学奇术!$A:$ZZ,22,FALSE)=1,0,(1-$BN98))*(1-$BQ98)</f>
        <v>0.01279011</v>
      </c>
      <c r="BV98" s="27" cm="1">
        <f t="array" ref="BV98">SUM(_xlfn.XLOOKUP($R98:$AK98,增益!$A:$A,增益!$W:$W,0))+$I$5</f>
        <v>0.11</v>
      </c>
    </row>
    <row r="99" spans="11:74">
      <c r="K99" s="40">
        <f t="shared" si="11"/>
        <v>57209.9470273558</v>
      </c>
      <c r="L99" s="40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BP99*$P99*(1+IF(VLOOKUP($Q99,武学奇术!$A:$ZZ,30,FALSE)="蓄力技",$B$21,0))*(1+$BV99)</f>
        <v>59448.4654563279</v>
      </c>
      <c r="M99" s="40">
        <f>(($AT99*$AM99+$AN99)*(1+$AU99)*(1+$AV99)+($AY99*IF($G$1="鸣金",$AO99,$AM99)+IF($G$1="鸣金",$AP99*1.5,0))*(1+$AZ99)*(1+$BA99)+($BC99*IF($G$1="裂石",$AO99,$AM99)+IF($G$1="裂石",$AP99*1.5,0))*(1+$BD99)*(1+$BE99)+($BG99*IF($G$1="牵丝",$AO99,$AM99)+IF($G$1="牵丝",$AP99*1.5,0))*(1+$BH99)*(1+$BI99)+($BK99*IF($G$1="破竹",$AO99,$AM99)+IF($G$1="破竹",$AP99*1.5,0))*(1+$BL99)*(1+$BM99))*(1+$AQ99)*$BR99*$P99*(1+IF(VLOOKUP($Q99,武学奇术!$A:$ZZ,30,FALSE)="蓄力技",$B$21,0))*(1+$BV99)</f>
        <v>44952.442034442</v>
      </c>
      <c r="N99" s="40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P99*(1+IF(VLOOKUP($Q99,武学奇术!$A:$ZZ,30,FALSE)="蓄力技",$B$21,0))*(1+$BV99)</f>
        <v>29724.2327281639</v>
      </c>
      <c r="O99" s="40">
        <f>((($AS99*$AM99+$AN99)*(1+$AU99)*(1+$AV99)+($AX99*IF($G$1="鸣金",$AO99,$AM99)+IF($G$1="鸣金",$AP99*1.5,0))*(1+$AZ99)*(1+$BA99)+($BB99*IF($G$1="裂石",$AO99,$AM99)+IF($G$1="裂石",$AP99*1.5,0))*(1+$BD99)*(1+$BE99)+($BF99*IF($G$1="牵丝",$AO99,$AM99)+IF($G$1="牵丝",$AP99*1.5,0))*(1+$BH99)*(1+$BI99)+($BJ99*IF($G$1="破竹",$AO99,$AM99)+IF($G$1="破竹",$AP99*1.5,0))*(1+$BL99)*(1+$BM99))*(1+$AQ99))*$P99*(1+IF(VLOOKUP($Q99,武学奇术!$A:$ZZ,30,FALSE)="蓄力技",$B$21,0))*(1+$BV99)</f>
        <v>26150.3602456301</v>
      </c>
      <c r="P99" s="41">
        <v>1</v>
      </c>
      <c r="Q99" s="42" t="s">
        <v>106</v>
      </c>
      <c r="R99" s="42" t="s">
        <v>103</v>
      </c>
      <c r="S99" s="42" t="s">
        <v>169</v>
      </c>
      <c r="T99" s="42" t="s">
        <v>77</v>
      </c>
      <c r="U99" s="42" t="s">
        <v>121</v>
      </c>
      <c r="V99" s="42" t="s">
        <v>77</v>
      </c>
      <c r="W99" s="42" t="s">
        <v>78</v>
      </c>
      <c r="X99" s="42" t="s">
        <v>176</v>
      </c>
      <c r="Y99" s="42" t="s">
        <v>77</v>
      </c>
      <c r="Z99" s="42" t="s">
        <v>77</v>
      </c>
      <c r="AA99" s="42" t="s">
        <v>73</v>
      </c>
      <c r="AB99" s="42" t="s">
        <v>77</v>
      </c>
      <c r="AC99" s="42" t="s">
        <v>77</v>
      </c>
      <c r="AD99" s="42" t="s">
        <v>77</v>
      </c>
      <c r="AE99" s="42" t="s">
        <v>81</v>
      </c>
      <c r="AF99" s="42" t="s">
        <v>82</v>
      </c>
      <c r="AG99" s="42" t="s">
        <v>77</v>
      </c>
      <c r="AH99" s="42" t="s">
        <v>77</v>
      </c>
      <c r="AI99" s="42" t="s">
        <v>77</v>
      </c>
      <c r="AJ99" s="42" t="s">
        <v>77</v>
      </c>
      <c r="AK99" s="42" t="s">
        <v>77</v>
      </c>
      <c r="AL99" t="str">
        <f>VLOOKUP($Q99,武学奇术!$A:$ZZ,25,FALSE)</f>
        <v>横刀</v>
      </c>
      <c r="AM99" s="27">
        <f>VLOOKUP($Q99,武学奇术!$A:$ZZ,26,FALSE)</f>
        <v>2.1324</v>
      </c>
      <c r="AN99" s="28">
        <f>VLOOKUP($Q99,武学奇术!$A:$ZZ,27,FALSE)*(1+IF(OR($AL99=$F$4,$AL99=$F$5),$B$22,0))</f>
        <v>885</v>
      </c>
      <c r="AO99" s="27">
        <f>VLOOKUP($Q99,武学奇术!$A:$ZZ,28,FALSE)</f>
        <v>3.1986</v>
      </c>
      <c r="AP99" s="28">
        <f>VLOOKUP($Q99,武学奇术!$A:$ZZ,29,FALSE)*(1+IF(OR($AL99=$F$4,$AL99=$F$5),$B$22,0))</f>
        <v>483</v>
      </c>
      <c r="AQ99" s="27" cm="1">
        <f t="array" ref="AQ99">$G$3+IFERROR(VLOOKUP($AL99,$F$4:$G$7,2,FALSE),0)+VLOOKUP($Q99,武学奇术!$A:$ZZ,2,FALSE)+SUM(_xlfn.XLOOKUP($R99:$AK99,增益!$A:$A,增益!$B:$B,0))</f>
        <v>0.5889</v>
      </c>
      <c r="AR99" s="27" cm="1">
        <f t="array" ref="AR99">VLOOKUP($Q99,武学奇术!$A:$ZZ,5,FALSE)+SUM(_xlfn.XLOOKUP($R99:$AK99,增益!$A:$A,增益!$E:$E,0))</f>
        <v>0</v>
      </c>
      <c r="AS99" cm="1">
        <f t="array" ref="AS99">$D$10*(1+$AR99)+VLOOKUP($Q99,武学奇术!$A:$ZZ,3,FALSE)+SUM(_xlfn.XLOOKUP($R99:$AK99,增益!$A:$A,增益!$C:$C,0))-$I$2</f>
        <v>3586.7</v>
      </c>
      <c r="AT99" cm="1">
        <f t="array" ref="AT99">$E$10*(1+$AR99)+VLOOKUP($Q99,武学奇术!$A:$ZZ,4,FALSE)+SUM(_xlfn.XLOOKUP($R99:$AK99,增益!$A:$A,增益!$D:$D,0))-$I$2</f>
        <v>3586.7</v>
      </c>
      <c r="AU99" s="34" cm="1">
        <f t="array" ref="AU99">IF($F$10-$I$3+VLOOKUP($Q99,武学奇术!$A:$ZZ,6,FALSE)+SUM(_xlfn.XLOOKUP($R99:$AK99,增益!$A:$A,增益!$F:$F,0))&gt;0,($F$10-$I$3+VLOOKUP($Q99,武学奇术!$A:$ZZ,6,FALSE)+SUM(_xlfn.XLOOKUP($R99:$AK99,增益!$A:$A,增益!$F:$F,0)))/200,($F$10-$I$3+VLOOKUP($Q99,武学奇术!$A:$ZZ,6,FALSE)+SUM(_xlfn.XLOOKUP($R99:$AK99,增益!$A:$A,增益!$F:$F,0)))/100)</f>
        <v>0.352</v>
      </c>
      <c r="AV99" s="34" cm="1">
        <f t="array" ref="AV99">$G$10+VLOOKUP($Q99,武学奇术!$A:$ZZ,7,FALSE)+SUM(_xlfn.XLOOKUP($R99:$AK99,增益!$A:$A,增益!$G:$G,0))</f>
        <v>0</v>
      </c>
      <c r="AW99" s="27" cm="1">
        <f t="array" ref="AW99">VLOOKUP($Q99,武学奇术!$A:$ZZ,8,FALSE)+SUM(_xlfn.XLOOKUP($R99:$AK99,增益!$A:$A,增益!$H:$H,0))</f>
        <v>0</v>
      </c>
      <c r="AX99">
        <f t="shared" si="12"/>
        <v>0</v>
      </c>
      <c r="AY99">
        <f t="shared" si="13"/>
        <v>0</v>
      </c>
      <c r="AZ99" s="34" cm="1">
        <f t="array" ref="AZ99">IF($F$11-$I$4+VLOOKUP($Q99,武学奇术!$A:$ZZ,9,FALSE)+SUM(_xlfn.XLOOKUP($R99:$AK99,增益!$A:$A,增益!$I:$I,0))&gt;0,($F$11-$I$4+VLOOKUP($Q99,武学奇术!$A:$ZZ,9,FALSE)+SUM(_xlfn.XLOOKUP($R99:$AK99,增益!$A:$A,增益!$I:$I,0)))/200,($F$11-$I$4+VLOOKUP($Q99,武学奇术!$A:$ZZ,9,FALSE)+SUM(_xlfn.XLOOKUP($R99:$AK99,增益!$A:$A,增益!$I:$I,0)))/100)</f>
        <v>-0.3</v>
      </c>
      <c r="BA99" s="34" cm="1">
        <f t="array" ref="BA99">$G$11+VLOOKUP($Q99,武学奇术!$A:$ZZ,10,FALSE)+SUM(_xlfn.XLOOKUP($R99:$AK99,增益!$A:$A,增益!$J:$J,0))</f>
        <v>0</v>
      </c>
      <c r="BB99">
        <f t="shared" si="14"/>
        <v>594.1</v>
      </c>
      <c r="BC99">
        <f t="shared" si="15"/>
        <v>1604.9</v>
      </c>
      <c r="BD99" s="34" cm="1">
        <f t="array" ref="BD99">IF($F$12-$I$4+VLOOKUP($Q99,武学奇术!$A:$ZZ,11,FALSE)+SUM(_xlfn.XLOOKUP($R99:$AK99,增益!$A:$A,增益!$K:$K,0))&gt;0,($F$12-$I$4+VLOOKUP($Q99,武学奇术!$A:$ZZ,11,FALSE)+SUM(_xlfn.XLOOKUP($R99:$AK99,增益!$A:$A,增益!$K:$K,0)))/200,($F$12-$I$4+VLOOKUP($Q99,武学奇术!$A:$ZZ,11,FALSE)+SUM(_xlfn.XLOOKUP($R99:$AK99,增益!$A:$A,增益!$K:$K,0)))/100)</f>
        <v>0.09</v>
      </c>
      <c r="BE99" s="34" cm="1">
        <f t="array" ref="BE99">$G$12+VLOOKUP($Q99,武学奇术!$A:$ZZ,12,FALSE)+SUM(_xlfn.XLOOKUP($R99:$AK99,增益!$A:$A,增益!$L:$L,0))</f>
        <v>0.15</v>
      </c>
      <c r="BF99">
        <f t="shared" si="16"/>
        <v>0</v>
      </c>
      <c r="BG99">
        <f t="shared" si="17"/>
        <v>0</v>
      </c>
      <c r="BH99" s="34" cm="1">
        <f t="array" ref="BH99">IF($F$13-$I$4+VLOOKUP($Q99,武学奇术!$A:$ZZ,13,FALSE)+SUM(_xlfn.XLOOKUP($R99:$AK99,增益!$A:$A,增益!$M:$M,0))&gt;0,($F$13-$I$4+VLOOKUP($Q99,武学奇术!$A:$ZZ,13,FALSE)+SUM(_xlfn.XLOOKUP($R99:$AK99,增益!$A:$A,增益!$K:$K,0)))/200,($F$13-$I$4+VLOOKUP($Q99,武学奇术!$A:$ZZ,13,FALSE)+SUM(_xlfn.XLOOKUP($R99:$AK99,增益!$A:$A,增益!$M:$M,0)))/100)</f>
        <v>-0.3</v>
      </c>
      <c r="BI99" s="34" cm="1">
        <f t="array" ref="BI99">$G$13+VLOOKUP($Q99,武学奇术!$A:$ZZ,14,FALSE)+SUM(_xlfn.XLOOKUP($R99:$AK99,增益!$A:$A,增益!$N:$N,0))</f>
        <v>0</v>
      </c>
      <c r="BJ99">
        <f t="shared" si="18"/>
        <v>0</v>
      </c>
      <c r="BK99">
        <f t="shared" si="19"/>
        <v>0</v>
      </c>
      <c r="BL99" s="34" cm="1">
        <f t="array" ref="BL99">IF($F$14-$I$4+VLOOKUP($Q99,武学奇术!$A:$ZZ,15,FALSE)+SUM(_xlfn.XLOOKUP($R99:$AK99,增益!$A:$A,增益!$O:$O,0))&gt;0,($F$14-$I$4+VLOOKUP($Q99,武学奇术!$A:$ZZ,15,FALSE)+SUM(_xlfn.XLOOKUP($R99:$AK99,增益!$A:$A,增益!$O:$O,0)))/200,($F$14-$I$4+VLOOKUP($Q99,武学奇术!$A:$ZZ,15,FALSE)+SUM(_xlfn.XLOOKUP($R99:$AK99,增益!$A:$A,增益!$O:$O,0)))/100)</f>
        <v>-0.3</v>
      </c>
      <c r="BM99" s="34" cm="1">
        <f t="array" ref="BM99">$G$14+VLOOKUP($Q99,武学奇术!$A:$ZZ,16,FALSE)+SUM(_xlfn.XLOOKUP($R99:$AK99,增益!$A:$A,增益!$P:$P,0))</f>
        <v>0</v>
      </c>
      <c r="BN99" s="27">
        <f>MIN(IF(VLOOKUP($Q99,武学奇术!$A:$ZZ,23,FALSE)=1,100%,$B$8),100%)</f>
        <v>0.9859</v>
      </c>
      <c r="BO99" s="27" cm="1">
        <f t="array" ref="BO99">IF(VLOOKUP($Q99,武学奇术!$A:$ZZ,23,FALSE)=1,100%,MIN(80%,$B$9+VLOOKUP($Q99,武学奇术!$A:$ZZ,17,FALSE)+SUM(_xlfn.XLOOKUP($R99:$AK99,增益!$A:$A,增益!$Q:$Q,0)))+$B$11+SUM(_xlfn.XLOOKUP($R99:$AK99,增益!$A:$A,增益!$U:$U,0)))*IF(VLOOKUP($Q99,武学奇术!$A:$ZZ,24,FALSE)=1,0,1)</f>
        <v>0.8912</v>
      </c>
      <c r="BP99" s="27" cm="1">
        <f t="array" ref="BP99">1+$B$13+VLOOKUP($Q99,武学奇术!$A:$ZZ,18,FALSE)+SUM(_xlfn.XLOOKUP($R99:$AK99,增益!$A:$A,增益!$R:$R,0))</f>
        <v>2</v>
      </c>
      <c r="BQ99" s="27" cm="1">
        <f t="array" ref="BQ99">IF(VLOOKUP($Q99,武学奇术!$A:$ZZ,24,FALSE)=1,100%,MIN(40%,$B$10+VLOOKUP($Q99,武学奇术!$A:$ZZ,19,FALSE)+SUM(_xlfn.XLOOKUP($R99:$AK99,增益!$A:$A,增益!$S:$S,0)))+$B$12+SUM(_xlfn.XLOOKUP($R99:$AK99,增益!$A:$A,增益!$V:$V,0)))*IF(VLOOKUP($Q99,武学奇术!$A:$ZZ,23,FALSE)=1,0,1)</f>
        <v>0.0929</v>
      </c>
      <c r="BR99" s="27" cm="1">
        <f t="array" ref="BR99">1+$B$14+VLOOKUP($Q99,武学奇术!$A:$ZZ,20,FALSE)+SUM(_xlfn.XLOOKUP($R99:$AK99,增益!$A:$A,增益!$T:$T,0))</f>
        <v>1.35</v>
      </c>
      <c r="BS99" s="27">
        <f t="shared" si="20"/>
        <v>0.87863408</v>
      </c>
      <c r="BT99" s="27">
        <f t="shared" si="21"/>
        <v>0.01567581</v>
      </c>
      <c r="BU99" s="27">
        <f>IF(VLOOKUP($Q99,武学奇术!$A:$ZZ,22,FALSE)=1,0,(1-$BN99))*(1-$BQ99)</f>
        <v>0.01279011</v>
      </c>
      <c r="BV99" s="27" cm="1">
        <f t="array" ref="BV99">SUM(_xlfn.XLOOKUP($R99:$AK99,增益!$A:$A,增益!$W:$W,0))+$I$5</f>
        <v>0.11</v>
      </c>
    </row>
    <row r="100" spans="11:74">
      <c r="K100" s="40">
        <f t="shared" si="11"/>
        <v>35331.9522852109</v>
      </c>
      <c r="L100" s="40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BP100*$P100*(1+IF(VLOOKUP($Q100,武学奇术!$A:$ZZ,30,FALSE)="蓄力技",$B$21,0))*(1+$BV100)</f>
        <v>36662.7749193096</v>
      </c>
      <c r="M100" s="40">
        <f>(($AT100*$AM100+$AN100)*(1+$AU100)*(1+$AV100)+($AY100*IF($G$1="鸣金",$AO100,$AM100)+IF($G$1="鸣金",$AP100*1.5,0))*(1+$AZ100)*(1+$BA100)+($BC100*IF($G$1="裂石",$AO100,$AM100)+IF($G$1="裂石",$AP100*1.5,0))*(1+$BD100)*(1+$BE100)+($BG100*IF($G$1="牵丝",$AO100,$AM100)+IF($G$1="牵丝",$AP100*1.5,0))*(1+$BH100)*(1+$BI100)+($BK100*IF($G$1="破竹",$AO100,$AM100)+IF($G$1="破竹",$AP100*1.5,0))*(1+$BL100)*(1+$BM100))*(1+$AQ100)*$BR100*$P100*(1+IF(VLOOKUP($Q100,武学奇术!$A:$ZZ,30,FALSE)="蓄力技",$B$21,0))*(1+$BV100)</f>
        <v>28318.664539648</v>
      </c>
      <c r="N100" s="40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P100*(1+IF(VLOOKUP($Q100,武学奇术!$A:$ZZ,30,FALSE)="蓄力技",$B$21,0))*(1+$BV100)</f>
        <v>18331.3874596548</v>
      </c>
      <c r="O100" s="40">
        <f>((($AS100*$AM100+$AN100)*(1+$AU100)*(1+$AV100)+($AX100*IF($G$1="鸣金",$AO100,$AM100)+IF($G$1="鸣金",$AP100*1.5,0))*(1+$AZ100)*(1+$BA100)+($BB100*IF($G$1="裂石",$AO100,$AM100)+IF($G$1="裂石",$AP100*1.5,0))*(1+$BD100)*(1+$BE100)+($BF100*IF($G$1="牵丝",$AO100,$AM100)+IF($G$1="牵丝",$AP100*1.5,0))*(1+$BH100)*(1+$BI100)+($BJ100*IF($G$1="破竹",$AO100,$AM100)+IF($G$1="破竹",$AP100*1.5,0))*(1+$BL100)*(1+$BM100))*(1+$AQ100))*$P100*(1+IF(VLOOKUP($Q100,武学奇术!$A:$ZZ,30,FALSE)="蓄力技",$B$21,0))*(1+$BV100)</f>
        <v>15685.9863714222</v>
      </c>
      <c r="P100" s="41">
        <v>1</v>
      </c>
      <c r="Q100" s="42" t="s">
        <v>110</v>
      </c>
      <c r="R100" s="42" t="s">
        <v>103</v>
      </c>
      <c r="S100" s="42" t="s">
        <v>169</v>
      </c>
      <c r="T100" s="42" t="s">
        <v>86</v>
      </c>
      <c r="U100" s="42" t="s">
        <v>121</v>
      </c>
      <c r="V100" s="42" t="s">
        <v>77</v>
      </c>
      <c r="W100" s="42" t="s">
        <v>78</v>
      </c>
      <c r="X100" s="42" t="s">
        <v>176</v>
      </c>
      <c r="Y100" s="42" t="s">
        <v>77</v>
      </c>
      <c r="Z100" s="42" t="s">
        <v>77</v>
      </c>
      <c r="AA100" s="42" t="s">
        <v>73</v>
      </c>
      <c r="AB100" s="42" t="s">
        <v>77</v>
      </c>
      <c r="AC100" s="42" t="s">
        <v>77</v>
      </c>
      <c r="AD100" s="42" t="s">
        <v>77</v>
      </c>
      <c r="AE100" s="42" t="s">
        <v>81</v>
      </c>
      <c r="AF100" s="42" t="s">
        <v>82</v>
      </c>
      <c r="AG100" s="42" t="s">
        <v>77</v>
      </c>
      <c r="AH100" s="42" t="s">
        <v>77</v>
      </c>
      <c r="AI100" s="42" t="s">
        <v>77</v>
      </c>
      <c r="AJ100" s="42" t="s">
        <v>77</v>
      </c>
      <c r="AK100" s="42" t="s">
        <v>77</v>
      </c>
      <c r="AL100" t="str">
        <f>VLOOKUP($Q100,武学奇术!$A:$ZZ,25,FALSE)</f>
        <v>横刀</v>
      </c>
      <c r="AM100" s="27">
        <f>VLOOKUP($Q100,武学奇术!$A:$ZZ,26,FALSE)</f>
        <v>1.4</v>
      </c>
      <c r="AN100" s="28">
        <f>VLOOKUP($Q100,武学奇术!$A:$ZZ,27,FALSE)*(1+IF(OR($AL100=$F$4,$AL100=$F$5),$B$22,0))</f>
        <v>0</v>
      </c>
      <c r="AO100" s="27">
        <f>VLOOKUP($Q100,武学奇术!$A:$ZZ,28,FALSE)</f>
        <v>2.1</v>
      </c>
      <c r="AP100" s="28">
        <f>VLOOKUP($Q100,武学奇术!$A:$ZZ,29,FALSE)*(1+IF(OR($AL100=$F$4,$AL100=$F$5),$B$22,0))</f>
        <v>0</v>
      </c>
      <c r="AQ100" s="27" cm="1">
        <f t="array" ref="AQ100">$G$3+IFERROR(VLOOKUP($AL100,$F$4:$G$7,2,FALSE),0)+VLOOKUP($Q100,武学奇术!$A:$ZZ,2,FALSE)+SUM(_xlfn.XLOOKUP($R100:$AK100,增益!$A:$A,增益!$B:$B,0))</f>
        <v>0.6689</v>
      </c>
      <c r="AR100" s="27" cm="1">
        <f t="array" ref="AR100">VLOOKUP($Q100,武学奇术!$A:$ZZ,5,FALSE)+SUM(_xlfn.XLOOKUP($R100:$AK100,增益!$A:$A,增益!$E:$E,0))</f>
        <v>0</v>
      </c>
      <c r="AS100" cm="1">
        <f t="array" ref="AS100">$D$10*(1+$AR100)+VLOOKUP($Q100,武学奇术!$A:$ZZ,3,FALSE)+SUM(_xlfn.XLOOKUP($R100:$AK100,增益!$A:$A,增益!$C:$C,0))-$I$2</f>
        <v>3586.7</v>
      </c>
      <c r="AT100" cm="1">
        <f t="array" ref="AT100">$E$10*(1+$AR100)+VLOOKUP($Q100,武学奇术!$A:$ZZ,4,FALSE)+SUM(_xlfn.XLOOKUP($R100:$AK100,增益!$A:$A,增益!$D:$D,0))-$I$2</f>
        <v>3586.7</v>
      </c>
      <c r="AU100" s="34" cm="1">
        <f t="array" ref="AU100">IF($F$10-$I$3+VLOOKUP($Q100,武学奇术!$A:$ZZ,6,FALSE)+SUM(_xlfn.XLOOKUP($R100:$AK100,增益!$A:$A,增益!$F:$F,0))&gt;0,($F$10-$I$3+VLOOKUP($Q100,武学奇术!$A:$ZZ,6,FALSE)+SUM(_xlfn.XLOOKUP($R100:$AK100,增益!$A:$A,增益!$F:$F,0)))/200,($F$10-$I$3+VLOOKUP($Q100,武学奇术!$A:$ZZ,6,FALSE)+SUM(_xlfn.XLOOKUP($R100:$AK100,增益!$A:$A,增益!$F:$F,0)))/100)</f>
        <v>0.352</v>
      </c>
      <c r="AV100" s="34" cm="1">
        <f t="array" ref="AV100">$G$10+VLOOKUP($Q100,武学奇术!$A:$ZZ,7,FALSE)+SUM(_xlfn.XLOOKUP($R100:$AK100,增益!$A:$A,增益!$G:$G,0))</f>
        <v>0</v>
      </c>
      <c r="AW100" s="27" cm="1">
        <f t="array" ref="AW100">VLOOKUP($Q100,武学奇术!$A:$ZZ,8,FALSE)+SUM(_xlfn.XLOOKUP($R100:$AK100,增益!$A:$A,增益!$H:$H,0))</f>
        <v>0</v>
      </c>
      <c r="AX100">
        <f t="shared" si="12"/>
        <v>0</v>
      </c>
      <c r="AY100">
        <f t="shared" si="13"/>
        <v>0</v>
      </c>
      <c r="AZ100" s="34" cm="1">
        <f t="array" ref="AZ100">IF($F$11-$I$4+VLOOKUP($Q100,武学奇术!$A:$ZZ,9,FALSE)+SUM(_xlfn.XLOOKUP($R100:$AK100,增益!$A:$A,增益!$I:$I,0))&gt;0,($F$11-$I$4+VLOOKUP($Q100,武学奇术!$A:$ZZ,9,FALSE)+SUM(_xlfn.XLOOKUP($R100:$AK100,增益!$A:$A,增益!$I:$I,0)))/200,($F$11-$I$4+VLOOKUP($Q100,武学奇术!$A:$ZZ,9,FALSE)+SUM(_xlfn.XLOOKUP($R100:$AK100,增益!$A:$A,增益!$I:$I,0)))/100)</f>
        <v>-0.14</v>
      </c>
      <c r="BA100" s="34" cm="1">
        <f t="array" ref="BA100">$G$11+VLOOKUP($Q100,武学奇术!$A:$ZZ,10,FALSE)+SUM(_xlfn.XLOOKUP($R100:$AK100,增益!$A:$A,增益!$J:$J,0))</f>
        <v>0</v>
      </c>
      <c r="BB100">
        <f t="shared" si="14"/>
        <v>594.1</v>
      </c>
      <c r="BC100">
        <f t="shared" si="15"/>
        <v>1604.9</v>
      </c>
      <c r="BD100" s="34" cm="1">
        <f t="array" ref="BD100">IF($F$12-$I$4+VLOOKUP($Q100,武学奇术!$A:$ZZ,11,FALSE)+SUM(_xlfn.XLOOKUP($R100:$AK100,增益!$A:$A,增益!$K:$K,0))&gt;0,($F$12-$I$4+VLOOKUP($Q100,武学奇术!$A:$ZZ,11,FALSE)+SUM(_xlfn.XLOOKUP($R100:$AK100,增益!$A:$A,增益!$K:$K,0)))/200,($F$12-$I$4+VLOOKUP($Q100,武学奇术!$A:$ZZ,11,FALSE)+SUM(_xlfn.XLOOKUP($R100:$AK100,增益!$A:$A,增益!$K:$K,0)))/100)</f>
        <v>0.17</v>
      </c>
      <c r="BE100" s="34" cm="1">
        <f t="array" ref="BE100">$G$12+VLOOKUP($Q100,武学奇术!$A:$ZZ,12,FALSE)+SUM(_xlfn.XLOOKUP($R100:$AK100,增益!$A:$A,增益!$L:$L,0))</f>
        <v>0.15</v>
      </c>
      <c r="BF100">
        <f t="shared" si="16"/>
        <v>0</v>
      </c>
      <c r="BG100">
        <f t="shared" si="17"/>
        <v>0</v>
      </c>
      <c r="BH100" s="34" cm="1">
        <f t="array" ref="BH100">IF($F$13-$I$4+VLOOKUP($Q100,武学奇术!$A:$ZZ,13,FALSE)+SUM(_xlfn.XLOOKUP($R100:$AK100,增益!$A:$A,增益!$M:$M,0))&gt;0,($F$13-$I$4+VLOOKUP($Q100,武学奇术!$A:$ZZ,13,FALSE)+SUM(_xlfn.XLOOKUP($R100:$AK100,增益!$A:$A,增益!$K:$K,0)))/200,($F$13-$I$4+VLOOKUP($Q100,武学奇术!$A:$ZZ,13,FALSE)+SUM(_xlfn.XLOOKUP($R100:$AK100,增益!$A:$A,增益!$M:$M,0)))/100)</f>
        <v>-0.14</v>
      </c>
      <c r="BI100" s="34" cm="1">
        <f t="array" ref="BI100">$G$13+VLOOKUP($Q100,武学奇术!$A:$ZZ,14,FALSE)+SUM(_xlfn.XLOOKUP($R100:$AK100,增益!$A:$A,增益!$N:$N,0))</f>
        <v>0</v>
      </c>
      <c r="BJ100">
        <f t="shared" si="18"/>
        <v>0</v>
      </c>
      <c r="BK100">
        <f t="shared" si="19"/>
        <v>0</v>
      </c>
      <c r="BL100" s="34" cm="1">
        <f t="array" ref="BL100">IF($F$14-$I$4+VLOOKUP($Q100,武学奇术!$A:$ZZ,15,FALSE)+SUM(_xlfn.XLOOKUP($R100:$AK100,增益!$A:$A,增益!$O:$O,0))&gt;0,($F$14-$I$4+VLOOKUP($Q100,武学奇术!$A:$ZZ,15,FALSE)+SUM(_xlfn.XLOOKUP($R100:$AK100,增益!$A:$A,增益!$O:$O,0)))/200,($F$14-$I$4+VLOOKUP($Q100,武学奇术!$A:$ZZ,15,FALSE)+SUM(_xlfn.XLOOKUP($R100:$AK100,增益!$A:$A,增益!$O:$O,0)))/100)</f>
        <v>-0.14</v>
      </c>
      <c r="BM100" s="34" cm="1">
        <f t="array" ref="BM100">$G$14+VLOOKUP($Q100,武学奇术!$A:$ZZ,16,FALSE)+SUM(_xlfn.XLOOKUP($R100:$AK100,增益!$A:$A,增益!$P:$P,0))</f>
        <v>0</v>
      </c>
      <c r="BN100" s="27">
        <f>MIN(IF(VLOOKUP($Q100,武学奇术!$A:$ZZ,23,FALSE)=1,100%,$B$8),100%)</f>
        <v>0.9859</v>
      </c>
      <c r="BO100" s="27" cm="1">
        <f t="array" ref="BO100">IF(VLOOKUP($Q100,武学奇术!$A:$ZZ,23,FALSE)=1,100%,MIN(80%,$B$9+VLOOKUP($Q100,武学奇术!$A:$ZZ,17,FALSE)+SUM(_xlfn.XLOOKUP($R100:$AK100,增益!$A:$A,增益!$Q:$Q,0)))+$B$11+SUM(_xlfn.XLOOKUP($R100:$AK100,增益!$A:$A,增益!$U:$U,0)))*IF(VLOOKUP($Q100,武学奇术!$A:$ZZ,24,FALSE)=1,0,1)</f>
        <v>0.8912</v>
      </c>
      <c r="BP100" s="27" cm="1">
        <f t="array" ref="BP100">1+$B$13+VLOOKUP($Q100,武学奇术!$A:$ZZ,18,FALSE)+SUM(_xlfn.XLOOKUP($R100:$AK100,增益!$A:$A,增益!$R:$R,0))</f>
        <v>2</v>
      </c>
      <c r="BQ100" s="27" cm="1">
        <f t="array" ref="BQ100">IF(VLOOKUP($Q100,武学奇术!$A:$ZZ,24,FALSE)=1,100%,MIN(40%,$B$10+VLOOKUP($Q100,武学奇术!$A:$ZZ,19,FALSE)+SUM(_xlfn.XLOOKUP($R100:$AK100,增益!$A:$A,增益!$S:$S,0)))+$B$12+SUM(_xlfn.XLOOKUP($R100:$AK100,增益!$A:$A,增益!$V:$V,0)))*IF(VLOOKUP($Q100,武学奇术!$A:$ZZ,23,FALSE)=1,0,1)</f>
        <v>0.0929</v>
      </c>
      <c r="BR100" s="27" cm="1">
        <f t="array" ref="BR100">1+$B$14+VLOOKUP($Q100,武学奇术!$A:$ZZ,20,FALSE)+SUM(_xlfn.XLOOKUP($R100:$AK100,增益!$A:$A,增益!$T:$T,0))</f>
        <v>1.35</v>
      </c>
      <c r="BS100" s="27">
        <f t="shared" si="20"/>
        <v>0.87863408</v>
      </c>
      <c r="BT100" s="27">
        <f t="shared" si="21"/>
        <v>0.01567581</v>
      </c>
      <c r="BU100" s="27">
        <f>IF(VLOOKUP($Q100,武学奇术!$A:$ZZ,22,FALSE)=1,0,(1-$BN100))*(1-$BQ100)</f>
        <v>0.01279011</v>
      </c>
      <c r="BV100" s="27" cm="1">
        <f t="array" ref="BV100">SUM(_xlfn.XLOOKUP($R100:$AK100,增益!$A:$A,增益!$W:$W,0))+$I$5</f>
        <v>0.11</v>
      </c>
    </row>
    <row r="101" spans="11:74">
      <c r="K101" s="40">
        <f t="shared" si="11"/>
        <v>17806.2478311418</v>
      </c>
      <c r="L101" s="40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BP101*$P101*(1+IF(VLOOKUP($Q101,武学奇术!$A:$ZZ,30,FALSE)="蓄力技",$B$21,0))*(1+$BV101)</f>
        <v>18476.9426586103</v>
      </c>
      <c r="M101" s="40">
        <f>(($AT101*$AM101+$AN101)*(1+$AU101)*(1+$AV101)+($AY101*IF($G$1="鸣金",$AO101,$AM101)+IF($G$1="鸣金",$AP101*1.5,0))*(1+$AZ101)*(1+$BA101)+($BC101*IF($G$1="裂石",$AO101,$AM101)+IF($G$1="裂石",$AP101*1.5,0))*(1+$BD101)*(1+$BE101)+($BG101*IF($G$1="牵丝",$AO101,$AM101)+IF($G$1="牵丝",$AP101*1.5,0))*(1+$BH101)*(1+$BI101)+($BK101*IF($G$1="破竹",$AO101,$AM101)+IF($G$1="破竹",$AP101*1.5,0))*(1+$BL101)*(1+$BM101))*(1+$AQ101)*$BR101*$P101*(1+IF(VLOOKUP($Q101,武学奇术!$A:$ZZ,30,FALSE)="蓄力技",$B$21,0))*(1+$BV101)</f>
        <v>14271.760444186</v>
      </c>
      <c r="N101" s="40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P101*(1+IF(VLOOKUP($Q101,武学奇术!$A:$ZZ,30,FALSE)="蓄力技",$B$21,0))*(1+$BV101)</f>
        <v>9238.47132930514</v>
      </c>
      <c r="O101" s="40">
        <f>((($AS101*$AM101+$AN101)*(1+$AU101)*(1+$AV101)+($AX101*IF($G$1="鸣金",$AO101,$AM101)+IF($G$1="鸣金",$AP101*1.5,0))*(1+$AZ101)*(1+$BA101)+($BB101*IF($G$1="裂石",$AO101,$AM101)+IF($G$1="裂石",$AP101*1.5,0))*(1+$BD101)*(1+$BE101)+($BF101*IF($G$1="牵丝",$AO101,$AM101)+IF($G$1="牵丝",$AP101*1.5,0))*(1+$BH101)*(1+$BI101)+($BJ101*IF($G$1="破竹",$AO101,$AM101)+IF($G$1="破竹",$AP101*1.5,0))*(1+$BL101)*(1+$BM101))*(1+$AQ101))*$P101*(1+IF(VLOOKUP($Q101,武学奇术!$A:$ZZ,30,FALSE)="蓄力技",$B$21,0))*(1+$BV101)</f>
        <v>7905.26825550955</v>
      </c>
      <c r="P101" s="41">
        <v>1</v>
      </c>
      <c r="Q101" s="42" t="s">
        <v>112</v>
      </c>
      <c r="R101" s="42" t="s">
        <v>103</v>
      </c>
      <c r="S101" s="42" t="s">
        <v>169</v>
      </c>
      <c r="T101" s="42" t="s">
        <v>86</v>
      </c>
      <c r="U101" s="42" t="s">
        <v>121</v>
      </c>
      <c r="V101" s="42" t="s">
        <v>77</v>
      </c>
      <c r="W101" s="42" t="s">
        <v>114</v>
      </c>
      <c r="X101" s="42" t="s">
        <v>176</v>
      </c>
      <c r="Y101" s="42" t="s">
        <v>77</v>
      </c>
      <c r="Z101" s="42" t="s">
        <v>77</v>
      </c>
      <c r="AA101" s="42" t="s">
        <v>73</v>
      </c>
      <c r="AB101" s="42" t="s">
        <v>77</v>
      </c>
      <c r="AC101" s="42" t="s">
        <v>77</v>
      </c>
      <c r="AD101" s="42" t="s">
        <v>77</v>
      </c>
      <c r="AE101" s="42" t="s">
        <v>81</v>
      </c>
      <c r="AF101" s="42" t="s">
        <v>82</v>
      </c>
      <c r="AG101" s="42" t="s">
        <v>77</v>
      </c>
      <c r="AH101" s="42" t="s">
        <v>77</v>
      </c>
      <c r="AI101" s="42" t="s">
        <v>77</v>
      </c>
      <c r="AJ101" s="42" t="s">
        <v>77</v>
      </c>
      <c r="AK101" s="42" t="s">
        <v>77</v>
      </c>
      <c r="AL101" t="str">
        <f>VLOOKUP($Q101,武学奇术!$A:$ZZ,25,FALSE)</f>
        <v>陌刀</v>
      </c>
      <c r="AM101" s="27">
        <f>VLOOKUP($Q101,武学奇术!$A:$ZZ,26,FALSE)</f>
        <v>0.5</v>
      </c>
      <c r="AN101" s="28">
        <f>VLOOKUP($Q101,武学奇术!$A:$ZZ,27,FALSE)*(1+IF(OR($AL101=$F$4,$AL101=$F$5),$B$22,0))</f>
        <v>0</v>
      </c>
      <c r="AO101" s="27">
        <f>VLOOKUP($Q101,武学奇术!$A:$ZZ,28,FALSE)</f>
        <v>0.75</v>
      </c>
      <c r="AP101" s="28">
        <f>VLOOKUP($Q101,武学奇术!$A:$ZZ,29,FALSE)*(1+IF(OR($AL101=$F$4,$AL101=$F$5),$B$22,0))</f>
        <v>0</v>
      </c>
      <c r="AQ101" s="27" cm="1">
        <f t="array" ref="AQ101">$G$3+IFERROR(VLOOKUP($AL101,$F$4:$G$7,2,FALSE),0)+VLOOKUP($Q101,武学奇术!$A:$ZZ,2,FALSE)+SUM(_xlfn.XLOOKUP($R101:$AK101,增益!$A:$A,增益!$B:$B,0))</f>
        <v>0.7841</v>
      </c>
      <c r="AR101" s="27" cm="1">
        <f t="array" ref="AR101">VLOOKUP($Q101,武学奇术!$A:$ZZ,5,FALSE)+SUM(_xlfn.XLOOKUP($R101:$AK101,增益!$A:$A,增益!$E:$E,0))</f>
        <v>0</v>
      </c>
      <c r="AS101" cm="1">
        <f t="array" ref="AS101">$D$10*(1+$AR101)+VLOOKUP($Q101,武学奇术!$A:$ZZ,3,FALSE)+SUM(_xlfn.XLOOKUP($R101:$AK101,增益!$A:$A,增益!$C:$C,0))-$I$2</f>
        <v>3586.7</v>
      </c>
      <c r="AT101" cm="1">
        <f t="array" ref="AT101">$E$10*(1+$AR101)+VLOOKUP($Q101,武学奇术!$A:$ZZ,4,FALSE)+SUM(_xlfn.XLOOKUP($R101:$AK101,增益!$A:$A,增益!$D:$D,0))-$I$2</f>
        <v>3586.7</v>
      </c>
      <c r="AU101" s="34" cm="1">
        <f t="array" ref="AU101">IF($F$10-$I$3+VLOOKUP($Q101,武学奇术!$A:$ZZ,6,FALSE)+SUM(_xlfn.XLOOKUP($R101:$AK101,增益!$A:$A,增益!$F:$F,0))&gt;0,($F$10-$I$3+VLOOKUP($Q101,武学奇术!$A:$ZZ,6,FALSE)+SUM(_xlfn.XLOOKUP($R101:$AK101,增益!$A:$A,增益!$F:$F,0)))/200,($F$10-$I$3+VLOOKUP($Q101,武学奇术!$A:$ZZ,6,FALSE)+SUM(_xlfn.XLOOKUP($R101:$AK101,增益!$A:$A,增益!$F:$F,0)))/100)</f>
        <v>0.352</v>
      </c>
      <c r="AV101" s="34" cm="1">
        <f t="array" ref="AV101">$G$10+VLOOKUP($Q101,武学奇术!$A:$ZZ,7,FALSE)+SUM(_xlfn.XLOOKUP($R101:$AK101,增益!$A:$A,增益!$G:$G,0))</f>
        <v>0</v>
      </c>
      <c r="AW101" s="27" cm="1">
        <f t="array" ref="AW101">VLOOKUP($Q101,武学奇术!$A:$ZZ,8,FALSE)+SUM(_xlfn.XLOOKUP($R101:$AK101,增益!$A:$A,增益!$H:$H,0))</f>
        <v>0</v>
      </c>
      <c r="AX101">
        <f t="shared" si="12"/>
        <v>0</v>
      </c>
      <c r="AY101">
        <f t="shared" si="13"/>
        <v>0</v>
      </c>
      <c r="AZ101" s="34" cm="1">
        <f t="array" ref="AZ101">IF($F$11-$I$4+VLOOKUP($Q101,武学奇术!$A:$ZZ,9,FALSE)+SUM(_xlfn.XLOOKUP($R101:$AK101,增益!$A:$A,增益!$I:$I,0))&gt;0,($F$11-$I$4+VLOOKUP($Q101,武学奇术!$A:$ZZ,9,FALSE)+SUM(_xlfn.XLOOKUP($R101:$AK101,增益!$A:$A,增益!$I:$I,0)))/200,($F$11-$I$4+VLOOKUP($Q101,武学奇术!$A:$ZZ,9,FALSE)+SUM(_xlfn.XLOOKUP($R101:$AK101,增益!$A:$A,增益!$I:$I,0)))/100)</f>
        <v>-0.14</v>
      </c>
      <c r="BA101" s="34" cm="1">
        <f t="array" ref="BA101">$G$11+VLOOKUP($Q101,武学奇术!$A:$ZZ,10,FALSE)+SUM(_xlfn.XLOOKUP($R101:$AK101,增益!$A:$A,增益!$J:$J,0))</f>
        <v>0</v>
      </c>
      <c r="BB101">
        <f t="shared" si="14"/>
        <v>594.1</v>
      </c>
      <c r="BC101">
        <f t="shared" si="15"/>
        <v>1604.9</v>
      </c>
      <c r="BD101" s="34" cm="1">
        <f t="array" ref="BD101">IF($F$12-$I$4+VLOOKUP($Q101,武学奇术!$A:$ZZ,11,FALSE)+SUM(_xlfn.XLOOKUP($R101:$AK101,增益!$A:$A,增益!$K:$K,0))&gt;0,($F$12-$I$4+VLOOKUP($Q101,武学奇术!$A:$ZZ,11,FALSE)+SUM(_xlfn.XLOOKUP($R101:$AK101,增益!$A:$A,增益!$K:$K,0)))/200,($F$12-$I$4+VLOOKUP($Q101,武学奇术!$A:$ZZ,11,FALSE)+SUM(_xlfn.XLOOKUP($R101:$AK101,增益!$A:$A,增益!$K:$K,0)))/100)</f>
        <v>0.17</v>
      </c>
      <c r="BE101" s="34" cm="1">
        <f t="array" ref="BE101">$G$12+VLOOKUP($Q101,武学奇术!$A:$ZZ,12,FALSE)+SUM(_xlfn.XLOOKUP($R101:$AK101,增益!$A:$A,增益!$L:$L,0))</f>
        <v>0.15</v>
      </c>
      <c r="BF101">
        <f t="shared" si="16"/>
        <v>0</v>
      </c>
      <c r="BG101">
        <f t="shared" si="17"/>
        <v>0</v>
      </c>
      <c r="BH101" s="34" cm="1">
        <f t="array" ref="BH101">IF($F$13-$I$4+VLOOKUP($Q101,武学奇术!$A:$ZZ,13,FALSE)+SUM(_xlfn.XLOOKUP($R101:$AK101,增益!$A:$A,增益!$M:$M,0))&gt;0,($F$13-$I$4+VLOOKUP($Q101,武学奇术!$A:$ZZ,13,FALSE)+SUM(_xlfn.XLOOKUP($R101:$AK101,增益!$A:$A,增益!$K:$K,0)))/200,($F$13-$I$4+VLOOKUP($Q101,武学奇术!$A:$ZZ,13,FALSE)+SUM(_xlfn.XLOOKUP($R101:$AK101,增益!$A:$A,增益!$M:$M,0)))/100)</f>
        <v>-0.14</v>
      </c>
      <c r="BI101" s="34" cm="1">
        <f t="array" ref="BI101">$G$13+VLOOKUP($Q101,武学奇术!$A:$ZZ,14,FALSE)+SUM(_xlfn.XLOOKUP($R101:$AK101,增益!$A:$A,增益!$N:$N,0))</f>
        <v>0</v>
      </c>
      <c r="BJ101">
        <f t="shared" si="18"/>
        <v>0</v>
      </c>
      <c r="BK101">
        <f t="shared" si="19"/>
        <v>0</v>
      </c>
      <c r="BL101" s="34" cm="1">
        <f t="array" ref="BL101">IF($F$14-$I$4+VLOOKUP($Q101,武学奇术!$A:$ZZ,15,FALSE)+SUM(_xlfn.XLOOKUP($R101:$AK101,增益!$A:$A,增益!$O:$O,0))&gt;0,($F$14-$I$4+VLOOKUP($Q101,武学奇术!$A:$ZZ,15,FALSE)+SUM(_xlfn.XLOOKUP($R101:$AK101,增益!$A:$A,增益!$O:$O,0)))/200,($F$14-$I$4+VLOOKUP($Q101,武学奇术!$A:$ZZ,15,FALSE)+SUM(_xlfn.XLOOKUP($R101:$AK101,增益!$A:$A,增益!$O:$O,0)))/100)</f>
        <v>-0.14</v>
      </c>
      <c r="BM101" s="34" cm="1">
        <f t="array" ref="BM101">$G$14+VLOOKUP($Q101,武学奇术!$A:$ZZ,16,FALSE)+SUM(_xlfn.XLOOKUP($R101:$AK101,增益!$A:$A,增益!$P:$P,0))</f>
        <v>0</v>
      </c>
      <c r="BN101" s="27">
        <f>MIN(IF(VLOOKUP($Q101,武学奇术!$A:$ZZ,23,FALSE)=1,100%,$B$8),100%)</f>
        <v>0.9859</v>
      </c>
      <c r="BO101" s="27" cm="1">
        <f t="array" ref="BO101">IF(VLOOKUP($Q101,武学奇术!$A:$ZZ,23,FALSE)=1,100%,MIN(80%,$B$9+VLOOKUP($Q101,武学奇术!$A:$ZZ,17,FALSE)+SUM(_xlfn.XLOOKUP($R101:$AK101,增益!$A:$A,增益!$Q:$Q,0)))+$B$11+SUM(_xlfn.XLOOKUP($R101:$AK101,增益!$A:$A,增益!$U:$U,0)))*IF(VLOOKUP($Q101,武学奇术!$A:$ZZ,24,FALSE)=1,0,1)</f>
        <v>0.8912</v>
      </c>
      <c r="BP101" s="27" cm="1">
        <f t="array" ref="BP101">1+$B$13+VLOOKUP($Q101,武学奇术!$A:$ZZ,18,FALSE)+SUM(_xlfn.XLOOKUP($R101:$AK101,增益!$A:$A,增益!$R:$R,0))</f>
        <v>2</v>
      </c>
      <c r="BQ101" s="27" cm="1">
        <f t="array" ref="BQ101">IF(VLOOKUP($Q101,武学奇术!$A:$ZZ,24,FALSE)=1,100%,MIN(40%,$B$10+VLOOKUP($Q101,武学奇术!$A:$ZZ,19,FALSE)+SUM(_xlfn.XLOOKUP($R101:$AK101,增益!$A:$A,增益!$S:$S,0)))+$B$12+SUM(_xlfn.XLOOKUP($R101:$AK101,增益!$A:$A,增益!$V:$V,0)))*IF(VLOOKUP($Q101,武学奇术!$A:$ZZ,23,FALSE)=1,0,1)</f>
        <v>0.0929</v>
      </c>
      <c r="BR101" s="27" cm="1">
        <f t="array" ref="BR101">1+$B$14+VLOOKUP($Q101,武学奇术!$A:$ZZ,20,FALSE)+SUM(_xlfn.XLOOKUP($R101:$AK101,增益!$A:$A,增益!$T:$T,0))</f>
        <v>1.35</v>
      </c>
      <c r="BS101" s="27">
        <f t="shared" si="20"/>
        <v>0.87863408</v>
      </c>
      <c r="BT101" s="27">
        <f t="shared" si="21"/>
        <v>0.01567581</v>
      </c>
      <c r="BU101" s="27">
        <f>IF(VLOOKUP($Q101,武学奇术!$A:$ZZ,22,FALSE)=1,0,(1-$BN101))*(1-$BQ101)</f>
        <v>0.01279011</v>
      </c>
      <c r="BV101" s="27" cm="1">
        <f t="array" ref="BV101">SUM(_xlfn.XLOOKUP($R101:$AK101,增益!$A:$A,增益!$W:$W,0))+$I$5</f>
        <v>0.11</v>
      </c>
    </row>
    <row r="102" spans="11:74">
      <c r="K102" s="40">
        <f t="shared" si="11"/>
        <v>34921.4216247735</v>
      </c>
      <c r="L102" s="40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BP102*$P102*(1+IF(VLOOKUP($Q102,武学奇术!$A:$ZZ,30,FALSE)="蓄力技",$B$21,0))*(1+$BV102)</f>
        <v>34921.4216247735</v>
      </c>
      <c r="M102" s="40">
        <f>(($AT102*$AM102+$AN102)*(1+$AU102)*(1+$AV102)+($AY102*IF($G$1="鸣金",$AO102,$AM102)+IF($G$1="鸣金",$AP102*1.5,0))*(1+$AZ102)*(1+$BA102)+($BC102*IF($G$1="裂石",$AO102,$AM102)+IF($G$1="裂石",$AP102*1.5,0))*(1+$BD102)*(1+$BE102)+($BG102*IF($G$1="牵丝",$AO102,$AM102)+IF($G$1="牵丝",$AP102*1.5,0))*(1+$BH102)*(1+$BI102)+($BK102*IF($G$1="破竹",$AO102,$AM102)+IF($G$1="破竹",$AP102*1.5,0))*(1+$BL102)*(1+$BM102))*(1+$AQ102)*$BR102*$P102*(1+IF(VLOOKUP($Q102,武学奇术!$A:$ZZ,30,FALSE)="蓄力技",$B$21,0))*(1+$BV102)</f>
        <v>25689.1687995348</v>
      </c>
      <c r="N102" s="40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P102*(1+IF(VLOOKUP($Q102,武学奇术!$A:$ZZ,30,FALSE)="蓄力技",$B$21,0))*(1+$BV102)</f>
        <v>16629.2483927493</v>
      </c>
      <c r="O102" s="40">
        <f>((($AS102*$AM102+$AN102)*(1+$AU102)*(1+$AV102)+($AX102*IF($G$1="鸣金",$AO102,$AM102)+IF($G$1="鸣金",$AP102*1.5,0))*(1+$AZ102)*(1+$BA102)+($BB102*IF($G$1="裂石",$AO102,$AM102)+IF($G$1="裂石",$AP102*1.5,0))*(1+$BD102)*(1+$BE102)+($BF102*IF($G$1="牵丝",$AO102,$AM102)+IF($G$1="牵丝",$AP102*1.5,0))*(1+$BH102)*(1+$BI102)+($BJ102*IF($G$1="破竹",$AO102,$AM102)+IF($G$1="破竹",$AP102*1.5,0))*(1+$BL102)*(1+$BM102))*(1+$AQ102))*$P102*(1+IF(VLOOKUP($Q102,武学奇术!$A:$ZZ,30,FALSE)="蓄力技",$B$21,0))*(1+$BV102)</f>
        <v>14229.4828599172</v>
      </c>
      <c r="P102" s="41">
        <v>1</v>
      </c>
      <c r="Q102" s="42" t="s">
        <v>117</v>
      </c>
      <c r="R102" s="42" t="s">
        <v>103</v>
      </c>
      <c r="S102" s="42" t="s">
        <v>169</v>
      </c>
      <c r="T102" s="42" t="s">
        <v>86</v>
      </c>
      <c r="U102" s="42" t="s">
        <v>121</v>
      </c>
      <c r="V102" s="42" t="s">
        <v>118</v>
      </c>
      <c r="W102" s="42" t="s">
        <v>114</v>
      </c>
      <c r="X102" s="42" t="s">
        <v>176</v>
      </c>
      <c r="Y102" s="42" t="s">
        <v>77</v>
      </c>
      <c r="Z102" s="42" t="s">
        <v>77</v>
      </c>
      <c r="AA102" s="42" t="s">
        <v>73</v>
      </c>
      <c r="AB102" s="42" t="s">
        <v>77</v>
      </c>
      <c r="AC102" s="42" t="s">
        <v>77</v>
      </c>
      <c r="AD102" s="42" t="s">
        <v>77</v>
      </c>
      <c r="AE102" s="42" t="s">
        <v>81</v>
      </c>
      <c r="AF102" s="42" t="s">
        <v>82</v>
      </c>
      <c r="AG102" s="42" t="s">
        <v>77</v>
      </c>
      <c r="AH102" s="42" t="s">
        <v>77</v>
      </c>
      <c r="AI102" s="42" t="s">
        <v>77</v>
      </c>
      <c r="AJ102" s="42" t="s">
        <v>77</v>
      </c>
      <c r="AK102" s="42" t="s">
        <v>77</v>
      </c>
      <c r="AL102" t="str">
        <f>VLOOKUP($Q102,武学奇术!$A:$ZZ,25,FALSE)</f>
        <v>陌刀</v>
      </c>
      <c r="AM102" s="27">
        <f>VLOOKUP($Q102,武学奇术!$A:$ZZ,26,FALSE)</f>
        <v>0.9</v>
      </c>
      <c r="AN102" s="28">
        <f>VLOOKUP($Q102,武学奇术!$A:$ZZ,27,FALSE)*(1+IF(OR($AL102=$F$4,$AL102=$F$5),$B$22,0))</f>
        <v>0</v>
      </c>
      <c r="AO102" s="27">
        <f>VLOOKUP($Q102,武学奇术!$A:$ZZ,28,FALSE)</f>
        <v>1.35</v>
      </c>
      <c r="AP102" s="28">
        <f>VLOOKUP($Q102,武学奇术!$A:$ZZ,29,FALSE)*(1+IF(OR($AL102=$F$4,$AL102=$F$5),$B$22,0))</f>
        <v>0</v>
      </c>
      <c r="AQ102" s="27" cm="1">
        <f t="array" ref="AQ102">$G$3+IFERROR(VLOOKUP($AL102,$F$4:$G$7,2,FALSE),0)+VLOOKUP($Q102,武学奇术!$A:$ZZ,2,FALSE)+SUM(_xlfn.XLOOKUP($R102:$AK102,增益!$A:$A,增益!$B:$B,0))</f>
        <v>0.7841</v>
      </c>
      <c r="AR102" s="27" cm="1">
        <f t="array" ref="AR102">VLOOKUP($Q102,武学奇术!$A:$ZZ,5,FALSE)+SUM(_xlfn.XLOOKUP($R102:$AK102,增益!$A:$A,增益!$E:$E,0))</f>
        <v>0</v>
      </c>
      <c r="AS102" cm="1">
        <f t="array" ref="AS102">$D$10*(1+$AR102)+VLOOKUP($Q102,武学奇术!$A:$ZZ,3,FALSE)+SUM(_xlfn.XLOOKUP($R102:$AK102,增益!$A:$A,增益!$C:$C,0))-$I$2</f>
        <v>3586.7</v>
      </c>
      <c r="AT102" cm="1">
        <f t="array" ref="AT102">$E$10*(1+$AR102)+VLOOKUP($Q102,武学奇术!$A:$ZZ,4,FALSE)+SUM(_xlfn.XLOOKUP($R102:$AK102,增益!$A:$A,增益!$D:$D,0))-$I$2</f>
        <v>3586.7</v>
      </c>
      <c r="AU102" s="34" cm="1">
        <f t="array" ref="AU102">IF($F$10-$I$3+VLOOKUP($Q102,武学奇术!$A:$ZZ,6,FALSE)+SUM(_xlfn.XLOOKUP($R102:$AK102,增益!$A:$A,增益!$F:$F,0))&gt;0,($F$10-$I$3+VLOOKUP($Q102,武学奇术!$A:$ZZ,6,FALSE)+SUM(_xlfn.XLOOKUP($R102:$AK102,增益!$A:$A,增益!$F:$F,0)))/200,($F$10-$I$3+VLOOKUP($Q102,武学奇术!$A:$ZZ,6,FALSE)+SUM(_xlfn.XLOOKUP($R102:$AK102,增益!$A:$A,增益!$F:$F,0)))/100)</f>
        <v>0.352</v>
      </c>
      <c r="AV102" s="34" cm="1">
        <f t="array" ref="AV102">$G$10+VLOOKUP($Q102,武学奇术!$A:$ZZ,7,FALSE)+SUM(_xlfn.XLOOKUP($R102:$AK102,增益!$A:$A,增益!$G:$G,0))</f>
        <v>0</v>
      </c>
      <c r="AW102" s="27" cm="1">
        <f t="array" ref="AW102">VLOOKUP($Q102,武学奇术!$A:$ZZ,8,FALSE)+SUM(_xlfn.XLOOKUP($R102:$AK102,增益!$A:$A,增益!$H:$H,0))</f>
        <v>0</v>
      </c>
      <c r="AX102">
        <f t="shared" si="12"/>
        <v>0</v>
      </c>
      <c r="AY102">
        <f t="shared" si="13"/>
        <v>0</v>
      </c>
      <c r="AZ102" s="34" cm="1">
        <f t="array" ref="AZ102">IF($F$11-$I$4+VLOOKUP($Q102,武学奇术!$A:$ZZ,9,FALSE)+SUM(_xlfn.XLOOKUP($R102:$AK102,增益!$A:$A,增益!$I:$I,0))&gt;0,($F$11-$I$4+VLOOKUP($Q102,武学奇术!$A:$ZZ,9,FALSE)+SUM(_xlfn.XLOOKUP($R102:$AK102,增益!$A:$A,增益!$I:$I,0)))/200,($F$11-$I$4+VLOOKUP($Q102,武学奇术!$A:$ZZ,9,FALSE)+SUM(_xlfn.XLOOKUP($R102:$AK102,增益!$A:$A,增益!$I:$I,0)))/100)</f>
        <v>-0.14</v>
      </c>
      <c r="BA102" s="34" cm="1">
        <f t="array" ref="BA102">$G$11+VLOOKUP($Q102,武学奇术!$A:$ZZ,10,FALSE)+SUM(_xlfn.XLOOKUP($R102:$AK102,增益!$A:$A,增益!$J:$J,0))</f>
        <v>0</v>
      </c>
      <c r="BB102">
        <f t="shared" si="14"/>
        <v>594.1</v>
      </c>
      <c r="BC102">
        <f t="shared" si="15"/>
        <v>1604.9</v>
      </c>
      <c r="BD102" s="34" cm="1">
        <f t="array" ref="BD102">IF($F$12-$I$4+VLOOKUP($Q102,武学奇术!$A:$ZZ,11,FALSE)+SUM(_xlfn.XLOOKUP($R102:$AK102,增益!$A:$A,增益!$K:$K,0))&gt;0,($F$12-$I$4+VLOOKUP($Q102,武学奇术!$A:$ZZ,11,FALSE)+SUM(_xlfn.XLOOKUP($R102:$AK102,增益!$A:$A,增益!$K:$K,0)))/200,($F$12-$I$4+VLOOKUP($Q102,武学奇术!$A:$ZZ,11,FALSE)+SUM(_xlfn.XLOOKUP($R102:$AK102,增益!$A:$A,增益!$K:$K,0)))/100)</f>
        <v>0.17</v>
      </c>
      <c r="BE102" s="34" cm="1">
        <f t="array" ref="BE102">$G$12+VLOOKUP($Q102,武学奇术!$A:$ZZ,12,FALSE)+SUM(_xlfn.XLOOKUP($R102:$AK102,增益!$A:$A,增益!$L:$L,0))</f>
        <v>0.15</v>
      </c>
      <c r="BF102">
        <f t="shared" si="16"/>
        <v>0</v>
      </c>
      <c r="BG102">
        <f t="shared" si="17"/>
        <v>0</v>
      </c>
      <c r="BH102" s="34" cm="1">
        <f t="array" ref="BH102">IF($F$13-$I$4+VLOOKUP($Q102,武学奇术!$A:$ZZ,13,FALSE)+SUM(_xlfn.XLOOKUP($R102:$AK102,增益!$A:$A,增益!$M:$M,0))&gt;0,($F$13-$I$4+VLOOKUP($Q102,武学奇术!$A:$ZZ,13,FALSE)+SUM(_xlfn.XLOOKUP($R102:$AK102,增益!$A:$A,增益!$K:$K,0)))/200,($F$13-$I$4+VLOOKUP($Q102,武学奇术!$A:$ZZ,13,FALSE)+SUM(_xlfn.XLOOKUP($R102:$AK102,增益!$A:$A,增益!$M:$M,0)))/100)</f>
        <v>-0.14</v>
      </c>
      <c r="BI102" s="34" cm="1">
        <f t="array" ref="BI102">$G$13+VLOOKUP($Q102,武学奇术!$A:$ZZ,14,FALSE)+SUM(_xlfn.XLOOKUP($R102:$AK102,增益!$A:$A,增益!$N:$N,0))</f>
        <v>0</v>
      </c>
      <c r="BJ102">
        <f t="shared" si="18"/>
        <v>0</v>
      </c>
      <c r="BK102">
        <f t="shared" si="19"/>
        <v>0</v>
      </c>
      <c r="BL102" s="34" cm="1">
        <f t="array" ref="BL102">IF($F$14-$I$4+VLOOKUP($Q102,武学奇术!$A:$ZZ,15,FALSE)+SUM(_xlfn.XLOOKUP($R102:$AK102,增益!$A:$A,增益!$O:$O,0))&gt;0,($F$14-$I$4+VLOOKUP($Q102,武学奇术!$A:$ZZ,15,FALSE)+SUM(_xlfn.XLOOKUP($R102:$AK102,增益!$A:$A,增益!$O:$O,0)))/200,($F$14-$I$4+VLOOKUP($Q102,武学奇术!$A:$ZZ,15,FALSE)+SUM(_xlfn.XLOOKUP($R102:$AK102,增益!$A:$A,增益!$O:$O,0)))/100)</f>
        <v>-0.14</v>
      </c>
      <c r="BM102" s="34" cm="1">
        <f t="array" ref="BM102">$G$14+VLOOKUP($Q102,武学奇术!$A:$ZZ,16,FALSE)+SUM(_xlfn.XLOOKUP($R102:$AK102,增益!$A:$A,增益!$P:$P,0))</f>
        <v>0</v>
      </c>
      <c r="BN102" s="27">
        <f>MIN(IF(VLOOKUP($Q102,武学奇术!$A:$ZZ,23,FALSE)=1,100%,$B$8),100%)</f>
        <v>1</v>
      </c>
      <c r="BO102" s="27" cm="1">
        <f t="array" ref="BO102">IF(VLOOKUP($Q102,武学奇术!$A:$ZZ,23,FALSE)=1,100%,MIN(80%,$B$9+VLOOKUP($Q102,武学奇术!$A:$ZZ,17,FALSE)+SUM(_xlfn.XLOOKUP($R102:$AK102,增益!$A:$A,增益!$Q:$Q,0)))+$B$11+SUM(_xlfn.XLOOKUP($R102:$AK102,增益!$A:$A,增益!$U:$U,0)))*IF(VLOOKUP($Q102,武学奇术!$A:$ZZ,24,FALSE)=1,0,1)</f>
        <v>1</v>
      </c>
      <c r="BP102" s="27" cm="1">
        <f t="array" ref="BP102">1+$B$13+VLOOKUP($Q102,武学奇术!$A:$ZZ,18,FALSE)+SUM(_xlfn.XLOOKUP($R102:$AK102,增益!$A:$A,增益!$R:$R,0))</f>
        <v>2.1</v>
      </c>
      <c r="BQ102" s="27" cm="1">
        <f t="array" ref="BQ102">IF(VLOOKUP($Q102,武学奇术!$A:$ZZ,24,FALSE)=1,100%,MIN(40%,$B$10+VLOOKUP($Q102,武学奇术!$A:$ZZ,19,FALSE)+SUM(_xlfn.XLOOKUP($R102:$AK102,增益!$A:$A,增益!$S:$S,0)))+$B$12+SUM(_xlfn.XLOOKUP($R102:$AK102,增益!$A:$A,增益!$V:$V,0)))*IF(VLOOKUP($Q102,武学奇术!$A:$ZZ,23,FALSE)=1,0,1)</f>
        <v>0</v>
      </c>
      <c r="BR102" s="27" cm="1">
        <f t="array" ref="BR102">1+$B$14+VLOOKUP($Q102,武学奇术!$A:$ZZ,20,FALSE)+SUM(_xlfn.XLOOKUP($R102:$AK102,增益!$A:$A,增益!$T:$T,0))</f>
        <v>1.35</v>
      </c>
      <c r="BS102" s="27">
        <f t="shared" si="20"/>
        <v>1</v>
      </c>
      <c r="BT102" s="27">
        <f t="shared" si="21"/>
        <v>0</v>
      </c>
      <c r="BU102" s="27">
        <f>IF(VLOOKUP($Q102,武学奇术!$A:$ZZ,22,FALSE)=1,0,(1-$BN102))*(1-$BQ102)</f>
        <v>0</v>
      </c>
      <c r="BV102" s="27" cm="1">
        <f t="array" ref="BV102">SUM(_xlfn.XLOOKUP($R102:$AK102,增益!$A:$A,增益!$W:$W,0))+$I$5</f>
        <v>0.11</v>
      </c>
    </row>
    <row r="103" spans="11:74">
      <c r="K103" s="40">
        <f t="shared" si="11"/>
        <v>332109.100564601</v>
      </c>
      <c r="L103" s="40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BP103*$P103*(1+IF(VLOOKUP($Q103,武学奇术!$A:$ZZ,30,FALSE)="蓄力技",$B$21,0))*(1+$BV103)</f>
        <v>332109.100564601</v>
      </c>
      <c r="M103" s="40">
        <f>(($AT103*$AM103+$AN103)*(1+$AU103)*(1+$AV103)+($AY103*IF($G$1="鸣金",$AO103,$AM103)+IF($G$1="鸣金",$AP103*1.5,0))*(1+$AZ103)*(1+$BA103)+($BC103*IF($G$1="裂石",$AO103,$AM103)+IF($G$1="裂石",$AP103*1.5,0))*(1+$BD103)*(1+$BE103)+($BG103*IF($G$1="牵丝",$AO103,$AM103)+IF($G$1="牵丝",$AP103*1.5,0))*(1+$BH103)*(1+$BI103)+($BK103*IF($G$1="破竹",$AO103,$AM103)+IF($G$1="破竹",$AP103*1.5,0))*(1+$BL103)*(1+$BM103))*(1+$AQ103)*$BR103*$P103*(1+IF(VLOOKUP($Q103,武学奇术!$A:$ZZ,30,FALSE)="蓄力技",$B$21,0))*(1+$BV103)</f>
        <v>240433.559523401</v>
      </c>
      <c r="N103" s="40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P103*(1+IF(VLOOKUP($Q103,武学奇术!$A:$ZZ,30,FALSE)="蓄力技",$B$21,0))*(1+$BV103)</f>
        <v>158147.190745048</v>
      </c>
      <c r="O103" s="40">
        <f>((($AS103*$AM103+$AN103)*(1+$AU103)*(1+$AV103)+($AX103*IF($G$1="鸣金",$AO103,$AM103)+IF($G$1="鸣金",$AP103*1.5,0))*(1+$AZ103)*(1+$BA103)+($BB103*IF($G$1="裂石",$AO103,$AM103)+IF($G$1="裂石",$AP103*1.5,0))*(1+$BD103)*(1+$BE103)+($BF103*IF($G$1="牵丝",$AO103,$AM103)+IF($G$1="牵丝",$AP103*1.5,0))*(1+$BH103)*(1+$BI103)+($BJ103*IF($G$1="破竹",$AO103,$AM103)+IF($G$1="破竹",$AP103*1.5,0))*(1+$BL103)*(1+$BM103))*(1+$AQ103))*$P103*(1+IF(VLOOKUP($Q103,武学奇术!$A:$ZZ,30,FALSE)="蓄力技",$B$21,0))*(1+$BV103)</f>
        <v>138195.448509799</v>
      </c>
      <c r="P103" s="41">
        <v>1</v>
      </c>
      <c r="Q103" s="42" t="s">
        <v>120</v>
      </c>
      <c r="R103" s="42" t="s">
        <v>103</v>
      </c>
      <c r="S103" s="42" t="s">
        <v>169</v>
      </c>
      <c r="T103" s="42" t="s">
        <v>86</v>
      </c>
      <c r="U103" s="42" t="s">
        <v>121</v>
      </c>
      <c r="V103" s="42" t="s">
        <v>118</v>
      </c>
      <c r="W103" s="42" t="s">
        <v>122</v>
      </c>
      <c r="X103" s="42" t="s">
        <v>176</v>
      </c>
      <c r="Y103" s="42" t="s">
        <v>77</v>
      </c>
      <c r="Z103" s="42" t="s">
        <v>77</v>
      </c>
      <c r="AA103" s="42" t="s">
        <v>73</v>
      </c>
      <c r="AB103" s="42" t="s">
        <v>77</v>
      </c>
      <c r="AC103" s="42" t="s">
        <v>77</v>
      </c>
      <c r="AD103" s="42" t="s">
        <v>77</v>
      </c>
      <c r="AE103" s="42" t="s">
        <v>81</v>
      </c>
      <c r="AF103" s="42" t="s">
        <v>82</v>
      </c>
      <c r="AG103" s="42" t="s">
        <v>77</v>
      </c>
      <c r="AH103" s="42" t="s">
        <v>77</v>
      </c>
      <c r="AI103" s="42" t="s">
        <v>77</v>
      </c>
      <c r="AJ103" s="42" t="s">
        <v>77</v>
      </c>
      <c r="AK103" s="42" t="s">
        <v>77</v>
      </c>
      <c r="AL103" t="str">
        <f>VLOOKUP($Q103,武学奇术!$A:$ZZ,25,FALSE)</f>
        <v>陌刀</v>
      </c>
      <c r="AM103" s="27">
        <f>VLOOKUP($Q103,武学奇术!$A:$ZZ,26,FALSE)</f>
        <v>7.5674</v>
      </c>
      <c r="AN103" s="28">
        <f>VLOOKUP($Q103,武学奇术!$A:$ZZ,27,FALSE)*(1+IF(OR($AL103=$F$4,$AL103=$F$5),$B$22,0))</f>
        <v>3139.5</v>
      </c>
      <c r="AO103" s="27">
        <f>VLOOKUP($Q103,武学奇术!$A:$ZZ,28,FALSE)</f>
        <v>11.3512</v>
      </c>
      <c r="AP103" s="28">
        <f>VLOOKUP($Q103,武学奇术!$A:$ZZ,29,FALSE)*(1+IF(OR($AL103=$F$4,$AL103=$F$5),$B$22,0))</f>
        <v>1710</v>
      </c>
      <c r="AQ103" s="27" cm="1">
        <f t="array" ref="AQ103">$G$3+IFERROR(VLOOKUP($AL103,$F$4:$G$7,2,FALSE),0)+VLOOKUP($Q103,武学奇术!$A:$ZZ,2,FALSE)+SUM(_xlfn.XLOOKUP($R103:$AK103,增益!$A:$A,增益!$B:$B,0))</f>
        <v>0.7641</v>
      </c>
      <c r="AR103" s="27" cm="1">
        <f t="array" ref="AR103">VLOOKUP($Q103,武学奇术!$A:$ZZ,5,FALSE)+SUM(_xlfn.XLOOKUP($R103:$AK103,增益!$A:$A,增益!$E:$E,0))</f>
        <v>0</v>
      </c>
      <c r="AS103" cm="1">
        <f t="array" ref="AS103">$D$10*(1+$AR103)+VLOOKUP($Q103,武学奇术!$A:$ZZ,3,FALSE)+SUM(_xlfn.XLOOKUP($R103:$AK103,增益!$A:$A,增益!$C:$C,0))-$I$2</f>
        <v>3586.7</v>
      </c>
      <c r="AT103" cm="1">
        <f t="array" ref="AT103">$E$10*(1+$AR103)+VLOOKUP($Q103,武学奇术!$A:$ZZ,4,FALSE)+SUM(_xlfn.XLOOKUP($R103:$AK103,增益!$A:$A,增益!$D:$D,0))-$I$2</f>
        <v>3586.7</v>
      </c>
      <c r="AU103" s="34" cm="1">
        <f t="array" ref="AU103">IF($F$10-$I$3+VLOOKUP($Q103,武学奇术!$A:$ZZ,6,FALSE)+SUM(_xlfn.XLOOKUP($R103:$AK103,增益!$A:$A,增益!$F:$F,0))&gt;0,($F$10-$I$3+VLOOKUP($Q103,武学奇术!$A:$ZZ,6,FALSE)+SUM(_xlfn.XLOOKUP($R103:$AK103,增益!$A:$A,增益!$F:$F,0)))/200,($F$10-$I$3+VLOOKUP($Q103,武学奇术!$A:$ZZ,6,FALSE)+SUM(_xlfn.XLOOKUP($R103:$AK103,增益!$A:$A,增益!$F:$F,0)))/100)</f>
        <v>0.352</v>
      </c>
      <c r="AV103" s="34" cm="1">
        <f t="array" ref="AV103">$G$10+VLOOKUP($Q103,武学奇术!$A:$ZZ,7,FALSE)+SUM(_xlfn.XLOOKUP($R103:$AK103,增益!$A:$A,增益!$G:$G,0))</f>
        <v>0</v>
      </c>
      <c r="AW103" s="27" cm="1">
        <f t="array" ref="AW103">VLOOKUP($Q103,武学奇术!$A:$ZZ,8,FALSE)+SUM(_xlfn.XLOOKUP($R103:$AK103,增益!$A:$A,增益!$H:$H,0))</f>
        <v>0</v>
      </c>
      <c r="AX103">
        <f t="shared" si="12"/>
        <v>0</v>
      </c>
      <c r="AY103">
        <f t="shared" si="13"/>
        <v>0</v>
      </c>
      <c r="AZ103" s="34" cm="1">
        <f t="array" ref="AZ103">IF($F$11-$I$4+VLOOKUP($Q103,武学奇术!$A:$ZZ,9,FALSE)+SUM(_xlfn.XLOOKUP($R103:$AK103,增益!$A:$A,增益!$I:$I,0))&gt;0,($F$11-$I$4+VLOOKUP($Q103,武学奇术!$A:$ZZ,9,FALSE)+SUM(_xlfn.XLOOKUP($R103:$AK103,增益!$A:$A,增益!$I:$I,0)))/200,($F$11-$I$4+VLOOKUP($Q103,武学奇术!$A:$ZZ,9,FALSE)+SUM(_xlfn.XLOOKUP($R103:$AK103,增益!$A:$A,增益!$I:$I,0)))/100)</f>
        <v>-0.14</v>
      </c>
      <c r="BA103" s="34" cm="1">
        <f t="array" ref="BA103">$G$11+VLOOKUP($Q103,武学奇术!$A:$ZZ,10,FALSE)+SUM(_xlfn.XLOOKUP($R103:$AK103,增益!$A:$A,增益!$J:$J,0))</f>
        <v>0</v>
      </c>
      <c r="BB103">
        <f t="shared" si="14"/>
        <v>594.1</v>
      </c>
      <c r="BC103">
        <f t="shared" si="15"/>
        <v>1604.9</v>
      </c>
      <c r="BD103" s="34" cm="1">
        <f t="array" ref="BD103">IF($F$12-$I$4+VLOOKUP($Q103,武学奇术!$A:$ZZ,11,FALSE)+SUM(_xlfn.XLOOKUP($R103:$AK103,增益!$A:$A,增益!$K:$K,0))&gt;0,($F$12-$I$4+VLOOKUP($Q103,武学奇术!$A:$ZZ,11,FALSE)+SUM(_xlfn.XLOOKUP($R103:$AK103,增益!$A:$A,增益!$K:$K,0)))/200,($F$12-$I$4+VLOOKUP($Q103,武学奇术!$A:$ZZ,11,FALSE)+SUM(_xlfn.XLOOKUP($R103:$AK103,增益!$A:$A,增益!$K:$K,0)))/100)</f>
        <v>0.17</v>
      </c>
      <c r="BE103" s="34" cm="1">
        <f t="array" ref="BE103">$G$12+VLOOKUP($Q103,武学奇术!$A:$ZZ,12,FALSE)+SUM(_xlfn.XLOOKUP($R103:$AK103,增益!$A:$A,增益!$L:$L,0))</f>
        <v>0.15</v>
      </c>
      <c r="BF103">
        <f t="shared" si="16"/>
        <v>0</v>
      </c>
      <c r="BG103">
        <f t="shared" si="17"/>
        <v>0</v>
      </c>
      <c r="BH103" s="34" cm="1">
        <f t="array" ref="BH103">IF($F$13-$I$4+VLOOKUP($Q103,武学奇术!$A:$ZZ,13,FALSE)+SUM(_xlfn.XLOOKUP($R103:$AK103,增益!$A:$A,增益!$M:$M,0))&gt;0,($F$13-$I$4+VLOOKUP($Q103,武学奇术!$A:$ZZ,13,FALSE)+SUM(_xlfn.XLOOKUP($R103:$AK103,增益!$A:$A,增益!$K:$K,0)))/200,($F$13-$I$4+VLOOKUP($Q103,武学奇术!$A:$ZZ,13,FALSE)+SUM(_xlfn.XLOOKUP($R103:$AK103,增益!$A:$A,增益!$M:$M,0)))/100)</f>
        <v>-0.14</v>
      </c>
      <c r="BI103" s="34" cm="1">
        <f t="array" ref="BI103">$G$13+VLOOKUP($Q103,武学奇术!$A:$ZZ,14,FALSE)+SUM(_xlfn.XLOOKUP($R103:$AK103,增益!$A:$A,增益!$N:$N,0))</f>
        <v>0</v>
      </c>
      <c r="BJ103">
        <f t="shared" si="18"/>
        <v>0</v>
      </c>
      <c r="BK103">
        <f t="shared" si="19"/>
        <v>0</v>
      </c>
      <c r="BL103" s="34" cm="1">
        <f t="array" ref="BL103">IF($F$14-$I$4+VLOOKUP($Q103,武学奇术!$A:$ZZ,15,FALSE)+SUM(_xlfn.XLOOKUP($R103:$AK103,增益!$A:$A,增益!$O:$O,0))&gt;0,($F$14-$I$4+VLOOKUP($Q103,武学奇术!$A:$ZZ,15,FALSE)+SUM(_xlfn.XLOOKUP($R103:$AK103,增益!$A:$A,增益!$O:$O,0)))/200,($F$14-$I$4+VLOOKUP($Q103,武学奇术!$A:$ZZ,15,FALSE)+SUM(_xlfn.XLOOKUP($R103:$AK103,增益!$A:$A,增益!$O:$O,0)))/100)</f>
        <v>-0.14</v>
      </c>
      <c r="BM103" s="34" cm="1">
        <f t="array" ref="BM103">$G$14+VLOOKUP($Q103,武学奇术!$A:$ZZ,16,FALSE)+SUM(_xlfn.XLOOKUP($R103:$AK103,增益!$A:$A,增益!$P:$P,0))</f>
        <v>0</v>
      </c>
      <c r="BN103" s="27">
        <f>MIN(IF(VLOOKUP($Q103,武学奇术!$A:$ZZ,23,FALSE)=1,100%,$B$8),100%)</f>
        <v>1</v>
      </c>
      <c r="BO103" s="27" cm="1">
        <f t="array" ref="BO103">IF(VLOOKUP($Q103,武学奇术!$A:$ZZ,23,FALSE)=1,100%,MIN(80%,$B$9+VLOOKUP($Q103,武学奇术!$A:$ZZ,17,FALSE)+SUM(_xlfn.XLOOKUP($R103:$AK103,增益!$A:$A,增益!$Q:$Q,0)))+$B$11+SUM(_xlfn.XLOOKUP($R103:$AK103,增益!$A:$A,增益!$U:$U,0)))*IF(VLOOKUP($Q103,武学奇术!$A:$ZZ,24,FALSE)=1,0,1)</f>
        <v>1</v>
      </c>
      <c r="BP103" s="27" cm="1">
        <f t="array" ref="BP103">1+$B$13+VLOOKUP($Q103,武学奇术!$A:$ZZ,18,FALSE)+SUM(_xlfn.XLOOKUP($R103:$AK103,增益!$A:$A,增益!$R:$R,0))</f>
        <v>2.1</v>
      </c>
      <c r="BQ103" s="27" cm="1">
        <f t="array" ref="BQ103">IF(VLOOKUP($Q103,武学奇术!$A:$ZZ,24,FALSE)=1,100%,MIN(40%,$B$10+VLOOKUP($Q103,武学奇术!$A:$ZZ,19,FALSE)+SUM(_xlfn.XLOOKUP($R103:$AK103,增益!$A:$A,增益!$S:$S,0)))+$B$12+SUM(_xlfn.XLOOKUP($R103:$AK103,增益!$A:$A,增益!$V:$V,0)))*IF(VLOOKUP($Q103,武学奇术!$A:$ZZ,23,FALSE)=1,0,1)</f>
        <v>0</v>
      </c>
      <c r="BR103" s="27" cm="1">
        <f t="array" ref="BR103">1+$B$14+VLOOKUP($Q103,武学奇术!$A:$ZZ,20,FALSE)+SUM(_xlfn.XLOOKUP($R103:$AK103,增益!$A:$A,增益!$T:$T,0))</f>
        <v>1.35</v>
      </c>
      <c r="BS103" s="27">
        <f t="shared" si="20"/>
        <v>1</v>
      </c>
      <c r="BT103" s="27">
        <f t="shared" si="21"/>
        <v>0</v>
      </c>
      <c r="BU103" s="27">
        <f>IF(VLOOKUP($Q103,武学奇术!$A:$ZZ,22,FALSE)=1,0,(1-$BN103))*(1-$BQ103)</f>
        <v>0</v>
      </c>
      <c r="BV103" s="27" cm="1">
        <f t="array" ref="BV103">SUM(_xlfn.XLOOKUP($R103:$AK103,增益!$A:$A,增益!$W:$W,0))+$I$5</f>
        <v>0.11</v>
      </c>
    </row>
    <row r="104" spans="11:74">
      <c r="K104" s="40">
        <f t="shared" si="11"/>
        <v>21148.6086916796</v>
      </c>
      <c r="L104" s="40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BP104*$P104*(1+IF(VLOOKUP($Q104,武学奇术!$A:$ZZ,30,FALSE)="蓄力技",$B$21,0))*(1+$BV104)</f>
        <v>21148.6086916796</v>
      </c>
      <c r="M104" s="40">
        <f>(($AT104*$AM104+$AN104)*(1+$AU104)*(1+$AV104)+($AY104*IF($G$1="鸣金",$AO104,$AM104)+IF($G$1="鸣金",$AP104*1.5,0))*(1+$AZ104)*(1+$BA104)+($BC104*IF($G$1="裂石",$AO104,$AM104)+IF($G$1="裂石",$AP104*1.5,0))*(1+$BD104)*(1+$BE104)+($BG104*IF($G$1="牵丝",$AO104,$AM104)+IF($G$1="牵丝",$AP104*1.5,0))*(1+$BH104)*(1+$BI104)+($BK104*IF($G$1="破竹",$AO104,$AM104)+IF($G$1="破竹",$AP104*1.5,0))*(1+$BL104)*(1+$BM104))*(1+$AQ104)*$BR104*$P104*(1+IF(VLOOKUP($Q104,武学奇术!$A:$ZZ,30,FALSE)="蓄力技",$B$21,0))*(1+$BV104)</f>
        <v>15557.5046283469</v>
      </c>
      <c r="N104" s="40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P104*(1+IF(VLOOKUP($Q104,武学奇术!$A:$ZZ,30,FALSE)="蓄力技",$B$21,0))*(1+$BV104)</f>
        <v>10070.766043657</v>
      </c>
      <c r="O104" s="40">
        <f>((($AS104*$AM104+$AN104)*(1+$AU104)*(1+$AV104)+($AX104*IF($G$1="鸣金",$AO104,$AM104)+IF($G$1="鸣金",$AP104*1.5,0))*(1+$AZ104)*(1+$BA104)+($BB104*IF($G$1="裂石",$AO104,$AM104)+IF($G$1="裂石",$AP104*1.5,0))*(1+$BD104)*(1+$BE104)+($BF104*IF($G$1="牵丝",$AO104,$AM104)+IF($G$1="牵丝",$AP104*1.5,0))*(1+$BH104)*(1+$BI104)+($BJ104*IF($G$1="破竹",$AO104,$AM104)+IF($G$1="破竹",$AP104*1.5,0))*(1+$BL104)*(1+$BM104))*(1+$AQ104))*$P104*(1+IF(VLOOKUP($Q104,武学奇术!$A:$ZZ,30,FALSE)="蓄力技",$B$21,0))*(1+$BV104)</f>
        <v>8617.45458483474</v>
      </c>
      <c r="P104" s="41">
        <v>1</v>
      </c>
      <c r="Q104" s="42" t="s">
        <v>125</v>
      </c>
      <c r="R104" s="42" t="s">
        <v>103</v>
      </c>
      <c r="S104" s="42" t="s">
        <v>169</v>
      </c>
      <c r="T104" s="42" t="s">
        <v>86</v>
      </c>
      <c r="U104" s="42" t="s">
        <v>121</v>
      </c>
      <c r="V104" s="42" t="s">
        <v>118</v>
      </c>
      <c r="W104" s="42" t="s">
        <v>114</v>
      </c>
      <c r="X104" s="42" t="s">
        <v>176</v>
      </c>
      <c r="Y104" s="42" t="s">
        <v>186</v>
      </c>
      <c r="Z104" s="42" t="s">
        <v>77</v>
      </c>
      <c r="AA104" s="42" t="s">
        <v>73</v>
      </c>
      <c r="AB104" s="42" t="s">
        <v>77</v>
      </c>
      <c r="AC104" s="42" t="s">
        <v>77</v>
      </c>
      <c r="AD104" s="42" t="s">
        <v>77</v>
      </c>
      <c r="AE104" s="42" t="s">
        <v>81</v>
      </c>
      <c r="AF104" s="42" t="s">
        <v>82</v>
      </c>
      <c r="AG104" s="42" t="s">
        <v>77</v>
      </c>
      <c r="AH104" s="42" t="s">
        <v>77</v>
      </c>
      <c r="AI104" s="42" t="s">
        <v>77</v>
      </c>
      <c r="AJ104" s="42" t="s">
        <v>77</v>
      </c>
      <c r="AK104" s="42" t="s">
        <v>77</v>
      </c>
      <c r="AL104" t="str">
        <f>VLOOKUP($Q104,武学奇术!$A:$ZZ,25,FALSE)</f>
        <v>陌刀</v>
      </c>
      <c r="AM104" s="27">
        <f>VLOOKUP($Q104,武学奇术!$A:$ZZ,26,FALSE)</f>
        <v>0.5</v>
      </c>
      <c r="AN104" s="28">
        <f>VLOOKUP($Q104,武学奇术!$A:$ZZ,27,FALSE)*(1+IF(OR($AL104=$F$4,$AL104=$F$5),$B$22,0))</f>
        <v>0</v>
      </c>
      <c r="AO104" s="27">
        <f>VLOOKUP($Q104,武学奇术!$A:$ZZ,28,FALSE)</f>
        <v>0.75</v>
      </c>
      <c r="AP104" s="28">
        <f>VLOOKUP($Q104,武学奇术!$A:$ZZ,29,FALSE)*(1+IF(OR($AL104=$F$4,$AL104=$F$5),$B$22,0))</f>
        <v>0</v>
      </c>
      <c r="AQ104" s="27" cm="1">
        <f t="array" ref="AQ104">$G$3+IFERROR(VLOOKUP($AL104,$F$4:$G$7,2,FALSE),0)+VLOOKUP($Q104,武学奇术!$A:$ZZ,2,FALSE)+SUM(_xlfn.XLOOKUP($R104:$AK104,增益!$A:$A,增益!$B:$B,0))</f>
        <v>0.7841</v>
      </c>
      <c r="AR104" s="27" cm="1">
        <f t="array" ref="AR104">VLOOKUP($Q104,武学奇术!$A:$ZZ,5,FALSE)+SUM(_xlfn.XLOOKUP($R104:$AK104,增益!$A:$A,增益!$E:$E,0))</f>
        <v>0</v>
      </c>
      <c r="AS104" cm="1">
        <f t="array" ref="AS104">$D$10*(1+$AR104)+VLOOKUP($Q104,武学奇术!$A:$ZZ,3,FALSE)+SUM(_xlfn.XLOOKUP($R104:$AK104,增益!$A:$A,增益!$C:$C,0))-$I$2</f>
        <v>3586.7</v>
      </c>
      <c r="AT104" cm="1">
        <f t="array" ref="AT104">$E$10*(1+$AR104)+VLOOKUP($Q104,武学奇术!$A:$ZZ,4,FALSE)+SUM(_xlfn.XLOOKUP($R104:$AK104,增益!$A:$A,增益!$D:$D,0))-$I$2</f>
        <v>3586.7</v>
      </c>
      <c r="AU104" s="34" cm="1">
        <f t="array" ref="AU104">IF($F$10-$I$3+VLOOKUP($Q104,武学奇术!$A:$ZZ,6,FALSE)+SUM(_xlfn.XLOOKUP($R104:$AK104,增益!$A:$A,增益!$F:$F,0))&gt;0,($F$10-$I$3+VLOOKUP($Q104,武学奇术!$A:$ZZ,6,FALSE)+SUM(_xlfn.XLOOKUP($R104:$AK104,增益!$A:$A,增益!$F:$F,0)))/200,($F$10-$I$3+VLOOKUP($Q104,武学奇术!$A:$ZZ,6,FALSE)+SUM(_xlfn.XLOOKUP($R104:$AK104,增益!$A:$A,增益!$F:$F,0)))/100)</f>
        <v>0.352</v>
      </c>
      <c r="AV104" s="34" cm="1">
        <f t="array" ref="AV104">$G$10+VLOOKUP($Q104,武学奇术!$A:$ZZ,7,FALSE)+SUM(_xlfn.XLOOKUP($R104:$AK104,增益!$A:$A,增益!$G:$G,0))</f>
        <v>0</v>
      </c>
      <c r="AW104" s="27" cm="1">
        <f t="array" ref="AW104">VLOOKUP($Q104,武学奇术!$A:$ZZ,8,FALSE)+SUM(_xlfn.XLOOKUP($R104:$AK104,增益!$A:$A,增益!$H:$H,0))</f>
        <v>0</v>
      </c>
      <c r="AX104">
        <f t="shared" si="12"/>
        <v>0</v>
      </c>
      <c r="AY104">
        <f t="shared" si="13"/>
        <v>0</v>
      </c>
      <c r="AZ104" s="34" cm="1">
        <f t="array" ref="AZ104">IF($F$11-$I$4+VLOOKUP($Q104,武学奇术!$A:$ZZ,9,FALSE)+SUM(_xlfn.XLOOKUP($R104:$AK104,增益!$A:$A,增益!$I:$I,0))&gt;0,($F$11-$I$4+VLOOKUP($Q104,武学奇术!$A:$ZZ,9,FALSE)+SUM(_xlfn.XLOOKUP($R104:$AK104,增益!$A:$A,增益!$I:$I,0)))/200,($F$11-$I$4+VLOOKUP($Q104,武学奇术!$A:$ZZ,9,FALSE)+SUM(_xlfn.XLOOKUP($R104:$AK104,增益!$A:$A,增益!$I:$I,0)))/100)</f>
        <v>-0.14</v>
      </c>
      <c r="BA104" s="34" cm="1">
        <f t="array" ref="BA104">$G$11+VLOOKUP($Q104,武学奇术!$A:$ZZ,10,FALSE)+SUM(_xlfn.XLOOKUP($R104:$AK104,增益!$A:$A,增益!$J:$J,0))</f>
        <v>0</v>
      </c>
      <c r="BB104">
        <f t="shared" si="14"/>
        <v>594.1</v>
      </c>
      <c r="BC104">
        <f t="shared" si="15"/>
        <v>1604.9</v>
      </c>
      <c r="BD104" s="34" cm="1">
        <f t="array" ref="BD104">IF($F$12-$I$4+VLOOKUP($Q104,武学奇术!$A:$ZZ,11,FALSE)+SUM(_xlfn.XLOOKUP($R104:$AK104,增益!$A:$A,增益!$K:$K,0))&gt;0,($F$12-$I$4+VLOOKUP($Q104,武学奇术!$A:$ZZ,11,FALSE)+SUM(_xlfn.XLOOKUP($R104:$AK104,增益!$A:$A,增益!$K:$K,0)))/200,($F$12-$I$4+VLOOKUP($Q104,武学奇术!$A:$ZZ,11,FALSE)+SUM(_xlfn.XLOOKUP($R104:$AK104,增益!$A:$A,增益!$K:$K,0)))/100)</f>
        <v>0.17</v>
      </c>
      <c r="BE104" s="34" cm="1">
        <f t="array" ref="BE104">$G$12+VLOOKUP($Q104,武学奇术!$A:$ZZ,12,FALSE)+SUM(_xlfn.XLOOKUP($R104:$AK104,增益!$A:$A,增益!$L:$L,0))</f>
        <v>0.15</v>
      </c>
      <c r="BF104">
        <f t="shared" si="16"/>
        <v>0</v>
      </c>
      <c r="BG104">
        <f t="shared" si="17"/>
        <v>0</v>
      </c>
      <c r="BH104" s="34" cm="1">
        <f t="array" ref="BH104">IF($F$13-$I$4+VLOOKUP($Q104,武学奇术!$A:$ZZ,13,FALSE)+SUM(_xlfn.XLOOKUP($R104:$AK104,增益!$A:$A,增益!$M:$M,0))&gt;0,($F$13-$I$4+VLOOKUP($Q104,武学奇术!$A:$ZZ,13,FALSE)+SUM(_xlfn.XLOOKUP($R104:$AK104,增益!$A:$A,增益!$K:$K,0)))/200,($F$13-$I$4+VLOOKUP($Q104,武学奇术!$A:$ZZ,13,FALSE)+SUM(_xlfn.XLOOKUP($R104:$AK104,增益!$A:$A,增益!$M:$M,0)))/100)</f>
        <v>-0.14</v>
      </c>
      <c r="BI104" s="34" cm="1">
        <f t="array" ref="BI104">$G$13+VLOOKUP($Q104,武学奇术!$A:$ZZ,14,FALSE)+SUM(_xlfn.XLOOKUP($R104:$AK104,增益!$A:$A,增益!$N:$N,0))</f>
        <v>0</v>
      </c>
      <c r="BJ104">
        <f t="shared" si="18"/>
        <v>0</v>
      </c>
      <c r="BK104">
        <f t="shared" si="19"/>
        <v>0</v>
      </c>
      <c r="BL104" s="34" cm="1">
        <f t="array" ref="BL104">IF($F$14-$I$4+VLOOKUP($Q104,武学奇术!$A:$ZZ,15,FALSE)+SUM(_xlfn.XLOOKUP($R104:$AK104,增益!$A:$A,增益!$O:$O,0))&gt;0,($F$14-$I$4+VLOOKUP($Q104,武学奇术!$A:$ZZ,15,FALSE)+SUM(_xlfn.XLOOKUP($R104:$AK104,增益!$A:$A,增益!$O:$O,0)))/200,($F$14-$I$4+VLOOKUP($Q104,武学奇术!$A:$ZZ,15,FALSE)+SUM(_xlfn.XLOOKUP($R104:$AK104,增益!$A:$A,增益!$O:$O,0)))/100)</f>
        <v>-0.14</v>
      </c>
      <c r="BM104" s="34" cm="1">
        <f t="array" ref="BM104">$G$14+VLOOKUP($Q104,武学奇术!$A:$ZZ,16,FALSE)+SUM(_xlfn.XLOOKUP($R104:$AK104,增益!$A:$A,增益!$P:$P,0))</f>
        <v>0</v>
      </c>
      <c r="BN104" s="27">
        <f>MIN(IF(VLOOKUP($Q104,武学奇术!$A:$ZZ,23,FALSE)=1,100%,$B$8),100%)</f>
        <v>1</v>
      </c>
      <c r="BO104" s="27" cm="1">
        <f t="array" ref="BO104">IF(VLOOKUP($Q104,武学奇术!$A:$ZZ,23,FALSE)=1,100%,MIN(80%,$B$9+VLOOKUP($Q104,武学奇术!$A:$ZZ,17,FALSE)+SUM(_xlfn.XLOOKUP($R104:$AK104,增益!$A:$A,增益!$Q:$Q,0)))+$B$11+SUM(_xlfn.XLOOKUP($R104:$AK104,增益!$A:$A,增益!$U:$U,0)))*IF(VLOOKUP($Q104,武学奇术!$A:$ZZ,24,FALSE)=1,0,1)</f>
        <v>1</v>
      </c>
      <c r="BP104" s="27" cm="1">
        <f t="array" ref="BP104">1+$B$13+VLOOKUP($Q104,武学奇术!$A:$ZZ,18,FALSE)+SUM(_xlfn.XLOOKUP($R104:$AK104,增益!$A:$A,增益!$R:$R,0))</f>
        <v>2.1</v>
      </c>
      <c r="BQ104" s="27" cm="1">
        <f t="array" ref="BQ104">IF(VLOOKUP($Q104,武学奇术!$A:$ZZ,24,FALSE)=1,100%,MIN(40%,$B$10+VLOOKUP($Q104,武学奇术!$A:$ZZ,19,FALSE)+SUM(_xlfn.XLOOKUP($R104:$AK104,增益!$A:$A,增益!$S:$S,0)))+$B$12+SUM(_xlfn.XLOOKUP($R104:$AK104,增益!$A:$A,增益!$V:$V,0)))*IF(VLOOKUP($Q104,武学奇术!$A:$ZZ,23,FALSE)=1,0,1)</f>
        <v>0</v>
      </c>
      <c r="BR104" s="27" cm="1">
        <f t="array" ref="BR104">1+$B$14+VLOOKUP($Q104,武学奇术!$A:$ZZ,20,FALSE)+SUM(_xlfn.XLOOKUP($R104:$AK104,增益!$A:$A,增益!$T:$T,0))</f>
        <v>1.35</v>
      </c>
      <c r="BS104" s="27">
        <f t="shared" si="20"/>
        <v>1</v>
      </c>
      <c r="BT104" s="27">
        <f t="shared" si="21"/>
        <v>0</v>
      </c>
      <c r="BU104" s="27">
        <f>IF(VLOOKUP($Q104,武学奇术!$A:$ZZ,22,FALSE)=1,0,(1-$BN104))*(1-$BQ104)</f>
        <v>0</v>
      </c>
      <c r="BV104" s="27" cm="1">
        <f t="array" ref="BV104">SUM(_xlfn.XLOOKUP($R104:$AK104,增益!$A:$A,增益!$W:$W,0))+$I$5</f>
        <v>0.21</v>
      </c>
    </row>
    <row r="105" spans="11:74">
      <c r="K105" s="40">
        <f t="shared" si="11"/>
        <v>38067.4956450233</v>
      </c>
      <c r="L105" s="40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BP105*$P105*(1+IF(VLOOKUP($Q105,武学奇术!$A:$ZZ,30,FALSE)="蓄力技",$B$21,0))*(1+$BV105)</f>
        <v>38067.4956450233</v>
      </c>
      <c r="M105" s="40">
        <f>(($AT105*$AM105+$AN105)*(1+$AU105)*(1+$AV105)+($AY105*IF($G$1="鸣金",$AO105,$AM105)+IF($G$1="鸣金",$AP105*1.5,0))*(1+$AZ105)*(1+$BA105)+($BC105*IF($G$1="裂石",$AO105,$AM105)+IF($G$1="裂石",$AP105*1.5,0))*(1+$BD105)*(1+$BE105)+($BG105*IF($G$1="牵丝",$AO105,$AM105)+IF($G$1="牵丝",$AP105*1.5,0))*(1+$BH105)*(1+$BI105)+($BK105*IF($G$1="破竹",$AO105,$AM105)+IF($G$1="破竹",$AP105*1.5,0))*(1+$BL105)*(1+$BM105))*(1+$AQ105)*$BR105*$P105*(1+IF(VLOOKUP($Q105,武学奇术!$A:$ZZ,30,FALSE)="蓄力技",$B$21,0))*(1+$BV105)</f>
        <v>28003.5083310244</v>
      </c>
      <c r="N105" s="40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P105*(1+IF(VLOOKUP($Q105,武学奇术!$A:$ZZ,30,FALSE)="蓄力技",$B$21,0))*(1+$BV105)</f>
        <v>18127.3788785825</v>
      </c>
      <c r="O105" s="40">
        <f>((($AS105*$AM105+$AN105)*(1+$AU105)*(1+$AV105)+($AX105*IF($G$1="鸣金",$AO105,$AM105)+IF($G$1="鸣金",$AP105*1.5,0))*(1+$AZ105)*(1+$BA105)+($BB105*IF($G$1="裂石",$AO105,$AM105)+IF($G$1="裂石",$AP105*1.5,0))*(1+$BD105)*(1+$BE105)+($BF105*IF($G$1="牵丝",$AO105,$AM105)+IF($G$1="牵丝",$AP105*1.5,0))*(1+$BH105)*(1+$BI105)+($BJ105*IF($G$1="破竹",$AO105,$AM105)+IF($G$1="破竹",$AP105*1.5,0))*(1+$BL105)*(1+$BM105))*(1+$AQ105))*$P105*(1+IF(VLOOKUP($Q105,武学奇术!$A:$ZZ,30,FALSE)="蓄力技",$B$21,0))*(1+$BV105)</f>
        <v>15511.4182527025</v>
      </c>
      <c r="P105" s="41">
        <v>1</v>
      </c>
      <c r="Q105" s="42" t="s">
        <v>117</v>
      </c>
      <c r="R105" s="42" t="s">
        <v>103</v>
      </c>
      <c r="S105" s="42" t="s">
        <v>169</v>
      </c>
      <c r="T105" s="42" t="s">
        <v>86</v>
      </c>
      <c r="U105" s="42" t="s">
        <v>121</v>
      </c>
      <c r="V105" s="42" t="s">
        <v>118</v>
      </c>
      <c r="W105" s="42" t="s">
        <v>114</v>
      </c>
      <c r="X105" s="42" t="s">
        <v>176</v>
      </c>
      <c r="Y105" s="42" t="s">
        <v>186</v>
      </c>
      <c r="Z105" s="42" t="s">
        <v>77</v>
      </c>
      <c r="AA105" s="42" t="s">
        <v>73</v>
      </c>
      <c r="AB105" s="42" t="s">
        <v>77</v>
      </c>
      <c r="AC105" s="42" t="s">
        <v>77</v>
      </c>
      <c r="AD105" s="42" t="s">
        <v>77</v>
      </c>
      <c r="AE105" s="42" t="s">
        <v>81</v>
      </c>
      <c r="AF105" s="42" t="s">
        <v>82</v>
      </c>
      <c r="AG105" s="42" t="s">
        <v>77</v>
      </c>
      <c r="AH105" s="42" t="s">
        <v>77</v>
      </c>
      <c r="AI105" s="42" t="s">
        <v>77</v>
      </c>
      <c r="AJ105" s="42" t="s">
        <v>77</v>
      </c>
      <c r="AK105" s="42" t="s">
        <v>77</v>
      </c>
      <c r="AL105" t="str">
        <f>VLOOKUP($Q105,武学奇术!$A:$ZZ,25,FALSE)</f>
        <v>陌刀</v>
      </c>
      <c r="AM105" s="27">
        <f>VLOOKUP($Q105,武学奇术!$A:$ZZ,26,FALSE)</f>
        <v>0.9</v>
      </c>
      <c r="AN105" s="28">
        <f>VLOOKUP($Q105,武学奇术!$A:$ZZ,27,FALSE)*(1+IF(OR($AL105=$F$4,$AL105=$F$5),$B$22,0))</f>
        <v>0</v>
      </c>
      <c r="AO105" s="27">
        <f>VLOOKUP($Q105,武学奇术!$A:$ZZ,28,FALSE)</f>
        <v>1.35</v>
      </c>
      <c r="AP105" s="28">
        <f>VLOOKUP($Q105,武学奇术!$A:$ZZ,29,FALSE)*(1+IF(OR($AL105=$F$4,$AL105=$F$5),$B$22,0))</f>
        <v>0</v>
      </c>
      <c r="AQ105" s="27" cm="1">
        <f t="array" ref="AQ105">$G$3+IFERROR(VLOOKUP($AL105,$F$4:$G$7,2,FALSE),0)+VLOOKUP($Q105,武学奇术!$A:$ZZ,2,FALSE)+SUM(_xlfn.XLOOKUP($R105:$AK105,增益!$A:$A,增益!$B:$B,0))</f>
        <v>0.7841</v>
      </c>
      <c r="AR105" s="27" cm="1">
        <f t="array" ref="AR105">VLOOKUP($Q105,武学奇术!$A:$ZZ,5,FALSE)+SUM(_xlfn.XLOOKUP($R105:$AK105,增益!$A:$A,增益!$E:$E,0))</f>
        <v>0</v>
      </c>
      <c r="AS105" cm="1">
        <f t="array" ref="AS105">$D$10*(1+$AR105)+VLOOKUP($Q105,武学奇术!$A:$ZZ,3,FALSE)+SUM(_xlfn.XLOOKUP($R105:$AK105,增益!$A:$A,增益!$C:$C,0))-$I$2</f>
        <v>3586.7</v>
      </c>
      <c r="AT105" cm="1">
        <f t="array" ref="AT105">$E$10*(1+$AR105)+VLOOKUP($Q105,武学奇术!$A:$ZZ,4,FALSE)+SUM(_xlfn.XLOOKUP($R105:$AK105,增益!$A:$A,增益!$D:$D,0))-$I$2</f>
        <v>3586.7</v>
      </c>
      <c r="AU105" s="34" cm="1">
        <f t="array" ref="AU105">IF($F$10-$I$3+VLOOKUP($Q105,武学奇术!$A:$ZZ,6,FALSE)+SUM(_xlfn.XLOOKUP($R105:$AK105,增益!$A:$A,增益!$F:$F,0))&gt;0,($F$10-$I$3+VLOOKUP($Q105,武学奇术!$A:$ZZ,6,FALSE)+SUM(_xlfn.XLOOKUP($R105:$AK105,增益!$A:$A,增益!$F:$F,0)))/200,($F$10-$I$3+VLOOKUP($Q105,武学奇术!$A:$ZZ,6,FALSE)+SUM(_xlfn.XLOOKUP($R105:$AK105,增益!$A:$A,增益!$F:$F,0)))/100)</f>
        <v>0.352</v>
      </c>
      <c r="AV105" s="34" cm="1">
        <f t="array" ref="AV105">$G$10+VLOOKUP($Q105,武学奇术!$A:$ZZ,7,FALSE)+SUM(_xlfn.XLOOKUP($R105:$AK105,增益!$A:$A,增益!$G:$G,0))</f>
        <v>0</v>
      </c>
      <c r="AW105" s="27" cm="1">
        <f t="array" ref="AW105">VLOOKUP($Q105,武学奇术!$A:$ZZ,8,FALSE)+SUM(_xlfn.XLOOKUP($R105:$AK105,增益!$A:$A,增益!$H:$H,0))</f>
        <v>0</v>
      </c>
      <c r="AX105">
        <f t="shared" si="12"/>
        <v>0</v>
      </c>
      <c r="AY105">
        <f t="shared" si="13"/>
        <v>0</v>
      </c>
      <c r="AZ105" s="34" cm="1">
        <f t="array" ref="AZ105">IF($F$11-$I$4+VLOOKUP($Q105,武学奇术!$A:$ZZ,9,FALSE)+SUM(_xlfn.XLOOKUP($R105:$AK105,增益!$A:$A,增益!$I:$I,0))&gt;0,($F$11-$I$4+VLOOKUP($Q105,武学奇术!$A:$ZZ,9,FALSE)+SUM(_xlfn.XLOOKUP($R105:$AK105,增益!$A:$A,增益!$I:$I,0)))/200,($F$11-$I$4+VLOOKUP($Q105,武学奇术!$A:$ZZ,9,FALSE)+SUM(_xlfn.XLOOKUP($R105:$AK105,增益!$A:$A,增益!$I:$I,0)))/100)</f>
        <v>-0.14</v>
      </c>
      <c r="BA105" s="34" cm="1">
        <f t="array" ref="BA105">$G$11+VLOOKUP($Q105,武学奇术!$A:$ZZ,10,FALSE)+SUM(_xlfn.XLOOKUP($R105:$AK105,增益!$A:$A,增益!$J:$J,0))</f>
        <v>0</v>
      </c>
      <c r="BB105">
        <f t="shared" si="14"/>
        <v>594.1</v>
      </c>
      <c r="BC105">
        <f t="shared" si="15"/>
        <v>1604.9</v>
      </c>
      <c r="BD105" s="34" cm="1">
        <f t="array" ref="BD105">IF($F$12-$I$4+VLOOKUP($Q105,武学奇术!$A:$ZZ,11,FALSE)+SUM(_xlfn.XLOOKUP($R105:$AK105,增益!$A:$A,增益!$K:$K,0))&gt;0,($F$12-$I$4+VLOOKUP($Q105,武学奇术!$A:$ZZ,11,FALSE)+SUM(_xlfn.XLOOKUP($R105:$AK105,增益!$A:$A,增益!$K:$K,0)))/200,($F$12-$I$4+VLOOKUP($Q105,武学奇术!$A:$ZZ,11,FALSE)+SUM(_xlfn.XLOOKUP($R105:$AK105,增益!$A:$A,增益!$K:$K,0)))/100)</f>
        <v>0.17</v>
      </c>
      <c r="BE105" s="34" cm="1">
        <f t="array" ref="BE105">$G$12+VLOOKUP($Q105,武学奇术!$A:$ZZ,12,FALSE)+SUM(_xlfn.XLOOKUP($R105:$AK105,增益!$A:$A,增益!$L:$L,0))</f>
        <v>0.15</v>
      </c>
      <c r="BF105">
        <f t="shared" si="16"/>
        <v>0</v>
      </c>
      <c r="BG105">
        <f t="shared" si="17"/>
        <v>0</v>
      </c>
      <c r="BH105" s="34" cm="1">
        <f t="array" ref="BH105">IF($F$13-$I$4+VLOOKUP($Q105,武学奇术!$A:$ZZ,13,FALSE)+SUM(_xlfn.XLOOKUP($R105:$AK105,增益!$A:$A,增益!$M:$M,0))&gt;0,($F$13-$I$4+VLOOKUP($Q105,武学奇术!$A:$ZZ,13,FALSE)+SUM(_xlfn.XLOOKUP($R105:$AK105,增益!$A:$A,增益!$K:$K,0)))/200,($F$13-$I$4+VLOOKUP($Q105,武学奇术!$A:$ZZ,13,FALSE)+SUM(_xlfn.XLOOKUP($R105:$AK105,增益!$A:$A,增益!$M:$M,0)))/100)</f>
        <v>-0.14</v>
      </c>
      <c r="BI105" s="34" cm="1">
        <f t="array" ref="BI105">$G$13+VLOOKUP($Q105,武学奇术!$A:$ZZ,14,FALSE)+SUM(_xlfn.XLOOKUP($R105:$AK105,增益!$A:$A,增益!$N:$N,0))</f>
        <v>0</v>
      </c>
      <c r="BJ105">
        <f t="shared" si="18"/>
        <v>0</v>
      </c>
      <c r="BK105">
        <f t="shared" si="19"/>
        <v>0</v>
      </c>
      <c r="BL105" s="34" cm="1">
        <f t="array" ref="BL105">IF($F$14-$I$4+VLOOKUP($Q105,武学奇术!$A:$ZZ,15,FALSE)+SUM(_xlfn.XLOOKUP($R105:$AK105,增益!$A:$A,增益!$O:$O,0))&gt;0,($F$14-$I$4+VLOOKUP($Q105,武学奇术!$A:$ZZ,15,FALSE)+SUM(_xlfn.XLOOKUP($R105:$AK105,增益!$A:$A,增益!$O:$O,0)))/200,($F$14-$I$4+VLOOKUP($Q105,武学奇术!$A:$ZZ,15,FALSE)+SUM(_xlfn.XLOOKUP($R105:$AK105,增益!$A:$A,增益!$O:$O,0)))/100)</f>
        <v>-0.14</v>
      </c>
      <c r="BM105" s="34" cm="1">
        <f t="array" ref="BM105">$G$14+VLOOKUP($Q105,武学奇术!$A:$ZZ,16,FALSE)+SUM(_xlfn.XLOOKUP($R105:$AK105,增益!$A:$A,增益!$P:$P,0))</f>
        <v>0</v>
      </c>
      <c r="BN105" s="27">
        <f>MIN(IF(VLOOKUP($Q105,武学奇术!$A:$ZZ,23,FALSE)=1,100%,$B$8),100%)</f>
        <v>1</v>
      </c>
      <c r="BO105" s="27" cm="1">
        <f t="array" ref="BO105">IF(VLOOKUP($Q105,武学奇术!$A:$ZZ,23,FALSE)=1,100%,MIN(80%,$B$9+VLOOKUP($Q105,武学奇术!$A:$ZZ,17,FALSE)+SUM(_xlfn.XLOOKUP($R105:$AK105,增益!$A:$A,增益!$Q:$Q,0)))+$B$11+SUM(_xlfn.XLOOKUP($R105:$AK105,增益!$A:$A,增益!$U:$U,0)))*IF(VLOOKUP($Q105,武学奇术!$A:$ZZ,24,FALSE)=1,0,1)</f>
        <v>1</v>
      </c>
      <c r="BP105" s="27" cm="1">
        <f t="array" ref="BP105">1+$B$13+VLOOKUP($Q105,武学奇术!$A:$ZZ,18,FALSE)+SUM(_xlfn.XLOOKUP($R105:$AK105,增益!$A:$A,增益!$R:$R,0))</f>
        <v>2.1</v>
      </c>
      <c r="BQ105" s="27" cm="1">
        <f t="array" ref="BQ105">IF(VLOOKUP($Q105,武学奇术!$A:$ZZ,24,FALSE)=1,100%,MIN(40%,$B$10+VLOOKUP($Q105,武学奇术!$A:$ZZ,19,FALSE)+SUM(_xlfn.XLOOKUP($R105:$AK105,增益!$A:$A,增益!$S:$S,0)))+$B$12+SUM(_xlfn.XLOOKUP($R105:$AK105,增益!$A:$A,增益!$V:$V,0)))*IF(VLOOKUP($Q105,武学奇术!$A:$ZZ,23,FALSE)=1,0,1)</f>
        <v>0</v>
      </c>
      <c r="BR105" s="27" cm="1">
        <f t="array" ref="BR105">1+$B$14+VLOOKUP($Q105,武学奇术!$A:$ZZ,20,FALSE)+SUM(_xlfn.XLOOKUP($R105:$AK105,增益!$A:$A,增益!$T:$T,0))</f>
        <v>1.35</v>
      </c>
      <c r="BS105" s="27">
        <f t="shared" si="20"/>
        <v>1</v>
      </c>
      <c r="BT105" s="27">
        <f t="shared" si="21"/>
        <v>0</v>
      </c>
      <c r="BU105" s="27">
        <f>IF(VLOOKUP($Q105,武学奇术!$A:$ZZ,22,FALSE)=1,0,(1-$BN105))*(1-$BQ105)</f>
        <v>0</v>
      </c>
      <c r="BV105" s="27" cm="1">
        <f t="array" ref="BV105">SUM(_xlfn.XLOOKUP($R105:$AK105,增益!$A:$A,增益!$W:$W,0))+$I$5</f>
        <v>0.21</v>
      </c>
    </row>
    <row r="106" spans="11:74">
      <c r="K106" s="40">
        <f t="shared" si="11"/>
        <v>362028.839354205</v>
      </c>
      <c r="L106" s="40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BP106*$P106*(1+IF(VLOOKUP($Q106,武学奇术!$A:$ZZ,30,FALSE)="蓄力技",$B$21,0))*(1+$BV106)</f>
        <v>362028.839354205</v>
      </c>
      <c r="M106" s="40">
        <f>(($AT106*$AM106+$AN106)*(1+$AU106)*(1+$AV106)+($AY106*IF($G$1="鸣金",$AO106,$AM106)+IF($G$1="鸣金",$AP106*1.5,0))*(1+$AZ106)*(1+$BA106)+($BC106*IF($G$1="裂石",$AO106,$AM106)+IF($G$1="裂石",$AP106*1.5,0))*(1+$BD106)*(1+$BE106)+($BG106*IF($G$1="牵丝",$AO106,$AM106)+IF($G$1="牵丝",$AP106*1.5,0))*(1+$BH106)*(1+$BI106)+($BK106*IF($G$1="破竹",$AO106,$AM106)+IF($G$1="破竹",$AP106*1.5,0))*(1+$BL106)*(1+$BM106))*(1+$AQ106)*$BR106*$P106*(1+IF(VLOOKUP($Q106,武学奇术!$A:$ZZ,30,FALSE)="蓄力技",$B$21,0))*(1+$BV106)</f>
        <v>262094.240561546</v>
      </c>
      <c r="N106" s="40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P106*(1+IF(VLOOKUP($Q106,武学奇术!$A:$ZZ,30,FALSE)="蓄力技",$B$21,0))*(1+$BV106)</f>
        <v>172394.685406764</v>
      </c>
      <c r="O106" s="40">
        <f>((($AS106*$AM106+$AN106)*(1+$AU106)*(1+$AV106)+($AX106*IF($G$1="鸣金",$AO106,$AM106)+IF($G$1="鸣金",$AP106*1.5,0))*(1+$AZ106)*(1+$BA106)+($BB106*IF($G$1="裂石",$AO106,$AM106)+IF($G$1="裂石",$AP106*1.5,0))*(1+$BD106)*(1+$BE106)+($BF106*IF($G$1="牵丝",$AO106,$AM106)+IF($G$1="牵丝",$AP106*1.5,0))*(1+$BH106)*(1+$BI106)+($BJ106*IF($G$1="破竹",$AO106,$AM106)+IF($G$1="破竹",$AP106*1.5,0))*(1+$BL106)*(1+$BM106))*(1+$AQ106))*$P106*(1+IF(VLOOKUP($Q106,武学奇术!$A:$ZZ,30,FALSE)="蓄力技",$B$21,0))*(1+$BV106)</f>
        <v>150645.488916087</v>
      </c>
      <c r="P106" s="41">
        <v>1</v>
      </c>
      <c r="Q106" s="42" t="s">
        <v>120</v>
      </c>
      <c r="R106" s="42" t="s">
        <v>103</v>
      </c>
      <c r="S106" s="42" t="s">
        <v>169</v>
      </c>
      <c r="T106" s="42" t="s">
        <v>86</v>
      </c>
      <c r="U106" s="42" t="s">
        <v>121</v>
      </c>
      <c r="V106" s="42" t="s">
        <v>118</v>
      </c>
      <c r="W106" s="42" t="s">
        <v>122</v>
      </c>
      <c r="X106" s="42" t="s">
        <v>176</v>
      </c>
      <c r="Y106" s="42" t="s">
        <v>186</v>
      </c>
      <c r="Z106" s="42" t="s">
        <v>77</v>
      </c>
      <c r="AA106" s="42" t="s">
        <v>73</v>
      </c>
      <c r="AB106" s="42" t="s">
        <v>77</v>
      </c>
      <c r="AC106" s="42" t="s">
        <v>77</v>
      </c>
      <c r="AD106" s="42" t="s">
        <v>77</v>
      </c>
      <c r="AE106" s="42" t="s">
        <v>81</v>
      </c>
      <c r="AF106" s="42" t="s">
        <v>82</v>
      </c>
      <c r="AG106" s="42" t="s">
        <v>77</v>
      </c>
      <c r="AH106" s="42" t="s">
        <v>77</v>
      </c>
      <c r="AI106" s="42" t="s">
        <v>77</v>
      </c>
      <c r="AJ106" s="42" t="s">
        <v>77</v>
      </c>
      <c r="AK106" s="42" t="s">
        <v>77</v>
      </c>
      <c r="AL106" t="str">
        <f>VLOOKUP($Q106,武学奇术!$A:$ZZ,25,FALSE)</f>
        <v>陌刀</v>
      </c>
      <c r="AM106" s="27">
        <f>VLOOKUP($Q106,武学奇术!$A:$ZZ,26,FALSE)</f>
        <v>7.5674</v>
      </c>
      <c r="AN106" s="28">
        <f>VLOOKUP($Q106,武学奇术!$A:$ZZ,27,FALSE)*(1+IF(OR($AL106=$F$4,$AL106=$F$5),$B$22,0))</f>
        <v>3139.5</v>
      </c>
      <c r="AO106" s="27">
        <f>VLOOKUP($Q106,武学奇术!$A:$ZZ,28,FALSE)</f>
        <v>11.3512</v>
      </c>
      <c r="AP106" s="28">
        <f>VLOOKUP($Q106,武学奇术!$A:$ZZ,29,FALSE)*(1+IF(OR($AL106=$F$4,$AL106=$F$5),$B$22,0))</f>
        <v>1710</v>
      </c>
      <c r="AQ106" s="27" cm="1">
        <f t="array" ref="AQ106">$G$3+IFERROR(VLOOKUP($AL106,$F$4:$G$7,2,FALSE),0)+VLOOKUP($Q106,武学奇术!$A:$ZZ,2,FALSE)+SUM(_xlfn.XLOOKUP($R106:$AK106,增益!$A:$A,增益!$B:$B,0))</f>
        <v>0.7641</v>
      </c>
      <c r="AR106" s="27" cm="1">
        <f t="array" ref="AR106">VLOOKUP($Q106,武学奇术!$A:$ZZ,5,FALSE)+SUM(_xlfn.XLOOKUP($R106:$AK106,增益!$A:$A,增益!$E:$E,0))</f>
        <v>0</v>
      </c>
      <c r="AS106" cm="1">
        <f t="array" ref="AS106">$D$10*(1+$AR106)+VLOOKUP($Q106,武学奇术!$A:$ZZ,3,FALSE)+SUM(_xlfn.XLOOKUP($R106:$AK106,增益!$A:$A,增益!$C:$C,0))-$I$2</f>
        <v>3586.7</v>
      </c>
      <c r="AT106" cm="1">
        <f t="array" ref="AT106">$E$10*(1+$AR106)+VLOOKUP($Q106,武学奇术!$A:$ZZ,4,FALSE)+SUM(_xlfn.XLOOKUP($R106:$AK106,增益!$A:$A,增益!$D:$D,0))-$I$2</f>
        <v>3586.7</v>
      </c>
      <c r="AU106" s="34" cm="1">
        <f t="array" ref="AU106">IF($F$10-$I$3+VLOOKUP($Q106,武学奇术!$A:$ZZ,6,FALSE)+SUM(_xlfn.XLOOKUP($R106:$AK106,增益!$A:$A,增益!$F:$F,0))&gt;0,($F$10-$I$3+VLOOKUP($Q106,武学奇术!$A:$ZZ,6,FALSE)+SUM(_xlfn.XLOOKUP($R106:$AK106,增益!$A:$A,增益!$F:$F,0)))/200,($F$10-$I$3+VLOOKUP($Q106,武学奇术!$A:$ZZ,6,FALSE)+SUM(_xlfn.XLOOKUP($R106:$AK106,增益!$A:$A,增益!$F:$F,0)))/100)</f>
        <v>0.352</v>
      </c>
      <c r="AV106" s="34" cm="1">
        <f t="array" ref="AV106">$G$10+VLOOKUP($Q106,武学奇术!$A:$ZZ,7,FALSE)+SUM(_xlfn.XLOOKUP($R106:$AK106,增益!$A:$A,增益!$G:$G,0))</f>
        <v>0</v>
      </c>
      <c r="AW106" s="27" cm="1">
        <f t="array" ref="AW106">VLOOKUP($Q106,武学奇术!$A:$ZZ,8,FALSE)+SUM(_xlfn.XLOOKUP($R106:$AK106,增益!$A:$A,增益!$H:$H,0))</f>
        <v>0</v>
      </c>
      <c r="AX106">
        <f t="shared" si="12"/>
        <v>0</v>
      </c>
      <c r="AY106">
        <f t="shared" si="13"/>
        <v>0</v>
      </c>
      <c r="AZ106" s="34" cm="1">
        <f t="array" ref="AZ106">IF($F$11-$I$4+VLOOKUP($Q106,武学奇术!$A:$ZZ,9,FALSE)+SUM(_xlfn.XLOOKUP($R106:$AK106,增益!$A:$A,增益!$I:$I,0))&gt;0,($F$11-$I$4+VLOOKUP($Q106,武学奇术!$A:$ZZ,9,FALSE)+SUM(_xlfn.XLOOKUP($R106:$AK106,增益!$A:$A,增益!$I:$I,0)))/200,($F$11-$I$4+VLOOKUP($Q106,武学奇术!$A:$ZZ,9,FALSE)+SUM(_xlfn.XLOOKUP($R106:$AK106,增益!$A:$A,增益!$I:$I,0)))/100)</f>
        <v>-0.14</v>
      </c>
      <c r="BA106" s="34" cm="1">
        <f t="array" ref="BA106">$G$11+VLOOKUP($Q106,武学奇术!$A:$ZZ,10,FALSE)+SUM(_xlfn.XLOOKUP($R106:$AK106,增益!$A:$A,增益!$J:$J,0))</f>
        <v>0</v>
      </c>
      <c r="BB106">
        <f t="shared" si="14"/>
        <v>594.1</v>
      </c>
      <c r="BC106">
        <f t="shared" si="15"/>
        <v>1604.9</v>
      </c>
      <c r="BD106" s="34" cm="1">
        <f t="array" ref="BD106">IF($F$12-$I$4+VLOOKUP($Q106,武学奇术!$A:$ZZ,11,FALSE)+SUM(_xlfn.XLOOKUP($R106:$AK106,增益!$A:$A,增益!$K:$K,0))&gt;0,($F$12-$I$4+VLOOKUP($Q106,武学奇术!$A:$ZZ,11,FALSE)+SUM(_xlfn.XLOOKUP($R106:$AK106,增益!$A:$A,增益!$K:$K,0)))/200,($F$12-$I$4+VLOOKUP($Q106,武学奇术!$A:$ZZ,11,FALSE)+SUM(_xlfn.XLOOKUP($R106:$AK106,增益!$A:$A,增益!$K:$K,0)))/100)</f>
        <v>0.17</v>
      </c>
      <c r="BE106" s="34" cm="1">
        <f t="array" ref="BE106">$G$12+VLOOKUP($Q106,武学奇术!$A:$ZZ,12,FALSE)+SUM(_xlfn.XLOOKUP($R106:$AK106,增益!$A:$A,增益!$L:$L,0))</f>
        <v>0.15</v>
      </c>
      <c r="BF106">
        <f t="shared" si="16"/>
        <v>0</v>
      </c>
      <c r="BG106">
        <f t="shared" si="17"/>
        <v>0</v>
      </c>
      <c r="BH106" s="34" cm="1">
        <f t="array" ref="BH106">IF($F$13-$I$4+VLOOKUP($Q106,武学奇术!$A:$ZZ,13,FALSE)+SUM(_xlfn.XLOOKUP($R106:$AK106,增益!$A:$A,增益!$M:$M,0))&gt;0,($F$13-$I$4+VLOOKUP($Q106,武学奇术!$A:$ZZ,13,FALSE)+SUM(_xlfn.XLOOKUP($R106:$AK106,增益!$A:$A,增益!$K:$K,0)))/200,($F$13-$I$4+VLOOKUP($Q106,武学奇术!$A:$ZZ,13,FALSE)+SUM(_xlfn.XLOOKUP($R106:$AK106,增益!$A:$A,增益!$M:$M,0)))/100)</f>
        <v>-0.14</v>
      </c>
      <c r="BI106" s="34" cm="1">
        <f t="array" ref="BI106">$G$13+VLOOKUP($Q106,武学奇术!$A:$ZZ,14,FALSE)+SUM(_xlfn.XLOOKUP($R106:$AK106,增益!$A:$A,增益!$N:$N,0))</f>
        <v>0</v>
      </c>
      <c r="BJ106">
        <f t="shared" si="18"/>
        <v>0</v>
      </c>
      <c r="BK106">
        <f t="shared" si="19"/>
        <v>0</v>
      </c>
      <c r="BL106" s="34" cm="1">
        <f t="array" ref="BL106">IF($F$14-$I$4+VLOOKUP($Q106,武学奇术!$A:$ZZ,15,FALSE)+SUM(_xlfn.XLOOKUP($R106:$AK106,增益!$A:$A,增益!$O:$O,0))&gt;0,($F$14-$I$4+VLOOKUP($Q106,武学奇术!$A:$ZZ,15,FALSE)+SUM(_xlfn.XLOOKUP($R106:$AK106,增益!$A:$A,增益!$O:$O,0)))/200,($F$14-$I$4+VLOOKUP($Q106,武学奇术!$A:$ZZ,15,FALSE)+SUM(_xlfn.XLOOKUP($R106:$AK106,增益!$A:$A,增益!$O:$O,0)))/100)</f>
        <v>-0.14</v>
      </c>
      <c r="BM106" s="34" cm="1">
        <f t="array" ref="BM106">$G$14+VLOOKUP($Q106,武学奇术!$A:$ZZ,16,FALSE)+SUM(_xlfn.XLOOKUP($R106:$AK106,增益!$A:$A,增益!$P:$P,0))</f>
        <v>0</v>
      </c>
      <c r="BN106" s="27">
        <f>MIN(IF(VLOOKUP($Q106,武学奇术!$A:$ZZ,23,FALSE)=1,100%,$B$8),100%)</f>
        <v>1</v>
      </c>
      <c r="BO106" s="27" cm="1">
        <f t="array" ref="BO106">IF(VLOOKUP($Q106,武学奇术!$A:$ZZ,23,FALSE)=1,100%,MIN(80%,$B$9+VLOOKUP($Q106,武学奇术!$A:$ZZ,17,FALSE)+SUM(_xlfn.XLOOKUP($R106:$AK106,增益!$A:$A,增益!$Q:$Q,0)))+$B$11+SUM(_xlfn.XLOOKUP($R106:$AK106,增益!$A:$A,增益!$U:$U,0)))*IF(VLOOKUP($Q106,武学奇术!$A:$ZZ,24,FALSE)=1,0,1)</f>
        <v>1</v>
      </c>
      <c r="BP106" s="27" cm="1">
        <f t="array" ref="BP106">1+$B$13+VLOOKUP($Q106,武学奇术!$A:$ZZ,18,FALSE)+SUM(_xlfn.XLOOKUP($R106:$AK106,增益!$A:$A,增益!$R:$R,0))</f>
        <v>2.1</v>
      </c>
      <c r="BQ106" s="27" cm="1">
        <f t="array" ref="BQ106">IF(VLOOKUP($Q106,武学奇术!$A:$ZZ,24,FALSE)=1,100%,MIN(40%,$B$10+VLOOKUP($Q106,武学奇术!$A:$ZZ,19,FALSE)+SUM(_xlfn.XLOOKUP($R106:$AK106,增益!$A:$A,增益!$S:$S,0)))+$B$12+SUM(_xlfn.XLOOKUP($R106:$AK106,增益!$A:$A,增益!$V:$V,0)))*IF(VLOOKUP($Q106,武学奇术!$A:$ZZ,23,FALSE)=1,0,1)</f>
        <v>0</v>
      </c>
      <c r="BR106" s="27" cm="1">
        <f t="array" ref="BR106">1+$B$14+VLOOKUP($Q106,武学奇术!$A:$ZZ,20,FALSE)+SUM(_xlfn.XLOOKUP($R106:$AK106,增益!$A:$A,增益!$T:$T,0))</f>
        <v>1.35</v>
      </c>
      <c r="BS106" s="27">
        <f t="shared" si="20"/>
        <v>1</v>
      </c>
      <c r="BT106" s="27">
        <f t="shared" si="21"/>
        <v>0</v>
      </c>
      <c r="BU106" s="27">
        <f>IF(VLOOKUP($Q106,武学奇术!$A:$ZZ,22,FALSE)=1,0,(1-$BN106))*(1-$BQ106)</f>
        <v>0</v>
      </c>
      <c r="BV106" s="27" cm="1">
        <f t="array" ref="BV106">SUM(_xlfn.XLOOKUP($R106:$AK106,增益!$A:$A,增益!$W:$W,0))+$I$5</f>
        <v>0.21</v>
      </c>
    </row>
    <row r="107" spans="11:74">
      <c r="K107" s="40">
        <f t="shared" si="11"/>
        <v>42297.2173833592</v>
      </c>
      <c r="L107" s="40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BP107*$P107*(1+IF(VLOOKUP($Q107,武学奇术!$A:$ZZ,30,FALSE)="蓄力技",$B$21,0))*(1+$BV107)</f>
        <v>42297.2173833592</v>
      </c>
      <c r="M107" s="40">
        <f>(($AT107*$AM107+$AN107)*(1+$AU107)*(1+$AV107)+($AY107*IF($G$1="鸣金",$AO107,$AM107)+IF($G$1="鸣金",$AP107*1.5,0))*(1+$AZ107)*(1+$BA107)+($BC107*IF($G$1="裂石",$AO107,$AM107)+IF($G$1="裂石",$AP107*1.5,0))*(1+$BD107)*(1+$BE107)+($BG107*IF($G$1="牵丝",$AO107,$AM107)+IF($G$1="牵丝",$AP107*1.5,0))*(1+$BH107)*(1+$BI107)+($BK107*IF($G$1="破竹",$AO107,$AM107)+IF($G$1="破竹",$AP107*1.5,0))*(1+$BL107)*(1+$BM107))*(1+$AQ107)*$BR107*$P107*(1+IF(VLOOKUP($Q107,武学奇术!$A:$ZZ,30,FALSE)="蓄力技",$B$21,0))*(1+$BV107)</f>
        <v>31115.0092566938</v>
      </c>
      <c r="N107" s="40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P107*(1+IF(VLOOKUP($Q107,武学奇术!$A:$ZZ,30,FALSE)="蓄力技",$B$21,0))*(1+$BV107)</f>
        <v>20141.5320873139</v>
      </c>
      <c r="O107" s="40">
        <f>((($AS107*$AM107+$AN107)*(1+$AU107)*(1+$AV107)+($AX107*IF($G$1="鸣金",$AO107,$AM107)+IF($G$1="鸣金",$AP107*1.5,0))*(1+$AZ107)*(1+$BA107)+($BB107*IF($G$1="裂石",$AO107,$AM107)+IF($G$1="裂石",$AP107*1.5,0))*(1+$BD107)*(1+$BE107)+($BF107*IF($G$1="牵丝",$AO107,$AM107)+IF($G$1="牵丝",$AP107*1.5,0))*(1+$BH107)*(1+$BI107)+($BJ107*IF($G$1="破竹",$AO107,$AM107)+IF($G$1="破竹",$AP107*1.5,0))*(1+$BL107)*(1+$BM107))*(1+$AQ107))*$P107*(1+IF(VLOOKUP($Q107,武学奇术!$A:$ZZ,30,FALSE)="蓄力技",$B$21,0))*(1+$BV107)</f>
        <v>17234.9091696695</v>
      </c>
      <c r="P107" s="41">
        <v>2</v>
      </c>
      <c r="Q107" s="42" t="s">
        <v>125</v>
      </c>
      <c r="R107" s="42" t="s">
        <v>103</v>
      </c>
      <c r="S107" s="42" t="s">
        <v>169</v>
      </c>
      <c r="T107" s="42" t="s">
        <v>86</v>
      </c>
      <c r="U107" s="42" t="s">
        <v>121</v>
      </c>
      <c r="V107" s="42" t="s">
        <v>118</v>
      </c>
      <c r="W107" s="42" t="s">
        <v>114</v>
      </c>
      <c r="X107" s="42" t="s">
        <v>176</v>
      </c>
      <c r="Y107" s="42" t="s">
        <v>186</v>
      </c>
      <c r="Z107" s="42" t="s">
        <v>77</v>
      </c>
      <c r="AA107" s="42" t="s">
        <v>73</v>
      </c>
      <c r="AB107" s="42" t="s">
        <v>77</v>
      </c>
      <c r="AC107" s="42" t="s">
        <v>77</v>
      </c>
      <c r="AD107" s="42" t="s">
        <v>77</v>
      </c>
      <c r="AE107" s="42" t="s">
        <v>81</v>
      </c>
      <c r="AF107" s="42" t="s">
        <v>82</v>
      </c>
      <c r="AG107" s="42" t="s">
        <v>77</v>
      </c>
      <c r="AH107" s="42" t="s">
        <v>77</v>
      </c>
      <c r="AI107" s="42" t="s">
        <v>77</v>
      </c>
      <c r="AJ107" s="42" t="s">
        <v>77</v>
      </c>
      <c r="AK107" s="42" t="s">
        <v>77</v>
      </c>
      <c r="AL107" t="str">
        <f>VLOOKUP($Q107,武学奇术!$A:$ZZ,25,FALSE)</f>
        <v>陌刀</v>
      </c>
      <c r="AM107" s="27">
        <f>VLOOKUP($Q107,武学奇术!$A:$ZZ,26,FALSE)</f>
        <v>0.5</v>
      </c>
      <c r="AN107" s="28">
        <f>VLOOKUP($Q107,武学奇术!$A:$ZZ,27,FALSE)*(1+IF(OR($AL107=$F$4,$AL107=$F$5),$B$22,0))</f>
        <v>0</v>
      </c>
      <c r="AO107" s="27">
        <f>VLOOKUP($Q107,武学奇术!$A:$ZZ,28,FALSE)</f>
        <v>0.75</v>
      </c>
      <c r="AP107" s="28">
        <f>VLOOKUP($Q107,武学奇术!$A:$ZZ,29,FALSE)*(1+IF(OR($AL107=$F$4,$AL107=$F$5),$B$22,0))</f>
        <v>0</v>
      </c>
      <c r="AQ107" s="27" cm="1">
        <f t="array" ref="AQ107">$G$3+IFERROR(VLOOKUP($AL107,$F$4:$G$7,2,FALSE),0)+VLOOKUP($Q107,武学奇术!$A:$ZZ,2,FALSE)+SUM(_xlfn.XLOOKUP($R107:$AK107,增益!$A:$A,增益!$B:$B,0))</f>
        <v>0.7841</v>
      </c>
      <c r="AR107" s="27" cm="1">
        <f t="array" ref="AR107">VLOOKUP($Q107,武学奇术!$A:$ZZ,5,FALSE)+SUM(_xlfn.XLOOKUP($R107:$AK107,增益!$A:$A,增益!$E:$E,0))</f>
        <v>0</v>
      </c>
      <c r="AS107" cm="1">
        <f t="array" ref="AS107">$D$10*(1+$AR107)+VLOOKUP($Q107,武学奇术!$A:$ZZ,3,FALSE)+SUM(_xlfn.XLOOKUP($R107:$AK107,增益!$A:$A,增益!$C:$C,0))-$I$2</f>
        <v>3586.7</v>
      </c>
      <c r="AT107" cm="1">
        <f t="array" ref="AT107">$E$10*(1+$AR107)+VLOOKUP($Q107,武学奇术!$A:$ZZ,4,FALSE)+SUM(_xlfn.XLOOKUP($R107:$AK107,增益!$A:$A,增益!$D:$D,0))-$I$2</f>
        <v>3586.7</v>
      </c>
      <c r="AU107" s="34" cm="1">
        <f t="array" ref="AU107">IF($F$10-$I$3+VLOOKUP($Q107,武学奇术!$A:$ZZ,6,FALSE)+SUM(_xlfn.XLOOKUP($R107:$AK107,增益!$A:$A,增益!$F:$F,0))&gt;0,($F$10-$I$3+VLOOKUP($Q107,武学奇术!$A:$ZZ,6,FALSE)+SUM(_xlfn.XLOOKUP($R107:$AK107,增益!$A:$A,增益!$F:$F,0)))/200,($F$10-$I$3+VLOOKUP($Q107,武学奇术!$A:$ZZ,6,FALSE)+SUM(_xlfn.XLOOKUP($R107:$AK107,增益!$A:$A,增益!$F:$F,0)))/100)</f>
        <v>0.352</v>
      </c>
      <c r="AV107" s="34" cm="1">
        <f t="array" ref="AV107">$G$10+VLOOKUP($Q107,武学奇术!$A:$ZZ,7,FALSE)+SUM(_xlfn.XLOOKUP($R107:$AK107,增益!$A:$A,增益!$G:$G,0))</f>
        <v>0</v>
      </c>
      <c r="AW107" s="27" cm="1">
        <f t="array" ref="AW107">VLOOKUP($Q107,武学奇术!$A:$ZZ,8,FALSE)+SUM(_xlfn.XLOOKUP($R107:$AK107,增益!$A:$A,增益!$H:$H,0))</f>
        <v>0</v>
      </c>
      <c r="AX107">
        <f t="shared" si="12"/>
        <v>0</v>
      </c>
      <c r="AY107">
        <f t="shared" si="13"/>
        <v>0</v>
      </c>
      <c r="AZ107" s="34" cm="1">
        <f t="array" ref="AZ107">IF($F$11-$I$4+VLOOKUP($Q107,武学奇术!$A:$ZZ,9,FALSE)+SUM(_xlfn.XLOOKUP($R107:$AK107,增益!$A:$A,增益!$I:$I,0))&gt;0,($F$11-$I$4+VLOOKUP($Q107,武学奇术!$A:$ZZ,9,FALSE)+SUM(_xlfn.XLOOKUP($R107:$AK107,增益!$A:$A,增益!$I:$I,0)))/200,($F$11-$I$4+VLOOKUP($Q107,武学奇术!$A:$ZZ,9,FALSE)+SUM(_xlfn.XLOOKUP($R107:$AK107,增益!$A:$A,增益!$I:$I,0)))/100)</f>
        <v>-0.14</v>
      </c>
      <c r="BA107" s="34" cm="1">
        <f t="array" ref="BA107">$G$11+VLOOKUP($Q107,武学奇术!$A:$ZZ,10,FALSE)+SUM(_xlfn.XLOOKUP($R107:$AK107,增益!$A:$A,增益!$J:$J,0))</f>
        <v>0</v>
      </c>
      <c r="BB107">
        <f t="shared" si="14"/>
        <v>594.1</v>
      </c>
      <c r="BC107">
        <f t="shared" si="15"/>
        <v>1604.9</v>
      </c>
      <c r="BD107" s="34" cm="1">
        <f t="array" ref="BD107">IF($F$12-$I$4+VLOOKUP($Q107,武学奇术!$A:$ZZ,11,FALSE)+SUM(_xlfn.XLOOKUP($R107:$AK107,增益!$A:$A,增益!$K:$K,0))&gt;0,($F$12-$I$4+VLOOKUP($Q107,武学奇术!$A:$ZZ,11,FALSE)+SUM(_xlfn.XLOOKUP($R107:$AK107,增益!$A:$A,增益!$K:$K,0)))/200,($F$12-$I$4+VLOOKUP($Q107,武学奇术!$A:$ZZ,11,FALSE)+SUM(_xlfn.XLOOKUP($R107:$AK107,增益!$A:$A,增益!$K:$K,0)))/100)</f>
        <v>0.17</v>
      </c>
      <c r="BE107" s="34" cm="1">
        <f t="array" ref="BE107">$G$12+VLOOKUP($Q107,武学奇术!$A:$ZZ,12,FALSE)+SUM(_xlfn.XLOOKUP($R107:$AK107,增益!$A:$A,增益!$L:$L,0))</f>
        <v>0.15</v>
      </c>
      <c r="BF107">
        <f t="shared" si="16"/>
        <v>0</v>
      </c>
      <c r="BG107">
        <f t="shared" si="17"/>
        <v>0</v>
      </c>
      <c r="BH107" s="34" cm="1">
        <f t="array" ref="BH107">IF($F$13-$I$4+VLOOKUP($Q107,武学奇术!$A:$ZZ,13,FALSE)+SUM(_xlfn.XLOOKUP($R107:$AK107,增益!$A:$A,增益!$M:$M,0))&gt;0,($F$13-$I$4+VLOOKUP($Q107,武学奇术!$A:$ZZ,13,FALSE)+SUM(_xlfn.XLOOKUP($R107:$AK107,增益!$A:$A,增益!$K:$K,0)))/200,($F$13-$I$4+VLOOKUP($Q107,武学奇术!$A:$ZZ,13,FALSE)+SUM(_xlfn.XLOOKUP($R107:$AK107,增益!$A:$A,增益!$M:$M,0)))/100)</f>
        <v>-0.14</v>
      </c>
      <c r="BI107" s="34" cm="1">
        <f t="array" ref="BI107">$G$13+VLOOKUP($Q107,武学奇术!$A:$ZZ,14,FALSE)+SUM(_xlfn.XLOOKUP($R107:$AK107,增益!$A:$A,增益!$N:$N,0))</f>
        <v>0</v>
      </c>
      <c r="BJ107">
        <f t="shared" si="18"/>
        <v>0</v>
      </c>
      <c r="BK107">
        <f t="shared" si="19"/>
        <v>0</v>
      </c>
      <c r="BL107" s="34" cm="1">
        <f t="array" ref="BL107">IF($F$14-$I$4+VLOOKUP($Q107,武学奇术!$A:$ZZ,15,FALSE)+SUM(_xlfn.XLOOKUP($R107:$AK107,增益!$A:$A,增益!$O:$O,0))&gt;0,($F$14-$I$4+VLOOKUP($Q107,武学奇术!$A:$ZZ,15,FALSE)+SUM(_xlfn.XLOOKUP($R107:$AK107,增益!$A:$A,增益!$O:$O,0)))/200,($F$14-$I$4+VLOOKUP($Q107,武学奇术!$A:$ZZ,15,FALSE)+SUM(_xlfn.XLOOKUP($R107:$AK107,增益!$A:$A,增益!$O:$O,0)))/100)</f>
        <v>-0.14</v>
      </c>
      <c r="BM107" s="34" cm="1">
        <f t="array" ref="BM107">$G$14+VLOOKUP($Q107,武学奇术!$A:$ZZ,16,FALSE)+SUM(_xlfn.XLOOKUP($R107:$AK107,增益!$A:$A,增益!$P:$P,0))</f>
        <v>0</v>
      </c>
      <c r="BN107" s="27">
        <f>MIN(IF(VLOOKUP($Q107,武学奇术!$A:$ZZ,23,FALSE)=1,100%,$B$8),100%)</f>
        <v>1</v>
      </c>
      <c r="BO107" s="27" cm="1">
        <f t="array" ref="BO107">IF(VLOOKUP($Q107,武学奇术!$A:$ZZ,23,FALSE)=1,100%,MIN(80%,$B$9+VLOOKUP($Q107,武学奇术!$A:$ZZ,17,FALSE)+SUM(_xlfn.XLOOKUP($R107:$AK107,增益!$A:$A,增益!$Q:$Q,0)))+$B$11+SUM(_xlfn.XLOOKUP($R107:$AK107,增益!$A:$A,增益!$U:$U,0)))*IF(VLOOKUP($Q107,武学奇术!$A:$ZZ,24,FALSE)=1,0,1)</f>
        <v>1</v>
      </c>
      <c r="BP107" s="27" cm="1">
        <f t="array" ref="BP107">1+$B$13+VLOOKUP($Q107,武学奇术!$A:$ZZ,18,FALSE)+SUM(_xlfn.XLOOKUP($R107:$AK107,增益!$A:$A,增益!$R:$R,0))</f>
        <v>2.1</v>
      </c>
      <c r="BQ107" s="27" cm="1">
        <f t="array" ref="BQ107">IF(VLOOKUP($Q107,武学奇术!$A:$ZZ,24,FALSE)=1,100%,MIN(40%,$B$10+VLOOKUP($Q107,武学奇术!$A:$ZZ,19,FALSE)+SUM(_xlfn.XLOOKUP($R107:$AK107,增益!$A:$A,增益!$S:$S,0)))+$B$12+SUM(_xlfn.XLOOKUP($R107:$AK107,增益!$A:$A,增益!$V:$V,0)))*IF(VLOOKUP($Q107,武学奇术!$A:$ZZ,23,FALSE)=1,0,1)</f>
        <v>0</v>
      </c>
      <c r="BR107" s="27" cm="1">
        <f t="array" ref="BR107">1+$B$14+VLOOKUP($Q107,武学奇术!$A:$ZZ,20,FALSE)+SUM(_xlfn.XLOOKUP($R107:$AK107,增益!$A:$A,增益!$T:$T,0))</f>
        <v>1.35</v>
      </c>
      <c r="BS107" s="27">
        <f t="shared" si="20"/>
        <v>1</v>
      </c>
      <c r="BT107" s="27">
        <f t="shared" si="21"/>
        <v>0</v>
      </c>
      <c r="BU107" s="27">
        <f>IF(VLOOKUP($Q107,武学奇术!$A:$ZZ,22,FALSE)=1,0,(1-$BN107))*(1-$BQ107)</f>
        <v>0</v>
      </c>
      <c r="BV107" s="27" cm="1">
        <f t="array" ref="BV107">SUM(_xlfn.XLOOKUP($R107:$AK107,增益!$A:$A,增益!$W:$W,0))+$I$5</f>
        <v>0.21</v>
      </c>
    </row>
    <row r="108" spans="11:74">
      <c r="K108" s="40">
        <f t="shared" si="11"/>
        <v>76134.9912900466</v>
      </c>
      <c r="L108" s="40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BP108*$P108*(1+IF(VLOOKUP($Q108,武学奇术!$A:$ZZ,30,FALSE)="蓄力技",$B$21,0))*(1+$BV108)</f>
        <v>76134.9912900466</v>
      </c>
      <c r="M108" s="40">
        <f>(($AT108*$AM108+$AN108)*(1+$AU108)*(1+$AV108)+($AY108*IF($G$1="鸣金",$AO108,$AM108)+IF($G$1="鸣金",$AP108*1.5,0))*(1+$AZ108)*(1+$BA108)+($BC108*IF($G$1="裂石",$AO108,$AM108)+IF($G$1="裂石",$AP108*1.5,0))*(1+$BD108)*(1+$BE108)+($BG108*IF($G$1="牵丝",$AO108,$AM108)+IF($G$1="牵丝",$AP108*1.5,0))*(1+$BH108)*(1+$BI108)+($BK108*IF($G$1="破竹",$AO108,$AM108)+IF($G$1="破竹",$AP108*1.5,0))*(1+$BL108)*(1+$BM108))*(1+$AQ108)*$BR108*$P108*(1+IF(VLOOKUP($Q108,武学奇术!$A:$ZZ,30,FALSE)="蓄力技",$B$21,0))*(1+$BV108)</f>
        <v>56007.0166620488</v>
      </c>
      <c r="N108" s="40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P108*(1+IF(VLOOKUP($Q108,武学奇术!$A:$ZZ,30,FALSE)="蓄力技",$B$21,0))*(1+$BV108)</f>
        <v>36254.7577571651</v>
      </c>
      <c r="O108" s="40">
        <f>((($AS108*$AM108+$AN108)*(1+$AU108)*(1+$AV108)+($AX108*IF($G$1="鸣金",$AO108,$AM108)+IF($G$1="鸣金",$AP108*1.5,0))*(1+$AZ108)*(1+$BA108)+($BB108*IF($G$1="裂石",$AO108,$AM108)+IF($G$1="裂石",$AP108*1.5,0))*(1+$BD108)*(1+$BE108)+($BF108*IF($G$1="牵丝",$AO108,$AM108)+IF($G$1="牵丝",$AP108*1.5,0))*(1+$BH108)*(1+$BI108)+($BJ108*IF($G$1="破竹",$AO108,$AM108)+IF($G$1="破竹",$AP108*1.5,0))*(1+$BL108)*(1+$BM108))*(1+$AQ108))*$P108*(1+IF(VLOOKUP($Q108,武学奇术!$A:$ZZ,30,FALSE)="蓄力技",$B$21,0))*(1+$BV108)</f>
        <v>31022.836505405</v>
      </c>
      <c r="P108" s="41">
        <v>2</v>
      </c>
      <c r="Q108" s="42" t="s">
        <v>117</v>
      </c>
      <c r="R108" s="42" t="s">
        <v>103</v>
      </c>
      <c r="S108" s="42" t="s">
        <v>169</v>
      </c>
      <c r="T108" s="42" t="s">
        <v>86</v>
      </c>
      <c r="U108" s="42" t="s">
        <v>121</v>
      </c>
      <c r="V108" s="42" t="s">
        <v>118</v>
      </c>
      <c r="W108" s="42" t="s">
        <v>114</v>
      </c>
      <c r="X108" s="42" t="s">
        <v>176</v>
      </c>
      <c r="Y108" s="42" t="s">
        <v>186</v>
      </c>
      <c r="Z108" s="42" t="s">
        <v>77</v>
      </c>
      <c r="AA108" s="42" t="s">
        <v>73</v>
      </c>
      <c r="AB108" s="42" t="s">
        <v>77</v>
      </c>
      <c r="AC108" s="42" t="s">
        <v>77</v>
      </c>
      <c r="AD108" s="42" t="s">
        <v>77</v>
      </c>
      <c r="AE108" s="42" t="s">
        <v>81</v>
      </c>
      <c r="AF108" s="42" t="s">
        <v>82</v>
      </c>
      <c r="AG108" s="42" t="s">
        <v>77</v>
      </c>
      <c r="AH108" s="42" t="s">
        <v>77</v>
      </c>
      <c r="AI108" s="42" t="s">
        <v>77</v>
      </c>
      <c r="AJ108" s="42" t="s">
        <v>77</v>
      </c>
      <c r="AK108" s="42" t="s">
        <v>77</v>
      </c>
      <c r="AL108" t="str">
        <f>VLOOKUP($Q108,武学奇术!$A:$ZZ,25,FALSE)</f>
        <v>陌刀</v>
      </c>
      <c r="AM108" s="27">
        <f>VLOOKUP($Q108,武学奇术!$A:$ZZ,26,FALSE)</f>
        <v>0.9</v>
      </c>
      <c r="AN108" s="28">
        <f>VLOOKUP($Q108,武学奇术!$A:$ZZ,27,FALSE)*(1+IF(OR($AL108=$F$4,$AL108=$F$5),$B$22,0))</f>
        <v>0</v>
      </c>
      <c r="AO108" s="27">
        <f>VLOOKUP($Q108,武学奇术!$A:$ZZ,28,FALSE)</f>
        <v>1.35</v>
      </c>
      <c r="AP108" s="28">
        <f>VLOOKUP($Q108,武学奇术!$A:$ZZ,29,FALSE)*(1+IF(OR($AL108=$F$4,$AL108=$F$5),$B$22,0))</f>
        <v>0</v>
      </c>
      <c r="AQ108" s="27" cm="1">
        <f t="array" ref="AQ108">$G$3+IFERROR(VLOOKUP($AL108,$F$4:$G$7,2,FALSE),0)+VLOOKUP($Q108,武学奇术!$A:$ZZ,2,FALSE)+SUM(_xlfn.XLOOKUP($R108:$AK108,增益!$A:$A,增益!$B:$B,0))</f>
        <v>0.7841</v>
      </c>
      <c r="AR108" s="27" cm="1">
        <f t="array" ref="AR108">VLOOKUP($Q108,武学奇术!$A:$ZZ,5,FALSE)+SUM(_xlfn.XLOOKUP($R108:$AK108,增益!$A:$A,增益!$E:$E,0))</f>
        <v>0</v>
      </c>
      <c r="AS108" cm="1">
        <f t="array" ref="AS108">$D$10*(1+$AR108)+VLOOKUP($Q108,武学奇术!$A:$ZZ,3,FALSE)+SUM(_xlfn.XLOOKUP($R108:$AK108,增益!$A:$A,增益!$C:$C,0))-$I$2</f>
        <v>3586.7</v>
      </c>
      <c r="AT108" cm="1">
        <f t="array" ref="AT108">$E$10*(1+$AR108)+VLOOKUP($Q108,武学奇术!$A:$ZZ,4,FALSE)+SUM(_xlfn.XLOOKUP($R108:$AK108,增益!$A:$A,增益!$D:$D,0))-$I$2</f>
        <v>3586.7</v>
      </c>
      <c r="AU108" s="34" cm="1">
        <f t="array" ref="AU108">IF($F$10-$I$3+VLOOKUP($Q108,武学奇术!$A:$ZZ,6,FALSE)+SUM(_xlfn.XLOOKUP($R108:$AK108,增益!$A:$A,增益!$F:$F,0))&gt;0,($F$10-$I$3+VLOOKUP($Q108,武学奇术!$A:$ZZ,6,FALSE)+SUM(_xlfn.XLOOKUP($R108:$AK108,增益!$A:$A,增益!$F:$F,0)))/200,($F$10-$I$3+VLOOKUP($Q108,武学奇术!$A:$ZZ,6,FALSE)+SUM(_xlfn.XLOOKUP($R108:$AK108,增益!$A:$A,增益!$F:$F,0)))/100)</f>
        <v>0.352</v>
      </c>
      <c r="AV108" s="34" cm="1">
        <f t="array" ref="AV108">$G$10+VLOOKUP($Q108,武学奇术!$A:$ZZ,7,FALSE)+SUM(_xlfn.XLOOKUP($R108:$AK108,增益!$A:$A,增益!$G:$G,0))</f>
        <v>0</v>
      </c>
      <c r="AW108" s="27" cm="1">
        <f t="array" ref="AW108">VLOOKUP($Q108,武学奇术!$A:$ZZ,8,FALSE)+SUM(_xlfn.XLOOKUP($R108:$AK108,增益!$A:$A,增益!$H:$H,0))</f>
        <v>0</v>
      </c>
      <c r="AX108">
        <f t="shared" si="12"/>
        <v>0</v>
      </c>
      <c r="AY108">
        <f t="shared" si="13"/>
        <v>0</v>
      </c>
      <c r="AZ108" s="34" cm="1">
        <f t="array" ref="AZ108">IF($F$11-$I$4+VLOOKUP($Q108,武学奇术!$A:$ZZ,9,FALSE)+SUM(_xlfn.XLOOKUP($R108:$AK108,增益!$A:$A,增益!$I:$I,0))&gt;0,($F$11-$I$4+VLOOKUP($Q108,武学奇术!$A:$ZZ,9,FALSE)+SUM(_xlfn.XLOOKUP($R108:$AK108,增益!$A:$A,增益!$I:$I,0)))/200,($F$11-$I$4+VLOOKUP($Q108,武学奇术!$A:$ZZ,9,FALSE)+SUM(_xlfn.XLOOKUP($R108:$AK108,增益!$A:$A,增益!$I:$I,0)))/100)</f>
        <v>-0.14</v>
      </c>
      <c r="BA108" s="34" cm="1">
        <f t="array" ref="BA108">$G$11+VLOOKUP($Q108,武学奇术!$A:$ZZ,10,FALSE)+SUM(_xlfn.XLOOKUP($R108:$AK108,增益!$A:$A,增益!$J:$J,0))</f>
        <v>0</v>
      </c>
      <c r="BB108">
        <f t="shared" si="14"/>
        <v>594.1</v>
      </c>
      <c r="BC108">
        <f t="shared" si="15"/>
        <v>1604.9</v>
      </c>
      <c r="BD108" s="34" cm="1">
        <f t="array" ref="BD108">IF($F$12-$I$4+VLOOKUP($Q108,武学奇术!$A:$ZZ,11,FALSE)+SUM(_xlfn.XLOOKUP($R108:$AK108,增益!$A:$A,增益!$K:$K,0))&gt;0,($F$12-$I$4+VLOOKUP($Q108,武学奇术!$A:$ZZ,11,FALSE)+SUM(_xlfn.XLOOKUP($R108:$AK108,增益!$A:$A,增益!$K:$K,0)))/200,($F$12-$I$4+VLOOKUP($Q108,武学奇术!$A:$ZZ,11,FALSE)+SUM(_xlfn.XLOOKUP($R108:$AK108,增益!$A:$A,增益!$K:$K,0)))/100)</f>
        <v>0.17</v>
      </c>
      <c r="BE108" s="34" cm="1">
        <f t="array" ref="BE108">$G$12+VLOOKUP($Q108,武学奇术!$A:$ZZ,12,FALSE)+SUM(_xlfn.XLOOKUP($R108:$AK108,增益!$A:$A,增益!$L:$L,0))</f>
        <v>0.15</v>
      </c>
      <c r="BF108">
        <f t="shared" si="16"/>
        <v>0</v>
      </c>
      <c r="BG108">
        <f t="shared" si="17"/>
        <v>0</v>
      </c>
      <c r="BH108" s="34" cm="1">
        <f t="array" ref="BH108">IF($F$13-$I$4+VLOOKUP($Q108,武学奇术!$A:$ZZ,13,FALSE)+SUM(_xlfn.XLOOKUP($R108:$AK108,增益!$A:$A,增益!$M:$M,0))&gt;0,($F$13-$I$4+VLOOKUP($Q108,武学奇术!$A:$ZZ,13,FALSE)+SUM(_xlfn.XLOOKUP($R108:$AK108,增益!$A:$A,增益!$K:$K,0)))/200,($F$13-$I$4+VLOOKUP($Q108,武学奇术!$A:$ZZ,13,FALSE)+SUM(_xlfn.XLOOKUP($R108:$AK108,增益!$A:$A,增益!$M:$M,0)))/100)</f>
        <v>-0.14</v>
      </c>
      <c r="BI108" s="34" cm="1">
        <f t="array" ref="BI108">$G$13+VLOOKUP($Q108,武学奇术!$A:$ZZ,14,FALSE)+SUM(_xlfn.XLOOKUP($R108:$AK108,增益!$A:$A,增益!$N:$N,0))</f>
        <v>0</v>
      </c>
      <c r="BJ108">
        <f t="shared" si="18"/>
        <v>0</v>
      </c>
      <c r="BK108">
        <f t="shared" si="19"/>
        <v>0</v>
      </c>
      <c r="BL108" s="34" cm="1">
        <f t="array" ref="BL108">IF($F$14-$I$4+VLOOKUP($Q108,武学奇术!$A:$ZZ,15,FALSE)+SUM(_xlfn.XLOOKUP($R108:$AK108,增益!$A:$A,增益!$O:$O,0))&gt;0,($F$14-$I$4+VLOOKUP($Q108,武学奇术!$A:$ZZ,15,FALSE)+SUM(_xlfn.XLOOKUP($R108:$AK108,增益!$A:$A,增益!$O:$O,0)))/200,($F$14-$I$4+VLOOKUP($Q108,武学奇术!$A:$ZZ,15,FALSE)+SUM(_xlfn.XLOOKUP($R108:$AK108,增益!$A:$A,增益!$O:$O,0)))/100)</f>
        <v>-0.14</v>
      </c>
      <c r="BM108" s="34" cm="1">
        <f t="array" ref="BM108">$G$14+VLOOKUP($Q108,武学奇术!$A:$ZZ,16,FALSE)+SUM(_xlfn.XLOOKUP($R108:$AK108,增益!$A:$A,增益!$P:$P,0))</f>
        <v>0</v>
      </c>
      <c r="BN108" s="27">
        <f>MIN(IF(VLOOKUP($Q108,武学奇术!$A:$ZZ,23,FALSE)=1,100%,$B$8),100%)</f>
        <v>1</v>
      </c>
      <c r="BO108" s="27" cm="1">
        <f t="array" ref="BO108">IF(VLOOKUP($Q108,武学奇术!$A:$ZZ,23,FALSE)=1,100%,MIN(80%,$B$9+VLOOKUP($Q108,武学奇术!$A:$ZZ,17,FALSE)+SUM(_xlfn.XLOOKUP($R108:$AK108,增益!$A:$A,增益!$Q:$Q,0)))+$B$11+SUM(_xlfn.XLOOKUP($R108:$AK108,增益!$A:$A,增益!$U:$U,0)))*IF(VLOOKUP($Q108,武学奇术!$A:$ZZ,24,FALSE)=1,0,1)</f>
        <v>1</v>
      </c>
      <c r="BP108" s="27" cm="1">
        <f t="array" ref="BP108">1+$B$13+VLOOKUP($Q108,武学奇术!$A:$ZZ,18,FALSE)+SUM(_xlfn.XLOOKUP($R108:$AK108,增益!$A:$A,增益!$R:$R,0))</f>
        <v>2.1</v>
      </c>
      <c r="BQ108" s="27" cm="1">
        <f t="array" ref="BQ108">IF(VLOOKUP($Q108,武学奇术!$A:$ZZ,24,FALSE)=1,100%,MIN(40%,$B$10+VLOOKUP($Q108,武学奇术!$A:$ZZ,19,FALSE)+SUM(_xlfn.XLOOKUP($R108:$AK108,增益!$A:$A,增益!$S:$S,0)))+$B$12+SUM(_xlfn.XLOOKUP($R108:$AK108,增益!$A:$A,增益!$V:$V,0)))*IF(VLOOKUP($Q108,武学奇术!$A:$ZZ,23,FALSE)=1,0,1)</f>
        <v>0</v>
      </c>
      <c r="BR108" s="27" cm="1">
        <f t="array" ref="BR108">1+$B$14+VLOOKUP($Q108,武学奇术!$A:$ZZ,20,FALSE)+SUM(_xlfn.XLOOKUP($R108:$AK108,增益!$A:$A,增益!$T:$T,0))</f>
        <v>1.35</v>
      </c>
      <c r="BS108" s="27">
        <f t="shared" si="20"/>
        <v>1</v>
      </c>
      <c r="BT108" s="27">
        <f t="shared" si="21"/>
        <v>0</v>
      </c>
      <c r="BU108" s="27">
        <f>IF(VLOOKUP($Q108,武学奇术!$A:$ZZ,22,FALSE)=1,0,(1-$BN108))*(1-$BQ108)</f>
        <v>0</v>
      </c>
      <c r="BV108" s="27" cm="1">
        <f t="array" ref="BV108">SUM(_xlfn.XLOOKUP($R108:$AK108,增益!$A:$A,增益!$W:$W,0))+$I$5</f>
        <v>0.21</v>
      </c>
    </row>
    <row r="109" spans="11:74">
      <c r="K109" s="40">
        <f t="shared" si="11"/>
        <v>724057.67870841</v>
      </c>
      <c r="L109" s="40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BP109*$P109*(1+IF(VLOOKUP($Q109,武学奇术!$A:$ZZ,30,FALSE)="蓄力技",$B$21,0))*(1+$BV109)</f>
        <v>724057.67870841</v>
      </c>
      <c r="M109" s="40">
        <f>(($AT109*$AM109+$AN109)*(1+$AU109)*(1+$AV109)+($AY109*IF($G$1="鸣金",$AO109,$AM109)+IF($G$1="鸣金",$AP109*1.5,0))*(1+$AZ109)*(1+$BA109)+($BC109*IF($G$1="裂石",$AO109,$AM109)+IF($G$1="裂石",$AP109*1.5,0))*(1+$BD109)*(1+$BE109)+($BG109*IF($G$1="牵丝",$AO109,$AM109)+IF($G$1="牵丝",$AP109*1.5,0))*(1+$BH109)*(1+$BI109)+($BK109*IF($G$1="破竹",$AO109,$AM109)+IF($G$1="破竹",$AP109*1.5,0))*(1+$BL109)*(1+$BM109))*(1+$AQ109)*$BR109*$P109*(1+IF(VLOOKUP($Q109,武学奇术!$A:$ZZ,30,FALSE)="蓄力技",$B$21,0))*(1+$BV109)</f>
        <v>524188.481123091</v>
      </c>
      <c r="N109" s="40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P109*(1+IF(VLOOKUP($Q109,武学奇术!$A:$ZZ,30,FALSE)="蓄力技",$B$21,0))*(1+$BV109)</f>
        <v>344789.370813529</v>
      </c>
      <c r="O109" s="40">
        <f>((($AS109*$AM109+$AN109)*(1+$AU109)*(1+$AV109)+($AX109*IF($G$1="鸣金",$AO109,$AM109)+IF($G$1="鸣金",$AP109*1.5,0))*(1+$AZ109)*(1+$BA109)+($BB109*IF($G$1="裂石",$AO109,$AM109)+IF($G$1="裂石",$AP109*1.5,0))*(1+$BD109)*(1+$BE109)+($BF109*IF($G$1="牵丝",$AO109,$AM109)+IF($G$1="牵丝",$AP109*1.5,0))*(1+$BH109)*(1+$BI109)+($BJ109*IF($G$1="破竹",$AO109,$AM109)+IF($G$1="破竹",$AP109*1.5,0))*(1+$BL109)*(1+$BM109))*(1+$AQ109))*$P109*(1+IF(VLOOKUP($Q109,武学奇术!$A:$ZZ,30,FALSE)="蓄力技",$B$21,0))*(1+$BV109)</f>
        <v>301290.977832175</v>
      </c>
      <c r="P109" s="41">
        <v>2</v>
      </c>
      <c r="Q109" s="42" t="s">
        <v>120</v>
      </c>
      <c r="R109" s="42" t="s">
        <v>103</v>
      </c>
      <c r="S109" s="42" t="s">
        <v>169</v>
      </c>
      <c r="T109" s="42" t="s">
        <v>86</v>
      </c>
      <c r="U109" s="42" t="s">
        <v>121</v>
      </c>
      <c r="V109" s="42" t="s">
        <v>118</v>
      </c>
      <c r="W109" s="42" t="s">
        <v>122</v>
      </c>
      <c r="X109" s="42" t="s">
        <v>176</v>
      </c>
      <c r="Y109" s="42" t="s">
        <v>186</v>
      </c>
      <c r="Z109" s="42" t="s">
        <v>77</v>
      </c>
      <c r="AA109" s="42" t="s">
        <v>73</v>
      </c>
      <c r="AB109" s="42" t="s">
        <v>77</v>
      </c>
      <c r="AC109" s="42" t="s">
        <v>77</v>
      </c>
      <c r="AD109" s="42" t="s">
        <v>77</v>
      </c>
      <c r="AE109" s="42" t="s">
        <v>81</v>
      </c>
      <c r="AF109" s="42" t="s">
        <v>82</v>
      </c>
      <c r="AG109" s="42" t="s">
        <v>77</v>
      </c>
      <c r="AH109" s="42" t="s">
        <v>77</v>
      </c>
      <c r="AI109" s="42" t="s">
        <v>77</v>
      </c>
      <c r="AJ109" s="42" t="s">
        <v>77</v>
      </c>
      <c r="AK109" s="42" t="s">
        <v>77</v>
      </c>
      <c r="AL109" t="str">
        <f>VLOOKUP($Q109,武学奇术!$A:$ZZ,25,FALSE)</f>
        <v>陌刀</v>
      </c>
      <c r="AM109" s="27">
        <f>VLOOKUP($Q109,武学奇术!$A:$ZZ,26,FALSE)</f>
        <v>7.5674</v>
      </c>
      <c r="AN109" s="28">
        <f>VLOOKUP($Q109,武学奇术!$A:$ZZ,27,FALSE)*(1+IF(OR($AL109=$F$4,$AL109=$F$5),$B$22,0))</f>
        <v>3139.5</v>
      </c>
      <c r="AO109" s="27">
        <f>VLOOKUP($Q109,武学奇术!$A:$ZZ,28,FALSE)</f>
        <v>11.3512</v>
      </c>
      <c r="AP109" s="28">
        <f>VLOOKUP($Q109,武学奇术!$A:$ZZ,29,FALSE)*(1+IF(OR($AL109=$F$4,$AL109=$F$5),$B$22,0))</f>
        <v>1710</v>
      </c>
      <c r="AQ109" s="27" cm="1">
        <f t="array" ref="AQ109">$G$3+IFERROR(VLOOKUP($AL109,$F$4:$G$7,2,FALSE),0)+VLOOKUP($Q109,武学奇术!$A:$ZZ,2,FALSE)+SUM(_xlfn.XLOOKUP($R109:$AK109,增益!$A:$A,增益!$B:$B,0))</f>
        <v>0.7641</v>
      </c>
      <c r="AR109" s="27" cm="1">
        <f t="array" ref="AR109">VLOOKUP($Q109,武学奇术!$A:$ZZ,5,FALSE)+SUM(_xlfn.XLOOKUP($R109:$AK109,增益!$A:$A,增益!$E:$E,0))</f>
        <v>0</v>
      </c>
      <c r="AS109" cm="1">
        <f t="array" ref="AS109">$D$10*(1+$AR109)+VLOOKUP($Q109,武学奇术!$A:$ZZ,3,FALSE)+SUM(_xlfn.XLOOKUP($R109:$AK109,增益!$A:$A,增益!$C:$C,0))-$I$2</f>
        <v>3586.7</v>
      </c>
      <c r="AT109" cm="1">
        <f t="array" ref="AT109">$E$10*(1+$AR109)+VLOOKUP($Q109,武学奇术!$A:$ZZ,4,FALSE)+SUM(_xlfn.XLOOKUP($R109:$AK109,增益!$A:$A,增益!$D:$D,0))-$I$2</f>
        <v>3586.7</v>
      </c>
      <c r="AU109" s="34" cm="1">
        <f t="array" ref="AU109">IF($F$10-$I$3+VLOOKUP($Q109,武学奇术!$A:$ZZ,6,FALSE)+SUM(_xlfn.XLOOKUP($R109:$AK109,增益!$A:$A,增益!$F:$F,0))&gt;0,($F$10-$I$3+VLOOKUP($Q109,武学奇术!$A:$ZZ,6,FALSE)+SUM(_xlfn.XLOOKUP($R109:$AK109,增益!$A:$A,增益!$F:$F,0)))/200,($F$10-$I$3+VLOOKUP($Q109,武学奇术!$A:$ZZ,6,FALSE)+SUM(_xlfn.XLOOKUP($R109:$AK109,增益!$A:$A,增益!$F:$F,0)))/100)</f>
        <v>0.352</v>
      </c>
      <c r="AV109" s="34" cm="1">
        <f t="array" ref="AV109">$G$10+VLOOKUP($Q109,武学奇术!$A:$ZZ,7,FALSE)+SUM(_xlfn.XLOOKUP($R109:$AK109,增益!$A:$A,增益!$G:$G,0))</f>
        <v>0</v>
      </c>
      <c r="AW109" s="27" cm="1">
        <f t="array" ref="AW109">VLOOKUP($Q109,武学奇术!$A:$ZZ,8,FALSE)+SUM(_xlfn.XLOOKUP($R109:$AK109,增益!$A:$A,增益!$H:$H,0))</f>
        <v>0</v>
      </c>
      <c r="AX109">
        <f t="shared" si="12"/>
        <v>0</v>
      </c>
      <c r="AY109">
        <f t="shared" si="13"/>
        <v>0</v>
      </c>
      <c r="AZ109" s="34" cm="1">
        <f t="array" ref="AZ109">IF($F$11-$I$4+VLOOKUP($Q109,武学奇术!$A:$ZZ,9,FALSE)+SUM(_xlfn.XLOOKUP($R109:$AK109,增益!$A:$A,增益!$I:$I,0))&gt;0,($F$11-$I$4+VLOOKUP($Q109,武学奇术!$A:$ZZ,9,FALSE)+SUM(_xlfn.XLOOKUP($R109:$AK109,增益!$A:$A,增益!$I:$I,0)))/200,($F$11-$I$4+VLOOKUP($Q109,武学奇术!$A:$ZZ,9,FALSE)+SUM(_xlfn.XLOOKUP($R109:$AK109,增益!$A:$A,增益!$I:$I,0)))/100)</f>
        <v>-0.14</v>
      </c>
      <c r="BA109" s="34" cm="1">
        <f t="array" ref="BA109">$G$11+VLOOKUP($Q109,武学奇术!$A:$ZZ,10,FALSE)+SUM(_xlfn.XLOOKUP($R109:$AK109,增益!$A:$A,增益!$J:$J,0))</f>
        <v>0</v>
      </c>
      <c r="BB109">
        <f t="shared" si="14"/>
        <v>594.1</v>
      </c>
      <c r="BC109">
        <f t="shared" si="15"/>
        <v>1604.9</v>
      </c>
      <c r="BD109" s="34" cm="1">
        <f t="array" ref="BD109">IF($F$12-$I$4+VLOOKUP($Q109,武学奇术!$A:$ZZ,11,FALSE)+SUM(_xlfn.XLOOKUP($R109:$AK109,增益!$A:$A,增益!$K:$K,0))&gt;0,($F$12-$I$4+VLOOKUP($Q109,武学奇术!$A:$ZZ,11,FALSE)+SUM(_xlfn.XLOOKUP($R109:$AK109,增益!$A:$A,增益!$K:$K,0)))/200,($F$12-$I$4+VLOOKUP($Q109,武学奇术!$A:$ZZ,11,FALSE)+SUM(_xlfn.XLOOKUP($R109:$AK109,增益!$A:$A,增益!$K:$K,0)))/100)</f>
        <v>0.17</v>
      </c>
      <c r="BE109" s="34" cm="1">
        <f t="array" ref="BE109">$G$12+VLOOKUP($Q109,武学奇术!$A:$ZZ,12,FALSE)+SUM(_xlfn.XLOOKUP($R109:$AK109,增益!$A:$A,增益!$L:$L,0))</f>
        <v>0.15</v>
      </c>
      <c r="BF109">
        <f t="shared" si="16"/>
        <v>0</v>
      </c>
      <c r="BG109">
        <f t="shared" si="17"/>
        <v>0</v>
      </c>
      <c r="BH109" s="34" cm="1">
        <f t="array" ref="BH109">IF($F$13-$I$4+VLOOKUP($Q109,武学奇术!$A:$ZZ,13,FALSE)+SUM(_xlfn.XLOOKUP($R109:$AK109,增益!$A:$A,增益!$M:$M,0))&gt;0,($F$13-$I$4+VLOOKUP($Q109,武学奇术!$A:$ZZ,13,FALSE)+SUM(_xlfn.XLOOKUP($R109:$AK109,增益!$A:$A,增益!$K:$K,0)))/200,($F$13-$I$4+VLOOKUP($Q109,武学奇术!$A:$ZZ,13,FALSE)+SUM(_xlfn.XLOOKUP($R109:$AK109,增益!$A:$A,增益!$M:$M,0)))/100)</f>
        <v>-0.14</v>
      </c>
      <c r="BI109" s="34" cm="1">
        <f t="array" ref="BI109">$G$13+VLOOKUP($Q109,武学奇术!$A:$ZZ,14,FALSE)+SUM(_xlfn.XLOOKUP($R109:$AK109,增益!$A:$A,增益!$N:$N,0))</f>
        <v>0</v>
      </c>
      <c r="BJ109">
        <f t="shared" si="18"/>
        <v>0</v>
      </c>
      <c r="BK109">
        <f t="shared" si="19"/>
        <v>0</v>
      </c>
      <c r="BL109" s="34" cm="1">
        <f t="array" ref="BL109">IF($F$14-$I$4+VLOOKUP($Q109,武学奇术!$A:$ZZ,15,FALSE)+SUM(_xlfn.XLOOKUP($R109:$AK109,增益!$A:$A,增益!$O:$O,0))&gt;0,($F$14-$I$4+VLOOKUP($Q109,武学奇术!$A:$ZZ,15,FALSE)+SUM(_xlfn.XLOOKUP($R109:$AK109,增益!$A:$A,增益!$O:$O,0)))/200,($F$14-$I$4+VLOOKUP($Q109,武学奇术!$A:$ZZ,15,FALSE)+SUM(_xlfn.XLOOKUP($R109:$AK109,增益!$A:$A,增益!$O:$O,0)))/100)</f>
        <v>-0.14</v>
      </c>
      <c r="BM109" s="34" cm="1">
        <f t="array" ref="BM109">$G$14+VLOOKUP($Q109,武学奇术!$A:$ZZ,16,FALSE)+SUM(_xlfn.XLOOKUP($R109:$AK109,增益!$A:$A,增益!$P:$P,0))</f>
        <v>0</v>
      </c>
      <c r="BN109" s="27">
        <f>MIN(IF(VLOOKUP($Q109,武学奇术!$A:$ZZ,23,FALSE)=1,100%,$B$8),100%)</f>
        <v>1</v>
      </c>
      <c r="BO109" s="27" cm="1">
        <f t="array" ref="BO109">IF(VLOOKUP($Q109,武学奇术!$A:$ZZ,23,FALSE)=1,100%,MIN(80%,$B$9+VLOOKUP($Q109,武学奇术!$A:$ZZ,17,FALSE)+SUM(_xlfn.XLOOKUP($R109:$AK109,增益!$A:$A,增益!$Q:$Q,0)))+$B$11+SUM(_xlfn.XLOOKUP($R109:$AK109,增益!$A:$A,增益!$U:$U,0)))*IF(VLOOKUP($Q109,武学奇术!$A:$ZZ,24,FALSE)=1,0,1)</f>
        <v>1</v>
      </c>
      <c r="BP109" s="27" cm="1">
        <f t="array" ref="BP109">1+$B$13+VLOOKUP($Q109,武学奇术!$A:$ZZ,18,FALSE)+SUM(_xlfn.XLOOKUP($R109:$AK109,增益!$A:$A,增益!$R:$R,0))</f>
        <v>2.1</v>
      </c>
      <c r="BQ109" s="27" cm="1">
        <f t="array" ref="BQ109">IF(VLOOKUP($Q109,武学奇术!$A:$ZZ,24,FALSE)=1,100%,MIN(40%,$B$10+VLOOKUP($Q109,武学奇术!$A:$ZZ,19,FALSE)+SUM(_xlfn.XLOOKUP($R109:$AK109,增益!$A:$A,增益!$S:$S,0)))+$B$12+SUM(_xlfn.XLOOKUP($R109:$AK109,增益!$A:$A,增益!$V:$V,0)))*IF(VLOOKUP($Q109,武学奇术!$A:$ZZ,23,FALSE)=1,0,1)</f>
        <v>0</v>
      </c>
      <c r="BR109" s="27" cm="1">
        <f t="array" ref="BR109">1+$B$14+VLOOKUP($Q109,武学奇术!$A:$ZZ,20,FALSE)+SUM(_xlfn.XLOOKUP($R109:$AK109,增益!$A:$A,增益!$T:$T,0))</f>
        <v>1.35</v>
      </c>
      <c r="BS109" s="27">
        <f t="shared" si="20"/>
        <v>1</v>
      </c>
      <c r="BT109" s="27">
        <f t="shared" si="21"/>
        <v>0</v>
      </c>
      <c r="BU109" s="27">
        <f>IF(VLOOKUP($Q109,武学奇术!$A:$ZZ,22,FALSE)=1,0,(1-$BN109))*(1-$BQ109)</f>
        <v>0</v>
      </c>
      <c r="BV109" s="27" cm="1">
        <f t="array" ref="BV109">SUM(_xlfn.XLOOKUP($R109:$AK109,增益!$A:$A,增益!$W:$W,0))+$I$5</f>
        <v>0.21</v>
      </c>
    </row>
    <row r="110" spans="11:74">
      <c r="K110" s="40">
        <f t="shared" si="11"/>
        <v>26228.4201653859</v>
      </c>
      <c r="L110" s="40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BP110*$P110*(1+IF(VLOOKUP($Q110,武学奇术!$A:$ZZ,30,FALSE)="蓄力技",$B$21,0))*(1+$BV110)</f>
        <v>26882.8054599815</v>
      </c>
      <c r="M110" s="40">
        <f>(($AT110*$AM110+$AN110)*(1+$AU110)*(1+$AV110)+($AY110*IF($G$1="鸣金",$AO110,$AM110)+IF($G$1="鸣金",$AP110*1.5,0))*(1+$AZ110)*(1+$BA110)+($BC110*IF($G$1="裂石",$AO110,$AM110)+IF($G$1="裂石",$AP110*1.5,0))*(1+$BD110)*(1+$BE110)+($BG110*IF($G$1="牵丝",$AO110,$AM110)+IF($G$1="牵丝",$AP110*1.5,0))*(1+$BH110)*(1+$BI110)+($BK110*IF($G$1="破竹",$AO110,$AM110)+IF($G$1="破竹",$AP110*1.5,0))*(1+$BL110)*(1+$BM110))*(1+$AQ110)*$BR110*$P110*(1+IF(VLOOKUP($Q110,武学奇术!$A:$ZZ,30,FALSE)="蓄力技",$B$21,0))*(1+$BV110)</f>
        <v>23624.2148278505</v>
      </c>
      <c r="N110" s="40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P110*(1+IF(VLOOKUP($Q110,武学奇术!$A:$ZZ,30,FALSE)="蓄力技",$B$21,0))*(1+$BV110)</f>
        <v>15449.8881953916</v>
      </c>
      <c r="O110" s="40">
        <f>((($AS110*$AM110+$AN110)*(1+$AU110)*(1+$AV110)+($AX110*IF($G$1="鸣金",$AO110,$AM110)+IF($G$1="鸣金",$AP110*1.5,0))*(1+$AZ110)*(1+$BA110)+($BB110*IF($G$1="裂石",$AO110,$AM110)+IF($G$1="裂石",$AP110*1.5,0))*(1+$BD110)*(1+$BE110)+($BF110*IF($G$1="牵丝",$AO110,$AM110)+IF($G$1="牵丝",$AP110*1.5,0))*(1+$BH110)*(1+$BI110)+($BJ110*IF($G$1="破竹",$AO110,$AM110)+IF($G$1="破竹",$AP110*1.5,0))*(1+$BL110)*(1+$BM110))*(1+$AQ110))*$P110*(1+IF(VLOOKUP($Q110,武学奇术!$A:$ZZ,30,FALSE)="蓄力技",$B$21,0))*(1+$BV110)</f>
        <v>13400.3579997829</v>
      </c>
      <c r="P110" s="41">
        <v>1</v>
      </c>
      <c r="Q110" s="42" t="s">
        <v>75</v>
      </c>
      <c r="R110" s="42" t="s">
        <v>103</v>
      </c>
      <c r="S110" s="42" t="s">
        <v>77</v>
      </c>
      <c r="T110" s="42" t="s">
        <v>77</v>
      </c>
      <c r="U110" s="42" t="s">
        <v>87</v>
      </c>
      <c r="V110" s="42" t="s">
        <v>77</v>
      </c>
      <c r="W110" s="42" t="s">
        <v>78</v>
      </c>
      <c r="X110" s="42" t="s">
        <v>176</v>
      </c>
      <c r="Y110" s="42" t="s">
        <v>77</v>
      </c>
      <c r="Z110" s="42" t="s">
        <v>77</v>
      </c>
      <c r="AA110" s="42" t="s">
        <v>77</v>
      </c>
      <c r="AB110" s="42" t="s">
        <v>77</v>
      </c>
      <c r="AC110" s="42" t="s">
        <v>77</v>
      </c>
      <c r="AD110" s="42" t="s">
        <v>77</v>
      </c>
      <c r="AE110" s="42" t="s">
        <v>81</v>
      </c>
      <c r="AF110" s="42" t="s">
        <v>82</v>
      </c>
      <c r="AG110" s="42" t="s">
        <v>77</v>
      </c>
      <c r="AH110" s="42" t="s">
        <v>77</v>
      </c>
      <c r="AI110" s="42" t="s">
        <v>77</v>
      </c>
      <c r="AJ110" s="42" t="s">
        <v>77</v>
      </c>
      <c r="AK110" s="42" t="s">
        <v>77</v>
      </c>
      <c r="AL110" t="str">
        <f>VLOOKUP($Q110,武学奇术!$A:$ZZ,25,FALSE)</f>
        <v>群体奇术</v>
      </c>
      <c r="AM110" s="27">
        <f>VLOOKUP($Q110,武学奇术!$A:$ZZ,26,FALSE)</f>
        <v>1.4904</v>
      </c>
      <c r="AN110" s="28">
        <f>VLOOKUP($Q110,武学奇术!$A:$ZZ,27,FALSE)*(1+IF(OR($AL110=$F$4,$AL110=$F$5),$B$22,0))</f>
        <v>378</v>
      </c>
      <c r="AO110" s="27">
        <f>VLOOKUP($Q110,武学奇术!$A:$ZZ,28,FALSE)</f>
        <v>2.2356</v>
      </c>
      <c r="AP110" s="28">
        <f>VLOOKUP($Q110,武学奇术!$A:$ZZ,29,FALSE)*(1+IF(OR($AL110=$F$4,$AL110=$F$5),$B$22,0))</f>
        <v>0</v>
      </c>
      <c r="AQ110" s="27" cm="1">
        <f t="array" ref="AQ110">$G$3+IFERROR(VLOOKUP($AL110,$F$4:$G$7,2,FALSE),0)+VLOOKUP($Q110,武学奇术!$A:$ZZ,2,FALSE)+SUM(_xlfn.XLOOKUP($R110:$AK110,增益!$A:$A,增益!$B:$B,0))</f>
        <v>0.3037</v>
      </c>
      <c r="AR110" s="27" cm="1">
        <f t="array" ref="AR110">VLOOKUP($Q110,武学奇术!$A:$ZZ,5,FALSE)+SUM(_xlfn.XLOOKUP($R110:$AK110,增益!$A:$A,增益!$E:$E,0))</f>
        <v>0</v>
      </c>
      <c r="AS110" cm="1">
        <f t="array" ref="AS110">$D$10*(1+$AR110)+VLOOKUP($Q110,武学奇术!$A:$ZZ,3,FALSE)+SUM(_xlfn.XLOOKUP($R110:$AK110,增益!$A:$A,增益!$C:$C,0))-$I$2</f>
        <v>3586.7</v>
      </c>
      <c r="AT110" cm="1">
        <f t="array" ref="AT110">$E$10*(1+$AR110)+VLOOKUP($Q110,武学奇术!$A:$ZZ,4,FALSE)+SUM(_xlfn.XLOOKUP($R110:$AK110,增益!$A:$A,增益!$D:$D,0))-$I$2</f>
        <v>3586.7</v>
      </c>
      <c r="AU110" s="34" cm="1">
        <f t="array" ref="AU110">IF($F$10-$I$3+VLOOKUP($Q110,武学奇术!$A:$ZZ,6,FALSE)+SUM(_xlfn.XLOOKUP($R110:$AK110,增益!$A:$A,增益!$F:$F,0))&gt;0,($F$10-$I$3+VLOOKUP($Q110,武学奇术!$A:$ZZ,6,FALSE)+SUM(_xlfn.XLOOKUP($R110:$AK110,增益!$A:$A,增益!$F:$F,0)))/200,($F$10-$I$3+VLOOKUP($Q110,武学奇术!$A:$ZZ,6,FALSE)+SUM(_xlfn.XLOOKUP($R110:$AK110,增益!$A:$A,增益!$F:$F,0)))/100)</f>
        <v>0.327</v>
      </c>
      <c r="AV110" s="34" cm="1">
        <f t="array" ref="AV110">$G$10+VLOOKUP($Q110,武学奇术!$A:$ZZ,7,FALSE)+SUM(_xlfn.XLOOKUP($R110:$AK110,增益!$A:$A,增益!$G:$G,0))</f>
        <v>0</v>
      </c>
      <c r="AW110" s="27" cm="1">
        <f t="array" ref="AW110">VLOOKUP($Q110,武学奇术!$A:$ZZ,8,FALSE)+SUM(_xlfn.XLOOKUP($R110:$AK110,增益!$A:$A,增益!$H:$H,0))</f>
        <v>0</v>
      </c>
      <c r="AX110">
        <f t="shared" si="12"/>
        <v>0</v>
      </c>
      <c r="AY110">
        <f t="shared" si="13"/>
        <v>0</v>
      </c>
      <c r="AZ110" s="34" cm="1">
        <f t="array" ref="AZ110">IF($F$11-$I$4+VLOOKUP($Q110,武学奇术!$A:$ZZ,9,FALSE)+SUM(_xlfn.XLOOKUP($R110:$AK110,增益!$A:$A,增益!$I:$I,0))&gt;0,($F$11-$I$4+VLOOKUP($Q110,武学奇术!$A:$ZZ,9,FALSE)+SUM(_xlfn.XLOOKUP($R110:$AK110,增益!$A:$A,增益!$I:$I,0)))/200,($F$11-$I$4+VLOOKUP($Q110,武学奇术!$A:$ZZ,9,FALSE)+SUM(_xlfn.XLOOKUP($R110:$AK110,增益!$A:$A,增益!$I:$I,0)))/100)</f>
        <v>-0.3</v>
      </c>
      <c r="BA110" s="34" cm="1">
        <f t="array" ref="BA110">$G$11+VLOOKUP($Q110,武学奇术!$A:$ZZ,10,FALSE)+SUM(_xlfn.XLOOKUP($R110:$AK110,增益!$A:$A,增益!$J:$J,0))</f>
        <v>0</v>
      </c>
      <c r="BB110">
        <f t="shared" si="14"/>
        <v>594.1</v>
      </c>
      <c r="BC110">
        <f t="shared" si="15"/>
        <v>1604.9</v>
      </c>
      <c r="BD110" s="34" cm="1">
        <f t="array" ref="BD110">IF($F$12-$I$4+VLOOKUP($Q110,武学奇术!$A:$ZZ,11,FALSE)+SUM(_xlfn.XLOOKUP($R110:$AK110,增益!$A:$A,增益!$K:$K,0))&gt;0,($F$12-$I$4+VLOOKUP($Q110,武学奇术!$A:$ZZ,11,FALSE)+SUM(_xlfn.XLOOKUP($R110:$AK110,增益!$A:$A,增益!$K:$K,0)))/200,($F$12-$I$4+VLOOKUP($Q110,武学奇术!$A:$ZZ,11,FALSE)+SUM(_xlfn.XLOOKUP($R110:$AK110,增益!$A:$A,增益!$K:$K,0)))/100)</f>
        <v>0.09</v>
      </c>
      <c r="BE110" s="34" cm="1">
        <f t="array" ref="BE110">$G$12+VLOOKUP($Q110,武学奇术!$A:$ZZ,12,FALSE)+SUM(_xlfn.XLOOKUP($R110:$AK110,增益!$A:$A,增益!$L:$L,0))</f>
        <v>0.15</v>
      </c>
      <c r="BF110">
        <f t="shared" si="16"/>
        <v>0</v>
      </c>
      <c r="BG110">
        <f t="shared" si="17"/>
        <v>0</v>
      </c>
      <c r="BH110" s="34" cm="1">
        <f t="array" ref="BH110">IF($F$13-$I$4+VLOOKUP($Q110,武学奇术!$A:$ZZ,13,FALSE)+SUM(_xlfn.XLOOKUP($R110:$AK110,增益!$A:$A,增益!$M:$M,0))&gt;0,($F$13-$I$4+VLOOKUP($Q110,武学奇术!$A:$ZZ,13,FALSE)+SUM(_xlfn.XLOOKUP($R110:$AK110,增益!$A:$A,增益!$K:$K,0)))/200,($F$13-$I$4+VLOOKUP($Q110,武学奇术!$A:$ZZ,13,FALSE)+SUM(_xlfn.XLOOKUP($R110:$AK110,增益!$A:$A,增益!$M:$M,0)))/100)</f>
        <v>-0.3</v>
      </c>
      <c r="BI110" s="34" cm="1">
        <f t="array" ref="BI110">$G$13+VLOOKUP($Q110,武学奇术!$A:$ZZ,14,FALSE)+SUM(_xlfn.XLOOKUP($R110:$AK110,增益!$A:$A,增益!$N:$N,0))</f>
        <v>0</v>
      </c>
      <c r="BJ110">
        <f t="shared" si="18"/>
        <v>0</v>
      </c>
      <c r="BK110">
        <f t="shared" si="19"/>
        <v>0</v>
      </c>
      <c r="BL110" s="34" cm="1">
        <f t="array" ref="BL110">IF($F$14-$I$4+VLOOKUP($Q110,武学奇术!$A:$ZZ,15,FALSE)+SUM(_xlfn.XLOOKUP($R110:$AK110,增益!$A:$A,增益!$O:$O,0))&gt;0,($F$14-$I$4+VLOOKUP($Q110,武学奇术!$A:$ZZ,15,FALSE)+SUM(_xlfn.XLOOKUP($R110:$AK110,增益!$A:$A,增益!$O:$O,0)))/200,($F$14-$I$4+VLOOKUP($Q110,武学奇术!$A:$ZZ,15,FALSE)+SUM(_xlfn.XLOOKUP($R110:$AK110,增益!$A:$A,增益!$O:$O,0)))/100)</f>
        <v>-0.3</v>
      </c>
      <c r="BM110" s="34" cm="1">
        <f t="array" ref="BM110">$G$14+VLOOKUP($Q110,武学奇术!$A:$ZZ,16,FALSE)+SUM(_xlfn.XLOOKUP($R110:$AK110,增益!$A:$A,增益!$P:$P,0))</f>
        <v>0</v>
      </c>
      <c r="BN110" s="27">
        <f>MIN(IF(VLOOKUP($Q110,武学奇术!$A:$ZZ,23,FALSE)=1,100%,$B$8),100%)</f>
        <v>0.9859</v>
      </c>
      <c r="BO110" s="27" cm="1">
        <f t="array" ref="BO110">IF(VLOOKUP($Q110,武学奇术!$A:$ZZ,23,FALSE)=1,100%,MIN(80%,$B$9+VLOOKUP($Q110,武学奇术!$A:$ZZ,17,FALSE)+SUM(_xlfn.XLOOKUP($R110:$AK110,增益!$A:$A,增益!$Q:$Q,0)))+$B$11+SUM(_xlfn.XLOOKUP($R110:$AK110,增益!$A:$A,增益!$U:$U,0)))*IF(VLOOKUP($Q110,武学奇术!$A:$ZZ,24,FALSE)=1,0,1)</f>
        <v>0.8912</v>
      </c>
      <c r="BP110" s="27" cm="1">
        <f t="array" ref="BP110">1+$B$13+VLOOKUP($Q110,武学奇术!$A:$ZZ,18,FALSE)+SUM(_xlfn.XLOOKUP($R110:$AK110,增益!$A:$A,增益!$R:$R,0))</f>
        <v>1.74</v>
      </c>
      <c r="BQ110" s="27" cm="1">
        <f t="array" ref="BQ110">IF(VLOOKUP($Q110,武学奇术!$A:$ZZ,24,FALSE)=1,100%,MIN(40%,$B$10+VLOOKUP($Q110,武学奇术!$A:$ZZ,19,FALSE)+SUM(_xlfn.XLOOKUP($R110:$AK110,增益!$A:$A,增益!$S:$S,0)))+$B$12+SUM(_xlfn.XLOOKUP($R110:$AK110,增益!$A:$A,增益!$V:$V,0)))*IF(VLOOKUP($Q110,武学奇术!$A:$ZZ,23,FALSE)=1,0,1)</f>
        <v>0.0929</v>
      </c>
      <c r="BR110" s="27" cm="1">
        <f t="array" ref="BR110">1+$B$14+VLOOKUP($Q110,武学奇术!$A:$ZZ,20,FALSE)+SUM(_xlfn.XLOOKUP($R110:$AK110,增益!$A:$A,增益!$T:$T,0))</f>
        <v>1.35</v>
      </c>
      <c r="BS110" s="27">
        <f t="shared" si="20"/>
        <v>0.87863408</v>
      </c>
      <c r="BT110" s="27">
        <f t="shared" si="21"/>
        <v>0.01567581</v>
      </c>
      <c r="BU110" s="27">
        <f>IF(VLOOKUP($Q110,武学奇术!$A:$ZZ,22,FALSE)=1,0,(1-$BN110))*(1-$BQ110)</f>
        <v>0.01279011</v>
      </c>
      <c r="BV110" s="27" cm="1">
        <f t="array" ref="BV110">SUM(_xlfn.XLOOKUP($R110:$AK110,增益!$A:$A,增益!$W:$W,0))+$I$5</f>
        <v>0.11</v>
      </c>
    </row>
    <row r="111" spans="11:74">
      <c r="K111" s="40">
        <f t="shared" si="11"/>
        <v>61813.5793884149</v>
      </c>
      <c r="L111" s="40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BP111*$P111*(1+IF(VLOOKUP($Q111,武学奇术!$A:$ZZ,30,FALSE)="蓄力技",$B$21,0))*(1+$BV111)</f>
        <v>63327.299624842</v>
      </c>
      <c r="M111" s="40">
        <f>(($AT111*$AM111+$AN111)*(1+$AU111)*(1+$AV111)+($AY111*IF($G$1="鸣金",$AO111,$AM111)+IF($G$1="鸣金",$AP111*1.5,0))*(1+$AZ111)*(1+$BA111)+($BC111*IF($G$1="裂石",$AO111,$AM111)+IF($G$1="裂石",$AP111*1.5,0))*(1+$BD111)*(1+$BE111)+($BG111*IF($G$1="牵丝",$AO111,$AM111)+IF($G$1="牵丝",$AP111*1.5,0))*(1+$BH111)*(1+$BI111)+($BK111*IF($G$1="破竹",$AO111,$AM111)+IF($G$1="破竹",$AP111*1.5,0))*(1+$BL111)*(1+$BM111))*(1+$AQ111)*$BR111*$P111*(1+IF(VLOOKUP($Q111,武学奇术!$A:$ZZ,30,FALSE)="蓄力技",$B$21,0))*(1+$BV111)</f>
        <v>55984.3603838236</v>
      </c>
      <c r="N111" s="40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P111*(1+IF(VLOOKUP($Q111,武学奇术!$A:$ZZ,30,FALSE)="蓄力技",$B$21,0))*(1+$BV111)</f>
        <v>36394.999784392</v>
      </c>
      <c r="O111" s="40">
        <f>((($AS111*$AM111+$AN111)*(1+$AU111)*(1+$AV111)+($AX111*IF($G$1="鸣金",$AO111,$AM111)+IF($G$1="鸣金",$AP111*1.5,0))*(1+$AZ111)*(1+$BA111)+($BB111*IF($G$1="裂石",$AO111,$AM111)+IF($G$1="裂石",$AP111*1.5,0))*(1+$BD111)*(1+$BE111)+($BF111*IF($G$1="牵丝",$AO111,$AM111)+IF($G$1="牵丝",$AP111*1.5,0))*(1+$BH111)*(1+$BI111)+($BJ111*IF($G$1="破竹",$AO111,$AM111)+IF($G$1="破竹",$AP111*1.5,0))*(1+$BL111)*(1+$BM111))*(1+$AQ111))*$P111*(1+IF(VLOOKUP($Q111,武学奇术!$A:$ZZ,30,FALSE)="蓄力技",$B$21,0))*(1+$BV111)</f>
        <v>31320.1029881738</v>
      </c>
      <c r="P111" s="41">
        <v>2</v>
      </c>
      <c r="Q111" s="42" t="s">
        <v>75</v>
      </c>
      <c r="R111" s="42" t="s">
        <v>103</v>
      </c>
      <c r="S111" s="42" t="s">
        <v>169</v>
      </c>
      <c r="T111" s="42" t="s">
        <v>86</v>
      </c>
      <c r="U111" s="42" t="s">
        <v>87</v>
      </c>
      <c r="V111" s="42" t="s">
        <v>77</v>
      </c>
      <c r="W111" s="42" t="s">
        <v>78</v>
      </c>
      <c r="X111" s="42" t="s">
        <v>176</v>
      </c>
      <c r="Y111" s="42" t="s">
        <v>77</v>
      </c>
      <c r="Z111" s="42" t="s">
        <v>77</v>
      </c>
      <c r="AA111" s="42" t="s">
        <v>77</v>
      </c>
      <c r="AB111" s="42" t="s">
        <v>77</v>
      </c>
      <c r="AC111" s="42" t="s">
        <v>77</v>
      </c>
      <c r="AD111" s="42" t="s">
        <v>77</v>
      </c>
      <c r="AE111" s="42" t="s">
        <v>81</v>
      </c>
      <c r="AF111" s="42" t="s">
        <v>82</v>
      </c>
      <c r="AG111" s="42" t="s">
        <v>77</v>
      </c>
      <c r="AH111" s="42" t="s">
        <v>77</v>
      </c>
      <c r="AI111" s="42" t="s">
        <v>77</v>
      </c>
      <c r="AJ111" s="42" t="s">
        <v>77</v>
      </c>
      <c r="AK111" s="42" t="s">
        <v>77</v>
      </c>
      <c r="AL111" t="str">
        <f>VLOOKUP($Q111,武学奇术!$A:$ZZ,25,FALSE)</f>
        <v>群体奇术</v>
      </c>
      <c r="AM111" s="27">
        <f>VLOOKUP($Q111,武学奇术!$A:$ZZ,26,FALSE)</f>
        <v>1.4904</v>
      </c>
      <c r="AN111" s="28">
        <f>VLOOKUP($Q111,武学奇术!$A:$ZZ,27,FALSE)*(1+IF(OR($AL111=$F$4,$AL111=$F$5),$B$22,0))</f>
        <v>378</v>
      </c>
      <c r="AO111" s="27">
        <f>VLOOKUP($Q111,武学奇术!$A:$ZZ,28,FALSE)</f>
        <v>2.2356</v>
      </c>
      <c r="AP111" s="28">
        <f>VLOOKUP($Q111,武学奇术!$A:$ZZ,29,FALSE)*(1+IF(OR($AL111=$F$4,$AL111=$F$5),$B$22,0))</f>
        <v>0</v>
      </c>
      <c r="AQ111" s="27" cm="1">
        <f t="array" ref="AQ111">$G$3+IFERROR(VLOOKUP($AL111,$F$4:$G$7,2,FALSE),0)+VLOOKUP($Q111,武学奇术!$A:$ZZ,2,FALSE)+SUM(_xlfn.XLOOKUP($R111:$AK111,增益!$A:$A,增益!$B:$B,0))</f>
        <v>0.5037</v>
      </c>
      <c r="AR111" s="27" cm="1">
        <f t="array" ref="AR111">VLOOKUP($Q111,武学奇术!$A:$ZZ,5,FALSE)+SUM(_xlfn.XLOOKUP($R111:$AK111,增益!$A:$A,增益!$E:$E,0))</f>
        <v>0</v>
      </c>
      <c r="AS111" cm="1">
        <f t="array" ref="AS111">$D$10*(1+$AR111)+VLOOKUP($Q111,武学奇术!$A:$ZZ,3,FALSE)+SUM(_xlfn.XLOOKUP($R111:$AK111,增益!$A:$A,增益!$C:$C,0))-$I$2</f>
        <v>3586.7</v>
      </c>
      <c r="AT111" cm="1">
        <f t="array" ref="AT111">$E$10*(1+$AR111)+VLOOKUP($Q111,武学奇术!$A:$ZZ,4,FALSE)+SUM(_xlfn.XLOOKUP($R111:$AK111,增益!$A:$A,增益!$D:$D,0))-$I$2</f>
        <v>3586.7</v>
      </c>
      <c r="AU111" s="34" cm="1">
        <f t="array" ref="AU111">IF($F$10-$I$3+VLOOKUP($Q111,武学奇术!$A:$ZZ,6,FALSE)+SUM(_xlfn.XLOOKUP($R111:$AK111,增益!$A:$A,增益!$F:$F,0))&gt;0,($F$10-$I$3+VLOOKUP($Q111,武学奇术!$A:$ZZ,6,FALSE)+SUM(_xlfn.XLOOKUP($R111:$AK111,增益!$A:$A,增益!$F:$F,0)))/200,($F$10-$I$3+VLOOKUP($Q111,武学奇术!$A:$ZZ,6,FALSE)+SUM(_xlfn.XLOOKUP($R111:$AK111,增益!$A:$A,增益!$F:$F,0)))/100)</f>
        <v>0.327</v>
      </c>
      <c r="AV111" s="34" cm="1">
        <f t="array" ref="AV111">$G$10+VLOOKUP($Q111,武学奇术!$A:$ZZ,7,FALSE)+SUM(_xlfn.XLOOKUP($R111:$AK111,增益!$A:$A,增益!$G:$G,0))</f>
        <v>0</v>
      </c>
      <c r="AW111" s="27" cm="1">
        <f t="array" ref="AW111">VLOOKUP($Q111,武学奇术!$A:$ZZ,8,FALSE)+SUM(_xlfn.XLOOKUP($R111:$AK111,增益!$A:$A,增益!$H:$H,0))</f>
        <v>0</v>
      </c>
      <c r="AX111">
        <f t="shared" si="12"/>
        <v>0</v>
      </c>
      <c r="AY111">
        <f t="shared" si="13"/>
        <v>0</v>
      </c>
      <c r="AZ111" s="34" cm="1">
        <f t="array" ref="AZ111">IF($F$11-$I$4+VLOOKUP($Q111,武学奇术!$A:$ZZ,9,FALSE)+SUM(_xlfn.XLOOKUP($R111:$AK111,增益!$A:$A,增益!$I:$I,0))&gt;0,($F$11-$I$4+VLOOKUP($Q111,武学奇术!$A:$ZZ,9,FALSE)+SUM(_xlfn.XLOOKUP($R111:$AK111,增益!$A:$A,增益!$I:$I,0)))/200,($F$11-$I$4+VLOOKUP($Q111,武学奇术!$A:$ZZ,9,FALSE)+SUM(_xlfn.XLOOKUP($R111:$AK111,增益!$A:$A,增益!$I:$I,0)))/100)</f>
        <v>-0.14</v>
      </c>
      <c r="BA111" s="34" cm="1">
        <f t="array" ref="BA111">$G$11+VLOOKUP($Q111,武学奇术!$A:$ZZ,10,FALSE)+SUM(_xlfn.XLOOKUP($R111:$AK111,增益!$A:$A,增益!$J:$J,0))</f>
        <v>0</v>
      </c>
      <c r="BB111">
        <f t="shared" si="14"/>
        <v>594.1</v>
      </c>
      <c r="BC111">
        <f t="shared" si="15"/>
        <v>1604.9</v>
      </c>
      <c r="BD111" s="34" cm="1">
        <f t="array" ref="BD111">IF($F$12-$I$4+VLOOKUP($Q111,武学奇术!$A:$ZZ,11,FALSE)+SUM(_xlfn.XLOOKUP($R111:$AK111,增益!$A:$A,增益!$K:$K,0))&gt;0,($F$12-$I$4+VLOOKUP($Q111,武学奇术!$A:$ZZ,11,FALSE)+SUM(_xlfn.XLOOKUP($R111:$AK111,增益!$A:$A,增益!$K:$K,0)))/200,($F$12-$I$4+VLOOKUP($Q111,武学奇术!$A:$ZZ,11,FALSE)+SUM(_xlfn.XLOOKUP($R111:$AK111,增益!$A:$A,增益!$K:$K,0)))/100)</f>
        <v>0.17</v>
      </c>
      <c r="BE111" s="34" cm="1">
        <f t="array" ref="BE111">$G$12+VLOOKUP($Q111,武学奇术!$A:$ZZ,12,FALSE)+SUM(_xlfn.XLOOKUP($R111:$AK111,增益!$A:$A,增益!$L:$L,0))</f>
        <v>0.15</v>
      </c>
      <c r="BF111">
        <f t="shared" si="16"/>
        <v>0</v>
      </c>
      <c r="BG111">
        <f t="shared" si="17"/>
        <v>0</v>
      </c>
      <c r="BH111" s="34" cm="1">
        <f t="array" ref="BH111">IF($F$13-$I$4+VLOOKUP($Q111,武学奇术!$A:$ZZ,13,FALSE)+SUM(_xlfn.XLOOKUP($R111:$AK111,增益!$A:$A,增益!$M:$M,0))&gt;0,($F$13-$I$4+VLOOKUP($Q111,武学奇术!$A:$ZZ,13,FALSE)+SUM(_xlfn.XLOOKUP($R111:$AK111,增益!$A:$A,增益!$K:$K,0)))/200,($F$13-$I$4+VLOOKUP($Q111,武学奇术!$A:$ZZ,13,FALSE)+SUM(_xlfn.XLOOKUP($R111:$AK111,增益!$A:$A,增益!$M:$M,0)))/100)</f>
        <v>-0.14</v>
      </c>
      <c r="BI111" s="34" cm="1">
        <f t="array" ref="BI111">$G$13+VLOOKUP($Q111,武学奇术!$A:$ZZ,14,FALSE)+SUM(_xlfn.XLOOKUP($R111:$AK111,增益!$A:$A,增益!$N:$N,0))</f>
        <v>0</v>
      </c>
      <c r="BJ111">
        <f t="shared" si="18"/>
        <v>0</v>
      </c>
      <c r="BK111">
        <f t="shared" si="19"/>
        <v>0</v>
      </c>
      <c r="BL111" s="34" cm="1">
        <f t="array" ref="BL111">IF($F$14-$I$4+VLOOKUP($Q111,武学奇术!$A:$ZZ,15,FALSE)+SUM(_xlfn.XLOOKUP($R111:$AK111,增益!$A:$A,增益!$O:$O,0))&gt;0,($F$14-$I$4+VLOOKUP($Q111,武学奇术!$A:$ZZ,15,FALSE)+SUM(_xlfn.XLOOKUP($R111:$AK111,增益!$A:$A,增益!$O:$O,0)))/200,($F$14-$I$4+VLOOKUP($Q111,武学奇术!$A:$ZZ,15,FALSE)+SUM(_xlfn.XLOOKUP($R111:$AK111,增益!$A:$A,增益!$O:$O,0)))/100)</f>
        <v>-0.14</v>
      </c>
      <c r="BM111" s="34" cm="1">
        <f t="array" ref="BM111">$G$14+VLOOKUP($Q111,武学奇术!$A:$ZZ,16,FALSE)+SUM(_xlfn.XLOOKUP($R111:$AK111,增益!$A:$A,增益!$P:$P,0))</f>
        <v>0</v>
      </c>
      <c r="BN111" s="27">
        <f>MIN(IF(VLOOKUP($Q111,武学奇术!$A:$ZZ,23,FALSE)=1,100%,$B$8),100%)</f>
        <v>0.9859</v>
      </c>
      <c r="BO111" s="27" cm="1">
        <f t="array" ref="BO111">IF(VLOOKUP($Q111,武学奇术!$A:$ZZ,23,FALSE)=1,100%,MIN(80%,$B$9+VLOOKUP($Q111,武学奇术!$A:$ZZ,17,FALSE)+SUM(_xlfn.XLOOKUP($R111:$AK111,增益!$A:$A,增益!$Q:$Q,0)))+$B$11+SUM(_xlfn.XLOOKUP($R111:$AK111,增益!$A:$A,增益!$U:$U,0)))*IF(VLOOKUP($Q111,武学奇术!$A:$ZZ,24,FALSE)=1,0,1)</f>
        <v>0.8912</v>
      </c>
      <c r="BP111" s="27" cm="1">
        <f t="array" ref="BP111">1+$B$13+VLOOKUP($Q111,武学奇术!$A:$ZZ,18,FALSE)+SUM(_xlfn.XLOOKUP($R111:$AK111,增益!$A:$A,增益!$R:$R,0))</f>
        <v>1.74</v>
      </c>
      <c r="BQ111" s="27" cm="1">
        <f t="array" ref="BQ111">IF(VLOOKUP($Q111,武学奇术!$A:$ZZ,24,FALSE)=1,100%,MIN(40%,$B$10+VLOOKUP($Q111,武学奇术!$A:$ZZ,19,FALSE)+SUM(_xlfn.XLOOKUP($R111:$AK111,增益!$A:$A,增益!$S:$S,0)))+$B$12+SUM(_xlfn.XLOOKUP($R111:$AK111,增益!$A:$A,增益!$V:$V,0)))*IF(VLOOKUP($Q111,武学奇术!$A:$ZZ,23,FALSE)=1,0,1)</f>
        <v>0.0929</v>
      </c>
      <c r="BR111" s="27" cm="1">
        <f t="array" ref="BR111">1+$B$14+VLOOKUP($Q111,武学奇术!$A:$ZZ,20,FALSE)+SUM(_xlfn.XLOOKUP($R111:$AK111,增益!$A:$A,增益!$T:$T,0))</f>
        <v>1.35</v>
      </c>
      <c r="BS111" s="27">
        <f t="shared" si="20"/>
        <v>0.87863408</v>
      </c>
      <c r="BT111" s="27">
        <f t="shared" si="21"/>
        <v>0.01567581</v>
      </c>
      <c r="BU111" s="27">
        <f>IF(VLOOKUP($Q111,武学奇术!$A:$ZZ,22,FALSE)=1,0,(1-$BN111))*(1-$BQ111)</f>
        <v>0.01279011</v>
      </c>
      <c r="BV111" s="27" cm="1">
        <f t="array" ref="BV111">SUM(_xlfn.XLOOKUP($R111:$AK111,增益!$A:$A,增益!$W:$W,0))+$I$5</f>
        <v>0.11</v>
      </c>
    </row>
    <row r="112" spans="11:74">
      <c r="K112" s="40">
        <f t="shared" si="11"/>
        <v>67382.3703243081</v>
      </c>
      <c r="L112" s="40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BP112*$P112*(1+IF(VLOOKUP($Q112,武学奇术!$A:$ZZ,30,FALSE)="蓄力技",$B$21,0))*(1+$BV112)</f>
        <v>69032.4617532061</v>
      </c>
      <c r="M112" s="40">
        <f>(($AT112*$AM112+$AN112)*(1+$AU112)*(1+$AV112)+($AY112*IF($G$1="鸣金",$AO112,$AM112)+IF($G$1="鸣金",$AP112*1.5,0))*(1+$AZ112)*(1+$BA112)+($BC112*IF($G$1="裂石",$AO112,$AM112)+IF($G$1="裂石",$AP112*1.5,0))*(1+$BD112)*(1+$BE112)+($BG112*IF($G$1="牵丝",$AO112,$AM112)+IF($G$1="牵丝",$AP112*1.5,0))*(1+$BH112)*(1+$BI112)+($BK112*IF($G$1="破竹",$AO112,$AM112)+IF($G$1="破竹",$AP112*1.5,0))*(1+$BL112)*(1+$BM112))*(1+$AQ112)*$BR112*$P112*(1+IF(VLOOKUP($Q112,武学奇术!$A:$ZZ,30,FALSE)="蓄力技",$B$21,0))*(1+$BV112)</f>
        <v>61027.9964544383</v>
      </c>
      <c r="N112" s="40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P112*(1+IF(VLOOKUP($Q112,武学奇术!$A:$ZZ,30,FALSE)="蓄力技",$B$21,0))*(1+$BV112)</f>
        <v>39673.8285937966</v>
      </c>
      <c r="O112" s="40">
        <f>((($AS112*$AM112+$AN112)*(1+$AU112)*(1+$AV112)+($AX112*IF($G$1="鸣金",$AO112,$AM112)+IF($G$1="鸣金",$AP112*1.5,0))*(1+$AZ112)*(1+$BA112)+($BB112*IF($G$1="裂石",$AO112,$AM112)+IF($G$1="裂石",$AP112*1.5,0))*(1+$BD112)*(1+$BE112)+($BF112*IF($G$1="牵丝",$AO112,$AM112)+IF($G$1="牵丝",$AP112*1.5,0))*(1+$BH112)*(1+$BI112)+($BJ112*IF($G$1="破竹",$AO112,$AM112)+IF($G$1="破竹",$AP112*1.5,0))*(1+$BL112)*(1+$BM112))*(1+$AQ112))*$P112*(1+IF(VLOOKUP($Q112,武学奇术!$A:$ZZ,30,FALSE)="蓄力技",$B$21,0))*(1+$BV112)</f>
        <v>34141.7338880093</v>
      </c>
      <c r="P112" s="41">
        <v>2</v>
      </c>
      <c r="Q112" s="42" t="s">
        <v>75</v>
      </c>
      <c r="R112" s="42" t="s">
        <v>103</v>
      </c>
      <c r="S112" s="42" t="s">
        <v>169</v>
      </c>
      <c r="T112" s="42" t="s">
        <v>86</v>
      </c>
      <c r="U112" s="42" t="s">
        <v>87</v>
      </c>
      <c r="V112" s="42" t="s">
        <v>77</v>
      </c>
      <c r="W112" s="42" t="s">
        <v>78</v>
      </c>
      <c r="X112" s="42" t="s">
        <v>176</v>
      </c>
      <c r="Y112" s="42" t="s">
        <v>186</v>
      </c>
      <c r="Z112" s="42" t="s">
        <v>77</v>
      </c>
      <c r="AA112" s="42" t="s">
        <v>77</v>
      </c>
      <c r="AB112" s="42" t="s">
        <v>77</v>
      </c>
      <c r="AC112" s="42" t="s">
        <v>77</v>
      </c>
      <c r="AD112" s="42" t="s">
        <v>77</v>
      </c>
      <c r="AE112" s="42" t="s">
        <v>81</v>
      </c>
      <c r="AF112" s="42" t="s">
        <v>82</v>
      </c>
      <c r="AG112" s="42" t="s">
        <v>77</v>
      </c>
      <c r="AH112" s="42" t="s">
        <v>77</v>
      </c>
      <c r="AI112" s="42" t="s">
        <v>77</v>
      </c>
      <c r="AJ112" s="42" t="s">
        <v>77</v>
      </c>
      <c r="AK112" s="42" t="s">
        <v>77</v>
      </c>
      <c r="AL112" t="str">
        <f>VLOOKUP($Q112,武学奇术!$A:$ZZ,25,FALSE)</f>
        <v>群体奇术</v>
      </c>
      <c r="AM112" s="27">
        <f>VLOOKUP($Q112,武学奇术!$A:$ZZ,26,FALSE)</f>
        <v>1.4904</v>
      </c>
      <c r="AN112" s="28">
        <f>VLOOKUP($Q112,武学奇术!$A:$ZZ,27,FALSE)*(1+IF(OR($AL112=$F$4,$AL112=$F$5),$B$22,0))</f>
        <v>378</v>
      </c>
      <c r="AO112" s="27">
        <f>VLOOKUP($Q112,武学奇术!$A:$ZZ,28,FALSE)</f>
        <v>2.2356</v>
      </c>
      <c r="AP112" s="28">
        <f>VLOOKUP($Q112,武学奇术!$A:$ZZ,29,FALSE)*(1+IF(OR($AL112=$F$4,$AL112=$F$5),$B$22,0))</f>
        <v>0</v>
      </c>
      <c r="AQ112" s="27" cm="1">
        <f t="array" ref="AQ112">$G$3+IFERROR(VLOOKUP($AL112,$F$4:$G$7,2,FALSE),0)+VLOOKUP($Q112,武学奇术!$A:$ZZ,2,FALSE)+SUM(_xlfn.XLOOKUP($R112:$AK112,增益!$A:$A,增益!$B:$B,0))</f>
        <v>0.5037</v>
      </c>
      <c r="AR112" s="27" cm="1">
        <f t="array" ref="AR112">VLOOKUP($Q112,武学奇术!$A:$ZZ,5,FALSE)+SUM(_xlfn.XLOOKUP($R112:$AK112,增益!$A:$A,增益!$E:$E,0))</f>
        <v>0</v>
      </c>
      <c r="AS112" cm="1">
        <f t="array" ref="AS112">$D$10*(1+$AR112)+VLOOKUP($Q112,武学奇术!$A:$ZZ,3,FALSE)+SUM(_xlfn.XLOOKUP($R112:$AK112,增益!$A:$A,增益!$C:$C,0))-$I$2</f>
        <v>3586.7</v>
      </c>
      <c r="AT112" cm="1">
        <f t="array" ref="AT112">$E$10*(1+$AR112)+VLOOKUP($Q112,武学奇术!$A:$ZZ,4,FALSE)+SUM(_xlfn.XLOOKUP($R112:$AK112,增益!$A:$A,增益!$D:$D,0))-$I$2</f>
        <v>3586.7</v>
      </c>
      <c r="AU112" s="34" cm="1">
        <f t="array" ref="AU112">IF($F$10-$I$3+VLOOKUP($Q112,武学奇术!$A:$ZZ,6,FALSE)+SUM(_xlfn.XLOOKUP($R112:$AK112,增益!$A:$A,增益!$F:$F,0))&gt;0,($F$10-$I$3+VLOOKUP($Q112,武学奇术!$A:$ZZ,6,FALSE)+SUM(_xlfn.XLOOKUP($R112:$AK112,增益!$A:$A,增益!$F:$F,0)))/200,($F$10-$I$3+VLOOKUP($Q112,武学奇术!$A:$ZZ,6,FALSE)+SUM(_xlfn.XLOOKUP($R112:$AK112,增益!$A:$A,增益!$F:$F,0)))/100)</f>
        <v>0.327</v>
      </c>
      <c r="AV112" s="34" cm="1">
        <f t="array" ref="AV112">$G$10+VLOOKUP($Q112,武学奇术!$A:$ZZ,7,FALSE)+SUM(_xlfn.XLOOKUP($R112:$AK112,增益!$A:$A,增益!$G:$G,0))</f>
        <v>0</v>
      </c>
      <c r="AW112" s="27" cm="1">
        <f t="array" ref="AW112">VLOOKUP($Q112,武学奇术!$A:$ZZ,8,FALSE)+SUM(_xlfn.XLOOKUP($R112:$AK112,增益!$A:$A,增益!$H:$H,0))</f>
        <v>0</v>
      </c>
      <c r="AX112">
        <f t="shared" si="12"/>
        <v>0</v>
      </c>
      <c r="AY112">
        <f t="shared" si="13"/>
        <v>0</v>
      </c>
      <c r="AZ112" s="34" cm="1">
        <f t="array" ref="AZ112">IF($F$11-$I$4+VLOOKUP($Q112,武学奇术!$A:$ZZ,9,FALSE)+SUM(_xlfn.XLOOKUP($R112:$AK112,增益!$A:$A,增益!$I:$I,0))&gt;0,($F$11-$I$4+VLOOKUP($Q112,武学奇术!$A:$ZZ,9,FALSE)+SUM(_xlfn.XLOOKUP($R112:$AK112,增益!$A:$A,增益!$I:$I,0)))/200,($F$11-$I$4+VLOOKUP($Q112,武学奇术!$A:$ZZ,9,FALSE)+SUM(_xlfn.XLOOKUP($R112:$AK112,增益!$A:$A,增益!$I:$I,0)))/100)</f>
        <v>-0.14</v>
      </c>
      <c r="BA112" s="34" cm="1">
        <f t="array" ref="BA112">$G$11+VLOOKUP($Q112,武学奇术!$A:$ZZ,10,FALSE)+SUM(_xlfn.XLOOKUP($R112:$AK112,增益!$A:$A,增益!$J:$J,0))</f>
        <v>0</v>
      </c>
      <c r="BB112">
        <f t="shared" si="14"/>
        <v>594.1</v>
      </c>
      <c r="BC112">
        <f t="shared" si="15"/>
        <v>1604.9</v>
      </c>
      <c r="BD112" s="34" cm="1">
        <f t="array" ref="BD112">IF($F$12-$I$4+VLOOKUP($Q112,武学奇术!$A:$ZZ,11,FALSE)+SUM(_xlfn.XLOOKUP($R112:$AK112,增益!$A:$A,增益!$K:$K,0))&gt;0,($F$12-$I$4+VLOOKUP($Q112,武学奇术!$A:$ZZ,11,FALSE)+SUM(_xlfn.XLOOKUP($R112:$AK112,增益!$A:$A,增益!$K:$K,0)))/200,($F$12-$I$4+VLOOKUP($Q112,武学奇术!$A:$ZZ,11,FALSE)+SUM(_xlfn.XLOOKUP($R112:$AK112,增益!$A:$A,增益!$K:$K,0)))/100)</f>
        <v>0.17</v>
      </c>
      <c r="BE112" s="34" cm="1">
        <f t="array" ref="BE112">$G$12+VLOOKUP($Q112,武学奇术!$A:$ZZ,12,FALSE)+SUM(_xlfn.XLOOKUP($R112:$AK112,增益!$A:$A,增益!$L:$L,0))</f>
        <v>0.15</v>
      </c>
      <c r="BF112">
        <f t="shared" si="16"/>
        <v>0</v>
      </c>
      <c r="BG112">
        <f t="shared" si="17"/>
        <v>0</v>
      </c>
      <c r="BH112" s="34" cm="1">
        <f t="array" ref="BH112">IF($F$13-$I$4+VLOOKUP($Q112,武学奇术!$A:$ZZ,13,FALSE)+SUM(_xlfn.XLOOKUP($R112:$AK112,增益!$A:$A,增益!$M:$M,0))&gt;0,($F$13-$I$4+VLOOKUP($Q112,武学奇术!$A:$ZZ,13,FALSE)+SUM(_xlfn.XLOOKUP($R112:$AK112,增益!$A:$A,增益!$K:$K,0)))/200,($F$13-$I$4+VLOOKUP($Q112,武学奇术!$A:$ZZ,13,FALSE)+SUM(_xlfn.XLOOKUP($R112:$AK112,增益!$A:$A,增益!$M:$M,0)))/100)</f>
        <v>-0.14</v>
      </c>
      <c r="BI112" s="34" cm="1">
        <f t="array" ref="BI112">$G$13+VLOOKUP($Q112,武学奇术!$A:$ZZ,14,FALSE)+SUM(_xlfn.XLOOKUP($R112:$AK112,增益!$A:$A,增益!$N:$N,0))</f>
        <v>0</v>
      </c>
      <c r="BJ112">
        <f t="shared" si="18"/>
        <v>0</v>
      </c>
      <c r="BK112">
        <f t="shared" si="19"/>
        <v>0</v>
      </c>
      <c r="BL112" s="34" cm="1">
        <f t="array" ref="BL112">IF($F$14-$I$4+VLOOKUP($Q112,武学奇术!$A:$ZZ,15,FALSE)+SUM(_xlfn.XLOOKUP($R112:$AK112,增益!$A:$A,增益!$O:$O,0))&gt;0,($F$14-$I$4+VLOOKUP($Q112,武学奇术!$A:$ZZ,15,FALSE)+SUM(_xlfn.XLOOKUP($R112:$AK112,增益!$A:$A,增益!$O:$O,0)))/200,($F$14-$I$4+VLOOKUP($Q112,武学奇术!$A:$ZZ,15,FALSE)+SUM(_xlfn.XLOOKUP($R112:$AK112,增益!$A:$A,增益!$O:$O,0)))/100)</f>
        <v>-0.14</v>
      </c>
      <c r="BM112" s="34" cm="1">
        <f t="array" ref="BM112">$G$14+VLOOKUP($Q112,武学奇术!$A:$ZZ,16,FALSE)+SUM(_xlfn.XLOOKUP($R112:$AK112,增益!$A:$A,增益!$P:$P,0))</f>
        <v>0</v>
      </c>
      <c r="BN112" s="27">
        <f>MIN(IF(VLOOKUP($Q112,武学奇术!$A:$ZZ,23,FALSE)=1,100%,$B$8),100%)</f>
        <v>0.9859</v>
      </c>
      <c r="BO112" s="27" cm="1">
        <f t="array" ref="BO112">IF(VLOOKUP($Q112,武学奇术!$A:$ZZ,23,FALSE)=1,100%,MIN(80%,$B$9+VLOOKUP($Q112,武学奇术!$A:$ZZ,17,FALSE)+SUM(_xlfn.XLOOKUP($R112:$AK112,增益!$A:$A,增益!$Q:$Q,0)))+$B$11+SUM(_xlfn.XLOOKUP($R112:$AK112,增益!$A:$A,增益!$U:$U,0)))*IF(VLOOKUP($Q112,武学奇术!$A:$ZZ,24,FALSE)=1,0,1)</f>
        <v>0.8912</v>
      </c>
      <c r="BP112" s="27" cm="1">
        <f t="array" ref="BP112">1+$B$13+VLOOKUP($Q112,武学奇术!$A:$ZZ,18,FALSE)+SUM(_xlfn.XLOOKUP($R112:$AK112,增益!$A:$A,增益!$R:$R,0))</f>
        <v>1.74</v>
      </c>
      <c r="BQ112" s="27" cm="1">
        <f t="array" ref="BQ112">IF(VLOOKUP($Q112,武学奇术!$A:$ZZ,24,FALSE)=1,100%,MIN(40%,$B$10+VLOOKUP($Q112,武学奇术!$A:$ZZ,19,FALSE)+SUM(_xlfn.XLOOKUP($R112:$AK112,增益!$A:$A,增益!$S:$S,0)))+$B$12+SUM(_xlfn.XLOOKUP($R112:$AK112,增益!$A:$A,增益!$V:$V,0)))*IF(VLOOKUP($Q112,武学奇术!$A:$ZZ,23,FALSE)=1,0,1)</f>
        <v>0.0929</v>
      </c>
      <c r="BR112" s="27" cm="1">
        <f t="array" ref="BR112">1+$B$14+VLOOKUP($Q112,武学奇术!$A:$ZZ,20,FALSE)+SUM(_xlfn.XLOOKUP($R112:$AK112,增益!$A:$A,增益!$T:$T,0))</f>
        <v>1.35</v>
      </c>
      <c r="BS112" s="27">
        <f t="shared" si="20"/>
        <v>0.87863408</v>
      </c>
      <c r="BT112" s="27">
        <f t="shared" si="21"/>
        <v>0.01567581</v>
      </c>
      <c r="BU112" s="27">
        <f>IF(VLOOKUP($Q112,武学奇术!$A:$ZZ,22,FALSE)=1,0,(1-$BN112))*(1-$BQ112)</f>
        <v>0.01279011</v>
      </c>
      <c r="BV112" s="27" cm="1">
        <f t="array" ref="BV112">SUM(_xlfn.XLOOKUP($R112:$AK112,增益!$A:$A,增益!$W:$W,0))+$I$5</f>
        <v>0.21</v>
      </c>
    </row>
    <row r="113" spans="11:74">
      <c r="K113" s="40">
        <f t="shared" si="11"/>
        <v>0</v>
      </c>
      <c r="L113" s="40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BP113*$P113*(1+IF(VLOOKUP($Q113,武学奇术!$A:$ZZ,30,FALSE)="蓄力技",$B$21,0))*(1+$BV113)</f>
        <v>0</v>
      </c>
      <c r="M113" s="40">
        <f>(($AT113*$AM113+$AN113)*(1+$AU113)*(1+$AV113)+($AY113*IF($G$1="鸣金",$AO113,$AM113)+IF($G$1="鸣金",$AP113*1.5,0))*(1+$AZ113)*(1+$BA113)+($BC113*IF($G$1="裂石",$AO113,$AM113)+IF($G$1="裂石",$AP113*1.5,0))*(1+$BD113)*(1+$BE113)+($BG113*IF($G$1="牵丝",$AO113,$AM113)+IF($G$1="牵丝",$AP113*1.5,0))*(1+$BH113)*(1+$BI113)+($BK113*IF($G$1="破竹",$AO113,$AM113)+IF($G$1="破竹",$AP113*1.5,0))*(1+$BL113)*(1+$BM113))*(1+$AQ113)*$BR113*$P113*(1+IF(VLOOKUP($Q113,武学奇术!$A:$ZZ,30,FALSE)="蓄力技",$B$21,0))*(1+$BV113)</f>
        <v>0</v>
      </c>
      <c r="N113" s="40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P113*(1+IF(VLOOKUP($Q113,武学奇术!$A:$ZZ,30,FALSE)="蓄力技",$B$21,0))*(1+$BV113)</f>
        <v>0</v>
      </c>
      <c r="O113" s="40">
        <f>((($AS113*$AM113+$AN113)*(1+$AU113)*(1+$AV113)+($AX113*IF($G$1="鸣金",$AO113,$AM113)+IF($G$1="鸣金",$AP113*1.5,0))*(1+$AZ113)*(1+$BA113)+($BB113*IF($G$1="裂石",$AO113,$AM113)+IF($G$1="裂石",$AP113*1.5,0))*(1+$BD113)*(1+$BE113)+($BF113*IF($G$1="牵丝",$AO113,$AM113)+IF($G$1="牵丝",$AP113*1.5,0))*(1+$BH113)*(1+$BI113)+($BJ113*IF($G$1="破竹",$AO113,$AM113)+IF($G$1="破竹",$AP113*1.5,0))*(1+$BL113)*(1+$BM113))*(1+$AQ113))*$P113*(1+IF(VLOOKUP($Q113,武学奇术!$A:$ZZ,30,FALSE)="蓄力技",$B$21,0))*(1+$BV113)</f>
        <v>0</v>
      </c>
      <c r="P113" s="41">
        <v>1</v>
      </c>
      <c r="Q113" s="42" t="s">
        <v>77</v>
      </c>
      <c r="R113" s="42" t="s">
        <v>77</v>
      </c>
      <c r="S113" s="42" t="s">
        <v>77</v>
      </c>
      <c r="T113" s="42" t="s">
        <v>77</v>
      </c>
      <c r="U113" s="42" t="s">
        <v>77</v>
      </c>
      <c r="V113" s="42" t="s">
        <v>77</v>
      </c>
      <c r="W113" s="42" t="s">
        <v>77</v>
      </c>
      <c r="X113" s="42" t="s">
        <v>77</v>
      </c>
      <c r="Y113" s="42" t="s">
        <v>77</v>
      </c>
      <c r="Z113" s="42" t="s">
        <v>77</v>
      </c>
      <c r="AA113" s="42" t="s">
        <v>77</v>
      </c>
      <c r="AB113" s="42" t="s">
        <v>77</v>
      </c>
      <c r="AC113" s="42" t="s">
        <v>77</v>
      </c>
      <c r="AD113" s="42" t="s">
        <v>77</v>
      </c>
      <c r="AE113" s="42" t="s">
        <v>81</v>
      </c>
      <c r="AF113" s="42" t="s">
        <v>82</v>
      </c>
      <c r="AG113" s="42" t="s">
        <v>77</v>
      </c>
      <c r="AH113" s="42" t="s">
        <v>77</v>
      </c>
      <c r="AI113" s="42" t="s">
        <v>77</v>
      </c>
      <c r="AJ113" s="42" t="s">
        <v>77</v>
      </c>
      <c r="AK113" s="42" t="s">
        <v>77</v>
      </c>
      <c r="AL113" t="str">
        <f>VLOOKUP($Q113,武学奇术!$A:$ZZ,25,FALSE)</f>
        <v>心法</v>
      </c>
      <c r="AM113" s="27">
        <f>VLOOKUP($Q113,武学奇术!$A:$ZZ,26,FALSE)</f>
        <v>0</v>
      </c>
      <c r="AN113" s="28">
        <f>VLOOKUP($Q113,武学奇术!$A:$ZZ,27,FALSE)*(1+IF(OR($AL113=$F$4,$AL113=$F$5),$B$22,0))</f>
        <v>0</v>
      </c>
      <c r="AO113" s="27">
        <f>VLOOKUP($Q113,武学奇术!$A:$ZZ,28,FALSE)</f>
        <v>0</v>
      </c>
      <c r="AP113" s="28">
        <f>VLOOKUP($Q113,武学奇术!$A:$ZZ,29,FALSE)*(1+IF(OR($AL113=$F$4,$AL113=$F$5),$B$22,0))</f>
        <v>0</v>
      </c>
      <c r="AQ113" s="27" cm="1">
        <f t="array" ref="AQ113">$G$3+IFERROR(VLOOKUP($AL113,$F$4:$G$7,2,FALSE),0)+VLOOKUP($Q113,武学奇术!$A:$ZZ,2,FALSE)+SUM(_xlfn.XLOOKUP($R113:$AK113,增益!$A:$A,增益!$B:$B,0))</f>
        <v>0.2337</v>
      </c>
      <c r="AR113" s="27" cm="1">
        <f t="array" ref="AR113">VLOOKUP($Q113,武学奇术!$A:$ZZ,5,FALSE)+SUM(_xlfn.XLOOKUP($R113:$AK113,增益!$A:$A,增益!$E:$E,0))</f>
        <v>0</v>
      </c>
      <c r="AS113" cm="1">
        <f t="array" ref="AS113">$D$10*(1+$AR113)+VLOOKUP($Q113,武学奇术!$A:$ZZ,3,FALSE)+SUM(_xlfn.XLOOKUP($R113:$AK113,增益!$A:$A,增益!$C:$C,0))-$I$2</f>
        <v>3586.7</v>
      </c>
      <c r="AT113" cm="1">
        <f t="array" ref="AT113">$E$10*(1+$AR113)+VLOOKUP($Q113,武学奇术!$A:$ZZ,4,FALSE)+SUM(_xlfn.XLOOKUP($R113:$AK113,增益!$A:$A,增益!$D:$D,0))-$I$2</f>
        <v>3586.7</v>
      </c>
      <c r="AU113" s="34" cm="1">
        <f t="array" ref="AU113">IF($F$10-$I$3+VLOOKUP($Q113,武学奇术!$A:$ZZ,6,FALSE)+SUM(_xlfn.XLOOKUP($R113:$AK113,增益!$A:$A,增益!$F:$F,0))&gt;0,($F$10-$I$3+VLOOKUP($Q113,武学奇术!$A:$ZZ,6,FALSE)+SUM(_xlfn.XLOOKUP($R113:$AK113,增益!$A:$A,增益!$F:$F,0)))/200,($F$10-$I$3+VLOOKUP($Q113,武学奇术!$A:$ZZ,6,FALSE)+SUM(_xlfn.XLOOKUP($R113:$AK113,增益!$A:$A,增益!$F:$F,0)))/100)</f>
        <v>0.227</v>
      </c>
      <c r="AV113" s="34" cm="1">
        <f t="array" ref="AV113">$G$10+VLOOKUP($Q113,武学奇术!$A:$ZZ,7,FALSE)+SUM(_xlfn.XLOOKUP($R113:$AK113,增益!$A:$A,增益!$G:$G,0))</f>
        <v>0</v>
      </c>
      <c r="AW113" s="27" cm="1">
        <f t="array" ref="AW113">VLOOKUP($Q113,武学奇术!$A:$ZZ,8,FALSE)+SUM(_xlfn.XLOOKUP($R113:$AK113,增益!$A:$A,增益!$H:$H,0))</f>
        <v>0</v>
      </c>
      <c r="AX113">
        <f t="shared" si="12"/>
        <v>0</v>
      </c>
      <c r="AY113">
        <f t="shared" si="13"/>
        <v>0</v>
      </c>
      <c r="AZ113" s="34" cm="1">
        <f t="array" ref="AZ113">IF($F$11-$I$4+VLOOKUP($Q113,武学奇术!$A:$ZZ,9,FALSE)+SUM(_xlfn.XLOOKUP($R113:$AK113,增益!$A:$A,增益!$I:$I,0))&gt;0,($F$11-$I$4+VLOOKUP($Q113,武学奇术!$A:$ZZ,9,FALSE)+SUM(_xlfn.XLOOKUP($R113:$AK113,增益!$A:$A,增益!$I:$I,0)))/200,($F$11-$I$4+VLOOKUP($Q113,武学奇术!$A:$ZZ,9,FALSE)+SUM(_xlfn.XLOOKUP($R113:$AK113,增益!$A:$A,增益!$I:$I,0)))/100)</f>
        <v>-0.3</v>
      </c>
      <c r="BA113" s="34" cm="1">
        <f t="array" ref="BA113">$G$11+VLOOKUP($Q113,武学奇术!$A:$ZZ,10,FALSE)+SUM(_xlfn.XLOOKUP($R113:$AK113,增益!$A:$A,增益!$J:$J,0))</f>
        <v>0</v>
      </c>
      <c r="BB113">
        <f t="shared" si="14"/>
        <v>594.1</v>
      </c>
      <c r="BC113">
        <f t="shared" si="15"/>
        <v>1604.9</v>
      </c>
      <c r="BD113" s="34" cm="1">
        <f t="array" ref="BD113">IF($F$12-$I$4+VLOOKUP($Q113,武学奇术!$A:$ZZ,11,FALSE)+SUM(_xlfn.XLOOKUP($R113:$AK113,增益!$A:$A,增益!$K:$K,0))&gt;0,($F$12-$I$4+VLOOKUP($Q113,武学奇术!$A:$ZZ,11,FALSE)+SUM(_xlfn.XLOOKUP($R113:$AK113,增益!$A:$A,增益!$K:$K,0)))/200,($F$12-$I$4+VLOOKUP($Q113,武学奇术!$A:$ZZ,11,FALSE)+SUM(_xlfn.XLOOKUP($R113:$AK113,增益!$A:$A,增益!$K:$K,0)))/100)</f>
        <v>0.09</v>
      </c>
      <c r="BE113" s="34" cm="1">
        <f t="array" ref="BE113">$G$12+VLOOKUP($Q113,武学奇术!$A:$ZZ,12,FALSE)+SUM(_xlfn.XLOOKUP($R113:$AK113,增益!$A:$A,增益!$L:$L,0))</f>
        <v>0.15</v>
      </c>
      <c r="BF113">
        <f t="shared" si="16"/>
        <v>0</v>
      </c>
      <c r="BG113">
        <f t="shared" si="17"/>
        <v>0</v>
      </c>
      <c r="BH113" s="34" cm="1">
        <f t="array" ref="BH113">IF($F$13-$I$4+VLOOKUP($Q113,武学奇术!$A:$ZZ,13,FALSE)+SUM(_xlfn.XLOOKUP($R113:$AK113,增益!$A:$A,增益!$M:$M,0))&gt;0,($F$13-$I$4+VLOOKUP($Q113,武学奇术!$A:$ZZ,13,FALSE)+SUM(_xlfn.XLOOKUP($R113:$AK113,增益!$A:$A,增益!$K:$K,0)))/200,($F$13-$I$4+VLOOKUP($Q113,武学奇术!$A:$ZZ,13,FALSE)+SUM(_xlfn.XLOOKUP($R113:$AK113,增益!$A:$A,增益!$M:$M,0)))/100)</f>
        <v>-0.3</v>
      </c>
      <c r="BI113" s="34" cm="1">
        <f t="array" ref="BI113">$G$13+VLOOKUP($Q113,武学奇术!$A:$ZZ,14,FALSE)+SUM(_xlfn.XLOOKUP($R113:$AK113,增益!$A:$A,增益!$N:$N,0))</f>
        <v>0</v>
      </c>
      <c r="BJ113">
        <f t="shared" si="18"/>
        <v>0</v>
      </c>
      <c r="BK113">
        <f t="shared" si="19"/>
        <v>0</v>
      </c>
      <c r="BL113" s="34" cm="1">
        <f t="array" ref="BL113">IF($F$14-$I$4+VLOOKUP($Q113,武学奇术!$A:$ZZ,15,FALSE)+SUM(_xlfn.XLOOKUP($R113:$AK113,增益!$A:$A,增益!$O:$O,0))&gt;0,($F$14-$I$4+VLOOKUP($Q113,武学奇术!$A:$ZZ,15,FALSE)+SUM(_xlfn.XLOOKUP($R113:$AK113,增益!$A:$A,增益!$O:$O,0)))/200,($F$14-$I$4+VLOOKUP($Q113,武学奇术!$A:$ZZ,15,FALSE)+SUM(_xlfn.XLOOKUP($R113:$AK113,增益!$A:$A,增益!$O:$O,0)))/100)</f>
        <v>-0.3</v>
      </c>
      <c r="BM113" s="34" cm="1">
        <f t="array" ref="BM113">$G$14+VLOOKUP($Q113,武学奇术!$A:$ZZ,16,FALSE)+SUM(_xlfn.XLOOKUP($R113:$AK113,增益!$A:$A,增益!$P:$P,0))</f>
        <v>0</v>
      </c>
      <c r="BN113" s="27">
        <f>MIN(IF(VLOOKUP($Q113,武学奇术!$A:$ZZ,23,FALSE)=1,100%,$B$8),100%)</f>
        <v>0.9859</v>
      </c>
      <c r="BO113" s="27" cm="1">
        <f t="array" ref="BO113">IF(VLOOKUP($Q113,武学奇术!$A:$ZZ,23,FALSE)=1,100%,MIN(80%,$B$9+VLOOKUP($Q113,武学奇术!$A:$ZZ,17,FALSE)+SUM(_xlfn.XLOOKUP($R113:$AK113,增益!$A:$A,增益!$Q:$Q,0)))+$B$11+SUM(_xlfn.XLOOKUP($R113:$AK113,增益!$A:$A,增益!$U:$U,0)))*IF(VLOOKUP($Q113,武学奇术!$A:$ZZ,24,FALSE)=1,0,1)</f>
        <v>0.8912</v>
      </c>
      <c r="BP113" s="27" cm="1">
        <f t="array" ref="BP113">1+$B$13+VLOOKUP($Q113,武学奇术!$A:$ZZ,18,FALSE)+SUM(_xlfn.XLOOKUP($R113:$AK113,增益!$A:$A,增益!$R:$R,0))</f>
        <v>1.54</v>
      </c>
      <c r="BQ113" s="27" cm="1">
        <f t="array" ref="BQ113">IF(VLOOKUP($Q113,武学奇术!$A:$ZZ,24,FALSE)=1,100%,MIN(40%,$B$10+VLOOKUP($Q113,武学奇术!$A:$ZZ,19,FALSE)+SUM(_xlfn.XLOOKUP($R113:$AK113,增益!$A:$A,增益!$S:$S,0)))+$B$12+SUM(_xlfn.XLOOKUP($R113:$AK113,增益!$A:$A,增益!$V:$V,0)))*IF(VLOOKUP($Q113,武学奇术!$A:$ZZ,23,FALSE)=1,0,1)</f>
        <v>0.0929</v>
      </c>
      <c r="BR113" s="27" cm="1">
        <f t="array" ref="BR113">1+$B$14+VLOOKUP($Q113,武学奇术!$A:$ZZ,20,FALSE)+SUM(_xlfn.XLOOKUP($R113:$AK113,增益!$A:$A,增益!$T:$T,0))</f>
        <v>1.35</v>
      </c>
      <c r="BS113" s="27">
        <f t="shared" si="20"/>
        <v>0.87863408</v>
      </c>
      <c r="BT113" s="27">
        <f t="shared" si="21"/>
        <v>0.01567581</v>
      </c>
      <c r="BU113" s="27">
        <f>IF(VLOOKUP($Q113,武学奇术!$A:$ZZ,22,FALSE)=1,0,(1-$BN113))*(1-$BQ113)</f>
        <v>0.01279011</v>
      </c>
      <c r="BV113" s="27" cm="1">
        <f t="array" ref="BV113">SUM(_xlfn.XLOOKUP($R113:$AK113,增益!$A:$A,增益!$W:$W,0))+$I$5</f>
        <v>0.11</v>
      </c>
    </row>
    <row r="114" spans="11:74">
      <c r="K114" s="40">
        <f t="shared" si="11"/>
        <v>0</v>
      </c>
      <c r="L114" s="40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BP114*$P114*(1+IF(VLOOKUP($Q114,武学奇术!$A:$ZZ,30,FALSE)="蓄力技",$B$21,0))*(1+$BV114)</f>
        <v>0</v>
      </c>
      <c r="M114" s="40">
        <f>(($AT114*$AM114+$AN114)*(1+$AU114)*(1+$AV114)+($AY114*IF($G$1="鸣金",$AO114,$AM114)+IF($G$1="鸣金",$AP114*1.5,0))*(1+$AZ114)*(1+$BA114)+($BC114*IF($G$1="裂石",$AO114,$AM114)+IF($G$1="裂石",$AP114*1.5,0))*(1+$BD114)*(1+$BE114)+($BG114*IF($G$1="牵丝",$AO114,$AM114)+IF($G$1="牵丝",$AP114*1.5,0))*(1+$BH114)*(1+$BI114)+($BK114*IF($G$1="破竹",$AO114,$AM114)+IF($G$1="破竹",$AP114*1.5,0))*(1+$BL114)*(1+$BM114))*(1+$AQ114)*$BR114*$P114*(1+IF(VLOOKUP($Q114,武学奇术!$A:$ZZ,30,FALSE)="蓄力技",$B$21,0))*(1+$BV114)</f>
        <v>0</v>
      </c>
      <c r="N114" s="40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P114*(1+IF(VLOOKUP($Q114,武学奇术!$A:$ZZ,30,FALSE)="蓄力技",$B$21,0))*(1+$BV114)</f>
        <v>0</v>
      </c>
      <c r="O114" s="40">
        <f>((($AS114*$AM114+$AN114)*(1+$AU114)*(1+$AV114)+($AX114*IF($G$1="鸣金",$AO114,$AM114)+IF($G$1="鸣金",$AP114*1.5,0))*(1+$AZ114)*(1+$BA114)+($BB114*IF($G$1="裂石",$AO114,$AM114)+IF($G$1="裂石",$AP114*1.5,0))*(1+$BD114)*(1+$BE114)+($BF114*IF($G$1="牵丝",$AO114,$AM114)+IF($G$1="牵丝",$AP114*1.5,0))*(1+$BH114)*(1+$BI114)+($BJ114*IF($G$1="破竹",$AO114,$AM114)+IF($G$1="破竹",$AP114*1.5,0))*(1+$BL114)*(1+$BM114))*(1+$AQ114))*$P114*(1+IF(VLOOKUP($Q114,武学奇术!$A:$ZZ,30,FALSE)="蓄力技",$B$21,0))*(1+$BV114)</f>
        <v>0</v>
      </c>
      <c r="P114" s="41">
        <v>1</v>
      </c>
      <c r="Q114" s="42" t="s">
        <v>77</v>
      </c>
      <c r="R114" s="42" t="s">
        <v>77</v>
      </c>
      <c r="S114" s="42" t="s">
        <v>77</v>
      </c>
      <c r="T114" s="42" t="s">
        <v>77</v>
      </c>
      <c r="U114" s="42" t="s">
        <v>77</v>
      </c>
      <c r="V114" s="42" t="s">
        <v>77</v>
      </c>
      <c r="W114" s="42" t="s">
        <v>77</v>
      </c>
      <c r="X114" s="42" t="s">
        <v>77</v>
      </c>
      <c r="Y114" s="42" t="s">
        <v>77</v>
      </c>
      <c r="Z114" s="42" t="s">
        <v>77</v>
      </c>
      <c r="AA114" s="42" t="s">
        <v>77</v>
      </c>
      <c r="AB114" s="42" t="s">
        <v>77</v>
      </c>
      <c r="AC114" s="42" t="s">
        <v>77</v>
      </c>
      <c r="AD114" s="42" t="s">
        <v>77</v>
      </c>
      <c r="AE114" s="42" t="s">
        <v>81</v>
      </c>
      <c r="AF114" s="42" t="s">
        <v>82</v>
      </c>
      <c r="AG114" s="42" t="s">
        <v>77</v>
      </c>
      <c r="AH114" s="42" t="s">
        <v>77</v>
      </c>
      <c r="AI114" s="42" t="s">
        <v>77</v>
      </c>
      <c r="AJ114" s="42" t="s">
        <v>77</v>
      </c>
      <c r="AK114" s="42" t="s">
        <v>77</v>
      </c>
      <c r="AL114" t="str">
        <f>VLOOKUP($Q114,武学奇术!$A:$ZZ,25,FALSE)</f>
        <v>心法</v>
      </c>
      <c r="AM114" s="27">
        <f>VLOOKUP($Q114,武学奇术!$A:$ZZ,26,FALSE)</f>
        <v>0</v>
      </c>
      <c r="AN114" s="28">
        <f>VLOOKUP($Q114,武学奇术!$A:$ZZ,27,FALSE)*(1+IF(OR($AL114=$F$4,$AL114=$F$5),$B$22,0))</f>
        <v>0</v>
      </c>
      <c r="AO114" s="27">
        <f>VLOOKUP($Q114,武学奇术!$A:$ZZ,28,FALSE)</f>
        <v>0</v>
      </c>
      <c r="AP114" s="28">
        <f>VLOOKUP($Q114,武学奇术!$A:$ZZ,29,FALSE)*(1+IF(OR($AL114=$F$4,$AL114=$F$5),$B$22,0))</f>
        <v>0</v>
      </c>
      <c r="AQ114" s="27" cm="1">
        <f t="array" ref="AQ114">$G$3+IFERROR(VLOOKUP($AL114,$F$4:$G$7,2,FALSE),0)+VLOOKUP($Q114,武学奇术!$A:$ZZ,2,FALSE)+SUM(_xlfn.XLOOKUP($R114:$AK114,增益!$A:$A,增益!$B:$B,0))</f>
        <v>0.2337</v>
      </c>
      <c r="AR114" s="27" cm="1">
        <f t="array" ref="AR114">VLOOKUP($Q114,武学奇术!$A:$ZZ,5,FALSE)+SUM(_xlfn.XLOOKUP($R114:$AK114,增益!$A:$A,增益!$E:$E,0))</f>
        <v>0</v>
      </c>
      <c r="AS114" cm="1">
        <f t="array" ref="AS114">$D$10*(1+$AR114)+VLOOKUP($Q114,武学奇术!$A:$ZZ,3,FALSE)+SUM(_xlfn.XLOOKUP($R114:$AK114,增益!$A:$A,增益!$C:$C,0))-$I$2</f>
        <v>3586.7</v>
      </c>
      <c r="AT114" cm="1">
        <f t="array" ref="AT114">$E$10*(1+$AR114)+VLOOKUP($Q114,武学奇术!$A:$ZZ,4,FALSE)+SUM(_xlfn.XLOOKUP($R114:$AK114,增益!$A:$A,增益!$D:$D,0))-$I$2</f>
        <v>3586.7</v>
      </c>
      <c r="AU114" s="34" cm="1">
        <f t="array" ref="AU114">IF($F$10-$I$3+VLOOKUP($Q114,武学奇术!$A:$ZZ,6,FALSE)+SUM(_xlfn.XLOOKUP($R114:$AK114,增益!$A:$A,增益!$F:$F,0))&gt;0,($F$10-$I$3+VLOOKUP($Q114,武学奇术!$A:$ZZ,6,FALSE)+SUM(_xlfn.XLOOKUP($R114:$AK114,增益!$A:$A,增益!$F:$F,0)))/200,($F$10-$I$3+VLOOKUP($Q114,武学奇术!$A:$ZZ,6,FALSE)+SUM(_xlfn.XLOOKUP($R114:$AK114,增益!$A:$A,增益!$F:$F,0)))/100)</f>
        <v>0.227</v>
      </c>
      <c r="AV114" s="34" cm="1">
        <f t="array" ref="AV114">$G$10+VLOOKUP($Q114,武学奇术!$A:$ZZ,7,FALSE)+SUM(_xlfn.XLOOKUP($R114:$AK114,增益!$A:$A,增益!$G:$G,0))</f>
        <v>0</v>
      </c>
      <c r="AW114" s="27" cm="1">
        <f t="array" ref="AW114">VLOOKUP($Q114,武学奇术!$A:$ZZ,8,FALSE)+SUM(_xlfn.XLOOKUP($R114:$AK114,增益!$A:$A,增益!$H:$H,0))</f>
        <v>0</v>
      </c>
      <c r="AX114">
        <f t="shared" si="12"/>
        <v>0</v>
      </c>
      <c r="AY114">
        <f t="shared" si="13"/>
        <v>0</v>
      </c>
      <c r="AZ114" s="34" cm="1">
        <f t="array" ref="AZ114">IF($F$11-$I$4+VLOOKUP($Q114,武学奇术!$A:$ZZ,9,FALSE)+SUM(_xlfn.XLOOKUP($R114:$AK114,增益!$A:$A,增益!$I:$I,0))&gt;0,($F$11-$I$4+VLOOKUP($Q114,武学奇术!$A:$ZZ,9,FALSE)+SUM(_xlfn.XLOOKUP($R114:$AK114,增益!$A:$A,增益!$I:$I,0)))/200,($F$11-$I$4+VLOOKUP($Q114,武学奇术!$A:$ZZ,9,FALSE)+SUM(_xlfn.XLOOKUP($R114:$AK114,增益!$A:$A,增益!$I:$I,0)))/100)</f>
        <v>-0.3</v>
      </c>
      <c r="BA114" s="34" cm="1">
        <f t="array" ref="BA114">$G$11+VLOOKUP($Q114,武学奇术!$A:$ZZ,10,FALSE)+SUM(_xlfn.XLOOKUP($R114:$AK114,增益!$A:$A,增益!$J:$J,0))</f>
        <v>0</v>
      </c>
      <c r="BB114">
        <f t="shared" si="14"/>
        <v>594.1</v>
      </c>
      <c r="BC114">
        <f t="shared" si="15"/>
        <v>1604.9</v>
      </c>
      <c r="BD114" s="34" cm="1">
        <f t="array" ref="BD114">IF($F$12-$I$4+VLOOKUP($Q114,武学奇术!$A:$ZZ,11,FALSE)+SUM(_xlfn.XLOOKUP($R114:$AK114,增益!$A:$A,增益!$K:$K,0))&gt;0,($F$12-$I$4+VLOOKUP($Q114,武学奇术!$A:$ZZ,11,FALSE)+SUM(_xlfn.XLOOKUP($R114:$AK114,增益!$A:$A,增益!$K:$K,0)))/200,($F$12-$I$4+VLOOKUP($Q114,武学奇术!$A:$ZZ,11,FALSE)+SUM(_xlfn.XLOOKUP($R114:$AK114,增益!$A:$A,增益!$K:$K,0)))/100)</f>
        <v>0.09</v>
      </c>
      <c r="BE114" s="34" cm="1">
        <f t="array" ref="BE114">$G$12+VLOOKUP($Q114,武学奇术!$A:$ZZ,12,FALSE)+SUM(_xlfn.XLOOKUP($R114:$AK114,增益!$A:$A,增益!$L:$L,0))</f>
        <v>0.15</v>
      </c>
      <c r="BF114">
        <f t="shared" si="16"/>
        <v>0</v>
      </c>
      <c r="BG114">
        <f t="shared" si="17"/>
        <v>0</v>
      </c>
      <c r="BH114" s="34" cm="1">
        <f t="array" ref="BH114">IF($F$13-$I$4+VLOOKUP($Q114,武学奇术!$A:$ZZ,13,FALSE)+SUM(_xlfn.XLOOKUP($R114:$AK114,增益!$A:$A,增益!$M:$M,0))&gt;0,($F$13-$I$4+VLOOKUP($Q114,武学奇术!$A:$ZZ,13,FALSE)+SUM(_xlfn.XLOOKUP($R114:$AK114,增益!$A:$A,增益!$K:$K,0)))/200,($F$13-$I$4+VLOOKUP($Q114,武学奇术!$A:$ZZ,13,FALSE)+SUM(_xlfn.XLOOKUP($R114:$AK114,增益!$A:$A,增益!$M:$M,0)))/100)</f>
        <v>-0.3</v>
      </c>
      <c r="BI114" s="34" cm="1">
        <f t="array" ref="BI114">$G$13+VLOOKUP($Q114,武学奇术!$A:$ZZ,14,FALSE)+SUM(_xlfn.XLOOKUP($R114:$AK114,增益!$A:$A,增益!$N:$N,0))</f>
        <v>0</v>
      </c>
      <c r="BJ114">
        <f t="shared" si="18"/>
        <v>0</v>
      </c>
      <c r="BK114">
        <f t="shared" si="19"/>
        <v>0</v>
      </c>
      <c r="BL114" s="34" cm="1">
        <f t="array" ref="BL114">IF($F$14-$I$4+VLOOKUP($Q114,武学奇术!$A:$ZZ,15,FALSE)+SUM(_xlfn.XLOOKUP($R114:$AK114,增益!$A:$A,增益!$O:$O,0))&gt;0,($F$14-$I$4+VLOOKUP($Q114,武学奇术!$A:$ZZ,15,FALSE)+SUM(_xlfn.XLOOKUP($R114:$AK114,增益!$A:$A,增益!$O:$O,0)))/200,($F$14-$I$4+VLOOKUP($Q114,武学奇术!$A:$ZZ,15,FALSE)+SUM(_xlfn.XLOOKUP($R114:$AK114,增益!$A:$A,增益!$O:$O,0)))/100)</f>
        <v>-0.3</v>
      </c>
      <c r="BM114" s="34" cm="1">
        <f t="array" ref="BM114">$G$14+VLOOKUP($Q114,武学奇术!$A:$ZZ,16,FALSE)+SUM(_xlfn.XLOOKUP($R114:$AK114,增益!$A:$A,增益!$P:$P,0))</f>
        <v>0</v>
      </c>
      <c r="BN114" s="27">
        <f>MIN(IF(VLOOKUP($Q114,武学奇术!$A:$ZZ,23,FALSE)=1,100%,$B$8),100%)</f>
        <v>0.9859</v>
      </c>
      <c r="BO114" s="27" cm="1">
        <f t="array" ref="BO114">IF(VLOOKUP($Q114,武学奇术!$A:$ZZ,23,FALSE)=1,100%,MIN(80%,$B$9+VLOOKUP($Q114,武学奇术!$A:$ZZ,17,FALSE)+SUM(_xlfn.XLOOKUP($R114:$AK114,增益!$A:$A,增益!$Q:$Q,0)))+$B$11+SUM(_xlfn.XLOOKUP($R114:$AK114,增益!$A:$A,增益!$U:$U,0)))*IF(VLOOKUP($Q114,武学奇术!$A:$ZZ,24,FALSE)=1,0,1)</f>
        <v>0.8912</v>
      </c>
      <c r="BP114" s="27" cm="1">
        <f t="array" ref="BP114">1+$B$13+VLOOKUP($Q114,武学奇术!$A:$ZZ,18,FALSE)+SUM(_xlfn.XLOOKUP($R114:$AK114,增益!$A:$A,增益!$R:$R,0))</f>
        <v>1.54</v>
      </c>
      <c r="BQ114" s="27" cm="1">
        <f t="array" ref="BQ114">IF(VLOOKUP($Q114,武学奇术!$A:$ZZ,24,FALSE)=1,100%,MIN(40%,$B$10+VLOOKUP($Q114,武学奇术!$A:$ZZ,19,FALSE)+SUM(_xlfn.XLOOKUP($R114:$AK114,增益!$A:$A,增益!$S:$S,0)))+$B$12+SUM(_xlfn.XLOOKUP($R114:$AK114,增益!$A:$A,增益!$V:$V,0)))*IF(VLOOKUP($Q114,武学奇术!$A:$ZZ,23,FALSE)=1,0,1)</f>
        <v>0.0929</v>
      </c>
      <c r="BR114" s="27" cm="1">
        <f t="array" ref="BR114">1+$B$14+VLOOKUP($Q114,武学奇术!$A:$ZZ,20,FALSE)+SUM(_xlfn.XLOOKUP($R114:$AK114,增益!$A:$A,增益!$T:$T,0))</f>
        <v>1.35</v>
      </c>
      <c r="BS114" s="27">
        <f t="shared" si="20"/>
        <v>0.87863408</v>
      </c>
      <c r="BT114" s="27">
        <f t="shared" si="21"/>
        <v>0.01567581</v>
      </c>
      <c r="BU114" s="27">
        <f>IF(VLOOKUP($Q114,武学奇术!$A:$ZZ,22,FALSE)=1,0,(1-$BN114))*(1-$BQ114)</f>
        <v>0.01279011</v>
      </c>
      <c r="BV114" s="27" cm="1">
        <f t="array" ref="BV114">SUM(_xlfn.XLOOKUP($R114:$AK114,增益!$A:$A,增益!$W:$W,0))+$I$5</f>
        <v>0.11</v>
      </c>
    </row>
    <row r="115" spans="11:74">
      <c r="K115" s="40">
        <f t="shared" si="11"/>
        <v>0</v>
      </c>
      <c r="L115" s="40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BP115*$P115*(1+IF(VLOOKUP($Q115,武学奇术!$A:$ZZ,30,FALSE)="蓄力技",$B$21,0))*(1+$BV115)</f>
        <v>0</v>
      </c>
      <c r="M115" s="40">
        <f>(($AT115*$AM115+$AN115)*(1+$AU115)*(1+$AV115)+($AY115*IF($G$1="鸣金",$AO115,$AM115)+IF($G$1="鸣金",$AP115*1.5,0))*(1+$AZ115)*(1+$BA115)+($BC115*IF($G$1="裂石",$AO115,$AM115)+IF($G$1="裂石",$AP115*1.5,0))*(1+$BD115)*(1+$BE115)+($BG115*IF($G$1="牵丝",$AO115,$AM115)+IF($G$1="牵丝",$AP115*1.5,0))*(1+$BH115)*(1+$BI115)+($BK115*IF($G$1="破竹",$AO115,$AM115)+IF($G$1="破竹",$AP115*1.5,0))*(1+$BL115)*(1+$BM115))*(1+$AQ115)*$BR115*$P115*(1+IF(VLOOKUP($Q115,武学奇术!$A:$ZZ,30,FALSE)="蓄力技",$B$21,0))*(1+$BV115)</f>
        <v>0</v>
      </c>
      <c r="N115" s="40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P115*(1+IF(VLOOKUP($Q115,武学奇术!$A:$ZZ,30,FALSE)="蓄力技",$B$21,0))*(1+$BV115)</f>
        <v>0</v>
      </c>
      <c r="O115" s="40">
        <f>((($AS115*$AM115+$AN115)*(1+$AU115)*(1+$AV115)+($AX115*IF($G$1="鸣金",$AO115,$AM115)+IF($G$1="鸣金",$AP115*1.5,0))*(1+$AZ115)*(1+$BA115)+($BB115*IF($G$1="裂石",$AO115,$AM115)+IF($G$1="裂石",$AP115*1.5,0))*(1+$BD115)*(1+$BE115)+($BF115*IF($G$1="牵丝",$AO115,$AM115)+IF($G$1="牵丝",$AP115*1.5,0))*(1+$BH115)*(1+$BI115)+($BJ115*IF($G$1="破竹",$AO115,$AM115)+IF($G$1="破竹",$AP115*1.5,0))*(1+$BL115)*(1+$BM115))*(1+$AQ115))*$P115*(1+IF(VLOOKUP($Q115,武学奇术!$A:$ZZ,30,FALSE)="蓄力技",$B$21,0))*(1+$BV115)</f>
        <v>0</v>
      </c>
      <c r="P115" s="41">
        <v>1</v>
      </c>
      <c r="Q115" s="42" t="s">
        <v>77</v>
      </c>
      <c r="R115" s="42" t="s">
        <v>77</v>
      </c>
      <c r="S115" s="42" t="s">
        <v>77</v>
      </c>
      <c r="T115" s="42" t="s">
        <v>77</v>
      </c>
      <c r="U115" s="42" t="s">
        <v>77</v>
      </c>
      <c r="V115" s="42" t="s">
        <v>77</v>
      </c>
      <c r="W115" s="42" t="s">
        <v>77</v>
      </c>
      <c r="X115" s="42" t="s">
        <v>77</v>
      </c>
      <c r="Y115" s="42" t="s">
        <v>77</v>
      </c>
      <c r="Z115" s="42" t="s">
        <v>77</v>
      </c>
      <c r="AA115" s="42" t="s">
        <v>77</v>
      </c>
      <c r="AB115" s="42" t="s">
        <v>77</v>
      </c>
      <c r="AC115" s="42" t="s">
        <v>77</v>
      </c>
      <c r="AD115" s="42" t="s">
        <v>77</v>
      </c>
      <c r="AE115" s="42" t="s">
        <v>81</v>
      </c>
      <c r="AF115" s="42" t="s">
        <v>82</v>
      </c>
      <c r="AG115" s="42" t="s">
        <v>77</v>
      </c>
      <c r="AH115" s="42" t="s">
        <v>77</v>
      </c>
      <c r="AI115" s="42" t="s">
        <v>77</v>
      </c>
      <c r="AJ115" s="42" t="s">
        <v>77</v>
      </c>
      <c r="AK115" s="42" t="s">
        <v>77</v>
      </c>
      <c r="AL115" t="str">
        <f>VLOOKUP($Q115,武学奇术!$A:$ZZ,25,FALSE)</f>
        <v>心法</v>
      </c>
      <c r="AM115" s="27">
        <f>VLOOKUP($Q115,武学奇术!$A:$ZZ,26,FALSE)</f>
        <v>0</v>
      </c>
      <c r="AN115" s="28">
        <f>VLOOKUP($Q115,武学奇术!$A:$ZZ,27,FALSE)*(1+IF(OR($AL115=$F$4,$AL115=$F$5),$B$22,0))</f>
        <v>0</v>
      </c>
      <c r="AO115" s="27">
        <f>VLOOKUP($Q115,武学奇术!$A:$ZZ,28,FALSE)</f>
        <v>0</v>
      </c>
      <c r="AP115" s="28">
        <f>VLOOKUP($Q115,武学奇术!$A:$ZZ,29,FALSE)*(1+IF(OR($AL115=$F$4,$AL115=$F$5),$B$22,0))</f>
        <v>0</v>
      </c>
      <c r="AQ115" s="27" cm="1">
        <f t="array" ref="AQ115">$G$3+IFERROR(VLOOKUP($AL115,$F$4:$G$7,2,FALSE),0)+VLOOKUP($Q115,武学奇术!$A:$ZZ,2,FALSE)+SUM(_xlfn.XLOOKUP($R115:$AK115,增益!$A:$A,增益!$B:$B,0))</f>
        <v>0.2337</v>
      </c>
      <c r="AR115" s="27" cm="1">
        <f t="array" ref="AR115">VLOOKUP($Q115,武学奇术!$A:$ZZ,5,FALSE)+SUM(_xlfn.XLOOKUP($R115:$AK115,增益!$A:$A,增益!$E:$E,0))</f>
        <v>0</v>
      </c>
      <c r="AS115" cm="1">
        <f t="array" ref="AS115">$D$10*(1+$AR115)+VLOOKUP($Q115,武学奇术!$A:$ZZ,3,FALSE)+SUM(_xlfn.XLOOKUP($R115:$AK115,增益!$A:$A,增益!$C:$C,0))-$I$2</f>
        <v>3586.7</v>
      </c>
      <c r="AT115" cm="1">
        <f t="array" ref="AT115">$E$10*(1+$AR115)+VLOOKUP($Q115,武学奇术!$A:$ZZ,4,FALSE)+SUM(_xlfn.XLOOKUP($R115:$AK115,增益!$A:$A,增益!$D:$D,0))-$I$2</f>
        <v>3586.7</v>
      </c>
      <c r="AU115" s="34" cm="1">
        <f t="array" ref="AU115">IF($F$10-$I$3+VLOOKUP($Q115,武学奇术!$A:$ZZ,6,FALSE)+SUM(_xlfn.XLOOKUP($R115:$AK115,增益!$A:$A,增益!$F:$F,0))&gt;0,($F$10-$I$3+VLOOKUP($Q115,武学奇术!$A:$ZZ,6,FALSE)+SUM(_xlfn.XLOOKUP($R115:$AK115,增益!$A:$A,增益!$F:$F,0)))/200,($F$10-$I$3+VLOOKUP($Q115,武学奇术!$A:$ZZ,6,FALSE)+SUM(_xlfn.XLOOKUP($R115:$AK115,增益!$A:$A,增益!$F:$F,0)))/100)</f>
        <v>0.227</v>
      </c>
      <c r="AV115" s="34" cm="1">
        <f t="array" ref="AV115">$G$10+VLOOKUP($Q115,武学奇术!$A:$ZZ,7,FALSE)+SUM(_xlfn.XLOOKUP($R115:$AK115,增益!$A:$A,增益!$G:$G,0))</f>
        <v>0</v>
      </c>
      <c r="AW115" s="27" cm="1">
        <f t="array" ref="AW115">VLOOKUP($Q115,武学奇术!$A:$ZZ,8,FALSE)+SUM(_xlfn.XLOOKUP($R115:$AK115,增益!$A:$A,增益!$H:$H,0))</f>
        <v>0</v>
      </c>
      <c r="AX115">
        <f t="shared" si="12"/>
        <v>0</v>
      </c>
      <c r="AY115">
        <f t="shared" si="13"/>
        <v>0</v>
      </c>
      <c r="AZ115" s="34" cm="1">
        <f t="array" ref="AZ115">IF($F$11-$I$4+VLOOKUP($Q115,武学奇术!$A:$ZZ,9,FALSE)+SUM(_xlfn.XLOOKUP($R115:$AK115,增益!$A:$A,增益!$I:$I,0))&gt;0,($F$11-$I$4+VLOOKUP($Q115,武学奇术!$A:$ZZ,9,FALSE)+SUM(_xlfn.XLOOKUP($R115:$AK115,增益!$A:$A,增益!$I:$I,0)))/200,($F$11-$I$4+VLOOKUP($Q115,武学奇术!$A:$ZZ,9,FALSE)+SUM(_xlfn.XLOOKUP($R115:$AK115,增益!$A:$A,增益!$I:$I,0)))/100)</f>
        <v>-0.3</v>
      </c>
      <c r="BA115" s="34" cm="1">
        <f t="array" ref="BA115">$G$11+VLOOKUP($Q115,武学奇术!$A:$ZZ,10,FALSE)+SUM(_xlfn.XLOOKUP($R115:$AK115,增益!$A:$A,增益!$J:$J,0))</f>
        <v>0</v>
      </c>
      <c r="BB115">
        <f t="shared" si="14"/>
        <v>594.1</v>
      </c>
      <c r="BC115">
        <f t="shared" si="15"/>
        <v>1604.9</v>
      </c>
      <c r="BD115" s="34" cm="1">
        <f t="array" ref="BD115">IF($F$12-$I$4+VLOOKUP($Q115,武学奇术!$A:$ZZ,11,FALSE)+SUM(_xlfn.XLOOKUP($R115:$AK115,增益!$A:$A,增益!$K:$K,0))&gt;0,($F$12-$I$4+VLOOKUP($Q115,武学奇术!$A:$ZZ,11,FALSE)+SUM(_xlfn.XLOOKUP($R115:$AK115,增益!$A:$A,增益!$K:$K,0)))/200,($F$12-$I$4+VLOOKUP($Q115,武学奇术!$A:$ZZ,11,FALSE)+SUM(_xlfn.XLOOKUP($R115:$AK115,增益!$A:$A,增益!$K:$K,0)))/100)</f>
        <v>0.09</v>
      </c>
      <c r="BE115" s="34" cm="1">
        <f t="array" ref="BE115">$G$12+VLOOKUP($Q115,武学奇术!$A:$ZZ,12,FALSE)+SUM(_xlfn.XLOOKUP($R115:$AK115,增益!$A:$A,增益!$L:$L,0))</f>
        <v>0.15</v>
      </c>
      <c r="BF115">
        <f t="shared" si="16"/>
        <v>0</v>
      </c>
      <c r="BG115">
        <f t="shared" si="17"/>
        <v>0</v>
      </c>
      <c r="BH115" s="34" cm="1">
        <f t="array" ref="BH115">IF($F$13-$I$4+VLOOKUP($Q115,武学奇术!$A:$ZZ,13,FALSE)+SUM(_xlfn.XLOOKUP($R115:$AK115,增益!$A:$A,增益!$M:$M,0))&gt;0,($F$13-$I$4+VLOOKUP($Q115,武学奇术!$A:$ZZ,13,FALSE)+SUM(_xlfn.XLOOKUP($R115:$AK115,增益!$A:$A,增益!$K:$K,0)))/200,($F$13-$I$4+VLOOKUP($Q115,武学奇术!$A:$ZZ,13,FALSE)+SUM(_xlfn.XLOOKUP($R115:$AK115,增益!$A:$A,增益!$M:$M,0)))/100)</f>
        <v>-0.3</v>
      </c>
      <c r="BI115" s="34" cm="1">
        <f t="array" ref="BI115">$G$13+VLOOKUP($Q115,武学奇术!$A:$ZZ,14,FALSE)+SUM(_xlfn.XLOOKUP($R115:$AK115,增益!$A:$A,增益!$N:$N,0))</f>
        <v>0</v>
      </c>
      <c r="BJ115">
        <f t="shared" si="18"/>
        <v>0</v>
      </c>
      <c r="BK115">
        <f t="shared" si="19"/>
        <v>0</v>
      </c>
      <c r="BL115" s="34" cm="1">
        <f t="array" ref="BL115">IF($F$14-$I$4+VLOOKUP($Q115,武学奇术!$A:$ZZ,15,FALSE)+SUM(_xlfn.XLOOKUP($R115:$AK115,增益!$A:$A,增益!$O:$O,0))&gt;0,($F$14-$I$4+VLOOKUP($Q115,武学奇术!$A:$ZZ,15,FALSE)+SUM(_xlfn.XLOOKUP($R115:$AK115,增益!$A:$A,增益!$O:$O,0)))/200,($F$14-$I$4+VLOOKUP($Q115,武学奇术!$A:$ZZ,15,FALSE)+SUM(_xlfn.XLOOKUP($R115:$AK115,增益!$A:$A,增益!$O:$O,0)))/100)</f>
        <v>-0.3</v>
      </c>
      <c r="BM115" s="34" cm="1">
        <f t="array" ref="BM115">$G$14+VLOOKUP($Q115,武学奇术!$A:$ZZ,16,FALSE)+SUM(_xlfn.XLOOKUP($R115:$AK115,增益!$A:$A,增益!$P:$P,0))</f>
        <v>0</v>
      </c>
      <c r="BN115" s="27">
        <f>MIN(IF(VLOOKUP($Q115,武学奇术!$A:$ZZ,23,FALSE)=1,100%,$B$8),100%)</f>
        <v>0.9859</v>
      </c>
      <c r="BO115" s="27" cm="1">
        <f t="array" ref="BO115">IF(VLOOKUP($Q115,武学奇术!$A:$ZZ,23,FALSE)=1,100%,MIN(80%,$B$9+VLOOKUP($Q115,武学奇术!$A:$ZZ,17,FALSE)+SUM(_xlfn.XLOOKUP($R115:$AK115,增益!$A:$A,增益!$Q:$Q,0)))+$B$11+SUM(_xlfn.XLOOKUP($R115:$AK115,增益!$A:$A,增益!$U:$U,0)))*IF(VLOOKUP($Q115,武学奇术!$A:$ZZ,24,FALSE)=1,0,1)</f>
        <v>0.8912</v>
      </c>
      <c r="BP115" s="27" cm="1">
        <f t="array" ref="BP115">1+$B$13+VLOOKUP($Q115,武学奇术!$A:$ZZ,18,FALSE)+SUM(_xlfn.XLOOKUP($R115:$AK115,增益!$A:$A,增益!$R:$R,0))</f>
        <v>1.54</v>
      </c>
      <c r="BQ115" s="27" cm="1">
        <f t="array" ref="BQ115">IF(VLOOKUP($Q115,武学奇术!$A:$ZZ,24,FALSE)=1,100%,MIN(40%,$B$10+VLOOKUP($Q115,武学奇术!$A:$ZZ,19,FALSE)+SUM(_xlfn.XLOOKUP($R115:$AK115,增益!$A:$A,增益!$S:$S,0)))+$B$12+SUM(_xlfn.XLOOKUP($R115:$AK115,增益!$A:$A,增益!$V:$V,0)))*IF(VLOOKUP($Q115,武学奇术!$A:$ZZ,23,FALSE)=1,0,1)</f>
        <v>0.0929</v>
      </c>
      <c r="BR115" s="27" cm="1">
        <f t="array" ref="BR115">1+$B$14+VLOOKUP($Q115,武学奇术!$A:$ZZ,20,FALSE)+SUM(_xlfn.XLOOKUP($R115:$AK115,增益!$A:$A,增益!$T:$T,0))</f>
        <v>1.35</v>
      </c>
      <c r="BS115" s="27">
        <f t="shared" si="20"/>
        <v>0.87863408</v>
      </c>
      <c r="BT115" s="27">
        <f t="shared" si="21"/>
        <v>0.01567581</v>
      </c>
      <c r="BU115" s="27">
        <f>IF(VLOOKUP($Q115,武学奇术!$A:$ZZ,22,FALSE)=1,0,(1-$BN115))*(1-$BQ115)</f>
        <v>0.01279011</v>
      </c>
      <c r="BV115" s="27" cm="1">
        <f t="array" ref="BV115">SUM(_xlfn.XLOOKUP($R115:$AK115,增益!$A:$A,增益!$W:$W,0))+$I$5</f>
        <v>0.11</v>
      </c>
    </row>
    <row r="116" spans="11:74">
      <c r="K116" s="40">
        <f t="shared" si="11"/>
        <v>0</v>
      </c>
      <c r="L116" s="40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BP116*$P116*(1+IF(VLOOKUP($Q116,武学奇术!$A:$ZZ,30,FALSE)="蓄力技",$B$21,0))*(1+$BV116)</f>
        <v>0</v>
      </c>
      <c r="M116" s="40">
        <f>(($AT116*$AM116+$AN116)*(1+$AU116)*(1+$AV116)+($AY116*IF($G$1="鸣金",$AO116,$AM116)+IF($G$1="鸣金",$AP116*1.5,0))*(1+$AZ116)*(1+$BA116)+($BC116*IF($G$1="裂石",$AO116,$AM116)+IF($G$1="裂石",$AP116*1.5,0))*(1+$BD116)*(1+$BE116)+($BG116*IF($G$1="牵丝",$AO116,$AM116)+IF($G$1="牵丝",$AP116*1.5,0))*(1+$BH116)*(1+$BI116)+($BK116*IF($G$1="破竹",$AO116,$AM116)+IF($G$1="破竹",$AP116*1.5,0))*(1+$BL116)*(1+$BM116))*(1+$AQ116)*$BR116*$P116*(1+IF(VLOOKUP($Q116,武学奇术!$A:$ZZ,30,FALSE)="蓄力技",$B$21,0))*(1+$BV116)</f>
        <v>0</v>
      </c>
      <c r="N116" s="40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P116*(1+IF(VLOOKUP($Q116,武学奇术!$A:$ZZ,30,FALSE)="蓄力技",$B$21,0))*(1+$BV116)</f>
        <v>0</v>
      </c>
      <c r="O116" s="40">
        <f>((($AS116*$AM116+$AN116)*(1+$AU116)*(1+$AV116)+($AX116*IF($G$1="鸣金",$AO116,$AM116)+IF($G$1="鸣金",$AP116*1.5,0))*(1+$AZ116)*(1+$BA116)+($BB116*IF($G$1="裂石",$AO116,$AM116)+IF($G$1="裂石",$AP116*1.5,0))*(1+$BD116)*(1+$BE116)+($BF116*IF($G$1="牵丝",$AO116,$AM116)+IF($G$1="牵丝",$AP116*1.5,0))*(1+$BH116)*(1+$BI116)+($BJ116*IF($G$1="破竹",$AO116,$AM116)+IF($G$1="破竹",$AP116*1.5,0))*(1+$BL116)*(1+$BM116))*(1+$AQ116))*$P116*(1+IF(VLOOKUP($Q116,武学奇术!$A:$ZZ,30,FALSE)="蓄力技",$B$21,0))*(1+$BV116)</f>
        <v>0</v>
      </c>
      <c r="P116" s="41">
        <v>1</v>
      </c>
      <c r="Q116" s="42" t="s">
        <v>77</v>
      </c>
      <c r="R116" s="42" t="s">
        <v>77</v>
      </c>
      <c r="S116" s="42" t="s">
        <v>77</v>
      </c>
      <c r="T116" s="42" t="s">
        <v>77</v>
      </c>
      <c r="U116" s="42" t="s">
        <v>77</v>
      </c>
      <c r="V116" s="42" t="s">
        <v>77</v>
      </c>
      <c r="W116" s="42" t="s">
        <v>77</v>
      </c>
      <c r="X116" s="42" t="s">
        <v>77</v>
      </c>
      <c r="Y116" s="42" t="s">
        <v>77</v>
      </c>
      <c r="Z116" s="42" t="s">
        <v>77</v>
      </c>
      <c r="AA116" s="42" t="s">
        <v>77</v>
      </c>
      <c r="AB116" s="42" t="s">
        <v>77</v>
      </c>
      <c r="AC116" s="42" t="s">
        <v>77</v>
      </c>
      <c r="AD116" s="42" t="s">
        <v>77</v>
      </c>
      <c r="AE116" s="42" t="s">
        <v>81</v>
      </c>
      <c r="AF116" s="42" t="s">
        <v>82</v>
      </c>
      <c r="AG116" s="42" t="s">
        <v>77</v>
      </c>
      <c r="AH116" s="42" t="s">
        <v>77</v>
      </c>
      <c r="AI116" s="42" t="s">
        <v>77</v>
      </c>
      <c r="AJ116" s="42" t="s">
        <v>77</v>
      </c>
      <c r="AK116" s="42" t="s">
        <v>77</v>
      </c>
      <c r="AL116" t="str">
        <f>VLOOKUP($Q116,武学奇术!$A:$ZZ,25,FALSE)</f>
        <v>心法</v>
      </c>
      <c r="AM116" s="27">
        <f>VLOOKUP($Q116,武学奇术!$A:$ZZ,26,FALSE)</f>
        <v>0</v>
      </c>
      <c r="AN116" s="28">
        <f>VLOOKUP($Q116,武学奇术!$A:$ZZ,27,FALSE)*(1+IF(OR($AL116=$F$4,$AL116=$F$5),$B$22,0))</f>
        <v>0</v>
      </c>
      <c r="AO116" s="27">
        <f>VLOOKUP($Q116,武学奇术!$A:$ZZ,28,FALSE)</f>
        <v>0</v>
      </c>
      <c r="AP116" s="28">
        <f>VLOOKUP($Q116,武学奇术!$A:$ZZ,29,FALSE)*(1+IF(OR($AL116=$F$4,$AL116=$F$5),$B$22,0))</f>
        <v>0</v>
      </c>
      <c r="AQ116" s="27" cm="1">
        <f t="array" ref="AQ116">$G$3+IFERROR(VLOOKUP($AL116,$F$4:$G$7,2,FALSE),0)+VLOOKUP($Q116,武学奇术!$A:$ZZ,2,FALSE)+SUM(_xlfn.XLOOKUP($R116:$AK116,增益!$A:$A,增益!$B:$B,0))</f>
        <v>0.2337</v>
      </c>
      <c r="AR116" s="27" cm="1">
        <f t="array" ref="AR116">VLOOKUP($Q116,武学奇术!$A:$ZZ,5,FALSE)+SUM(_xlfn.XLOOKUP($R116:$AK116,增益!$A:$A,增益!$E:$E,0))</f>
        <v>0</v>
      </c>
      <c r="AS116" cm="1">
        <f t="array" ref="AS116">$D$10*(1+$AR116)+VLOOKUP($Q116,武学奇术!$A:$ZZ,3,FALSE)+SUM(_xlfn.XLOOKUP($R116:$AK116,增益!$A:$A,增益!$C:$C,0))-$I$2</f>
        <v>3586.7</v>
      </c>
      <c r="AT116" cm="1">
        <f t="array" ref="AT116">$E$10*(1+$AR116)+VLOOKUP($Q116,武学奇术!$A:$ZZ,4,FALSE)+SUM(_xlfn.XLOOKUP($R116:$AK116,增益!$A:$A,增益!$D:$D,0))-$I$2</f>
        <v>3586.7</v>
      </c>
      <c r="AU116" s="34" cm="1">
        <f t="array" ref="AU116">IF($F$10-$I$3+VLOOKUP($Q116,武学奇术!$A:$ZZ,6,FALSE)+SUM(_xlfn.XLOOKUP($R116:$AK116,增益!$A:$A,增益!$F:$F,0))&gt;0,($F$10-$I$3+VLOOKUP($Q116,武学奇术!$A:$ZZ,6,FALSE)+SUM(_xlfn.XLOOKUP($R116:$AK116,增益!$A:$A,增益!$F:$F,0)))/200,($F$10-$I$3+VLOOKUP($Q116,武学奇术!$A:$ZZ,6,FALSE)+SUM(_xlfn.XLOOKUP($R116:$AK116,增益!$A:$A,增益!$F:$F,0)))/100)</f>
        <v>0.227</v>
      </c>
      <c r="AV116" s="34" cm="1">
        <f t="array" ref="AV116">$G$10+VLOOKUP($Q116,武学奇术!$A:$ZZ,7,FALSE)+SUM(_xlfn.XLOOKUP($R116:$AK116,增益!$A:$A,增益!$G:$G,0))</f>
        <v>0</v>
      </c>
      <c r="AW116" s="27" cm="1">
        <f t="array" ref="AW116">VLOOKUP($Q116,武学奇术!$A:$ZZ,8,FALSE)+SUM(_xlfn.XLOOKUP($R116:$AK116,增益!$A:$A,增益!$H:$H,0))</f>
        <v>0</v>
      </c>
      <c r="AX116">
        <f t="shared" si="12"/>
        <v>0</v>
      </c>
      <c r="AY116">
        <f t="shared" si="13"/>
        <v>0</v>
      </c>
      <c r="AZ116" s="34" cm="1">
        <f t="array" ref="AZ116">IF($F$11-$I$4+VLOOKUP($Q116,武学奇术!$A:$ZZ,9,FALSE)+SUM(_xlfn.XLOOKUP($R116:$AK116,增益!$A:$A,增益!$I:$I,0))&gt;0,($F$11-$I$4+VLOOKUP($Q116,武学奇术!$A:$ZZ,9,FALSE)+SUM(_xlfn.XLOOKUP($R116:$AK116,增益!$A:$A,增益!$I:$I,0)))/200,($F$11-$I$4+VLOOKUP($Q116,武学奇术!$A:$ZZ,9,FALSE)+SUM(_xlfn.XLOOKUP($R116:$AK116,增益!$A:$A,增益!$I:$I,0)))/100)</f>
        <v>-0.3</v>
      </c>
      <c r="BA116" s="34" cm="1">
        <f t="array" ref="BA116">$G$11+VLOOKUP($Q116,武学奇术!$A:$ZZ,10,FALSE)+SUM(_xlfn.XLOOKUP($R116:$AK116,增益!$A:$A,增益!$J:$J,0))</f>
        <v>0</v>
      </c>
      <c r="BB116">
        <f t="shared" si="14"/>
        <v>594.1</v>
      </c>
      <c r="BC116">
        <f t="shared" si="15"/>
        <v>1604.9</v>
      </c>
      <c r="BD116" s="34" cm="1">
        <f t="array" ref="BD116">IF($F$12-$I$4+VLOOKUP($Q116,武学奇术!$A:$ZZ,11,FALSE)+SUM(_xlfn.XLOOKUP($R116:$AK116,增益!$A:$A,增益!$K:$K,0))&gt;0,($F$12-$I$4+VLOOKUP($Q116,武学奇术!$A:$ZZ,11,FALSE)+SUM(_xlfn.XLOOKUP($R116:$AK116,增益!$A:$A,增益!$K:$K,0)))/200,($F$12-$I$4+VLOOKUP($Q116,武学奇术!$A:$ZZ,11,FALSE)+SUM(_xlfn.XLOOKUP($R116:$AK116,增益!$A:$A,增益!$K:$K,0)))/100)</f>
        <v>0.09</v>
      </c>
      <c r="BE116" s="34" cm="1">
        <f t="array" ref="BE116">$G$12+VLOOKUP($Q116,武学奇术!$A:$ZZ,12,FALSE)+SUM(_xlfn.XLOOKUP($R116:$AK116,增益!$A:$A,增益!$L:$L,0))</f>
        <v>0.15</v>
      </c>
      <c r="BF116">
        <f t="shared" si="16"/>
        <v>0</v>
      </c>
      <c r="BG116">
        <f t="shared" si="17"/>
        <v>0</v>
      </c>
      <c r="BH116" s="34" cm="1">
        <f t="array" ref="BH116">IF($F$13-$I$4+VLOOKUP($Q116,武学奇术!$A:$ZZ,13,FALSE)+SUM(_xlfn.XLOOKUP($R116:$AK116,增益!$A:$A,增益!$M:$M,0))&gt;0,($F$13-$I$4+VLOOKUP($Q116,武学奇术!$A:$ZZ,13,FALSE)+SUM(_xlfn.XLOOKUP($R116:$AK116,增益!$A:$A,增益!$K:$K,0)))/200,($F$13-$I$4+VLOOKUP($Q116,武学奇术!$A:$ZZ,13,FALSE)+SUM(_xlfn.XLOOKUP($R116:$AK116,增益!$A:$A,增益!$M:$M,0)))/100)</f>
        <v>-0.3</v>
      </c>
      <c r="BI116" s="34" cm="1">
        <f t="array" ref="BI116">$G$13+VLOOKUP($Q116,武学奇术!$A:$ZZ,14,FALSE)+SUM(_xlfn.XLOOKUP($R116:$AK116,增益!$A:$A,增益!$N:$N,0))</f>
        <v>0</v>
      </c>
      <c r="BJ116">
        <f t="shared" si="18"/>
        <v>0</v>
      </c>
      <c r="BK116">
        <f t="shared" si="19"/>
        <v>0</v>
      </c>
      <c r="BL116" s="34" cm="1">
        <f t="array" ref="BL116">IF($F$14-$I$4+VLOOKUP($Q116,武学奇术!$A:$ZZ,15,FALSE)+SUM(_xlfn.XLOOKUP($R116:$AK116,增益!$A:$A,增益!$O:$O,0))&gt;0,($F$14-$I$4+VLOOKUP($Q116,武学奇术!$A:$ZZ,15,FALSE)+SUM(_xlfn.XLOOKUP($R116:$AK116,增益!$A:$A,增益!$O:$O,0)))/200,($F$14-$I$4+VLOOKUP($Q116,武学奇术!$A:$ZZ,15,FALSE)+SUM(_xlfn.XLOOKUP($R116:$AK116,增益!$A:$A,增益!$O:$O,0)))/100)</f>
        <v>-0.3</v>
      </c>
      <c r="BM116" s="34" cm="1">
        <f t="array" ref="BM116">$G$14+VLOOKUP($Q116,武学奇术!$A:$ZZ,16,FALSE)+SUM(_xlfn.XLOOKUP($R116:$AK116,增益!$A:$A,增益!$P:$P,0))</f>
        <v>0</v>
      </c>
      <c r="BN116" s="27">
        <f>MIN(IF(VLOOKUP($Q116,武学奇术!$A:$ZZ,23,FALSE)=1,100%,$B$8),100%)</f>
        <v>0.9859</v>
      </c>
      <c r="BO116" s="27" cm="1">
        <f t="array" ref="BO116">IF(VLOOKUP($Q116,武学奇术!$A:$ZZ,23,FALSE)=1,100%,MIN(80%,$B$9+VLOOKUP($Q116,武学奇术!$A:$ZZ,17,FALSE)+SUM(_xlfn.XLOOKUP($R116:$AK116,增益!$A:$A,增益!$Q:$Q,0)))+$B$11+SUM(_xlfn.XLOOKUP($R116:$AK116,增益!$A:$A,增益!$U:$U,0)))*IF(VLOOKUP($Q116,武学奇术!$A:$ZZ,24,FALSE)=1,0,1)</f>
        <v>0.8912</v>
      </c>
      <c r="BP116" s="27" cm="1">
        <f t="array" ref="BP116">1+$B$13+VLOOKUP($Q116,武学奇术!$A:$ZZ,18,FALSE)+SUM(_xlfn.XLOOKUP($R116:$AK116,增益!$A:$A,增益!$R:$R,0))</f>
        <v>1.54</v>
      </c>
      <c r="BQ116" s="27" cm="1">
        <f t="array" ref="BQ116">IF(VLOOKUP($Q116,武学奇术!$A:$ZZ,24,FALSE)=1,100%,MIN(40%,$B$10+VLOOKUP($Q116,武学奇术!$A:$ZZ,19,FALSE)+SUM(_xlfn.XLOOKUP($R116:$AK116,增益!$A:$A,增益!$S:$S,0)))+$B$12+SUM(_xlfn.XLOOKUP($R116:$AK116,增益!$A:$A,增益!$V:$V,0)))*IF(VLOOKUP($Q116,武学奇术!$A:$ZZ,23,FALSE)=1,0,1)</f>
        <v>0.0929</v>
      </c>
      <c r="BR116" s="27" cm="1">
        <f t="array" ref="BR116">1+$B$14+VLOOKUP($Q116,武学奇术!$A:$ZZ,20,FALSE)+SUM(_xlfn.XLOOKUP($R116:$AK116,增益!$A:$A,增益!$T:$T,0))</f>
        <v>1.35</v>
      </c>
      <c r="BS116" s="27">
        <f t="shared" si="20"/>
        <v>0.87863408</v>
      </c>
      <c r="BT116" s="27">
        <f t="shared" si="21"/>
        <v>0.01567581</v>
      </c>
      <c r="BU116" s="27">
        <f>IF(VLOOKUP($Q116,武学奇术!$A:$ZZ,22,FALSE)=1,0,(1-$BN116))*(1-$BQ116)</f>
        <v>0.01279011</v>
      </c>
      <c r="BV116" s="27" cm="1">
        <f t="array" ref="BV116">SUM(_xlfn.XLOOKUP($R116:$AK116,增益!$A:$A,增益!$W:$W,0))+$I$5</f>
        <v>0.11</v>
      </c>
    </row>
    <row r="117" spans="11:74">
      <c r="K117" s="40">
        <f t="shared" si="11"/>
        <v>0</v>
      </c>
      <c r="L117" s="40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BP117*$P117*(1+IF(VLOOKUP($Q117,武学奇术!$A:$ZZ,30,FALSE)="蓄力技",$B$21,0))*(1+$BV117)</f>
        <v>0</v>
      </c>
      <c r="M117" s="40">
        <f>(($AT117*$AM117+$AN117)*(1+$AU117)*(1+$AV117)+($AY117*IF($G$1="鸣金",$AO117,$AM117)+IF($G$1="鸣金",$AP117*1.5,0))*(1+$AZ117)*(1+$BA117)+($BC117*IF($G$1="裂石",$AO117,$AM117)+IF($G$1="裂石",$AP117*1.5,0))*(1+$BD117)*(1+$BE117)+($BG117*IF($G$1="牵丝",$AO117,$AM117)+IF($G$1="牵丝",$AP117*1.5,0))*(1+$BH117)*(1+$BI117)+($BK117*IF($G$1="破竹",$AO117,$AM117)+IF($G$1="破竹",$AP117*1.5,0))*(1+$BL117)*(1+$BM117))*(1+$AQ117)*$BR117*$P117*(1+IF(VLOOKUP($Q117,武学奇术!$A:$ZZ,30,FALSE)="蓄力技",$B$21,0))*(1+$BV117)</f>
        <v>0</v>
      </c>
      <c r="N117" s="40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P117*(1+IF(VLOOKUP($Q117,武学奇术!$A:$ZZ,30,FALSE)="蓄力技",$B$21,0))*(1+$BV117)</f>
        <v>0</v>
      </c>
      <c r="O117" s="40">
        <f>((($AS117*$AM117+$AN117)*(1+$AU117)*(1+$AV117)+($AX117*IF($G$1="鸣金",$AO117,$AM117)+IF($G$1="鸣金",$AP117*1.5,0))*(1+$AZ117)*(1+$BA117)+($BB117*IF($G$1="裂石",$AO117,$AM117)+IF($G$1="裂石",$AP117*1.5,0))*(1+$BD117)*(1+$BE117)+($BF117*IF($G$1="牵丝",$AO117,$AM117)+IF($G$1="牵丝",$AP117*1.5,0))*(1+$BH117)*(1+$BI117)+($BJ117*IF($G$1="破竹",$AO117,$AM117)+IF($G$1="破竹",$AP117*1.5,0))*(1+$BL117)*(1+$BM117))*(1+$AQ117))*$P117*(1+IF(VLOOKUP($Q117,武学奇术!$A:$ZZ,30,FALSE)="蓄力技",$B$21,0))*(1+$BV117)</f>
        <v>0</v>
      </c>
      <c r="P117" s="41">
        <v>1</v>
      </c>
      <c r="Q117" s="42" t="s">
        <v>77</v>
      </c>
      <c r="R117" s="42" t="s">
        <v>77</v>
      </c>
      <c r="S117" s="42" t="s">
        <v>77</v>
      </c>
      <c r="T117" s="42" t="s">
        <v>77</v>
      </c>
      <c r="U117" s="42" t="s">
        <v>77</v>
      </c>
      <c r="V117" s="42" t="s">
        <v>77</v>
      </c>
      <c r="W117" s="42" t="s">
        <v>77</v>
      </c>
      <c r="X117" s="42" t="s">
        <v>77</v>
      </c>
      <c r="Y117" s="42" t="s">
        <v>77</v>
      </c>
      <c r="Z117" s="42" t="s">
        <v>77</v>
      </c>
      <c r="AA117" s="42" t="s">
        <v>77</v>
      </c>
      <c r="AB117" s="42" t="s">
        <v>77</v>
      </c>
      <c r="AC117" s="42" t="s">
        <v>77</v>
      </c>
      <c r="AD117" s="42" t="s">
        <v>77</v>
      </c>
      <c r="AE117" s="42" t="s">
        <v>81</v>
      </c>
      <c r="AF117" s="42" t="s">
        <v>82</v>
      </c>
      <c r="AG117" s="42" t="s">
        <v>77</v>
      </c>
      <c r="AH117" s="42" t="s">
        <v>77</v>
      </c>
      <c r="AI117" s="42" t="s">
        <v>77</v>
      </c>
      <c r="AJ117" s="42" t="s">
        <v>77</v>
      </c>
      <c r="AK117" s="42" t="s">
        <v>77</v>
      </c>
      <c r="AL117" t="str">
        <f>VLOOKUP($Q117,武学奇术!$A:$ZZ,25,FALSE)</f>
        <v>心法</v>
      </c>
      <c r="AM117" s="27">
        <f>VLOOKUP($Q117,武学奇术!$A:$ZZ,26,FALSE)</f>
        <v>0</v>
      </c>
      <c r="AN117" s="28">
        <f>VLOOKUP($Q117,武学奇术!$A:$ZZ,27,FALSE)*(1+IF(OR($AL117=$F$4,$AL117=$F$5),$B$22,0))</f>
        <v>0</v>
      </c>
      <c r="AO117" s="27">
        <f>VLOOKUP($Q117,武学奇术!$A:$ZZ,28,FALSE)</f>
        <v>0</v>
      </c>
      <c r="AP117" s="28">
        <f>VLOOKUP($Q117,武学奇术!$A:$ZZ,29,FALSE)*(1+IF(OR($AL117=$F$4,$AL117=$F$5),$B$22,0))</f>
        <v>0</v>
      </c>
      <c r="AQ117" s="27" cm="1">
        <f t="array" ref="AQ117">$G$3+IFERROR(VLOOKUP($AL117,$F$4:$G$7,2,FALSE),0)+VLOOKUP($Q117,武学奇术!$A:$ZZ,2,FALSE)+SUM(_xlfn.XLOOKUP($R117:$AK117,增益!$A:$A,增益!$B:$B,0))</f>
        <v>0.2337</v>
      </c>
      <c r="AR117" s="27" cm="1">
        <f t="array" ref="AR117">VLOOKUP($Q117,武学奇术!$A:$ZZ,5,FALSE)+SUM(_xlfn.XLOOKUP($R117:$AK117,增益!$A:$A,增益!$E:$E,0))</f>
        <v>0</v>
      </c>
      <c r="AS117" cm="1">
        <f t="array" ref="AS117">$D$10*(1+$AR117)+VLOOKUP($Q117,武学奇术!$A:$ZZ,3,FALSE)+SUM(_xlfn.XLOOKUP($R117:$AK117,增益!$A:$A,增益!$C:$C,0))-$I$2</f>
        <v>3586.7</v>
      </c>
      <c r="AT117" cm="1">
        <f t="array" ref="AT117">$E$10*(1+$AR117)+VLOOKUP($Q117,武学奇术!$A:$ZZ,4,FALSE)+SUM(_xlfn.XLOOKUP($R117:$AK117,增益!$A:$A,增益!$D:$D,0))-$I$2</f>
        <v>3586.7</v>
      </c>
      <c r="AU117" s="34" cm="1">
        <f t="array" ref="AU117">IF($F$10-$I$3+VLOOKUP($Q117,武学奇术!$A:$ZZ,6,FALSE)+SUM(_xlfn.XLOOKUP($R117:$AK117,增益!$A:$A,增益!$F:$F,0))&gt;0,($F$10-$I$3+VLOOKUP($Q117,武学奇术!$A:$ZZ,6,FALSE)+SUM(_xlfn.XLOOKUP($R117:$AK117,增益!$A:$A,增益!$F:$F,0)))/200,($F$10-$I$3+VLOOKUP($Q117,武学奇术!$A:$ZZ,6,FALSE)+SUM(_xlfn.XLOOKUP($R117:$AK117,增益!$A:$A,增益!$F:$F,0)))/100)</f>
        <v>0.227</v>
      </c>
      <c r="AV117" s="34" cm="1">
        <f t="array" ref="AV117">$G$10+VLOOKUP($Q117,武学奇术!$A:$ZZ,7,FALSE)+SUM(_xlfn.XLOOKUP($R117:$AK117,增益!$A:$A,增益!$G:$G,0))</f>
        <v>0</v>
      </c>
      <c r="AW117" s="27" cm="1">
        <f t="array" ref="AW117">VLOOKUP($Q117,武学奇术!$A:$ZZ,8,FALSE)+SUM(_xlfn.XLOOKUP($R117:$AK117,增益!$A:$A,增益!$H:$H,0))</f>
        <v>0</v>
      </c>
      <c r="AX117">
        <f t="shared" si="12"/>
        <v>0</v>
      </c>
      <c r="AY117">
        <f t="shared" si="13"/>
        <v>0</v>
      </c>
      <c r="AZ117" s="34" cm="1">
        <f t="array" ref="AZ117">IF($F$11-$I$4+VLOOKUP($Q117,武学奇术!$A:$ZZ,9,FALSE)+SUM(_xlfn.XLOOKUP($R117:$AK117,增益!$A:$A,增益!$I:$I,0))&gt;0,($F$11-$I$4+VLOOKUP($Q117,武学奇术!$A:$ZZ,9,FALSE)+SUM(_xlfn.XLOOKUP($R117:$AK117,增益!$A:$A,增益!$I:$I,0)))/200,($F$11-$I$4+VLOOKUP($Q117,武学奇术!$A:$ZZ,9,FALSE)+SUM(_xlfn.XLOOKUP($R117:$AK117,增益!$A:$A,增益!$I:$I,0)))/100)</f>
        <v>-0.3</v>
      </c>
      <c r="BA117" s="34" cm="1">
        <f t="array" ref="BA117">$G$11+VLOOKUP($Q117,武学奇术!$A:$ZZ,10,FALSE)+SUM(_xlfn.XLOOKUP($R117:$AK117,增益!$A:$A,增益!$J:$J,0))</f>
        <v>0</v>
      </c>
      <c r="BB117">
        <f t="shared" si="14"/>
        <v>594.1</v>
      </c>
      <c r="BC117">
        <f t="shared" si="15"/>
        <v>1604.9</v>
      </c>
      <c r="BD117" s="34" cm="1">
        <f t="array" ref="BD117">IF($F$12-$I$4+VLOOKUP($Q117,武学奇术!$A:$ZZ,11,FALSE)+SUM(_xlfn.XLOOKUP($R117:$AK117,增益!$A:$A,增益!$K:$K,0))&gt;0,($F$12-$I$4+VLOOKUP($Q117,武学奇术!$A:$ZZ,11,FALSE)+SUM(_xlfn.XLOOKUP($R117:$AK117,增益!$A:$A,增益!$K:$K,0)))/200,($F$12-$I$4+VLOOKUP($Q117,武学奇术!$A:$ZZ,11,FALSE)+SUM(_xlfn.XLOOKUP($R117:$AK117,增益!$A:$A,增益!$K:$K,0)))/100)</f>
        <v>0.09</v>
      </c>
      <c r="BE117" s="34" cm="1">
        <f t="array" ref="BE117">$G$12+VLOOKUP($Q117,武学奇术!$A:$ZZ,12,FALSE)+SUM(_xlfn.XLOOKUP($R117:$AK117,增益!$A:$A,增益!$L:$L,0))</f>
        <v>0.15</v>
      </c>
      <c r="BF117">
        <f t="shared" si="16"/>
        <v>0</v>
      </c>
      <c r="BG117">
        <f t="shared" si="17"/>
        <v>0</v>
      </c>
      <c r="BH117" s="34" cm="1">
        <f t="array" ref="BH117">IF($F$13-$I$4+VLOOKUP($Q117,武学奇术!$A:$ZZ,13,FALSE)+SUM(_xlfn.XLOOKUP($R117:$AK117,增益!$A:$A,增益!$M:$M,0))&gt;0,($F$13-$I$4+VLOOKUP($Q117,武学奇术!$A:$ZZ,13,FALSE)+SUM(_xlfn.XLOOKUP($R117:$AK117,增益!$A:$A,增益!$K:$K,0)))/200,($F$13-$I$4+VLOOKUP($Q117,武学奇术!$A:$ZZ,13,FALSE)+SUM(_xlfn.XLOOKUP($R117:$AK117,增益!$A:$A,增益!$M:$M,0)))/100)</f>
        <v>-0.3</v>
      </c>
      <c r="BI117" s="34" cm="1">
        <f t="array" ref="BI117">$G$13+VLOOKUP($Q117,武学奇术!$A:$ZZ,14,FALSE)+SUM(_xlfn.XLOOKUP($R117:$AK117,增益!$A:$A,增益!$N:$N,0))</f>
        <v>0</v>
      </c>
      <c r="BJ117">
        <f t="shared" si="18"/>
        <v>0</v>
      </c>
      <c r="BK117">
        <f t="shared" si="19"/>
        <v>0</v>
      </c>
      <c r="BL117" s="34" cm="1">
        <f t="array" ref="BL117">IF($F$14-$I$4+VLOOKUP($Q117,武学奇术!$A:$ZZ,15,FALSE)+SUM(_xlfn.XLOOKUP($R117:$AK117,增益!$A:$A,增益!$O:$O,0))&gt;0,($F$14-$I$4+VLOOKUP($Q117,武学奇术!$A:$ZZ,15,FALSE)+SUM(_xlfn.XLOOKUP($R117:$AK117,增益!$A:$A,增益!$O:$O,0)))/200,($F$14-$I$4+VLOOKUP($Q117,武学奇术!$A:$ZZ,15,FALSE)+SUM(_xlfn.XLOOKUP($R117:$AK117,增益!$A:$A,增益!$O:$O,0)))/100)</f>
        <v>-0.3</v>
      </c>
      <c r="BM117" s="34" cm="1">
        <f t="array" ref="BM117">$G$14+VLOOKUP($Q117,武学奇术!$A:$ZZ,16,FALSE)+SUM(_xlfn.XLOOKUP($R117:$AK117,增益!$A:$A,增益!$P:$P,0))</f>
        <v>0</v>
      </c>
      <c r="BN117" s="27">
        <f>MIN(IF(VLOOKUP($Q117,武学奇术!$A:$ZZ,23,FALSE)=1,100%,$B$8),100%)</f>
        <v>0.9859</v>
      </c>
      <c r="BO117" s="27" cm="1">
        <f t="array" ref="BO117">IF(VLOOKUP($Q117,武学奇术!$A:$ZZ,23,FALSE)=1,100%,MIN(80%,$B$9+VLOOKUP($Q117,武学奇术!$A:$ZZ,17,FALSE)+SUM(_xlfn.XLOOKUP($R117:$AK117,增益!$A:$A,增益!$Q:$Q,0)))+$B$11+SUM(_xlfn.XLOOKUP($R117:$AK117,增益!$A:$A,增益!$U:$U,0)))*IF(VLOOKUP($Q117,武学奇术!$A:$ZZ,24,FALSE)=1,0,1)</f>
        <v>0.8912</v>
      </c>
      <c r="BP117" s="27" cm="1">
        <f t="array" ref="BP117">1+$B$13+VLOOKUP($Q117,武学奇术!$A:$ZZ,18,FALSE)+SUM(_xlfn.XLOOKUP($R117:$AK117,增益!$A:$A,增益!$R:$R,0))</f>
        <v>1.54</v>
      </c>
      <c r="BQ117" s="27" cm="1">
        <f t="array" ref="BQ117">IF(VLOOKUP($Q117,武学奇术!$A:$ZZ,24,FALSE)=1,100%,MIN(40%,$B$10+VLOOKUP($Q117,武学奇术!$A:$ZZ,19,FALSE)+SUM(_xlfn.XLOOKUP($R117:$AK117,增益!$A:$A,增益!$S:$S,0)))+$B$12+SUM(_xlfn.XLOOKUP($R117:$AK117,增益!$A:$A,增益!$V:$V,0)))*IF(VLOOKUP($Q117,武学奇术!$A:$ZZ,23,FALSE)=1,0,1)</f>
        <v>0.0929</v>
      </c>
      <c r="BR117" s="27" cm="1">
        <f t="array" ref="BR117">1+$B$14+VLOOKUP($Q117,武学奇术!$A:$ZZ,20,FALSE)+SUM(_xlfn.XLOOKUP($R117:$AK117,增益!$A:$A,增益!$T:$T,0))</f>
        <v>1.35</v>
      </c>
      <c r="BS117" s="27">
        <f t="shared" si="20"/>
        <v>0.87863408</v>
      </c>
      <c r="BT117" s="27">
        <f t="shared" si="21"/>
        <v>0.01567581</v>
      </c>
      <c r="BU117" s="27">
        <f>IF(VLOOKUP($Q117,武学奇术!$A:$ZZ,22,FALSE)=1,0,(1-$BN117))*(1-$BQ117)</f>
        <v>0.01279011</v>
      </c>
      <c r="BV117" s="27" cm="1">
        <f t="array" ref="BV117">SUM(_xlfn.XLOOKUP($R117:$AK117,增益!$A:$A,增益!$W:$W,0))+$I$5</f>
        <v>0.11</v>
      </c>
    </row>
    <row r="118" spans="11:74">
      <c r="K118" s="40">
        <f t="shared" si="11"/>
        <v>15652.6370773975</v>
      </c>
      <c r="L118" s="40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BP118*$P118*(1+IF(VLOOKUP($Q118,武学奇术!$A:$ZZ,30,FALSE)="蓄力技",$B$21,0))*(1+$BV118)</f>
        <v>16002.630408197</v>
      </c>
      <c r="M118" s="40">
        <f>(($AT118*$AM118+$AN118)*(1+$AU118)*(1+$AV118)+($AY118*IF($G$1="鸣金",$AO118,$AM118)+IF($G$1="鸣金",$AP118*1.5,0))*(1+$AZ118)*(1+$BA118)+($BC118*IF($G$1="裂石",$AO118,$AM118)+IF($G$1="裂石",$AP118*1.5,0))*(1+$BD118)*(1+$BE118)+($BG118*IF($G$1="牵丝",$AO118,$AM118)+IF($G$1="牵丝",$AP118*1.5,0))*(1+$BH118)*(1+$BI118)+($BK118*IF($G$1="破竹",$AO118,$AM118)+IF($G$1="破竹",$AP118*1.5,0))*(1+$BL118)*(1+$BM118))*(1+$AQ118)*$BR118*$P118*(1+IF(VLOOKUP($Q118,武学奇术!$A:$ZZ,30,FALSE)="蓄力技",$B$21,0))*(1+$BV118)</f>
        <v>14346.2532939596</v>
      </c>
      <c r="N118" s="40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P118*(1+IF(VLOOKUP($Q118,武学奇术!$A:$ZZ,30,FALSE)="蓄力技",$B$21,0))*(1+$BV118)</f>
        <v>9582.41341808205</v>
      </c>
      <c r="O118" s="40">
        <f>((($AS118*$AM118+$AN118)*(1+$AU118)*(1+$AV118)+($AX118*IF($G$1="鸣金",$AO118,$AM118)+IF($G$1="鸣金",$AP118*1.5,0))*(1+$AZ118)*(1+$BA118)+($BB118*IF($G$1="裂石",$AO118,$AM118)+IF($G$1="裂石",$AP118*1.5,0))*(1+$BD118)*(1+$BE118)+($BF118*IF($G$1="牵丝",$AO118,$AM118)+IF($G$1="牵丝",$AP118*1.5,0))*(1+$BH118)*(1+$BI118)+($BJ118*IF($G$1="破竹",$AO118,$AM118)+IF($G$1="破竹",$AP118*1.5,0))*(1+$BL118)*(1+$BM118))*(1+$AQ118))*$P118*(1+IF(VLOOKUP($Q118,武学奇术!$A:$ZZ,30,FALSE)="蓄力技",$B$21,0))*(1+$BV118)</f>
        <v>8537.97254434215</v>
      </c>
      <c r="P118" s="41">
        <f t="shared" ref="P118:P127" si="22">IF($E$22="易水歌",1,0)</f>
        <v>1</v>
      </c>
      <c r="Q118" s="42" t="s">
        <v>194</v>
      </c>
      <c r="R118" s="42" t="s">
        <v>103</v>
      </c>
      <c r="S118" s="42" t="s">
        <v>77</v>
      </c>
      <c r="T118" s="42" t="s">
        <v>86</v>
      </c>
      <c r="U118" s="42" t="s">
        <v>87</v>
      </c>
      <c r="V118" s="42" t="s">
        <v>77</v>
      </c>
      <c r="W118" s="42" t="s">
        <v>78</v>
      </c>
      <c r="X118" s="42" t="s">
        <v>94</v>
      </c>
      <c r="Y118" s="42" t="s">
        <v>77</v>
      </c>
      <c r="Z118" s="42" t="s">
        <v>77</v>
      </c>
      <c r="AA118" s="42" t="s">
        <v>77</v>
      </c>
      <c r="AB118" s="42" t="s">
        <v>77</v>
      </c>
      <c r="AC118" s="42" t="s">
        <v>77</v>
      </c>
      <c r="AD118" s="42" t="s">
        <v>77</v>
      </c>
      <c r="AE118" s="42" t="s">
        <v>81</v>
      </c>
      <c r="AF118" s="42" t="s">
        <v>82</v>
      </c>
      <c r="AG118" s="42" t="s">
        <v>77</v>
      </c>
      <c r="AH118" s="42" t="s">
        <v>77</v>
      </c>
      <c r="AI118" s="42" t="s">
        <v>77</v>
      </c>
      <c r="AJ118" s="42" t="s">
        <v>77</v>
      </c>
      <c r="AK118" s="42" t="s">
        <v>77</v>
      </c>
      <c r="AL118" t="str">
        <f>VLOOKUP($Q118,武学奇术!$A:$ZZ,25,FALSE)</f>
        <v>心法</v>
      </c>
      <c r="AM118" s="27">
        <f>VLOOKUP($Q118,武学奇术!$A:$ZZ,26,FALSE)</f>
        <v>1</v>
      </c>
      <c r="AN118" s="28">
        <f>VLOOKUP($Q118,武学奇术!$A:$ZZ,27,FALSE)*(1+IF(OR($AL118=$F$4,$AL118=$F$5),$B$22,0))</f>
        <v>0</v>
      </c>
      <c r="AO118" s="27">
        <f>VLOOKUP($Q118,武学奇术!$A:$ZZ,28,FALSE)</f>
        <v>1</v>
      </c>
      <c r="AP118" s="28">
        <f>VLOOKUP($Q118,武学奇术!$A:$ZZ,29,FALSE)*(1+IF(OR($AL118=$F$4,$AL118=$F$5),$B$22,0))</f>
        <v>0</v>
      </c>
      <c r="AQ118" s="27" cm="1">
        <f t="array" ref="AQ118">$G$3+IFERROR(VLOOKUP($AL118,$F$4:$G$7,2,FALSE),0)+VLOOKUP($Q118,武学奇术!$A:$ZZ,2,FALSE)+SUM(_xlfn.XLOOKUP($R118:$AK118,增益!$A:$A,增益!$B:$B,0))</f>
        <v>0.3837</v>
      </c>
      <c r="AR118" s="27" cm="1">
        <f t="array" ref="AR118">VLOOKUP($Q118,武学奇术!$A:$ZZ,5,FALSE)+SUM(_xlfn.XLOOKUP($R118:$AK118,增益!$A:$A,增益!$E:$E,0))</f>
        <v>0</v>
      </c>
      <c r="AS118" cm="1">
        <f t="array" ref="AS118">$D$10*(1+$AR118)+VLOOKUP($Q118,武学奇术!$A:$ZZ,3,FALSE)+SUM(_xlfn.XLOOKUP($R118:$AK118,增益!$A:$A,增益!$C:$C,0))-$I$2</f>
        <v>3586.7</v>
      </c>
      <c r="AT118" cm="1">
        <f t="array" ref="AT118">$E$10*(1+$AR118)+VLOOKUP($Q118,武学奇术!$A:$ZZ,4,FALSE)+SUM(_xlfn.XLOOKUP($R118:$AK118,增益!$A:$A,增益!$D:$D,0))-$I$2</f>
        <v>3586.7</v>
      </c>
      <c r="AU118" s="34" cm="1">
        <f t="array" ref="AU118">IF($F$10-$I$3+VLOOKUP($Q118,武学奇术!$A:$ZZ,6,FALSE)+SUM(_xlfn.XLOOKUP($R118:$AK118,增益!$A:$A,增益!$F:$F,0))&gt;0,($F$10-$I$3+VLOOKUP($Q118,武学奇术!$A:$ZZ,6,FALSE)+SUM(_xlfn.XLOOKUP($R118:$AK118,增益!$A:$A,增益!$F:$F,0)))/200,($F$10-$I$3+VLOOKUP($Q118,武学奇术!$A:$ZZ,6,FALSE)+SUM(_xlfn.XLOOKUP($R118:$AK118,增益!$A:$A,增益!$F:$F,0)))/100)</f>
        <v>0.327</v>
      </c>
      <c r="AV118" s="34" cm="1">
        <f t="array" ref="AV118">$G$10+VLOOKUP($Q118,武学奇术!$A:$ZZ,7,FALSE)+SUM(_xlfn.XLOOKUP($R118:$AK118,增益!$A:$A,增益!$G:$G,0))</f>
        <v>0</v>
      </c>
      <c r="AW118" s="27" cm="1">
        <f t="array" ref="AW118">VLOOKUP($Q118,武学奇术!$A:$ZZ,8,FALSE)+SUM(_xlfn.XLOOKUP($R118:$AK118,增益!$A:$A,增益!$H:$H,0))</f>
        <v>0</v>
      </c>
      <c r="AX118">
        <f t="shared" si="12"/>
        <v>0</v>
      </c>
      <c r="AY118">
        <f t="shared" si="13"/>
        <v>0</v>
      </c>
      <c r="AZ118" s="34" cm="1">
        <f t="array" ref="AZ118">IF($F$11-$I$4+VLOOKUP($Q118,武学奇术!$A:$ZZ,9,FALSE)+SUM(_xlfn.XLOOKUP($R118:$AK118,增益!$A:$A,增益!$I:$I,0))&gt;0,($F$11-$I$4+VLOOKUP($Q118,武学奇术!$A:$ZZ,9,FALSE)+SUM(_xlfn.XLOOKUP($R118:$AK118,增益!$A:$A,增益!$I:$I,0)))/200,($F$11-$I$4+VLOOKUP($Q118,武学奇术!$A:$ZZ,9,FALSE)+SUM(_xlfn.XLOOKUP($R118:$AK118,增益!$A:$A,增益!$I:$I,0)))/100)</f>
        <v>-0.14</v>
      </c>
      <c r="BA118" s="34" cm="1">
        <f t="array" ref="BA118">$G$11+VLOOKUP($Q118,武学奇术!$A:$ZZ,10,FALSE)+SUM(_xlfn.XLOOKUP($R118:$AK118,增益!$A:$A,增益!$J:$J,0))</f>
        <v>0</v>
      </c>
      <c r="BB118">
        <f t="shared" si="14"/>
        <v>594.1</v>
      </c>
      <c r="BC118">
        <f t="shared" si="15"/>
        <v>1604.9</v>
      </c>
      <c r="BD118" s="34" cm="1">
        <f t="array" ref="BD118">IF($F$12-$I$4+VLOOKUP($Q118,武学奇术!$A:$ZZ,11,FALSE)+SUM(_xlfn.XLOOKUP($R118:$AK118,增益!$A:$A,增益!$K:$K,0))&gt;0,($F$12-$I$4+VLOOKUP($Q118,武学奇术!$A:$ZZ,11,FALSE)+SUM(_xlfn.XLOOKUP($R118:$AK118,增益!$A:$A,增益!$K:$K,0)))/200,($F$12-$I$4+VLOOKUP($Q118,武学奇术!$A:$ZZ,11,FALSE)+SUM(_xlfn.XLOOKUP($R118:$AK118,增益!$A:$A,增益!$K:$K,0)))/100)</f>
        <v>0.17</v>
      </c>
      <c r="BE118" s="34" cm="1">
        <f t="array" ref="BE118">$G$12+VLOOKUP($Q118,武学奇术!$A:$ZZ,12,FALSE)+SUM(_xlfn.XLOOKUP($R118:$AK118,增益!$A:$A,增益!$L:$L,0))</f>
        <v>0.15</v>
      </c>
      <c r="BF118">
        <f t="shared" si="16"/>
        <v>0</v>
      </c>
      <c r="BG118">
        <f t="shared" si="17"/>
        <v>0</v>
      </c>
      <c r="BH118" s="34" cm="1">
        <f t="array" ref="BH118">IF($F$13-$I$4+VLOOKUP($Q118,武学奇术!$A:$ZZ,13,FALSE)+SUM(_xlfn.XLOOKUP($R118:$AK118,增益!$A:$A,增益!$M:$M,0))&gt;0,($F$13-$I$4+VLOOKUP($Q118,武学奇术!$A:$ZZ,13,FALSE)+SUM(_xlfn.XLOOKUP($R118:$AK118,增益!$A:$A,增益!$K:$K,0)))/200,($F$13-$I$4+VLOOKUP($Q118,武学奇术!$A:$ZZ,13,FALSE)+SUM(_xlfn.XLOOKUP($R118:$AK118,增益!$A:$A,增益!$M:$M,0)))/100)</f>
        <v>-0.14</v>
      </c>
      <c r="BI118" s="34" cm="1">
        <f t="array" ref="BI118">$G$13+VLOOKUP($Q118,武学奇术!$A:$ZZ,14,FALSE)+SUM(_xlfn.XLOOKUP($R118:$AK118,增益!$A:$A,增益!$N:$N,0))</f>
        <v>0</v>
      </c>
      <c r="BJ118">
        <f t="shared" si="18"/>
        <v>0</v>
      </c>
      <c r="BK118">
        <f t="shared" si="19"/>
        <v>0</v>
      </c>
      <c r="BL118" s="34" cm="1">
        <f t="array" ref="BL118">IF($F$14-$I$4+VLOOKUP($Q118,武学奇术!$A:$ZZ,15,FALSE)+SUM(_xlfn.XLOOKUP($R118:$AK118,增益!$A:$A,增益!$O:$O,0))&gt;0,($F$14-$I$4+VLOOKUP($Q118,武学奇术!$A:$ZZ,15,FALSE)+SUM(_xlfn.XLOOKUP($R118:$AK118,增益!$A:$A,增益!$O:$O,0)))/200,($F$14-$I$4+VLOOKUP($Q118,武学奇术!$A:$ZZ,15,FALSE)+SUM(_xlfn.XLOOKUP($R118:$AK118,增益!$A:$A,增益!$O:$O,0)))/100)</f>
        <v>-0.14</v>
      </c>
      <c r="BM118" s="34" cm="1">
        <f t="array" ref="BM118">$G$14+VLOOKUP($Q118,武学奇术!$A:$ZZ,16,FALSE)+SUM(_xlfn.XLOOKUP($R118:$AK118,增益!$A:$A,增益!$P:$P,0))</f>
        <v>0</v>
      </c>
      <c r="BN118" s="27">
        <f>MIN(IF(VLOOKUP($Q118,武学奇术!$A:$ZZ,23,FALSE)=1,100%,$B$8),100%)</f>
        <v>0.9859</v>
      </c>
      <c r="BO118" s="27" cm="1">
        <f t="array" ref="BO118">IF(VLOOKUP($Q118,武学奇术!$A:$ZZ,23,FALSE)=1,100%,MIN(80%,$B$9+VLOOKUP($Q118,武学奇术!$A:$ZZ,17,FALSE)+SUM(_xlfn.XLOOKUP($R118:$AK118,增益!$A:$A,增益!$Q:$Q,0)))+$B$11+SUM(_xlfn.XLOOKUP($R118:$AK118,增益!$A:$A,增益!$U:$U,0)))*IF(VLOOKUP($Q118,武学奇术!$A:$ZZ,24,FALSE)=1,0,1)</f>
        <v>0.8912</v>
      </c>
      <c r="BP118" s="27" cm="1">
        <f t="array" ref="BP118">1+$B$13+VLOOKUP($Q118,武学奇术!$A:$ZZ,18,FALSE)+SUM(_xlfn.XLOOKUP($R118:$AK118,增益!$A:$A,增益!$R:$R,0))</f>
        <v>1.67</v>
      </c>
      <c r="BQ118" s="27" cm="1">
        <f t="array" ref="BQ118">IF(VLOOKUP($Q118,武学奇术!$A:$ZZ,24,FALSE)=1,100%,MIN(40%,$B$10+VLOOKUP($Q118,武学奇术!$A:$ZZ,19,FALSE)+SUM(_xlfn.XLOOKUP($R118:$AK118,增益!$A:$A,增益!$S:$S,0)))+$B$12+SUM(_xlfn.XLOOKUP($R118:$AK118,增益!$A:$A,增益!$V:$V,0)))*IF(VLOOKUP($Q118,武学奇术!$A:$ZZ,23,FALSE)=1,0,1)</f>
        <v>0.0929</v>
      </c>
      <c r="BR118" s="27" cm="1">
        <f t="array" ref="BR118">1+$B$14+VLOOKUP($Q118,武学奇术!$A:$ZZ,20,FALSE)+SUM(_xlfn.XLOOKUP($R118:$AK118,增益!$A:$A,增益!$T:$T,0))</f>
        <v>1.35</v>
      </c>
      <c r="BS118" s="27">
        <f t="shared" si="20"/>
        <v>0.87863408</v>
      </c>
      <c r="BT118" s="27">
        <f t="shared" si="21"/>
        <v>0.01567581</v>
      </c>
      <c r="BU118" s="27">
        <f>IF(VLOOKUP($Q118,武学奇术!$A:$ZZ,22,FALSE)=1,0,(1-$BN118))*(1-$BQ118)</f>
        <v>0.01279011</v>
      </c>
      <c r="BV118" s="27" cm="1">
        <f t="array" ref="BV118">SUM(_xlfn.XLOOKUP($R118:$AK118,增益!$A:$A,增益!$W:$W,0))+$I$5</f>
        <v>0.11</v>
      </c>
    </row>
    <row r="119" spans="11:74">
      <c r="K119" s="40">
        <f t="shared" si="11"/>
        <v>14587.6602896563</v>
      </c>
      <c r="L119" s="40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BP119*$P119*(1+IF(VLOOKUP($Q119,武学奇术!$A:$ZZ,30,FALSE)="蓄力技",$B$21,0))*(1+$BV119)</f>
        <v>14955.2450697894</v>
      </c>
      <c r="M119" s="40">
        <f>(($AT119*$AM119+$AN119)*(1+$AU119)*(1+$AV119)+($AY119*IF($G$1="鸣金",$AO119,$AM119)+IF($G$1="鸣金",$AP119*1.5,0))*(1+$AZ119)*(1+$BA119)+($BC119*IF($G$1="裂石",$AO119,$AM119)+IF($G$1="裂石",$AP119*1.5,0))*(1+$BD119)*(1+$BE119)+($BG119*IF($G$1="牵丝",$AO119,$AM119)+IF($G$1="牵丝",$AP119*1.5,0))*(1+$BH119)*(1+$BI119)+($BK119*IF($G$1="破竹",$AO119,$AM119)+IF($G$1="破竹",$AP119*1.5,0))*(1+$BL119)*(1+$BM119))*(1+$AQ119)*$BR119*$P119*(1+IF(VLOOKUP($Q119,武学奇术!$A:$ZZ,30,FALSE)="蓄力技",$B$21,0))*(1+$BV119)</f>
        <v>13025.4248690951</v>
      </c>
      <c r="N119" s="40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P119*(1+IF(VLOOKUP($Q119,武学奇术!$A:$ZZ,30,FALSE)="蓄力技",$B$21,0))*(1+$BV119)</f>
        <v>8745.75735075405</v>
      </c>
      <c r="O119" s="40">
        <f>((($AS119*$AM119+$AN119)*(1+$AU119)*(1+$AV119)+($AX119*IF($G$1="鸣金",$AO119,$AM119)+IF($G$1="鸣金",$AP119*1.5,0))*(1+$AZ119)*(1+$BA119)+($BB119*IF($G$1="裂石",$AO119,$AM119)+IF($G$1="裂石",$AP119*1.5,0))*(1+$BD119)*(1+$BE119)+($BF119*IF($G$1="牵丝",$AO119,$AM119)+IF($G$1="牵丝",$AP119*1.5,0))*(1+$BH119)*(1+$BI119)+($BJ119*IF($G$1="破竹",$AO119,$AM119)+IF($G$1="破竹",$AP119*1.5,0))*(1+$BL119)*(1+$BM119))*(1+$AQ119))*$P119*(1+IF(VLOOKUP($Q119,武学奇术!$A:$ZZ,30,FALSE)="蓄力技",$B$21,0))*(1+$BV119)</f>
        <v>7843.05183551175</v>
      </c>
      <c r="P119" s="41">
        <f t="shared" si="22"/>
        <v>1</v>
      </c>
      <c r="Q119" s="42" t="s">
        <v>194</v>
      </c>
      <c r="R119" s="42" t="s">
        <v>103</v>
      </c>
      <c r="S119" s="42" t="s">
        <v>77</v>
      </c>
      <c r="T119" s="42" t="s">
        <v>77</v>
      </c>
      <c r="U119" s="42" t="s">
        <v>87</v>
      </c>
      <c r="V119" s="42" t="s">
        <v>77</v>
      </c>
      <c r="W119" s="42" t="s">
        <v>77</v>
      </c>
      <c r="X119" s="42" t="s">
        <v>165</v>
      </c>
      <c r="Y119" s="42" t="s">
        <v>77</v>
      </c>
      <c r="Z119" s="42" t="s">
        <v>77</v>
      </c>
      <c r="AA119" s="42" t="s">
        <v>77</v>
      </c>
      <c r="AB119" s="42" t="s">
        <v>77</v>
      </c>
      <c r="AC119" s="42" t="s">
        <v>77</v>
      </c>
      <c r="AD119" s="42" t="s">
        <v>77</v>
      </c>
      <c r="AE119" s="42" t="s">
        <v>81</v>
      </c>
      <c r="AF119" s="42" t="s">
        <v>82</v>
      </c>
      <c r="AG119" s="42" t="s">
        <v>77</v>
      </c>
      <c r="AH119" s="42" t="s">
        <v>77</v>
      </c>
      <c r="AI119" s="42" t="s">
        <v>77</v>
      </c>
      <c r="AJ119" s="42" t="s">
        <v>77</v>
      </c>
      <c r="AK119" s="42" t="s">
        <v>77</v>
      </c>
      <c r="AL119" t="str">
        <f>VLOOKUP($Q119,武学奇术!$A:$ZZ,25,FALSE)</f>
        <v>心法</v>
      </c>
      <c r="AM119" s="27">
        <f>VLOOKUP($Q119,武学奇术!$A:$ZZ,26,FALSE)</f>
        <v>1</v>
      </c>
      <c r="AN119" s="28">
        <f>VLOOKUP($Q119,武学奇术!$A:$ZZ,27,FALSE)*(1+IF(OR($AL119=$F$4,$AL119=$F$5),$B$22,0))</f>
        <v>0</v>
      </c>
      <c r="AO119" s="27">
        <f>VLOOKUP($Q119,武学奇术!$A:$ZZ,28,FALSE)</f>
        <v>1</v>
      </c>
      <c r="AP119" s="28">
        <f>VLOOKUP($Q119,武学奇术!$A:$ZZ,29,FALSE)*(1+IF(OR($AL119=$F$4,$AL119=$F$5),$B$22,0))</f>
        <v>0</v>
      </c>
      <c r="AQ119" s="27" cm="1">
        <f t="array" ref="AQ119">$G$3+IFERROR(VLOOKUP($AL119,$F$4:$G$7,2,FALSE),0)+VLOOKUP($Q119,武学奇术!$A:$ZZ,2,FALSE)+SUM(_xlfn.XLOOKUP($R119:$AK119,增益!$A:$A,增益!$B:$B,0))</f>
        <v>0.2837</v>
      </c>
      <c r="AR119" s="27" cm="1">
        <f t="array" ref="AR119">VLOOKUP($Q119,武学奇术!$A:$ZZ,5,FALSE)+SUM(_xlfn.XLOOKUP($R119:$AK119,增益!$A:$A,增益!$E:$E,0))</f>
        <v>0</v>
      </c>
      <c r="AS119" cm="1">
        <f t="array" ref="AS119">$D$10*(1+$AR119)+VLOOKUP($Q119,武学奇术!$A:$ZZ,3,FALSE)+SUM(_xlfn.XLOOKUP($R119:$AK119,增益!$A:$A,增益!$C:$C,0))-$I$2</f>
        <v>3586.7</v>
      </c>
      <c r="AT119" cm="1">
        <f t="array" ref="AT119">$E$10*(1+$AR119)+VLOOKUP($Q119,武学奇术!$A:$ZZ,4,FALSE)+SUM(_xlfn.XLOOKUP($R119:$AK119,增益!$A:$A,增益!$D:$D,0))-$I$2</f>
        <v>3586.7</v>
      </c>
      <c r="AU119" s="34" cm="1">
        <f t="array" ref="AU119">IF($F$10-$I$3+VLOOKUP($Q119,武学奇术!$A:$ZZ,6,FALSE)+SUM(_xlfn.XLOOKUP($R119:$AK119,增益!$A:$A,增益!$F:$F,0))&gt;0,($F$10-$I$3+VLOOKUP($Q119,武学奇术!$A:$ZZ,6,FALSE)+SUM(_xlfn.XLOOKUP($R119:$AK119,增益!$A:$A,增益!$F:$F,0)))/200,($F$10-$I$3+VLOOKUP($Q119,武学奇术!$A:$ZZ,6,FALSE)+SUM(_xlfn.XLOOKUP($R119:$AK119,增益!$A:$A,增益!$F:$F,0)))/100)</f>
        <v>0.327</v>
      </c>
      <c r="AV119" s="34" cm="1">
        <f t="array" ref="AV119">$G$10+VLOOKUP($Q119,武学奇术!$A:$ZZ,7,FALSE)+SUM(_xlfn.XLOOKUP($R119:$AK119,增益!$A:$A,增益!$G:$G,0))</f>
        <v>0</v>
      </c>
      <c r="AW119" s="27" cm="1">
        <f t="array" ref="AW119">VLOOKUP($Q119,武学奇术!$A:$ZZ,8,FALSE)+SUM(_xlfn.XLOOKUP($R119:$AK119,增益!$A:$A,增益!$H:$H,0))</f>
        <v>0</v>
      </c>
      <c r="AX119">
        <f t="shared" si="12"/>
        <v>0</v>
      </c>
      <c r="AY119">
        <f t="shared" si="13"/>
        <v>0</v>
      </c>
      <c r="AZ119" s="34" cm="1">
        <f t="array" ref="AZ119">IF($F$11-$I$4+VLOOKUP($Q119,武学奇术!$A:$ZZ,9,FALSE)+SUM(_xlfn.XLOOKUP($R119:$AK119,增益!$A:$A,增益!$I:$I,0))&gt;0,($F$11-$I$4+VLOOKUP($Q119,武学奇术!$A:$ZZ,9,FALSE)+SUM(_xlfn.XLOOKUP($R119:$AK119,增益!$A:$A,增益!$I:$I,0)))/200,($F$11-$I$4+VLOOKUP($Q119,武学奇术!$A:$ZZ,9,FALSE)+SUM(_xlfn.XLOOKUP($R119:$AK119,增益!$A:$A,增益!$I:$I,0)))/100)</f>
        <v>-0.3</v>
      </c>
      <c r="BA119" s="34" cm="1">
        <f t="array" ref="BA119">$G$11+VLOOKUP($Q119,武学奇术!$A:$ZZ,10,FALSE)+SUM(_xlfn.XLOOKUP($R119:$AK119,增益!$A:$A,增益!$J:$J,0))</f>
        <v>0</v>
      </c>
      <c r="BB119">
        <f t="shared" si="14"/>
        <v>594.1</v>
      </c>
      <c r="BC119">
        <f t="shared" si="15"/>
        <v>1604.9</v>
      </c>
      <c r="BD119" s="34" cm="1">
        <f t="array" ref="BD119">IF($F$12-$I$4+VLOOKUP($Q119,武学奇术!$A:$ZZ,11,FALSE)+SUM(_xlfn.XLOOKUP($R119:$AK119,增益!$A:$A,增益!$K:$K,0))&gt;0,($F$12-$I$4+VLOOKUP($Q119,武学奇术!$A:$ZZ,11,FALSE)+SUM(_xlfn.XLOOKUP($R119:$AK119,增益!$A:$A,增益!$K:$K,0)))/200,($F$12-$I$4+VLOOKUP($Q119,武学奇术!$A:$ZZ,11,FALSE)+SUM(_xlfn.XLOOKUP($R119:$AK119,增益!$A:$A,增益!$K:$K,0)))/100)</f>
        <v>0.09</v>
      </c>
      <c r="BE119" s="34" cm="1">
        <f t="array" ref="BE119">$G$12+VLOOKUP($Q119,武学奇术!$A:$ZZ,12,FALSE)+SUM(_xlfn.XLOOKUP($R119:$AK119,增益!$A:$A,增益!$L:$L,0))</f>
        <v>0.15</v>
      </c>
      <c r="BF119">
        <f t="shared" si="16"/>
        <v>0</v>
      </c>
      <c r="BG119">
        <f t="shared" si="17"/>
        <v>0</v>
      </c>
      <c r="BH119" s="34" cm="1">
        <f t="array" ref="BH119">IF($F$13-$I$4+VLOOKUP($Q119,武学奇术!$A:$ZZ,13,FALSE)+SUM(_xlfn.XLOOKUP($R119:$AK119,增益!$A:$A,增益!$M:$M,0))&gt;0,($F$13-$I$4+VLOOKUP($Q119,武学奇术!$A:$ZZ,13,FALSE)+SUM(_xlfn.XLOOKUP($R119:$AK119,增益!$A:$A,增益!$K:$K,0)))/200,($F$13-$I$4+VLOOKUP($Q119,武学奇术!$A:$ZZ,13,FALSE)+SUM(_xlfn.XLOOKUP($R119:$AK119,增益!$A:$A,增益!$M:$M,0)))/100)</f>
        <v>-0.3</v>
      </c>
      <c r="BI119" s="34" cm="1">
        <f t="array" ref="BI119">$G$13+VLOOKUP($Q119,武学奇术!$A:$ZZ,14,FALSE)+SUM(_xlfn.XLOOKUP($R119:$AK119,增益!$A:$A,增益!$N:$N,0))</f>
        <v>0</v>
      </c>
      <c r="BJ119">
        <f t="shared" si="18"/>
        <v>0</v>
      </c>
      <c r="BK119">
        <f t="shared" si="19"/>
        <v>0</v>
      </c>
      <c r="BL119" s="34" cm="1">
        <f t="array" ref="BL119">IF($F$14-$I$4+VLOOKUP($Q119,武学奇术!$A:$ZZ,15,FALSE)+SUM(_xlfn.XLOOKUP($R119:$AK119,增益!$A:$A,增益!$O:$O,0))&gt;0,($F$14-$I$4+VLOOKUP($Q119,武学奇术!$A:$ZZ,15,FALSE)+SUM(_xlfn.XLOOKUP($R119:$AK119,增益!$A:$A,增益!$O:$O,0)))/200,($F$14-$I$4+VLOOKUP($Q119,武学奇术!$A:$ZZ,15,FALSE)+SUM(_xlfn.XLOOKUP($R119:$AK119,增益!$A:$A,增益!$O:$O,0)))/100)</f>
        <v>-0.3</v>
      </c>
      <c r="BM119" s="34" cm="1">
        <f t="array" ref="BM119">$G$14+VLOOKUP($Q119,武学奇术!$A:$ZZ,16,FALSE)+SUM(_xlfn.XLOOKUP($R119:$AK119,增益!$A:$A,增益!$P:$P,0))</f>
        <v>0</v>
      </c>
      <c r="BN119" s="27">
        <f>MIN(IF(VLOOKUP($Q119,武学奇术!$A:$ZZ,23,FALSE)=1,100%,$B$8),100%)</f>
        <v>0.9859</v>
      </c>
      <c r="BO119" s="27" cm="1">
        <f t="array" ref="BO119">IF(VLOOKUP($Q119,武学奇术!$A:$ZZ,23,FALSE)=1,100%,MIN(80%,$B$9+VLOOKUP($Q119,武学奇术!$A:$ZZ,17,FALSE)+SUM(_xlfn.XLOOKUP($R119:$AK119,增益!$A:$A,增益!$Q:$Q,0)))+$B$11+SUM(_xlfn.XLOOKUP($R119:$AK119,增益!$A:$A,增益!$U:$U,0)))*IF(VLOOKUP($Q119,武学奇术!$A:$ZZ,24,FALSE)=1,0,1)</f>
        <v>0.8912</v>
      </c>
      <c r="BP119" s="27" cm="1">
        <f t="array" ref="BP119">1+$B$13+VLOOKUP($Q119,武学奇术!$A:$ZZ,18,FALSE)+SUM(_xlfn.XLOOKUP($R119:$AK119,增益!$A:$A,增益!$R:$R,0))</f>
        <v>1.71</v>
      </c>
      <c r="BQ119" s="27" cm="1">
        <f t="array" ref="BQ119">IF(VLOOKUP($Q119,武学奇术!$A:$ZZ,24,FALSE)=1,100%,MIN(40%,$B$10+VLOOKUP($Q119,武学奇术!$A:$ZZ,19,FALSE)+SUM(_xlfn.XLOOKUP($R119:$AK119,增益!$A:$A,增益!$S:$S,0)))+$B$12+SUM(_xlfn.XLOOKUP($R119:$AK119,增益!$A:$A,增益!$V:$V,0)))*IF(VLOOKUP($Q119,武学奇术!$A:$ZZ,23,FALSE)=1,0,1)</f>
        <v>0.0929</v>
      </c>
      <c r="BR119" s="27" cm="1">
        <f t="array" ref="BR119">1+$B$14+VLOOKUP($Q119,武学奇术!$A:$ZZ,20,FALSE)+SUM(_xlfn.XLOOKUP($R119:$AK119,增益!$A:$A,增益!$T:$T,0))</f>
        <v>1.35</v>
      </c>
      <c r="BS119" s="27">
        <f t="shared" si="20"/>
        <v>0.87863408</v>
      </c>
      <c r="BT119" s="27">
        <f t="shared" si="21"/>
        <v>0.01567581</v>
      </c>
      <c r="BU119" s="27">
        <f>IF(VLOOKUP($Q119,武学奇术!$A:$ZZ,22,FALSE)=1,0,(1-$BN119))*(1-$BQ119)</f>
        <v>0.01279011</v>
      </c>
      <c r="BV119" s="27" cm="1">
        <f t="array" ref="BV119">SUM(_xlfn.XLOOKUP($R119:$AK119,增益!$A:$A,增益!$W:$W,0))+$I$5</f>
        <v>0.11</v>
      </c>
    </row>
    <row r="120" spans="11:74">
      <c r="K120" s="40">
        <f t="shared" si="11"/>
        <v>17415.8067002737</v>
      </c>
      <c r="L120" s="40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BP120*$P120*(1+IF(VLOOKUP($Q120,武学奇术!$A:$ZZ,30,FALSE)="蓄力技",$B$21,0))*(1+$BV120)</f>
        <v>17878.3859303538</v>
      </c>
      <c r="M120" s="40">
        <f>(($AT120*$AM120+$AN120)*(1+$AU120)*(1+$AV120)+($AY120*IF($G$1="鸣金",$AO120,$AM120)+IF($G$1="鸣金",$AP120*1.5,0))*(1+$AZ120)*(1+$BA120)+($BC120*IF($G$1="裂石",$AO120,$AM120)+IF($G$1="裂石",$AP120*1.5,0))*(1+$BD120)*(1+$BE120)+($BG120*IF($G$1="牵丝",$AO120,$AM120)+IF($G$1="牵丝",$AP120*1.5,0))*(1+$BH120)*(1+$BI120)+($BK120*IF($G$1="破竹",$AO120,$AM120)+IF($G$1="破竹",$AP120*1.5,0))*(1+$BL120)*(1+$BM120))*(1+$AQ120)*$BR120*$P120*(1+IF(VLOOKUP($Q120,武学奇术!$A:$ZZ,30,FALSE)="蓄力技",$B$21,0))*(1+$BV120)</f>
        <v>15383.0570298821</v>
      </c>
      <c r="N120" s="40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P120*(1+IF(VLOOKUP($Q120,武学奇术!$A:$ZZ,30,FALSE)="蓄力技",$B$21,0))*(1+$BV120)</f>
        <v>10274.9344427321</v>
      </c>
      <c r="O120" s="40">
        <f>((($AS120*$AM120+$AN120)*(1+$AU120)*(1+$AV120)+($AX120*IF($G$1="鸣金",$AO120,$AM120)+IF($G$1="鸣金",$AP120*1.5,0))*(1+$AZ120)*(1+$BA120)+($BB120*IF($G$1="裂石",$AO120,$AM120)+IF($G$1="裂石",$AP120*1.5,0))*(1+$BD120)*(1+$BE120)+($BF120*IF($G$1="牵丝",$AO120,$AM120)+IF($G$1="牵丝",$AP120*1.5,0))*(1+$BH120)*(1+$BI120)+($BJ120*IF($G$1="破竹",$AO120,$AM120)+IF($G$1="破竹",$AP120*1.5,0))*(1+$BL120)*(1+$BM120))*(1+$AQ120))*$P120*(1+IF(VLOOKUP($Q120,武学奇术!$A:$ZZ,30,FALSE)="蓄力技",$B$21,0))*(1+$BV120)</f>
        <v>9155.01182629215</v>
      </c>
      <c r="P120" s="41">
        <f t="shared" si="22"/>
        <v>1</v>
      </c>
      <c r="Q120" s="42" t="s">
        <v>194</v>
      </c>
      <c r="R120" s="42" t="s">
        <v>103</v>
      </c>
      <c r="S120" s="42" t="s">
        <v>169</v>
      </c>
      <c r="T120" s="42" t="s">
        <v>86</v>
      </c>
      <c r="U120" s="42" t="s">
        <v>87</v>
      </c>
      <c r="V120" s="42" t="s">
        <v>77</v>
      </c>
      <c r="W120" s="42" t="s">
        <v>77</v>
      </c>
      <c r="X120" s="42" t="s">
        <v>176</v>
      </c>
      <c r="Y120" s="42" t="s">
        <v>77</v>
      </c>
      <c r="Z120" s="42" t="s">
        <v>77</v>
      </c>
      <c r="AA120" s="42" t="s">
        <v>77</v>
      </c>
      <c r="AB120" s="42" t="s">
        <v>77</v>
      </c>
      <c r="AC120" s="42" t="s">
        <v>77</v>
      </c>
      <c r="AD120" s="42" t="s">
        <v>77</v>
      </c>
      <c r="AE120" s="42" t="s">
        <v>81</v>
      </c>
      <c r="AF120" s="42" t="s">
        <v>82</v>
      </c>
      <c r="AG120" s="42" t="s">
        <v>77</v>
      </c>
      <c r="AH120" s="42" t="s">
        <v>77</v>
      </c>
      <c r="AI120" s="42" t="s">
        <v>77</v>
      </c>
      <c r="AJ120" s="42" t="s">
        <v>77</v>
      </c>
      <c r="AK120" s="42" t="s">
        <v>77</v>
      </c>
      <c r="AL120" t="str">
        <f>VLOOKUP($Q120,武学奇术!$A:$ZZ,25,FALSE)</f>
        <v>心法</v>
      </c>
      <c r="AM120" s="27">
        <f>VLOOKUP($Q120,武学奇术!$A:$ZZ,26,FALSE)</f>
        <v>1</v>
      </c>
      <c r="AN120" s="28">
        <f>VLOOKUP($Q120,武学奇术!$A:$ZZ,27,FALSE)*(1+IF(OR($AL120=$F$4,$AL120=$F$5),$B$22,0))</f>
        <v>0</v>
      </c>
      <c r="AO120" s="27">
        <f>VLOOKUP($Q120,武学奇术!$A:$ZZ,28,FALSE)</f>
        <v>1</v>
      </c>
      <c r="AP120" s="28">
        <f>VLOOKUP($Q120,武学奇术!$A:$ZZ,29,FALSE)*(1+IF(OR($AL120=$F$4,$AL120=$F$5),$B$22,0))</f>
        <v>0</v>
      </c>
      <c r="AQ120" s="27" cm="1">
        <f t="array" ref="AQ120">$G$3+IFERROR(VLOOKUP($AL120,$F$4:$G$7,2,FALSE),0)+VLOOKUP($Q120,武学奇术!$A:$ZZ,2,FALSE)+SUM(_xlfn.XLOOKUP($R120:$AK120,增益!$A:$A,增益!$B:$B,0))</f>
        <v>0.4837</v>
      </c>
      <c r="AR120" s="27" cm="1">
        <f t="array" ref="AR120">VLOOKUP($Q120,武学奇术!$A:$ZZ,5,FALSE)+SUM(_xlfn.XLOOKUP($R120:$AK120,增益!$A:$A,增益!$E:$E,0))</f>
        <v>0</v>
      </c>
      <c r="AS120" cm="1">
        <f t="array" ref="AS120">$D$10*(1+$AR120)+VLOOKUP($Q120,武学奇术!$A:$ZZ,3,FALSE)+SUM(_xlfn.XLOOKUP($R120:$AK120,增益!$A:$A,增益!$C:$C,0))-$I$2</f>
        <v>3586.7</v>
      </c>
      <c r="AT120" cm="1">
        <f t="array" ref="AT120">$E$10*(1+$AR120)+VLOOKUP($Q120,武学奇术!$A:$ZZ,4,FALSE)+SUM(_xlfn.XLOOKUP($R120:$AK120,增益!$A:$A,增益!$D:$D,0))-$I$2</f>
        <v>3586.7</v>
      </c>
      <c r="AU120" s="34" cm="1">
        <f t="array" ref="AU120">IF($F$10-$I$3+VLOOKUP($Q120,武学奇术!$A:$ZZ,6,FALSE)+SUM(_xlfn.XLOOKUP($R120:$AK120,增益!$A:$A,增益!$F:$F,0))&gt;0,($F$10-$I$3+VLOOKUP($Q120,武学奇术!$A:$ZZ,6,FALSE)+SUM(_xlfn.XLOOKUP($R120:$AK120,增益!$A:$A,增益!$F:$F,0)))/200,($F$10-$I$3+VLOOKUP($Q120,武学奇术!$A:$ZZ,6,FALSE)+SUM(_xlfn.XLOOKUP($R120:$AK120,增益!$A:$A,增益!$F:$F,0)))/100)</f>
        <v>0.327</v>
      </c>
      <c r="AV120" s="34" cm="1">
        <f t="array" ref="AV120">$G$10+VLOOKUP($Q120,武学奇术!$A:$ZZ,7,FALSE)+SUM(_xlfn.XLOOKUP($R120:$AK120,增益!$A:$A,增益!$G:$G,0))</f>
        <v>0</v>
      </c>
      <c r="AW120" s="27" cm="1">
        <f t="array" ref="AW120">VLOOKUP($Q120,武学奇术!$A:$ZZ,8,FALSE)+SUM(_xlfn.XLOOKUP($R120:$AK120,增益!$A:$A,增益!$H:$H,0))</f>
        <v>0</v>
      </c>
      <c r="AX120">
        <f t="shared" si="12"/>
        <v>0</v>
      </c>
      <c r="AY120">
        <f t="shared" si="13"/>
        <v>0</v>
      </c>
      <c r="AZ120" s="34" cm="1">
        <f t="array" ref="AZ120">IF($F$11-$I$4+VLOOKUP($Q120,武学奇术!$A:$ZZ,9,FALSE)+SUM(_xlfn.XLOOKUP($R120:$AK120,增益!$A:$A,增益!$I:$I,0))&gt;0,($F$11-$I$4+VLOOKUP($Q120,武学奇术!$A:$ZZ,9,FALSE)+SUM(_xlfn.XLOOKUP($R120:$AK120,增益!$A:$A,增益!$I:$I,0)))/200,($F$11-$I$4+VLOOKUP($Q120,武学奇术!$A:$ZZ,9,FALSE)+SUM(_xlfn.XLOOKUP($R120:$AK120,增益!$A:$A,增益!$I:$I,0)))/100)</f>
        <v>-0.14</v>
      </c>
      <c r="BA120" s="34" cm="1">
        <f t="array" ref="BA120">$G$11+VLOOKUP($Q120,武学奇术!$A:$ZZ,10,FALSE)+SUM(_xlfn.XLOOKUP($R120:$AK120,增益!$A:$A,增益!$J:$J,0))</f>
        <v>0</v>
      </c>
      <c r="BB120">
        <f t="shared" si="14"/>
        <v>594.1</v>
      </c>
      <c r="BC120">
        <f t="shared" si="15"/>
        <v>1604.9</v>
      </c>
      <c r="BD120" s="34" cm="1">
        <f t="array" ref="BD120">IF($F$12-$I$4+VLOOKUP($Q120,武学奇术!$A:$ZZ,11,FALSE)+SUM(_xlfn.XLOOKUP($R120:$AK120,增益!$A:$A,增益!$K:$K,0))&gt;0,($F$12-$I$4+VLOOKUP($Q120,武学奇术!$A:$ZZ,11,FALSE)+SUM(_xlfn.XLOOKUP($R120:$AK120,增益!$A:$A,增益!$K:$K,0)))/200,($F$12-$I$4+VLOOKUP($Q120,武学奇术!$A:$ZZ,11,FALSE)+SUM(_xlfn.XLOOKUP($R120:$AK120,增益!$A:$A,增益!$K:$K,0)))/100)</f>
        <v>0.17</v>
      </c>
      <c r="BE120" s="34" cm="1">
        <f t="array" ref="BE120">$G$12+VLOOKUP($Q120,武学奇术!$A:$ZZ,12,FALSE)+SUM(_xlfn.XLOOKUP($R120:$AK120,增益!$A:$A,增益!$L:$L,0))</f>
        <v>0.15</v>
      </c>
      <c r="BF120">
        <f t="shared" si="16"/>
        <v>0</v>
      </c>
      <c r="BG120">
        <f t="shared" si="17"/>
        <v>0</v>
      </c>
      <c r="BH120" s="34" cm="1">
        <f t="array" ref="BH120">IF($F$13-$I$4+VLOOKUP($Q120,武学奇术!$A:$ZZ,13,FALSE)+SUM(_xlfn.XLOOKUP($R120:$AK120,增益!$A:$A,增益!$M:$M,0))&gt;0,($F$13-$I$4+VLOOKUP($Q120,武学奇术!$A:$ZZ,13,FALSE)+SUM(_xlfn.XLOOKUP($R120:$AK120,增益!$A:$A,增益!$K:$K,0)))/200,($F$13-$I$4+VLOOKUP($Q120,武学奇术!$A:$ZZ,13,FALSE)+SUM(_xlfn.XLOOKUP($R120:$AK120,增益!$A:$A,增益!$M:$M,0)))/100)</f>
        <v>-0.14</v>
      </c>
      <c r="BI120" s="34" cm="1">
        <f t="array" ref="BI120">$G$13+VLOOKUP($Q120,武学奇术!$A:$ZZ,14,FALSE)+SUM(_xlfn.XLOOKUP($R120:$AK120,增益!$A:$A,增益!$N:$N,0))</f>
        <v>0</v>
      </c>
      <c r="BJ120">
        <f t="shared" si="18"/>
        <v>0</v>
      </c>
      <c r="BK120">
        <f t="shared" si="19"/>
        <v>0</v>
      </c>
      <c r="BL120" s="34" cm="1">
        <f t="array" ref="BL120">IF($F$14-$I$4+VLOOKUP($Q120,武学奇术!$A:$ZZ,15,FALSE)+SUM(_xlfn.XLOOKUP($R120:$AK120,增益!$A:$A,增益!$O:$O,0))&gt;0,($F$14-$I$4+VLOOKUP($Q120,武学奇术!$A:$ZZ,15,FALSE)+SUM(_xlfn.XLOOKUP($R120:$AK120,增益!$A:$A,增益!$O:$O,0)))/200,($F$14-$I$4+VLOOKUP($Q120,武学奇术!$A:$ZZ,15,FALSE)+SUM(_xlfn.XLOOKUP($R120:$AK120,增益!$A:$A,增益!$O:$O,0)))/100)</f>
        <v>-0.14</v>
      </c>
      <c r="BM120" s="34" cm="1">
        <f t="array" ref="BM120">$G$14+VLOOKUP($Q120,武学奇术!$A:$ZZ,16,FALSE)+SUM(_xlfn.XLOOKUP($R120:$AK120,增益!$A:$A,增益!$P:$P,0))</f>
        <v>0</v>
      </c>
      <c r="BN120" s="27">
        <f>MIN(IF(VLOOKUP($Q120,武学奇术!$A:$ZZ,23,FALSE)=1,100%,$B$8),100%)</f>
        <v>0.9859</v>
      </c>
      <c r="BO120" s="27" cm="1">
        <f t="array" ref="BO120">IF(VLOOKUP($Q120,武学奇术!$A:$ZZ,23,FALSE)=1,100%,MIN(80%,$B$9+VLOOKUP($Q120,武学奇术!$A:$ZZ,17,FALSE)+SUM(_xlfn.XLOOKUP($R120:$AK120,增益!$A:$A,增益!$Q:$Q,0)))+$B$11+SUM(_xlfn.XLOOKUP($R120:$AK120,增益!$A:$A,增益!$U:$U,0)))*IF(VLOOKUP($Q120,武学奇术!$A:$ZZ,24,FALSE)=1,0,1)</f>
        <v>0.8912</v>
      </c>
      <c r="BP120" s="27" cm="1">
        <f t="array" ref="BP120">1+$B$13+VLOOKUP($Q120,武学奇术!$A:$ZZ,18,FALSE)+SUM(_xlfn.XLOOKUP($R120:$AK120,增益!$A:$A,增益!$R:$R,0))</f>
        <v>1.74</v>
      </c>
      <c r="BQ120" s="27" cm="1">
        <f t="array" ref="BQ120">IF(VLOOKUP($Q120,武学奇术!$A:$ZZ,24,FALSE)=1,100%,MIN(40%,$B$10+VLOOKUP($Q120,武学奇术!$A:$ZZ,19,FALSE)+SUM(_xlfn.XLOOKUP($R120:$AK120,增益!$A:$A,增益!$S:$S,0)))+$B$12+SUM(_xlfn.XLOOKUP($R120:$AK120,增益!$A:$A,增益!$V:$V,0)))*IF(VLOOKUP($Q120,武学奇术!$A:$ZZ,23,FALSE)=1,0,1)</f>
        <v>0.0929</v>
      </c>
      <c r="BR120" s="27" cm="1">
        <f t="array" ref="BR120">1+$B$14+VLOOKUP($Q120,武学奇术!$A:$ZZ,20,FALSE)+SUM(_xlfn.XLOOKUP($R120:$AK120,增益!$A:$A,增益!$T:$T,0))</f>
        <v>1.35</v>
      </c>
      <c r="BS120" s="27">
        <f t="shared" si="20"/>
        <v>0.87863408</v>
      </c>
      <c r="BT120" s="27">
        <f t="shared" si="21"/>
        <v>0.01567581</v>
      </c>
      <c r="BU120" s="27">
        <f>IF(VLOOKUP($Q120,武学奇术!$A:$ZZ,22,FALSE)=1,0,(1-$BN120))*(1-$BQ120)</f>
        <v>0.01279011</v>
      </c>
      <c r="BV120" s="27" cm="1">
        <f t="array" ref="BV120">SUM(_xlfn.XLOOKUP($R120:$AK120,增益!$A:$A,增益!$W:$W,0))+$I$5</f>
        <v>0.11</v>
      </c>
    </row>
    <row r="121" spans="11:74">
      <c r="K121" s="40">
        <f t="shared" si="11"/>
        <v>14818.1899035698</v>
      </c>
      <c r="L121" s="40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BP121*$P121*(1+IF(VLOOKUP($Q121,武学奇术!$A:$ZZ,30,FALSE)="蓄力技",$B$21,0))*(1+$BV121)</f>
        <v>15217.617790312</v>
      </c>
      <c r="M121" s="40">
        <f>(($AT121*$AM121+$AN121)*(1+$AU121)*(1+$AV121)+($AY121*IF($G$1="鸣金",$AO121,$AM121)+IF($G$1="鸣金",$AP121*1.5,0))*(1+$AZ121)*(1+$BA121)+($BC121*IF($G$1="裂石",$AO121,$AM121)+IF($G$1="裂石",$AP121*1.5,0))*(1+$BD121)*(1+$BE121)+($BG121*IF($G$1="牵丝",$AO121,$AM121)+IF($G$1="牵丝",$AP121*1.5,0))*(1+$BH121)*(1+$BI121)+($BK121*IF($G$1="破竹",$AO121,$AM121)+IF($G$1="破竹",$AP121*1.5,0))*(1+$BL121)*(1+$BM121))*(1+$AQ121)*$BR121*$P121*(1+IF(VLOOKUP($Q121,武学奇术!$A:$ZZ,30,FALSE)="蓄力技",$B$21,0))*(1+$BV121)</f>
        <v>13025.4248690951</v>
      </c>
      <c r="N121" s="40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P121*(1+IF(VLOOKUP($Q121,武学奇术!$A:$ZZ,30,FALSE)="蓄力技",$B$21,0))*(1+$BV121)</f>
        <v>8745.75735075405</v>
      </c>
      <c r="O121" s="40">
        <f>((($AS121*$AM121+$AN121)*(1+$AU121)*(1+$AV121)+($AX121*IF($G$1="鸣金",$AO121,$AM121)+IF($G$1="鸣金",$AP121*1.5,0))*(1+$AZ121)*(1+$BA121)+($BB121*IF($G$1="裂石",$AO121,$AM121)+IF($G$1="裂石",$AP121*1.5,0))*(1+$BD121)*(1+$BE121)+($BF121*IF($G$1="牵丝",$AO121,$AM121)+IF($G$1="牵丝",$AP121*1.5,0))*(1+$BH121)*(1+$BI121)+($BJ121*IF($G$1="破竹",$AO121,$AM121)+IF($G$1="破竹",$AP121*1.5,0))*(1+$BL121)*(1+$BM121))*(1+$AQ121))*$P121*(1+IF(VLOOKUP($Q121,武学奇术!$A:$ZZ,30,FALSE)="蓄力技",$B$21,0))*(1+$BV121)</f>
        <v>7843.05183551175</v>
      </c>
      <c r="P121" s="41">
        <f t="shared" si="22"/>
        <v>1</v>
      </c>
      <c r="Q121" s="42" t="s">
        <v>194</v>
      </c>
      <c r="R121" s="42" t="s">
        <v>103</v>
      </c>
      <c r="S121" s="42" t="s">
        <v>77</v>
      </c>
      <c r="T121" s="42" t="s">
        <v>77</v>
      </c>
      <c r="U121" s="42" t="s">
        <v>87</v>
      </c>
      <c r="V121" s="42" t="s">
        <v>77</v>
      </c>
      <c r="W121" s="42" t="s">
        <v>77</v>
      </c>
      <c r="X121" s="42" t="s">
        <v>176</v>
      </c>
      <c r="Y121" s="42" t="s">
        <v>77</v>
      </c>
      <c r="Z121" s="42" t="s">
        <v>77</v>
      </c>
      <c r="AA121" s="42" t="s">
        <v>77</v>
      </c>
      <c r="AB121" s="42" t="s">
        <v>77</v>
      </c>
      <c r="AC121" s="42" t="s">
        <v>77</v>
      </c>
      <c r="AD121" s="42" t="s">
        <v>77</v>
      </c>
      <c r="AE121" s="42" t="s">
        <v>81</v>
      </c>
      <c r="AF121" s="42" t="s">
        <v>82</v>
      </c>
      <c r="AG121" s="42" t="s">
        <v>77</v>
      </c>
      <c r="AH121" s="42" t="s">
        <v>77</v>
      </c>
      <c r="AI121" s="42" t="s">
        <v>77</v>
      </c>
      <c r="AJ121" s="42" t="s">
        <v>77</v>
      </c>
      <c r="AK121" s="42" t="s">
        <v>77</v>
      </c>
      <c r="AL121" t="str">
        <f>VLOOKUP($Q121,武学奇术!$A:$ZZ,25,FALSE)</f>
        <v>心法</v>
      </c>
      <c r="AM121" s="27">
        <f>VLOOKUP($Q121,武学奇术!$A:$ZZ,26,FALSE)</f>
        <v>1</v>
      </c>
      <c r="AN121" s="28">
        <f>VLOOKUP($Q121,武学奇术!$A:$ZZ,27,FALSE)*(1+IF(OR($AL121=$F$4,$AL121=$F$5),$B$22,0))</f>
        <v>0</v>
      </c>
      <c r="AO121" s="27">
        <f>VLOOKUP($Q121,武学奇术!$A:$ZZ,28,FALSE)</f>
        <v>1</v>
      </c>
      <c r="AP121" s="28">
        <f>VLOOKUP($Q121,武学奇术!$A:$ZZ,29,FALSE)*(1+IF(OR($AL121=$F$4,$AL121=$F$5),$B$22,0))</f>
        <v>0</v>
      </c>
      <c r="AQ121" s="27" cm="1">
        <f t="array" ref="AQ121">$G$3+IFERROR(VLOOKUP($AL121,$F$4:$G$7,2,FALSE),0)+VLOOKUP($Q121,武学奇术!$A:$ZZ,2,FALSE)+SUM(_xlfn.XLOOKUP($R121:$AK121,增益!$A:$A,增益!$B:$B,0))</f>
        <v>0.2837</v>
      </c>
      <c r="AR121" s="27" cm="1">
        <f t="array" ref="AR121">VLOOKUP($Q121,武学奇术!$A:$ZZ,5,FALSE)+SUM(_xlfn.XLOOKUP($R121:$AK121,增益!$A:$A,增益!$E:$E,0))</f>
        <v>0</v>
      </c>
      <c r="AS121" cm="1">
        <f t="array" ref="AS121">$D$10*(1+$AR121)+VLOOKUP($Q121,武学奇术!$A:$ZZ,3,FALSE)+SUM(_xlfn.XLOOKUP($R121:$AK121,增益!$A:$A,增益!$C:$C,0))-$I$2</f>
        <v>3586.7</v>
      </c>
      <c r="AT121" cm="1">
        <f t="array" ref="AT121">$E$10*(1+$AR121)+VLOOKUP($Q121,武学奇术!$A:$ZZ,4,FALSE)+SUM(_xlfn.XLOOKUP($R121:$AK121,增益!$A:$A,增益!$D:$D,0))-$I$2</f>
        <v>3586.7</v>
      </c>
      <c r="AU121" s="34" cm="1">
        <f t="array" ref="AU121">IF($F$10-$I$3+VLOOKUP($Q121,武学奇术!$A:$ZZ,6,FALSE)+SUM(_xlfn.XLOOKUP($R121:$AK121,增益!$A:$A,增益!$F:$F,0))&gt;0,($F$10-$I$3+VLOOKUP($Q121,武学奇术!$A:$ZZ,6,FALSE)+SUM(_xlfn.XLOOKUP($R121:$AK121,增益!$A:$A,增益!$F:$F,0)))/200,($F$10-$I$3+VLOOKUP($Q121,武学奇术!$A:$ZZ,6,FALSE)+SUM(_xlfn.XLOOKUP($R121:$AK121,增益!$A:$A,增益!$F:$F,0)))/100)</f>
        <v>0.327</v>
      </c>
      <c r="AV121" s="34" cm="1">
        <f t="array" ref="AV121">$G$10+VLOOKUP($Q121,武学奇术!$A:$ZZ,7,FALSE)+SUM(_xlfn.XLOOKUP($R121:$AK121,增益!$A:$A,增益!$G:$G,0))</f>
        <v>0</v>
      </c>
      <c r="AW121" s="27" cm="1">
        <f t="array" ref="AW121">VLOOKUP($Q121,武学奇术!$A:$ZZ,8,FALSE)+SUM(_xlfn.XLOOKUP($R121:$AK121,增益!$A:$A,增益!$H:$H,0))</f>
        <v>0</v>
      </c>
      <c r="AX121">
        <f t="shared" si="12"/>
        <v>0</v>
      </c>
      <c r="AY121">
        <f t="shared" si="13"/>
        <v>0</v>
      </c>
      <c r="AZ121" s="34" cm="1">
        <f t="array" ref="AZ121">IF($F$11-$I$4+VLOOKUP($Q121,武学奇术!$A:$ZZ,9,FALSE)+SUM(_xlfn.XLOOKUP($R121:$AK121,增益!$A:$A,增益!$I:$I,0))&gt;0,($F$11-$I$4+VLOOKUP($Q121,武学奇术!$A:$ZZ,9,FALSE)+SUM(_xlfn.XLOOKUP($R121:$AK121,增益!$A:$A,增益!$I:$I,0)))/200,($F$11-$I$4+VLOOKUP($Q121,武学奇术!$A:$ZZ,9,FALSE)+SUM(_xlfn.XLOOKUP($R121:$AK121,增益!$A:$A,增益!$I:$I,0)))/100)</f>
        <v>-0.3</v>
      </c>
      <c r="BA121" s="34" cm="1">
        <f t="array" ref="BA121">$G$11+VLOOKUP($Q121,武学奇术!$A:$ZZ,10,FALSE)+SUM(_xlfn.XLOOKUP($R121:$AK121,增益!$A:$A,增益!$J:$J,0))</f>
        <v>0</v>
      </c>
      <c r="BB121">
        <f t="shared" si="14"/>
        <v>594.1</v>
      </c>
      <c r="BC121">
        <f t="shared" si="15"/>
        <v>1604.9</v>
      </c>
      <c r="BD121" s="34" cm="1">
        <f t="array" ref="BD121">IF($F$12-$I$4+VLOOKUP($Q121,武学奇术!$A:$ZZ,11,FALSE)+SUM(_xlfn.XLOOKUP($R121:$AK121,增益!$A:$A,增益!$K:$K,0))&gt;0,($F$12-$I$4+VLOOKUP($Q121,武学奇术!$A:$ZZ,11,FALSE)+SUM(_xlfn.XLOOKUP($R121:$AK121,增益!$A:$A,增益!$K:$K,0)))/200,($F$12-$I$4+VLOOKUP($Q121,武学奇术!$A:$ZZ,11,FALSE)+SUM(_xlfn.XLOOKUP($R121:$AK121,增益!$A:$A,增益!$K:$K,0)))/100)</f>
        <v>0.09</v>
      </c>
      <c r="BE121" s="34" cm="1">
        <f t="array" ref="BE121">$G$12+VLOOKUP($Q121,武学奇术!$A:$ZZ,12,FALSE)+SUM(_xlfn.XLOOKUP($R121:$AK121,增益!$A:$A,增益!$L:$L,0))</f>
        <v>0.15</v>
      </c>
      <c r="BF121">
        <f t="shared" si="16"/>
        <v>0</v>
      </c>
      <c r="BG121">
        <f t="shared" si="17"/>
        <v>0</v>
      </c>
      <c r="BH121" s="34" cm="1">
        <f t="array" ref="BH121">IF($F$13-$I$4+VLOOKUP($Q121,武学奇术!$A:$ZZ,13,FALSE)+SUM(_xlfn.XLOOKUP($R121:$AK121,增益!$A:$A,增益!$M:$M,0))&gt;0,($F$13-$I$4+VLOOKUP($Q121,武学奇术!$A:$ZZ,13,FALSE)+SUM(_xlfn.XLOOKUP($R121:$AK121,增益!$A:$A,增益!$K:$K,0)))/200,($F$13-$I$4+VLOOKUP($Q121,武学奇术!$A:$ZZ,13,FALSE)+SUM(_xlfn.XLOOKUP($R121:$AK121,增益!$A:$A,增益!$M:$M,0)))/100)</f>
        <v>-0.3</v>
      </c>
      <c r="BI121" s="34" cm="1">
        <f t="array" ref="BI121">$G$13+VLOOKUP($Q121,武学奇术!$A:$ZZ,14,FALSE)+SUM(_xlfn.XLOOKUP($R121:$AK121,增益!$A:$A,增益!$N:$N,0))</f>
        <v>0</v>
      </c>
      <c r="BJ121">
        <f t="shared" si="18"/>
        <v>0</v>
      </c>
      <c r="BK121">
        <f t="shared" si="19"/>
        <v>0</v>
      </c>
      <c r="BL121" s="34" cm="1">
        <f t="array" ref="BL121">IF($F$14-$I$4+VLOOKUP($Q121,武学奇术!$A:$ZZ,15,FALSE)+SUM(_xlfn.XLOOKUP($R121:$AK121,增益!$A:$A,增益!$O:$O,0))&gt;0,($F$14-$I$4+VLOOKUP($Q121,武学奇术!$A:$ZZ,15,FALSE)+SUM(_xlfn.XLOOKUP($R121:$AK121,增益!$A:$A,增益!$O:$O,0)))/200,($F$14-$I$4+VLOOKUP($Q121,武学奇术!$A:$ZZ,15,FALSE)+SUM(_xlfn.XLOOKUP($R121:$AK121,增益!$A:$A,增益!$O:$O,0)))/100)</f>
        <v>-0.3</v>
      </c>
      <c r="BM121" s="34" cm="1">
        <f t="array" ref="BM121">$G$14+VLOOKUP($Q121,武学奇术!$A:$ZZ,16,FALSE)+SUM(_xlfn.XLOOKUP($R121:$AK121,增益!$A:$A,增益!$P:$P,0))</f>
        <v>0</v>
      </c>
      <c r="BN121" s="27">
        <f>MIN(IF(VLOOKUP($Q121,武学奇术!$A:$ZZ,23,FALSE)=1,100%,$B$8),100%)</f>
        <v>0.9859</v>
      </c>
      <c r="BO121" s="27" cm="1">
        <f t="array" ref="BO121">IF(VLOOKUP($Q121,武学奇术!$A:$ZZ,23,FALSE)=1,100%,MIN(80%,$B$9+VLOOKUP($Q121,武学奇术!$A:$ZZ,17,FALSE)+SUM(_xlfn.XLOOKUP($R121:$AK121,增益!$A:$A,增益!$Q:$Q,0)))+$B$11+SUM(_xlfn.XLOOKUP($R121:$AK121,增益!$A:$A,增益!$U:$U,0)))*IF(VLOOKUP($Q121,武学奇术!$A:$ZZ,24,FALSE)=1,0,1)</f>
        <v>0.8912</v>
      </c>
      <c r="BP121" s="27" cm="1">
        <f t="array" ref="BP121">1+$B$13+VLOOKUP($Q121,武学奇术!$A:$ZZ,18,FALSE)+SUM(_xlfn.XLOOKUP($R121:$AK121,增益!$A:$A,增益!$R:$R,0))</f>
        <v>1.74</v>
      </c>
      <c r="BQ121" s="27" cm="1">
        <f t="array" ref="BQ121">IF(VLOOKUP($Q121,武学奇术!$A:$ZZ,24,FALSE)=1,100%,MIN(40%,$B$10+VLOOKUP($Q121,武学奇术!$A:$ZZ,19,FALSE)+SUM(_xlfn.XLOOKUP($R121:$AK121,增益!$A:$A,增益!$S:$S,0)))+$B$12+SUM(_xlfn.XLOOKUP($R121:$AK121,增益!$A:$A,增益!$V:$V,0)))*IF(VLOOKUP($Q121,武学奇术!$A:$ZZ,23,FALSE)=1,0,1)</f>
        <v>0.0929</v>
      </c>
      <c r="BR121" s="27" cm="1">
        <f t="array" ref="BR121">1+$B$14+VLOOKUP($Q121,武学奇术!$A:$ZZ,20,FALSE)+SUM(_xlfn.XLOOKUP($R121:$AK121,增益!$A:$A,增益!$T:$T,0))</f>
        <v>1.35</v>
      </c>
      <c r="BS121" s="27">
        <f t="shared" si="20"/>
        <v>0.87863408</v>
      </c>
      <c r="BT121" s="27">
        <f t="shared" si="21"/>
        <v>0.01567581</v>
      </c>
      <c r="BU121" s="27">
        <f>IF(VLOOKUP($Q121,武学奇术!$A:$ZZ,22,FALSE)=1,0,(1-$BN121))*(1-$BQ121)</f>
        <v>0.01279011</v>
      </c>
      <c r="BV121" s="27" cm="1">
        <f t="array" ref="BV121">SUM(_xlfn.XLOOKUP($R121:$AK121,增益!$A:$A,增益!$W:$W,0))+$I$5</f>
        <v>0.11</v>
      </c>
    </row>
    <row r="122" spans="11:74">
      <c r="K122" s="40">
        <f t="shared" si="11"/>
        <v>18984.7982948929</v>
      </c>
      <c r="L122" s="40">
        <f>((($AS122+$AT122)/2*$AM122+$AN122)*(1+$AU122)*(1+$AV122)+(($AX122+$AY122)/2*IF($G$1="鸣金",$AO122,$AM122)+IF($G$1="鸣金",$AP122*1.5,0))*(1+$AZ122)*(1+$BA122)+(($BB122+$BC122)/2*IF($G$1="裂石",$AO122,$AM122)+IF($G$1="裂石",$AP122*1.5,0))*(1+$BD122)*(1+$BE122)+(($BF122+$BG122)/2*IF($G$1="牵丝",$AO122,$AM122)+IF($G$1="牵丝",$AP122*1.5,0))*(1+$BH122)*(1+$BI122)+(($BJ122+$BK122)/2*IF($G$1="破竹",$AO122,$AM122)+IF($G$1="破竹",$AP122*1.5,0))*(1+$BL122)*(1+$BM122))*(1+$AQ122)*$BP122*$P122*(1+IF(VLOOKUP($Q122,武学奇术!$A:$ZZ,30,FALSE)="蓄力技",$B$21,0))*(1+$BV122)</f>
        <v>19489.0513294847</v>
      </c>
      <c r="M122" s="40">
        <f>(($AT122*$AM122+$AN122)*(1+$AU122)*(1+$AV122)+($AY122*IF($G$1="鸣金",$AO122,$AM122)+IF($G$1="鸣金",$AP122*1.5,0))*(1+$AZ122)*(1+$BA122)+($BC122*IF($G$1="裂石",$AO122,$AM122)+IF($G$1="裂石",$AP122*1.5,0))*(1+$BD122)*(1+$BE122)+($BG122*IF($G$1="牵丝",$AO122,$AM122)+IF($G$1="牵丝",$AP122*1.5,0))*(1+$BH122)*(1+$BI122)+($BK122*IF($G$1="破竹",$AO122,$AM122)+IF($G$1="破竹",$AP122*1.5,0))*(1+$BL122)*(1+$BM122))*(1+$AQ122)*$BR122*$P122*(1+IF(VLOOKUP($Q122,武学奇术!$A:$ZZ,30,FALSE)="蓄力技",$B$21,0))*(1+$BV122)</f>
        <v>16768.9180235652</v>
      </c>
      <c r="N122" s="40">
        <f>((($AS122+$AT122)/2*$AM122+$AN122)*(1+$AU122)*(1+$AV122)+(($AX122+$AY122)/2*IF($G$1="鸣金",$AO122,$AM122)+IF($G$1="鸣金",$AP122*1.5,0))*(1+$AZ122)*(1+$BA122)+(($BB122+$BC122)/2*IF($G$1="裂石",$AO122,$AM122)+IF($G$1="裂石",$AP122*1.5,0))*(1+$BD122)*(1+$BE122)+(($BF122+$BG122)/2*IF($G$1="牵丝",$AO122,$AM122)+IF($G$1="牵丝",$AP122*1.5,0))*(1+$BH122)*(1+$BI122)+(($BJ122+$BK122)/2*IF($G$1="破竹",$AO122,$AM122)+IF($G$1="破竹",$AP122*1.5,0))*(1+$BL122)*(1+$BM122))*(1+$AQ122)*$P122*(1+IF(VLOOKUP($Q122,武学奇术!$A:$ZZ,30,FALSE)="蓄力技",$B$21,0))*(1+$BV122)</f>
        <v>11200.6042123475</v>
      </c>
      <c r="O122" s="40">
        <f>((($AS122*$AM122+$AN122)*(1+$AU122)*(1+$AV122)+($AX122*IF($G$1="鸣金",$AO122,$AM122)+IF($G$1="鸣金",$AP122*1.5,0))*(1+$AZ122)*(1+$BA122)+($BB122*IF($G$1="裂石",$AO122,$AM122)+IF($G$1="裂石",$AP122*1.5,0))*(1+$BD122)*(1+$BE122)+($BF122*IF($G$1="牵丝",$AO122,$AM122)+IF($G$1="牵丝",$AP122*1.5,0))*(1+$BH122)*(1+$BI122)+($BJ122*IF($G$1="破竹",$AO122,$AM122)+IF($G$1="破竹",$AP122*1.5,0))*(1+$BL122)*(1+$BM122))*(1+$AQ122))*$P122*(1+IF(VLOOKUP($Q122,武学奇术!$A:$ZZ,30,FALSE)="蓄力技",$B$21,0))*(1+$BV122)</f>
        <v>9979.78766649865</v>
      </c>
      <c r="P122" s="41">
        <f t="shared" si="22"/>
        <v>1</v>
      </c>
      <c r="Q122" s="42" t="s">
        <v>194</v>
      </c>
      <c r="R122" s="42" t="s">
        <v>103</v>
      </c>
      <c r="S122" s="42" t="s">
        <v>169</v>
      </c>
      <c r="T122" s="42" t="s">
        <v>86</v>
      </c>
      <c r="U122" s="42" t="s">
        <v>87</v>
      </c>
      <c r="V122" s="42" t="s">
        <v>77</v>
      </c>
      <c r="W122" s="42" t="s">
        <v>77</v>
      </c>
      <c r="X122" s="42" t="s">
        <v>176</v>
      </c>
      <c r="Y122" s="42" t="s">
        <v>186</v>
      </c>
      <c r="Z122" s="42" t="s">
        <v>77</v>
      </c>
      <c r="AA122" s="42" t="s">
        <v>77</v>
      </c>
      <c r="AB122" s="42" t="s">
        <v>77</v>
      </c>
      <c r="AC122" s="42" t="s">
        <v>77</v>
      </c>
      <c r="AD122" s="42" t="s">
        <v>77</v>
      </c>
      <c r="AE122" s="42" t="s">
        <v>81</v>
      </c>
      <c r="AF122" s="42" t="s">
        <v>82</v>
      </c>
      <c r="AG122" s="42" t="s">
        <v>77</v>
      </c>
      <c r="AH122" s="42" t="s">
        <v>77</v>
      </c>
      <c r="AI122" s="42" t="s">
        <v>77</v>
      </c>
      <c r="AJ122" s="42" t="s">
        <v>77</v>
      </c>
      <c r="AK122" s="42" t="s">
        <v>77</v>
      </c>
      <c r="AL122" t="str">
        <f>VLOOKUP($Q122,武学奇术!$A:$ZZ,25,FALSE)</f>
        <v>心法</v>
      </c>
      <c r="AM122" s="27">
        <f>VLOOKUP($Q122,武学奇术!$A:$ZZ,26,FALSE)</f>
        <v>1</v>
      </c>
      <c r="AN122" s="28">
        <f>VLOOKUP($Q122,武学奇术!$A:$ZZ,27,FALSE)*(1+IF(OR($AL122=$F$4,$AL122=$F$5),$B$22,0))</f>
        <v>0</v>
      </c>
      <c r="AO122" s="27">
        <f>VLOOKUP($Q122,武学奇术!$A:$ZZ,28,FALSE)</f>
        <v>1</v>
      </c>
      <c r="AP122" s="28">
        <f>VLOOKUP($Q122,武学奇术!$A:$ZZ,29,FALSE)*(1+IF(OR($AL122=$F$4,$AL122=$F$5),$B$22,0))</f>
        <v>0</v>
      </c>
      <c r="AQ122" s="27" cm="1">
        <f t="array" ref="AQ122">$G$3+IFERROR(VLOOKUP($AL122,$F$4:$G$7,2,FALSE),0)+VLOOKUP($Q122,武学奇术!$A:$ZZ,2,FALSE)+SUM(_xlfn.XLOOKUP($R122:$AK122,增益!$A:$A,增益!$B:$B,0))</f>
        <v>0.4837</v>
      </c>
      <c r="AR122" s="27" cm="1">
        <f t="array" ref="AR122">VLOOKUP($Q122,武学奇术!$A:$ZZ,5,FALSE)+SUM(_xlfn.XLOOKUP($R122:$AK122,增益!$A:$A,增益!$E:$E,0))</f>
        <v>0</v>
      </c>
      <c r="AS122" cm="1">
        <f t="array" ref="AS122">$D$10*(1+$AR122)+VLOOKUP($Q122,武学奇术!$A:$ZZ,3,FALSE)+SUM(_xlfn.XLOOKUP($R122:$AK122,增益!$A:$A,增益!$C:$C,0))-$I$2</f>
        <v>3586.7</v>
      </c>
      <c r="AT122" cm="1">
        <f t="array" ref="AT122">$E$10*(1+$AR122)+VLOOKUP($Q122,武学奇术!$A:$ZZ,4,FALSE)+SUM(_xlfn.XLOOKUP($R122:$AK122,增益!$A:$A,增益!$D:$D,0))-$I$2</f>
        <v>3586.7</v>
      </c>
      <c r="AU122" s="34" cm="1">
        <f t="array" ref="AU122">IF($F$10-$I$3+VLOOKUP($Q122,武学奇术!$A:$ZZ,6,FALSE)+SUM(_xlfn.XLOOKUP($R122:$AK122,增益!$A:$A,增益!$F:$F,0))&gt;0,($F$10-$I$3+VLOOKUP($Q122,武学奇术!$A:$ZZ,6,FALSE)+SUM(_xlfn.XLOOKUP($R122:$AK122,增益!$A:$A,增益!$F:$F,0)))/200,($F$10-$I$3+VLOOKUP($Q122,武学奇术!$A:$ZZ,6,FALSE)+SUM(_xlfn.XLOOKUP($R122:$AK122,增益!$A:$A,增益!$F:$F,0)))/100)</f>
        <v>0.327</v>
      </c>
      <c r="AV122" s="34" cm="1">
        <f t="array" ref="AV122">$G$10+VLOOKUP($Q122,武学奇术!$A:$ZZ,7,FALSE)+SUM(_xlfn.XLOOKUP($R122:$AK122,增益!$A:$A,增益!$G:$G,0))</f>
        <v>0</v>
      </c>
      <c r="AW122" s="27" cm="1">
        <f t="array" ref="AW122">VLOOKUP($Q122,武学奇术!$A:$ZZ,8,FALSE)+SUM(_xlfn.XLOOKUP($R122:$AK122,增益!$A:$A,增益!$H:$H,0))</f>
        <v>0</v>
      </c>
      <c r="AX122">
        <f t="shared" si="12"/>
        <v>0</v>
      </c>
      <c r="AY122">
        <f t="shared" si="13"/>
        <v>0</v>
      </c>
      <c r="AZ122" s="34" cm="1">
        <f t="array" ref="AZ122">IF($F$11-$I$4+VLOOKUP($Q122,武学奇术!$A:$ZZ,9,FALSE)+SUM(_xlfn.XLOOKUP($R122:$AK122,增益!$A:$A,增益!$I:$I,0))&gt;0,($F$11-$I$4+VLOOKUP($Q122,武学奇术!$A:$ZZ,9,FALSE)+SUM(_xlfn.XLOOKUP($R122:$AK122,增益!$A:$A,增益!$I:$I,0)))/200,($F$11-$I$4+VLOOKUP($Q122,武学奇术!$A:$ZZ,9,FALSE)+SUM(_xlfn.XLOOKUP($R122:$AK122,增益!$A:$A,增益!$I:$I,0)))/100)</f>
        <v>-0.14</v>
      </c>
      <c r="BA122" s="34" cm="1">
        <f t="array" ref="BA122">$G$11+VLOOKUP($Q122,武学奇术!$A:$ZZ,10,FALSE)+SUM(_xlfn.XLOOKUP($R122:$AK122,增益!$A:$A,增益!$J:$J,0))</f>
        <v>0</v>
      </c>
      <c r="BB122">
        <f t="shared" si="14"/>
        <v>594.1</v>
      </c>
      <c r="BC122">
        <f t="shared" si="15"/>
        <v>1604.9</v>
      </c>
      <c r="BD122" s="34" cm="1">
        <f t="array" ref="BD122">IF($F$12-$I$4+VLOOKUP($Q122,武学奇术!$A:$ZZ,11,FALSE)+SUM(_xlfn.XLOOKUP($R122:$AK122,增益!$A:$A,增益!$K:$K,0))&gt;0,($F$12-$I$4+VLOOKUP($Q122,武学奇术!$A:$ZZ,11,FALSE)+SUM(_xlfn.XLOOKUP($R122:$AK122,增益!$A:$A,增益!$K:$K,0)))/200,($F$12-$I$4+VLOOKUP($Q122,武学奇术!$A:$ZZ,11,FALSE)+SUM(_xlfn.XLOOKUP($R122:$AK122,增益!$A:$A,增益!$K:$K,0)))/100)</f>
        <v>0.17</v>
      </c>
      <c r="BE122" s="34" cm="1">
        <f t="array" ref="BE122">$G$12+VLOOKUP($Q122,武学奇术!$A:$ZZ,12,FALSE)+SUM(_xlfn.XLOOKUP($R122:$AK122,增益!$A:$A,增益!$L:$L,0))</f>
        <v>0.15</v>
      </c>
      <c r="BF122">
        <f t="shared" si="16"/>
        <v>0</v>
      </c>
      <c r="BG122">
        <f t="shared" si="17"/>
        <v>0</v>
      </c>
      <c r="BH122" s="34" cm="1">
        <f t="array" ref="BH122">IF($F$13-$I$4+VLOOKUP($Q122,武学奇术!$A:$ZZ,13,FALSE)+SUM(_xlfn.XLOOKUP($R122:$AK122,增益!$A:$A,增益!$M:$M,0))&gt;0,($F$13-$I$4+VLOOKUP($Q122,武学奇术!$A:$ZZ,13,FALSE)+SUM(_xlfn.XLOOKUP($R122:$AK122,增益!$A:$A,增益!$K:$K,0)))/200,($F$13-$I$4+VLOOKUP($Q122,武学奇术!$A:$ZZ,13,FALSE)+SUM(_xlfn.XLOOKUP($R122:$AK122,增益!$A:$A,增益!$M:$M,0)))/100)</f>
        <v>-0.14</v>
      </c>
      <c r="BI122" s="34" cm="1">
        <f t="array" ref="BI122">$G$13+VLOOKUP($Q122,武学奇术!$A:$ZZ,14,FALSE)+SUM(_xlfn.XLOOKUP($R122:$AK122,增益!$A:$A,增益!$N:$N,0))</f>
        <v>0</v>
      </c>
      <c r="BJ122">
        <f t="shared" si="18"/>
        <v>0</v>
      </c>
      <c r="BK122">
        <f t="shared" si="19"/>
        <v>0</v>
      </c>
      <c r="BL122" s="34" cm="1">
        <f t="array" ref="BL122">IF($F$14-$I$4+VLOOKUP($Q122,武学奇术!$A:$ZZ,15,FALSE)+SUM(_xlfn.XLOOKUP($R122:$AK122,增益!$A:$A,增益!$O:$O,0))&gt;0,($F$14-$I$4+VLOOKUP($Q122,武学奇术!$A:$ZZ,15,FALSE)+SUM(_xlfn.XLOOKUP($R122:$AK122,增益!$A:$A,增益!$O:$O,0)))/200,($F$14-$I$4+VLOOKUP($Q122,武学奇术!$A:$ZZ,15,FALSE)+SUM(_xlfn.XLOOKUP($R122:$AK122,增益!$A:$A,增益!$O:$O,0)))/100)</f>
        <v>-0.14</v>
      </c>
      <c r="BM122" s="34" cm="1">
        <f t="array" ref="BM122">$G$14+VLOOKUP($Q122,武学奇术!$A:$ZZ,16,FALSE)+SUM(_xlfn.XLOOKUP($R122:$AK122,增益!$A:$A,增益!$P:$P,0))</f>
        <v>0</v>
      </c>
      <c r="BN122" s="27">
        <f>MIN(IF(VLOOKUP($Q122,武学奇术!$A:$ZZ,23,FALSE)=1,100%,$B$8),100%)</f>
        <v>0.9859</v>
      </c>
      <c r="BO122" s="27" cm="1">
        <f t="array" ref="BO122">IF(VLOOKUP($Q122,武学奇术!$A:$ZZ,23,FALSE)=1,100%,MIN(80%,$B$9+VLOOKUP($Q122,武学奇术!$A:$ZZ,17,FALSE)+SUM(_xlfn.XLOOKUP($R122:$AK122,增益!$A:$A,增益!$Q:$Q,0)))+$B$11+SUM(_xlfn.XLOOKUP($R122:$AK122,增益!$A:$A,增益!$U:$U,0)))*IF(VLOOKUP($Q122,武学奇术!$A:$ZZ,24,FALSE)=1,0,1)</f>
        <v>0.8912</v>
      </c>
      <c r="BP122" s="27" cm="1">
        <f t="array" ref="BP122">1+$B$13+VLOOKUP($Q122,武学奇术!$A:$ZZ,18,FALSE)+SUM(_xlfn.XLOOKUP($R122:$AK122,增益!$A:$A,增益!$R:$R,0))</f>
        <v>1.74</v>
      </c>
      <c r="BQ122" s="27" cm="1">
        <f t="array" ref="BQ122">IF(VLOOKUP($Q122,武学奇术!$A:$ZZ,24,FALSE)=1,100%,MIN(40%,$B$10+VLOOKUP($Q122,武学奇术!$A:$ZZ,19,FALSE)+SUM(_xlfn.XLOOKUP($R122:$AK122,增益!$A:$A,增益!$S:$S,0)))+$B$12+SUM(_xlfn.XLOOKUP($R122:$AK122,增益!$A:$A,增益!$V:$V,0)))*IF(VLOOKUP($Q122,武学奇术!$A:$ZZ,23,FALSE)=1,0,1)</f>
        <v>0.0929</v>
      </c>
      <c r="BR122" s="27" cm="1">
        <f t="array" ref="BR122">1+$B$14+VLOOKUP($Q122,武学奇术!$A:$ZZ,20,FALSE)+SUM(_xlfn.XLOOKUP($R122:$AK122,增益!$A:$A,增益!$T:$T,0))</f>
        <v>1.35</v>
      </c>
      <c r="BS122" s="27">
        <f t="shared" si="20"/>
        <v>0.87863408</v>
      </c>
      <c r="BT122" s="27">
        <f t="shared" si="21"/>
        <v>0.01567581</v>
      </c>
      <c r="BU122" s="27">
        <f>IF(VLOOKUP($Q122,武学奇术!$A:$ZZ,22,FALSE)=1,0,(1-$BN122))*(1-$BQ122)</f>
        <v>0.01279011</v>
      </c>
      <c r="BV122" s="27" cm="1">
        <f t="array" ref="BV122">SUM(_xlfn.XLOOKUP($R122:$AK122,增益!$A:$A,增益!$W:$W,0))+$I$5</f>
        <v>0.21</v>
      </c>
    </row>
    <row r="123" spans="11:74">
      <c r="K123" s="40">
        <f t="shared" si="11"/>
        <v>17415.8067002737</v>
      </c>
      <c r="L123" s="40">
        <f>((($AS123+$AT123)/2*$AM123+$AN123)*(1+$AU123)*(1+$AV123)+(($AX123+$AY123)/2*IF($G$1="鸣金",$AO123,$AM123)+IF($G$1="鸣金",$AP123*1.5,0))*(1+$AZ123)*(1+$BA123)+(($BB123+$BC123)/2*IF($G$1="裂石",$AO123,$AM123)+IF($G$1="裂石",$AP123*1.5,0))*(1+$BD123)*(1+$BE123)+(($BF123+$BG123)/2*IF($G$1="牵丝",$AO123,$AM123)+IF($G$1="牵丝",$AP123*1.5,0))*(1+$BH123)*(1+$BI123)+(($BJ123+$BK123)/2*IF($G$1="破竹",$AO123,$AM123)+IF($G$1="破竹",$AP123*1.5,0))*(1+$BL123)*(1+$BM123))*(1+$AQ123)*$BP123*$P123*(1+IF(VLOOKUP($Q123,武学奇术!$A:$ZZ,30,FALSE)="蓄力技",$B$21,0))*(1+$BV123)</f>
        <v>17878.3859303538</v>
      </c>
      <c r="M123" s="40">
        <f>(($AT123*$AM123+$AN123)*(1+$AU123)*(1+$AV123)+($AY123*IF($G$1="鸣金",$AO123,$AM123)+IF($G$1="鸣金",$AP123*1.5,0))*(1+$AZ123)*(1+$BA123)+($BC123*IF($G$1="裂石",$AO123,$AM123)+IF($G$1="裂石",$AP123*1.5,0))*(1+$BD123)*(1+$BE123)+($BG123*IF($G$1="牵丝",$AO123,$AM123)+IF($G$1="牵丝",$AP123*1.5,0))*(1+$BH123)*(1+$BI123)+($BK123*IF($G$1="破竹",$AO123,$AM123)+IF($G$1="破竹",$AP123*1.5,0))*(1+$BL123)*(1+$BM123))*(1+$AQ123)*$BR123*$P123*(1+IF(VLOOKUP($Q123,武学奇术!$A:$ZZ,30,FALSE)="蓄力技",$B$21,0))*(1+$BV123)</f>
        <v>15383.0570298821</v>
      </c>
      <c r="N123" s="40">
        <f>((($AS123+$AT123)/2*$AM123+$AN123)*(1+$AU123)*(1+$AV123)+(($AX123+$AY123)/2*IF($G$1="鸣金",$AO123,$AM123)+IF($G$1="鸣金",$AP123*1.5,0))*(1+$AZ123)*(1+$BA123)+(($BB123+$BC123)/2*IF($G$1="裂石",$AO123,$AM123)+IF($G$1="裂石",$AP123*1.5,0))*(1+$BD123)*(1+$BE123)+(($BF123+$BG123)/2*IF($G$1="牵丝",$AO123,$AM123)+IF($G$1="牵丝",$AP123*1.5,0))*(1+$BH123)*(1+$BI123)+(($BJ123+$BK123)/2*IF($G$1="破竹",$AO123,$AM123)+IF($G$1="破竹",$AP123*1.5,0))*(1+$BL123)*(1+$BM123))*(1+$AQ123)*$P123*(1+IF(VLOOKUP($Q123,武学奇术!$A:$ZZ,30,FALSE)="蓄力技",$B$21,0))*(1+$BV123)</f>
        <v>10274.9344427321</v>
      </c>
      <c r="O123" s="40">
        <f>((($AS123*$AM123+$AN123)*(1+$AU123)*(1+$AV123)+($AX123*IF($G$1="鸣金",$AO123,$AM123)+IF($G$1="鸣金",$AP123*1.5,0))*(1+$AZ123)*(1+$BA123)+($BB123*IF($G$1="裂石",$AO123,$AM123)+IF($G$1="裂石",$AP123*1.5,0))*(1+$BD123)*(1+$BE123)+($BF123*IF($G$1="牵丝",$AO123,$AM123)+IF($G$1="牵丝",$AP123*1.5,0))*(1+$BH123)*(1+$BI123)+($BJ123*IF($G$1="破竹",$AO123,$AM123)+IF($G$1="破竹",$AP123*1.5,0))*(1+$BL123)*(1+$BM123))*(1+$AQ123))*$P123*(1+IF(VLOOKUP($Q123,武学奇术!$A:$ZZ,30,FALSE)="蓄力技",$B$21,0))*(1+$BV123)</f>
        <v>9155.01182629215</v>
      </c>
      <c r="P123" s="41">
        <f t="shared" si="22"/>
        <v>1</v>
      </c>
      <c r="Q123" s="42" t="s">
        <v>194</v>
      </c>
      <c r="R123" s="42" t="s">
        <v>103</v>
      </c>
      <c r="S123" s="42" t="s">
        <v>169</v>
      </c>
      <c r="T123" s="42" t="s">
        <v>86</v>
      </c>
      <c r="U123" s="42" t="s">
        <v>87</v>
      </c>
      <c r="V123" s="42" t="s">
        <v>77</v>
      </c>
      <c r="W123" s="42" t="s">
        <v>77</v>
      </c>
      <c r="X123" s="42" t="s">
        <v>176</v>
      </c>
      <c r="Y123" s="42" t="s">
        <v>77</v>
      </c>
      <c r="Z123" s="42" t="s">
        <v>77</v>
      </c>
      <c r="AA123" s="42" t="s">
        <v>77</v>
      </c>
      <c r="AB123" s="42" t="s">
        <v>77</v>
      </c>
      <c r="AC123" s="42" t="s">
        <v>77</v>
      </c>
      <c r="AD123" s="42" t="s">
        <v>77</v>
      </c>
      <c r="AE123" s="42" t="s">
        <v>81</v>
      </c>
      <c r="AF123" s="42" t="s">
        <v>82</v>
      </c>
      <c r="AG123" s="42" t="s">
        <v>77</v>
      </c>
      <c r="AH123" s="42" t="s">
        <v>77</v>
      </c>
      <c r="AI123" s="42" t="s">
        <v>77</v>
      </c>
      <c r="AJ123" s="42" t="s">
        <v>77</v>
      </c>
      <c r="AK123" s="42" t="s">
        <v>77</v>
      </c>
      <c r="AL123" t="str">
        <f>VLOOKUP($Q123,武学奇术!$A:$ZZ,25,FALSE)</f>
        <v>心法</v>
      </c>
      <c r="AM123" s="27">
        <f>VLOOKUP($Q123,武学奇术!$A:$ZZ,26,FALSE)</f>
        <v>1</v>
      </c>
      <c r="AN123" s="28">
        <f>VLOOKUP($Q123,武学奇术!$A:$ZZ,27,FALSE)*(1+IF(OR($AL123=$F$4,$AL123=$F$5),$B$22,0))</f>
        <v>0</v>
      </c>
      <c r="AO123" s="27">
        <f>VLOOKUP($Q123,武学奇术!$A:$ZZ,28,FALSE)</f>
        <v>1</v>
      </c>
      <c r="AP123" s="28">
        <f>VLOOKUP($Q123,武学奇术!$A:$ZZ,29,FALSE)*(1+IF(OR($AL123=$F$4,$AL123=$F$5),$B$22,0))</f>
        <v>0</v>
      </c>
      <c r="AQ123" s="27" cm="1">
        <f t="array" ref="AQ123">$G$3+IFERROR(VLOOKUP($AL123,$F$4:$G$7,2,FALSE),0)+VLOOKUP($Q123,武学奇术!$A:$ZZ,2,FALSE)+SUM(_xlfn.XLOOKUP($R123:$AK123,增益!$A:$A,增益!$B:$B,0))</f>
        <v>0.4837</v>
      </c>
      <c r="AR123" s="27" cm="1">
        <f t="array" ref="AR123">VLOOKUP($Q123,武学奇术!$A:$ZZ,5,FALSE)+SUM(_xlfn.XLOOKUP($R123:$AK123,增益!$A:$A,增益!$E:$E,0))</f>
        <v>0</v>
      </c>
      <c r="AS123" cm="1">
        <f t="array" ref="AS123">$D$10*(1+$AR123)+VLOOKUP($Q123,武学奇术!$A:$ZZ,3,FALSE)+SUM(_xlfn.XLOOKUP($R123:$AK123,增益!$A:$A,增益!$C:$C,0))-$I$2</f>
        <v>3586.7</v>
      </c>
      <c r="AT123" cm="1">
        <f t="array" ref="AT123">$E$10*(1+$AR123)+VLOOKUP($Q123,武学奇术!$A:$ZZ,4,FALSE)+SUM(_xlfn.XLOOKUP($R123:$AK123,增益!$A:$A,增益!$D:$D,0))-$I$2</f>
        <v>3586.7</v>
      </c>
      <c r="AU123" s="34" cm="1">
        <f t="array" ref="AU123">IF($F$10-$I$3+VLOOKUP($Q123,武学奇术!$A:$ZZ,6,FALSE)+SUM(_xlfn.XLOOKUP($R123:$AK123,增益!$A:$A,增益!$F:$F,0))&gt;0,($F$10-$I$3+VLOOKUP($Q123,武学奇术!$A:$ZZ,6,FALSE)+SUM(_xlfn.XLOOKUP($R123:$AK123,增益!$A:$A,增益!$F:$F,0)))/200,($F$10-$I$3+VLOOKUP($Q123,武学奇术!$A:$ZZ,6,FALSE)+SUM(_xlfn.XLOOKUP($R123:$AK123,增益!$A:$A,增益!$F:$F,0)))/100)</f>
        <v>0.327</v>
      </c>
      <c r="AV123" s="34" cm="1">
        <f t="array" ref="AV123">$G$10+VLOOKUP($Q123,武学奇术!$A:$ZZ,7,FALSE)+SUM(_xlfn.XLOOKUP($R123:$AK123,增益!$A:$A,增益!$G:$G,0))</f>
        <v>0</v>
      </c>
      <c r="AW123" s="27" cm="1">
        <f t="array" ref="AW123">VLOOKUP($Q123,武学奇术!$A:$ZZ,8,FALSE)+SUM(_xlfn.XLOOKUP($R123:$AK123,增益!$A:$A,增益!$H:$H,0))</f>
        <v>0</v>
      </c>
      <c r="AX123">
        <f t="shared" si="12"/>
        <v>0</v>
      </c>
      <c r="AY123">
        <f t="shared" si="13"/>
        <v>0</v>
      </c>
      <c r="AZ123" s="34" cm="1">
        <f t="array" ref="AZ123">IF($F$11-$I$4+VLOOKUP($Q123,武学奇术!$A:$ZZ,9,FALSE)+SUM(_xlfn.XLOOKUP($R123:$AK123,增益!$A:$A,增益!$I:$I,0))&gt;0,($F$11-$I$4+VLOOKUP($Q123,武学奇术!$A:$ZZ,9,FALSE)+SUM(_xlfn.XLOOKUP($R123:$AK123,增益!$A:$A,增益!$I:$I,0)))/200,($F$11-$I$4+VLOOKUP($Q123,武学奇术!$A:$ZZ,9,FALSE)+SUM(_xlfn.XLOOKUP($R123:$AK123,增益!$A:$A,增益!$I:$I,0)))/100)</f>
        <v>-0.14</v>
      </c>
      <c r="BA123" s="34" cm="1">
        <f t="array" ref="BA123">$G$11+VLOOKUP($Q123,武学奇术!$A:$ZZ,10,FALSE)+SUM(_xlfn.XLOOKUP($R123:$AK123,增益!$A:$A,增益!$J:$J,0))</f>
        <v>0</v>
      </c>
      <c r="BB123">
        <f t="shared" si="14"/>
        <v>594.1</v>
      </c>
      <c r="BC123">
        <f t="shared" si="15"/>
        <v>1604.9</v>
      </c>
      <c r="BD123" s="34" cm="1">
        <f t="array" ref="BD123">IF($F$12-$I$4+VLOOKUP($Q123,武学奇术!$A:$ZZ,11,FALSE)+SUM(_xlfn.XLOOKUP($R123:$AK123,增益!$A:$A,增益!$K:$K,0))&gt;0,($F$12-$I$4+VLOOKUP($Q123,武学奇术!$A:$ZZ,11,FALSE)+SUM(_xlfn.XLOOKUP($R123:$AK123,增益!$A:$A,增益!$K:$K,0)))/200,($F$12-$I$4+VLOOKUP($Q123,武学奇术!$A:$ZZ,11,FALSE)+SUM(_xlfn.XLOOKUP($R123:$AK123,增益!$A:$A,增益!$K:$K,0)))/100)</f>
        <v>0.17</v>
      </c>
      <c r="BE123" s="34" cm="1">
        <f t="array" ref="BE123">$G$12+VLOOKUP($Q123,武学奇术!$A:$ZZ,12,FALSE)+SUM(_xlfn.XLOOKUP($R123:$AK123,增益!$A:$A,增益!$L:$L,0))</f>
        <v>0.15</v>
      </c>
      <c r="BF123">
        <f t="shared" si="16"/>
        <v>0</v>
      </c>
      <c r="BG123">
        <f t="shared" si="17"/>
        <v>0</v>
      </c>
      <c r="BH123" s="34" cm="1">
        <f t="array" ref="BH123">IF($F$13-$I$4+VLOOKUP($Q123,武学奇术!$A:$ZZ,13,FALSE)+SUM(_xlfn.XLOOKUP($R123:$AK123,增益!$A:$A,增益!$M:$M,0))&gt;0,($F$13-$I$4+VLOOKUP($Q123,武学奇术!$A:$ZZ,13,FALSE)+SUM(_xlfn.XLOOKUP($R123:$AK123,增益!$A:$A,增益!$K:$K,0)))/200,($F$13-$I$4+VLOOKUP($Q123,武学奇术!$A:$ZZ,13,FALSE)+SUM(_xlfn.XLOOKUP($R123:$AK123,增益!$A:$A,增益!$M:$M,0)))/100)</f>
        <v>-0.14</v>
      </c>
      <c r="BI123" s="34" cm="1">
        <f t="array" ref="BI123">$G$13+VLOOKUP($Q123,武学奇术!$A:$ZZ,14,FALSE)+SUM(_xlfn.XLOOKUP($R123:$AK123,增益!$A:$A,增益!$N:$N,0))</f>
        <v>0</v>
      </c>
      <c r="BJ123">
        <f t="shared" si="18"/>
        <v>0</v>
      </c>
      <c r="BK123">
        <f t="shared" si="19"/>
        <v>0</v>
      </c>
      <c r="BL123" s="34" cm="1">
        <f t="array" ref="BL123">IF($F$14-$I$4+VLOOKUP($Q123,武学奇术!$A:$ZZ,15,FALSE)+SUM(_xlfn.XLOOKUP($R123:$AK123,增益!$A:$A,增益!$O:$O,0))&gt;0,($F$14-$I$4+VLOOKUP($Q123,武学奇术!$A:$ZZ,15,FALSE)+SUM(_xlfn.XLOOKUP($R123:$AK123,增益!$A:$A,增益!$O:$O,0)))/200,($F$14-$I$4+VLOOKUP($Q123,武学奇术!$A:$ZZ,15,FALSE)+SUM(_xlfn.XLOOKUP($R123:$AK123,增益!$A:$A,增益!$O:$O,0)))/100)</f>
        <v>-0.14</v>
      </c>
      <c r="BM123" s="34" cm="1">
        <f t="array" ref="BM123">$G$14+VLOOKUP($Q123,武学奇术!$A:$ZZ,16,FALSE)+SUM(_xlfn.XLOOKUP($R123:$AK123,增益!$A:$A,增益!$P:$P,0))</f>
        <v>0</v>
      </c>
      <c r="BN123" s="27">
        <f>MIN(IF(VLOOKUP($Q123,武学奇术!$A:$ZZ,23,FALSE)=1,100%,$B$8),100%)</f>
        <v>0.9859</v>
      </c>
      <c r="BO123" s="27" cm="1">
        <f t="array" ref="BO123">IF(VLOOKUP($Q123,武学奇术!$A:$ZZ,23,FALSE)=1,100%,MIN(80%,$B$9+VLOOKUP($Q123,武学奇术!$A:$ZZ,17,FALSE)+SUM(_xlfn.XLOOKUP($R123:$AK123,增益!$A:$A,增益!$Q:$Q,0)))+$B$11+SUM(_xlfn.XLOOKUP($R123:$AK123,增益!$A:$A,增益!$U:$U,0)))*IF(VLOOKUP($Q123,武学奇术!$A:$ZZ,24,FALSE)=1,0,1)</f>
        <v>0.8912</v>
      </c>
      <c r="BP123" s="27" cm="1">
        <f t="array" ref="BP123">1+$B$13+VLOOKUP($Q123,武学奇术!$A:$ZZ,18,FALSE)+SUM(_xlfn.XLOOKUP($R123:$AK123,增益!$A:$A,增益!$R:$R,0))</f>
        <v>1.74</v>
      </c>
      <c r="BQ123" s="27" cm="1">
        <f t="array" ref="BQ123">IF(VLOOKUP($Q123,武学奇术!$A:$ZZ,24,FALSE)=1,100%,MIN(40%,$B$10+VLOOKUP($Q123,武学奇术!$A:$ZZ,19,FALSE)+SUM(_xlfn.XLOOKUP($R123:$AK123,增益!$A:$A,增益!$S:$S,0)))+$B$12+SUM(_xlfn.XLOOKUP($R123:$AK123,增益!$A:$A,增益!$V:$V,0)))*IF(VLOOKUP($Q123,武学奇术!$A:$ZZ,23,FALSE)=1,0,1)</f>
        <v>0.0929</v>
      </c>
      <c r="BR123" s="27" cm="1">
        <f t="array" ref="BR123">1+$B$14+VLOOKUP($Q123,武学奇术!$A:$ZZ,20,FALSE)+SUM(_xlfn.XLOOKUP($R123:$AK123,增益!$A:$A,增益!$T:$T,0))</f>
        <v>1.35</v>
      </c>
      <c r="BS123" s="27">
        <f t="shared" si="20"/>
        <v>0.87863408</v>
      </c>
      <c r="BT123" s="27">
        <f t="shared" si="21"/>
        <v>0.01567581</v>
      </c>
      <c r="BU123" s="27">
        <f>IF(VLOOKUP($Q123,武学奇术!$A:$ZZ,22,FALSE)=1,0,(1-$BN123))*(1-$BQ123)</f>
        <v>0.01279011</v>
      </c>
      <c r="BV123" s="27" cm="1">
        <f t="array" ref="BV123">SUM(_xlfn.XLOOKUP($R123:$AK123,增益!$A:$A,增益!$W:$W,0))+$I$5</f>
        <v>0.11</v>
      </c>
    </row>
    <row r="124" spans="11:74">
      <c r="K124" s="40">
        <f t="shared" si="11"/>
        <v>17415.8067002737</v>
      </c>
      <c r="L124" s="40">
        <f>((($AS124+$AT124)/2*$AM124+$AN124)*(1+$AU124)*(1+$AV124)+(($AX124+$AY124)/2*IF($G$1="鸣金",$AO124,$AM124)+IF($G$1="鸣金",$AP124*1.5,0))*(1+$AZ124)*(1+$BA124)+(($BB124+$BC124)/2*IF($G$1="裂石",$AO124,$AM124)+IF($G$1="裂石",$AP124*1.5,0))*(1+$BD124)*(1+$BE124)+(($BF124+$BG124)/2*IF($G$1="牵丝",$AO124,$AM124)+IF($G$1="牵丝",$AP124*1.5,0))*(1+$BH124)*(1+$BI124)+(($BJ124+$BK124)/2*IF($G$1="破竹",$AO124,$AM124)+IF($G$1="破竹",$AP124*1.5,0))*(1+$BL124)*(1+$BM124))*(1+$AQ124)*$BP124*$P124*(1+IF(VLOOKUP($Q124,武学奇术!$A:$ZZ,30,FALSE)="蓄力技",$B$21,0))*(1+$BV124)</f>
        <v>17878.3859303538</v>
      </c>
      <c r="M124" s="40">
        <f>(($AT124*$AM124+$AN124)*(1+$AU124)*(1+$AV124)+($AY124*IF($G$1="鸣金",$AO124,$AM124)+IF($G$1="鸣金",$AP124*1.5,0))*(1+$AZ124)*(1+$BA124)+($BC124*IF($G$1="裂石",$AO124,$AM124)+IF($G$1="裂石",$AP124*1.5,0))*(1+$BD124)*(1+$BE124)+($BG124*IF($G$1="牵丝",$AO124,$AM124)+IF($G$1="牵丝",$AP124*1.5,0))*(1+$BH124)*(1+$BI124)+($BK124*IF($G$1="破竹",$AO124,$AM124)+IF($G$1="破竹",$AP124*1.5,0))*(1+$BL124)*(1+$BM124))*(1+$AQ124)*$BR124*$P124*(1+IF(VLOOKUP($Q124,武学奇术!$A:$ZZ,30,FALSE)="蓄力技",$B$21,0))*(1+$BV124)</f>
        <v>15383.0570298821</v>
      </c>
      <c r="N124" s="40">
        <f>((($AS124+$AT124)/2*$AM124+$AN124)*(1+$AU124)*(1+$AV124)+(($AX124+$AY124)/2*IF($G$1="鸣金",$AO124,$AM124)+IF($G$1="鸣金",$AP124*1.5,0))*(1+$AZ124)*(1+$BA124)+(($BB124+$BC124)/2*IF($G$1="裂石",$AO124,$AM124)+IF($G$1="裂石",$AP124*1.5,0))*(1+$BD124)*(1+$BE124)+(($BF124+$BG124)/2*IF($G$1="牵丝",$AO124,$AM124)+IF($G$1="牵丝",$AP124*1.5,0))*(1+$BH124)*(1+$BI124)+(($BJ124+$BK124)/2*IF($G$1="破竹",$AO124,$AM124)+IF($G$1="破竹",$AP124*1.5,0))*(1+$BL124)*(1+$BM124))*(1+$AQ124)*$P124*(1+IF(VLOOKUP($Q124,武学奇术!$A:$ZZ,30,FALSE)="蓄力技",$B$21,0))*(1+$BV124)</f>
        <v>10274.9344427321</v>
      </c>
      <c r="O124" s="40">
        <f>((($AS124*$AM124+$AN124)*(1+$AU124)*(1+$AV124)+($AX124*IF($G$1="鸣金",$AO124,$AM124)+IF($G$1="鸣金",$AP124*1.5,0))*(1+$AZ124)*(1+$BA124)+($BB124*IF($G$1="裂石",$AO124,$AM124)+IF($G$1="裂石",$AP124*1.5,0))*(1+$BD124)*(1+$BE124)+($BF124*IF($G$1="牵丝",$AO124,$AM124)+IF($G$1="牵丝",$AP124*1.5,0))*(1+$BH124)*(1+$BI124)+($BJ124*IF($G$1="破竹",$AO124,$AM124)+IF($G$1="破竹",$AP124*1.5,0))*(1+$BL124)*(1+$BM124))*(1+$AQ124))*$P124*(1+IF(VLOOKUP($Q124,武学奇术!$A:$ZZ,30,FALSE)="蓄力技",$B$21,0))*(1+$BV124)</f>
        <v>9155.01182629215</v>
      </c>
      <c r="P124" s="41">
        <f t="shared" si="22"/>
        <v>1</v>
      </c>
      <c r="Q124" s="42" t="s">
        <v>194</v>
      </c>
      <c r="R124" s="42" t="s">
        <v>103</v>
      </c>
      <c r="S124" s="42" t="s">
        <v>169</v>
      </c>
      <c r="T124" s="42" t="s">
        <v>86</v>
      </c>
      <c r="U124" s="42" t="s">
        <v>87</v>
      </c>
      <c r="V124" s="42" t="s">
        <v>77</v>
      </c>
      <c r="W124" s="42" t="s">
        <v>77</v>
      </c>
      <c r="X124" s="42" t="s">
        <v>176</v>
      </c>
      <c r="Y124" s="42" t="s">
        <v>77</v>
      </c>
      <c r="Z124" s="42" t="s">
        <v>77</v>
      </c>
      <c r="AA124" s="42" t="s">
        <v>77</v>
      </c>
      <c r="AB124" s="42" t="s">
        <v>77</v>
      </c>
      <c r="AC124" s="42" t="s">
        <v>77</v>
      </c>
      <c r="AD124" s="42" t="s">
        <v>77</v>
      </c>
      <c r="AE124" s="42" t="s">
        <v>81</v>
      </c>
      <c r="AF124" s="42" t="s">
        <v>82</v>
      </c>
      <c r="AG124" s="42" t="s">
        <v>77</v>
      </c>
      <c r="AH124" s="42" t="s">
        <v>77</v>
      </c>
      <c r="AI124" s="42" t="s">
        <v>77</v>
      </c>
      <c r="AJ124" s="42" t="s">
        <v>77</v>
      </c>
      <c r="AK124" s="42" t="s">
        <v>77</v>
      </c>
      <c r="AL124" t="str">
        <f>VLOOKUP($Q124,武学奇术!$A:$ZZ,25,FALSE)</f>
        <v>心法</v>
      </c>
      <c r="AM124" s="27">
        <f>VLOOKUP($Q124,武学奇术!$A:$ZZ,26,FALSE)</f>
        <v>1</v>
      </c>
      <c r="AN124" s="28">
        <f>VLOOKUP($Q124,武学奇术!$A:$ZZ,27,FALSE)*(1+IF(OR($AL124=$F$4,$AL124=$F$5),$B$22,0))</f>
        <v>0</v>
      </c>
      <c r="AO124" s="27">
        <f>VLOOKUP($Q124,武学奇术!$A:$ZZ,28,FALSE)</f>
        <v>1</v>
      </c>
      <c r="AP124" s="28">
        <f>VLOOKUP($Q124,武学奇术!$A:$ZZ,29,FALSE)*(1+IF(OR($AL124=$F$4,$AL124=$F$5),$B$22,0))</f>
        <v>0</v>
      </c>
      <c r="AQ124" s="27" cm="1">
        <f t="array" ref="AQ124">$G$3+IFERROR(VLOOKUP($AL124,$F$4:$G$7,2,FALSE),0)+VLOOKUP($Q124,武学奇术!$A:$ZZ,2,FALSE)+SUM(_xlfn.XLOOKUP($R124:$AK124,增益!$A:$A,增益!$B:$B,0))</f>
        <v>0.4837</v>
      </c>
      <c r="AR124" s="27" cm="1">
        <f t="array" ref="AR124">VLOOKUP($Q124,武学奇术!$A:$ZZ,5,FALSE)+SUM(_xlfn.XLOOKUP($R124:$AK124,增益!$A:$A,增益!$E:$E,0))</f>
        <v>0</v>
      </c>
      <c r="AS124" cm="1">
        <f t="array" ref="AS124">$D$10*(1+$AR124)+VLOOKUP($Q124,武学奇术!$A:$ZZ,3,FALSE)+SUM(_xlfn.XLOOKUP($R124:$AK124,增益!$A:$A,增益!$C:$C,0))-$I$2</f>
        <v>3586.7</v>
      </c>
      <c r="AT124" cm="1">
        <f t="array" ref="AT124">$E$10*(1+$AR124)+VLOOKUP($Q124,武学奇术!$A:$ZZ,4,FALSE)+SUM(_xlfn.XLOOKUP($R124:$AK124,增益!$A:$A,增益!$D:$D,0))-$I$2</f>
        <v>3586.7</v>
      </c>
      <c r="AU124" s="34" cm="1">
        <f t="array" ref="AU124">IF($F$10-$I$3+VLOOKUP($Q124,武学奇术!$A:$ZZ,6,FALSE)+SUM(_xlfn.XLOOKUP($R124:$AK124,增益!$A:$A,增益!$F:$F,0))&gt;0,($F$10-$I$3+VLOOKUP($Q124,武学奇术!$A:$ZZ,6,FALSE)+SUM(_xlfn.XLOOKUP($R124:$AK124,增益!$A:$A,增益!$F:$F,0)))/200,($F$10-$I$3+VLOOKUP($Q124,武学奇术!$A:$ZZ,6,FALSE)+SUM(_xlfn.XLOOKUP($R124:$AK124,增益!$A:$A,增益!$F:$F,0)))/100)</f>
        <v>0.327</v>
      </c>
      <c r="AV124" s="34" cm="1">
        <f t="array" ref="AV124">$G$10+VLOOKUP($Q124,武学奇术!$A:$ZZ,7,FALSE)+SUM(_xlfn.XLOOKUP($R124:$AK124,增益!$A:$A,增益!$G:$G,0))</f>
        <v>0</v>
      </c>
      <c r="AW124" s="27" cm="1">
        <f t="array" ref="AW124">VLOOKUP($Q124,武学奇术!$A:$ZZ,8,FALSE)+SUM(_xlfn.XLOOKUP($R124:$AK124,增益!$A:$A,增益!$H:$H,0))</f>
        <v>0</v>
      </c>
      <c r="AX124">
        <f t="shared" si="12"/>
        <v>0</v>
      </c>
      <c r="AY124">
        <f t="shared" si="13"/>
        <v>0</v>
      </c>
      <c r="AZ124" s="34" cm="1">
        <f t="array" ref="AZ124">IF($F$11-$I$4+VLOOKUP($Q124,武学奇术!$A:$ZZ,9,FALSE)+SUM(_xlfn.XLOOKUP($R124:$AK124,增益!$A:$A,增益!$I:$I,0))&gt;0,($F$11-$I$4+VLOOKUP($Q124,武学奇术!$A:$ZZ,9,FALSE)+SUM(_xlfn.XLOOKUP($R124:$AK124,增益!$A:$A,增益!$I:$I,0)))/200,($F$11-$I$4+VLOOKUP($Q124,武学奇术!$A:$ZZ,9,FALSE)+SUM(_xlfn.XLOOKUP($R124:$AK124,增益!$A:$A,增益!$I:$I,0)))/100)</f>
        <v>-0.14</v>
      </c>
      <c r="BA124" s="34" cm="1">
        <f t="array" ref="BA124">$G$11+VLOOKUP($Q124,武学奇术!$A:$ZZ,10,FALSE)+SUM(_xlfn.XLOOKUP($R124:$AK124,增益!$A:$A,增益!$J:$J,0))</f>
        <v>0</v>
      </c>
      <c r="BB124">
        <f t="shared" si="14"/>
        <v>594.1</v>
      </c>
      <c r="BC124">
        <f t="shared" si="15"/>
        <v>1604.9</v>
      </c>
      <c r="BD124" s="34" cm="1">
        <f t="array" ref="BD124">IF($F$12-$I$4+VLOOKUP($Q124,武学奇术!$A:$ZZ,11,FALSE)+SUM(_xlfn.XLOOKUP($R124:$AK124,增益!$A:$A,增益!$K:$K,0))&gt;0,($F$12-$I$4+VLOOKUP($Q124,武学奇术!$A:$ZZ,11,FALSE)+SUM(_xlfn.XLOOKUP($R124:$AK124,增益!$A:$A,增益!$K:$K,0)))/200,($F$12-$I$4+VLOOKUP($Q124,武学奇术!$A:$ZZ,11,FALSE)+SUM(_xlfn.XLOOKUP($R124:$AK124,增益!$A:$A,增益!$K:$K,0)))/100)</f>
        <v>0.17</v>
      </c>
      <c r="BE124" s="34" cm="1">
        <f t="array" ref="BE124">$G$12+VLOOKUP($Q124,武学奇术!$A:$ZZ,12,FALSE)+SUM(_xlfn.XLOOKUP($R124:$AK124,增益!$A:$A,增益!$L:$L,0))</f>
        <v>0.15</v>
      </c>
      <c r="BF124">
        <f t="shared" si="16"/>
        <v>0</v>
      </c>
      <c r="BG124">
        <f t="shared" si="17"/>
        <v>0</v>
      </c>
      <c r="BH124" s="34" cm="1">
        <f t="array" ref="BH124">IF($F$13-$I$4+VLOOKUP($Q124,武学奇术!$A:$ZZ,13,FALSE)+SUM(_xlfn.XLOOKUP($R124:$AK124,增益!$A:$A,增益!$M:$M,0))&gt;0,($F$13-$I$4+VLOOKUP($Q124,武学奇术!$A:$ZZ,13,FALSE)+SUM(_xlfn.XLOOKUP($R124:$AK124,增益!$A:$A,增益!$K:$K,0)))/200,($F$13-$I$4+VLOOKUP($Q124,武学奇术!$A:$ZZ,13,FALSE)+SUM(_xlfn.XLOOKUP($R124:$AK124,增益!$A:$A,增益!$M:$M,0)))/100)</f>
        <v>-0.14</v>
      </c>
      <c r="BI124" s="34" cm="1">
        <f t="array" ref="BI124">$G$13+VLOOKUP($Q124,武学奇术!$A:$ZZ,14,FALSE)+SUM(_xlfn.XLOOKUP($R124:$AK124,增益!$A:$A,增益!$N:$N,0))</f>
        <v>0</v>
      </c>
      <c r="BJ124">
        <f t="shared" si="18"/>
        <v>0</v>
      </c>
      <c r="BK124">
        <f t="shared" si="19"/>
        <v>0</v>
      </c>
      <c r="BL124" s="34" cm="1">
        <f t="array" ref="BL124">IF($F$14-$I$4+VLOOKUP($Q124,武学奇术!$A:$ZZ,15,FALSE)+SUM(_xlfn.XLOOKUP($R124:$AK124,增益!$A:$A,增益!$O:$O,0))&gt;0,($F$14-$I$4+VLOOKUP($Q124,武学奇术!$A:$ZZ,15,FALSE)+SUM(_xlfn.XLOOKUP($R124:$AK124,增益!$A:$A,增益!$O:$O,0)))/200,($F$14-$I$4+VLOOKUP($Q124,武学奇术!$A:$ZZ,15,FALSE)+SUM(_xlfn.XLOOKUP($R124:$AK124,增益!$A:$A,增益!$O:$O,0)))/100)</f>
        <v>-0.14</v>
      </c>
      <c r="BM124" s="34" cm="1">
        <f t="array" ref="BM124">$G$14+VLOOKUP($Q124,武学奇术!$A:$ZZ,16,FALSE)+SUM(_xlfn.XLOOKUP($R124:$AK124,增益!$A:$A,增益!$P:$P,0))</f>
        <v>0</v>
      </c>
      <c r="BN124" s="27">
        <f>MIN(IF(VLOOKUP($Q124,武学奇术!$A:$ZZ,23,FALSE)=1,100%,$B$8),100%)</f>
        <v>0.9859</v>
      </c>
      <c r="BO124" s="27" cm="1">
        <f t="array" ref="BO124">IF(VLOOKUP($Q124,武学奇术!$A:$ZZ,23,FALSE)=1,100%,MIN(80%,$B$9+VLOOKUP($Q124,武学奇术!$A:$ZZ,17,FALSE)+SUM(_xlfn.XLOOKUP($R124:$AK124,增益!$A:$A,增益!$Q:$Q,0)))+$B$11+SUM(_xlfn.XLOOKUP($R124:$AK124,增益!$A:$A,增益!$U:$U,0)))*IF(VLOOKUP($Q124,武学奇术!$A:$ZZ,24,FALSE)=1,0,1)</f>
        <v>0.8912</v>
      </c>
      <c r="BP124" s="27" cm="1">
        <f t="array" ref="BP124">1+$B$13+VLOOKUP($Q124,武学奇术!$A:$ZZ,18,FALSE)+SUM(_xlfn.XLOOKUP($R124:$AK124,增益!$A:$A,增益!$R:$R,0))</f>
        <v>1.74</v>
      </c>
      <c r="BQ124" s="27" cm="1">
        <f t="array" ref="BQ124">IF(VLOOKUP($Q124,武学奇术!$A:$ZZ,24,FALSE)=1,100%,MIN(40%,$B$10+VLOOKUP($Q124,武学奇术!$A:$ZZ,19,FALSE)+SUM(_xlfn.XLOOKUP($R124:$AK124,增益!$A:$A,增益!$S:$S,0)))+$B$12+SUM(_xlfn.XLOOKUP($R124:$AK124,增益!$A:$A,增益!$V:$V,0)))*IF(VLOOKUP($Q124,武学奇术!$A:$ZZ,23,FALSE)=1,0,1)</f>
        <v>0.0929</v>
      </c>
      <c r="BR124" s="27" cm="1">
        <f t="array" ref="BR124">1+$B$14+VLOOKUP($Q124,武学奇术!$A:$ZZ,20,FALSE)+SUM(_xlfn.XLOOKUP($R124:$AK124,增益!$A:$A,增益!$T:$T,0))</f>
        <v>1.35</v>
      </c>
      <c r="BS124" s="27">
        <f t="shared" si="20"/>
        <v>0.87863408</v>
      </c>
      <c r="BT124" s="27">
        <f t="shared" si="21"/>
        <v>0.01567581</v>
      </c>
      <c r="BU124" s="27">
        <f>IF(VLOOKUP($Q124,武学奇术!$A:$ZZ,22,FALSE)=1,0,(1-$BN124))*(1-$BQ124)</f>
        <v>0.01279011</v>
      </c>
      <c r="BV124" s="27" cm="1">
        <f t="array" ref="BV124">SUM(_xlfn.XLOOKUP($R124:$AK124,增益!$A:$A,增益!$W:$W,0))+$I$5</f>
        <v>0.11</v>
      </c>
    </row>
    <row r="125" spans="11:74">
      <c r="K125" s="40">
        <f t="shared" si="11"/>
        <v>17415.8067002737</v>
      </c>
      <c r="L125" s="40">
        <f>((($AS125+$AT125)/2*$AM125+$AN125)*(1+$AU125)*(1+$AV125)+(($AX125+$AY125)/2*IF($G$1="鸣金",$AO125,$AM125)+IF($G$1="鸣金",$AP125*1.5,0))*(1+$AZ125)*(1+$BA125)+(($BB125+$BC125)/2*IF($G$1="裂石",$AO125,$AM125)+IF($G$1="裂石",$AP125*1.5,0))*(1+$BD125)*(1+$BE125)+(($BF125+$BG125)/2*IF($G$1="牵丝",$AO125,$AM125)+IF($G$1="牵丝",$AP125*1.5,0))*(1+$BH125)*(1+$BI125)+(($BJ125+$BK125)/2*IF($G$1="破竹",$AO125,$AM125)+IF($G$1="破竹",$AP125*1.5,0))*(1+$BL125)*(1+$BM125))*(1+$AQ125)*$BP125*$P125*(1+IF(VLOOKUP($Q125,武学奇术!$A:$ZZ,30,FALSE)="蓄力技",$B$21,0))*(1+$BV125)</f>
        <v>17878.3859303538</v>
      </c>
      <c r="M125" s="40">
        <f>(($AT125*$AM125+$AN125)*(1+$AU125)*(1+$AV125)+($AY125*IF($G$1="鸣金",$AO125,$AM125)+IF($G$1="鸣金",$AP125*1.5,0))*(1+$AZ125)*(1+$BA125)+($BC125*IF($G$1="裂石",$AO125,$AM125)+IF($G$1="裂石",$AP125*1.5,0))*(1+$BD125)*(1+$BE125)+($BG125*IF($G$1="牵丝",$AO125,$AM125)+IF($G$1="牵丝",$AP125*1.5,0))*(1+$BH125)*(1+$BI125)+($BK125*IF($G$1="破竹",$AO125,$AM125)+IF($G$1="破竹",$AP125*1.5,0))*(1+$BL125)*(1+$BM125))*(1+$AQ125)*$BR125*$P125*(1+IF(VLOOKUP($Q125,武学奇术!$A:$ZZ,30,FALSE)="蓄力技",$B$21,0))*(1+$BV125)</f>
        <v>15383.0570298821</v>
      </c>
      <c r="N125" s="40">
        <f>((($AS125+$AT125)/2*$AM125+$AN125)*(1+$AU125)*(1+$AV125)+(($AX125+$AY125)/2*IF($G$1="鸣金",$AO125,$AM125)+IF($G$1="鸣金",$AP125*1.5,0))*(1+$AZ125)*(1+$BA125)+(($BB125+$BC125)/2*IF($G$1="裂石",$AO125,$AM125)+IF($G$1="裂石",$AP125*1.5,0))*(1+$BD125)*(1+$BE125)+(($BF125+$BG125)/2*IF($G$1="牵丝",$AO125,$AM125)+IF($G$1="牵丝",$AP125*1.5,0))*(1+$BH125)*(1+$BI125)+(($BJ125+$BK125)/2*IF($G$1="破竹",$AO125,$AM125)+IF($G$1="破竹",$AP125*1.5,0))*(1+$BL125)*(1+$BM125))*(1+$AQ125)*$P125*(1+IF(VLOOKUP($Q125,武学奇术!$A:$ZZ,30,FALSE)="蓄力技",$B$21,0))*(1+$BV125)</f>
        <v>10274.9344427321</v>
      </c>
      <c r="O125" s="40">
        <f>((($AS125*$AM125+$AN125)*(1+$AU125)*(1+$AV125)+($AX125*IF($G$1="鸣金",$AO125,$AM125)+IF($G$1="鸣金",$AP125*1.5,0))*(1+$AZ125)*(1+$BA125)+($BB125*IF($G$1="裂石",$AO125,$AM125)+IF($G$1="裂石",$AP125*1.5,0))*(1+$BD125)*(1+$BE125)+($BF125*IF($G$1="牵丝",$AO125,$AM125)+IF($G$1="牵丝",$AP125*1.5,0))*(1+$BH125)*(1+$BI125)+($BJ125*IF($G$1="破竹",$AO125,$AM125)+IF($G$1="破竹",$AP125*1.5,0))*(1+$BL125)*(1+$BM125))*(1+$AQ125))*$P125*(1+IF(VLOOKUP($Q125,武学奇术!$A:$ZZ,30,FALSE)="蓄力技",$B$21,0))*(1+$BV125)</f>
        <v>9155.01182629215</v>
      </c>
      <c r="P125" s="41">
        <f t="shared" si="22"/>
        <v>1</v>
      </c>
      <c r="Q125" s="42" t="s">
        <v>194</v>
      </c>
      <c r="R125" s="42" t="s">
        <v>103</v>
      </c>
      <c r="S125" s="42" t="s">
        <v>169</v>
      </c>
      <c r="T125" s="42" t="s">
        <v>86</v>
      </c>
      <c r="U125" s="42" t="s">
        <v>87</v>
      </c>
      <c r="V125" s="42" t="s">
        <v>77</v>
      </c>
      <c r="W125" s="42" t="s">
        <v>77</v>
      </c>
      <c r="X125" s="42" t="s">
        <v>176</v>
      </c>
      <c r="Y125" s="42" t="s">
        <v>77</v>
      </c>
      <c r="Z125" s="42" t="s">
        <v>77</v>
      </c>
      <c r="AA125" s="42" t="s">
        <v>77</v>
      </c>
      <c r="AB125" s="42" t="s">
        <v>77</v>
      </c>
      <c r="AC125" s="42" t="s">
        <v>77</v>
      </c>
      <c r="AD125" s="42" t="s">
        <v>77</v>
      </c>
      <c r="AE125" s="42" t="s">
        <v>81</v>
      </c>
      <c r="AF125" s="42" t="s">
        <v>82</v>
      </c>
      <c r="AG125" s="42" t="s">
        <v>77</v>
      </c>
      <c r="AH125" s="42" t="s">
        <v>77</v>
      </c>
      <c r="AI125" s="42" t="s">
        <v>77</v>
      </c>
      <c r="AJ125" s="42" t="s">
        <v>77</v>
      </c>
      <c r="AK125" s="42" t="s">
        <v>77</v>
      </c>
      <c r="AL125" t="str">
        <f>VLOOKUP($Q125,武学奇术!$A:$ZZ,25,FALSE)</f>
        <v>心法</v>
      </c>
      <c r="AM125" s="27">
        <f>VLOOKUP($Q125,武学奇术!$A:$ZZ,26,FALSE)</f>
        <v>1</v>
      </c>
      <c r="AN125" s="28">
        <f>VLOOKUP($Q125,武学奇术!$A:$ZZ,27,FALSE)*(1+IF(OR($AL125=$F$4,$AL125=$F$5),$B$22,0))</f>
        <v>0</v>
      </c>
      <c r="AO125" s="27">
        <f>VLOOKUP($Q125,武学奇术!$A:$ZZ,28,FALSE)</f>
        <v>1</v>
      </c>
      <c r="AP125" s="28">
        <f>VLOOKUP($Q125,武学奇术!$A:$ZZ,29,FALSE)*(1+IF(OR($AL125=$F$4,$AL125=$F$5),$B$22,0))</f>
        <v>0</v>
      </c>
      <c r="AQ125" s="27" cm="1">
        <f t="array" ref="AQ125">$G$3+IFERROR(VLOOKUP($AL125,$F$4:$G$7,2,FALSE),0)+VLOOKUP($Q125,武学奇术!$A:$ZZ,2,FALSE)+SUM(_xlfn.XLOOKUP($R125:$AK125,增益!$A:$A,增益!$B:$B,0))</f>
        <v>0.4837</v>
      </c>
      <c r="AR125" s="27" cm="1">
        <f t="array" ref="AR125">VLOOKUP($Q125,武学奇术!$A:$ZZ,5,FALSE)+SUM(_xlfn.XLOOKUP($R125:$AK125,增益!$A:$A,增益!$E:$E,0))</f>
        <v>0</v>
      </c>
      <c r="AS125" cm="1">
        <f t="array" ref="AS125">$D$10*(1+$AR125)+VLOOKUP($Q125,武学奇术!$A:$ZZ,3,FALSE)+SUM(_xlfn.XLOOKUP($R125:$AK125,增益!$A:$A,增益!$C:$C,0))-$I$2</f>
        <v>3586.7</v>
      </c>
      <c r="AT125" cm="1">
        <f t="array" ref="AT125">$E$10*(1+$AR125)+VLOOKUP($Q125,武学奇术!$A:$ZZ,4,FALSE)+SUM(_xlfn.XLOOKUP($R125:$AK125,增益!$A:$A,增益!$D:$D,0))-$I$2</f>
        <v>3586.7</v>
      </c>
      <c r="AU125" s="34" cm="1">
        <f t="array" ref="AU125">IF($F$10-$I$3+VLOOKUP($Q125,武学奇术!$A:$ZZ,6,FALSE)+SUM(_xlfn.XLOOKUP($R125:$AK125,增益!$A:$A,增益!$F:$F,0))&gt;0,($F$10-$I$3+VLOOKUP($Q125,武学奇术!$A:$ZZ,6,FALSE)+SUM(_xlfn.XLOOKUP($R125:$AK125,增益!$A:$A,增益!$F:$F,0)))/200,($F$10-$I$3+VLOOKUP($Q125,武学奇术!$A:$ZZ,6,FALSE)+SUM(_xlfn.XLOOKUP($R125:$AK125,增益!$A:$A,增益!$F:$F,0)))/100)</f>
        <v>0.327</v>
      </c>
      <c r="AV125" s="34" cm="1">
        <f t="array" ref="AV125">$G$10+VLOOKUP($Q125,武学奇术!$A:$ZZ,7,FALSE)+SUM(_xlfn.XLOOKUP($R125:$AK125,增益!$A:$A,增益!$G:$G,0))</f>
        <v>0</v>
      </c>
      <c r="AW125" s="27" cm="1">
        <f t="array" ref="AW125">VLOOKUP($Q125,武学奇术!$A:$ZZ,8,FALSE)+SUM(_xlfn.XLOOKUP($R125:$AK125,增益!$A:$A,增益!$H:$H,0))</f>
        <v>0</v>
      </c>
      <c r="AX125">
        <f t="shared" si="12"/>
        <v>0</v>
      </c>
      <c r="AY125">
        <f t="shared" si="13"/>
        <v>0</v>
      </c>
      <c r="AZ125" s="34" cm="1">
        <f t="array" ref="AZ125">IF($F$11-$I$4+VLOOKUP($Q125,武学奇术!$A:$ZZ,9,FALSE)+SUM(_xlfn.XLOOKUP($R125:$AK125,增益!$A:$A,增益!$I:$I,0))&gt;0,($F$11-$I$4+VLOOKUP($Q125,武学奇术!$A:$ZZ,9,FALSE)+SUM(_xlfn.XLOOKUP($R125:$AK125,增益!$A:$A,增益!$I:$I,0)))/200,($F$11-$I$4+VLOOKUP($Q125,武学奇术!$A:$ZZ,9,FALSE)+SUM(_xlfn.XLOOKUP($R125:$AK125,增益!$A:$A,增益!$I:$I,0)))/100)</f>
        <v>-0.14</v>
      </c>
      <c r="BA125" s="34" cm="1">
        <f t="array" ref="BA125">$G$11+VLOOKUP($Q125,武学奇术!$A:$ZZ,10,FALSE)+SUM(_xlfn.XLOOKUP($R125:$AK125,增益!$A:$A,增益!$J:$J,0))</f>
        <v>0</v>
      </c>
      <c r="BB125">
        <f t="shared" si="14"/>
        <v>594.1</v>
      </c>
      <c r="BC125">
        <f t="shared" si="15"/>
        <v>1604.9</v>
      </c>
      <c r="BD125" s="34" cm="1">
        <f t="array" ref="BD125">IF($F$12-$I$4+VLOOKUP($Q125,武学奇术!$A:$ZZ,11,FALSE)+SUM(_xlfn.XLOOKUP($R125:$AK125,增益!$A:$A,增益!$K:$K,0))&gt;0,($F$12-$I$4+VLOOKUP($Q125,武学奇术!$A:$ZZ,11,FALSE)+SUM(_xlfn.XLOOKUP($R125:$AK125,增益!$A:$A,增益!$K:$K,0)))/200,($F$12-$I$4+VLOOKUP($Q125,武学奇术!$A:$ZZ,11,FALSE)+SUM(_xlfn.XLOOKUP($R125:$AK125,增益!$A:$A,增益!$K:$K,0)))/100)</f>
        <v>0.17</v>
      </c>
      <c r="BE125" s="34" cm="1">
        <f t="array" ref="BE125">$G$12+VLOOKUP($Q125,武学奇术!$A:$ZZ,12,FALSE)+SUM(_xlfn.XLOOKUP($R125:$AK125,增益!$A:$A,增益!$L:$L,0))</f>
        <v>0.15</v>
      </c>
      <c r="BF125">
        <f t="shared" si="16"/>
        <v>0</v>
      </c>
      <c r="BG125">
        <f t="shared" si="17"/>
        <v>0</v>
      </c>
      <c r="BH125" s="34" cm="1">
        <f t="array" ref="BH125">IF($F$13-$I$4+VLOOKUP($Q125,武学奇术!$A:$ZZ,13,FALSE)+SUM(_xlfn.XLOOKUP($R125:$AK125,增益!$A:$A,增益!$M:$M,0))&gt;0,($F$13-$I$4+VLOOKUP($Q125,武学奇术!$A:$ZZ,13,FALSE)+SUM(_xlfn.XLOOKUP($R125:$AK125,增益!$A:$A,增益!$K:$K,0)))/200,($F$13-$I$4+VLOOKUP($Q125,武学奇术!$A:$ZZ,13,FALSE)+SUM(_xlfn.XLOOKUP($R125:$AK125,增益!$A:$A,增益!$M:$M,0)))/100)</f>
        <v>-0.14</v>
      </c>
      <c r="BI125" s="34" cm="1">
        <f t="array" ref="BI125">$G$13+VLOOKUP($Q125,武学奇术!$A:$ZZ,14,FALSE)+SUM(_xlfn.XLOOKUP($R125:$AK125,增益!$A:$A,增益!$N:$N,0))</f>
        <v>0</v>
      </c>
      <c r="BJ125">
        <f t="shared" si="18"/>
        <v>0</v>
      </c>
      <c r="BK125">
        <f t="shared" si="19"/>
        <v>0</v>
      </c>
      <c r="BL125" s="34" cm="1">
        <f t="array" ref="BL125">IF($F$14-$I$4+VLOOKUP($Q125,武学奇术!$A:$ZZ,15,FALSE)+SUM(_xlfn.XLOOKUP($R125:$AK125,增益!$A:$A,增益!$O:$O,0))&gt;0,($F$14-$I$4+VLOOKUP($Q125,武学奇术!$A:$ZZ,15,FALSE)+SUM(_xlfn.XLOOKUP($R125:$AK125,增益!$A:$A,增益!$O:$O,0)))/200,($F$14-$I$4+VLOOKUP($Q125,武学奇术!$A:$ZZ,15,FALSE)+SUM(_xlfn.XLOOKUP($R125:$AK125,增益!$A:$A,增益!$O:$O,0)))/100)</f>
        <v>-0.14</v>
      </c>
      <c r="BM125" s="34" cm="1">
        <f t="array" ref="BM125">$G$14+VLOOKUP($Q125,武学奇术!$A:$ZZ,16,FALSE)+SUM(_xlfn.XLOOKUP($R125:$AK125,增益!$A:$A,增益!$P:$P,0))</f>
        <v>0</v>
      </c>
      <c r="BN125" s="27">
        <f>MIN(IF(VLOOKUP($Q125,武学奇术!$A:$ZZ,23,FALSE)=1,100%,$B$8),100%)</f>
        <v>0.9859</v>
      </c>
      <c r="BO125" s="27" cm="1">
        <f t="array" ref="BO125">IF(VLOOKUP($Q125,武学奇术!$A:$ZZ,23,FALSE)=1,100%,MIN(80%,$B$9+VLOOKUP($Q125,武学奇术!$A:$ZZ,17,FALSE)+SUM(_xlfn.XLOOKUP($R125:$AK125,增益!$A:$A,增益!$Q:$Q,0)))+$B$11+SUM(_xlfn.XLOOKUP($R125:$AK125,增益!$A:$A,增益!$U:$U,0)))*IF(VLOOKUP($Q125,武学奇术!$A:$ZZ,24,FALSE)=1,0,1)</f>
        <v>0.8912</v>
      </c>
      <c r="BP125" s="27" cm="1">
        <f t="array" ref="BP125">1+$B$13+VLOOKUP($Q125,武学奇术!$A:$ZZ,18,FALSE)+SUM(_xlfn.XLOOKUP($R125:$AK125,增益!$A:$A,增益!$R:$R,0))</f>
        <v>1.74</v>
      </c>
      <c r="BQ125" s="27" cm="1">
        <f t="array" ref="BQ125">IF(VLOOKUP($Q125,武学奇术!$A:$ZZ,24,FALSE)=1,100%,MIN(40%,$B$10+VLOOKUP($Q125,武学奇术!$A:$ZZ,19,FALSE)+SUM(_xlfn.XLOOKUP($R125:$AK125,增益!$A:$A,增益!$S:$S,0)))+$B$12+SUM(_xlfn.XLOOKUP($R125:$AK125,增益!$A:$A,增益!$V:$V,0)))*IF(VLOOKUP($Q125,武学奇术!$A:$ZZ,23,FALSE)=1,0,1)</f>
        <v>0.0929</v>
      </c>
      <c r="BR125" s="27" cm="1">
        <f t="array" ref="BR125">1+$B$14+VLOOKUP($Q125,武学奇术!$A:$ZZ,20,FALSE)+SUM(_xlfn.XLOOKUP($R125:$AK125,增益!$A:$A,增益!$T:$T,0))</f>
        <v>1.35</v>
      </c>
      <c r="BS125" s="27">
        <f t="shared" si="20"/>
        <v>0.87863408</v>
      </c>
      <c r="BT125" s="27">
        <f t="shared" si="21"/>
        <v>0.01567581</v>
      </c>
      <c r="BU125" s="27">
        <f>IF(VLOOKUP($Q125,武学奇术!$A:$ZZ,22,FALSE)=1,0,(1-$BN125))*(1-$BQ125)</f>
        <v>0.01279011</v>
      </c>
      <c r="BV125" s="27" cm="1">
        <f t="array" ref="BV125">SUM(_xlfn.XLOOKUP($R125:$AK125,增益!$A:$A,增益!$W:$W,0))+$I$5</f>
        <v>0.11</v>
      </c>
    </row>
    <row r="126" spans="11:74">
      <c r="K126" s="40">
        <f t="shared" si="11"/>
        <v>14818.1899035698</v>
      </c>
      <c r="L126" s="40">
        <f>((($AS126+$AT126)/2*$AM126+$AN126)*(1+$AU126)*(1+$AV126)+(($AX126+$AY126)/2*IF($G$1="鸣金",$AO126,$AM126)+IF($G$1="鸣金",$AP126*1.5,0))*(1+$AZ126)*(1+$BA126)+(($BB126+$BC126)/2*IF($G$1="裂石",$AO126,$AM126)+IF($G$1="裂石",$AP126*1.5,0))*(1+$BD126)*(1+$BE126)+(($BF126+$BG126)/2*IF($G$1="牵丝",$AO126,$AM126)+IF($G$1="牵丝",$AP126*1.5,0))*(1+$BH126)*(1+$BI126)+(($BJ126+$BK126)/2*IF($G$1="破竹",$AO126,$AM126)+IF($G$1="破竹",$AP126*1.5,0))*(1+$BL126)*(1+$BM126))*(1+$AQ126)*$BP126*$P126*(1+IF(VLOOKUP($Q126,武学奇术!$A:$ZZ,30,FALSE)="蓄力技",$B$21,0))*(1+$BV126)</f>
        <v>15217.617790312</v>
      </c>
      <c r="M126" s="40">
        <f>(($AT126*$AM126+$AN126)*(1+$AU126)*(1+$AV126)+($AY126*IF($G$1="鸣金",$AO126,$AM126)+IF($G$1="鸣金",$AP126*1.5,0))*(1+$AZ126)*(1+$BA126)+($BC126*IF($G$1="裂石",$AO126,$AM126)+IF($G$1="裂石",$AP126*1.5,0))*(1+$BD126)*(1+$BE126)+($BG126*IF($G$1="牵丝",$AO126,$AM126)+IF($G$1="牵丝",$AP126*1.5,0))*(1+$BH126)*(1+$BI126)+($BK126*IF($G$1="破竹",$AO126,$AM126)+IF($G$1="破竹",$AP126*1.5,0))*(1+$BL126)*(1+$BM126))*(1+$AQ126)*$BR126*$P126*(1+IF(VLOOKUP($Q126,武学奇术!$A:$ZZ,30,FALSE)="蓄力技",$B$21,0))*(1+$BV126)</f>
        <v>13025.4248690951</v>
      </c>
      <c r="N126" s="40">
        <f>((($AS126+$AT126)/2*$AM126+$AN126)*(1+$AU126)*(1+$AV126)+(($AX126+$AY126)/2*IF($G$1="鸣金",$AO126,$AM126)+IF($G$1="鸣金",$AP126*1.5,0))*(1+$AZ126)*(1+$BA126)+(($BB126+$BC126)/2*IF($G$1="裂石",$AO126,$AM126)+IF($G$1="裂石",$AP126*1.5,0))*(1+$BD126)*(1+$BE126)+(($BF126+$BG126)/2*IF($G$1="牵丝",$AO126,$AM126)+IF($G$1="牵丝",$AP126*1.5,0))*(1+$BH126)*(1+$BI126)+(($BJ126+$BK126)/2*IF($G$1="破竹",$AO126,$AM126)+IF($G$1="破竹",$AP126*1.5,0))*(1+$BL126)*(1+$BM126))*(1+$AQ126)*$P126*(1+IF(VLOOKUP($Q126,武学奇术!$A:$ZZ,30,FALSE)="蓄力技",$B$21,0))*(1+$BV126)</f>
        <v>8745.75735075405</v>
      </c>
      <c r="O126" s="40">
        <f>((($AS126*$AM126+$AN126)*(1+$AU126)*(1+$AV126)+($AX126*IF($G$1="鸣金",$AO126,$AM126)+IF($G$1="鸣金",$AP126*1.5,0))*(1+$AZ126)*(1+$BA126)+($BB126*IF($G$1="裂石",$AO126,$AM126)+IF($G$1="裂石",$AP126*1.5,0))*(1+$BD126)*(1+$BE126)+($BF126*IF($G$1="牵丝",$AO126,$AM126)+IF($G$1="牵丝",$AP126*1.5,0))*(1+$BH126)*(1+$BI126)+($BJ126*IF($G$1="破竹",$AO126,$AM126)+IF($G$1="破竹",$AP126*1.5,0))*(1+$BL126)*(1+$BM126))*(1+$AQ126))*$P126*(1+IF(VLOOKUP($Q126,武学奇术!$A:$ZZ,30,FALSE)="蓄力技",$B$21,0))*(1+$BV126)</f>
        <v>7843.05183551175</v>
      </c>
      <c r="P126" s="41">
        <f t="shared" si="22"/>
        <v>1</v>
      </c>
      <c r="Q126" s="42" t="s">
        <v>194</v>
      </c>
      <c r="R126" s="42" t="s">
        <v>103</v>
      </c>
      <c r="S126" s="42" t="s">
        <v>77</v>
      </c>
      <c r="T126" s="42" t="s">
        <v>77</v>
      </c>
      <c r="U126" s="42" t="s">
        <v>87</v>
      </c>
      <c r="V126" s="42" t="s">
        <v>77</v>
      </c>
      <c r="W126" s="42" t="s">
        <v>77</v>
      </c>
      <c r="X126" s="42" t="s">
        <v>176</v>
      </c>
      <c r="Y126" s="42" t="s">
        <v>77</v>
      </c>
      <c r="Z126" s="42" t="s">
        <v>77</v>
      </c>
      <c r="AA126" s="42" t="s">
        <v>77</v>
      </c>
      <c r="AB126" s="42" t="s">
        <v>77</v>
      </c>
      <c r="AC126" s="42" t="s">
        <v>77</v>
      </c>
      <c r="AD126" s="42" t="s">
        <v>77</v>
      </c>
      <c r="AE126" s="42" t="s">
        <v>81</v>
      </c>
      <c r="AF126" s="42" t="s">
        <v>82</v>
      </c>
      <c r="AG126" s="42" t="s">
        <v>77</v>
      </c>
      <c r="AH126" s="42" t="s">
        <v>77</v>
      </c>
      <c r="AI126" s="42" t="s">
        <v>77</v>
      </c>
      <c r="AJ126" s="42" t="s">
        <v>77</v>
      </c>
      <c r="AK126" s="42" t="s">
        <v>77</v>
      </c>
      <c r="AL126" t="str">
        <f>VLOOKUP($Q126,武学奇术!$A:$ZZ,25,FALSE)</f>
        <v>心法</v>
      </c>
      <c r="AM126" s="27">
        <f>VLOOKUP($Q126,武学奇术!$A:$ZZ,26,FALSE)</f>
        <v>1</v>
      </c>
      <c r="AN126" s="28">
        <f>VLOOKUP($Q126,武学奇术!$A:$ZZ,27,FALSE)*(1+IF(OR($AL126=$F$4,$AL126=$F$5),$B$22,0))</f>
        <v>0</v>
      </c>
      <c r="AO126" s="27">
        <f>VLOOKUP($Q126,武学奇术!$A:$ZZ,28,FALSE)</f>
        <v>1</v>
      </c>
      <c r="AP126" s="28">
        <f>VLOOKUP($Q126,武学奇术!$A:$ZZ,29,FALSE)*(1+IF(OR($AL126=$F$4,$AL126=$F$5),$B$22,0))</f>
        <v>0</v>
      </c>
      <c r="AQ126" s="27" cm="1">
        <f t="array" ref="AQ126">$G$3+IFERROR(VLOOKUP($AL126,$F$4:$G$7,2,FALSE),0)+VLOOKUP($Q126,武学奇术!$A:$ZZ,2,FALSE)+SUM(_xlfn.XLOOKUP($R126:$AK126,增益!$A:$A,增益!$B:$B,0))</f>
        <v>0.2837</v>
      </c>
      <c r="AR126" s="27" cm="1">
        <f t="array" ref="AR126">VLOOKUP($Q126,武学奇术!$A:$ZZ,5,FALSE)+SUM(_xlfn.XLOOKUP($R126:$AK126,增益!$A:$A,增益!$E:$E,0))</f>
        <v>0</v>
      </c>
      <c r="AS126" cm="1">
        <f t="array" ref="AS126">$D$10*(1+$AR126)+VLOOKUP($Q126,武学奇术!$A:$ZZ,3,FALSE)+SUM(_xlfn.XLOOKUP($R126:$AK126,增益!$A:$A,增益!$C:$C,0))-$I$2</f>
        <v>3586.7</v>
      </c>
      <c r="AT126" cm="1">
        <f t="array" ref="AT126">$E$10*(1+$AR126)+VLOOKUP($Q126,武学奇术!$A:$ZZ,4,FALSE)+SUM(_xlfn.XLOOKUP($R126:$AK126,增益!$A:$A,增益!$D:$D,0))-$I$2</f>
        <v>3586.7</v>
      </c>
      <c r="AU126" s="34" cm="1">
        <f t="array" ref="AU126">IF($F$10-$I$3+VLOOKUP($Q126,武学奇术!$A:$ZZ,6,FALSE)+SUM(_xlfn.XLOOKUP($R126:$AK126,增益!$A:$A,增益!$F:$F,0))&gt;0,($F$10-$I$3+VLOOKUP($Q126,武学奇术!$A:$ZZ,6,FALSE)+SUM(_xlfn.XLOOKUP($R126:$AK126,增益!$A:$A,增益!$F:$F,0)))/200,($F$10-$I$3+VLOOKUP($Q126,武学奇术!$A:$ZZ,6,FALSE)+SUM(_xlfn.XLOOKUP($R126:$AK126,增益!$A:$A,增益!$F:$F,0)))/100)</f>
        <v>0.327</v>
      </c>
      <c r="AV126" s="34" cm="1">
        <f t="array" ref="AV126">$G$10+VLOOKUP($Q126,武学奇术!$A:$ZZ,7,FALSE)+SUM(_xlfn.XLOOKUP($R126:$AK126,增益!$A:$A,增益!$G:$G,0))</f>
        <v>0</v>
      </c>
      <c r="AW126" s="27" cm="1">
        <f t="array" ref="AW126">VLOOKUP($Q126,武学奇术!$A:$ZZ,8,FALSE)+SUM(_xlfn.XLOOKUP($R126:$AK126,增益!$A:$A,增益!$H:$H,0))</f>
        <v>0</v>
      </c>
      <c r="AX126">
        <f t="shared" si="12"/>
        <v>0</v>
      </c>
      <c r="AY126">
        <f t="shared" si="13"/>
        <v>0</v>
      </c>
      <c r="AZ126" s="34" cm="1">
        <f t="array" ref="AZ126">IF($F$11-$I$4+VLOOKUP($Q126,武学奇术!$A:$ZZ,9,FALSE)+SUM(_xlfn.XLOOKUP($R126:$AK126,增益!$A:$A,增益!$I:$I,0))&gt;0,($F$11-$I$4+VLOOKUP($Q126,武学奇术!$A:$ZZ,9,FALSE)+SUM(_xlfn.XLOOKUP($R126:$AK126,增益!$A:$A,增益!$I:$I,0)))/200,($F$11-$I$4+VLOOKUP($Q126,武学奇术!$A:$ZZ,9,FALSE)+SUM(_xlfn.XLOOKUP($R126:$AK126,增益!$A:$A,增益!$I:$I,0)))/100)</f>
        <v>-0.3</v>
      </c>
      <c r="BA126" s="34" cm="1">
        <f t="array" ref="BA126">$G$11+VLOOKUP($Q126,武学奇术!$A:$ZZ,10,FALSE)+SUM(_xlfn.XLOOKUP($R126:$AK126,增益!$A:$A,增益!$J:$J,0))</f>
        <v>0</v>
      </c>
      <c r="BB126">
        <f t="shared" si="14"/>
        <v>594.1</v>
      </c>
      <c r="BC126">
        <f t="shared" si="15"/>
        <v>1604.9</v>
      </c>
      <c r="BD126" s="34" cm="1">
        <f t="array" ref="BD126">IF($F$12-$I$4+VLOOKUP($Q126,武学奇术!$A:$ZZ,11,FALSE)+SUM(_xlfn.XLOOKUP($R126:$AK126,增益!$A:$A,增益!$K:$K,0))&gt;0,($F$12-$I$4+VLOOKUP($Q126,武学奇术!$A:$ZZ,11,FALSE)+SUM(_xlfn.XLOOKUP($R126:$AK126,增益!$A:$A,增益!$K:$K,0)))/200,($F$12-$I$4+VLOOKUP($Q126,武学奇术!$A:$ZZ,11,FALSE)+SUM(_xlfn.XLOOKUP($R126:$AK126,增益!$A:$A,增益!$K:$K,0)))/100)</f>
        <v>0.09</v>
      </c>
      <c r="BE126" s="34" cm="1">
        <f t="array" ref="BE126">$G$12+VLOOKUP($Q126,武学奇术!$A:$ZZ,12,FALSE)+SUM(_xlfn.XLOOKUP($R126:$AK126,增益!$A:$A,增益!$L:$L,0))</f>
        <v>0.15</v>
      </c>
      <c r="BF126">
        <f t="shared" si="16"/>
        <v>0</v>
      </c>
      <c r="BG126">
        <f t="shared" si="17"/>
        <v>0</v>
      </c>
      <c r="BH126" s="34" cm="1">
        <f t="array" ref="BH126">IF($F$13-$I$4+VLOOKUP($Q126,武学奇术!$A:$ZZ,13,FALSE)+SUM(_xlfn.XLOOKUP($R126:$AK126,增益!$A:$A,增益!$M:$M,0))&gt;0,($F$13-$I$4+VLOOKUP($Q126,武学奇术!$A:$ZZ,13,FALSE)+SUM(_xlfn.XLOOKUP($R126:$AK126,增益!$A:$A,增益!$K:$K,0)))/200,($F$13-$I$4+VLOOKUP($Q126,武学奇术!$A:$ZZ,13,FALSE)+SUM(_xlfn.XLOOKUP($R126:$AK126,增益!$A:$A,增益!$M:$M,0)))/100)</f>
        <v>-0.3</v>
      </c>
      <c r="BI126" s="34" cm="1">
        <f t="array" ref="BI126">$G$13+VLOOKUP($Q126,武学奇术!$A:$ZZ,14,FALSE)+SUM(_xlfn.XLOOKUP($R126:$AK126,增益!$A:$A,增益!$N:$N,0))</f>
        <v>0</v>
      </c>
      <c r="BJ126">
        <f t="shared" si="18"/>
        <v>0</v>
      </c>
      <c r="BK126">
        <f t="shared" si="19"/>
        <v>0</v>
      </c>
      <c r="BL126" s="34" cm="1">
        <f t="array" ref="BL126">IF($F$14-$I$4+VLOOKUP($Q126,武学奇术!$A:$ZZ,15,FALSE)+SUM(_xlfn.XLOOKUP($R126:$AK126,增益!$A:$A,增益!$O:$O,0))&gt;0,($F$14-$I$4+VLOOKUP($Q126,武学奇术!$A:$ZZ,15,FALSE)+SUM(_xlfn.XLOOKUP($R126:$AK126,增益!$A:$A,增益!$O:$O,0)))/200,($F$14-$I$4+VLOOKUP($Q126,武学奇术!$A:$ZZ,15,FALSE)+SUM(_xlfn.XLOOKUP($R126:$AK126,增益!$A:$A,增益!$O:$O,0)))/100)</f>
        <v>-0.3</v>
      </c>
      <c r="BM126" s="34" cm="1">
        <f t="array" ref="BM126">$G$14+VLOOKUP($Q126,武学奇术!$A:$ZZ,16,FALSE)+SUM(_xlfn.XLOOKUP($R126:$AK126,增益!$A:$A,增益!$P:$P,0))</f>
        <v>0</v>
      </c>
      <c r="BN126" s="27">
        <f>MIN(IF(VLOOKUP($Q126,武学奇术!$A:$ZZ,23,FALSE)=1,100%,$B$8),100%)</f>
        <v>0.9859</v>
      </c>
      <c r="BO126" s="27" cm="1">
        <f t="array" ref="BO126">IF(VLOOKUP($Q126,武学奇术!$A:$ZZ,23,FALSE)=1,100%,MIN(80%,$B$9+VLOOKUP($Q126,武学奇术!$A:$ZZ,17,FALSE)+SUM(_xlfn.XLOOKUP($R126:$AK126,增益!$A:$A,增益!$Q:$Q,0)))+$B$11+SUM(_xlfn.XLOOKUP($R126:$AK126,增益!$A:$A,增益!$U:$U,0)))*IF(VLOOKUP($Q126,武学奇术!$A:$ZZ,24,FALSE)=1,0,1)</f>
        <v>0.8912</v>
      </c>
      <c r="BP126" s="27" cm="1">
        <f t="array" ref="BP126">1+$B$13+VLOOKUP($Q126,武学奇术!$A:$ZZ,18,FALSE)+SUM(_xlfn.XLOOKUP($R126:$AK126,增益!$A:$A,增益!$R:$R,0))</f>
        <v>1.74</v>
      </c>
      <c r="BQ126" s="27" cm="1">
        <f t="array" ref="BQ126">IF(VLOOKUP($Q126,武学奇术!$A:$ZZ,24,FALSE)=1,100%,MIN(40%,$B$10+VLOOKUP($Q126,武学奇术!$A:$ZZ,19,FALSE)+SUM(_xlfn.XLOOKUP($R126:$AK126,增益!$A:$A,增益!$S:$S,0)))+$B$12+SUM(_xlfn.XLOOKUP($R126:$AK126,增益!$A:$A,增益!$V:$V,0)))*IF(VLOOKUP($Q126,武学奇术!$A:$ZZ,23,FALSE)=1,0,1)</f>
        <v>0.0929</v>
      </c>
      <c r="BR126" s="27" cm="1">
        <f t="array" ref="BR126">1+$B$14+VLOOKUP($Q126,武学奇术!$A:$ZZ,20,FALSE)+SUM(_xlfn.XLOOKUP($R126:$AK126,增益!$A:$A,增益!$T:$T,0))</f>
        <v>1.35</v>
      </c>
      <c r="BS126" s="27">
        <f t="shared" si="20"/>
        <v>0.87863408</v>
      </c>
      <c r="BT126" s="27">
        <f t="shared" si="21"/>
        <v>0.01567581</v>
      </c>
      <c r="BU126" s="27">
        <f>IF(VLOOKUP($Q126,武学奇术!$A:$ZZ,22,FALSE)=1,0,(1-$BN126))*(1-$BQ126)</f>
        <v>0.01279011</v>
      </c>
      <c r="BV126" s="27" cm="1">
        <f t="array" ref="BV126">SUM(_xlfn.XLOOKUP($R126:$AK126,增益!$A:$A,增益!$W:$W,0))+$I$5</f>
        <v>0.11</v>
      </c>
    </row>
    <row r="127" spans="11:74">
      <c r="K127" s="40">
        <f t="shared" si="11"/>
        <v>18984.7982948929</v>
      </c>
      <c r="L127" s="40">
        <f>((($AS127+$AT127)/2*$AM127+$AN127)*(1+$AU127)*(1+$AV127)+(($AX127+$AY127)/2*IF($G$1="鸣金",$AO127,$AM127)+IF($G$1="鸣金",$AP127*1.5,0))*(1+$AZ127)*(1+$BA127)+(($BB127+$BC127)/2*IF($G$1="裂石",$AO127,$AM127)+IF($G$1="裂石",$AP127*1.5,0))*(1+$BD127)*(1+$BE127)+(($BF127+$BG127)/2*IF($G$1="牵丝",$AO127,$AM127)+IF($G$1="牵丝",$AP127*1.5,0))*(1+$BH127)*(1+$BI127)+(($BJ127+$BK127)/2*IF($G$1="破竹",$AO127,$AM127)+IF($G$1="破竹",$AP127*1.5,0))*(1+$BL127)*(1+$BM127))*(1+$AQ127)*$BP127*$P127*(1+IF(VLOOKUP($Q127,武学奇术!$A:$ZZ,30,FALSE)="蓄力技",$B$21,0))*(1+$BV127)</f>
        <v>19489.0513294847</v>
      </c>
      <c r="M127" s="40">
        <f>(($AT127*$AM127+$AN127)*(1+$AU127)*(1+$AV127)+($AY127*IF($G$1="鸣金",$AO127,$AM127)+IF($G$1="鸣金",$AP127*1.5,0))*(1+$AZ127)*(1+$BA127)+($BC127*IF($G$1="裂石",$AO127,$AM127)+IF($G$1="裂石",$AP127*1.5,0))*(1+$BD127)*(1+$BE127)+($BG127*IF($G$1="牵丝",$AO127,$AM127)+IF($G$1="牵丝",$AP127*1.5,0))*(1+$BH127)*(1+$BI127)+($BK127*IF($G$1="破竹",$AO127,$AM127)+IF($G$1="破竹",$AP127*1.5,0))*(1+$BL127)*(1+$BM127))*(1+$AQ127)*$BR127*$P127*(1+IF(VLOOKUP($Q127,武学奇术!$A:$ZZ,30,FALSE)="蓄力技",$B$21,0))*(1+$BV127)</f>
        <v>16768.9180235652</v>
      </c>
      <c r="N127" s="40">
        <f>((($AS127+$AT127)/2*$AM127+$AN127)*(1+$AU127)*(1+$AV127)+(($AX127+$AY127)/2*IF($G$1="鸣金",$AO127,$AM127)+IF($G$1="鸣金",$AP127*1.5,0))*(1+$AZ127)*(1+$BA127)+(($BB127+$BC127)/2*IF($G$1="裂石",$AO127,$AM127)+IF($G$1="裂石",$AP127*1.5,0))*(1+$BD127)*(1+$BE127)+(($BF127+$BG127)/2*IF($G$1="牵丝",$AO127,$AM127)+IF($G$1="牵丝",$AP127*1.5,0))*(1+$BH127)*(1+$BI127)+(($BJ127+$BK127)/2*IF($G$1="破竹",$AO127,$AM127)+IF($G$1="破竹",$AP127*1.5,0))*(1+$BL127)*(1+$BM127))*(1+$AQ127)*$P127*(1+IF(VLOOKUP($Q127,武学奇术!$A:$ZZ,30,FALSE)="蓄力技",$B$21,0))*(1+$BV127)</f>
        <v>11200.6042123475</v>
      </c>
      <c r="O127" s="40">
        <f>((($AS127*$AM127+$AN127)*(1+$AU127)*(1+$AV127)+($AX127*IF($G$1="鸣金",$AO127,$AM127)+IF($G$1="鸣金",$AP127*1.5,0))*(1+$AZ127)*(1+$BA127)+($BB127*IF($G$1="裂石",$AO127,$AM127)+IF($G$1="裂石",$AP127*1.5,0))*(1+$BD127)*(1+$BE127)+($BF127*IF($G$1="牵丝",$AO127,$AM127)+IF($G$1="牵丝",$AP127*1.5,0))*(1+$BH127)*(1+$BI127)+($BJ127*IF($G$1="破竹",$AO127,$AM127)+IF($G$1="破竹",$AP127*1.5,0))*(1+$BL127)*(1+$BM127))*(1+$AQ127))*$P127*(1+IF(VLOOKUP($Q127,武学奇术!$A:$ZZ,30,FALSE)="蓄力技",$B$21,0))*(1+$BV127)</f>
        <v>9979.78766649865</v>
      </c>
      <c r="P127" s="41">
        <f t="shared" si="22"/>
        <v>1</v>
      </c>
      <c r="Q127" s="42" t="s">
        <v>194</v>
      </c>
      <c r="R127" s="42" t="s">
        <v>103</v>
      </c>
      <c r="S127" s="42" t="s">
        <v>169</v>
      </c>
      <c r="T127" s="42" t="s">
        <v>86</v>
      </c>
      <c r="U127" s="42" t="s">
        <v>87</v>
      </c>
      <c r="V127" s="42" t="s">
        <v>77</v>
      </c>
      <c r="W127" s="42" t="s">
        <v>77</v>
      </c>
      <c r="X127" s="42" t="s">
        <v>176</v>
      </c>
      <c r="Y127" s="42" t="s">
        <v>186</v>
      </c>
      <c r="Z127" s="42" t="s">
        <v>77</v>
      </c>
      <c r="AA127" s="42" t="s">
        <v>77</v>
      </c>
      <c r="AB127" s="42" t="s">
        <v>77</v>
      </c>
      <c r="AC127" s="42" t="s">
        <v>77</v>
      </c>
      <c r="AD127" s="42" t="s">
        <v>77</v>
      </c>
      <c r="AE127" s="42" t="s">
        <v>81</v>
      </c>
      <c r="AF127" s="42" t="s">
        <v>82</v>
      </c>
      <c r="AG127" s="42" t="s">
        <v>77</v>
      </c>
      <c r="AH127" s="42" t="s">
        <v>77</v>
      </c>
      <c r="AI127" s="42" t="s">
        <v>77</v>
      </c>
      <c r="AJ127" s="42" t="s">
        <v>77</v>
      </c>
      <c r="AK127" s="42" t="s">
        <v>77</v>
      </c>
      <c r="AL127" t="str">
        <f>VLOOKUP($Q127,武学奇术!$A:$ZZ,25,FALSE)</f>
        <v>心法</v>
      </c>
      <c r="AM127" s="27">
        <f>VLOOKUP($Q127,武学奇术!$A:$ZZ,26,FALSE)</f>
        <v>1</v>
      </c>
      <c r="AN127" s="28">
        <f>VLOOKUP($Q127,武学奇术!$A:$ZZ,27,FALSE)*(1+IF(OR($AL127=$F$4,$AL127=$F$5),$B$22,0))</f>
        <v>0</v>
      </c>
      <c r="AO127" s="27">
        <f>VLOOKUP($Q127,武学奇术!$A:$ZZ,28,FALSE)</f>
        <v>1</v>
      </c>
      <c r="AP127" s="28">
        <f>VLOOKUP($Q127,武学奇术!$A:$ZZ,29,FALSE)*(1+IF(OR($AL127=$F$4,$AL127=$F$5),$B$22,0))</f>
        <v>0</v>
      </c>
      <c r="AQ127" s="27" cm="1">
        <f t="array" ref="AQ127">$G$3+IFERROR(VLOOKUP($AL127,$F$4:$G$7,2,FALSE),0)+VLOOKUP($Q127,武学奇术!$A:$ZZ,2,FALSE)+SUM(_xlfn.XLOOKUP($R127:$AK127,增益!$A:$A,增益!$B:$B,0))</f>
        <v>0.4837</v>
      </c>
      <c r="AR127" s="27" cm="1">
        <f t="array" ref="AR127">VLOOKUP($Q127,武学奇术!$A:$ZZ,5,FALSE)+SUM(_xlfn.XLOOKUP($R127:$AK127,增益!$A:$A,增益!$E:$E,0))</f>
        <v>0</v>
      </c>
      <c r="AS127" cm="1">
        <f t="array" ref="AS127">$D$10*(1+$AR127)+VLOOKUP($Q127,武学奇术!$A:$ZZ,3,FALSE)+SUM(_xlfn.XLOOKUP($R127:$AK127,增益!$A:$A,增益!$C:$C,0))-$I$2</f>
        <v>3586.7</v>
      </c>
      <c r="AT127" cm="1">
        <f t="array" ref="AT127">$E$10*(1+$AR127)+VLOOKUP($Q127,武学奇术!$A:$ZZ,4,FALSE)+SUM(_xlfn.XLOOKUP($R127:$AK127,增益!$A:$A,增益!$D:$D,0))-$I$2</f>
        <v>3586.7</v>
      </c>
      <c r="AU127" s="34" cm="1">
        <f t="array" ref="AU127">IF($F$10-$I$3+VLOOKUP($Q127,武学奇术!$A:$ZZ,6,FALSE)+SUM(_xlfn.XLOOKUP($R127:$AK127,增益!$A:$A,增益!$F:$F,0))&gt;0,($F$10-$I$3+VLOOKUP($Q127,武学奇术!$A:$ZZ,6,FALSE)+SUM(_xlfn.XLOOKUP($R127:$AK127,增益!$A:$A,增益!$F:$F,0)))/200,($F$10-$I$3+VLOOKUP($Q127,武学奇术!$A:$ZZ,6,FALSE)+SUM(_xlfn.XLOOKUP($R127:$AK127,增益!$A:$A,增益!$F:$F,0)))/100)</f>
        <v>0.327</v>
      </c>
      <c r="AV127" s="34" cm="1">
        <f t="array" ref="AV127">$G$10+VLOOKUP($Q127,武学奇术!$A:$ZZ,7,FALSE)+SUM(_xlfn.XLOOKUP($R127:$AK127,增益!$A:$A,增益!$G:$G,0))</f>
        <v>0</v>
      </c>
      <c r="AW127" s="27" cm="1">
        <f t="array" ref="AW127">VLOOKUP($Q127,武学奇术!$A:$ZZ,8,FALSE)+SUM(_xlfn.XLOOKUP($R127:$AK127,增益!$A:$A,增益!$H:$H,0))</f>
        <v>0</v>
      </c>
      <c r="AX127">
        <f t="shared" si="12"/>
        <v>0</v>
      </c>
      <c r="AY127">
        <f t="shared" si="13"/>
        <v>0</v>
      </c>
      <c r="AZ127" s="34" cm="1">
        <f t="array" ref="AZ127">IF($F$11-$I$4+VLOOKUP($Q127,武学奇术!$A:$ZZ,9,FALSE)+SUM(_xlfn.XLOOKUP($R127:$AK127,增益!$A:$A,增益!$I:$I,0))&gt;0,($F$11-$I$4+VLOOKUP($Q127,武学奇术!$A:$ZZ,9,FALSE)+SUM(_xlfn.XLOOKUP($R127:$AK127,增益!$A:$A,增益!$I:$I,0)))/200,($F$11-$I$4+VLOOKUP($Q127,武学奇术!$A:$ZZ,9,FALSE)+SUM(_xlfn.XLOOKUP($R127:$AK127,增益!$A:$A,增益!$I:$I,0)))/100)</f>
        <v>-0.14</v>
      </c>
      <c r="BA127" s="34" cm="1">
        <f t="array" ref="BA127">$G$11+VLOOKUP($Q127,武学奇术!$A:$ZZ,10,FALSE)+SUM(_xlfn.XLOOKUP($R127:$AK127,增益!$A:$A,增益!$J:$J,0))</f>
        <v>0</v>
      </c>
      <c r="BB127">
        <f t="shared" si="14"/>
        <v>594.1</v>
      </c>
      <c r="BC127">
        <f t="shared" si="15"/>
        <v>1604.9</v>
      </c>
      <c r="BD127" s="34" cm="1">
        <f t="array" ref="BD127">IF($F$12-$I$4+VLOOKUP($Q127,武学奇术!$A:$ZZ,11,FALSE)+SUM(_xlfn.XLOOKUP($R127:$AK127,增益!$A:$A,增益!$K:$K,0))&gt;0,($F$12-$I$4+VLOOKUP($Q127,武学奇术!$A:$ZZ,11,FALSE)+SUM(_xlfn.XLOOKUP($R127:$AK127,增益!$A:$A,增益!$K:$K,0)))/200,($F$12-$I$4+VLOOKUP($Q127,武学奇术!$A:$ZZ,11,FALSE)+SUM(_xlfn.XLOOKUP($R127:$AK127,增益!$A:$A,增益!$K:$K,0)))/100)</f>
        <v>0.17</v>
      </c>
      <c r="BE127" s="34" cm="1">
        <f t="array" ref="BE127">$G$12+VLOOKUP($Q127,武学奇术!$A:$ZZ,12,FALSE)+SUM(_xlfn.XLOOKUP($R127:$AK127,增益!$A:$A,增益!$L:$L,0))</f>
        <v>0.15</v>
      </c>
      <c r="BF127">
        <f t="shared" si="16"/>
        <v>0</v>
      </c>
      <c r="BG127">
        <f t="shared" si="17"/>
        <v>0</v>
      </c>
      <c r="BH127" s="34" cm="1">
        <f t="array" ref="BH127">IF($F$13-$I$4+VLOOKUP($Q127,武学奇术!$A:$ZZ,13,FALSE)+SUM(_xlfn.XLOOKUP($R127:$AK127,增益!$A:$A,增益!$M:$M,0))&gt;0,($F$13-$I$4+VLOOKUP($Q127,武学奇术!$A:$ZZ,13,FALSE)+SUM(_xlfn.XLOOKUP($R127:$AK127,增益!$A:$A,增益!$K:$K,0)))/200,($F$13-$I$4+VLOOKUP($Q127,武学奇术!$A:$ZZ,13,FALSE)+SUM(_xlfn.XLOOKUP($R127:$AK127,增益!$A:$A,增益!$M:$M,0)))/100)</f>
        <v>-0.14</v>
      </c>
      <c r="BI127" s="34" cm="1">
        <f t="array" ref="BI127">$G$13+VLOOKUP($Q127,武学奇术!$A:$ZZ,14,FALSE)+SUM(_xlfn.XLOOKUP($R127:$AK127,增益!$A:$A,增益!$N:$N,0))</f>
        <v>0</v>
      </c>
      <c r="BJ127">
        <f t="shared" si="18"/>
        <v>0</v>
      </c>
      <c r="BK127">
        <f t="shared" si="19"/>
        <v>0</v>
      </c>
      <c r="BL127" s="34" cm="1">
        <f t="array" ref="BL127">IF($F$14-$I$4+VLOOKUP($Q127,武学奇术!$A:$ZZ,15,FALSE)+SUM(_xlfn.XLOOKUP($R127:$AK127,增益!$A:$A,增益!$O:$O,0))&gt;0,($F$14-$I$4+VLOOKUP($Q127,武学奇术!$A:$ZZ,15,FALSE)+SUM(_xlfn.XLOOKUP($R127:$AK127,增益!$A:$A,增益!$O:$O,0)))/200,($F$14-$I$4+VLOOKUP($Q127,武学奇术!$A:$ZZ,15,FALSE)+SUM(_xlfn.XLOOKUP($R127:$AK127,增益!$A:$A,增益!$O:$O,0)))/100)</f>
        <v>-0.14</v>
      </c>
      <c r="BM127" s="34" cm="1">
        <f t="array" ref="BM127">$G$14+VLOOKUP($Q127,武学奇术!$A:$ZZ,16,FALSE)+SUM(_xlfn.XLOOKUP($R127:$AK127,增益!$A:$A,增益!$P:$P,0))</f>
        <v>0</v>
      </c>
      <c r="BN127" s="27">
        <f>MIN(IF(VLOOKUP($Q127,武学奇术!$A:$ZZ,23,FALSE)=1,100%,$B$8),100%)</f>
        <v>0.9859</v>
      </c>
      <c r="BO127" s="27" cm="1">
        <f t="array" ref="BO127">IF(VLOOKUP($Q127,武学奇术!$A:$ZZ,23,FALSE)=1,100%,MIN(80%,$B$9+VLOOKUP($Q127,武学奇术!$A:$ZZ,17,FALSE)+SUM(_xlfn.XLOOKUP($R127:$AK127,增益!$A:$A,增益!$Q:$Q,0)))+$B$11+SUM(_xlfn.XLOOKUP($R127:$AK127,增益!$A:$A,增益!$U:$U,0)))*IF(VLOOKUP($Q127,武学奇术!$A:$ZZ,24,FALSE)=1,0,1)</f>
        <v>0.8912</v>
      </c>
      <c r="BP127" s="27" cm="1">
        <f t="array" ref="BP127">1+$B$13+VLOOKUP($Q127,武学奇术!$A:$ZZ,18,FALSE)+SUM(_xlfn.XLOOKUP($R127:$AK127,增益!$A:$A,增益!$R:$R,0))</f>
        <v>1.74</v>
      </c>
      <c r="BQ127" s="27" cm="1">
        <f t="array" ref="BQ127">IF(VLOOKUP($Q127,武学奇术!$A:$ZZ,24,FALSE)=1,100%,MIN(40%,$B$10+VLOOKUP($Q127,武学奇术!$A:$ZZ,19,FALSE)+SUM(_xlfn.XLOOKUP($R127:$AK127,增益!$A:$A,增益!$S:$S,0)))+$B$12+SUM(_xlfn.XLOOKUP($R127:$AK127,增益!$A:$A,增益!$V:$V,0)))*IF(VLOOKUP($Q127,武学奇术!$A:$ZZ,23,FALSE)=1,0,1)</f>
        <v>0.0929</v>
      </c>
      <c r="BR127" s="27" cm="1">
        <f t="array" ref="BR127">1+$B$14+VLOOKUP($Q127,武学奇术!$A:$ZZ,20,FALSE)+SUM(_xlfn.XLOOKUP($R127:$AK127,增益!$A:$A,增益!$T:$T,0))</f>
        <v>1.35</v>
      </c>
      <c r="BS127" s="27">
        <f t="shared" si="20"/>
        <v>0.87863408</v>
      </c>
      <c r="BT127" s="27">
        <f t="shared" si="21"/>
        <v>0.01567581</v>
      </c>
      <c r="BU127" s="27">
        <f>IF(VLOOKUP($Q127,武学奇术!$A:$ZZ,22,FALSE)=1,0,(1-$BN127))*(1-$BQ127)</f>
        <v>0.01279011</v>
      </c>
      <c r="BV127" s="27" cm="1">
        <f t="array" ref="BV127">SUM(_xlfn.XLOOKUP($R127:$AK127,增益!$A:$A,增益!$W:$W,0))+$I$5</f>
        <v>0.21</v>
      </c>
    </row>
  </sheetData>
  <mergeCells count="16">
    <mergeCell ref="H1:I1"/>
    <mergeCell ref="C8:G8"/>
    <mergeCell ref="C15:D15"/>
    <mergeCell ref="E21:F21"/>
    <mergeCell ref="E22:F22"/>
    <mergeCell ref="A23:A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conditionalFormatting sqref="F18">
    <cfRule type="cellIs" dxfId="0" priority="1" operator="greaterThanOrEqual">
      <formula>0.7</formula>
    </cfRule>
    <cfRule type="cellIs" dxfId="1" priority="2" operator="lessThan">
      <formula>0.7</formula>
    </cfRule>
  </conditionalFormatting>
  <dataValidations count="4">
    <dataValidation type="list" allowBlank="1" showInputMessage="1" showErrorMessage="1" sqref="G1">
      <formula1>"鸣金,裂石,牵丝,破竹"</formula1>
    </dataValidation>
    <dataValidation type="list" allowBlank="1" showInputMessage="1" showErrorMessage="1" sqref="D16:D18 D20:D22 F15:F17">
      <formula1>"√,×"</formula1>
    </dataValidation>
    <dataValidation type="list" allowBlank="1" showInputMessage="1" showErrorMessage="1" sqref="Q2:Q127">
      <formula1>武学奇术!$A:$A</formula1>
    </dataValidation>
    <dataValidation type="list" allowBlank="1" showInputMessage="1" showErrorMessage="1" sqref="R2:AK127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8"/>
  <sheetViews>
    <sheetView workbookViewId="0">
      <selection activeCell="H36" sqref="H36"/>
    </sheetView>
  </sheetViews>
  <sheetFormatPr defaultColWidth="9" defaultRowHeight="13.5"/>
  <cols>
    <col min="1" max="1" width="21.5" customWidth="1"/>
    <col min="2" max="2" width="9.00833333333333" customWidth="1"/>
    <col min="17" max="17" width="9" style="27"/>
    <col min="26" max="26" width="9.375" style="27"/>
    <col min="27" max="27" width="9" style="28"/>
    <col min="28" max="28" width="9.375" style="27"/>
    <col min="29" max="29" width="9" style="28"/>
  </cols>
  <sheetData>
    <row r="1" spans="1:30">
      <c r="B1" t="s">
        <v>39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s="27" t="s">
        <v>111</v>
      </c>
      <c r="R1" t="s">
        <v>202</v>
      </c>
      <c r="S1" t="s">
        <v>115</v>
      </c>
      <c r="T1" t="s">
        <v>203</v>
      </c>
      <c r="U1" t="s">
        <v>204</v>
      </c>
      <c r="V1" t="s">
        <v>205</v>
      </c>
      <c r="W1" t="s">
        <v>206</v>
      </c>
      <c r="X1" t="s">
        <v>207</v>
      </c>
      <c r="Y1" t="s">
        <v>34</v>
      </c>
      <c r="Z1" s="27" t="s">
        <v>35</v>
      </c>
      <c r="AA1" s="28" t="s">
        <v>36</v>
      </c>
      <c r="AB1" s="27" t="s">
        <v>37</v>
      </c>
      <c r="AC1" s="28" t="s">
        <v>38</v>
      </c>
      <c r="AD1" t="s">
        <v>208</v>
      </c>
    </row>
    <row r="2" spans="1:30">
      <c r="A2" t="s">
        <v>110</v>
      </c>
      <c r="R2" s="29">
        <v>0.21</v>
      </c>
      <c r="Y2" s="30" t="s">
        <v>97</v>
      </c>
      <c r="Z2" s="30">
        <v>1.4</v>
      </c>
      <c r="AA2" s="31"/>
      <c r="AB2" s="30">
        <v>2.1</v>
      </c>
    </row>
    <row r="3" spans="1:30">
      <c r="A3" t="s">
        <v>180</v>
      </c>
      <c r="B3" s="29">
        <v>0.1</v>
      </c>
      <c r="R3" s="29">
        <v>0.21</v>
      </c>
      <c r="Y3" s="30" t="s">
        <v>97</v>
      </c>
      <c r="Z3" s="30">
        <v>2.8245</v>
      </c>
      <c r="AA3" s="31">
        <f>575*1.36</f>
        <v>782</v>
      </c>
      <c r="AB3" s="30">
        <f>311.53%*1.36</f>
        <v>4.236808</v>
      </c>
      <c r="AC3" s="28">
        <v>425</v>
      </c>
    </row>
    <row r="4" customFormat="1" spans="1:30">
      <c r="A4" t="s">
        <v>209</v>
      </c>
      <c r="B4" s="29">
        <v>0.1</v>
      </c>
      <c r="Q4" s="27"/>
      <c r="R4" s="29">
        <v>0.21</v>
      </c>
      <c r="Y4" s="30" t="s">
        <v>97</v>
      </c>
      <c r="Z4" s="30">
        <v>3.6553</v>
      </c>
      <c r="AA4" s="31">
        <v>1012</v>
      </c>
      <c r="AB4" s="30">
        <v>5.4829</v>
      </c>
      <c r="AC4" s="28">
        <v>550</v>
      </c>
    </row>
    <row r="5" spans="1:30">
      <c r="A5" t="s">
        <v>182</v>
      </c>
      <c r="R5" s="29">
        <v>0.21</v>
      </c>
      <c r="Y5" s="30" t="s">
        <v>97</v>
      </c>
      <c r="Z5" s="27">
        <f>146.97%+97.98%</f>
        <v>2.4495</v>
      </c>
      <c r="AA5" s="28">
        <f>406+271</f>
        <v>677</v>
      </c>
      <c r="AB5" s="27">
        <f>220.46%+146.97%</f>
        <v>3.6743</v>
      </c>
      <c r="AC5" s="28">
        <f>221+147</f>
        <v>368</v>
      </c>
    </row>
    <row r="6" spans="1:30">
      <c r="A6" t="s">
        <v>164</v>
      </c>
      <c r="R6" s="29">
        <v>0.21</v>
      </c>
      <c r="Y6" s="30" t="s">
        <v>97</v>
      </c>
      <c r="Z6" s="27">
        <f>37.8%+151.19%+188.98%</f>
        <v>3.7797</v>
      </c>
      <c r="AA6" s="28">
        <f>104+418+523</f>
        <v>1045</v>
      </c>
      <c r="AB6" s="27">
        <f>56.7%+226.78%+283.48%</f>
        <v>5.6696</v>
      </c>
      <c r="AC6" s="28">
        <f>57+228+285</f>
        <v>570</v>
      </c>
    </row>
    <row r="7" spans="1:30">
      <c r="A7" t="s">
        <v>162</v>
      </c>
      <c r="R7" s="29">
        <v>0.21</v>
      </c>
      <c r="Y7" s="30" t="s">
        <v>97</v>
      </c>
      <c r="Z7" s="27">
        <v>1.2338</v>
      </c>
      <c r="AA7" s="28">
        <v>342</v>
      </c>
      <c r="AB7" s="27">
        <v>1.8507</v>
      </c>
      <c r="AC7" s="28">
        <v>186</v>
      </c>
    </row>
    <row r="8" spans="1:30">
      <c r="A8" t="s">
        <v>106</v>
      </c>
      <c r="R8" s="29">
        <v>0.21</v>
      </c>
      <c r="Y8" s="30" t="s">
        <v>97</v>
      </c>
      <c r="Z8" s="27">
        <v>2.1324</v>
      </c>
      <c r="AA8" s="28">
        <v>590</v>
      </c>
      <c r="AB8" s="27">
        <v>3.1986</v>
      </c>
      <c r="AC8" s="28">
        <v>322</v>
      </c>
    </row>
    <row r="9" spans="1:30">
      <c r="A9" t="s">
        <v>179</v>
      </c>
      <c r="R9" s="29">
        <v>0.21</v>
      </c>
      <c r="Y9" s="30" t="s">
        <v>97</v>
      </c>
      <c r="Z9" s="27">
        <v>0.6486</v>
      </c>
      <c r="AA9" s="28">
        <v>180</v>
      </c>
      <c r="AB9" s="27">
        <v>0.9729</v>
      </c>
      <c r="AC9" s="28">
        <v>98</v>
      </c>
    </row>
    <row r="10" spans="1:30">
      <c r="A10" t="s">
        <v>120</v>
      </c>
      <c r="Q10" s="27">
        <f>IF(期望!$F$18&lt;75%,15%,0)</f>
        <v>0</v>
      </c>
      <c r="R10" s="29">
        <v>0.21</v>
      </c>
      <c r="W10">
        <f>IF(期望!$F$18&gt;=75%,1,0)</f>
        <v>1</v>
      </c>
      <c r="Y10" t="s">
        <v>91</v>
      </c>
      <c r="Z10" s="27">
        <f>227.02%+529.72%</f>
        <v>7.5674</v>
      </c>
      <c r="AA10" s="28">
        <f>628+1465</f>
        <v>2093</v>
      </c>
      <c r="AB10" s="27">
        <f>340.54%+794.58%</f>
        <v>11.3512</v>
      </c>
      <c r="AC10" s="28">
        <f>342+798</f>
        <v>1140</v>
      </c>
      <c r="AD10" t="s">
        <v>210</v>
      </c>
    </row>
    <row r="11" customFormat="1" spans="1:30">
      <c r="A11" t="s">
        <v>211</v>
      </c>
      <c r="Q11" s="27">
        <f>IF(期望!$F$18&lt;75%,15%,0)</f>
        <v>0</v>
      </c>
      <c r="R11" s="29">
        <v>0.21</v>
      </c>
      <c r="Y11" t="s">
        <v>91</v>
      </c>
      <c r="Z11" s="27">
        <f>227.02%+529.72%</f>
        <v>7.5674</v>
      </c>
      <c r="AA11" s="28">
        <f>628+1465</f>
        <v>2093</v>
      </c>
      <c r="AB11" s="27">
        <f>340.54%+794.58%</f>
        <v>11.3512</v>
      </c>
      <c r="AC11" s="28">
        <f>342+798</f>
        <v>1140</v>
      </c>
      <c r="AD11" t="s">
        <v>210</v>
      </c>
    </row>
    <row r="12" spans="1:30">
      <c r="A12" t="s">
        <v>125</v>
      </c>
      <c r="Q12" s="27">
        <f>IF(期望!$F$18&lt;75%,15%,0)</f>
        <v>0</v>
      </c>
      <c r="R12" s="29">
        <v>0.21</v>
      </c>
      <c r="W12">
        <f>IF(期望!$F$18&gt;=75%,1,0)</f>
        <v>1</v>
      </c>
      <c r="Y12" t="s">
        <v>91</v>
      </c>
      <c r="Z12" s="30">
        <v>0.5</v>
      </c>
      <c r="AA12" s="31"/>
      <c r="AB12" s="30">
        <v>0.75</v>
      </c>
      <c r="AD12" t="s">
        <v>210</v>
      </c>
    </row>
    <row r="13" spans="1:30">
      <c r="A13" t="s">
        <v>117</v>
      </c>
      <c r="Q13" s="27">
        <f>IF(期望!$F$18&lt;75%,15%,0)</f>
        <v>0</v>
      </c>
      <c r="R13" s="29">
        <v>0.21</v>
      </c>
      <c r="W13">
        <f>IF(期望!$F$18&gt;=75%,1,0)</f>
        <v>1</v>
      </c>
      <c r="Y13" t="s">
        <v>91</v>
      </c>
      <c r="Z13" s="30">
        <v>0.9</v>
      </c>
      <c r="AA13" s="31"/>
      <c r="AB13" s="30">
        <v>1.35</v>
      </c>
      <c r="AD13" t="s">
        <v>210</v>
      </c>
    </row>
    <row r="14" customFormat="1" spans="1:30">
      <c r="A14" t="s">
        <v>156</v>
      </c>
      <c r="Q14" s="27"/>
      <c r="R14" s="29">
        <v>0.21</v>
      </c>
      <c r="Y14" t="s">
        <v>91</v>
      </c>
      <c r="Z14" s="30">
        <f>171.99%+401.31%</f>
        <v>5.733</v>
      </c>
      <c r="AA14" s="31">
        <f>475+1110</f>
        <v>1585</v>
      </c>
      <c r="AB14" s="30">
        <f>257.98%+601.96%</f>
        <v>8.5994</v>
      </c>
      <c r="AC14" s="28">
        <f>259+604</f>
        <v>863</v>
      </c>
      <c r="AD14" t="s">
        <v>210</v>
      </c>
    </row>
    <row r="15" customFormat="1" spans="1:30">
      <c r="A15" t="s">
        <v>112</v>
      </c>
      <c r="Q15" s="27"/>
      <c r="R15" s="29">
        <v>0.21</v>
      </c>
      <c r="Y15" t="s">
        <v>91</v>
      </c>
      <c r="Z15" s="30">
        <v>0.5</v>
      </c>
      <c r="AA15" s="31"/>
      <c r="AB15" s="30">
        <v>0.75</v>
      </c>
      <c r="AC15" s="28"/>
      <c r="AD15" t="s">
        <v>210</v>
      </c>
    </row>
    <row r="16" customFormat="1" spans="1:30">
      <c r="A16" t="s">
        <v>155</v>
      </c>
      <c r="Q16" s="27"/>
      <c r="R16" s="29">
        <v>0.21</v>
      </c>
      <c r="Y16" t="s">
        <v>91</v>
      </c>
      <c r="Z16" s="30">
        <v>0.9</v>
      </c>
      <c r="AA16" s="31"/>
      <c r="AB16" s="30">
        <v>1.35</v>
      </c>
      <c r="AC16" s="28"/>
      <c r="AD16" t="s">
        <v>210</v>
      </c>
    </row>
    <row r="17" customFormat="1" spans="1:31">
      <c r="A17" t="s">
        <v>212</v>
      </c>
      <c r="Q17" s="27"/>
      <c r="R17" s="29">
        <v>0.21</v>
      </c>
      <c r="W17">
        <f>IF(期望!$F$18&gt;=75%,1,0)</f>
        <v>1</v>
      </c>
      <c r="Y17" t="s">
        <v>91</v>
      </c>
      <c r="Z17" s="27">
        <f>39.72%+92.69%</f>
        <v>1.3241</v>
      </c>
      <c r="AA17" s="28">
        <f>110+256</f>
        <v>366</v>
      </c>
      <c r="AB17" s="27">
        <f>59.58%+139.03%</f>
        <v>1.9861</v>
      </c>
      <c r="AC17" s="28">
        <f>60+140</f>
        <v>200</v>
      </c>
      <c r="AD17" t="s">
        <v>210</v>
      </c>
    </row>
    <row r="18" spans="1:31">
      <c r="A18" t="s">
        <v>157</v>
      </c>
      <c r="R18" s="29">
        <v>0.21</v>
      </c>
      <c r="Y18" t="s">
        <v>91</v>
      </c>
      <c r="Z18" s="27">
        <v>1.8948</v>
      </c>
      <c r="AA18" s="28">
        <v>525</v>
      </c>
      <c r="AB18" s="27">
        <v>2.8422</v>
      </c>
      <c r="AC18" s="28">
        <v>286</v>
      </c>
    </row>
    <row r="19" spans="1:31">
      <c r="A19" t="s">
        <v>159</v>
      </c>
      <c r="R19" s="29">
        <v>0.21</v>
      </c>
      <c r="Y19" t="s">
        <v>91</v>
      </c>
      <c r="Z19" s="27">
        <v>1</v>
      </c>
      <c r="AB19" s="27">
        <v>1.5</v>
      </c>
    </row>
    <row r="20" customFormat="1" spans="1:31">
      <c r="A20" t="s">
        <v>213</v>
      </c>
      <c r="Q20" s="27"/>
      <c r="R20" s="29"/>
      <c r="Y20" t="s">
        <v>105</v>
      </c>
      <c r="Z20" s="27">
        <f>198.73%*2</f>
        <v>3.9746</v>
      </c>
      <c r="AA20" s="28">
        <f>504*2</f>
        <v>1008</v>
      </c>
      <c r="AB20" s="27">
        <f t="shared" ref="AB20:AB35" si="0">Z20*1.5</f>
        <v>5.9619</v>
      </c>
      <c r="AC20" s="28"/>
      <c r="AE20">
        <v>1</v>
      </c>
    </row>
    <row r="21" customFormat="1" spans="1:31">
      <c r="A21" t="s">
        <v>75</v>
      </c>
      <c r="Q21" s="27"/>
      <c r="R21" s="29"/>
      <c r="Y21" t="s">
        <v>105</v>
      </c>
      <c r="Z21" s="27">
        <f>74.52%*2</f>
        <v>1.4904</v>
      </c>
      <c r="AA21" s="28">
        <f>189*2</f>
        <v>378</v>
      </c>
      <c r="AB21" s="27">
        <f t="shared" si="0"/>
        <v>2.2356</v>
      </c>
      <c r="AC21" s="28"/>
      <c r="AE21">
        <v>1</v>
      </c>
    </row>
    <row r="22" customFormat="1" spans="1:31">
      <c r="A22" t="s">
        <v>193</v>
      </c>
      <c r="B22" s="29"/>
      <c r="E22" s="29"/>
      <c r="G22" s="29"/>
      <c r="N22" s="29"/>
      <c r="R22" s="29"/>
      <c r="Y22" t="s">
        <v>105</v>
      </c>
      <c r="Z22" s="27">
        <f>254.71%*2.7*1.5</f>
        <v>10.315755</v>
      </c>
      <c r="AA22" s="28">
        <f>492*2.7*1.5</f>
        <v>1992.6</v>
      </c>
      <c r="AB22" s="27">
        <f t="shared" si="0"/>
        <v>15.4736325</v>
      </c>
      <c r="AC22" s="28"/>
      <c r="AE22">
        <v>1</v>
      </c>
    </row>
    <row r="23" customFormat="1" spans="1:31">
      <c r="A23" t="s">
        <v>149</v>
      </c>
      <c r="B23" s="29"/>
      <c r="Q23" s="27"/>
      <c r="R23" s="29"/>
      <c r="Y23" t="s">
        <v>102</v>
      </c>
      <c r="Z23" s="27">
        <f>319.88%+390.96%</f>
        <v>7.1084</v>
      </c>
      <c r="AA23" s="28">
        <f>616+753</f>
        <v>1369</v>
      </c>
      <c r="AB23" s="27">
        <f t="shared" si="0"/>
        <v>10.6626</v>
      </c>
      <c r="AC23" s="28"/>
      <c r="AE23">
        <v>1</v>
      </c>
    </row>
    <row r="24" customFormat="1" spans="1:31">
      <c r="A24" t="s">
        <v>214</v>
      </c>
      <c r="B24" s="29">
        <v>0.47</v>
      </c>
      <c r="Q24" s="27"/>
      <c r="R24" s="29"/>
      <c r="V24">
        <v>1</v>
      </c>
      <c r="Y24" t="s">
        <v>102</v>
      </c>
      <c r="Z24" s="27">
        <f>1636.48%*2.2*0.7</f>
        <v>25.201792</v>
      </c>
      <c r="AA24" s="28">
        <f>3162*2.2*0.7</f>
        <v>4869.48</v>
      </c>
      <c r="AB24" s="27">
        <f t="shared" si="0"/>
        <v>37.802688</v>
      </c>
      <c r="AC24" s="28"/>
      <c r="AE24">
        <v>1</v>
      </c>
    </row>
    <row r="25" customFormat="1" spans="1:31">
      <c r="A25" t="s">
        <v>215</v>
      </c>
      <c r="Q25" s="27"/>
      <c r="R25" s="29"/>
      <c r="Y25" t="s">
        <v>105</v>
      </c>
      <c r="Z25" s="27">
        <f>(416.02%+772.61%)*2</f>
        <v>23.7726</v>
      </c>
      <c r="AA25" s="28">
        <f>(803+1493)*2</f>
        <v>4592</v>
      </c>
      <c r="AB25" s="27">
        <f t="shared" si="0"/>
        <v>35.6589</v>
      </c>
      <c r="AC25" s="28"/>
      <c r="AE25">
        <v>1</v>
      </c>
    </row>
    <row r="26" customFormat="1" spans="1:31">
      <c r="A26" t="s">
        <v>216</v>
      </c>
      <c r="B26" s="29"/>
      <c r="Q26" s="27"/>
      <c r="R26" s="29"/>
      <c r="Y26" t="s">
        <v>102</v>
      </c>
      <c r="Z26" s="27">
        <f>257.01%/2</f>
        <v>1.28505</v>
      </c>
      <c r="AA26" s="28">
        <f>502/2</f>
        <v>251</v>
      </c>
      <c r="AB26" s="27">
        <f t="shared" si="0"/>
        <v>1.927575</v>
      </c>
      <c r="AC26" s="28"/>
      <c r="AE26">
        <v>1</v>
      </c>
    </row>
    <row r="27" customFormat="1" spans="1:31">
      <c r="A27" t="s">
        <v>217</v>
      </c>
      <c r="Q27" s="27"/>
      <c r="R27" s="29"/>
      <c r="Y27" t="s">
        <v>102</v>
      </c>
      <c r="Z27" s="27">
        <f>257.01%+141.62%</f>
        <v>3.9863</v>
      </c>
      <c r="AA27" s="28">
        <f>502+276</f>
        <v>778</v>
      </c>
      <c r="AB27" s="27">
        <f t="shared" si="0"/>
        <v>5.97945</v>
      </c>
      <c r="AC27" s="28"/>
      <c r="AE27">
        <v>1</v>
      </c>
    </row>
    <row r="28" customFormat="1" spans="1:31">
      <c r="A28" t="s">
        <v>218</v>
      </c>
      <c r="B28" s="29"/>
      <c r="Q28" s="27"/>
      <c r="R28" s="29"/>
      <c r="T28" s="29"/>
      <c r="Y28" t="s">
        <v>102</v>
      </c>
      <c r="Z28" s="27">
        <v>0.236</v>
      </c>
      <c r="AA28" s="28">
        <v>46</v>
      </c>
      <c r="AB28" s="27">
        <f t="shared" si="0"/>
        <v>0.354</v>
      </c>
      <c r="AC28" s="28"/>
      <c r="AE28">
        <v>0.5</v>
      </c>
    </row>
    <row r="29" customFormat="1" spans="1:31">
      <c r="A29" t="s">
        <v>219</v>
      </c>
      <c r="B29" s="29"/>
      <c r="Q29" s="27"/>
      <c r="R29" s="29"/>
      <c r="Y29" t="s">
        <v>102</v>
      </c>
      <c r="Z29" s="27">
        <f>272.42%/2</f>
        <v>1.3621</v>
      </c>
      <c r="AA29" s="28">
        <f>528/2</f>
        <v>264</v>
      </c>
      <c r="AB29" s="27">
        <f t="shared" si="0"/>
        <v>2.04315</v>
      </c>
      <c r="AC29" s="28"/>
      <c r="AE29">
        <v>1</v>
      </c>
    </row>
    <row r="30" customFormat="1" spans="1:31">
      <c r="A30" t="s">
        <v>220</v>
      </c>
      <c r="Q30" s="27"/>
      <c r="R30" s="29"/>
      <c r="Y30" t="s">
        <v>102</v>
      </c>
      <c r="Z30" s="27">
        <f>272.42%+150.11%</f>
        <v>4.2253</v>
      </c>
      <c r="AA30" s="28">
        <f>528+291</f>
        <v>819</v>
      </c>
      <c r="AB30" s="27">
        <f t="shared" si="0"/>
        <v>6.33795</v>
      </c>
      <c r="AC30" s="28"/>
      <c r="AE30">
        <v>1</v>
      </c>
    </row>
    <row r="31" customFormat="1" spans="1:31">
      <c r="A31" t="s">
        <v>221</v>
      </c>
      <c r="B31" s="29"/>
      <c r="Q31" s="27"/>
      <c r="R31" s="29"/>
      <c r="T31" s="29"/>
      <c r="Y31" t="s">
        <v>102</v>
      </c>
      <c r="Z31" s="27">
        <v>0.2958</v>
      </c>
      <c r="AA31" s="28">
        <v>57</v>
      </c>
      <c r="AB31" s="27">
        <f t="shared" si="0"/>
        <v>0.4437</v>
      </c>
      <c r="AC31" s="28"/>
      <c r="AE31">
        <v>0.5</v>
      </c>
    </row>
    <row r="32" customFormat="1" spans="1:31">
      <c r="A32" t="s">
        <v>222</v>
      </c>
      <c r="Q32" s="27"/>
      <c r="R32" s="29"/>
      <c r="Y32" t="s">
        <v>102</v>
      </c>
      <c r="Z32" s="27">
        <v>1.0239</v>
      </c>
      <c r="AA32" s="28">
        <v>196</v>
      </c>
      <c r="AB32" s="27">
        <f t="shared" si="0"/>
        <v>1.53585</v>
      </c>
      <c r="AC32" s="28"/>
      <c r="AE32">
        <v>1</v>
      </c>
    </row>
    <row r="33" customFormat="1" spans="1:31">
      <c r="A33" t="s">
        <v>223</v>
      </c>
      <c r="B33" s="29">
        <v>0.8</v>
      </c>
      <c r="Q33" s="27"/>
      <c r="R33" s="29"/>
      <c r="Y33" t="s">
        <v>102</v>
      </c>
      <c r="Z33" s="27">
        <v>1.7065</v>
      </c>
      <c r="AA33" s="28">
        <v>327</v>
      </c>
      <c r="AB33" s="27">
        <f t="shared" si="0"/>
        <v>2.55975</v>
      </c>
      <c r="AC33" s="28"/>
      <c r="AE33">
        <v>1</v>
      </c>
    </row>
    <row r="34" customFormat="1" spans="1:31">
      <c r="A34" t="s">
        <v>224</v>
      </c>
      <c r="Q34" s="27"/>
      <c r="R34" s="29"/>
      <c r="Y34" t="s">
        <v>102</v>
      </c>
      <c r="Z34" s="27">
        <v>0.7021</v>
      </c>
      <c r="AA34" s="28">
        <v>134</v>
      </c>
      <c r="AB34" s="27">
        <f t="shared" si="0"/>
        <v>1.05315</v>
      </c>
      <c r="AC34" s="28"/>
      <c r="AE34">
        <v>1</v>
      </c>
    </row>
    <row r="35" customFormat="1" spans="1:31">
      <c r="A35" t="s">
        <v>225</v>
      </c>
      <c r="Q35" s="27"/>
      <c r="R35" s="29"/>
      <c r="Y35" t="s">
        <v>102</v>
      </c>
      <c r="Z35" s="27">
        <v>1.609</v>
      </c>
      <c r="AA35" s="28">
        <v>308</v>
      </c>
      <c r="AB35" s="27">
        <f t="shared" si="0"/>
        <v>2.4135</v>
      </c>
      <c r="AC35" s="28"/>
      <c r="AE35">
        <v>1</v>
      </c>
    </row>
    <row r="36" customFormat="1" spans="1:31">
      <c r="A36" t="s">
        <v>194</v>
      </c>
      <c r="Q36" s="27"/>
      <c r="R36" s="29"/>
      <c r="Y36" t="s">
        <v>226</v>
      </c>
      <c r="Z36" s="27">
        <v>1</v>
      </c>
      <c r="AA36" s="28"/>
      <c r="AB36" s="27">
        <v>1</v>
      </c>
      <c r="AC36" s="28"/>
      <c r="AE36">
        <v>1</v>
      </c>
    </row>
    <row r="37" customFormat="1" spans="1:31">
      <c r="A37" t="s">
        <v>227</v>
      </c>
      <c r="B37" s="29"/>
      <c r="E37" s="29"/>
      <c r="G37" s="29"/>
      <c r="N37" s="29"/>
      <c r="R37" s="29"/>
      <c r="Y37" t="s">
        <v>105</v>
      </c>
      <c r="Z37" s="27">
        <f>254.71%*2.7</f>
        <v>6.87717</v>
      </c>
      <c r="AA37" s="28">
        <f>492*2.7</f>
        <v>1328.4</v>
      </c>
      <c r="AB37" s="27">
        <f>Z37*1.5</f>
        <v>10.315755</v>
      </c>
      <c r="AC37" s="28"/>
      <c r="AE37">
        <v>1</v>
      </c>
    </row>
    <row r="38" customFormat="1" spans="1:31">
      <c r="A38" t="s">
        <v>77</v>
      </c>
      <c r="Q38" s="27"/>
      <c r="Y38" t="s">
        <v>226</v>
      </c>
      <c r="Z38" s="27">
        <v>0</v>
      </c>
      <c r="AA38" s="28"/>
      <c r="AB38" s="27">
        <v>0</v>
      </c>
      <c r="AC38" s="28"/>
      <c r="AE38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9"/>
  <sheetViews>
    <sheetView workbookViewId="0">
      <selection activeCell="N31" sqref="N31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7"/>
    <col min="24" max="24" width="9.375" style="27"/>
    <col min="25" max="25" width="9" style="28"/>
    <col min="26" max="26" width="9.375" style="27"/>
    <col min="27" max="27" width="9" style="28"/>
  </cols>
  <sheetData>
    <row r="1" spans="1:27">
      <c r="B1" t="s">
        <v>39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t="s">
        <v>111</v>
      </c>
      <c r="R1" t="s">
        <v>202</v>
      </c>
      <c r="S1" t="s">
        <v>115</v>
      </c>
      <c r="T1" t="s">
        <v>203</v>
      </c>
      <c r="U1" t="s">
        <v>228</v>
      </c>
      <c r="V1" t="s">
        <v>229</v>
      </c>
      <c r="W1" s="27" t="s">
        <v>70</v>
      </c>
    </row>
    <row r="2" spans="1:27">
      <c r="A2" t="s">
        <v>86</v>
      </c>
      <c r="B2" s="29">
        <v>0.08</v>
      </c>
      <c r="I2">
        <v>16</v>
      </c>
      <c r="K2">
        <v>16</v>
      </c>
      <c r="M2">
        <v>16</v>
      </c>
      <c r="O2">
        <v>16</v>
      </c>
      <c r="W2" s="30"/>
      <c r="X2" s="30"/>
      <c r="Y2" s="31"/>
      <c r="Z2" s="30"/>
    </row>
    <row r="3" spans="1:27">
      <c r="A3" t="s">
        <v>230</v>
      </c>
      <c r="B3" s="29">
        <f>IF(期望!$D$20="√",25%,0)</f>
        <v>0.25</v>
      </c>
      <c r="W3" s="30"/>
      <c r="X3" s="30"/>
      <c r="Y3" s="31"/>
      <c r="Z3" s="30"/>
    </row>
    <row r="4" customFormat="1" spans="1:27">
      <c r="A4" t="s">
        <v>95</v>
      </c>
      <c r="B4" s="29"/>
      <c r="E4" s="29">
        <f>IF(期望!$D$21="√",12%,0)</f>
        <v>0</v>
      </c>
      <c r="H4" s="29">
        <f>IF(期望!$D$21="√",12%,0)</f>
        <v>0</v>
      </c>
      <c r="I4" s="29"/>
      <c r="W4" s="30"/>
      <c r="X4" s="30"/>
      <c r="Y4" s="31"/>
      <c r="Z4" s="30"/>
      <c r="AA4" s="28"/>
    </row>
    <row r="5" customFormat="1" spans="1:27">
      <c r="A5" t="s">
        <v>89</v>
      </c>
      <c r="B5" s="29"/>
      <c r="H5" s="29">
        <f>IF(期望!$D$21="√",6%,0)</f>
        <v>0</v>
      </c>
      <c r="W5" s="30"/>
      <c r="X5" s="30"/>
      <c r="Y5" s="31"/>
      <c r="Z5" s="30"/>
      <c r="AA5" s="28"/>
    </row>
    <row r="6" customFormat="1" spans="1:27">
      <c r="A6" t="s">
        <v>80</v>
      </c>
      <c r="B6" s="29"/>
      <c r="G6" s="29">
        <f>IF(期望!$D$21="√",2%,0)</f>
        <v>0</v>
      </c>
      <c r="J6" s="29">
        <f>IF(期望!$D$21="√",2%,0)</f>
        <v>0</v>
      </c>
      <c r="L6" s="29">
        <f>IF(期望!$D$21="√",2%,0)</f>
        <v>0</v>
      </c>
      <c r="N6" s="29">
        <f>IF(期望!$D$21="√",2%,0)</f>
        <v>0</v>
      </c>
      <c r="P6" s="29">
        <f>IF(期望!$D$21="√",2%,0)</f>
        <v>0</v>
      </c>
      <c r="W6" s="30"/>
      <c r="X6" s="30"/>
      <c r="Y6" s="31"/>
      <c r="Z6" s="30"/>
      <c r="AA6" s="28"/>
    </row>
    <row r="7" customFormat="1" spans="1:27">
      <c r="A7" t="s">
        <v>90</v>
      </c>
      <c r="B7" s="29"/>
      <c r="G7" s="29">
        <f>IF(期望!$D$22="√",2%,0)</f>
        <v>0</v>
      </c>
      <c r="J7" s="29">
        <f>IF(期望!$D$22="√",2%,0)</f>
        <v>0</v>
      </c>
      <c r="L7" s="29">
        <f>IF(期望!$D$22="√",2%,0)</f>
        <v>0</v>
      </c>
      <c r="N7" s="29">
        <f>IF(期望!$D$22="√",2%,0)</f>
        <v>0</v>
      </c>
      <c r="P7" s="29">
        <f>IF(期望!$D$22="√",2%,0)</f>
        <v>0</v>
      </c>
      <c r="W7" s="30"/>
      <c r="X7" s="30"/>
      <c r="Y7" s="31"/>
      <c r="Z7" s="30"/>
      <c r="AA7" s="28"/>
    </row>
    <row r="8" spans="1:27">
      <c r="A8" t="s">
        <v>169</v>
      </c>
      <c r="B8" s="29">
        <v>0.12</v>
      </c>
      <c r="W8" s="30"/>
      <c r="X8" s="30"/>
      <c r="Y8" s="31"/>
      <c r="Z8" s="30"/>
    </row>
    <row r="9" spans="1:27">
      <c r="A9" t="s">
        <v>121</v>
      </c>
      <c r="F9">
        <v>15</v>
      </c>
      <c r="R9" s="29">
        <v>0.15</v>
      </c>
      <c r="W9" s="30"/>
    </row>
    <row r="10" customFormat="1" spans="1:27">
      <c r="A10" t="s">
        <v>113</v>
      </c>
      <c r="B10"/>
      <c r="F10">
        <v>12</v>
      </c>
      <c r="R10" s="29">
        <v>0.12</v>
      </c>
      <c r="W10" s="30"/>
      <c r="X10" s="27"/>
      <c r="Y10" s="28"/>
      <c r="Z10" s="27"/>
      <c r="AA10" s="28"/>
    </row>
    <row r="11" customFormat="1" spans="1:27">
      <c r="A11" t="s">
        <v>87</v>
      </c>
      <c r="B11"/>
      <c r="F11">
        <v>10</v>
      </c>
      <c r="R11" s="29">
        <v>0.1</v>
      </c>
      <c r="W11" s="30"/>
      <c r="X11" s="27"/>
      <c r="Y11" s="28"/>
      <c r="Z11" s="27"/>
      <c r="AA11" s="28"/>
    </row>
    <row r="12" spans="1:27">
      <c r="A12" t="s">
        <v>186</v>
      </c>
      <c r="B12" s="29"/>
      <c r="W12" s="30">
        <v>0.1</v>
      </c>
    </row>
    <row r="13" spans="1:27">
      <c r="A13" t="s">
        <v>73</v>
      </c>
      <c r="B13" s="29">
        <v>0.08</v>
      </c>
      <c r="W13" s="30"/>
    </row>
    <row r="14" spans="1:27">
      <c r="A14" t="s">
        <v>118</v>
      </c>
      <c r="R14" s="29">
        <v>0.1</v>
      </c>
      <c r="W14" s="30"/>
    </row>
    <row r="15" spans="1:27">
      <c r="A15" t="s">
        <v>78</v>
      </c>
      <c r="B15" s="29">
        <v>0.02</v>
      </c>
      <c r="R15" s="29"/>
      <c r="W15" s="30"/>
    </row>
    <row r="16" spans="1:27">
      <c r="A16" t="s">
        <v>114</v>
      </c>
      <c r="B16" s="29">
        <v>0.05</v>
      </c>
      <c r="R16" s="29"/>
      <c r="W16" s="30"/>
    </row>
    <row r="17" spans="1:26">
      <c r="A17" t="s">
        <v>122</v>
      </c>
      <c r="B17" s="29">
        <v>0.03</v>
      </c>
    </row>
    <row r="18" spans="1:26">
      <c r="A18" t="s">
        <v>187</v>
      </c>
      <c r="B18" s="29"/>
      <c r="J18" s="29">
        <f>IF(期望!$D$18="√",10%,0)</f>
        <v>0.1</v>
      </c>
      <c r="W18" s="27">
        <f>IF(期望!$D$18="√",10%,0)</f>
        <v>0.1</v>
      </c>
      <c r="X18" s="30"/>
      <c r="Y18" s="31"/>
      <c r="Z18" s="30"/>
    </row>
    <row r="19" spans="1:26">
      <c r="A19" t="s">
        <v>81</v>
      </c>
      <c r="B19" s="29"/>
      <c r="W19" s="27">
        <v>0.05</v>
      </c>
      <c r="X19" s="30"/>
      <c r="Y19" s="31"/>
      <c r="Z19" s="30"/>
    </row>
    <row r="20" spans="1:26">
      <c r="A20" t="s">
        <v>82</v>
      </c>
      <c r="B20" s="29">
        <v>0.08</v>
      </c>
      <c r="F20">
        <v>12</v>
      </c>
      <c r="K20">
        <v>12</v>
      </c>
      <c r="X20" s="30"/>
      <c r="Y20" s="31"/>
      <c r="Z20" s="30"/>
    </row>
    <row r="21" spans="1:26">
      <c r="A21" s="32" t="s">
        <v>231</v>
      </c>
      <c r="X21" s="30"/>
      <c r="Y21" s="31"/>
      <c r="Z21" s="30"/>
    </row>
    <row r="22" spans="1:26">
      <c r="A22" t="s">
        <v>79</v>
      </c>
      <c r="R22" s="29">
        <f>IF(期望!$F$16="√",1%,0)</f>
        <v>0.01</v>
      </c>
      <c r="X22" s="30"/>
      <c r="Y22" s="31"/>
      <c r="Z22" s="30"/>
    </row>
    <row r="23" spans="1:26">
      <c r="A23" t="s">
        <v>88</v>
      </c>
      <c r="R23" s="29">
        <f>IF(期望!$F$16="√",2%,0)</f>
        <v>0.02</v>
      </c>
      <c r="X23" s="30"/>
      <c r="Y23" s="31"/>
      <c r="Z23" s="30"/>
    </row>
    <row r="24" spans="1:26">
      <c r="A24" t="s">
        <v>94</v>
      </c>
      <c r="R24" s="29">
        <f>IF(期望!$F$16="√",3%,0)</f>
        <v>0.03</v>
      </c>
      <c r="X24" s="30"/>
      <c r="Y24" s="31"/>
      <c r="Z24" s="30"/>
    </row>
    <row r="25" spans="1:26">
      <c r="A25" t="s">
        <v>100</v>
      </c>
      <c r="R25" s="29">
        <f>IF(期望!$F$16="√",4%,0)</f>
        <v>0.04</v>
      </c>
      <c r="X25" s="30"/>
      <c r="Y25" s="31"/>
      <c r="Z25" s="30"/>
    </row>
    <row r="26" spans="1:26">
      <c r="A26" t="s">
        <v>153</v>
      </c>
      <c r="R26" s="29">
        <f>IF(期望!$F$16="√",5%,0)</f>
        <v>0.05</v>
      </c>
      <c r="X26" s="30"/>
      <c r="Y26" s="31"/>
      <c r="Z26" s="30"/>
    </row>
    <row r="27" spans="1:26">
      <c r="A27" t="s">
        <v>158</v>
      </c>
      <c r="R27" s="29">
        <f>IF(期望!$F$16="√",6%,0)</f>
        <v>0.06</v>
      </c>
      <c r="X27" s="30"/>
      <c r="Y27" s="31"/>
      <c r="Z27" s="30"/>
    </row>
    <row r="28" spans="1:26">
      <c r="A28" t="s">
        <v>165</v>
      </c>
      <c r="R28" s="29">
        <f>IF(期望!$F$16="√",7%,0)</f>
        <v>0.07</v>
      </c>
      <c r="X28" s="30"/>
      <c r="Y28" s="31"/>
      <c r="Z28" s="30"/>
    </row>
    <row r="29" spans="1:26">
      <c r="A29" t="s">
        <v>170</v>
      </c>
      <c r="R29" s="29">
        <f>IF(期望!$F$16="√",8%,0)</f>
        <v>0.08</v>
      </c>
      <c r="X29" s="30"/>
      <c r="Y29" s="31"/>
      <c r="Z29" s="30"/>
    </row>
    <row r="30" spans="1:26">
      <c r="A30" t="s">
        <v>173</v>
      </c>
      <c r="R30" s="29">
        <f>IF(期望!$F$16="√",9%,0)</f>
        <v>0.09</v>
      </c>
      <c r="X30" s="30"/>
      <c r="Y30" s="31"/>
      <c r="Z30" s="30"/>
    </row>
    <row r="31" spans="1:26">
      <c r="A31" t="s">
        <v>176</v>
      </c>
      <c r="R31" s="29">
        <f>IF(期望!$F$16="√",10%,0)</f>
        <v>0.1</v>
      </c>
      <c r="X31" s="30"/>
      <c r="Y31" s="31"/>
      <c r="Z31" s="30"/>
    </row>
    <row r="32" spans="1:26">
      <c r="A32" t="s">
        <v>232</v>
      </c>
      <c r="R32" s="29">
        <f>IF(期望!$F$16="√",10%,0)</f>
        <v>0.1</v>
      </c>
      <c r="X32" s="30"/>
      <c r="Y32" s="31"/>
      <c r="Z32" s="30"/>
    </row>
    <row r="33" spans="1:26">
      <c r="A33" t="s">
        <v>76</v>
      </c>
      <c r="B33" s="29">
        <f>1%*IF(期望!$E$22="易水歌",1,0)</f>
        <v>0.01</v>
      </c>
      <c r="F33">
        <f>2*IF(期望!$E$22="易水歌",1,0)</f>
        <v>2</v>
      </c>
      <c r="X33" s="30"/>
      <c r="Y33" s="31"/>
      <c r="Z33" s="30"/>
    </row>
    <row r="34" spans="1:26">
      <c r="A34" t="s">
        <v>85</v>
      </c>
      <c r="B34" s="29">
        <f>2%*IF(期望!$E$22="易水歌",1,0)</f>
        <v>0.02</v>
      </c>
      <c r="F34">
        <f>4*IF(期望!$E$22="易水歌",1,0)</f>
        <v>4</v>
      </c>
      <c r="X34" s="30"/>
      <c r="Y34" s="31"/>
      <c r="Z34" s="30"/>
    </row>
    <row r="35" spans="1:26">
      <c r="A35" t="s">
        <v>93</v>
      </c>
      <c r="B35" s="29">
        <f>3%*IF(期望!$E$22="易水歌",1,0)</f>
        <v>0.03</v>
      </c>
      <c r="F35">
        <f>6*IF(期望!$E$22="易水歌",1,0)</f>
        <v>6</v>
      </c>
      <c r="X35" s="30"/>
      <c r="Y35" s="31"/>
      <c r="Z35" s="30"/>
    </row>
    <row r="36" spans="1:26">
      <c r="A36" t="s">
        <v>99</v>
      </c>
      <c r="B36" s="29">
        <f>4%*IF(期望!$E$22="易水歌",1,0)</f>
        <v>0.04</v>
      </c>
      <c r="F36">
        <f>8*IF(期望!$E$22="易水歌",1,0)</f>
        <v>8</v>
      </c>
      <c r="X36" s="30"/>
      <c r="Y36" s="31"/>
      <c r="Z36" s="30"/>
    </row>
    <row r="37" spans="1:26">
      <c r="A37" t="s">
        <v>103</v>
      </c>
      <c r="B37" s="29">
        <f>5%*IF(期望!$E$22="易水歌",1,0)</f>
        <v>0.05</v>
      </c>
      <c r="F37">
        <f>10*IF(期望!$E$22="易水歌",1,0)</f>
        <v>10</v>
      </c>
      <c r="X37" s="30"/>
      <c r="Y37" s="31"/>
      <c r="Z37" s="30"/>
    </row>
    <row r="38" spans="1:26">
      <c r="A38" t="s">
        <v>77</v>
      </c>
      <c r="X38" s="30"/>
      <c r="Y38" s="31"/>
      <c r="Z38" s="30"/>
    </row>
    <row r="39" spans="1:26">
      <c r="X39" s="30"/>
      <c r="Y39" s="31"/>
      <c r="Z39" s="30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"/>
  <sheetViews>
    <sheetView tabSelected="1" topLeftCell="A16" workbookViewId="0">
      <selection activeCell="F42" sqref="F42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233</v>
      </c>
      <c r="B1" s="3" t="s">
        <v>234</v>
      </c>
      <c r="C1" s="4" t="s">
        <v>235</v>
      </c>
      <c r="D1" s="5" t="s">
        <v>236</v>
      </c>
    </row>
    <row r="2" spans="1:4">
      <c r="A2" s="6">
        <v>0.1</v>
      </c>
      <c r="B2" s="7">
        <v>1</v>
      </c>
      <c r="C2" s="8" t="s">
        <v>237</v>
      </c>
      <c r="D2" s="4" t="s">
        <v>238</v>
      </c>
    </row>
    <row r="3" spans="1:4">
      <c r="A3" s="9"/>
      <c r="B3" s="10">
        <v>2</v>
      </c>
      <c r="C3" s="11" t="s">
        <v>239</v>
      </c>
    </row>
    <row r="4" ht="14.25" spans="1:4">
      <c r="A4" s="12"/>
      <c r="B4" s="13">
        <v>3</v>
      </c>
      <c r="C4" s="14" t="s">
        <v>240</v>
      </c>
    </row>
    <row r="5" ht="14.25" spans="1:4">
      <c r="A5" s="15">
        <v>0.2</v>
      </c>
      <c r="B5" s="16">
        <v>1</v>
      </c>
      <c r="C5" s="17" t="s">
        <v>241</v>
      </c>
    </row>
    <row r="6" ht="14.25" spans="1:4">
      <c r="A6" s="15">
        <v>0.3</v>
      </c>
      <c r="B6" s="16">
        <v>1</v>
      </c>
      <c r="C6" s="17" t="s">
        <v>242</v>
      </c>
    </row>
    <row r="7" ht="14.25" spans="1:4">
      <c r="A7" s="15">
        <v>0.4</v>
      </c>
      <c r="B7" s="16">
        <v>1</v>
      </c>
      <c r="C7" s="17" t="s">
        <v>243</v>
      </c>
    </row>
    <row r="8" ht="14.25" spans="1:4">
      <c r="A8" s="15">
        <v>0.5</v>
      </c>
      <c r="B8" s="16">
        <v>1</v>
      </c>
      <c r="C8" s="17" t="s">
        <v>244</v>
      </c>
    </row>
    <row r="9" spans="1:4">
      <c r="A9" s="18">
        <v>0.6</v>
      </c>
      <c r="B9" s="19">
        <v>1</v>
      </c>
      <c r="C9" s="8" t="s">
        <v>245</v>
      </c>
    </row>
    <row r="10" ht="14.25" spans="1:4">
      <c r="A10" s="20"/>
      <c r="B10" s="13">
        <v>2</v>
      </c>
      <c r="C10" s="14" t="s">
        <v>246</v>
      </c>
    </row>
    <row r="11" ht="14.25" spans="1:4">
      <c r="A11" s="18">
        <v>0.7</v>
      </c>
      <c r="B11" s="19">
        <v>1</v>
      </c>
      <c r="C11" s="8" t="s">
        <v>247</v>
      </c>
    </row>
    <row r="12" spans="1:4">
      <c r="A12" s="18">
        <v>0.8</v>
      </c>
      <c r="B12" s="19">
        <v>1</v>
      </c>
      <c r="C12" s="8" t="s">
        <v>248</v>
      </c>
    </row>
    <row r="13" spans="1:4">
      <c r="A13" s="21"/>
      <c r="B13">
        <v>2</v>
      </c>
      <c r="C13" s="11" t="s">
        <v>249</v>
      </c>
    </row>
    <row r="14" ht="14.25" spans="1:4">
      <c r="A14" s="20"/>
      <c r="B14" s="13">
        <v>3</v>
      </c>
      <c r="C14" s="14" t="s">
        <v>250</v>
      </c>
    </row>
    <row r="15" spans="1:4">
      <c r="A15" s="18">
        <v>0.9</v>
      </c>
      <c r="B15" s="19">
        <v>1</v>
      </c>
      <c r="C15" s="8" t="s">
        <v>251</v>
      </c>
    </row>
    <row r="16" spans="1:4">
      <c r="A16" s="21"/>
      <c r="B16">
        <v>2</v>
      </c>
      <c r="C16" s="11" t="s">
        <v>252</v>
      </c>
    </row>
    <row r="17" ht="14.25" spans="1:3">
      <c r="A17" s="20"/>
      <c r="B17" s="13"/>
      <c r="C17" s="14" t="s">
        <v>253</v>
      </c>
    </row>
    <row r="18" ht="14.25" spans="1:3">
      <c r="A18" s="15">
        <v>1</v>
      </c>
      <c r="B18" s="16">
        <v>1</v>
      </c>
      <c r="C18" s="17" t="s">
        <v>254</v>
      </c>
    </row>
    <row r="19" ht="14.25" spans="1:3">
      <c r="A19" s="15">
        <v>1.1</v>
      </c>
      <c r="B19" s="16">
        <v>1</v>
      </c>
      <c r="C19" s="17" t="s">
        <v>255</v>
      </c>
    </row>
    <row r="20" ht="14.25" spans="1:3">
      <c r="A20" s="15">
        <v>1.2</v>
      </c>
      <c r="B20" s="16">
        <v>1</v>
      </c>
      <c r="C20" s="17" t="s">
        <v>256</v>
      </c>
    </row>
    <row r="21" ht="14.25" spans="1:3">
      <c r="A21" s="15">
        <v>1.3</v>
      </c>
      <c r="B21" s="16">
        <v>1</v>
      </c>
      <c r="C21" s="17" t="s">
        <v>257</v>
      </c>
    </row>
    <row r="22" ht="14.25" spans="1:3">
      <c r="A22" s="15">
        <v>1.4</v>
      </c>
      <c r="B22" s="16">
        <v>1</v>
      </c>
      <c r="C22" s="17" t="s">
        <v>258</v>
      </c>
    </row>
    <row r="23" ht="14.25" spans="1:3">
      <c r="A23" s="18">
        <v>1.5</v>
      </c>
      <c r="B23" s="19">
        <v>1</v>
      </c>
      <c r="C23" s="8" t="s">
        <v>259</v>
      </c>
    </row>
    <row r="24" spans="1:3">
      <c r="A24" s="18">
        <v>1.6</v>
      </c>
      <c r="B24" s="19">
        <v>1</v>
      </c>
      <c r="C24" s="8" t="s">
        <v>260</v>
      </c>
    </row>
    <row r="25" spans="1:3">
      <c r="A25" s="21"/>
      <c r="B25" s="22">
        <v>2</v>
      </c>
      <c r="C25" s="11" t="s">
        <v>261</v>
      </c>
    </row>
    <row r="26" ht="14.25" spans="1:3">
      <c r="A26" s="20"/>
      <c r="B26" s="13">
        <v>3</v>
      </c>
      <c r="C26" s="14" t="s">
        <v>262</v>
      </c>
    </row>
    <row r="27" ht="14.25" spans="1:3">
      <c r="A27" s="15">
        <v>1.7</v>
      </c>
      <c r="B27" s="16">
        <v>1</v>
      </c>
      <c r="C27" s="17" t="s">
        <v>263</v>
      </c>
    </row>
    <row r="28" ht="14.25" spans="1:3">
      <c r="A28" s="15">
        <v>1.8</v>
      </c>
      <c r="B28" s="16">
        <v>1</v>
      </c>
      <c r="C28" s="17" t="s">
        <v>264</v>
      </c>
    </row>
    <row r="29" ht="14.25" spans="1:3">
      <c r="A29" s="15">
        <v>1.9</v>
      </c>
      <c r="B29" s="16">
        <v>1</v>
      </c>
      <c r="C29" s="17" t="s">
        <v>265</v>
      </c>
    </row>
    <row r="30" ht="14.25" spans="1:3">
      <c r="A30" s="23">
        <v>1.1</v>
      </c>
      <c r="B30" s="16">
        <v>1</v>
      </c>
      <c r="C30" s="17" t="s">
        <v>266</v>
      </c>
    </row>
    <row r="31" ht="14.25" spans="1:3">
      <c r="A31" s="23">
        <v>1.11</v>
      </c>
      <c r="B31" s="16">
        <v>1</v>
      </c>
      <c r="C31" s="17" t="s">
        <v>267</v>
      </c>
    </row>
    <row r="32" spans="1:3">
      <c r="A32" s="24">
        <v>1.12</v>
      </c>
      <c r="B32" s="19">
        <v>1</v>
      </c>
      <c r="C32" s="8" t="s">
        <v>268</v>
      </c>
    </row>
    <row r="33" ht="14.25" spans="1:3">
      <c r="A33" s="25"/>
      <c r="B33" s="13"/>
      <c r="C33" s="14" t="s">
        <v>269</v>
      </c>
    </row>
    <row r="34" ht="14.25" spans="1:3">
      <c r="A34" s="23">
        <v>1.13</v>
      </c>
      <c r="B34" s="16">
        <v>1</v>
      </c>
      <c r="C34" s="17" t="s">
        <v>270</v>
      </c>
    </row>
    <row r="35" spans="1:3">
      <c r="A35" s="24">
        <v>1.14</v>
      </c>
      <c r="B35" s="19">
        <v>1</v>
      </c>
      <c r="C35" s="8" t="s">
        <v>271</v>
      </c>
    </row>
    <row r="36" spans="1:3">
      <c r="A36" s="26"/>
      <c r="B36">
        <v>2</v>
      </c>
      <c r="C36" s="11" t="s">
        <v>272</v>
      </c>
    </row>
    <row r="37" spans="1:3">
      <c r="A37" s="26"/>
      <c r="B37">
        <v>3</v>
      </c>
      <c r="C37" s="11" t="s">
        <v>273</v>
      </c>
    </row>
    <row r="38" ht="14.25" spans="1:3">
      <c r="A38" s="25"/>
      <c r="B38" s="13">
        <v>4</v>
      </c>
      <c r="C38" s="14" t="s">
        <v>274</v>
      </c>
    </row>
    <row r="39" ht="14.25" spans="1:3">
      <c r="A39" s="24">
        <v>1.15</v>
      </c>
      <c r="B39" s="19">
        <v>1</v>
      </c>
      <c r="C39" s="8" t="s">
        <v>275</v>
      </c>
    </row>
    <row r="40" spans="1:3">
      <c r="A40" s="18">
        <v>2</v>
      </c>
      <c r="B40" s="19">
        <v>1</v>
      </c>
      <c r="C40" s="8" t="s">
        <v>276</v>
      </c>
    </row>
    <row r="41" spans="1:3">
      <c r="A41" s="21"/>
      <c r="B41" s="22">
        <v>2</v>
      </c>
      <c r="C41" s="11" t="s">
        <v>277</v>
      </c>
    </row>
    <row r="42" spans="1:3">
      <c r="A42" s="21"/>
      <c r="B42" s="22">
        <v>3</v>
      </c>
      <c r="C42" s="11" t="s">
        <v>278</v>
      </c>
    </row>
    <row r="43" ht="14.25" spans="1:3">
      <c r="A43" s="20"/>
      <c r="B43" s="13">
        <v>4</v>
      </c>
      <c r="C43" s="14" t="s">
        <v>279</v>
      </c>
    </row>
    <row r="44" spans="1:3">
      <c r="A44" s="18">
        <v>2.1</v>
      </c>
      <c r="B44" s="19">
        <v>1</v>
      </c>
      <c r="C44" s="8" t="s">
        <v>280</v>
      </c>
    </row>
    <row r="45" ht="14.25" spans="1:3">
      <c r="A45" s="20"/>
      <c r="B45" s="13">
        <v>2</v>
      </c>
      <c r="C45" s="14" t="s">
        <v>281</v>
      </c>
    </row>
    <row r="46" ht="14.25" spans="1:3">
      <c r="A46" s="15">
        <v>2.2</v>
      </c>
      <c r="B46" s="16">
        <v>1</v>
      </c>
      <c r="C46" s="17" t="s">
        <v>282</v>
      </c>
    </row>
    <row r="47" ht="14.25" spans="1:3">
      <c r="A47" s="15">
        <v>2.3</v>
      </c>
      <c r="B47" s="16">
        <v>1</v>
      </c>
      <c r="C47" s="17" t="s">
        <v>283</v>
      </c>
    </row>
  </sheetData>
  <mergeCells count="9">
    <mergeCell ref="A2:A4"/>
    <mergeCell ref="A9:A10"/>
    <mergeCell ref="A12:A14"/>
    <mergeCell ref="A15:A17"/>
    <mergeCell ref="A24:A26"/>
    <mergeCell ref="A32:A33"/>
    <mergeCell ref="A35:A38"/>
    <mergeCell ref="A40:A43"/>
    <mergeCell ref="A44:A45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2026-08-28T06:19:01Z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